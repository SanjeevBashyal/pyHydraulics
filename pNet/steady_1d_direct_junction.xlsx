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8_{2D426ACD-872E-4A42-B9B3-31DEB1F42C5B}" xr6:coauthVersionLast="47" xr6:coauthVersionMax="47" xr10:uidLastSave="{00000000-0000-0000-0000-000000000000}"/>
  <bookViews>
    <workbookView xWindow="-110" yWindow="-110" windowWidth="25820" windowHeight="14620" xr2:uid="{00000000-000D-0000-FFFF-FFFF00000000}"/>
  </bookViews>
  <sheets>
    <sheet name="1D" sheetId="1" r:id="rId1"/>
  </sheets>
  <definedNames>
    <definedName name="_xlnm._FilterDatabase" localSheetId="0" hidden="1">'1D'!$A$30:$X$36</definedName>
  </definedNames>
  <calcPr calcId="191029" iterate="1" iterateCount="250"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609" i="1" l="1"/>
  <c r="J1609" i="1"/>
  <c r="AO1608" i="1"/>
  <c r="J1608" i="1"/>
  <c r="AO1607" i="1"/>
  <c r="J1607" i="1"/>
  <c r="AO1606" i="1"/>
  <c r="J1606" i="1"/>
  <c r="AO1605" i="1"/>
  <c r="J1605" i="1"/>
  <c r="AO1604" i="1"/>
  <c r="J1604" i="1"/>
  <c r="AO1603" i="1"/>
  <c r="J1603" i="1"/>
  <c r="AO1602" i="1"/>
  <c r="J1602" i="1"/>
  <c r="AO1601" i="1"/>
  <c r="J1601" i="1"/>
  <c r="AO1600" i="1"/>
  <c r="J1600" i="1"/>
  <c r="AO1599" i="1"/>
  <c r="J1599" i="1"/>
  <c r="AO1598" i="1"/>
  <c r="J1598" i="1"/>
  <c r="AO1597" i="1"/>
  <c r="J1597" i="1"/>
  <c r="AO1596" i="1"/>
  <c r="J1596" i="1"/>
  <c r="AO1595" i="1"/>
  <c r="J1595" i="1"/>
  <c r="AO1594" i="1"/>
  <c r="J1594" i="1"/>
  <c r="AO1593" i="1"/>
  <c r="J1593" i="1"/>
  <c r="AO1592" i="1"/>
  <c r="J1592" i="1"/>
  <c r="AO1591" i="1"/>
  <c r="J1591" i="1"/>
  <c r="AO1590" i="1"/>
  <c r="J1590" i="1"/>
  <c r="AO1589" i="1"/>
  <c r="J1589" i="1"/>
  <c r="AO1588" i="1"/>
  <c r="J1588" i="1"/>
  <c r="AO1587" i="1"/>
  <c r="J1587" i="1"/>
  <c r="AO1586" i="1"/>
  <c r="J1586" i="1"/>
  <c r="AO1585" i="1"/>
  <c r="J1585" i="1"/>
  <c r="AO1584" i="1"/>
  <c r="J1584" i="1"/>
  <c r="AO1583" i="1"/>
  <c r="J1583" i="1"/>
  <c r="AO1582" i="1"/>
  <c r="J1582" i="1"/>
  <c r="AO1581" i="1"/>
  <c r="J1581" i="1"/>
  <c r="AO1580" i="1"/>
  <c r="J1580" i="1"/>
  <c r="AO1579" i="1"/>
  <c r="J1579" i="1"/>
  <c r="AO1578" i="1"/>
  <c r="J1578" i="1"/>
  <c r="AO1577" i="1"/>
  <c r="J1577" i="1"/>
  <c r="AO1576" i="1"/>
  <c r="J1576" i="1"/>
  <c r="AO1575" i="1"/>
  <c r="J1575" i="1"/>
  <c r="AO1574" i="1"/>
  <c r="J1574" i="1"/>
  <c r="AO1573" i="1"/>
  <c r="J1573" i="1"/>
  <c r="AO1572" i="1"/>
  <c r="J1572" i="1"/>
  <c r="AO1571" i="1"/>
  <c r="J1571" i="1"/>
  <c r="AO1570" i="1"/>
  <c r="J1570" i="1"/>
  <c r="AO1569" i="1"/>
  <c r="J1569" i="1"/>
  <c r="AO1568" i="1"/>
  <c r="J1568" i="1"/>
  <c r="AO1567" i="1"/>
  <c r="J1567" i="1"/>
  <c r="AO1566" i="1"/>
  <c r="J1566" i="1"/>
  <c r="AO1565" i="1"/>
  <c r="J1565" i="1"/>
  <c r="AO1564" i="1"/>
  <c r="AP1564" i="1" s="1"/>
  <c r="AP1565" i="1" s="1"/>
  <c r="AP1566" i="1" s="1"/>
  <c r="J1564" i="1"/>
  <c r="AO1563" i="1"/>
  <c r="AP1563" i="1" s="1"/>
  <c r="K1560" i="1"/>
  <c r="E1560"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AO1530" i="1"/>
  <c r="J1530" i="1"/>
  <c r="AO1529" i="1"/>
  <c r="J1529" i="1"/>
  <c r="AO1528" i="1"/>
  <c r="J1528" i="1"/>
  <c r="AO1527" i="1"/>
  <c r="J1527" i="1"/>
  <c r="AO1526" i="1"/>
  <c r="J1526" i="1"/>
  <c r="AO1525" i="1"/>
  <c r="J1525" i="1"/>
  <c r="AO1524" i="1"/>
  <c r="J1524" i="1"/>
  <c r="AO1523" i="1"/>
  <c r="J1523" i="1"/>
  <c r="AP1522" i="1"/>
  <c r="AP1523" i="1" s="1"/>
  <c r="AO1522" i="1"/>
  <c r="L1522" i="1"/>
  <c r="M1522" i="1" s="1"/>
  <c r="K1519" i="1"/>
  <c r="E1519" i="1"/>
  <c r="J1516" i="1"/>
  <c r="AO1515" i="1"/>
  <c r="J1515" i="1"/>
  <c r="AO1514" i="1"/>
  <c r="J1514" i="1"/>
  <c r="AO1513" i="1"/>
  <c r="J1513" i="1"/>
  <c r="AO1512" i="1"/>
  <c r="J1512" i="1"/>
  <c r="AO1511"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AO1484" i="1"/>
  <c r="J1484" i="1"/>
  <c r="AO1483" i="1"/>
  <c r="J1483" i="1"/>
  <c r="AO1482" i="1"/>
  <c r="J1482" i="1"/>
  <c r="AO1481" i="1"/>
  <c r="J1481" i="1"/>
  <c r="AO1480" i="1"/>
  <c r="J1480" i="1"/>
  <c r="AO1479" i="1"/>
  <c r="J1479" i="1"/>
  <c r="AO1478" i="1"/>
  <c r="AP1478" i="1" s="1"/>
  <c r="AP1479" i="1" s="1"/>
  <c r="L1478" i="1"/>
  <c r="K1475" i="1"/>
  <c r="E1475" i="1"/>
  <c r="AO1472" i="1"/>
  <c r="W1472" i="1"/>
  <c r="J1472" i="1"/>
  <c r="AO1471" i="1"/>
  <c r="J1471" i="1"/>
  <c r="AO1470" i="1"/>
  <c r="J1470" i="1"/>
  <c r="AO1469" i="1"/>
  <c r="J1469" i="1"/>
  <c r="AO1468" i="1"/>
  <c r="J1468" i="1"/>
  <c r="AO1467" i="1"/>
  <c r="J1467" i="1"/>
  <c r="AO1466" i="1"/>
  <c r="J1466" i="1"/>
  <c r="AO1465" i="1"/>
  <c r="J1465" i="1"/>
  <c r="AO1464" i="1"/>
  <c r="J1464" i="1"/>
  <c r="AO1463" i="1"/>
  <c r="J1463" i="1"/>
  <c r="AO1462" i="1"/>
  <c r="J1462" i="1"/>
  <c r="AO1461" i="1"/>
  <c r="J1461" i="1"/>
  <c r="AO1460" i="1"/>
  <c r="J1460" i="1"/>
  <c r="AO1459" i="1"/>
  <c r="J1459" i="1"/>
  <c r="AO1458" i="1"/>
  <c r="J1458" i="1"/>
  <c r="AO1457" i="1"/>
  <c r="J1457" i="1"/>
  <c r="AO1456" i="1"/>
  <c r="J1456" i="1"/>
  <c r="AO1455" i="1"/>
  <c r="J1455" i="1"/>
  <c r="AO1454" i="1"/>
  <c r="AP1454" i="1" s="1"/>
  <c r="L1454" i="1"/>
  <c r="P1454" i="1" s="1"/>
  <c r="K1451" i="1"/>
  <c r="E1451" i="1"/>
  <c r="AO1448" i="1"/>
  <c r="W1448" i="1"/>
  <c r="J1448" i="1"/>
  <c r="AO1447" i="1"/>
  <c r="J1447" i="1"/>
  <c r="AO1446" i="1"/>
  <c r="J1446" i="1"/>
  <c r="AO1445" i="1"/>
  <c r="J1445" i="1"/>
  <c r="AO1444" i="1"/>
  <c r="J1444" i="1"/>
  <c r="AO1443" i="1"/>
  <c r="J1443" i="1"/>
  <c r="AO1442" i="1"/>
  <c r="J1442" i="1"/>
  <c r="AO1441" i="1"/>
  <c r="J1441" i="1"/>
  <c r="AO1440" i="1"/>
  <c r="J1440" i="1"/>
  <c r="AO1439" i="1"/>
  <c r="J1439" i="1"/>
  <c r="AO1438" i="1"/>
  <c r="J1438" i="1"/>
  <c r="AO1437" i="1"/>
  <c r="J1437" i="1"/>
  <c r="AO1436" i="1"/>
  <c r="J1436" i="1"/>
  <c r="AO1435" i="1"/>
  <c r="J1435" i="1"/>
  <c r="AO1434" i="1"/>
  <c r="J1434" i="1"/>
  <c r="AO1433" i="1"/>
  <c r="J1433" i="1"/>
  <c r="AO1432" i="1"/>
  <c r="J1432" i="1"/>
  <c r="AO1431" i="1"/>
  <c r="J1431" i="1"/>
  <c r="AO1430" i="1"/>
  <c r="J1430" i="1"/>
  <c r="AO1429" i="1"/>
  <c r="J1429" i="1"/>
  <c r="AO1428" i="1"/>
  <c r="J1428" i="1"/>
  <c r="AO1427" i="1"/>
  <c r="J1427" i="1"/>
  <c r="AO1426" i="1"/>
  <c r="J1426" i="1"/>
  <c r="AO1425" i="1"/>
  <c r="J1425" i="1"/>
  <c r="AO1424" i="1"/>
  <c r="J1424" i="1"/>
  <c r="AO1423" i="1"/>
  <c r="J1423" i="1"/>
  <c r="AO1422" i="1"/>
  <c r="J1422" i="1"/>
  <c r="AO1421" i="1"/>
  <c r="J1421" i="1"/>
  <c r="AO1420" i="1"/>
  <c r="J1420" i="1"/>
  <c r="AO1419" i="1"/>
  <c r="J1419" i="1"/>
  <c r="AO1418" i="1"/>
  <c r="J1418" i="1"/>
  <c r="AO1417" i="1"/>
  <c r="J1417" i="1"/>
  <c r="AO1416" i="1"/>
  <c r="J1416" i="1"/>
  <c r="AO1415" i="1"/>
  <c r="J1415" i="1"/>
  <c r="AO1414" i="1"/>
  <c r="J1414" i="1"/>
  <c r="AO1413" i="1"/>
  <c r="J1413" i="1"/>
  <c r="AO1412" i="1"/>
  <c r="J1412" i="1"/>
  <c r="AO1411" i="1"/>
  <c r="J1411" i="1"/>
  <c r="AO1410" i="1"/>
  <c r="J1410" i="1"/>
  <c r="AO1409" i="1"/>
  <c r="J1409" i="1"/>
  <c r="AO1408" i="1"/>
  <c r="J1408" i="1"/>
  <c r="AO1407" i="1"/>
  <c r="J1407" i="1"/>
  <c r="AO1406" i="1"/>
  <c r="J1406" i="1"/>
  <c r="AO1405" i="1"/>
  <c r="J1405" i="1"/>
  <c r="AO1404" i="1"/>
  <c r="J1404" i="1"/>
  <c r="AO1403" i="1"/>
  <c r="J1403" i="1"/>
  <c r="AO1402" i="1"/>
  <c r="J1402" i="1"/>
  <c r="AO1401" i="1"/>
  <c r="J1401" i="1"/>
  <c r="AO1400" i="1"/>
  <c r="J1400" i="1"/>
  <c r="AO1399" i="1"/>
  <c r="J1399" i="1"/>
  <c r="AO1398" i="1"/>
  <c r="J1398" i="1"/>
  <c r="AO1397" i="1"/>
  <c r="J1397" i="1"/>
  <c r="AO1396" i="1"/>
  <c r="J1396" i="1"/>
  <c r="AO1395" i="1"/>
  <c r="J1395" i="1"/>
  <c r="AO1394" i="1"/>
  <c r="J1394" i="1"/>
  <c r="AO1393" i="1"/>
  <c r="J1393" i="1"/>
  <c r="AO1392" i="1"/>
  <c r="J1392" i="1"/>
  <c r="AO1391" i="1"/>
  <c r="J1391" i="1"/>
  <c r="AO1390" i="1"/>
  <c r="J1390" i="1"/>
  <c r="AO1389" i="1"/>
  <c r="J1389" i="1"/>
  <c r="AO1388" i="1"/>
  <c r="J1388" i="1"/>
  <c r="AO1387" i="1"/>
  <c r="J1387" i="1"/>
  <c r="AO1386" i="1"/>
  <c r="J1386" i="1"/>
  <c r="AO1385" i="1"/>
  <c r="J1385" i="1"/>
  <c r="AO1384" i="1"/>
  <c r="J1384" i="1"/>
  <c r="AO1383" i="1"/>
  <c r="J1383" i="1"/>
  <c r="AO1382" i="1"/>
  <c r="J1382" i="1"/>
  <c r="AO1381" i="1"/>
  <c r="J1381" i="1"/>
  <c r="AO1380" i="1"/>
  <c r="J1380" i="1"/>
  <c r="AO1379" i="1"/>
  <c r="J1379" i="1"/>
  <c r="AO1378" i="1"/>
  <c r="J1378" i="1"/>
  <c r="AO1377" i="1"/>
  <c r="J1377" i="1"/>
  <c r="AO1376" i="1"/>
  <c r="J1376" i="1"/>
  <c r="AO1375" i="1"/>
  <c r="J1375" i="1"/>
  <c r="AO1374" i="1"/>
  <c r="J1374" i="1"/>
  <c r="AO1373" i="1"/>
  <c r="J1373" i="1"/>
  <c r="AO1372" i="1"/>
  <c r="J1372" i="1"/>
  <c r="AO1371" i="1"/>
  <c r="J1371" i="1"/>
  <c r="AO1370" i="1"/>
  <c r="J1370" i="1"/>
  <c r="AO1369" i="1"/>
  <c r="J1369" i="1"/>
  <c r="AO1368" i="1"/>
  <c r="J1368" i="1"/>
  <c r="AO1367" i="1"/>
  <c r="J1367" i="1"/>
  <c r="AO1366" i="1"/>
  <c r="J1366" i="1"/>
  <c r="AO1365" i="1"/>
  <c r="J1365" i="1"/>
  <c r="AO1364" i="1"/>
  <c r="J1364" i="1"/>
  <c r="AO1363" i="1"/>
  <c r="J1363" i="1"/>
  <c r="AO1362" i="1"/>
  <c r="J1362" i="1"/>
  <c r="AO1361" i="1"/>
  <c r="J1361" i="1"/>
  <c r="AO1360" i="1"/>
  <c r="J1360" i="1"/>
  <c r="AO1359" i="1"/>
  <c r="J1359" i="1"/>
  <c r="AO1358" i="1"/>
  <c r="J1358" i="1"/>
  <c r="AO1357" i="1"/>
  <c r="J1357" i="1"/>
  <c r="AO1356" i="1"/>
  <c r="J1356" i="1"/>
  <c r="AO1355" i="1"/>
  <c r="J1355" i="1"/>
  <c r="AO1354" i="1"/>
  <c r="J1354" i="1"/>
  <c r="AO1353" i="1"/>
  <c r="J1353" i="1"/>
  <c r="AO1352" i="1"/>
  <c r="J1352" i="1"/>
  <c r="AO1351" i="1"/>
  <c r="J1351" i="1"/>
  <c r="AO1350" i="1"/>
  <c r="J1350" i="1"/>
  <c r="AO1349" i="1"/>
  <c r="J1349" i="1"/>
  <c r="AO1348" i="1"/>
  <c r="J1348" i="1"/>
  <c r="AO1347" i="1"/>
  <c r="J1347" i="1"/>
  <c r="AO1346" i="1"/>
  <c r="J1346" i="1"/>
  <c r="AO1345" i="1"/>
  <c r="J1345" i="1"/>
  <c r="AO1344" i="1"/>
  <c r="J1344" i="1"/>
  <c r="AO1343" i="1"/>
  <c r="J1343" i="1"/>
  <c r="AO1342" i="1"/>
  <c r="J1342" i="1"/>
  <c r="AO1341" i="1"/>
  <c r="J1341" i="1"/>
  <c r="AO1340" i="1"/>
  <c r="J1340" i="1"/>
  <c r="AO1339" i="1"/>
  <c r="J1339" i="1"/>
  <c r="AO1338" i="1"/>
  <c r="J1338" i="1"/>
  <c r="AO1337" i="1"/>
  <c r="J1337" i="1"/>
  <c r="AO1336" i="1"/>
  <c r="J1336" i="1"/>
  <c r="AO1335" i="1"/>
  <c r="J1335" i="1"/>
  <c r="AO1334" i="1"/>
  <c r="J1334" i="1"/>
  <c r="AO1333" i="1"/>
  <c r="J1333" i="1"/>
  <c r="AO1332" i="1"/>
  <c r="J1332" i="1"/>
  <c r="AO1331" i="1"/>
  <c r="J1331" i="1"/>
  <c r="AO1330" i="1"/>
  <c r="J1330" i="1"/>
  <c r="AO1329" i="1"/>
  <c r="J1329" i="1"/>
  <c r="AO1328" i="1"/>
  <c r="J1328" i="1"/>
  <c r="AO1327" i="1"/>
  <c r="J1327" i="1"/>
  <c r="AO1326" i="1"/>
  <c r="J1326" i="1"/>
  <c r="AO1325" i="1"/>
  <c r="J1325" i="1"/>
  <c r="AO1324" i="1"/>
  <c r="J1324" i="1"/>
  <c r="AO1323" i="1"/>
  <c r="J1323" i="1"/>
  <c r="AO1322" i="1"/>
  <c r="J1322" i="1"/>
  <c r="AO1321" i="1"/>
  <c r="J1321" i="1"/>
  <c r="AO1320" i="1"/>
  <c r="J1320" i="1"/>
  <c r="AO1319" i="1"/>
  <c r="J1319" i="1"/>
  <c r="AO1318" i="1"/>
  <c r="J1318" i="1"/>
  <c r="AO1317" i="1"/>
  <c r="J1317" i="1"/>
  <c r="AO1316" i="1"/>
  <c r="J1316" i="1"/>
  <c r="AO1315" i="1"/>
  <c r="J1315" i="1"/>
  <c r="AO1314" i="1"/>
  <c r="J1314" i="1"/>
  <c r="AO1313" i="1"/>
  <c r="J1313" i="1"/>
  <c r="AO1312" i="1"/>
  <c r="J1312" i="1"/>
  <c r="AO1311" i="1"/>
  <c r="J1311" i="1"/>
  <c r="AO1310" i="1"/>
  <c r="J1310" i="1"/>
  <c r="AO1309" i="1"/>
  <c r="J1309" i="1"/>
  <c r="AO1308" i="1"/>
  <c r="J1308" i="1"/>
  <c r="AO1307" i="1"/>
  <c r="J1307" i="1"/>
  <c r="AO1306" i="1"/>
  <c r="J1306" i="1"/>
  <c r="AO1305" i="1"/>
  <c r="J1305" i="1"/>
  <c r="AO1304" i="1"/>
  <c r="J1304" i="1"/>
  <c r="AO1303" i="1"/>
  <c r="J1303" i="1"/>
  <c r="AO1302" i="1"/>
  <c r="J1302" i="1"/>
  <c r="AO1301" i="1"/>
  <c r="J1301" i="1"/>
  <c r="AO1300" i="1"/>
  <c r="J1300" i="1"/>
  <c r="AO1299" i="1"/>
  <c r="J1299" i="1"/>
  <c r="AO1298" i="1"/>
  <c r="J1298" i="1"/>
  <c r="AO1297" i="1"/>
  <c r="J1297" i="1"/>
  <c r="AO1296" i="1"/>
  <c r="J1296" i="1"/>
  <c r="AO1295" i="1"/>
  <c r="J1295" i="1"/>
  <c r="AO1294" i="1"/>
  <c r="J1294" i="1"/>
  <c r="AO1293" i="1"/>
  <c r="J1293" i="1"/>
  <c r="AO1292" i="1"/>
  <c r="J1292" i="1"/>
  <c r="AO1291" i="1"/>
  <c r="J1291" i="1"/>
  <c r="AO1290" i="1"/>
  <c r="J1290" i="1"/>
  <c r="AO1289" i="1"/>
  <c r="J1289" i="1"/>
  <c r="AO1288" i="1"/>
  <c r="J1288" i="1"/>
  <c r="AO1287" i="1"/>
  <c r="J1287" i="1"/>
  <c r="AO1286" i="1"/>
  <c r="J1286" i="1"/>
  <c r="AO1285" i="1"/>
  <c r="J1285" i="1"/>
  <c r="AO1284" i="1"/>
  <c r="J1284" i="1"/>
  <c r="AO1283" i="1"/>
  <c r="J1283" i="1"/>
  <c r="AO1282" i="1"/>
  <c r="J1282" i="1"/>
  <c r="AO1281" i="1"/>
  <c r="J1281" i="1"/>
  <c r="AO1280" i="1"/>
  <c r="J1280" i="1"/>
  <c r="AO1279" i="1"/>
  <c r="J1279" i="1"/>
  <c r="AO1278" i="1"/>
  <c r="J1278" i="1"/>
  <c r="AO1277" i="1"/>
  <c r="J1277" i="1"/>
  <c r="AO1276" i="1"/>
  <c r="J1276" i="1"/>
  <c r="AO1275" i="1"/>
  <c r="J1275" i="1"/>
  <c r="AO1274" i="1"/>
  <c r="J1274" i="1"/>
  <c r="AO1273" i="1"/>
  <c r="J1273" i="1"/>
  <c r="AO1272" i="1"/>
  <c r="J1272" i="1"/>
  <c r="AO1271" i="1"/>
  <c r="J1271" i="1"/>
  <c r="AO1270" i="1"/>
  <c r="J1270" i="1"/>
  <c r="AO1269" i="1"/>
  <c r="J1269" i="1"/>
  <c r="AO1268" i="1"/>
  <c r="J1268" i="1"/>
  <c r="AO1267" i="1"/>
  <c r="J1267" i="1"/>
  <c r="AO1266" i="1"/>
  <c r="J1266" i="1"/>
  <c r="AO1265" i="1"/>
  <c r="J1265" i="1"/>
  <c r="AO1264" i="1"/>
  <c r="J1264" i="1"/>
  <c r="AO1263" i="1"/>
  <c r="J1263" i="1"/>
  <c r="AO1262" i="1"/>
  <c r="J1262" i="1"/>
  <c r="AO1261" i="1"/>
  <c r="J1261" i="1"/>
  <c r="AO1260" i="1"/>
  <c r="J1260" i="1"/>
  <c r="AO1259" i="1"/>
  <c r="J1259" i="1"/>
  <c r="AO1258" i="1"/>
  <c r="J1258" i="1"/>
  <c r="AO1257" i="1"/>
  <c r="J1257" i="1"/>
  <c r="AO1256" i="1"/>
  <c r="J1256" i="1"/>
  <c r="AO1255" i="1"/>
  <c r="J1255" i="1"/>
  <c r="AO1254" i="1"/>
  <c r="J1254" i="1"/>
  <c r="AO1253" i="1"/>
  <c r="J1253" i="1"/>
  <c r="AO1252" i="1"/>
  <c r="J1252" i="1"/>
  <c r="AO1251" i="1"/>
  <c r="J1251" i="1"/>
  <c r="AO1250" i="1"/>
  <c r="J1250" i="1"/>
  <c r="AO1249" i="1"/>
  <c r="J1249" i="1"/>
  <c r="AO1248" i="1"/>
  <c r="J1248" i="1"/>
  <c r="AO1247" i="1"/>
  <c r="J1247" i="1"/>
  <c r="AO1246" i="1"/>
  <c r="J1246" i="1"/>
  <c r="AO1245" i="1"/>
  <c r="J1245" i="1"/>
  <c r="AO1244" i="1"/>
  <c r="J1244" i="1"/>
  <c r="AO1243" i="1"/>
  <c r="J1243" i="1"/>
  <c r="AO1242" i="1"/>
  <c r="J1242" i="1"/>
  <c r="AO1241" i="1"/>
  <c r="J1241" i="1"/>
  <c r="AO1240" i="1"/>
  <c r="J1240" i="1"/>
  <c r="AO1239" i="1"/>
  <c r="J1239" i="1"/>
  <c r="AO1238" i="1"/>
  <c r="J1238" i="1"/>
  <c r="AO1237" i="1"/>
  <c r="J1237" i="1"/>
  <c r="AO1236" i="1"/>
  <c r="J1236" i="1"/>
  <c r="AO1235" i="1"/>
  <c r="J1235" i="1"/>
  <c r="AO1234" i="1"/>
  <c r="J1234" i="1"/>
  <c r="AO1233" i="1"/>
  <c r="J1233" i="1"/>
  <c r="AO1232" i="1"/>
  <c r="J1232" i="1"/>
  <c r="AO1231" i="1"/>
  <c r="J1231" i="1"/>
  <c r="AO1230" i="1"/>
  <c r="J1230" i="1"/>
  <c r="AO1229" i="1"/>
  <c r="J1229" i="1"/>
  <c r="AO1228" i="1"/>
  <c r="J1228" i="1"/>
  <c r="AO1227" i="1"/>
  <c r="J1227" i="1"/>
  <c r="AO1226" i="1"/>
  <c r="J1226" i="1"/>
  <c r="AO1225" i="1"/>
  <c r="J1225" i="1"/>
  <c r="AO1224" i="1"/>
  <c r="J1224" i="1"/>
  <c r="AO1223" i="1"/>
  <c r="J1223" i="1"/>
  <c r="AO1222" i="1"/>
  <c r="J1222" i="1"/>
  <c r="AO1221" i="1"/>
  <c r="J1221" i="1"/>
  <c r="AO1220" i="1"/>
  <c r="J1220" i="1"/>
  <c r="AO1219" i="1"/>
  <c r="J1219" i="1"/>
  <c r="AO1218" i="1"/>
  <c r="J1218" i="1"/>
  <c r="AO1217" i="1"/>
  <c r="J1217" i="1"/>
  <c r="AO1216" i="1"/>
  <c r="J1216" i="1"/>
  <c r="AO1215" i="1"/>
  <c r="J1215" i="1"/>
  <c r="AO1214" i="1"/>
  <c r="J1214" i="1"/>
  <c r="AO1213" i="1"/>
  <c r="J1213" i="1"/>
  <c r="AO1212" i="1"/>
  <c r="J1212" i="1"/>
  <c r="AO1211" i="1"/>
  <c r="J1211" i="1"/>
  <c r="AO1210" i="1"/>
  <c r="J1210" i="1"/>
  <c r="AO1209" i="1"/>
  <c r="J1209" i="1"/>
  <c r="AO1208" i="1"/>
  <c r="J1208" i="1"/>
  <c r="AO1207" i="1"/>
  <c r="J1207" i="1"/>
  <c r="AO1206" i="1"/>
  <c r="J1206" i="1"/>
  <c r="AO1205" i="1"/>
  <c r="J1205" i="1"/>
  <c r="AO1204" i="1"/>
  <c r="J1204" i="1"/>
  <c r="AO1203" i="1"/>
  <c r="J1203" i="1"/>
  <c r="AO1202" i="1"/>
  <c r="J1202" i="1"/>
  <c r="AO1201" i="1"/>
  <c r="J1201" i="1"/>
  <c r="AO1200" i="1"/>
  <c r="J1200" i="1"/>
  <c r="AO1199" i="1"/>
  <c r="J1199" i="1"/>
  <c r="AO1198" i="1"/>
  <c r="J1198" i="1"/>
  <c r="AO1197" i="1"/>
  <c r="J1197" i="1"/>
  <c r="AO1196" i="1"/>
  <c r="J1196" i="1"/>
  <c r="AO1195" i="1"/>
  <c r="J1195" i="1"/>
  <c r="AO1194" i="1"/>
  <c r="J1194" i="1"/>
  <c r="AO1193" i="1"/>
  <c r="J1193" i="1"/>
  <c r="AO1192" i="1"/>
  <c r="J1192" i="1"/>
  <c r="AO1191" i="1"/>
  <c r="J1191" i="1"/>
  <c r="AO1190" i="1"/>
  <c r="J1190" i="1"/>
  <c r="AO1189" i="1"/>
  <c r="J1189" i="1"/>
  <c r="AO1188" i="1"/>
  <c r="J1188" i="1"/>
  <c r="AO1187" i="1"/>
  <c r="J1187" i="1"/>
  <c r="AO1186" i="1"/>
  <c r="J1186" i="1"/>
  <c r="AO1185" i="1"/>
  <c r="J1185" i="1"/>
  <c r="AO1184" i="1"/>
  <c r="J1184" i="1"/>
  <c r="AO1183" i="1"/>
  <c r="J1183" i="1"/>
  <c r="AO1182" i="1"/>
  <c r="J1182" i="1"/>
  <c r="AO1181" i="1"/>
  <c r="J1181" i="1"/>
  <c r="AO1180" i="1"/>
  <c r="J1180" i="1"/>
  <c r="AO1179" i="1"/>
  <c r="J1179" i="1"/>
  <c r="AO1178" i="1"/>
  <c r="J1178" i="1"/>
  <c r="AO1177" i="1"/>
  <c r="J1177" i="1"/>
  <c r="AO1176" i="1"/>
  <c r="J1176" i="1"/>
  <c r="AO1175" i="1"/>
  <c r="J1175" i="1"/>
  <c r="AO1174" i="1"/>
  <c r="J1174" i="1"/>
  <c r="AO1173" i="1"/>
  <c r="J1173" i="1"/>
  <c r="AO1172" i="1"/>
  <c r="J1172" i="1"/>
  <c r="AO1171" i="1"/>
  <c r="J1171" i="1"/>
  <c r="AO1170" i="1"/>
  <c r="J1170" i="1"/>
  <c r="AO1169" i="1"/>
  <c r="J1169" i="1"/>
  <c r="AO1168" i="1"/>
  <c r="J1168" i="1"/>
  <c r="AO1167" i="1"/>
  <c r="J1167" i="1"/>
  <c r="AO1166" i="1"/>
  <c r="J1166" i="1"/>
  <c r="AO1165" i="1"/>
  <c r="J1165" i="1"/>
  <c r="AO1164" i="1"/>
  <c r="J1164" i="1"/>
  <c r="AO1163" i="1"/>
  <c r="J1163" i="1"/>
  <c r="AO1162" i="1"/>
  <c r="J1162" i="1"/>
  <c r="AO1161" i="1"/>
  <c r="J1161" i="1"/>
  <c r="AO1160" i="1"/>
  <c r="J1160" i="1"/>
  <c r="AO1159" i="1"/>
  <c r="J1159" i="1"/>
  <c r="AO1158" i="1"/>
  <c r="J1158" i="1"/>
  <c r="AO1157" i="1"/>
  <c r="J1157" i="1"/>
  <c r="AO1156" i="1"/>
  <c r="J1156" i="1"/>
  <c r="AO1155" i="1"/>
  <c r="J1155" i="1"/>
  <c r="AO1154" i="1"/>
  <c r="J1154" i="1"/>
  <c r="AO1153" i="1"/>
  <c r="J1153" i="1"/>
  <c r="AO1152" i="1"/>
  <c r="J1152" i="1"/>
  <c r="AO1151" i="1"/>
  <c r="J1151" i="1"/>
  <c r="AO1150" i="1"/>
  <c r="J1150" i="1"/>
  <c r="AO1149" i="1"/>
  <c r="J1149" i="1"/>
  <c r="AO1148" i="1"/>
  <c r="J1148" i="1"/>
  <c r="AO1147" i="1"/>
  <c r="J1147" i="1"/>
  <c r="AO1146" i="1"/>
  <c r="J1146" i="1"/>
  <c r="AO1145" i="1"/>
  <c r="J1145" i="1"/>
  <c r="AO1144" i="1"/>
  <c r="J1144" i="1"/>
  <c r="AO1143" i="1"/>
  <c r="J1143" i="1"/>
  <c r="AO1142" i="1"/>
  <c r="J1142" i="1"/>
  <c r="AO1141" i="1"/>
  <c r="J1141" i="1"/>
  <c r="AO1140" i="1"/>
  <c r="J1140" i="1"/>
  <c r="AO1139" i="1"/>
  <c r="J1139" i="1"/>
  <c r="AO1138" i="1"/>
  <c r="J1138" i="1"/>
  <c r="AO1137" i="1"/>
  <c r="J1137" i="1"/>
  <c r="AO1136" i="1"/>
  <c r="J1136" i="1"/>
  <c r="AO1135" i="1"/>
  <c r="J1135" i="1"/>
  <c r="AO1134" i="1"/>
  <c r="J1134" i="1"/>
  <c r="AO1133" i="1"/>
  <c r="J1133" i="1"/>
  <c r="AO1132" i="1"/>
  <c r="J1132" i="1"/>
  <c r="AO1131" i="1"/>
  <c r="J1131" i="1"/>
  <c r="AO1130" i="1"/>
  <c r="J1130" i="1"/>
  <c r="AO1129" i="1"/>
  <c r="J1129" i="1"/>
  <c r="AO1128" i="1"/>
  <c r="J1128" i="1"/>
  <c r="AO1127" i="1"/>
  <c r="J1127" i="1"/>
  <c r="AO1126" i="1"/>
  <c r="J1126" i="1"/>
  <c r="AO1125" i="1"/>
  <c r="J1125" i="1"/>
  <c r="AO1124" i="1"/>
  <c r="J1124" i="1"/>
  <c r="AO1123" i="1"/>
  <c r="J1123" i="1"/>
  <c r="AO1122" i="1"/>
  <c r="J1122" i="1"/>
  <c r="AO1121" i="1"/>
  <c r="J1121" i="1"/>
  <c r="AO1120" i="1"/>
  <c r="J1120" i="1"/>
  <c r="AO1119" i="1"/>
  <c r="J1119" i="1"/>
  <c r="AO1118" i="1"/>
  <c r="J1118" i="1"/>
  <c r="AO1117" i="1"/>
  <c r="J1117" i="1"/>
  <c r="AO1116" i="1"/>
  <c r="J1116" i="1"/>
  <c r="AO1115" i="1"/>
  <c r="J1115" i="1"/>
  <c r="AO1114" i="1"/>
  <c r="J1114" i="1"/>
  <c r="AO1113" i="1"/>
  <c r="J1113" i="1"/>
  <c r="AO1112" i="1"/>
  <c r="J1112" i="1"/>
  <c r="AO1111" i="1"/>
  <c r="J1111" i="1"/>
  <c r="AO1110" i="1"/>
  <c r="J1110" i="1"/>
  <c r="AO1109" i="1"/>
  <c r="J1109" i="1"/>
  <c r="AO1108" i="1"/>
  <c r="J1108" i="1"/>
  <c r="AO1107" i="1"/>
  <c r="J1107" i="1"/>
  <c r="AO1106" i="1"/>
  <c r="J1106" i="1"/>
  <c r="AO1105" i="1"/>
  <c r="J1105" i="1"/>
  <c r="AO1104" i="1"/>
  <c r="J1104" i="1"/>
  <c r="AO1103" i="1"/>
  <c r="J1103" i="1"/>
  <c r="AO1102" i="1"/>
  <c r="J1102" i="1"/>
  <c r="AO1101" i="1"/>
  <c r="J1101" i="1"/>
  <c r="AO1100" i="1"/>
  <c r="J1100" i="1"/>
  <c r="AO1099" i="1"/>
  <c r="J1099" i="1"/>
  <c r="AO1098" i="1"/>
  <c r="J1098" i="1"/>
  <c r="AO1097" i="1"/>
  <c r="J1097" i="1"/>
  <c r="AO1096" i="1"/>
  <c r="J1096" i="1"/>
  <c r="AO1095" i="1"/>
  <c r="J1095" i="1"/>
  <c r="AO1094" i="1"/>
  <c r="J1094" i="1"/>
  <c r="AO1093" i="1"/>
  <c r="J1093" i="1"/>
  <c r="AO1092" i="1"/>
  <c r="J1092" i="1"/>
  <c r="AO1091" i="1"/>
  <c r="J1091" i="1"/>
  <c r="AO1090" i="1"/>
  <c r="J1090" i="1"/>
  <c r="AO1089" i="1"/>
  <c r="J1089" i="1"/>
  <c r="AO1088" i="1"/>
  <c r="J1088" i="1"/>
  <c r="AO1087" i="1"/>
  <c r="J1087" i="1"/>
  <c r="AO1086" i="1"/>
  <c r="J1086" i="1"/>
  <c r="AO1085" i="1"/>
  <c r="J1085" i="1"/>
  <c r="AO1084" i="1"/>
  <c r="J1084" i="1"/>
  <c r="AO1083" i="1"/>
  <c r="J1083" i="1"/>
  <c r="AO1082" i="1"/>
  <c r="J1082" i="1"/>
  <c r="AO1081" i="1"/>
  <c r="J1081" i="1"/>
  <c r="AO1080" i="1"/>
  <c r="J1080" i="1"/>
  <c r="AO1079" i="1"/>
  <c r="J1079" i="1"/>
  <c r="AO1078" i="1"/>
  <c r="J1078" i="1"/>
  <c r="AO1077" i="1"/>
  <c r="J1077" i="1"/>
  <c r="AO1076" i="1"/>
  <c r="J1076" i="1"/>
  <c r="AO1075" i="1"/>
  <c r="J1075" i="1"/>
  <c r="AO1074" i="1"/>
  <c r="J1074" i="1"/>
  <c r="AO1073" i="1"/>
  <c r="J1073" i="1"/>
  <c r="AO1072" i="1"/>
  <c r="J1072" i="1"/>
  <c r="AO1071" i="1"/>
  <c r="J1071" i="1"/>
  <c r="AO1070" i="1"/>
  <c r="J1070" i="1"/>
  <c r="AO1069" i="1"/>
  <c r="J1069" i="1"/>
  <c r="AO1068" i="1"/>
  <c r="J1068" i="1"/>
  <c r="AO1067" i="1"/>
  <c r="J1067" i="1"/>
  <c r="AO1066" i="1"/>
  <c r="J1066" i="1"/>
  <c r="AO1065" i="1"/>
  <c r="J1065" i="1"/>
  <c r="AO1064" i="1"/>
  <c r="J1064" i="1"/>
  <c r="AO1063" i="1"/>
  <c r="J1063" i="1"/>
  <c r="AO1062" i="1"/>
  <c r="J1062" i="1"/>
  <c r="AO1061" i="1"/>
  <c r="J1061" i="1"/>
  <c r="AO1060" i="1"/>
  <c r="J1060" i="1"/>
  <c r="AO1059" i="1"/>
  <c r="J1059" i="1"/>
  <c r="AO1058" i="1"/>
  <c r="J1058" i="1"/>
  <c r="AO1057" i="1"/>
  <c r="J1057" i="1"/>
  <c r="AO1056" i="1"/>
  <c r="J1056" i="1"/>
  <c r="AO1055" i="1"/>
  <c r="J1055" i="1"/>
  <c r="AO1054" i="1"/>
  <c r="J1054" i="1"/>
  <c r="AO1053" i="1"/>
  <c r="J1053" i="1"/>
  <c r="AO1052" i="1"/>
  <c r="J1052" i="1"/>
  <c r="AO1051" i="1"/>
  <c r="J1051" i="1"/>
  <c r="AO1050" i="1"/>
  <c r="J1050" i="1"/>
  <c r="AO1049" i="1"/>
  <c r="J1049" i="1"/>
  <c r="AO1048" i="1"/>
  <c r="J1048" i="1"/>
  <c r="AO1047" i="1"/>
  <c r="J1047" i="1"/>
  <c r="AO1046" i="1"/>
  <c r="J1046" i="1"/>
  <c r="AO1045" i="1"/>
  <c r="J1045" i="1"/>
  <c r="AO1044" i="1"/>
  <c r="J1044" i="1"/>
  <c r="AO1043" i="1"/>
  <c r="J1043" i="1"/>
  <c r="AO1042" i="1"/>
  <c r="J1042" i="1"/>
  <c r="AO1041" i="1"/>
  <c r="J1041" i="1"/>
  <c r="AO1040" i="1"/>
  <c r="J1040" i="1"/>
  <c r="AO1039" i="1"/>
  <c r="J1039" i="1"/>
  <c r="AO1038" i="1"/>
  <c r="J1038" i="1"/>
  <c r="AO1037" i="1"/>
  <c r="J1037" i="1"/>
  <c r="AO1036" i="1"/>
  <c r="J1036" i="1"/>
  <c r="AO1035" i="1"/>
  <c r="J1035" i="1"/>
  <c r="AO1034" i="1"/>
  <c r="J1034" i="1"/>
  <c r="AO1033" i="1"/>
  <c r="J1033" i="1"/>
  <c r="AO1032" i="1"/>
  <c r="J1032" i="1"/>
  <c r="AO1031" i="1"/>
  <c r="J1031" i="1"/>
  <c r="AO1030" i="1"/>
  <c r="J1030" i="1"/>
  <c r="AO1029" i="1"/>
  <c r="J1029" i="1"/>
  <c r="AO1028" i="1"/>
  <c r="J1028" i="1"/>
  <c r="AO1027" i="1"/>
  <c r="J1027" i="1"/>
  <c r="AO1026" i="1"/>
  <c r="J1026" i="1"/>
  <c r="AO1025" i="1"/>
  <c r="J1025" i="1"/>
  <c r="AO1024" i="1"/>
  <c r="J1024" i="1"/>
  <c r="AO1023" i="1"/>
  <c r="J1023" i="1"/>
  <c r="AO1022" i="1"/>
  <c r="J1022" i="1"/>
  <c r="AO1021" i="1"/>
  <c r="J1021" i="1"/>
  <c r="AO1020" i="1"/>
  <c r="J1020" i="1"/>
  <c r="AO1019" i="1"/>
  <c r="J1019" i="1"/>
  <c r="AO1018" i="1"/>
  <c r="J1018" i="1"/>
  <c r="AO1017" i="1"/>
  <c r="J1017" i="1"/>
  <c r="AO1016" i="1"/>
  <c r="J1016" i="1"/>
  <c r="AO1015" i="1"/>
  <c r="J1015" i="1"/>
  <c r="AO1014" i="1"/>
  <c r="J1014" i="1"/>
  <c r="AO1013" i="1"/>
  <c r="J1013" i="1"/>
  <c r="AO1012" i="1"/>
  <c r="J1012" i="1"/>
  <c r="AO1011" i="1"/>
  <c r="J1011" i="1"/>
  <c r="AO1010" i="1"/>
  <c r="J1010" i="1"/>
  <c r="AO1009" i="1"/>
  <c r="J1009" i="1"/>
  <c r="AO1008" i="1"/>
  <c r="J1008" i="1"/>
  <c r="AO1007" i="1"/>
  <c r="J1007" i="1"/>
  <c r="AO1006" i="1"/>
  <c r="J1006" i="1"/>
  <c r="AO1005" i="1"/>
  <c r="J1005" i="1"/>
  <c r="AO1004" i="1"/>
  <c r="J1004" i="1"/>
  <c r="AO1003" i="1"/>
  <c r="J1003" i="1"/>
  <c r="AO1002" i="1"/>
  <c r="J1002" i="1"/>
  <c r="AO1001" i="1"/>
  <c r="J1001" i="1"/>
  <c r="AO1000" i="1"/>
  <c r="J1000" i="1"/>
  <c r="AO999" i="1"/>
  <c r="J999" i="1"/>
  <c r="AO998" i="1"/>
  <c r="J998" i="1"/>
  <c r="AO997" i="1"/>
  <c r="J997" i="1"/>
  <c r="AO996" i="1"/>
  <c r="J996" i="1"/>
  <c r="AO995" i="1"/>
  <c r="J995" i="1"/>
  <c r="AO994" i="1"/>
  <c r="J994" i="1"/>
  <c r="AO993" i="1"/>
  <c r="J993" i="1"/>
  <c r="AO992" i="1"/>
  <c r="J992" i="1"/>
  <c r="AO991" i="1"/>
  <c r="J991" i="1"/>
  <c r="AO990" i="1"/>
  <c r="J990" i="1"/>
  <c r="AO989" i="1"/>
  <c r="J989" i="1"/>
  <c r="AO988" i="1"/>
  <c r="J988" i="1"/>
  <c r="AO987" i="1"/>
  <c r="J987" i="1"/>
  <c r="AO986" i="1"/>
  <c r="J986" i="1"/>
  <c r="AO985" i="1"/>
  <c r="J985" i="1"/>
  <c r="AO984" i="1"/>
  <c r="J984" i="1"/>
  <c r="AO983" i="1"/>
  <c r="J983" i="1"/>
  <c r="AO982" i="1"/>
  <c r="J982" i="1"/>
  <c r="AO981" i="1"/>
  <c r="J981" i="1"/>
  <c r="AO980" i="1"/>
  <c r="J980" i="1"/>
  <c r="AO979" i="1"/>
  <c r="J979" i="1"/>
  <c r="AO978" i="1"/>
  <c r="J978" i="1"/>
  <c r="AO977" i="1"/>
  <c r="J977" i="1"/>
  <c r="AO976" i="1"/>
  <c r="J976" i="1"/>
  <c r="AO975" i="1"/>
  <c r="J975" i="1"/>
  <c r="AO974" i="1"/>
  <c r="J974" i="1"/>
  <c r="AO973" i="1"/>
  <c r="J973" i="1"/>
  <c r="AO972" i="1"/>
  <c r="J972" i="1"/>
  <c r="AO971" i="1"/>
  <c r="J971" i="1"/>
  <c r="AO970" i="1"/>
  <c r="J970" i="1"/>
  <c r="AO969" i="1"/>
  <c r="J969" i="1"/>
  <c r="AO968" i="1"/>
  <c r="J968" i="1"/>
  <c r="AO967" i="1"/>
  <c r="J967" i="1"/>
  <c r="AO966" i="1"/>
  <c r="J966" i="1"/>
  <c r="AO965" i="1"/>
  <c r="J965" i="1"/>
  <c r="AO964" i="1"/>
  <c r="J964" i="1"/>
  <c r="AO963" i="1"/>
  <c r="J963" i="1"/>
  <c r="AO962" i="1"/>
  <c r="J962" i="1"/>
  <c r="AO961" i="1"/>
  <c r="J961" i="1"/>
  <c r="AO960" i="1"/>
  <c r="J960" i="1"/>
  <c r="AO959" i="1"/>
  <c r="J959" i="1"/>
  <c r="AO958" i="1"/>
  <c r="J958" i="1"/>
  <c r="AO957" i="1"/>
  <c r="J957" i="1"/>
  <c r="AO956" i="1"/>
  <c r="J956" i="1"/>
  <c r="AO955" i="1"/>
  <c r="J955" i="1"/>
  <c r="AO954" i="1"/>
  <c r="J954" i="1"/>
  <c r="AO953" i="1"/>
  <c r="J953" i="1"/>
  <c r="AO952" i="1"/>
  <c r="J952" i="1"/>
  <c r="AO951" i="1"/>
  <c r="J951" i="1"/>
  <c r="AO950" i="1"/>
  <c r="J950" i="1"/>
  <c r="AO949" i="1"/>
  <c r="J949" i="1"/>
  <c r="AO948" i="1"/>
  <c r="J948" i="1"/>
  <c r="AO947" i="1"/>
  <c r="J947" i="1"/>
  <c r="AO946" i="1"/>
  <c r="J946" i="1"/>
  <c r="AO945" i="1"/>
  <c r="J945" i="1"/>
  <c r="AO944" i="1"/>
  <c r="J944" i="1"/>
  <c r="AO943" i="1"/>
  <c r="J943" i="1"/>
  <c r="AO942" i="1"/>
  <c r="J942" i="1"/>
  <c r="AO941" i="1"/>
  <c r="J941" i="1"/>
  <c r="AO940" i="1"/>
  <c r="J940" i="1"/>
  <c r="AO939" i="1"/>
  <c r="J939" i="1"/>
  <c r="AO938" i="1"/>
  <c r="J938" i="1"/>
  <c r="AO937" i="1"/>
  <c r="J937" i="1"/>
  <c r="AO936" i="1"/>
  <c r="J936" i="1"/>
  <c r="AO935" i="1"/>
  <c r="J935" i="1"/>
  <c r="AO934" i="1"/>
  <c r="J934" i="1"/>
  <c r="AO933" i="1"/>
  <c r="J933" i="1"/>
  <c r="AO932" i="1"/>
  <c r="J932" i="1"/>
  <c r="AO931" i="1"/>
  <c r="J931" i="1"/>
  <c r="AO930" i="1"/>
  <c r="J930" i="1"/>
  <c r="AO929" i="1"/>
  <c r="J929" i="1"/>
  <c r="AO928" i="1"/>
  <c r="J928" i="1"/>
  <c r="AO927" i="1"/>
  <c r="J927" i="1"/>
  <c r="AO926" i="1"/>
  <c r="J926" i="1"/>
  <c r="AO925" i="1"/>
  <c r="J925" i="1"/>
  <c r="AO924" i="1"/>
  <c r="J924" i="1"/>
  <c r="AO923" i="1"/>
  <c r="J923" i="1"/>
  <c r="AO922" i="1"/>
  <c r="J922" i="1"/>
  <c r="AO921" i="1"/>
  <c r="J921" i="1"/>
  <c r="AO920" i="1"/>
  <c r="J920" i="1"/>
  <c r="AO919" i="1"/>
  <c r="J919" i="1"/>
  <c r="AO918" i="1"/>
  <c r="J918" i="1"/>
  <c r="AO917" i="1"/>
  <c r="J917" i="1"/>
  <c r="AO916" i="1"/>
  <c r="J916" i="1"/>
  <c r="AO915" i="1"/>
  <c r="J915" i="1"/>
  <c r="AO914" i="1"/>
  <c r="J914" i="1"/>
  <c r="AO913" i="1"/>
  <c r="J913" i="1"/>
  <c r="AO912" i="1"/>
  <c r="J912" i="1"/>
  <c r="AO911" i="1"/>
  <c r="J911" i="1"/>
  <c r="AO910" i="1"/>
  <c r="J910" i="1"/>
  <c r="AO909" i="1"/>
  <c r="J909" i="1"/>
  <c r="AO908" i="1"/>
  <c r="J908" i="1"/>
  <c r="AO907" i="1"/>
  <c r="J907" i="1"/>
  <c r="AO906" i="1"/>
  <c r="J906" i="1"/>
  <c r="AO905" i="1"/>
  <c r="J905" i="1"/>
  <c r="AO904" i="1"/>
  <c r="J904" i="1"/>
  <c r="AO903" i="1"/>
  <c r="J903" i="1"/>
  <c r="AO902" i="1"/>
  <c r="J902" i="1"/>
  <c r="AO901" i="1"/>
  <c r="J901" i="1"/>
  <c r="AO900" i="1"/>
  <c r="J900" i="1"/>
  <c r="AO899" i="1"/>
  <c r="J899" i="1"/>
  <c r="AO898" i="1"/>
  <c r="J898" i="1"/>
  <c r="AO897" i="1"/>
  <c r="J897" i="1"/>
  <c r="AO896" i="1"/>
  <c r="J896" i="1"/>
  <c r="AO895" i="1"/>
  <c r="J895" i="1"/>
  <c r="AO894" i="1"/>
  <c r="J894" i="1"/>
  <c r="AO893" i="1"/>
  <c r="J893" i="1"/>
  <c r="AO892" i="1"/>
  <c r="J892" i="1"/>
  <c r="AO891" i="1"/>
  <c r="J891" i="1"/>
  <c r="AO890" i="1"/>
  <c r="J890" i="1"/>
  <c r="AO889" i="1"/>
  <c r="J889" i="1"/>
  <c r="AO888" i="1"/>
  <c r="J888" i="1"/>
  <c r="AO887" i="1"/>
  <c r="J887" i="1"/>
  <c r="AO886" i="1"/>
  <c r="J886" i="1"/>
  <c r="AO885" i="1"/>
  <c r="J885" i="1"/>
  <c r="AO884" i="1"/>
  <c r="J884" i="1"/>
  <c r="AO883" i="1"/>
  <c r="J883" i="1"/>
  <c r="AO882" i="1"/>
  <c r="J882" i="1"/>
  <c r="AO881" i="1"/>
  <c r="J881" i="1"/>
  <c r="AO880" i="1"/>
  <c r="J880" i="1"/>
  <c r="AO879" i="1"/>
  <c r="J879" i="1"/>
  <c r="AO878" i="1"/>
  <c r="J878" i="1"/>
  <c r="AO877" i="1"/>
  <c r="J877" i="1"/>
  <c r="AO876" i="1"/>
  <c r="J876" i="1"/>
  <c r="AO875" i="1"/>
  <c r="J875" i="1"/>
  <c r="AO874" i="1"/>
  <c r="J874" i="1"/>
  <c r="AO873" i="1"/>
  <c r="J873" i="1"/>
  <c r="AO872" i="1"/>
  <c r="J872" i="1"/>
  <c r="AO871" i="1"/>
  <c r="J871" i="1"/>
  <c r="AO870" i="1"/>
  <c r="J870" i="1"/>
  <c r="AO869" i="1"/>
  <c r="J869" i="1"/>
  <c r="AO868" i="1"/>
  <c r="J868" i="1"/>
  <c r="AO867" i="1"/>
  <c r="J867" i="1"/>
  <c r="AO866" i="1"/>
  <c r="J866" i="1"/>
  <c r="AO865" i="1"/>
  <c r="J865" i="1"/>
  <c r="AO864" i="1"/>
  <c r="J864" i="1"/>
  <c r="AO863" i="1"/>
  <c r="J863" i="1"/>
  <c r="AO862" i="1"/>
  <c r="J862" i="1"/>
  <c r="AO861" i="1"/>
  <c r="J861" i="1"/>
  <c r="AO860" i="1"/>
  <c r="J860" i="1"/>
  <c r="AO859" i="1"/>
  <c r="J859" i="1"/>
  <c r="AO858" i="1"/>
  <c r="J858" i="1"/>
  <c r="AO857" i="1"/>
  <c r="J857" i="1"/>
  <c r="AO856" i="1"/>
  <c r="J856" i="1"/>
  <c r="AO855" i="1"/>
  <c r="J855" i="1"/>
  <c r="AO854" i="1"/>
  <c r="J854" i="1"/>
  <c r="AO853" i="1"/>
  <c r="J853" i="1"/>
  <c r="AO852" i="1"/>
  <c r="J852" i="1"/>
  <c r="AO851" i="1"/>
  <c r="J851" i="1"/>
  <c r="AO850" i="1"/>
  <c r="J850" i="1"/>
  <c r="AO849" i="1"/>
  <c r="J849" i="1"/>
  <c r="AO848" i="1"/>
  <c r="J848" i="1"/>
  <c r="AO847" i="1"/>
  <c r="J847" i="1"/>
  <c r="AO846" i="1"/>
  <c r="J846" i="1"/>
  <c r="AO845" i="1"/>
  <c r="J845" i="1"/>
  <c r="AO844" i="1"/>
  <c r="J844" i="1"/>
  <c r="AO843" i="1"/>
  <c r="J843" i="1"/>
  <c r="AO842" i="1"/>
  <c r="J842" i="1"/>
  <c r="AO841" i="1"/>
  <c r="J841" i="1"/>
  <c r="AO840" i="1"/>
  <c r="J840" i="1"/>
  <c r="AO839" i="1"/>
  <c r="J839" i="1"/>
  <c r="AO838" i="1"/>
  <c r="J838" i="1"/>
  <c r="AO837" i="1"/>
  <c r="J837" i="1"/>
  <c r="AO836" i="1"/>
  <c r="J836" i="1"/>
  <c r="AO835" i="1"/>
  <c r="J835" i="1"/>
  <c r="AO834" i="1"/>
  <c r="J834" i="1"/>
  <c r="AO833" i="1"/>
  <c r="J833" i="1"/>
  <c r="AO832" i="1"/>
  <c r="J832" i="1"/>
  <c r="AO831" i="1"/>
  <c r="J831" i="1"/>
  <c r="AO830" i="1"/>
  <c r="J830" i="1"/>
  <c r="AO829" i="1"/>
  <c r="J829" i="1"/>
  <c r="AO828" i="1"/>
  <c r="J828" i="1"/>
  <c r="AO827" i="1"/>
  <c r="J827" i="1"/>
  <c r="AO826" i="1"/>
  <c r="J826" i="1"/>
  <c r="AO825" i="1"/>
  <c r="J825" i="1"/>
  <c r="AO824" i="1"/>
  <c r="J824" i="1"/>
  <c r="AO823" i="1"/>
  <c r="J823" i="1"/>
  <c r="AO822" i="1"/>
  <c r="J822" i="1"/>
  <c r="AO821" i="1"/>
  <c r="J821" i="1"/>
  <c r="AO820" i="1"/>
  <c r="J820" i="1"/>
  <c r="AO819" i="1"/>
  <c r="J819" i="1"/>
  <c r="AO818" i="1"/>
  <c r="J818" i="1"/>
  <c r="AO817" i="1"/>
  <c r="J817" i="1"/>
  <c r="AO816" i="1"/>
  <c r="J816" i="1"/>
  <c r="AO815" i="1"/>
  <c r="J815" i="1"/>
  <c r="AO814" i="1"/>
  <c r="J814" i="1"/>
  <c r="AO813" i="1"/>
  <c r="J813" i="1"/>
  <c r="AO812" i="1"/>
  <c r="J812" i="1"/>
  <c r="AO811" i="1"/>
  <c r="J811" i="1"/>
  <c r="AO810" i="1"/>
  <c r="J810" i="1"/>
  <c r="AO809" i="1"/>
  <c r="J809" i="1"/>
  <c r="AO808" i="1"/>
  <c r="J808" i="1"/>
  <c r="AO807" i="1"/>
  <c r="J807" i="1"/>
  <c r="AO806" i="1"/>
  <c r="J806" i="1"/>
  <c r="AO805" i="1"/>
  <c r="J805" i="1"/>
  <c r="AO804" i="1"/>
  <c r="J804" i="1"/>
  <c r="AO803" i="1"/>
  <c r="J803" i="1"/>
  <c r="AO802" i="1"/>
  <c r="J802" i="1"/>
  <c r="AO801" i="1"/>
  <c r="J801" i="1"/>
  <c r="AO800" i="1"/>
  <c r="J800" i="1"/>
  <c r="AO799" i="1"/>
  <c r="J799" i="1"/>
  <c r="AO798" i="1"/>
  <c r="J798" i="1"/>
  <c r="AO797" i="1"/>
  <c r="J797" i="1"/>
  <c r="AO796" i="1"/>
  <c r="J796" i="1"/>
  <c r="AO795" i="1"/>
  <c r="J795" i="1"/>
  <c r="AO794" i="1"/>
  <c r="J794" i="1"/>
  <c r="AO793" i="1"/>
  <c r="J793" i="1"/>
  <c r="AO792" i="1"/>
  <c r="J792" i="1"/>
  <c r="AO791" i="1"/>
  <c r="J791" i="1"/>
  <c r="AO790" i="1"/>
  <c r="J790" i="1"/>
  <c r="AO789" i="1"/>
  <c r="J789" i="1"/>
  <c r="AO788" i="1"/>
  <c r="J788" i="1"/>
  <c r="AO787" i="1"/>
  <c r="J787" i="1"/>
  <c r="AO786" i="1"/>
  <c r="J786" i="1"/>
  <c r="AO785" i="1"/>
  <c r="J785" i="1"/>
  <c r="AO784" i="1"/>
  <c r="J784" i="1"/>
  <c r="AO783" i="1"/>
  <c r="J783" i="1"/>
  <c r="AO782" i="1"/>
  <c r="J782" i="1"/>
  <c r="AO781" i="1"/>
  <c r="J781" i="1"/>
  <c r="AO780" i="1"/>
  <c r="J780" i="1"/>
  <c r="AO779" i="1"/>
  <c r="J779" i="1"/>
  <c r="AO778" i="1"/>
  <c r="J778" i="1"/>
  <c r="AO777" i="1"/>
  <c r="J777" i="1"/>
  <c r="AO776" i="1"/>
  <c r="J776" i="1"/>
  <c r="AO775" i="1"/>
  <c r="J775" i="1"/>
  <c r="AO774" i="1"/>
  <c r="J774" i="1"/>
  <c r="AO773" i="1"/>
  <c r="J773" i="1"/>
  <c r="AO772" i="1"/>
  <c r="J772" i="1"/>
  <c r="AO771" i="1"/>
  <c r="J771" i="1"/>
  <c r="AO770" i="1"/>
  <c r="J770" i="1"/>
  <c r="AO769" i="1"/>
  <c r="J769" i="1"/>
  <c r="AO768" i="1"/>
  <c r="J768" i="1"/>
  <c r="AO767" i="1"/>
  <c r="J767" i="1"/>
  <c r="AO766" i="1"/>
  <c r="J766" i="1"/>
  <c r="AO765" i="1"/>
  <c r="J765" i="1"/>
  <c r="AO764" i="1"/>
  <c r="J764" i="1"/>
  <c r="AO763" i="1"/>
  <c r="J763" i="1"/>
  <c r="AO762" i="1"/>
  <c r="J762" i="1"/>
  <c r="AO761" i="1"/>
  <c r="J761" i="1"/>
  <c r="AO760" i="1"/>
  <c r="J760" i="1"/>
  <c r="AO759" i="1"/>
  <c r="J759" i="1"/>
  <c r="AO758" i="1"/>
  <c r="J758" i="1"/>
  <c r="AO757" i="1"/>
  <c r="J757" i="1"/>
  <c r="AO756" i="1"/>
  <c r="J756" i="1"/>
  <c r="AO755" i="1"/>
  <c r="J755" i="1"/>
  <c r="AO754" i="1"/>
  <c r="J754" i="1"/>
  <c r="AO753" i="1"/>
  <c r="J753" i="1"/>
  <c r="AO752" i="1"/>
  <c r="J752" i="1"/>
  <c r="AO751" i="1"/>
  <c r="J751" i="1"/>
  <c r="AO750" i="1"/>
  <c r="J750" i="1"/>
  <c r="AO749" i="1"/>
  <c r="J749" i="1"/>
  <c r="AO748" i="1"/>
  <c r="J748" i="1"/>
  <c r="AO747" i="1"/>
  <c r="J747" i="1"/>
  <c r="AO746" i="1"/>
  <c r="J746" i="1"/>
  <c r="AO745" i="1"/>
  <c r="J745" i="1"/>
  <c r="AO744" i="1"/>
  <c r="J744" i="1"/>
  <c r="AO743" i="1"/>
  <c r="J743" i="1"/>
  <c r="AO742" i="1"/>
  <c r="J742" i="1"/>
  <c r="AO741" i="1"/>
  <c r="J741" i="1"/>
  <c r="AO740" i="1"/>
  <c r="J740" i="1"/>
  <c r="AO739" i="1"/>
  <c r="J739" i="1"/>
  <c r="AO738" i="1"/>
  <c r="J738" i="1"/>
  <c r="AO737" i="1"/>
  <c r="J737" i="1"/>
  <c r="AO736" i="1"/>
  <c r="J736" i="1"/>
  <c r="AO735" i="1"/>
  <c r="J735" i="1"/>
  <c r="AO734" i="1"/>
  <c r="J734" i="1"/>
  <c r="AO733" i="1"/>
  <c r="J733" i="1"/>
  <c r="AO732" i="1"/>
  <c r="J732" i="1"/>
  <c r="AO731" i="1"/>
  <c r="J731" i="1"/>
  <c r="AO730" i="1"/>
  <c r="J730" i="1"/>
  <c r="AO729" i="1"/>
  <c r="J729" i="1"/>
  <c r="AO728" i="1"/>
  <c r="J728" i="1"/>
  <c r="AO727" i="1"/>
  <c r="J727" i="1"/>
  <c r="AO726" i="1"/>
  <c r="J726" i="1"/>
  <c r="AO725" i="1"/>
  <c r="J725" i="1"/>
  <c r="AO724" i="1"/>
  <c r="J724" i="1"/>
  <c r="AO723" i="1"/>
  <c r="J723" i="1"/>
  <c r="AO722" i="1"/>
  <c r="J722" i="1"/>
  <c r="AO721" i="1"/>
  <c r="J721" i="1"/>
  <c r="AO720" i="1"/>
  <c r="J720" i="1"/>
  <c r="AO719" i="1"/>
  <c r="J719" i="1"/>
  <c r="AO718" i="1"/>
  <c r="J718" i="1"/>
  <c r="AO717" i="1"/>
  <c r="J717" i="1"/>
  <c r="AO716" i="1"/>
  <c r="J716" i="1"/>
  <c r="AO715" i="1"/>
  <c r="J715" i="1"/>
  <c r="AO714" i="1"/>
  <c r="J714" i="1"/>
  <c r="AO713" i="1"/>
  <c r="J713" i="1"/>
  <c r="AO712" i="1"/>
  <c r="J712" i="1"/>
  <c r="AO711" i="1"/>
  <c r="J711" i="1"/>
  <c r="AO710" i="1"/>
  <c r="J710" i="1"/>
  <c r="AO709" i="1"/>
  <c r="J709" i="1"/>
  <c r="AO708" i="1"/>
  <c r="J708" i="1"/>
  <c r="AO707" i="1"/>
  <c r="J707" i="1"/>
  <c r="AO706" i="1"/>
  <c r="J706" i="1"/>
  <c r="AO705" i="1"/>
  <c r="J705" i="1"/>
  <c r="AO704" i="1"/>
  <c r="J704" i="1"/>
  <c r="AO703" i="1"/>
  <c r="J703" i="1"/>
  <c r="AO702" i="1"/>
  <c r="J702" i="1"/>
  <c r="AO701" i="1"/>
  <c r="J701" i="1"/>
  <c r="AO700" i="1"/>
  <c r="J700" i="1"/>
  <c r="AO699" i="1"/>
  <c r="J699" i="1"/>
  <c r="AO698" i="1"/>
  <c r="J698" i="1"/>
  <c r="AO697" i="1"/>
  <c r="J697" i="1"/>
  <c r="AO696" i="1"/>
  <c r="J696" i="1"/>
  <c r="AO695" i="1"/>
  <c r="J695" i="1"/>
  <c r="AO694" i="1"/>
  <c r="J694" i="1"/>
  <c r="AO693" i="1"/>
  <c r="J693" i="1"/>
  <c r="AO692" i="1"/>
  <c r="J692" i="1"/>
  <c r="AO691" i="1"/>
  <c r="J691" i="1"/>
  <c r="AO690" i="1"/>
  <c r="J690" i="1"/>
  <c r="AO689" i="1"/>
  <c r="J689" i="1"/>
  <c r="AO688" i="1"/>
  <c r="J688" i="1"/>
  <c r="AO687" i="1"/>
  <c r="J687" i="1"/>
  <c r="AO686" i="1"/>
  <c r="J686" i="1"/>
  <c r="AO685" i="1"/>
  <c r="J685" i="1"/>
  <c r="AO684" i="1"/>
  <c r="J684" i="1"/>
  <c r="AO683" i="1"/>
  <c r="J683" i="1"/>
  <c r="AO682" i="1"/>
  <c r="J682" i="1"/>
  <c r="AO681" i="1"/>
  <c r="J681" i="1"/>
  <c r="AO680" i="1"/>
  <c r="J680" i="1"/>
  <c r="AO679" i="1"/>
  <c r="J679" i="1"/>
  <c r="AO678" i="1"/>
  <c r="J678" i="1"/>
  <c r="AO677" i="1"/>
  <c r="J677" i="1"/>
  <c r="AO676" i="1"/>
  <c r="J676" i="1"/>
  <c r="AO675" i="1"/>
  <c r="J675" i="1"/>
  <c r="AO674" i="1"/>
  <c r="J674" i="1"/>
  <c r="AO673" i="1"/>
  <c r="J673" i="1"/>
  <c r="AO672" i="1"/>
  <c r="J672" i="1"/>
  <c r="AO671" i="1"/>
  <c r="J671" i="1"/>
  <c r="AO670" i="1"/>
  <c r="J670" i="1"/>
  <c r="AO669" i="1"/>
  <c r="J669" i="1"/>
  <c r="AO668" i="1"/>
  <c r="J668" i="1"/>
  <c r="AO667" i="1"/>
  <c r="J667" i="1"/>
  <c r="AO666" i="1"/>
  <c r="J666" i="1"/>
  <c r="AO665" i="1"/>
  <c r="J665" i="1"/>
  <c r="AO664" i="1"/>
  <c r="J664" i="1"/>
  <c r="AO663" i="1"/>
  <c r="J663" i="1"/>
  <c r="AO662" i="1"/>
  <c r="J662" i="1"/>
  <c r="AO661" i="1"/>
  <c r="J661" i="1"/>
  <c r="AO660" i="1"/>
  <c r="J660" i="1"/>
  <c r="AO659" i="1"/>
  <c r="J659" i="1"/>
  <c r="AO658" i="1"/>
  <c r="J658" i="1"/>
  <c r="AO657" i="1"/>
  <c r="J657" i="1"/>
  <c r="AO656" i="1"/>
  <c r="J656" i="1"/>
  <c r="AO655" i="1"/>
  <c r="J655" i="1"/>
  <c r="AO654" i="1"/>
  <c r="J654" i="1"/>
  <c r="AO653" i="1"/>
  <c r="J653" i="1"/>
  <c r="AO652" i="1"/>
  <c r="J652" i="1"/>
  <c r="AO651" i="1"/>
  <c r="J651" i="1"/>
  <c r="AO650" i="1"/>
  <c r="J650" i="1"/>
  <c r="AO649" i="1"/>
  <c r="J649" i="1"/>
  <c r="AO648" i="1"/>
  <c r="J648" i="1"/>
  <c r="AO647" i="1"/>
  <c r="J647" i="1"/>
  <c r="AO646" i="1"/>
  <c r="J646" i="1"/>
  <c r="AO645" i="1"/>
  <c r="J645" i="1"/>
  <c r="AO644" i="1"/>
  <c r="J644" i="1"/>
  <c r="AO643" i="1"/>
  <c r="J643" i="1"/>
  <c r="AO642" i="1"/>
  <c r="J642" i="1"/>
  <c r="AO641" i="1"/>
  <c r="J641" i="1"/>
  <c r="AO640" i="1"/>
  <c r="J640" i="1"/>
  <c r="AO639" i="1"/>
  <c r="J639" i="1"/>
  <c r="AO638" i="1"/>
  <c r="J638" i="1"/>
  <c r="AO637" i="1"/>
  <c r="J637" i="1"/>
  <c r="AO636" i="1"/>
  <c r="J636" i="1"/>
  <c r="AO635" i="1"/>
  <c r="J635" i="1"/>
  <c r="AO634" i="1"/>
  <c r="J634" i="1"/>
  <c r="AO633" i="1"/>
  <c r="J633" i="1"/>
  <c r="AO632" i="1"/>
  <c r="J632" i="1"/>
  <c r="AO631" i="1"/>
  <c r="J631" i="1"/>
  <c r="AO630" i="1"/>
  <c r="J630" i="1"/>
  <c r="AO629" i="1"/>
  <c r="J629" i="1"/>
  <c r="AO628" i="1"/>
  <c r="J628" i="1"/>
  <c r="AO627" i="1"/>
  <c r="J627" i="1"/>
  <c r="AO626" i="1"/>
  <c r="J626" i="1"/>
  <c r="AO625" i="1"/>
  <c r="J625" i="1"/>
  <c r="AO624" i="1"/>
  <c r="J624" i="1"/>
  <c r="AO623" i="1"/>
  <c r="J623" i="1"/>
  <c r="AO622" i="1"/>
  <c r="J622" i="1"/>
  <c r="AO621" i="1"/>
  <c r="J621" i="1"/>
  <c r="AO620" i="1"/>
  <c r="J620" i="1"/>
  <c r="AO619" i="1"/>
  <c r="J619" i="1"/>
  <c r="AO618" i="1"/>
  <c r="J618" i="1"/>
  <c r="AO617" i="1"/>
  <c r="J617" i="1"/>
  <c r="AO616" i="1"/>
  <c r="J616" i="1"/>
  <c r="AO615" i="1"/>
  <c r="J615" i="1"/>
  <c r="AO614" i="1"/>
  <c r="J614" i="1"/>
  <c r="AO613" i="1"/>
  <c r="J613" i="1"/>
  <c r="AO612" i="1"/>
  <c r="J612" i="1"/>
  <c r="AO611" i="1"/>
  <c r="J611" i="1"/>
  <c r="AO610" i="1"/>
  <c r="J610" i="1"/>
  <c r="AO609" i="1"/>
  <c r="J609" i="1"/>
  <c r="AO608" i="1"/>
  <c r="J608" i="1"/>
  <c r="AO607" i="1"/>
  <c r="J607" i="1"/>
  <c r="AO606" i="1"/>
  <c r="J606" i="1"/>
  <c r="AO605" i="1"/>
  <c r="J605" i="1"/>
  <c r="AO604" i="1"/>
  <c r="J604" i="1"/>
  <c r="AO603" i="1"/>
  <c r="J603" i="1"/>
  <c r="AO602" i="1"/>
  <c r="J602" i="1"/>
  <c r="AO601" i="1"/>
  <c r="J601" i="1"/>
  <c r="AO600" i="1"/>
  <c r="J600" i="1"/>
  <c r="AO599" i="1"/>
  <c r="J599" i="1"/>
  <c r="AO598" i="1"/>
  <c r="J598" i="1"/>
  <c r="AO597" i="1"/>
  <c r="J597" i="1"/>
  <c r="AO596" i="1"/>
  <c r="J596" i="1"/>
  <c r="AO595" i="1"/>
  <c r="J595" i="1"/>
  <c r="AO594" i="1"/>
  <c r="J594" i="1"/>
  <c r="AO593" i="1"/>
  <c r="J593" i="1"/>
  <c r="AO592" i="1"/>
  <c r="J592" i="1"/>
  <c r="AO591" i="1"/>
  <c r="J591" i="1"/>
  <c r="AO590" i="1"/>
  <c r="J590" i="1"/>
  <c r="AO589" i="1"/>
  <c r="J589" i="1"/>
  <c r="AO588" i="1"/>
  <c r="J588" i="1"/>
  <c r="AO587" i="1"/>
  <c r="J587" i="1"/>
  <c r="AO586" i="1"/>
  <c r="J586" i="1"/>
  <c r="AO585" i="1"/>
  <c r="J585" i="1"/>
  <c r="AO584" i="1"/>
  <c r="J584" i="1"/>
  <c r="AO583" i="1"/>
  <c r="J583" i="1"/>
  <c r="AO582" i="1"/>
  <c r="J582" i="1"/>
  <c r="AO581" i="1"/>
  <c r="J581" i="1"/>
  <c r="AO580" i="1"/>
  <c r="J580" i="1"/>
  <c r="AO579" i="1"/>
  <c r="J579" i="1"/>
  <c r="AO578" i="1"/>
  <c r="J578" i="1"/>
  <c r="AO577" i="1"/>
  <c r="J577" i="1"/>
  <c r="AO576" i="1"/>
  <c r="J576" i="1"/>
  <c r="AO575" i="1"/>
  <c r="J575" i="1"/>
  <c r="AO574" i="1"/>
  <c r="J574" i="1"/>
  <c r="AO573" i="1"/>
  <c r="J573" i="1"/>
  <c r="AO572" i="1"/>
  <c r="J572" i="1"/>
  <c r="AO571" i="1"/>
  <c r="J571" i="1"/>
  <c r="AO570" i="1"/>
  <c r="J570" i="1"/>
  <c r="AO569" i="1"/>
  <c r="J569" i="1"/>
  <c r="AO568" i="1"/>
  <c r="J568" i="1"/>
  <c r="AO567" i="1"/>
  <c r="J567" i="1"/>
  <c r="AO566" i="1"/>
  <c r="J566" i="1"/>
  <c r="AO565" i="1"/>
  <c r="J565" i="1"/>
  <c r="AO564" i="1"/>
  <c r="J564" i="1"/>
  <c r="AO563" i="1"/>
  <c r="J563" i="1"/>
  <c r="AO562" i="1"/>
  <c r="J562" i="1"/>
  <c r="AO561" i="1"/>
  <c r="J561" i="1"/>
  <c r="AO560" i="1"/>
  <c r="J560" i="1"/>
  <c r="AO559" i="1"/>
  <c r="J559" i="1"/>
  <c r="AO558" i="1"/>
  <c r="J558" i="1"/>
  <c r="AO557" i="1"/>
  <c r="J557" i="1"/>
  <c r="AO556" i="1"/>
  <c r="J556" i="1"/>
  <c r="AO555" i="1"/>
  <c r="J555" i="1"/>
  <c r="AO554" i="1"/>
  <c r="J554" i="1"/>
  <c r="AO553" i="1"/>
  <c r="J553" i="1"/>
  <c r="AO552" i="1"/>
  <c r="J552" i="1"/>
  <c r="AO551" i="1"/>
  <c r="J551" i="1"/>
  <c r="AO550" i="1"/>
  <c r="J550" i="1"/>
  <c r="AO549" i="1"/>
  <c r="J549" i="1"/>
  <c r="AO548" i="1"/>
  <c r="J548" i="1"/>
  <c r="AO547" i="1"/>
  <c r="J547" i="1"/>
  <c r="AO546" i="1"/>
  <c r="J546" i="1"/>
  <c r="AO545" i="1"/>
  <c r="J545" i="1"/>
  <c r="AO544" i="1"/>
  <c r="J544" i="1"/>
  <c r="AO543" i="1"/>
  <c r="J543" i="1"/>
  <c r="AO542" i="1"/>
  <c r="J542" i="1"/>
  <c r="AO541" i="1"/>
  <c r="J541" i="1"/>
  <c r="AO540" i="1"/>
  <c r="J540" i="1"/>
  <c r="AO539" i="1"/>
  <c r="J539" i="1"/>
  <c r="AO538" i="1"/>
  <c r="J538" i="1"/>
  <c r="AO537" i="1"/>
  <c r="J537" i="1"/>
  <c r="AO536" i="1"/>
  <c r="J536" i="1"/>
  <c r="AO535" i="1"/>
  <c r="J535" i="1"/>
  <c r="AO534" i="1"/>
  <c r="J534" i="1"/>
  <c r="AO533" i="1"/>
  <c r="J533" i="1"/>
  <c r="AO532" i="1"/>
  <c r="J532" i="1"/>
  <c r="AO531" i="1"/>
  <c r="J531" i="1"/>
  <c r="AO530" i="1"/>
  <c r="J530" i="1"/>
  <c r="AO529" i="1"/>
  <c r="J529" i="1"/>
  <c r="AO528" i="1"/>
  <c r="J528" i="1"/>
  <c r="AO527" i="1"/>
  <c r="J527" i="1"/>
  <c r="AO526" i="1"/>
  <c r="J526" i="1"/>
  <c r="AO525" i="1"/>
  <c r="J525" i="1"/>
  <c r="AO524" i="1"/>
  <c r="J524" i="1"/>
  <c r="AO523" i="1"/>
  <c r="J523" i="1"/>
  <c r="AO522" i="1"/>
  <c r="J522" i="1"/>
  <c r="AO521" i="1"/>
  <c r="J521" i="1"/>
  <c r="AO520" i="1"/>
  <c r="J520" i="1"/>
  <c r="AO519" i="1"/>
  <c r="J519" i="1"/>
  <c r="AO518" i="1"/>
  <c r="J518" i="1"/>
  <c r="AO517" i="1"/>
  <c r="J517" i="1"/>
  <c r="AO516" i="1"/>
  <c r="J516" i="1"/>
  <c r="AO515" i="1"/>
  <c r="J515" i="1"/>
  <c r="AO514" i="1"/>
  <c r="J514" i="1"/>
  <c r="AO513" i="1"/>
  <c r="J513" i="1"/>
  <c r="AO512" i="1"/>
  <c r="J512" i="1"/>
  <c r="AO511" i="1"/>
  <c r="J511" i="1"/>
  <c r="AO510" i="1"/>
  <c r="J510" i="1"/>
  <c r="AO509" i="1"/>
  <c r="J509" i="1"/>
  <c r="AO508" i="1"/>
  <c r="J508" i="1"/>
  <c r="AO507" i="1"/>
  <c r="J507" i="1"/>
  <c r="AO506" i="1"/>
  <c r="J506" i="1"/>
  <c r="AO505" i="1"/>
  <c r="J505" i="1"/>
  <c r="AO504" i="1"/>
  <c r="J504" i="1"/>
  <c r="AO503" i="1"/>
  <c r="J503" i="1"/>
  <c r="AO502" i="1"/>
  <c r="J502" i="1"/>
  <c r="AO501" i="1"/>
  <c r="J501" i="1"/>
  <c r="AO500" i="1"/>
  <c r="J500" i="1"/>
  <c r="AO499" i="1"/>
  <c r="J499" i="1"/>
  <c r="AO498" i="1"/>
  <c r="J498" i="1"/>
  <c r="AO497" i="1"/>
  <c r="J497" i="1"/>
  <c r="AO496" i="1"/>
  <c r="J496" i="1"/>
  <c r="AO495" i="1"/>
  <c r="J495" i="1"/>
  <c r="AO494" i="1"/>
  <c r="J494" i="1"/>
  <c r="AO493" i="1"/>
  <c r="J493" i="1"/>
  <c r="AO492" i="1"/>
  <c r="J492" i="1"/>
  <c r="AO491" i="1"/>
  <c r="J491" i="1"/>
  <c r="AO490" i="1"/>
  <c r="J490" i="1"/>
  <c r="AO489" i="1"/>
  <c r="J489" i="1"/>
  <c r="AO488" i="1"/>
  <c r="J488" i="1"/>
  <c r="AO487" i="1"/>
  <c r="J487" i="1"/>
  <c r="AO486" i="1"/>
  <c r="J486" i="1"/>
  <c r="AO485" i="1"/>
  <c r="J485" i="1"/>
  <c r="AO484" i="1"/>
  <c r="J484" i="1"/>
  <c r="AO483" i="1"/>
  <c r="J483" i="1"/>
  <c r="AO482" i="1"/>
  <c r="J482" i="1"/>
  <c r="AO481" i="1"/>
  <c r="J481" i="1"/>
  <c r="AO480" i="1"/>
  <c r="J480" i="1"/>
  <c r="AO479" i="1"/>
  <c r="J479" i="1"/>
  <c r="AO478" i="1"/>
  <c r="J478" i="1"/>
  <c r="AO477" i="1"/>
  <c r="J477" i="1"/>
  <c r="AO476" i="1"/>
  <c r="J476" i="1"/>
  <c r="AO475" i="1"/>
  <c r="J475" i="1"/>
  <c r="AO474" i="1"/>
  <c r="J474" i="1"/>
  <c r="AO473" i="1"/>
  <c r="J473" i="1"/>
  <c r="AO472" i="1"/>
  <c r="J472" i="1"/>
  <c r="AO471" i="1"/>
  <c r="J471" i="1"/>
  <c r="AO470" i="1"/>
  <c r="J470" i="1"/>
  <c r="AO469" i="1"/>
  <c r="J469" i="1"/>
  <c r="AO468" i="1"/>
  <c r="J468" i="1"/>
  <c r="AO467" i="1"/>
  <c r="J467" i="1"/>
  <c r="AO466" i="1"/>
  <c r="J466" i="1"/>
  <c r="AO465" i="1"/>
  <c r="J465" i="1"/>
  <c r="AO464" i="1"/>
  <c r="J464" i="1"/>
  <c r="AO463" i="1"/>
  <c r="J463" i="1"/>
  <c r="AO462" i="1"/>
  <c r="J462" i="1"/>
  <c r="AO461" i="1"/>
  <c r="J461" i="1"/>
  <c r="AO460" i="1"/>
  <c r="J460" i="1"/>
  <c r="AO459" i="1"/>
  <c r="J459" i="1"/>
  <c r="AO458" i="1"/>
  <c r="J458" i="1"/>
  <c r="AO457" i="1"/>
  <c r="J457" i="1"/>
  <c r="AO456" i="1"/>
  <c r="J456" i="1"/>
  <c r="AO455" i="1"/>
  <c r="J455" i="1"/>
  <c r="AO454" i="1"/>
  <c r="J454" i="1"/>
  <c r="AO453" i="1"/>
  <c r="J453" i="1"/>
  <c r="AO452" i="1"/>
  <c r="J452" i="1"/>
  <c r="AO451" i="1"/>
  <c r="J451" i="1"/>
  <c r="AO450" i="1"/>
  <c r="J450" i="1"/>
  <c r="AO449" i="1"/>
  <c r="J449" i="1"/>
  <c r="AO448" i="1"/>
  <c r="J448" i="1"/>
  <c r="AO447" i="1"/>
  <c r="J447" i="1"/>
  <c r="AO446" i="1"/>
  <c r="J446" i="1"/>
  <c r="AO445" i="1"/>
  <c r="J445" i="1"/>
  <c r="AO444" i="1"/>
  <c r="J444" i="1"/>
  <c r="AO443" i="1"/>
  <c r="J443" i="1"/>
  <c r="AO442" i="1"/>
  <c r="J442" i="1"/>
  <c r="AO441" i="1"/>
  <c r="J441" i="1"/>
  <c r="AO440" i="1"/>
  <c r="J440" i="1"/>
  <c r="AO439" i="1"/>
  <c r="J439" i="1"/>
  <c r="AO438" i="1"/>
  <c r="J438" i="1"/>
  <c r="AO437" i="1"/>
  <c r="J437" i="1"/>
  <c r="AO436" i="1"/>
  <c r="J436" i="1"/>
  <c r="AO435" i="1"/>
  <c r="J435" i="1"/>
  <c r="AO434" i="1"/>
  <c r="J434" i="1"/>
  <c r="AO433" i="1"/>
  <c r="J433" i="1"/>
  <c r="AO432" i="1"/>
  <c r="J432" i="1"/>
  <c r="AO431" i="1"/>
  <c r="J431" i="1"/>
  <c r="AO430" i="1"/>
  <c r="J430" i="1"/>
  <c r="AO429" i="1"/>
  <c r="J429" i="1"/>
  <c r="AO428" i="1"/>
  <c r="J428" i="1"/>
  <c r="AO427" i="1"/>
  <c r="J427" i="1"/>
  <c r="AO426" i="1"/>
  <c r="J426" i="1"/>
  <c r="AO425" i="1"/>
  <c r="J425" i="1"/>
  <c r="AO424" i="1"/>
  <c r="J424" i="1"/>
  <c r="AO423" i="1"/>
  <c r="J423" i="1"/>
  <c r="AO422" i="1"/>
  <c r="J422" i="1"/>
  <c r="AO421" i="1"/>
  <c r="J421" i="1"/>
  <c r="AO420" i="1"/>
  <c r="J420" i="1"/>
  <c r="AO419" i="1"/>
  <c r="J419" i="1"/>
  <c r="AO418" i="1"/>
  <c r="J418" i="1"/>
  <c r="AO417" i="1"/>
  <c r="J417" i="1"/>
  <c r="AO416" i="1"/>
  <c r="J416" i="1"/>
  <c r="AO415" i="1"/>
  <c r="J415" i="1"/>
  <c r="AO414" i="1"/>
  <c r="J414" i="1"/>
  <c r="AO413" i="1"/>
  <c r="J413" i="1"/>
  <c r="AO412" i="1"/>
  <c r="J412" i="1"/>
  <c r="AO411" i="1"/>
  <c r="J411" i="1"/>
  <c r="AO410" i="1"/>
  <c r="J410" i="1"/>
  <c r="AO409" i="1"/>
  <c r="J409" i="1"/>
  <c r="AO408" i="1"/>
  <c r="J408" i="1"/>
  <c r="AO407" i="1"/>
  <c r="J407" i="1"/>
  <c r="AO406" i="1"/>
  <c r="J406" i="1"/>
  <c r="AO405" i="1"/>
  <c r="J405" i="1"/>
  <c r="AO404" i="1"/>
  <c r="J404" i="1"/>
  <c r="AO403" i="1"/>
  <c r="J403" i="1"/>
  <c r="AO402" i="1"/>
  <c r="J402" i="1"/>
  <c r="AO401" i="1"/>
  <c r="J401" i="1"/>
  <c r="AO400" i="1"/>
  <c r="J400" i="1"/>
  <c r="AO399" i="1"/>
  <c r="J399" i="1"/>
  <c r="AO398" i="1"/>
  <c r="J398" i="1"/>
  <c r="AO397" i="1"/>
  <c r="J397" i="1"/>
  <c r="AO396" i="1"/>
  <c r="J396" i="1"/>
  <c r="AO395" i="1"/>
  <c r="J395" i="1"/>
  <c r="AO394" i="1"/>
  <c r="J394" i="1"/>
  <c r="AO393" i="1"/>
  <c r="J393" i="1"/>
  <c r="AO392" i="1"/>
  <c r="J392" i="1"/>
  <c r="AO391" i="1"/>
  <c r="J391" i="1"/>
  <c r="AO390" i="1"/>
  <c r="J390" i="1"/>
  <c r="AO389" i="1"/>
  <c r="J389" i="1"/>
  <c r="AO388" i="1"/>
  <c r="J388" i="1"/>
  <c r="AO387" i="1"/>
  <c r="J387" i="1"/>
  <c r="AO386" i="1"/>
  <c r="J386" i="1"/>
  <c r="AO385" i="1"/>
  <c r="J385" i="1"/>
  <c r="AO384" i="1"/>
  <c r="J384" i="1"/>
  <c r="AO383" i="1"/>
  <c r="J383" i="1"/>
  <c r="AO382" i="1"/>
  <c r="J382" i="1"/>
  <c r="AO381" i="1"/>
  <c r="J381" i="1"/>
  <c r="AO380" i="1"/>
  <c r="J380" i="1"/>
  <c r="AO379" i="1"/>
  <c r="J379" i="1"/>
  <c r="AO378" i="1"/>
  <c r="J378" i="1"/>
  <c r="AO377" i="1"/>
  <c r="J377" i="1"/>
  <c r="AO376" i="1"/>
  <c r="J376" i="1"/>
  <c r="AO375" i="1"/>
  <c r="J375" i="1"/>
  <c r="AO374" i="1"/>
  <c r="J374" i="1"/>
  <c r="AO373" i="1"/>
  <c r="J373" i="1"/>
  <c r="AO372" i="1"/>
  <c r="J372" i="1"/>
  <c r="AO371" i="1"/>
  <c r="J371" i="1"/>
  <c r="AO370" i="1"/>
  <c r="J370" i="1"/>
  <c r="AO369" i="1"/>
  <c r="J369" i="1"/>
  <c r="AO368" i="1"/>
  <c r="J368" i="1"/>
  <c r="AO367" i="1"/>
  <c r="J367" i="1"/>
  <c r="AO366" i="1"/>
  <c r="J366" i="1"/>
  <c r="AO365" i="1"/>
  <c r="J365" i="1"/>
  <c r="AO364" i="1"/>
  <c r="J364" i="1"/>
  <c r="AO363" i="1"/>
  <c r="J363" i="1"/>
  <c r="AO362" i="1"/>
  <c r="J362" i="1"/>
  <c r="AO361" i="1"/>
  <c r="J361" i="1"/>
  <c r="AO360" i="1"/>
  <c r="J360" i="1"/>
  <c r="AO359" i="1"/>
  <c r="J359" i="1"/>
  <c r="AO358" i="1"/>
  <c r="J358" i="1"/>
  <c r="AO357" i="1"/>
  <c r="J357" i="1"/>
  <c r="AO356" i="1"/>
  <c r="J356" i="1"/>
  <c r="AO355" i="1"/>
  <c r="J355" i="1"/>
  <c r="AO354" i="1"/>
  <c r="J354" i="1"/>
  <c r="AO353" i="1"/>
  <c r="J353" i="1"/>
  <c r="AO352" i="1"/>
  <c r="J352" i="1"/>
  <c r="AO351" i="1"/>
  <c r="J351" i="1"/>
  <c r="AO350" i="1"/>
  <c r="J350" i="1"/>
  <c r="AO349" i="1"/>
  <c r="J349" i="1"/>
  <c r="AO348" i="1"/>
  <c r="J348" i="1"/>
  <c r="AO347" i="1"/>
  <c r="J347" i="1"/>
  <c r="AO346" i="1"/>
  <c r="J346" i="1"/>
  <c r="AO345" i="1"/>
  <c r="J345" i="1"/>
  <c r="AO344" i="1"/>
  <c r="J344" i="1"/>
  <c r="AO343" i="1"/>
  <c r="J343" i="1"/>
  <c r="AO342" i="1"/>
  <c r="J342" i="1"/>
  <c r="AO341" i="1"/>
  <c r="J341" i="1"/>
  <c r="AO340" i="1"/>
  <c r="J340" i="1"/>
  <c r="AO339" i="1"/>
  <c r="J339" i="1"/>
  <c r="AO338" i="1"/>
  <c r="J338" i="1"/>
  <c r="AO337" i="1"/>
  <c r="J337" i="1"/>
  <c r="AO336" i="1"/>
  <c r="J336" i="1"/>
  <c r="AO335" i="1"/>
  <c r="J335" i="1"/>
  <c r="AO334" i="1"/>
  <c r="J334" i="1"/>
  <c r="AO333" i="1"/>
  <c r="J333" i="1"/>
  <c r="AO332" i="1"/>
  <c r="J332" i="1"/>
  <c r="AO331" i="1"/>
  <c r="J331" i="1"/>
  <c r="AO330" i="1"/>
  <c r="J330" i="1"/>
  <c r="AO329" i="1"/>
  <c r="J329" i="1"/>
  <c r="AO328" i="1"/>
  <c r="J328" i="1"/>
  <c r="AO327" i="1"/>
  <c r="J327" i="1"/>
  <c r="AO326" i="1"/>
  <c r="J326" i="1"/>
  <c r="AO325" i="1"/>
  <c r="J325" i="1"/>
  <c r="AO324" i="1"/>
  <c r="J324" i="1"/>
  <c r="AO323" i="1"/>
  <c r="J323" i="1"/>
  <c r="AO322" i="1"/>
  <c r="J322" i="1"/>
  <c r="AO321" i="1"/>
  <c r="J321" i="1"/>
  <c r="AO320" i="1"/>
  <c r="J320" i="1"/>
  <c r="AO319" i="1"/>
  <c r="J319" i="1"/>
  <c r="AO318" i="1"/>
  <c r="J318" i="1"/>
  <c r="AO317" i="1"/>
  <c r="J317" i="1"/>
  <c r="AO316" i="1"/>
  <c r="J316" i="1"/>
  <c r="AO315" i="1"/>
  <c r="J315" i="1"/>
  <c r="AO314" i="1"/>
  <c r="J314" i="1"/>
  <c r="AO313" i="1"/>
  <c r="J313" i="1"/>
  <c r="AO312" i="1"/>
  <c r="J312" i="1"/>
  <c r="AO311" i="1"/>
  <c r="J311" i="1"/>
  <c r="AO310" i="1"/>
  <c r="J310" i="1"/>
  <c r="AO309" i="1"/>
  <c r="J309" i="1"/>
  <c r="AO308" i="1"/>
  <c r="J308" i="1"/>
  <c r="AO307" i="1"/>
  <c r="J307" i="1"/>
  <c r="AO306" i="1"/>
  <c r="J306" i="1"/>
  <c r="AO305" i="1"/>
  <c r="J305" i="1"/>
  <c r="AO304" i="1"/>
  <c r="J304" i="1"/>
  <c r="AO303" i="1"/>
  <c r="J303" i="1"/>
  <c r="AO302" i="1"/>
  <c r="J302" i="1"/>
  <c r="AO301" i="1"/>
  <c r="J301" i="1"/>
  <c r="AO300" i="1"/>
  <c r="J300" i="1"/>
  <c r="AO299" i="1"/>
  <c r="J299" i="1"/>
  <c r="AO298" i="1"/>
  <c r="J298" i="1"/>
  <c r="AO297" i="1"/>
  <c r="J297" i="1"/>
  <c r="AO296" i="1"/>
  <c r="J296" i="1"/>
  <c r="AO295" i="1"/>
  <c r="J295" i="1"/>
  <c r="AO294" i="1"/>
  <c r="J294" i="1"/>
  <c r="AO293" i="1"/>
  <c r="J293" i="1"/>
  <c r="AO292" i="1"/>
  <c r="J292" i="1"/>
  <c r="AO291" i="1"/>
  <c r="J291" i="1"/>
  <c r="AO290" i="1"/>
  <c r="J290" i="1"/>
  <c r="AO289" i="1"/>
  <c r="J289" i="1"/>
  <c r="AO288" i="1"/>
  <c r="J288" i="1"/>
  <c r="AO287" i="1"/>
  <c r="J287" i="1"/>
  <c r="AO286" i="1"/>
  <c r="J286" i="1"/>
  <c r="AO285" i="1"/>
  <c r="J285" i="1"/>
  <c r="AO284" i="1"/>
  <c r="J284" i="1"/>
  <c r="AO283" i="1"/>
  <c r="J283" i="1"/>
  <c r="AO282" i="1"/>
  <c r="J282" i="1"/>
  <c r="AO281" i="1"/>
  <c r="J281" i="1"/>
  <c r="AO280" i="1"/>
  <c r="J280" i="1"/>
  <c r="AO279" i="1"/>
  <c r="J279" i="1"/>
  <c r="AO278" i="1"/>
  <c r="J278" i="1"/>
  <c r="AO277" i="1"/>
  <c r="J277" i="1"/>
  <c r="AO276" i="1"/>
  <c r="J276" i="1"/>
  <c r="AO275" i="1"/>
  <c r="J275" i="1"/>
  <c r="AO274" i="1"/>
  <c r="J274" i="1"/>
  <c r="AO273" i="1"/>
  <c r="J273" i="1"/>
  <c r="AO272" i="1"/>
  <c r="J272" i="1"/>
  <c r="AO271" i="1"/>
  <c r="J271" i="1"/>
  <c r="AO270" i="1"/>
  <c r="J270" i="1"/>
  <c r="AO269" i="1"/>
  <c r="J269" i="1"/>
  <c r="AO268" i="1"/>
  <c r="J268" i="1"/>
  <c r="AO267" i="1"/>
  <c r="J267" i="1"/>
  <c r="AO266" i="1"/>
  <c r="J266" i="1"/>
  <c r="AO265" i="1"/>
  <c r="J265" i="1"/>
  <c r="AO264" i="1"/>
  <c r="J264" i="1"/>
  <c r="AO263" i="1"/>
  <c r="J263" i="1"/>
  <c r="AO262" i="1"/>
  <c r="J262" i="1"/>
  <c r="AO261" i="1"/>
  <c r="J261" i="1"/>
  <c r="AO260" i="1"/>
  <c r="J260" i="1"/>
  <c r="AO259" i="1"/>
  <c r="J259" i="1"/>
  <c r="AO258" i="1"/>
  <c r="J258" i="1"/>
  <c r="AO257" i="1"/>
  <c r="J257" i="1"/>
  <c r="AO256" i="1"/>
  <c r="J256" i="1"/>
  <c r="AO255" i="1"/>
  <c r="J255" i="1"/>
  <c r="AO254" i="1"/>
  <c r="J254" i="1"/>
  <c r="AO253" i="1"/>
  <c r="J253" i="1"/>
  <c r="AO252" i="1"/>
  <c r="J252" i="1"/>
  <c r="AO251" i="1"/>
  <c r="J251" i="1"/>
  <c r="AO250" i="1"/>
  <c r="J250" i="1"/>
  <c r="AO249" i="1"/>
  <c r="J249" i="1"/>
  <c r="AO248" i="1"/>
  <c r="J248" i="1"/>
  <c r="AO247" i="1"/>
  <c r="J247" i="1"/>
  <c r="AO246" i="1"/>
  <c r="J246" i="1"/>
  <c r="AO245" i="1"/>
  <c r="J245" i="1"/>
  <c r="AO244" i="1"/>
  <c r="J244" i="1"/>
  <c r="AO243" i="1"/>
  <c r="J243" i="1"/>
  <c r="AO242" i="1"/>
  <c r="J242" i="1"/>
  <c r="AO241" i="1"/>
  <c r="J241" i="1"/>
  <c r="AO240" i="1"/>
  <c r="J240" i="1"/>
  <c r="AO239" i="1"/>
  <c r="J239" i="1"/>
  <c r="AO238" i="1"/>
  <c r="J238" i="1"/>
  <c r="AO237" i="1"/>
  <c r="J237" i="1"/>
  <c r="AO236" i="1"/>
  <c r="J236" i="1"/>
  <c r="AO235" i="1"/>
  <c r="J235" i="1"/>
  <c r="AO234" i="1"/>
  <c r="J234" i="1"/>
  <c r="AO233" i="1"/>
  <c r="J233" i="1"/>
  <c r="AO232" i="1"/>
  <c r="J232" i="1"/>
  <c r="AO231" i="1"/>
  <c r="J231" i="1"/>
  <c r="AO230" i="1"/>
  <c r="J230" i="1"/>
  <c r="AO229" i="1"/>
  <c r="J229" i="1"/>
  <c r="AO228" i="1"/>
  <c r="J228" i="1"/>
  <c r="AO227" i="1"/>
  <c r="J227" i="1"/>
  <c r="AO226" i="1"/>
  <c r="J226" i="1"/>
  <c r="AO225" i="1"/>
  <c r="J225" i="1"/>
  <c r="AO224" i="1"/>
  <c r="J224" i="1"/>
  <c r="AO223" i="1"/>
  <c r="J223" i="1"/>
  <c r="AO222" i="1"/>
  <c r="J222" i="1"/>
  <c r="AO221" i="1"/>
  <c r="J221" i="1"/>
  <c r="AO220" i="1"/>
  <c r="J220" i="1"/>
  <c r="AO219" i="1"/>
  <c r="J219" i="1"/>
  <c r="AO218" i="1"/>
  <c r="J218" i="1"/>
  <c r="AO217" i="1"/>
  <c r="J217" i="1"/>
  <c r="AO216" i="1"/>
  <c r="J216" i="1"/>
  <c r="AO215" i="1"/>
  <c r="J215" i="1"/>
  <c r="AO214" i="1"/>
  <c r="J214" i="1"/>
  <c r="AO213" i="1"/>
  <c r="J213" i="1"/>
  <c r="AO212" i="1"/>
  <c r="J212" i="1"/>
  <c r="AO211" i="1"/>
  <c r="J211" i="1"/>
  <c r="AO210" i="1"/>
  <c r="J210" i="1"/>
  <c r="AO209" i="1"/>
  <c r="J209" i="1"/>
  <c r="AO208" i="1"/>
  <c r="J208" i="1"/>
  <c r="AO207" i="1"/>
  <c r="J207" i="1"/>
  <c r="AO206" i="1"/>
  <c r="J206" i="1"/>
  <c r="AO205" i="1"/>
  <c r="J205" i="1"/>
  <c r="AO204" i="1"/>
  <c r="J204" i="1"/>
  <c r="AO203" i="1"/>
  <c r="J203" i="1"/>
  <c r="AO202" i="1"/>
  <c r="J202" i="1"/>
  <c r="AO201" i="1"/>
  <c r="J201" i="1"/>
  <c r="AO200" i="1"/>
  <c r="J200" i="1"/>
  <c r="AO199" i="1"/>
  <c r="J199" i="1"/>
  <c r="AO198" i="1"/>
  <c r="J198" i="1"/>
  <c r="AO197" i="1"/>
  <c r="J197" i="1"/>
  <c r="AO196" i="1"/>
  <c r="J196" i="1"/>
  <c r="AO195" i="1"/>
  <c r="J195" i="1"/>
  <c r="AO194" i="1"/>
  <c r="J194" i="1"/>
  <c r="AO193" i="1"/>
  <c r="J193" i="1"/>
  <c r="AO192" i="1"/>
  <c r="J192" i="1"/>
  <c r="AO191" i="1"/>
  <c r="J191" i="1"/>
  <c r="AO190" i="1"/>
  <c r="J190" i="1"/>
  <c r="AO189" i="1"/>
  <c r="J189" i="1"/>
  <c r="AO188" i="1"/>
  <c r="J188" i="1"/>
  <c r="AO187" i="1"/>
  <c r="J187" i="1"/>
  <c r="AO186" i="1"/>
  <c r="J186" i="1"/>
  <c r="AO185" i="1"/>
  <c r="J185" i="1"/>
  <c r="AO184" i="1"/>
  <c r="J184" i="1"/>
  <c r="AO183" i="1"/>
  <c r="J183" i="1"/>
  <c r="AO182" i="1"/>
  <c r="J182" i="1"/>
  <c r="AO181" i="1"/>
  <c r="J181" i="1"/>
  <c r="AO180" i="1"/>
  <c r="J180" i="1"/>
  <c r="AO179" i="1"/>
  <c r="J179" i="1"/>
  <c r="AO178" i="1"/>
  <c r="J178" i="1"/>
  <c r="AO177" i="1"/>
  <c r="J177" i="1"/>
  <c r="AO176" i="1"/>
  <c r="J176" i="1"/>
  <c r="AO175" i="1"/>
  <c r="J175" i="1"/>
  <c r="AO174" i="1"/>
  <c r="J174" i="1"/>
  <c r="AO173" i="1"/>
  <c r="J173" i="1"/>
  <c r="AO172" i="1"/>
  <c r="J172" i="1"/>
  <c r="AO171" i="1"/>
  <c r="J171" i="1"/>
  <c r="AO170" i="1"/>
  <c r="J170" i="1"/>
  <c r="AO169" i="1"/>
  <c r="J169" i="1"/>
  <c r="AO168" i="1"/>
  <c r="J168" i="1"/>
  <c r="AO167" i="1"/>
  <c r="J167" i="1"/>
  <c r="AO166" i="1"/>
  <c r="J166" i="1"/>
  <c r="AO165" i="1"/>
  <c r="J165" i="1"/>
  <c r="AO164" i="1"/>
  <c r="J164" i="1"/>
  <c r="AO163" i="1"/>
  <c r="J163" i="1"/>
  <c r="AO162" i="1"/>
  <c r="J162" i="1"/>
  <c r="AO161" i="1"/>
  <c r="J161" i="1"/>
  <c r="AO160" i="1"/>
  <c r="J160" i="1"/>
  <c r="AO159" i="1"/>
  <c r="J159" i="1"/>
  <c r="AO158" i="1"/>
  <c r="J158" i="1"/>
  <c r="AO157" i="1"/>
  <c r="J157" i="1"/>
  <c r="AO156" i="1"/>
  <c r="J156" i="1"/>
  <c r="AO155" i="1"/>
  <c r="J155" i="1"/>
  <c r="AO154" i="1"/>
  <c r="J154" i="1"/>
  <c r="AO153" i="1"/>
  <c r="J153" i="1"/>
  <c r="AO152" i="1"/>
  <c r="J152" i="1"/>
  <c r="AO151" i="1"/>
  <c r="J151" i="1"/>
  <c r="AO150" i="1"/>
  <c r="J150" i="1"/>
  <c r="AO149" i="1"/>
  <c r="J149" i="1"/>
  <c r="AO148" i="1"/>
  <c r="J148" i="1"/>
  <c r="AO147" i="1"/>
  <c r="J147" i="1"/>
  <c r="AO146" i="1"/>
  <c r="J146" i="1"/>
  <c r="AO145" i="1"/>
  <c r="J145" i="1"/>
  <c r="AO144" i="1"/>
  <c r="J144" i="1"/>
  <c r="AO143" i="1"/>
  <c r="J143" i="1"/>
  <c r="AO142" i="1"/>
  <c r="J142" i="1"/>
  <c r="AO141" i="1"/>
  <c r="J141" i="1"/>
  <c r="AO140" i="1"/>
  <c r="J140" i="1"/>
  <c r="AO139" i="1"/>
  <c r="J139" i="1"/>
  <c r="AO138" i="1"/>
  <c r="J138" i="1"/>
  <c r="AO137" i="1"/>
  <c r="J137" i="1"/>
  <c r="AO136" i="1"/>
  <c r="J136" i="1"/>
  <c r="AO135" i="1"/>
  <c r="J135" i="1"/>
  <c r="AO134" i="1"/>
  <c r="J134" i="1"/>
  <c r="AO133" i="1"/>
  <c r="J133" i="1"/>
  <c r="AO132" i="1"/>
  <c r="J132" i="1"/>
  <c r="AO131" i="1"/>
  <c r="J131" i="1"/>
  <c r="AO130" i="1"/>
  <c r="J130" i="1"/>
  <c r="AO129" i="1"/>
  <c r="J129" i="1"/>
  <c r="AO128" i="1"/>
  <c r="J128" i="1"/>
  <c r="AO127" i="1"/>
  <c r="J127" i="1"/>
  <c r="AO126" i="1"/>
  <c r="J126" i="1"/>
  <c r="AO125" i="1"/>
  <c r="J125" i="1"/>
  <c r="AO124" i="1"/>
  <c r="J124" i="1"/>
  <c r="AO123" i="1"/>
  <c r="J123" i="1"/>
  <c r="AO122" i="1"/>
  <c r="J122" i="1"/>
  <c r="AO121" i="1"/>
  <c r="J121" i="1"/>
  <c r="AO120" i="1"/>
  <c r="J120" i="1"/>
  <c r="AO119" i="1"/>
  <c r="J119" i="1"/>
  <c r="AO118" i="1"/>
  <c r="J118" i="1"/>
  <c r="AO117" i="1"/>
  <c r="J117" i="1"/>
  <c r="AO116" i="1"/>
  <c r="J116" i="1"/>
  <c r="AO115" i="1"/>
  <c r="J115" i="1"/>
  <c r="AO114" i="1"/>
  <c r="J114" i="1"/>
  <c r="AO113" i="1"/>
  <c r="J113" i="1"/>
  <c r="AO112" i="1"/>
  <c r="J112" i="1"/>
  <c r="AO111" i="1"/>
  <c r="J111" i="1"/>
  <c r="AO110" i="1"/>
  <c r="J110" i="1"/>
  <c r="AO109" i="1"/>
  <c r="J109" i="1"/>
  <c r="AO108" i="1"/>
  <c r="J108" i="1"/>
  <c r="AO107" i="1"/>
  <c r="J107" i="1"/>
  <c r="AO106" i="1"/>
  <c r="J106" i="1"/>
  <c r="AO105" i="1"/>
  <c r="J105" i="1"/>
  <c r="AO104" i="1"/>
  <c r="J104" i="1"/>
  <c r="AO103" i="1"/>
  <c r="J103" i="1"/>
  <c r="AO102" i="1"/>
  <c r="J102" i="1"/>
  <c r="AO101" i="1"/>
  <c r="J101" i="1"/>
  <c r="AO100" i="1"/>
  <c r="J100" i="1"/>
  <c r="AO99" i="1"/>
  <c r="J99" i="1"/>
  <c r="AO98" i="1"/>
  <c r="J98" i="1"/>
  <c r="AO97" i="1"/>
  <c r="J97" i="1"/>
  <c r="AO96" i="1"/>
  <c r="J96" i="1"/>
  <c r="AO95" i="1"/>
  <c r="J95" i="1"/>
  <c r="AO94" i="1"/>
  <c r="J94" i="1"/>
  <c r="AO93" i="1"/>
  <c r="J93" i="1"/>
  <c r="AO92" i="1"/>
  <c r="J92" i="1"/>
  <c r="AO91" i="1"/>
  <c r="J91" i="1"/>
  <c r="AO90" i="1"/>
  <c r="J90" i="1"/>
  <c r="AO89" i="1"/>
  <c r="J89" i="1"/>
  <c r="AO88" i="1"/>
  <c r="J88" i="1"/>
  <c r="AO87" i="1"/>
  <c r="J87" i="1"/>
  <c r="AO86" i="1"/>
  <c r="J86" i="1"/>
  <c r="AO85" i="1"/>
  <c r="J85" i="1"/>
  <c r="AO84" i="1"/>
  <c r="J84" i="1"/>
  <c r="AO83" i="1"/>
  <c r="J83" i="1"/>
  <c r="AO82" i="1"/>
  <c r="J82" i="1"/>
  <c r="AO81" i="1"/>
  <c r="J81" i="1"/>
  <c r="AO80" i="1"/>
  <c r="J80" i="1"/>
  <c r="AO79" i="1"/>
  <c r="J79" i="1"/>
  <c r="AO78" i="1"/>
  <c r="J78" i="1"/>
  <c r="AO77" i="1"/>
  <c r="J77" i="1"/>
  <c r="AO76" i="1"/>
  <c r="J76" i="1"/>
  <c r="AO75" i="1"/>
  <c r="J75" i="1"/>
  <c r="AO74" i="1"/>
  <c r="J74" i="1"/>
  <c r="AO73" i="1"/>
  <c r="J73" i="1"/>
  <c r="AO72" i="1"/>
  <c r="J72" i="1"/>
  <c r="AO71" i="1"/>
  <c r="J71" i="1"/>
  <c r="AO70" i="1"/>
  <c r="J70" i="1"/>
  <c r="AO69" i="1"/>
  <c r="J69" i="1"/>
  <c r="AO68" i="1"/>
  <c r="J68" i="1"/>
  <c r="AO67" i="1"/>
  <c r="J67" i="1"/>
  <c r="AO66" i="1"/>
  <c r="J66" i="1"/>
  <c r="AO65" i="1"/>
  <c r="J65" i="1"/>
  <c r="AO64" i="1"/>
  <c r="J64" i="1"/>
  <c r="AO63" i="1"/>
  <c r="J63" i="1"/>
  <c r="AO62" i="1"/>
  <c r="AP62" i="1" s="1"/>
  <c r="L62" i="1"/>
  <c r="N62" i="1" s="1"/>
  <c r="K59" i="1"/>
  <c r="E59" i="1"/>
  <c r="AO56" i="1"/>
  <c r="W56" i="1"/>
  <c r="Y56" i="1" s="1"/>
  <c r="J56" i="1"/>
  <c r="AO55" i="1"/>
  <c r="J55" i="1"/>
  <c r="AO54" i="1"/>
  <c r="J54" i="1"/>
  <c r="AO53" i="1"/>
  <c r="J53" i="1"/>
  <c r="AO52" i="1"/>
  <c r="J52" i="1"/>
  <c r="AO51" i="1"/>
  <c r="J51" i="1"/>
  <c r="AO50" i="1"/>
  <c r="J50" i="1"/>
  <c r="AO49" i="1"/>
  <c r="J49" i="1"/>
  <c r="AO48" i="1"/>
  <c r="J48" i="1"/>
  <c r="AO47" i="1"/>
  <c r="J47" i="1"/>
  <c r="AO46" i="1"/>
  <c r="J46" i="1"/>
  <c r="AO45" i="1"/>
  <c r="AP45" i="1" s="1"/>
  <c r="K42" i="1"/>
  <c r="E42" i="1"/>
  <c r="R36" i="1"/>
  <c r="S36" i="1" s="1"/>
  <c r="U36" i="1" s="1"/>
  <c r="Q36" i="1"/>
  <c r="S35" i="1"/>
  <c r="R35" i="1"/>
  <c r="Q35" i="1"/>
  <c r="O35" i="1"/>
  <c r="N36" i="1" s="1"/>
  <c r="T34" i="1"/>
  <c r="R34" i="1"/>
  <c r="S34" i="1" s="1"/>
  <c r="Q34" i="1"/>
  <c r="O34" i="1"/>
  <c r="R33" i="1"/>
  <c r="S33" i="1" s="1"/>
  <c r="Q33" i="1"/>
  <c r="O33" i="1"/>
  <c r="N33" i="1"/>
  <c r="N32" i="1" s="1"/>
  <c r="R32" i="1"/>
  <c r="S32" i="1" s="1"/>
  <c r="Q32" i="1"/>
  <c r="O32" i="1"/>
  <c r="R31" i="1"/>
  <c r="S31" i="1" s="1"/>
  <c r="U31" i="1" s="1"/>
  <c r="Q31" i="1"/>
  <c r="O31" i="1"/>
  <c r="N31" i="1"/>
  <c r="K45" i="1" s="1"/>
  <c r="I11" i="1"/>
  <c r="P10" i="1"/>
  <c r="W1609" i="1" s="1"/>
  <c r="P9" i="1"/>
  <c r="L1563" i="1" s="1"/>
  <c r="P6" i="1"/>
  <c r="P5" i="1"/>
  <c r="L45" i="1" s="1"/>
  <c r="S45" i="1" l="1"/>
  <c r="R45" i="1"/>
  <c r="K46" i="1"/>
  <c r="T45" i="1"/>
  <c r="U34" i="1"/>
  <c r="AA56" i="1"/>
  <c r="AP1455" i="1"/>
  <c r="AP1456" i="1" s="1"/>
  <c r="AP1457" i="1" s="1"/>
  <c r="AP1458" i="1" s="1"/>
  <c r="AP1459" i="1" s="1"/>
  <c r="AP1460" i="1" s="1"/>
  <c r="AP1461" i="1" s="1"/>
  <c r="AP1480" i="1"/>
  <c r="AP1481" i="1" s="1"/>
  <c r="AP1482" i="1" s="1"/>
  <c r="AP1483" i="1" s="1"/>
  <c r="AP1484" i="1" s="1"/>
  <c r="P62" i="1"/>
  <c r="AP63" i="1"/>
  <c r="AP64" i="1" s="1"/>
  <c r="AP65" i="1" s="1"/>
  <c r="AP66" i="1" s="1"/>
  <c r="AP67" i="1" s="1"/>
  <c r="AP68" i="1" s="1"/>
  <c r="AP69" i="1" s="1"/>
  <c r="AP70" i="1" s="1"/>
  <c r="AP71" i="1" s="1"/>
  <c r="AP72" i="1" s="1"/>
  <c r="AP73" i="1" s="1"/>
  <c r="AP74" i="1" s="1"/>
  <c r="AP75" i="1" s="1"/>
  <c r="AP76" i="1" s="1"/>
  <c r="AP77" i="1" s="1"/>
  <c r="AP78" i="1" s="1"/>
  <c r="AP79" i="1" s="1"/>
  <c r="AP80" i="1" s="1"/>
  <c r="AP81" i="1" s="1"/>
  <c r="AP82" i="1" s="1"/>
  <c r="AP83" i="1" s="1"/>
  <c r="AP84" i="1" s="1"/>
  <c r="AP85" i="1" s="1"/>
  <c r="AP86" i="1" s="1"/>
  <c r="AP87" i="1" s="1"/>
  <c r="AP88" i="1" s="1"/>
  <c r="AP89" i="1" s="1"/>
  <c r="AP90" i="1" s="1"/>
  <c r="AP91" i="1" s="1"/>
  <c r="AP92" i="1" s="1"/>
  <c r="AP93" i="1" s="1"/>
  <c r="AP94" i="1" s="1"/>
  <c r="AP95" i="1" s="1"/>
  <c r="AP96" i="1" s="1"/>
  <c r="AP97" i="1" s="1"/>
  <c r="AP98" i="1" s="1"/>
  <c r="AP99" i="1" s="1"/>
  <c r="AP100" i="1" s="1"/>
  <c r="AP101" i="1" s="1"/>
  <c r="AP102" i="1" s="1"/>
  <c r="AP103" i="1" s="1"/>
  <c r="AP104" i="1" s="1"/>
  <c r="AP105" i="1" s="1"/>
  <c r="AP106" i="1" s="1"/>
  <c r="AP107" i="1" s="1"/>
  <c r="AP108" i="1" s="1"/>
  <c r="AP109" i="1" s="1"/>
  <c r="AP110" i="1" s="1"/>
  <c r="AP111" i="1" s="1"/>
  <c r="AP112" i="1" s="1"/>
  <c r="AP113" i="1" s="1"/>
  <c r="AP114" i="1" s="1"/>
  <c r="AP115" i="1" s="1"/>
  <c r="AP116" i="1" s="1"/>
  <c r="AP117" i="1" s="1"/>
  <c r="AP118" i="1" s="1"/>
  <c r="AP119" i="1" s="1"/>
  <c r="AP120" i="1" s="1"/>
  <c r="AP121" i="1" s="1"/>
  <c r="AP122" i="1" s="1"/>
  <c r="AP123" i="1" s="1"/>
  <c r="AP124" i="1" s="1"/>
  <c r="AP125" i="1" s="1"/>
  <c r="AP126" i="1" s="1"/>
  <c r="AP127" i="1" s="1"/>
  <c r="AP128" i="1" s="1"/>
  <c r="AP129" i="1" s="1"/>
  <c r="AP130" i="1" s="1"/>
  <c r="AP131" i="1" s="1"/>
  <c r="AP132" i="1" s="1"/>
  <c r="AP133" i="1" s="1"/>
  <c r="AP134" i="1" s="1"/>
  <c r="AP135" i="1" s="1"/>
  <c r="AP136" i="1" s="1"/>
  <c r="AP137" i="1" s="1"/>
  <c r="AP138" i="1" s="1"/>
  <c r="AP139" i="1" s="1"/>
  <c r="AP140" i="1" s="1"/>
  <c r="AP141" i="1" s="1"/>
  <c r="AP142" i="1" s="1"/>
  <c r="AP143" i="1" s="1"/>
  <c r="AP144" i="1" s="1"/>
  <c r="AP145" i="1" s="1"/>
  <c r="AP146" i="1" s="1"/>
  <c r="AP147" i="1" s="1"/>
  <c r="AP148" i="1" s="1"/>
  <c r="AP149" i="1" s="1"/>
  <c r="AP150" i="1" s="1"/>
  <c r="AP151" i="1" s="1"/>
  <c r="AP152" i="1" s="1"/>
  <c r="AP153" i="1" s="1"/>
  <c r="AP154" i="1" s="1"/>
  <c r="AP155" i="1" s="1"/>
  <c r="AP156" i="1" s="1"/>
  <c r="AP157" i="1" s="1"/>
  <c r="AP158" i="1" s="1"/>
  <c r="AP159" i="1" s="1"/>
  <c r="AP160" i="1" s="1"/>
  <c r="AP161" i="1" s="1"/>
  <c r="AP162" i="1" s="1"/>
  <c r="AP163" i="1" s="1"/>
  <c r="AP164" i="1" s="1"/>
  <c r="AP165" i="1" s="1"/>
  <c r="AP166" i="1" s="1"/>
  <c r="AP167" i="1" s="1"/>
  <c r="AP168" i="1" s="1"/>
  <c r="AP169" i="1" s="1"/>
  <c r="AP170" i="1" s="1"/>
  <c r="AP171" i="1" s="1"/>
  <c r="AP172" i="1" s="1"/>
  <c r="AP173" i="1" s="1"/>
  <c r="AP174" i="1" s="1"/>
  <c r="AP175" i="1" s="1"/>
  <c r="AP176" i="1" s="1"/>
  <c r="AP177" i="1" s="1"/>
  <c r="AP178" i="1" s="1"/>
  <c r="AP179" i="1" s="1"/>
  <c r="AP180" i="1" s="1"/>
  <c r="AP181" i="1" s="1"/>
  <c r="AP182" i="1" s="1"/>
  <c r="AP183" i="1" s="1"/>
  <c r="AP184" i="1" s="1"/>
  <c r="AP185" i="1" s="1"/>
  <c r="AP186" i="1" s="1"/>
  <c r="AP187" i="1" s="1"/>
  <c r="AP188" i="1" s="1"/>
  <c r="AP189" i="1" s="1"/>
  <c r="AP190" i="1" s="1"/>
  <c r="AP191" i="1" s="1"/>
  <c r="AP192" i="1" s="1"/>
  <c r="AP193" i="1" s="1"/>
  <c r="AP194" i="1" s="1"/>
  <c r="AP195" i="1" s="1"/>
  <c r="AP196" i="1" s="1"/>
  <c r="AP197" i="1" s="1"/>
  <c r="AP198" i="1" s="1"/>
  <c r="AP199" i="1" s="1"/>
  <c r="AP200" i="1" s="1"/>
  <c r="AP201" i="1" s="1"/>
  <c r="AP202" i="1" s="1"/>
  <c r="AP203" i="1" s="1"/>
  <c r="AP204" i="1" s="1"/>
  <c r="AP205" i="1" s="1"/>
  <c r="AP206" i="1" s="1"/>
  <c r="AP207" i="1" s="1"/>
  <c r="AP208" i="1" s="1"/>
  <c r="AP209" i="1" s="1"/>
  <c r="AP210" i="1" s="1"/>
  <c r="AP211" i="1" s="1"/>
  <c r="AP212" i="1" s="1"/>
  <c r="AP213" i="1" s="1"/>
  <c r="AP214" i="1" s="1"/>
  <c r="AP215" i="1" s="1"/>
  <c r="AP216" i="1" s="1"/>
  <c r="AP217" i="1" s="1"/>
  <c r="AP218" i="1" s="1"/>
  <c r="AP219" i="1" s="1"/>
  <c r="AP220" i="1" s="1"/>
  <c r="AP221" i="1" s="1"/>
  <c r="AP222" i="1" s="1"/>
  <c r="AP223" i="1" s="1"/>
  <c r="AP224" i="1" s="1"/>
  <c r="AP225" i="1" s="1"/>
  <c r="AP226" i="1" s="1"/>
  <c r="AP227" i="1" s="1"/>
  <c r="AP228" i="1" s="1"/>
  <c r="AP229" i="1" s="1"/>
  <c r="AP230" i="1" s="1"/>
  <c r="AP231" i="1" s="1"/>
  <c r="AP232" i="1" s="1"/>
  <c r="AP233" i="1" s="1"/>
  <c r="AP234" i="1" s="1"/>
  <c r="AP235" i="1" s="1"/>
  <c r="AP236" i="1" s="1"/>
  <c r="AP237" i="1" s="1"/>
  <c r="AP238" i="1" s="1"/>
  <c r="AP239" i="1" s="1"/>
  <c r="AP240" i="1" s="1"/>
  <c r="AP241" i="1" s="1"/>
  <c r="AP242" i="1" s="1"/>
  <c r="AP243" i="1" s="1"/>
  <c r="AP244" i="1" s="1"/>
  <c r="AP245" i="1" s="1"/>
  <c r="AP246" i="1" s="1"/>
  <c r="AP247" i="1" s="1"/>
  <c r="AP248" i="1" s="1"/>
  <c r="AP249" i="1" s="1"/>
  <c r="AP250" i="1" s="1"/>
  <c r="AP251" i="1" s="1"/>
  <c r="AP252" i="1" s="1"/>
  <c r="AP253" i="1" s="1"/>
  <c r="AP254" i="1" s="1"/>
  <c r="AP255" i="1" s="1"/>
  <c r="AP256" i="1" s="1"/>
  <c r="AP257" i="1" s="1"/>
  <c r="AP258" i="1" s="1"/>
  <c r="AP259" i="1" s="1"/>
  <c r="AP260" i="1" s="1"/>
  <c r="AP261" i="1" s="1"/>
  <c r="AP262" i="1" s="1"/>
  <c r="AP263" i="1" s="1"/>
  <c r="AP264" i="1" s="1"/>
  <c r="AP265" i="1" s="1"/>
  <c r="AP266" i="1" s="1"/>
  <c r="AP267" i="1" s="1"/>
  <c r="AP268" i="1" s="1"/>
  <c r="AP269" i="1" s="1"/>
  <c r="AP270" i="1" s="1"/>
  <c r="AP271" i="1" s="1"/>
  <c r="AP272" i="1" s="1"/>
  <c r="AP273" i="1" s="1"/>
  <c r="AP274" i="1" s="1"/>
  <c r="AP275" i="1" s="1"/>
  <c r="AP276" i="1" s="1"/>
  <c r="AP277" i="1" s="1"/>
  <c r="AP278" i="1" s="1"/>
  <c r="AP279" i="1" s="1"/>
  <c r="AP280" i="1" s="1"/>
  <c r="AP281" i="1" s="1"/>
  <c r="AP282" i="1" s="1"/>
  <c r="AP283" i="1" s="1"/>
  <c r="AP284" i="1" s="1"/>
  <c r="AP285" i="1" s="1"/>
  <c r="AP286" i="1" s="1"/>
  <c r="AP287" i="1" s="1"/>
  <c r="AP288" i="1" s="1"/>
  <c r="AP289" i="1" s="1"/>
  <c r="AP290" i="1" s="1"/>
  <c r="AP291" i="1" s="1"/>
  <c r="AP292" i="1" s="1"/>
  <c r="AP293" i="1" s="1"/>
  <c r="AP294" i="1" s="1"/>
  <c r="AP295" i="1" s="1"/>
  <c r="AP296" i="1" s="1"/>
  <c r="AP297" i="1" s="1"/>
  <c r="AP298" i="1" s="1"/>
  <c r="AP299" i="1" s="1"/>
  <c r="AP300" i="1" s="1"/>
  <c r="AP301" i="1" s="1"/>
  <c r="AP302" i="1" s="1"/>
  <c r="AP303" i="1" s="1"/>
  <c r="AP304" i="1" s="1"/>
  <c r="AP305" i="1" s="1"/>
  <c r="AP306" i="1" s="1"/>
  <c r="AP307" i="1" s="1"/>
  <c r="AP308" i="1" s="1"/>
  <c r="AP309" i="1" s="1"/>
  <c r="AP310" i="1" s="1"/>
  <c r="AP311" i="1" s="1"/>
  <c r="AP312" i="1" s="1"/>
  <c r="AP313" i="1" s="1"/>
  <c r="AP314" i="1" s="1"/>
  <c r="AP315" i="1" s="1"/>
  <c r="AP316" i="1" s="1"/>
  <c r="AP317" i="1" s="1"/>
  <c r="AP318" i="1" s="1"/>
  <c r="AP319" i="1" s="1"/>
  <c r="AP320" i="1" s="1"/>
  <c r="AP321" i="1" s="1"/>
  <c r="AP322" i="1" s="1"/>
  <c r="AP323" i="1" s="1"/>
  <c r="AP324" i="1" s="1"/>
  <c r="AP325" i="1" s="1"/>
  <c r="AP326" i="1" s="1"/>
  <c r="AP327" i="1" s="1"/>
  <c r="AP328" i="1" s="1"/>
  <c r="AP329" i="1" s="1"/>
  <c r="AP330" i="1" s="1"/>
  <c r="AP331" i="1" s="1"/>
  <c r="AP332" i="1" s="1"/>
  <c r="AP333" i="1" s="1"/>
  <c r="AP334" i="1" s="1"/>
  <c r="AP335" i="1" s="1"/>
  <c r="AP336" i="1" s="1"/>
  <c r="AP337" i="1" s="1"/>
  <c r="AP338" i="1" s="1"/>
  <c r="AP339" i="1" s="1"/>
  <c r="AP340" i="1" s="1"/>
  <c r="AP341" i="1" s="1"/>
  <c r="AP342" i="1" s="1"/>
  <c r="AP343" i="1" s="1"/>
  <c r="AP344" i="1" s="1"/>
  <c r="AP345" i="1" s="1"/>
  <c r="AP346" i="1" s="1"/>
  <c r="AP347" i="1" s="1"/>
  <c r="AP348" i="1" s="1"/>
  <c r="AP349" i="1" s="1"/>
  <c r="AP350" i="1" s="1"/>
  <c r="AP351" i="1" s="1"/>
  <c r="AP352" i="1" s="1"/>
  <c r="AP353" i="1" s="1"/>
  <c r="AP354" i="1" s="1"/>
  <c r="AP355" i="1" s="1"/>
  <c r="AP356" i="1" s="1"/>
  <c r="AP357" i="1" s="1"/>
  <c r="AP358" i="1" s="1"/>
  <c r="AP359" i="1" s="1"/>
  <c r="AP360" i="1" s="1"/>
  <c r="AP361" i="1" s="1"/>
  <c r="AP362" i="1" s="1"/>
  <c r="AP363" i="1" s="1"/>
  <c r="AP364" i="1" s="1"/>
  <c r="AP365" i="1" s="1"/>
  <c r="AP366" i="1" s="1"/>
  <c r="AP367" i="1" s="1"/>
  <c r="AP368" i="1" s="1"/>
  <c r="AP369" i="1" s="1"/>
  <c r="AP370" i="1" s="1"/>
  <c r="AP371" i="1" s="1"/>
  <c r="AP372" i="1" s="1"/>
  <c r="AP373" i="1" s="1"/>
  <c r="AP374" i="1" s="1"/>
  <c r="AP375" i="1" s="1"/>
  <c r="AP376" i="1" s="1"/>
  <c r="AP377" i="1" s="1"/>
  <c r="AP378" i="1" s="1"/>
  <c r="AP379" i="1" s="1"/>
  <c r="AP380" i="1" s="1"/>
  <c r="AP381" i="1" s="1"/>
  <c r="AP382" i="1" s="1"/>
  <c r="AP383" i="1" s="1"/>
  <c r="AP384" i="1" s="1"/>
  <c r="AP385" i="1" s="1"/>
  <c r="AP386" i="1" s="1"/>
  <c r="AP387" i="1" s="1"/>
  <c r="AP388" i="1" s="1"/>
  <c r="AP389" i="1" s="1"/>
  <c r="AP390" i="1" s="1"/>
  <c r="AP391" i="1" s="1"/>
  <c r="AP392" i="1" s="1"/>
  <c r="AP393" i="1" s="1"/>
  <c r="AP394" i="1" s="1"/>
  <c r="AP395" i="1" s="1"/>
  <c r="AP396" i="1" s="1"/>
  <c r="AP397" i="1" s="1"/>
  <c r="AP398" i="1" s="1"/>
  <c r="AP399" i="1" s="1"/>
  <c r="AP400" i="1" s="1"/>
  <c r="AP401" i="1" s="1"/>
  <c r="AP402" i="1" s="1"/>
  <c r="AP403" i="1" s="1"/>
  <c r="AP404" i="1" s="1"/>
  <c r="AP405" i="1" s="1"/>
  <c r="AP406" i="1" s="1"/>
  <c r="AP407" i="1" s="1"/>
  <c r="AP408" i="1" s="1"/>
  <c r="AP409" i="1" s="1"/>
  <c r="AP410" i="1" s="1"/>
  <c r="AP411" i="1" s="1"/>
  <c r="AP412" i="1" s="1"/>
  <c r="AP413" i="1" s="1"/>
  <c r="AP414" i="1" s="1"/>
  <c r="AP415" i="1" s="1"/>
  <c r="AP416" i="1" s="1"/>
  <c r="AP417" i="1" s="1"/>
  <c r="AP418" i="1" s="1"/>
  <c r="AP419" i="1" s="1"/>
  <c r="AP420" i="1" s="1"/>
  <c r="AP421" i="1" s="1"/>
  <c r="AP422" i="1" s="1"/>
  <c r="AP423" i="1" s="1"/>
  <c r="AP424" i="1" s="1"/>
  <c r="AP425" i="1" s="1"/>
  <c r="AP426" i="1" s="1"/>
  <c r="AP427" i="1" s="1"/>
  <c r="AP428" i="1" s="1"/>
  <c r="AP429" i="1" s="1"/>
  <c r="AP430" i="1" s="1"/>
  <c r="AP431" i="1" s="1"/>
  <c r="AP432" i="1" s="1"/>
  <c r="AP433" i="1" s="1"/>
  <c r="AP434" i="1" s="1"/>
  <c r="AP435" i="1" s="1"/>
  <c r="AP436" i="1" s="1"/>
  <c r="AP437" i="1" s="1"/>
  <c r="AP438" i="1" s="1"/>
  <c r="AP439" i="1" s="1"/>
  <c r="AP440" i="1" s="1"/>
  <c r="AP441" i="1" s="1"/>
  <c r="AP442" i="1" s="1"/>
  <c r="AP443" i="1" s="1"/>
  <c r="AP444" i="1" s="1"/>
  <c r="AP445" i="1" s="1"/>
  <c r="AP446" i="1" s="1"/>
  <c r="AP447" i="1" s="1"/>
  <c r="AP448" i="1" s="1"/>
  <c r="AP449" i="1" s="1"/>
  <c r="AP450" i="1" s="1"/>
  <c r="AP451" i="1" s="1"/>
  <c r="AP452" i="1" s="1"/>
  <c r="AP453" i="1" s="1"/>
  <c r="AP454" i="1" s="1"/>
  <c r="AP455" i="1" s="1"/>
  <c r="AP456" i="1" s="1"/>
  <c r="AP457" i="1" s="1"/>
  <c r="AP458" i="1" s="1"/>
  <c r="AP459" i="1" s="1"/>
  <c r="AP460" i="1" s="1"/>
  <c r="AP461" i="1" s="1"/>
  <c r="AP462" i="1" s="1"/>
  <c r="AP463" i="1" s="1"/>
  <c r="AP464" i="1" s="1"/>
  <c r="AP465" i="1" s="1"/>
  <c r="AP466" i="1" s="1"/>
  <c r="AP467" i="1" s="1"/>
  <c r="AP468" i="1" s="1"/>
  <c r="AP469" i="1" s="1"/>
  <c r="AP470" i="1" s="1"/>
  <c r="AP471" i="1" s="1"/>
  <c r="AP472" i="1" s="1"/>
  <c r="AP473" i="1" s="1"/>
  <c r="AP474" i="1" s="1"/>
  <c r="AP475" i="1" s="1"/>
  <c r="AP476" i="1" s="1"/>
  <c r="AP477" i="1" s="1"/>
  <c r="AP478" i="1" s="1"/>
  <c r="AP479" i="1" s="1"/>
  <c r="AP480" i="1" s="1"/>
  <c r="AP481" i="1" s="1"/>
  <c r="AP482" i="1" s="1"/>
  <c r="AP483" i="1" s="1"/>
  <c r="AP484" i="1" s="1"/>
  <c r="AP485" i="1" s="1"/>
  <c r="AP486" i="1" s="1"/>
  <c r="AP487" i="1" s="1"/>
  <c r="AP488" i="1" s="1"/>
  <c r="AP489" i="1" s="1"/>
  <c r="AP490" i="1" s="1"/>
  <c r="AP491" i="1" s="1"/>
  <c r="AP492" i="1" s="1"/>
  <c r="AP493" i="1" s="1"/>
  <c r="AP494" i="1" s="1"/>
  <c r="AP495" i="1" s="1"/>
  <c r="AP496" i="1" s="1"/>
  <c r="AP497" i="1" s="1"/>
  <c r="AP498" i="1" s="1"/>
  <c r="AP499" i="1" s="1"/>
  <c r="AP500" i="1" s="1"/>
  <c r="AP501" i="1" s="1"/>
  <c r="AP502" i="1" s="1"/>
  <c r="AP503" i="1" s="1"/>
  <c r="AP504" i="1" s="1"/>
  <c r="AP505" i="1" s="1"/>
  <c r="AP506" i="1" s="1"/>
  <c r="AP507" i="1" s="1"/>
  <c r="AP508" i="1" s="1"/>
  <c r="AP509" i="1" s="1"/>
  <c r="AP510" i="1" s="1"/>
  <c r="AP511" i="1" s="1"/>
  <c r="AP512" i="1" s="1"/>
  <c r="AP513" i="1" s="1"/>
  <c r="AP514" i="1" s="1"/>
  <c r="AP515" i="1" s="1"/>
  <c r="AP516" i="1" s="1"/>
  <c r="AP517" i="1" s="1"/>
  <c r="AP518" i="1" s="1"/>
  <c r="AP519" i="1" s="1"/>
  <c r="AP520" i="1" s="1"/>
  <c r="AP521" i="1" s="1"/>
  <c r="AP522" i="1" s="1"/>
  <c r="AP523" i="1" s="1"/>
  <c r="AP524" i="1" s="1"/>
  <c r="AP525" i="1" s="1"/>
  <c r="AP526" i="1" s="1"/>
  <c r="AP527" i="1" s="1"/>
  <c r="AP528" i="1" s="1"/>
  <c r="AP529" i="1" s="1"/>
  <c r="AP530" i="1" s="1"/>
  <c r="AP531" i="1" s="1"/>
  <c r="AP532" i="1" s="1"/>
  <c r="AP533" i="1" s="1"/>
  <c r="AP534" i="1" s="1"/>
  <c r="AP535" i="1" s="1"/>
  <c r="AP536" i="1" s="1"/>
  <c r="AP537" i="1" s="1"/>
  <c r="AP538" i="1" s="1"/>
  <c r="AP539" i="1" s="1"/>
  <c r="AP540" i="1" s="1"/>
  <c r="AP541" i="1" s="1"/>
  <c r="AP542" i="1" s="1"/>
  <c r="AP543" i="1" s="1"/>
  <c r="AP544" i="1" s="1"/>
  <c r="AP545" i="1" s="1"/>
  <c r="AP546" i="1" s="1"/>
  <c r="AP547" i="1" s="1"/>
  <c r="AP548" i="1" s="1"/>
  <c r="AP549" i="1" s="1"/>
  <c r="AP550" i="1" s="1"/>
  <c r="AP551" i="1" s="1"/>
  <c r="AP552" i="1" s="1"/>
  <c r="AP553" i="1" s="1"/>
  <c r="AP554" i="1" s="1"/>
  <c r="AP555" i="1" s="1"/>
  <c r="AP556" i="1" s="1"/>
  <c r="AP557" i="1" s="1"/>
  <c r="AP558" i="1" s="1"/>
  <c r="AP559" i="1" s="1"/>
  <c r="AP560" i="1" s="1"/>
  <c r="AP561" i="1" s="1"/>
  <c r="AP562" i="1" s="1"/>
  <c r="AP563" i="1" s="1"/>
  <c r="AP564" i="1" s="1"/>
  <c r="AP565" i="1" s="1"/>
  <c r="AP566" i="1" s="1"/>
  <c r="AP567" i="1" s="1"/>
  <c r="AP568" i="1" s="1"/>
  <c r="AP569" i="1" s="1"/>
  <c r="AP570" i="1" s="1"/>
  <c r="AP571" i="1" s="1"/>
  <c r="AP572" i="1" s="1"/>
  <c r="AP573" i="1" s="1"/>
  <c r="AP574" i="1" s="1"/>
  <c r="AP575" i="1" s="1"/>
  <c r="AP576" i="1" s="1"/>
  <c r="AP577" i="1" s="1"/>
  <c r="AP578" i="1" s="1"/>
  <c r="AP579" i="1" s="1"/>
  <c r="AP580" i="1" s="1"/>
  <c r="AP581" i="1" s="1"/>
  <c r="AP582" i="1" s="1"/>
  <c r="AP583" i="1" s="1"/>
  <c r="AP584" i="1" s="1"/>
  <c r="AP585" i="1" s="1"/>
  <c r="AP586" i="1" s="1"/>
  <c r="AP587" i="1" s="1"/>
  <c r="AP588" i="1" s="1"/>
  <c r="AP589" i="1" s="1"/>
  <c r="AP590" i="1" s="1"/>
  <c r="AP591" i="1" s="1"/>
  <c r="AP592" i="1" s="1"/>
  <c r="AP593" i="1" s="1"/>
  <c r="AP594" i="1" s="1"/>
  <c r="AP595" i="1" s="1"/>
  <c r="AP596" i="1" s="1"/>
  <c r="AP597" i="1" s="1"/>
  <c r="AP598" i="1" s="1"/>
  <c r="AP599" i="1" s="1"/>
  <c r="AP600" i="1" s="1"/>
  <c r="AP601" i="1" s="1"/>
  <c r="AP602" i="1" s="1"/>
  <c r="AP603" i="1" s="1"/>
  <c r="AP604" i="1" s="1"/>
  <c r="AP605" i="1" s="1"/>
  <c r="AP606" i="1" s="1"/>
  <c r="AP607" i="1" s="1"/>
  <c r="AP608" i="1" s="1"/>
  <c r="AP609" i="1" s="1"/>
  <c r="AP610" i="1" s="1"/>
  <c r="AP611" i="1" s="1"/>
  <c r="AP612" i="1" s="1"/>
  <c r="AP613" i="1" s="1"/>
  <c r="AP614" i="1" s="1"/>
  <c r="AP615" i="1" s="1"/>
  <c r="AP616" i="1" s="1"/>
  <c r="AP617" i="1" s="1"/>
  <c r="AP618" i="1" s="1"/>
  <c r="AP619" i="1" s="1"/>
  <c r="AP620" i="1" s="1"/>
  <c r="AP621" i="1" s="1"/>
  <c r="AP622" i="1" s="1"/>
  <c r="AP623" i="1" s="1"/>
  <c r="AP624" i="1" s="1"/>
  <c r="AP625" i="1" s="1"/>
  <c r="AP626" i="1" s="1"/>
  <c r="AP627" i="1" s="1"/>
  <c r="AP628" i="1" s="1"/>
  <c r="AP629" i="1" s="1"/>
  <c r="AP630" i="1" s="1"/>
  <c r="AP631" i="1" s="1"/>
  <c r="AP632" i="1" s="1"/>
  <c r="AP633" i="1" s="1"/>
  <c r="AP634" i="1" s="1"/>
  <c r="AP635" i="1" s="1"/>
  <c r="AP636" i="1" s="1"/>
  <c r="AP637" i="1" s="1"/>
  <c r="AP638" i="1" s="1"/>
  <c r="AP639" i="1" s="1"/>
  <c r="AP640" i="1" s="1"/>
  <c r="AP641" i="1" s="1"/>
  <c r="AP642" i="1" s="1"/>
  <c r="AP643" i="1" s="1"/>
  <c r="AP644" i="1" s="1"/>
  <c r="AP645" i="1" s="1"/>
  <c r="AP646" i="1" s="1"/>
  <c r="AP647" i="1" s="1"/>
  <c r="AP648" i="1" s="1"/>
  <c r="AP649" i="1" s="1"/>
  <c r="AP650" i="1" s="1"/>
  <c r="AP651" i="1" s="1"/>
  <c r="AP652" i="1" s="1"/>
  <c r="AP653" i="1" s="1"/>
  <c r="AP654" i="1" s="1"/>
  <c r="AP655" i="1" s="1"/>
  <c r="AP656" i="1" s="1"/>
  <c r="AP657" i="1" s="1"/>
  <c r="AP658" i="1" s="1"/>
  <c r="AP659" i="1" s="1"/>
  <c r="AP660" i="1" s="1"/>
  <c r="AP661" i="1" s="1"/>
  <c r="AP662" i="1" s="1"/>
  <c r="AP663" i="1" s="1"/>
  <c r="AP664" i="1" s="1"/>
  <c r="AP665" i="1" s="1"/>
  <c r="AP666" i="1" s="1"/>
  <c r="AP667" i="1" s="1"/>
  <c r="AP668" i="1" s="1"/>
  <c r="AP669" i="1" s="1"/>
  <c r="AP670" i="1" s="1"/>
  <c r="AP671" i="1" s="1"/>
  <c r="AP672" i="1" s="1"/>
  <c r="AP673" i="1" s="1"/>
  <c r="AP674" i="1" s="1"/>
  <c r="AP675" i="1" s="1"/>
  <c r="AP676" i="1" s="1"/>
  <c r="AP677" i="1" s="1"/>
  <c r="AP678" i="1" s="1"/>
  <c r="AP679" i="1" s="1"/>
  <c r="AP680" i="1" s="1"/>
  <c r="AP681" i="1" s="1"/>
  <c r="AP682" i="1" s="1"/>
  <c r="AP683" i="1" s="1"/>
  <c r="AP684" i="1" s="1"/>
  <c r="AP685" i="1" s="1"/>
  <c r="AP686" i="1" s="1"/>
  <c r="AP687" i="1" s="1"/>
  <c r="AP688" i="1" s="1"/>
  <c r="AP689" i="1" s="1"/>
  <c r="AP690" i="1" s="1"/>
  <c r="AP691" i="1" s="1"/>
  <c r="AP692" i="1" s="1"/>
  <c r="AP693" i="1" s="1"/>
  <c r="AP694" i="1" s="1"/>
  <c r="AP695" i="1" s="1"/>
  <c r="AP696" i="1" s="1"/>
  <c r="AP697" i="1" s="1"/>
  <c r="AP698" i="1" s="1"/>
  <c r="AP699" i="1" s="1"/>
  <c r="AP700" i="1" s="1"/>
  <c r="AP701" i="1" s="1"/>
  <c r="AP702" i="1" s="1"/>
  <c r="AP703" i="1" s="1"/>
  <c r="AP704" i="1" s="1"/>
  <c r="AP705" i="1" s="1"/>
  <c r="AP706" i="1" s="1"/>
  <c r="AP707" i="1" s="1"/>
  <c r="AP708" i="1" s="1"/>
  <c r="AP709" i="1" s="1"/>
  <c r="AP710" i="1" s="1"/>
  <c r="AP711" i="1" s="1"/>
  <c r="AP712" i="1" s="1"/>
  <c r="AP713" i="1" s="1"/>
  <c r="AP714" i="1" s="1"/>
  <c r="AP715" i="1" s="1"/>
  <c r="AP716" i="1" s="1"/>
  <c r="AP717" i="1" s="1"/>
  <c r="AP718" i="1" s="1"/>
  <c r="AP719" i="1" s="1"/>
  <c r="AP720" i="1" s="1"/>
  <c r="AP721" i="1" s="1"/>
  <c r="AP722" i="1" s="1"/>
  <c r="AP723" i="1" s="1"/>
  <c r="AP724" i="1" s="1"/>
  <c r="AP725" i="1" s="1"/>
  <c r="AP726" i="1" s="1"/>
  <c r="AP727" i="1" s="1"/>
  <c r="AP728" i="1" s="1"/>
  <c r="AP729" i="1" s="1"/>
  <c r="AP730" i="1" s="1"/>
  <c r="AP731" i="1" s="1"/>
  <c r="AP732" i="1" s="1"/>
  <c r="AP733" i="1" s="1"/>
  <c r="AP734" i="1" s="1"/>
  <c r="AP735" i="1" s="1"/>
  <c r="AP736" i="1" s="1"/>
  <c r="AP737" i="1" s="1"/>
  <c r="AP738" i="1" s="1"/>
  <c r="AP739" i="1" s="1"/>
  <c r="AP740" i="1" s="1"/>
  <c r="AP741" i="1" s="1"/>
  <c r="AP742" i="1" s="1"/>
  <c r="AP743" i="1" s="1"/>
  <c r="AP744" i="1" s="1"/>
  <c r="AP745" i="1" s="1"/>
  <c r="AP746" i="1" s="1"/>
  <c r="AP747" i="1" s="1"/>
  <c r="AP748" i="1" s="1"/>
  <c r="AP749" i="1" s="1"/>
  <c r="AP750" i="1" s="1"/>
  <c r="AP751" i="1" s="1"/>
  <c r="AP752" i="1" s="1"/>
  <c r="AP753" i="1" s="1"/>
  <c r="AP754" i="1" s="1"/>
  <c r="AP755" i="1" s="1"/>
  <c r="AP756" i="1" s="1"/>
  <c r="AP757" i="1" s="1"/>
  <c r="AP758" i="1" s="1"/>
  <c r="AP759" i="1" s="1"/>
  <c r="AP760" i="1" s="1"/>
  <c r="AP761" i="1" s="1"/>
  <c r="AP762" i="1" s="1"/>
  <c r="AP763" i="1" s="1"/>
  <c r="AP764" i="1" s="1"/>
  <c r="AP765" i="1" s="1"/>
  <c r="AP766" i="1" s="1"/>
  <c r="AP767" i="1" s="1"/>
  <c r="AP768" i="1" s="1"/>
  <c r="AP769" i="1" s="1"/>
  <c r="AP770" i="1" s="1"/>
  <c r="AP771" i="1" s="1"/>
  <c r="AP772" i="1" s="1"/>
  <c r="AP773" i="1" s="1"/>
  <c r="AP774" i="1" s="1"/>
  <c r="AP775" i="1" s="1"/>
  <c r="AP776" i="1" s="1"/>
  <c r="AP777" i="1" s="1"/>
  <c r="AP778" i="1" s="1"/>
  <c r="AP779" i="1" s="1"/>
  <c r="AP780" i="1" s="1"/>
  <c r="AP781" i="1" s="1"/>
  <c r="AP782" i="1" s="1"/>
  <c r="AP783" i="1" s="1"/>
  <c r="AP784" i="1" s="1"/>
  <c r="AP785" i="1" s="1"/>
  <c r="AP786" i="1" s="1"/>
  <c r="AP787" i="1" s="1"/>
  <c r="AP788" i="1" s="1"/>
  <c r="AP789" i="1" s="1"/>
  <c r="AP790" i="1" s="1"/>
  <c r="AP791" i="1" s="1"/>
  <c r="AP792" i="1" s="1"/>
  <c r="AP793" i="1" s="1"/>
  <c r="AP794" i="1" s="1"/>
  <c r="AP795" i="1" s="1"/>
  <c r="AP796" i="1" s="1"/>
  <c r="AP797" i="1" s="1"/>
  <c r="AP798" i="1" s="1"/>
  <c r="AP799" i="1" s="1"/>
  <c r="AP800" i="1" s="1"/>
  <c r="AP801" i="1" s="1"/>
  <c r="AP802" i="1" s="1"/>
  <c r="AP803" i="1" s="1"/>
  <c r="AP804" i="1" s="1"/>
  <c r="AP805" i="1" s="1"/>
  <c r="AP806" i="1" s="1"/>
  <c r="AP807" i="1" s="1"/>
  <c r="AP808" i="1" s="1"/>
  <c r="AP809" i="1" s="1"/>
  <c r="AP810" i="1" s="1"/>
  <c r="AP811" i="1" s="1"/>
  <c r="AP812" i="1" s="1"/>
  <c r="AP813" i="1" s="1"/>
  <c r="AP814" i="1" s="1"/>
  <c r="AP815" i="1" s="1"/>
  <c r="AP816" i="1" s="1"/>
  <c r="AP817" i="1" s="1"/>
  <c r="AP818" i="1" s="1"/>
  <c r="AP819" i="1" s="1"/>
  <c r="AP820" i="1" s="1"/>
  <c r="AP821" i="1" s="1"/>
  <c r="AP822" i="1" s="1"/>
  <c r="AP823" i="1" s="1"/>
  <c r="AP824" i="1" s="1"/>
  <c r="AP825" i="1" s="1"/>
  <c r="AP826" i="1" s="1"/>
  <c r="AP827" i="1" s="1"/>
  <c r="AP828" i="1" s="1"/>
  <c r="AP829" i="1" s="1"/>
  <c r="AP830" i="1" s="1"/>
  <c r="AP831" i="1" s="1"/>
  <c r="AP832" i="1" s="1"/>
  <c r="AP833" i="1" s="1"/>
  <c r="AP834" i="1" s="1"/>
  <c r="AP835" i="1" s="1"/>
  <c r="AP836" i="1" s="1"/>
  <c r="AP837" i="1" s="1"/>
  <c r="AP838" i="1" s="1"/>
  <c r="AP839" i="1" s="1"/>
  <c r="AP840" i="1" s="1"/>
  <c r="AP841" i="1" s="1"/>
  <c r="AP842" i="1" s="1"/>
  <c r="AP843" i="1" s="1"/>
  <c r="AP844" i="1" s="1"/>
  <c r="AP845" i="1" s="1"/>
  <c r="AP846" i="1" s="1"/>
  <c r="AP847" i="1" s="1"/>
  <c r="AP848" i="1" s="1"/>
  <c r="AP849" i="1" s="1"/>
  <c r="AP850" i="1" s="1"/>
  <c r="AP851" i="1" s="1"/>
  <c r="AP852" i="1" s="1"/>
  <c r="AP853" i="1" s="1"/>
  <c r="AP854" i="1" s="1"/>
  <c r="AP855" i="1" s="1"/>
  <c r="AP856" i="1" s="1"/>
  <c r="AP857" i="1" s="1"/>
  <c r="AP858" i="1" s="1"/>
  <c r="AP859" i="1" s="1"/>
  <c r="AP860" i="1" s="1"/>
  <c r="AP861" i="1" s="1"/>
  <c r="AP862" i="1" s="1"/>
  <c r="AP863" i="1" s="1"/>
  <c r="AP864" i="1" s="1"/>
  <c r="AP865" i="1" s="1"/>
  <c r="AP866" i="1" s="1"/>
  <c r="AP867" i="1" s="1"/>
  <c r="AP868" i="1" s="1"/>
  <c r="AP869" i="1" s="1"/>
  <c r="AP870" i="1" s="1"/>
  <c r="AP871" i="1" s="1"/>
  <c r="AP872" i="1" s="1"/>
  <c r="AP873" i="1" s="1"/>
  <c r="AP874" i="1" s="1"/>
  <c r="AP875" i="1" s="1"/>
  <c r="AP876" i="1" s="1"/>
  <c r="AP877" i="1" s="1"/>
  <c r="AP878" i="1" s="1"/>
  <c r="AP879" i="1" s="1"/>
  <c r="AP880" i="1" s="1"/>
  <c r="AP881" i="1" s="1"/>
  <c r="AP882" i="1" s="1"/>
  <c r="AP883" i="1" s="1"/>
  <c r="AP884" i="1" s="1"/>
  <c r="AP885" i="1" s="1"/>
  <c r="AP886" i="1" s="1"/>
  <c r="AP887" i="1" s="1"/>
  <c r="AP888" i="1" s="1"/>
  <c r="AP889" i="1" s="1"/>
  <c r="AP890" i="1" s="1"/>
  <c r="AP891" i="1" s="1"/>
  <c r="AP892" i="1" s="1"/>
  <c r="AP893" i="1" s="1"/>
  <c r="AP894" i="1" s="1"/>
  <c r="AP895" i="1" s="1"/>
  <c r="AP896" i="1" s="1"/>
  <c r="AP897" i="1" s="1"/>
  <c r="AP898" i="1" s="1"/>
  <c r="AP899" i="1" s="1"/>
  <c r="AP900" i="1" s="1"/>
  <c r="AP901" i="1" s="1"/>
  <c r="AP902" i="1" s="1"/>
  <c r="AP903" i="1" s="1"/>
  <c r="AP904" i="1" s="1"/>
  <c r="AP905" i="1" s="1"/>
  <c r="AP906" i="1" s="1"/>
  <c r="AP907" i="1" s="1"/>
  <c r="AP908" i="1" s="1"/>
  <c r="AP909" i="1" s="1"/>
  <c r="AP910" i="1" s="1"/>
  <c r="AP911" i="1" s="1"/>
  <c r="AP912" i="1" s="1"/>
  <c r="AP913" i="1" s="1"/>
  <c r="AP914" i="1" s="1"/>
  <c r="AP915" i="1" s="1"/>
  <c r="AP916" i="1" s="1"/>
  <c r="AP917" i="1" s="1"/>
  <c r="AP918" i="1" s="1"/>
  <c r="AP919" i="1" s="1"/>
  <c r="AP920" i="1" s="1"/>
  <c r="AP921" i="1" s="1"/>
  <c r="AP922" i="1" s="1"/>
  <c r="AP923" i="1" s="1"/>
  <c r="AP924" i="1" s="1"/>
  <c r="AP925" i="1" s="1"/>
  <c r="AP926" i="1" s="1"/>
  <c r="AP927" i="1" s="1"/>
  <c r="AP928" i="1" s="1"/>
  <c r="AP929" i="1" s="1"/>
  <c r="AP930" i="1" s="1"/>
  <c r="AP931" i="1" s="1"/>
  <c r="AP932" i="1" s="1"/>
  <c r="AP933" i="1" s="1"/>
  <c r="AP934" i="1" s="1"/>
  <c r="AP935" i="1" s="1"/>
  <c r="AP936" i="1" s="1"/>
  <c r="AP937" i="1" s="1"/>
  <c r="AP938" i="1" s="1"/>
  <c r="AP939" i="1" s="1"/>
  <c r="AP940" i="1" s="1"/>
  <c r="AP941" i="1" s="1"/>
  <c r="AP942" i="1" s="1"/>
  <c r="AP943" i="1" s="1"/>
  <c r="AP944" i="1" s="1"/>
  <c r="AP945" i="1" s="1"/>
  <c r="AP946" i="1" s="1"/>
  <c r="AP947" i="1" s="1"/>
  <c r="AP948" i="1" s="1"/>
  <c r="AP949" i="1" s="1"/>
  <c r="AP950" i="1" s="1"/>
  <c r="AP951" i="1" s="1"/>
  <c r="AP952" i="1" s="1"/>
  <c r="AP953" i="1" s="1"/>
  <c r="AP954" i="1" s="1"/>
  <c r="AP955" i="1" s="1"/>
  <c r="AP956" i="1" s="1"/>
  <c r="AP957" i="1" s="1"/>
  <c r="AP958" i="1" s="1"/>
  <c r="AP959" i="1" s="1"/>
  <c r="AP960" i="1" s="1"/>
  <c r="AP961" i="1" s="1"/>
  <c r="AP962" i="1" s="1"/>
  <c r="AP963" i="1" s="1"/>
  <c r="AP964" i="1" s="1"/>
  <c r="AP965" i="1" s="1"/>
  <c r="AP966" i="1" s="1"/>
  <c r="AP967" i="1" s="1"/>
  <c r="AP968" i="1" s="1"/>
  <c r="AP969" i="1" s="1"/>
  <c r="AP970" i="1" s="1"/>
  <c r="AP971" i="1" s="1"/>
  <c r="AP972" i="1" s="1"/>
  <c r="AP973" i="1" s="1"/>
  <c r="AP974" i="1" s="1"/>
  <c r="AP975" i="1" s="1"/>
  <c r="AP976" i="1" s="1"/>
  <c r="AP977" i="1" s="1"/>
  <c r="AP978" i="1" s="1"/>
  <c r="AP979" i="1" s="1"/>
  <c r="AP980" i="1" s="1"/>
  <c r="AP981" i="1" s="1"/>
  <c r="AP982" i="1" s="1"/>
  <c r="AP983" i="1" s="1"/>
  <c r="AP984" i="1" s="1"/>
  <c r="AP985" i="1" s="1"/>
  <c r="AP986" i="1" s="1"/>
  <c r="AP987" i="1" s="1"/>
  <c r="AP988" i="1" s="1"/>
  <c r="AP989" i="1" s="1"/>
  <c r="AP990" i="1" s="1"/>
  <c r="AP991" i="1" s="1"/>
  <c r="AP992" i="1" s="1"/>
  <c r="AP993" i="1" s="1"/>
  <c r="AP994" i="1" s="1"/>
  <c r="AP995" i="1" s="1"/>
  <c r="AP996" i="1" s="1"/>
  <c r="AP997" i="1" s="1"/>
  <c r="AP998" i="1" s="1"/>
  <c r="AP999" i="1" s="1"/>
  <c r="AP1000" i="1" s="1"/>
  <c r="AP1001" i="1" s="1"/>
  <c r="AP1002" i="1" s="1"/>
  <c r="AP1003" i="1" s="1"/>
  <c r="AP1004" i="1" s="1"/>
  <c r="AP1005" i="1" s="1"/>
  <c r="AP1006" i="1" s="1"/>
  <c r="AP1007" i="1" s="1"/>
  <c r="AP1008" i="1" s="1"/>
  <c r="AP1009" i="1" s="1"/>
  <c r="AP1010" i="1" s="1"/>
  <c r="AP1011" i="1" s="1"/>
  <c r="AP1012" i="1" s="1"/>
  <c r="AP1013" i="1" s="1"/>
  <c r="AP1014" i="1" s="1"/>
  <c r="AP1015" i="1" s="1"/>
  <c r="AP1016" i="1" s="1"/>
  <c r="AP1017" i="1" s="1"/>
  <c r="AP1018" i="1" s="1"/>
  <c r="AP1019" i="1" s="1"/>
  <c r="AP1020" i="1" s="1"/>
  <c r="AP1021" i="1" s="1"/>
  <c r="AP1022" i="1" s="1"/>
  <c r="AP1023" i="1" s="1"/>
  <c r="AP1024" i="1" s="1"/>
  <c r="AP1025" i="1" s="1"/>
  <c r="AP1026" i="1" s="1"/>
  <c r="AP1027" i="1" s="1"/>
  <c r="AP1028" i="1" s="1"/>
  <c r="AP1029" i="1" s="1"/>
  <c r="AP1030" i="1" s="1"/>
  <c r="AP1031" i="1" s="1"/>
  <c r="AP1032" i="1" s="1"/>
  <c r="AP1033" i="1" s="1"/>
  <c r="AP1034" i="1" s="1"/>
  <c r="AP1035" i="1" s="1"/>
  <c r="AP1036" i="1" s="1"/>
  <c r="AP1037" i="1" s="1"/>
  <c r="AP1038" i="1" s="1"/>
  <c r="AP1039" i="1" s="1"/>
  <c r="AP1040" i="1" s="1"/>
  <c r="AP1041" i="1" s="1"/>
  <c r="AP1042" i="1" s="1"/>
  <c r="AP1043" i="1" s="1"/>
  <c r="AP1044" i="1" s="1"/>
  <c r="AP1045" i="1" s="1"/>
  <c r="AP1046" i="1" s="1"/>
  <c r="AP1047" i="1" s="1"/>
  <c r="AP1048" i="1" s="1"/>
  <c r="AP1049" i="1" s="1"/>
  <c r="AP1050" i="1" s="1"/>
  <c r="AP1051" i="1" s="1"/>
  <c r="AP1052" i="1" s="1"/>
  <c r="AP1053" i="1" s="1"/>
  <c r="AP1054" i="1" s="1"/>
  <c r="AP1055" i="1" s="1"/>
  <c r="AP1056" i="1" s="1"/>
  <c r="AP1057" i="1" s="1"/>
  <c r="AP1058" i="1" s="1"/>
  <c r="AP1059" i="1" s="1"/>
  <c r="AP1060" i="1" s="1"/>
  <c r="AP1061" i="1" s="1"/>
  <c r="AP1062" i="1" s="1"/>
  <c r="AP1063" i="1" s="1"/>
  <c r="AP1064" i="1" s="1"/>
  <c r="AP1065" i="1" s="1"/>
  <c r="AP1066" i="1" s="1"/>
  <c r="AP1067" i="1" s="1"/>
  <c r="AP1068" i="1" s="1"/>
  <c r="AP1069" i="1" s="1"/>
  <c r="AP1070" i="1" s="1"/>
  <c r="AP1071" i="1" s="1"/>
  <c r="AP1072" i="1" s="1"/>
  <c r="AP1073" i="1" s="1"/>
  <c r="AP1074" i="1" s="1"/>
  <c r="AP1075" i="1" s="1"/>
  <c r="AP1076" i="1" s="1"/>
  <c r="AP1077" i="1" s="1"/>
  <c r="AP1078" i="1" s="1"/>
  <c r="AP1079" i="1" s="1"/>
  <c r="AP1080" i="1" s="1"/>
  <c r="AP1081" i="1" s="1"/>
  <c r="AP1082" i="1" s="1"/>
  <c r="AP1083" i="1" s="1"/>
  <c r="AP1084" i="1" s="1"/>
  <c r="AP1085" i="1" s="1"/>
  <c r="AP1086" i="1" s="1"/>
  <c r="AP1087" i="1" s="1"/>
  <c r="AP1088" i="1" s="1"/>
  <c r="AP1089" i="1" s="1"/>
  <c r="AP1090" i="1" s="1"/>
  <c r="AP1091" i="1" s="1"/>
  <c r="AP1092" i="1" s="1"/>
  <c r="AP1093" i="1" s="1"/>
  <c r="AP1094" i="1" s="1"/>
  <c r="AP1095" i="1" s="1"/>
  <c r="AP1096" i="1" s="1"/>
  <c r="AP1097" i="1" s="1"/>
  <c r="AP1098" i="1" s="1"/>
  <c r="AP1099" i="1" s="1"/>
  <c r="AP1100" i="1" s="1"/>
  <c r="AP1101" i="1" s="1"/>
  <c r="AP1102" i="1" s="1"/>
  <c r="AP1103" i="1" s="1"/>
  <c r="AP1104" i="1" s="1"/>
  <c r="AP1105" i="1" s="1"/>
  <c r="AP1106" i="1" s="1"/>
  <c r="AP1107" i="1" s="1"/>
  <c r="AP1108" i="1" s="1"/>
  <c r="AP1109" i="1" s="1"/>
  <c r="AP1110" i="1" s="1"/>
  <c r="AP1111" i="1" s="1"/>
  <c r="AP1112" i="1" s="1"/>
  <c r="AP1113" i="1" s="1"/>
  <c r="AP1114" i="1" s="1"/>
  <c r="AP1115" i="1" s="1"/>
  <c r="AP1116" i="1" s="1"/>
  <c r="AP1117" i="1" s="1"/>
  <c r="AP1118" i="1" s="1"/>
  <c r="AP1119" i="1" s="1"/>
  <c r="AP1120" i="1" s="1"/>
  <c r="AP1121" i="1" s="1"/>
  <c r="AP1122" i="1" s="1"/>
  <c r="AP1123" i="1" s="1"/>
  <c r="AP1124" i="1" s="1"/>
  <c r="AP1125" i="1" s="1"/>
  <c r="AP1126" i="1" s="1"/>
  <c r="AP1127" i="1" s="1"/>
  <c r="AP1128" i="1" s="1"/>
  <c r="AP1129" i="1" s="1"/>
  <c r="AP1130" i="1" s="1"/>
  <c r="AP1131" i="1" s="1"/>
  <c r="AP1132" i="1" s="1"/>
  <c r="AP1133" i="1" s="1"/>
  <c r="AP1134" i="1" s="1"/>
  <c r="AP1135" i="1" s="1"/>
  <c r="AP1136" i="1" s="1"/>
  <c r="AP1137" i="1" s="1"/>
  <c r="AP1138" i="1" s="1"/>
  <c r="AP1139" i="1" s="1"/>
  <c r="AP1140" i="1" s="1"/>
  <c r="AP1141" i="1" s="1"/>
  <c r="AP1142" i="1" s="1"/>
  <c r="AP1143" i="1" s="1"/>
  <c r="AP1144" i="1" s="1"/>
  <c r="AP1145" i="1" s="1"/>
  <c r="AP1146" i="1" s="1"/>
  <c r="AP1147" i="1" s="1"/>
  <c r="AP1148" i="1" s="1"/>
  <c r="AP1149" i="1" s="1"/>
  <c r="AP1150" i="1" s="1"/>
  <c r="AP1151" i="1" s="1"/>
  <c r="AP1152" i="1" s="1"/>
  <c r="AP1153" i="1" s="1"/>
  <c r="AP1154" i="1" s="1"/>
  <c r="AP1155" i="1" s="1"/>
  <c r="AP1156" i="1" s="1"/>
  <c r="AP1157" i="1" s="1"/>
  <c r="AP1158" i="1" s="1"/>
  <c r="AP1159" i="1" s="1"/>
  <c r="AP1160" i="1" s="1"/>
  <c r="AP1161" i="1" s="1"/>
  <c r="AP1162" i="1" s="1"/>
  <c r="AP1163" i="1" s="1"/>
  <c r="AP1164" i="1" s="1"/>
  <c r="AP1165" i="1" s="1"/>
  <c r="AP1166" i="1" s="1"/>
  <c r="AP1167" i="1" s="1"/>
  <c r="AP1168" i="1" s="1"/>
  <c r="AP1169" i="1" s="1"/>
  <c r="AP1170" i="1" s="1"/>
  <c r="AP1171" i="1" s="1"/>
  <c r="AP1172" i="1" s="1"/>
  <c r="AP1173" i="1" s="1"/>
  <c r="AP1174" i="1" s="1"/>
  <c r="AP1175" i="1" s="1"/>
  <c r="AP1176" i="1" s="1"/>
  <c r="AP1177" i="1" s="1"/>
  <c r="AP1178" i="1" s="1"/>
  <c r="AP1179" i="1" s="1"/>
  <c r="AP1180" i="1" s="1"/>
  <c r="AP1181" i="1" s="1"/>
  <c r="AP1182" i="1" s="1"/>
  <c r="AP1183" i="1" s="1"/>
  <c r="AP1184" i="1" s="1"/>
  <c r="AP1185" i="1" s="1"/>
  <c r="AP1186" i="1" s="1"/>
  <c r="AP1187" i="1" s="1"/>
  <c r="AP1188" i="1" s="1"/>
  <c r="AP1189" i="1" s="1"/>
  <c r="AP1190" i="1" s="1"/>
  <c r="AP1191" i="1" s="1"/>
  <c r="AP1192" i="1" s="1"/>
  <c r="AP1193" i="1" s="1"/>
  <c r="AP1194" i="1" s="1"/>
  <c r="AP1195" i="1" s="1"/>
  <c r="AP1196" i="1" s="1"/>
  <c r="AP1197" i="1" s="1"/>
  <c r="AP1198" i="1" s="1"/>
  <c r="AP1199" i="1" s="1"/>
  <c r="AP1200" i="1" s="1"/>
  <c r="AP1201" i="1" s="1"/>
  <c r="AP1202" i="1" s="1"/>
  <c r="AP1203" i="1" s="1"/>
  <c r="AP1204" i="1" s="1"/>
  <c r="AP1205" i="1" s="1"/>
  <c r="AP1206" i="1" s="1"/>
  <c r="AP1207" i="1" s="1"/>
  <c r="AP1208" i="1" s="1"/>
  <c r="AP1209" i="1" s="1"/>
  <c r="AP1210" i="1" s="1"/>
  <c r="AP1211" i="1" s="1"/>
  <c r="AP1212" i="1" s="1"/>
  <c r="AP1213" i="1" s="1"/>
  <c r="AP1214" i="1" s="1"/>
  <c r="AP1215" i="1" s="1"/>
  <c r="AP1216" i="1" s="1"/>
  <c r="AP1217" i="1" s="1"/>
  <c r="AP1218" i="1" s="1"/>
  <c r="AP1219" i="1" s="1"/>
  <c r="AP1220" i="1" s="1"/>
  <c r="AP1221" i="1" s="1"/>
  <c r="AP1222" i="1" s="1"/>
  <c r="AP1223" i="1" s="1"/>
  <c r="AP1224" i="1" s="1"/>
  <c r="AP1225" i="1" s="1"/>
  <c r="AP1226" i="1" s="1"/>
  <c r="AP1227" i="1" s="1"/>
  <c r="AP1228" i="1" s="1"/>
  <c r="AP1229" i="1" s="1"/>
  <c r="AP1230" i="1" s="1"/>
  <c r="AP1231" i="1" s="1"/>
  <c r="AP1232" i="1" s="1"/>
  <c r="AP1233" i="1" s="1"/>
  <c r="AP1234" i="1" s="1"/>
  <c r="AP1235" i="1" s="1"/>
  <c r="AP1236" i="1" s="1"/>
  <c r="AP1237" i="1" s="1"/>
  <c r="AP1238" i="1" s="1"/>
  <c r="AP1239" i="1" s="1"/>
  <c r="AP1240" i="1" s="1"/>
  <c r="AP1241" i="1" s="1"/>
  <c r="AP1242" i="1" s="1"/>
  <c r="AP1243" i="1" s="1"/>
  <c r="AP1244" i="1" s="1"/>
  <c r="AP1245" i="1" s="1"/>
  <c r="AP1246" i="1" s="1"/>
  <c r="AP1247" i="1" s="1"/>
  <c r="AP1248" i="1" s="1"/>
  <c r="AP1249" i="1" s="1"/>
  <c r="AP1250" i="1" s="1"/>
  <c r="AP1251" i="1" s="1"/>
  <c r="AP1252" i="1" s="1"/>
  <c r="AP1253" i="1" s="1"/>
  <c r="AP1254" i="1" s="1"/>
  <c r="AP1255" i="1" s="1"/>
  <c r="AP1256" i="1" s="1"/>
  <c r="AP1257" i="1" s="1"/>
  <c r="AP1258" i="1" s="1"/>
  <c r="AP1259" i="1" s="1"/>
  <c r="AP1260" i="1" s="1"/>
  <c r="AP1261" i="1" s="1"/>
  <c r="AP1262" i="1" s="1"/>
  <c r="AP1263" i="1" s="1"/>
  <c r="AP1264" i="1" s="1"/>
  <c r="AP1265" i="1" s="1"/>
  <c r="AP1266" i="1" s="1"/>
  <c r="AP1267" i="1" s="1"/>
  <c r="AP1268" i="1" s="1"/>
  <c r="AP1269" i="1" s="1"/>
  <c r="AP1270" i="1" s="1"/>
  <c r="AP1271" i="1" s="1"/>
  <c r="AP1272" i="1" s="1"/>
  <c r="AP1273" i="1" s="1"/>
  <c r="AP1274" i="1" s="1"/>
  <c r="AP1275" i="1" s="1"/>
  <c r="AP1276" i="1" s="1"/>
  <c r="AP1277" i="1" s="1"/>
  <c r="AP1278" i="1" s="1"/>
  <c r="AP1279" i="1" s="1"/>
  <c r="AP1280" i="1" s="1"/>
  <c r="AP1281" i="1" s="1"/>
  <c r="AP1282" i="1" s="1"/>
  <c r="AP1283" i="1" s="1"/>
  <c r="AP1284" i="1" s="1"/>
  <c r="AP1285" i="1" s="1"/>
  <c r="AP1286" i="1" s="1"/>
  <c r="AP1287" i="1" s="1"/>
  <c r="AP1288" i="1" s="1"/>
  <c r="AP1289" i="1" s="1"/>
  <c r="AP1290" i="1" s="1"/>
  <c r="AP1291" i="1" s="1"/>
  <c r="AP1292" i="1" s="1"/>
  <c r="AP1293" i="1" s="1"/>
  <c r="AP1294" i="1" s="1"/>
  <c r="AP1295" i="1" s="1"/>
  <c r="AP1296" i="1" s="1"/>
  <c r="AP1297" i="1" s="1"/>
  <c r="AP1298" i="1" s="1"/>
  <c r="AP1299" i="1" s="1"/>
  <c r="AP1300" i="1" s="1"/>
  <c r="AP1301" i="1" s="1"/>
  <c r="AP1302" i="1" s="1"/>
  <c r="AP1303" i="1" s="1"/>
  <c r="AP1304" i="1" s="1"/>
  <c r="AP1305" i="1" s="1"/>
  <c r="AP1306" i="1" s="1"/>
  <c r="AP1307" i="1" s="1"/>
  <c r="AP1308" i="1" s="1"/>
  <c r="AP1309" i="1" s="1"/>
  <c r="AP1310" i="1" s="1"/>
  <c r="AP1311" i="1" s="1"/>
  <c r="AP1312" i="1" s="1"/>
  <c r="AP1313" i="1" s="1"/>
  <c r="AP1314" i="1" s="1"/>
  <c r="AP1315" i="1" s="1"/>
  <c r="AP1316" i="1" s="1"/>
  <c r="AP1317" i="1" s="1"/>
  <c r="AP1318" i="1" s="1"/>
  <c r="AP1319" i="1" s="1"/>
  <c r="AP1320" i="1" s="1"/>
  <c r="AP1321" i="1" s="1"/>
  <c r="AP1322" i="1" s="1"/>
  <c r="AP1323" i="1" s="1"/>
  <c r="AP1324" i="1" s="1"/>
  <c r="AP1325" i="1" s="1"/>
  <c r="AP1326" i="1" s="1"/>
  <c r="AP1327" i="1" s="1"/>
  <c r="AP1328" i="1" s="1"/>
  <c r="AP1329" i="1" s="1"/>
  <c r="AP1330" i="1" s="1"/>
  <c r="AP1331" i="1" s="1"/>
  <c r="AP1332" i="1" s="1"/>
  <c r="AP1333" i="1" s="1"/>
  <c r="AP1334" i="1" s="1"/>
  <c r="AP1335" i="1" s="1"/>
  <c r="AP1336" i="1" s="1"/>
  <c r="AP1337" i="1" s="1"/>
  <c r="AP1338" i="1" s="1"/>
  <c r="AP1339" i="1" s="1"/>
  <c r="AP1340" i="1" s="1"/>
  <c r="AP1341" i="1" s="1"/>
  <c r="AP1342" i="1" s="1"/>
  <c r="AP1343" i="1" s="1"/>
  <c r="AP1344" i="1" s="1"/>
  <c r="AP1345" i="1" s="1"/>
  <c r="AP1346" i="1" s="1"/>
  <c r="AP1347" i="1" s="1"/>
  <c r="AP1348" i="1" s="1"/>
  <c r="AP1349" i="1" s="1"/>
  <c r="AP1350" i="1" s="1"/>
  <c r="AP1351" i="1" s="1"/>
  <c r="AP1352" i="1" s="1"/>
  <c r="AP1353" i="1" s="1"/>
  <c r="AP1354" i="1" s="1"/>
  <c r="AP1355" i="1" s="1"/>
  <c r="AP1356" i="1" s="1"/>
  <c r="AP1357" i="1" s="1"/>
  <c r="AP1358" i="1" s="1"/>
  <c r="AP1359" i="1" s="1"/>
  <c r="AP1360" i="1" s="1"/>
  <c r="AP1361" i="1" s="1"/>
  <c r="AP1362" i="1" s="1"/>
  <c r="AP1363" i="1" s="1"/>
  <c r="AP1364" i="1" s="1"/>
  <c r="AP1365" i="1" s="1"/>
  <c r="AP1366" i="1" s="1"/>
  <c r="AP1367" i="1" s="1"/>
  <c r="AP1368" i="1" s="1"/>
  <c r="AP1369" i="1" s="1"/>
  <c r="AP1370" i="1" s="1"/>
  <c r="AP1371" i="1" s="1"/>
  <c r="AP1372" i="1" s="1"/>
  <c r="AP1373" i="1" s="1"/>
  <c r="AP1374" i="1" s="1"/>
  <c r="AP1375" i="1" s="1"/>
  <c r="AP1376" i="1" s="1"/>
  <c r="AP1377" i="1" s="1"/>
  <c r="AP1378" i="1" s="1"/>
  <c r="AP1379" i="1" s="1"/>
  <c r="AP1380" i="1" s="1"/>
  <c r="AP1381" i="1" s="1"/>
  <c r="AP1382" i="1" s="1"/>
  <c r="AP1383" i="1" s="1"/>
  <c r="AP1384" i="1" s="1"/>
  <c r="AP1385" i="1" s="1"/>
  <c r="AP1386" i="1" s="1"/>
  <c r="AP1387" i="1" s="1"/>
  <c r="AP1388" i="1" s="1"/>
  <c r="AP1389" i="1" s="1"/>
  <c r="AP1390" i="1" s="1"/>
  <c r="AP1391" i="1" s="1"/>
  <c r="AP1392" i="1" s="1"/>
  <c r="AP1393" i="1" s="1"/>
  <c r="AP1394" i="1" s="1"/>
  <c r="AP1395" i="1" s="1"/>
  <c r="AP1396" i="1" s="1"/>
  <c r="AP1397" i="1" s="1"/>
  <c r="AP1398" i="1" s="1"/>
  <c r="AP1399" i="1" s="1"/>
  <c r="AP1400" i="1" s="1"/>
  <c r="AP1401" i="1" s="1"/>
  <c r="AP1402" i="1" s="1"/>
  <c r="AP1403" i="1" s="1"/>
  <c r="AP1404" i="1" s="1"/>
  <c r="AP1405" i="1" s="1"/>
  <c r="AP1406" i="1" s="1"/>
  <c r="AP1407" i="1" s="1"/>
  <c r="AP1408" i="1" s="1"/>
  <c r="AP1409" i="1" s="1"/>
  <c r="AP1410" i="1" s="1"/>
  <c r="AP1411" i="1" s="1"/>
  <c r="AP1412" i="1" s="1"/>
  <c r="AP1413" i="1" s="1"/>
  <c r="AP1414" i="1" s="1"/>
  <c r="AP1415" i="1" s="1"/>
  <c r="AP1416" i="1" s="1"/>
  <c r="AP1417" i="1" s="1"/>
  <c r="AP1418" i="1" s="1"/>
  <c r="AP1419" i="1" s="1"/>
  <c r="AP1420" i="1" s="1"/>
  <c r="AP1421" i="1" s="1"/>
  <c r="AP1422" i="1" s="1"/>
  <c r="AP1423" i="1" s="1"/>
  <c r="AP1424" i="1" s="1"/>
  <c r="AP1425" i="1" s="1"/>
  <c r="AP1426" i="1" s="1"/>
  <c r="AP1427" i="1" s="1"/>
  <c r="AP1428" i="1" s="1"/>
  <c r="AP1429" i="1" s="1"/>
  <c r="AP1430" i="1" s="1"/>
  <c r="AP1431" i="1" s="1"/>
  <c r="AP1432" i="1" s="1"/>
  <c r="AP1433" i="1" s="1"/>
  <c r="AP1434" i="1" s="1"/>
  <c r="AP1435" i="1" s="1"/>
  <c r="AP1436" i="1" s="1"/>
  <c r="AP1437" i="1" s="1"/>
  <c r="AP1438" i="1" s="1"/>
  <c r="AP1439" i="1" s="1"/>
  <c r="AP1440" i="1" s="1"/>
  <c r="AP1441" i="1" s="1"/>
  <c r="AP1442" i="1" s="1"/>
  <c r="AP1443" i="1" s="1"/>
  <c r="AP1444" i="1" s="1"/>
  <c r="AP1445" i="1" s="1"/>
  <c r="AP1446" i="1" s="1"/>
  <c r="AP1447" i="1" s="1"/>
  <c r="AP1448" i="1" s="1"/>
  <c r="H42" i="1"/>
  <c r="AP46" i="1"/>
  <c r="AP47" i="1" s="1"/>
  <c r="AP48" i="1" s="1"/>
  <c r="AP49" i="1" s="1"/>
  <c r="AP50" i="1" s="1"/>
  <c r="AP51" i="1" s="1"/>
  <c r="AP52" i="1" s="1"/>
  <c r="AP53" i="1" s="1"/>
  <c r="AP54" i="1" s="1"/>
  <c r="AP55" i="1" s="1"/>
  <c r="AP56" i="1" s="1"/>
  <c r="AP1567" i="1"/>
  <c r="AP1568" i="1" s="1"/>
  <c r="AP1569" i="1" s="1"/>
  <c r="AP1570" i="1" s="1"/>
  <c r="AP1571" i="1" s="1"/>
  <c r="AP1572" i="1" s="1"/>
  <c r="AP1573" i="1" s="1"/>
  <c r="AP1574" i="1" s="1"/>
  <c r="AP1575" i="1" s="1"/>
  <c r="AP1576" i="1" s="1"/>
  <c r="AP1577" i="1" s="1"/>
  <c r="AP1578" i="1" s="1"/>
  <c r="AP1579" i="1" s="1"/>
  <c r="AP1580" i="1" s="1"/>
  <c r="AP1581" i="1" s="1"/>
  <c r="AP1582" i="1" s="1"/>
  <c r="AP1583" i="1" s="1"/>
  <c r="AP1584" i="1" s="1"/>
  <c r="AP1585" i="1" s="1"/>
  <c r="AP1586" i="1" s="1"/>
  <c r="AP1587" i="1" s="1"/>
  <c r="AP1588" i="1" s="1"/>
  <c r="AP1589" i="1" s="1"/>
  <c r="AP1590" i="1" s="1"/>
  <c r="AP1591" i="1" s="1"/>
  <c r="AP1592" i="1" s="1"/>
  <c r="AP1593" i="1" s="1"/>
  <c r="AP1594" i="1" s="1"/>
  <c r="AP1595" i="1" s="1"/>
  <c r="AP1596" i="1" s="1"/>
  <c r="AP1597" i="1" s="1"/>
  <c r="AP1598" i="1" s="1"/>
  <c r="AP1599" i="1" s="1"/>
  <c r="AP1600" i="1" s="1"/>
  <c r="AP1601" i="1" s="1"/>
  <c r="AP1602" i="1" s="1"/>
  <c r="AP1603" i="1" s="1"/>
  <c r="AP1604" i="1" s="1"/>
  <c r="AP1605" i="1" s="1"/>
  <c r="AP1606" i="1" s="1"/>
  <c r="AP1607" i="1" s="1"/>
  <c r="AP1608" i="1" s="1"/>
  <c r="AP1609" i="1" s="1"/>
  <c r="N1522" i="1"/>
  <c r="X56" i="1"/>
  <c r="P1522" i="1"/>
  <c r="K62" i="1"/>
  <c r="H59" i="1"/>
  <c r="T32" i="1"/>
  <c r="U32" i="1" s="1"/>
  <c r="P45" i="1"/>
  <c r="Q45" i="1" s="1"/>
  <c r="N45" i="1"/>
  <c r="M45" i="1"/>
  <c r="H1560" i="1"/>
  <c r="I15" i="1"/>
  <c r="K47" i="1"/>
  <c r="S1563" i="1"/>
  <c r="T1563" i="1"/>
  <c r="P1563" i="1"/>
  <c r="Q1563" i="1" s="1"/>
  <c r="N1563" i="1"/>
  <c r="R1563" i="1"/>
  <c r="O1563" i="1"/>
  <c r="M1563" i="1"/>
  <c r="T33" i="1"/>
  <c r="U33" i="1" s="1"/>
  <c r="O45" i="1"/>
  <c r="AA1609" i="1"/>
  <c r="Y1609" i="1"/>
  <c r="X1609" i="1"/>
  <c r="H1451" i="1"/>
  <c r="K1454" i="1"/>
  <c r="M62" i="1"/>
  <c r="P1478" i="1"/>
  <c r="M1478" i="1"/>
  <c r="N1478" i="1"/>
  <c r="AP1462" i="1"/>
  <c r="AP1463" i="1" s="1"/>
  <c r="AP1464" i="1" s="1"/>
  <c r="AP1465" i="1" s="1"/>
  <c r="AP1466" i="1" s="1"/>
  <c r="AP1467" i="1" s="1"/>
  <c r="AP1468" i="1" s="1"/>
  <c r="AP1469" i="1" s="1"/>
  <c r="AP1470" i="1" s="1"/>
  <c r="AP1471" i="1" s="1"/>
  <c r="AP1472" i="1" s="1"/>
  <c r="AA1472" i="1"/>
  <c r="X1472" i="1"/>
  <c r="Y1472" i="1"/>
  <c r="AA1448" i="1"/>
  <c r="Y1448" i="1"/>
  <c r="X1448" i="1"/>
  <c r="M1454" i="1"/>
  <c r="N1454" i="1"/>
  <c r="AP1524" i="1"/>
  <c r="AP1525" i="1" s="1"/>
  <c r="AP1526" i="1" s="1"/>
  <c r="AP1527" i="1" s="1"/>
  <c r="AP1528" i="1" s="1"/>
  <c r="AP1529" i="1" s="1"/>
  <c r="AP1530" i="1" s="1"/>
  <c r="S1454" i="1" l="1"/>
  <c r="R1454" i="1"/>
  <c r="K1455" i="1"/>
  <c r="T1454" i="1"/>
  <c r="Q1454" i="1"/>
  <c r="O1454" i="1"/>
  <c r="K48" i="1"/>
  <c r="T62" i="1"/>
  <c r="S62" i="1"/>
  <c r="O62" i="1"/>
  <c r="R62" i="1"/>
  <c r="K63" i="1"/>
  <c r="Q62" i="1"/>
  <c r="K64" i="1" l="1"/>
  <c r="K1456" i="1"/>
  <c r="K49" i="1"/>
  <c r="K1457" i="1" l="1"/>
  <c r="K50" i="1"/>
  <c r="K65" i="1"/>
  <c r="K51" i="1" l="1"/>
  <c r="K66" i="1"/>
  <c r="K1458" i="1"/>
  <c r="K67" i="1" l="1"/>
  <c r="K52" i="1"/>
  <c r="K1459" i="1"/>
  <c r="K1460" i="1" l="1"/>
  <c r="K53" i="1"/>
  <c r="K68" i="1"/>
  <c r="K54" i="1" l="1"/>
  <c r="K69" i="1"/>
  <c r="K1461" i="1"/>
  <c r="K55" i="1" l="1"/>
  <c r="K1462" i="1"/>
  <c r="K70" i="1"/>
  <c r="K71" i="1" l="1"/>
  <c r="K1463" i="1"/>
  <c r="K56" i="1"/>
  <c r="Z56" i="1" l="1"/>
  <c r="P31" i="1"/>
  <c r="AC56" i="1"/>
  <c r="AD56" i="1"/>
  <c r="AE56" i="1"/>
  <c r="AB56" i="1"/>
  <c r="K1464" i="1"/>
  <c r="K72" i="1"/>
  <c r="K73" i="1" l="1"/>
  <c r="K1465" i="1"/>
  <c r="K1466" i="1" l="1"/>
  <c r="K74" i="1"/>
  <c r="K75" i="1" l="1"/>
  <c r="K1467" i="1"/>
  <c r="K1468" i="1" l="1"/>
  <c r="K76" i="1"/>
  <c r="K77" i="1" l="1"/>
  <c r="K1469" i="1"/>
  <c r="K1470" i="1" l="1"/>
  <c r="K78" i="1"/>
  <c r="K79" i="1" l="1"/>
  <c r="K1471" i="1"/>
  <c r="K1472" i="1" l="1"/>
  <c r="K80" i="1"/>
  <c r="K81" i="1" l="1"/>
  <c r="AC1472" i="1"/>
  <c r="AD1472" i="1"/>
  <c r="Z1472" i="1"/>
  <c r="AE1472" i="1"/>
  <c r="AB1472" i="1"/>
  <c r="K82" i="1" l="1"/>
  <c r="K83" i="1" l="1"/>
  <c r="K84" i="1" l="1"/>
  <c r="K85" i="1" l="1"/>
  <c r="K86" i="1" l="1"/>
  <c r="K87" i="1" l="1"/>
  <c r="K88" i="1" l="1"/>
  <c r="K89" i="1" l="1"/>
  <c r="K90" i="1" l="1"/>
  <c r="K91" i="1" l="1"/>
  <c r="K92" i="1" l="1"/>
  <c r="K93" i="1" l="1"/>
  <c r="K94" i="1" l="1"/>
  <c r="K95" i="1" l="1"/>
  <c r="K96" i="1" l="1"/>
  <c r="K97" i="1" l="1"/>
  <c r="K98" i="1" l="1"/>
  <c r="K99" i="1" l="1"/>
  <c r="K100" i="1" l="1"/>
  <c r="K101" i="1" l="1"/>
  <c r="K102" i="1" l="1"/>
  <c r="K103" i="1" l="1"/>
  <c r="K104" i="1" l="1"/>
  <c r="K105" i="1" l="1"/>
  <c r="K106" i="1" l="1"/>
  <c r="K107" i="1" l="1"/>
  <c r="K108" i="1" l="1"/>
  <c r="K109" i="1" l="1"/>
  <c r="K110" i="1" l="1"/>
  <c r="K111" i="1" l="1"/>
  <c r="K112" i="1" l="1"/>
  <c r="K113" i="1" l="1"/>
  <c r="K114" i="1" l="1"/>
  <c r="K115" i="1" l="1"/>
  <c r="K116" i="1" l="1"/>
  <c r="K117" i="1" l="1"/>
  <c r="K118" i="1" l="1"/>
  <c r="K119" i="1" l="1"/>
  <c r="K120" i="1" l="1"/>
  <c r="K121" i="1" l="1"/>
  <c r="K122" i="1" l="1"/>
  <c r="K123" i="1" l="1"/>
  <c r="K124" i="1" l="1"/>
  <c r="K125" i="1" l="1"/>
  <c r="K126" i="1" l="1"/>
  <c r="K127" i="1" l="1"/>
  <c r="K128" i="1" l="1"/>
  <c r="K129" i="1" l="1"/>
  <c r="K130" i="1" l="1"/>
  <c r="K131" i="1" l="1"/>
  <c r="K132" i="1" l="1"/>
  <c r="K133" i="1" l="1"/>
  <c r="K134" i="1" l="1"/>
  <c r="K135" i="1" l="1"/>
  <c r="K136" i="1" l="1"/>
  <c r="K137" i="1" l="1"/>
  <c r="K138" i="1" l="1"/>
  <c r="K139" i="1" l="1"/>
  <c r="K140" i="1" l="1"/>
  <c r="K141" i="1" l="1"/>
  <c r="K142" i="1" l="1"/>
  <c r="K143" i="1" l="1"/>
  <c r="K144" i="1" l="1"/>
  <c r="K145" i="1" l="1"/>
  <c r="K146" i="1" l="1"/>
  <c r="K147" i="1" l="1"/>
  <c r="K148" i="1" l="1"/>
  <c r="K149" i="1" l="1"/>
  <c r="K150" i="1" l="1"/>
  <c r="K151" i="1" l="1"/>
  <c r="K152" i="1" l="1"/>
  <c r="K153" i="1" l="1"/>
  <c r="K154" i="1" l="1"/>
  <c r="K155" i="1" l="1"/>
  <c r="K156" i="1" l="1"/>
  <c r="K157" i="1" l="1"/>
  <c r="K158" i="1" l="1"/>
  <c r="K159" i="1" l="1"/>
  <c r="K160" i="1" l="1"/>
  <c r="K161" i="1" l="1"/>
  <c r="K162" i="1" l="1"/>
  <c r="K163" i="1" l="1"/>
  <c r="K164" i="1" l="1"/>
  <c r="K165" i="1" l="1"/>
  <c r="K166" i="1" l="1"/>
  <c r="K167" i="1" l="1"/>
  <c r="K168" i="1" l="1"/>
  <c r="K169" i="1" l="1"/>
  <c r="K170" i="1" l="1"/>
  <c r="K171" i="1" l="1"/>
  <c r="K172" i="1" l="1"/>
  <c r="K173" i="1" l="1"/>
  <c r="K174" i="1" l="1"/>
  <c r="K175" i="1" l="1"/>
  <c r="K176" i="1" l="1"/>
  <c r="K177" i="1" l="1"/>
  <c r="K178" i="1" l="1"/>
  <c r="K179" i="1" l="1"/>
  <c r="K180" i="1" l="1"/>
  <c r="K181" i="1" l="1"/>
  <c r="K182" i="1" l="1"/>
  <c r="K183" i="1" l="1"/>
  <c r="K184" i="1" l="1"/>
  <c r="K185" i="1" l="1"/>
  <c r="K186" i="1" l="1"/>
  <c r="K187" i="1" l="1"/>
  <c r="K188" i="1" l="1"/>
  <c r="K189" i="1" l="1"/>
  <c r="K190" i="1" l="1"/>
  <c r="K191" i="1" l="1"/>
  <c r="K192" i="1" l="1"/>
  <c r="K193" i="1" l="1"/>
  <c r="K194" i="1" l="1"/>
  <c r="K195" i="1" l="1"/>
  <c r="K196" i="1" l="1"/>
  <c r="K197" i="1" l="1"/>
  <c r="K198" i="1" l="1"/>
  <c r="K199" i="1" l="1"/>
  <c r="K200" i="1" l="1"/>
  <c r="K201" i="1" l="1"/>
  <c r="K202" i="1" l="1"/>
  <c r="K203" i="1" l="1"/>
  <c r="K204" i="1" l="1"/>
  <c r="K205" i="1" l="1"/>
  <c r="K206" i="1" l="1"/>
  <c r="K207" i="1" l="1"/>
  <c r="K208" i="1" l="1"/>
  <c r="K209" i="1" l="1"/>
  <c r="K210" i="1" l="1"/>
  <c r="K211" i="1" l="1"/>
  <c r="K212" i="1" l="1"/>
  <c r="K213" i="1" l="1"/>
  <c r="K214" i="1" l="1"/>
  <c r="K215" i="1" l="1"/>
  <c r="K216" i="1" l="1"/>
  <c r="K217" i="1" l="1"/>
  <c r="K218" i="1" l="1"/>
  <c r="K219" i="1" l="1"/>
  <c r="K220" i="1" l="1"/>
  <c r="K221" i="1" l="1"/>
  <c r="K222" i="1" l="1"/>
  <c r="K223" i="1" l="1"/>
  <c r="K224" i="1" l="1"/>
  <c r="K225" i="1" l="1"/>
  <c r="K226" i="1" l="1"/>
  <c r="K227" i="1" l="1"/>
  <c r="K228" i="1" l="1"/>
  <c r="K229" i="1" l="1"/>
  <c r="K230" i="1" l="1"/>
  <c r="K231" i="1" l="1"/>
  <c r="K232" i="1" l="1"/>
  <c r="K233" i="1" l="1"/>
  <c r="K234" i="1" l="1"/>
  <c r="K235" i="1" l="1"/>
  <c r="K236" i="1" l="1"/>
  <c r="K237" i="1" l="1"/>
  <c r="K238" i="1" l="1"/>
  <c r="K239" i="1" l="1"/>
  <c r="K240" i="1" l="1"/>
  <c r="K241" i="1" l="1"/>
  <c r="K242" i="1" l="1"/>
  <c r="K243" i="1" l="1"/>
  <c r="K244" i="1" l="1"/>
  <c r="K245" i="1" l="1"/>
  <c r="K246" i="1" l="1"/>
  <c r="K247" i="1" l="1"/>
  <c r="K248" i="1" l="1"/>
  <c r="K249" i="1" l="1"/>
  <c r="K250" i="1" l="1"/>
  <c r="K251" i="1" l="1"/>
  <c r="K252" i="1" l="1"/>
  <c r="K253" i="1" l="1"/>
  <c r="K254" i="1" l="1"/>
  <c r="K255" i="1" l="1"/>
  <c r="K256" i="1" l="1"/>
  <c r="K257" i="1" l="1"/>
  <c r="K258" i="1" l="1"/>
  <c r="K259" i="1" l="1"/>
  <c r="K260" i="1" l="1"/>
  <c r="K261" i="1" l="1"/>
  <c r="K262" i="1" l="1"/>
  <c r="K263" i="1" l="1"/>
  <c r="K264" i="1" l="1"/>
  <c r="K265" i="1" l="1"/>
  <c r="K266" i="1" l="1"/>
  <c r="K267" i="1" l="1"/>
  <c r="K268" i="1" l="1"/>
  <c r="K269" i="1" l="1"/>
  <c r="K270" i="1" l="1"/>
  <c r="K271" i="1" l="1"/>
  <c r="K272" i="1" l="1"/>
  <c r="K273" i="1" l="1"/>
  <c r="K274" i="1" l="1"/>
  <c r="K275" i="1" l="1"/>
  <c r="K276" i="1" l="1"/>
  <c r="K277" i="1" l="1"/>
  <c r="K278" i="1" l="1"/>
  <c r="K279" i="1" l="1"/>
  <c r="K280" i="1" l="1"/>
  <c r="K281" i="1" l="1"/>
  <c r="K282" i="1" l="1"/>
  <c r="K283" i="1" l="1"/>
  <c r="K284" i="1" l="1"/>
  <c r="K285" i="1" l="1"/>
  <c r="K286" i="1" l="1"/>
  <c r="K287" i="1" l="1"/>
  <c r="K288" i="1" l="1"/>
  <c r="K289" i="1" l="1"/>
  <c r="K290" i="1" l="1"/>
  <c r="K291" i="1" l="1"/>
  <c r="K292" i="1" l="1"/>
  <c r="K293" i="1" l="1"/>
  <c r="K294" i="1" l="1"/>
  <c r="K295" i="1" l="1"/>
  <c r="K296" i="1" l="1"/>
  <c r="K297" i="1" l="1"/>
  <c r="K298" i="1" l="1"/>
  <c r="K299" i="1" l="1"/>
  <c r="K300" i="1" l="1"/>
  <c r="K301" i="1" l="1"/>
  <c r="K302" i="1" l="1"/>
  <c r="K303" i="1" l="1"/>
  <c r="K304" i="1" l="1"/>
  <c r="K305" i="1" l="1"/>
  <c r="K306" i="1" l="1"/>
  <c r="K307" i="1" l="1"/>
  <c r="K308" i="1" l="1"/>
  <c r="K309" i="1" l="1"/>
  <c r="K310" i="1" l="1"/>
  <c r="K311" i="1" l="1"/>
  <c r="K312" i="1" l="1"/>
  <c r="K313" i="1" l="1"/>
  <c r="K314" i="1" l="1"/>
  <c r="K315" i="1" l="1"/>
  <c r="K316" i="1" l="1"/>
  <c r="K317" i="1" l="1"/>
  <c r="K318" i="1" l="1"/>
  <c r="K319" i="1" l="1"/>
  <c r="K320" i="1" l="1"/>
  <c r="K321" i="1" l="1"/>
  <c r="K322" i="1" l="1"/>
  <c r="K323" i="1" l="1"/>
  <c r="K324" i="1" l="1"/>
  <c r="K325" i="1" l="1"/>
  <c r="K326" i="1" l="1"/>
  <c r="K327" i="1" l="1"/>
  <c r="K328" i="1" l="1"/>
  <c r="K329" i="1" l="1"/>
  <c r="K330" i="1" l="1"/>
  <c r="K331" i="1" l="1"/>
  <c r="K332" i="1" l="1"/>
  <c r="K333" i="1" l="1"/>
  <c r="K334" i="1" l="1"/>
  <c r="K335" i="1" l="1"/>
  <c r="K336" i="1" l="1"/>
  <c r="K337" i="1" l="1"/>
  <c r="K338" i="1" l="1"/>
  <c r="K339" i="1" l="1"/>
  <c r="K340" i="1" l="1"/>
  <c r="K341" i="1" l="1"/>
  <c r="K342" i="1" l="1"/>
  <c r="K343" i="1" l="1"/>
  <c r="K344" i="1" l="1"/>
  <c r="K345" i="1" l="1"/>
  <c r="K346" i="1" l="1"/>
  <c r="K347" i="1" l="1"/>
  <c r="K348" i="1" l="1"/>
  <c r="K349" i="1" l="1"/>
  <c r="K350" i="1" l="1"/>
  <c r="K351" i="1" l="1"/>
  <c r="K352" i="1" l="1"/>
  <c r="K353" i="1" l="1"/>
  <c r="K354" i="1" l="1"/>
  <c r="K355" i="1" l="1"/>
  <c r="K356" i="1" l="1"/>
  <c r="K357" i="1" l="1"/>
  <c r="K358" i="1" l="1"/>
  <c r="K359" i="1" l="1"/>
  <c r="K360" i="1" l="1"/>
  <c r="K361" i="1" l="1"/>
  <c r="K362" i="1" l="1"/>
  <c r="K363" i="1" l="1"/>
  <c r="K364" i="1" l="1"/>
  <c r="K365" i="1" l="1"/>
  <c r="K366" i="1" l="1"/>
  <c r="K367" i="1" l="1"/>
  <c r="K368" i="1" l="1"/>
  <c r="K369" i="1" l="1"/>
  <c r="K370" i="1" l="1"/>
  <c r="K371" i="1" l="1"/>
  <c r="K372" i="1" l="1"/>
  <c r="K373" i="1" l="1"/>
  <c r="K374" i="1" l="1"/>
  <c r="K375" i="1" l="1"/>
  <c r="K376" i="1" l="1"/>
  <c r="K377" i="1" l="1"/>
  <c r="K378" i="1" l="1"/>
  <c r="K379" i="1" l="1"/>
  <c r="K380" i="1" l="1"/>
  <c r="K381" i="1" l="1"/>
  <c r="K382" i="1" l="1"/>
  <c r="K383" i="1" l="1"/>
  <c r="K384" i="1" l="1"/>
  <c r="K385" i="1" l="1"/>
  <c r="K386" i="1" l="1"/>
  <c r="K387" i="1" l="1"/>
  <c r="K388" i="1" l="1"/>
  <c r="K389" i="1" l="1"/>
  <c r="K390" i="1" l="1"/>
  <c r="K391" i="1" l="1"/>
  <c r="K392" i="1" l="1"/>
  <c r="K393" i="1" l="1"/>
  <c r="K394" i="1" l="1"/>
  <c r="K395" i="1" l="1"/>
  <c r="K396" i="1" l="1"/>
  <c r="K397" i="1" l="1"/>
  <c r="K398" i="1" l="1"/>
  <c r="K399" i="1" l="1"/>
  <c r="K400" i="1" l="1"/>
  <c r="K401" i="1" l="1"/>
  <c r="K402" i="1" l="1"/>
  <c r="K403" i="1" l="1"/>
  <c r="K404" i="1" l="1"/>
  <c r="K405" i="1" l="1"/>
  <c r="K406" i="1" l="1"/>
  <c r="K407" i="1" l="1"/>
  <c r="K408" i="1" l="1"/>
  <c r="K409" i="1" l="1"/>
  <c r="K410" i="1" l="1"/>
  <c r="K411" i="1" l="1"/>
  <c r="K412" i="1" l="1"/>
  <c r="K413" i="1" l="1"/>
  <c r="K414" i="1" l="1"/>
  <c r="K415" i="1" l="1"/>
  <c r="K416" i="1" l="1"/>
  <c r="K417" i="1" l="1"/>
  <c r="K418" i="1" l="1"/>
  <c r="K419" i="1" l="1"/>
  <c r="K420" i="1" l="1"/>
  <c r="K421" i="1" l="1"/>
  <c r="K422" i="1" l="1"/>
  <c r="K423" i="1" l="1"/>
  <c r="K424" i="1" l="1"/>
  <c r="K425" i="1" l="1"/>
  <c r="K426" i="1" l="1"/>
  <c r="K427" i="1" l="1"/>
  <c r="K428" i="1" l="1"/>
  <c r="K429" i="1" l="1"/>
  <c r="K430" i="1" l="1"/>
  <c r="K431" i="1" l="1"/>
  <c r="K432" i="1" l="1"/>
  <c r="K433" i="1" l="1"/>
  <c r="K434" i="1" l="1"/>
  <c r="K435" i="1" l="1"/>
  <c r="K436" i="1" l="1"/>
  <c r="K437" i="1" l="1"/>
  <c r="K438" i="1" l="1"/>
  <c r="K439" i="1" l="1"/>
  <c r="K440" i="1" l="1"/>
  <c r="K441" i="1" l="1"/>
  <c r="K442" i="1" l="1"/>
  <c r="K443" i="1" l="1"/>
  <c r="K444" i="1" l="1"/>
  <c r="K445" i="1" l="1"/>
  <c r="K446" i="1" l="1"/>
  <c r="K447" i="1" l="1"/>
  <c r="K448" i="1" l="1"/>
  <c r="K449" i="1" l="1"/>
  <c r="K450" i="1" l="1"/>
  <c r="K451" i="1" l="1"/>
  <c r="K452" i="1" l="1"/>
  <c r="K453" i="1" l="1"/>
  <c r="K454" i="1" l="1"/>
  <c r="K455" i="1" l="1"/>
  <c r="K456" i="1" l="1"/>
  <c r="K457" i="1" l="1"/>
  <c r="K458" i="1" l="1"/>
  <c r="K459" i="1" l="1"/>
  <c r="K460" i="1" l="1"/>
  <c r="K461" i="1" l="1"/>
  <c r="K462" i="1" l="1"/>
  <c r="K463" i="1" l="1"/>
  <c r="K464" i="1" l="1"/>
  <c r="K465" i="1" l="1"/>
  <c r="K466" i="1" l="1"/>
  <c r="K467" i="1" l="1"/>
  <c r="K468" i="1" l="1"/>
  <c r="K469" i="1" l="1"/>
  <c r="K470" i="1" l="1"/>
  <c r="K471" i="1" l="1"/>
  <c r="K472" i="1" l="1"/>
  <c r="K473" i="1" l="1"/>
  <c r="K474" i="1" l="1"/>
  <c r="K475" i="1" l="1"/>
  <c r="K476" i="1" l="1"/>
  <c r="K477" i="1" l="1"/>
  <c r="K478" i="1" l="1"/>
  <c r="K479" i="1" l="1"/>
  <c r="K480" i="1" l="1"/>
  <c r="K481" i="1" l="1"/>
  <c r="K482" i="1" l="1"/>
  <c r="K483" i="1" l="1"/>
  <c r="K484" i="1" l="1"/>
  <c r="K485" i="1" l="1"/>
  <c r="K486" i="1" l="1"/>
  <c r="K487" i="1" l="1"/>
  <c r="K488" i="1" l="1"/>
  <c r="K489" i="1" l="1"/>
  <c r="K490" i="1" l="1"/>
  <c r="K491" i="1" l="1"/>
  <c r="K492" i="1" l="1"/>
  <c r="K493" i="1" l="1"/>
  <c r="K494" i="1" l="1"/>
  <c r="K495" i="1" l="1"/>
  <c r="K496" i="1" l="1"/>
  <c r="K497" i="1" l="1"/>
  <c r="K498" i="1" l="1"/>
  <c r="K499" i="1" l="1"/>
  <c r="K500" i="1" l="1"/>
  <c r="K501" i="1" l="1"/>
  <c r="K502" i="1" l="1"/>
  <c r="K503" i="1" l="1"/>
  <c r="K504" i="1" l="1"/>
  <c r="K505" i="1" l="1"/>
  <c r="K506" i="1" l="1"/>
  <c r="K507" i="1" l="1"/>
  <c r="K508" i="1" l="1"/>
  <c r="K509" i="1" l="1"/>
  <c r="K510" i="1" l="1"/>
  <c r="K511" i="1" l="1"/>
  <c r="K512" i="1" l="1"/>
  <c r="K513" i="1" l="1"/>
  <c r="K514" i="1" l="1"/>
  <c r="K515" i="1" l="1"/>
  <c r="K516" i="1" l="1"/>
  <c r="K517" i="1" l="1"/>
  <c r="K518" i="1" l="1"/>
  <c r="K519" i="1" l="1"/>
  <c r="K520" i="1" l="1"/>
  <c r="K521" i="1" l="1"/>
  <c r="K522" i="1" l="1"/>
  <c r="K523" i="1" l="1"/>
  <c r="K524" i="1" l="1"/>
  <c r="K525" i="1" l="1"/>
  <c r="K526" i="1" l="1"/>
  <c r="K527" i="1" l="1"/>
  <c r="K528" i="1" l="1"/>
  <c r="K529" i="1" l="1"/>
  <c r="K530" i="1" l="1"/>
  <c r="K531" i="1" l="1"/>
  <c r="K532" i="1" l="1"/>
  <c r="K533" i="1" l="1"/>
  <c r="K534" i="1" l="1"/>
  <c r="K535" i="1" l="1"/>
  <c r="K536" i="1" l="1"/>
  <c r="K537" i="1" l="1"/>
  <c r="K538" i="1" l="1"/>
  <c r="K539" i="1" l="1"/>
  <c r="K540" i="1" l="1"/>
  <c r="K541" i="1" l="1"/>
  <c r="K542" i="1" l="1"/>
  <c r="K543" i="1" l="1"/>
  <c r="K544" i="1" l="1"/>
  <c r="K545" i="1" l="1"/>
  <c r="K546" i="1" l="1"/>
  <c r="K547" i="1" l="1"/>
  <c r="K548" i="1" l="1"/>
  <c r="K549" i="1" l="1"/>
  <c r="K550" i="1" l="1"/>
  <c r="K551" i="1" l="1"/>
  <c r="K552" i="1" l="1"/>
  <c r="K553" i="1" l="1"/>
  <c r="K554" i="1" l="1"/>
  <c r="K555" i="1" l="1"/>
  <c r="K556" i="1" l="1"/>
  <c r="K557" i="1" l="1"/>
  <c r="K558" i="1" l="1"/>
  <c r="K559" i="1" l="1"/>
  <c r="K560" i="1" l="1"/>
  <c r="K561" i="1" l="1"/>
  <c r="K562" i="1" l="1"/>
  <c r="K563" i="1" l="1"/>
  <c r="K564" i="1" l="1"/>
  <c r="K565" i="1" l="1"/>
  <c r="K566" i="1" l="1"/>
  <c r="K567" i="1" l="1"/>
  <c r="K568" i="1" l="1"/>
  <c r="K569" i="1" l="1"/>
  <c r="K570" i="1" l="1"/>
  <c r="K571" i="1" l="1"/>
  <c r="K572" i="1" l="1"/>
  <c r="K573" i="1" l="1"/>
  <c r="K574" i="1" l="1"/>
  <c r="K575" i="1" l="1"/>
  <c r="K576" i="1" l="1"/>
  <c r="K577" i="1" l="1"/>
  <c r="K578" i="1" l="1"/>
  <c r="K579" i="1" l="1"/>
  <c r="K580" i="1" l="1"/>
  <c r="K581" i="1" l="1"/>
  <c r="K582" i="1" l="1"/>
  <c r="K583" i="1" l="1"/>
  <c r="K584" i="1" l="1"/>
  <c r="K585" i="1" l="1"/>
  <c r="K586" i="1" l="1"/>
  <c r="K587" i="1" l="1"/>
  <c r="K588" i="1" l="1"/>
  <c r="K589" i="1" l="1"/>
  <c r="K590" i="1" l="1"/>
  <c r="K591" i="1" l="1"/>
  <c r="K592" i="1" l="1"/>
  <c r="K593" i="1" l="1"/>
  <c r="K594" i="1" l="1"/>
  <c r="K595" i="1" l="1"/>
  <c r="K596" i="1" l="1"/>
  <c r="K597" i="1" l="1"/>
  <c r="K598" i="1" l="1"/>
  <c r="K599" i="1" l="1"/>
  <c r="K600" i="1" l="1"/>
  <c r="K601" i="1" l="1"/>
  <c r="K602" i="1" l="1"/>
  <c r="K603" i="1" l="1"/>
  <c r="K604" i="1" l="1"/>
  <c r="K605" i="1" l="1"/>
  <c r="K606" i="1" l="1"/>
  <c r="K607" i="1" l="1"/>
  <c r="K608" i="1" l="1"/>
  <c r="K609" i="1" l="1"/>
  <c r="K610" i="1" l="1"/>
  <c r="K611" i="1" l="1"/>
  <c r="K612" i="1" l="1"/>
  <c r="K613" i="1" l="1"/>
  <c r="K614" i="1" l="1"/>
  <c r="K615" i="1" l="1"/>
  <c r="K616" i="1" l="1"/>
  <c r="K617" i="1" l="1"/>
  <c r="K618" i="1" l="1"/>
  <c r="K619" i="1" l="1"/>
  <c r="K620" i="1" l="1"/>
  <c r="K621" i="1" l="1"/>
  <c r="K622" i="1" l="1"/>
  <c r="K623" i="1" l="1"/>
  <c r="K624" i="1" l="1"/>
  <c r="K625" i="1" l="1"/>
  <c r="K626" i="1" l="1"/>
  <c r="K627" i="1" l="1"/>
  <c r="K628" i="1" l="1"/>
  <c r="K629" i="1" l="1"/>
  <c r="K630" i="1" l="1"/>
  <c r="K631" i="1" l="1"/>
  <c r="K632" i="1" l="1"/>
  <c r="K633" i="1" l="1"/>
  <c r="K634" i="1" l="1"/>
  <c r="K635" i="1" l="1"/>
  <c r="K636" i="1" l="1"/>
  <c r="K637" i="1" l="1"/>
  <c r="K638" i="1" l="1"/>
  <c r="K639" i="1" l="1"/>
  <c r="K640" i="1" l="1"/>
  <c r="K641" i="1" l="1"/>
  <c r="K642" i="1" l="1"/>
  <c r="K643" i="1" l="1"/>
  <c r="K644" i="1" l="1"/>
  <c r="K645" i="1" l="1"/>
  <c r="K646" i="1" l="1"/>
  <c r="K647" i="1" l="1"/>
  <c r="K648" i="1" l="1"/>
  <c r="K649" i="1" l="1"/>
  <c r="K650" i="1" l="1"/>
  <c r="K651" i="1" l="1"/>
  <c r="K652" i="1" l="1"/>
  <c r="K653" i="1" l="1"/>
  <c r="K654" i="1" l="1"/>
  <c r="K655" i="1" l="1"/>
  <c r="K656" i="1" l="1"/>
  <c r="K657" i="1" l="1"/>
  <c r="K658" i="1" l="1"/>
  <c r="K659" i="1" l="1"/>
  <c r="K660" i="1" l="1"/>
  <c r="K661" i="1" l="1"/>
  <c r="K662" i="1" l="1"/>
  <c r="K663" i="1" l="1"/>
  <c r="K664" i="1" l="1"/>
  <c r="K665" i="1" l="1"/>
  <c r="K666" i="1" l="1"/>
  <c r="K667" i="1" l="1"/>
  <c r="K668" i="1" l="1"/>
  <c r="K669" i="1" l="1"/>
  <c r="K670" i="1" l="1"/>
  <c r="K671" i="1" l="1"/>
  <c r="K672" i="1" l="1"/>
  <c r="K673" i="1" l="1"/>
  <c r="K674" i="1" l="1"/>
  <c r="K675" i="1" l="1"/>
  <c r="K676" i="1" l="1"/>
  <c r="K677" i="1" l="1"/>
  <c r="K678" i="1" l="1"/>
  <c r="K679" i="1" l="1"/>
  <c r="K680" i="1" l="1"/>
  <c r="K681" i="1" l="1"/>
  <c r="K682" i="1" l="1"/>
  <c r="K683" i="1" l="1"/>
  <c r="K684" i="1" l="1"/>
  <c r="K685" i="1" l="1"/>
  <c r="K686" i="1" l="1"/>
  <c r="K687" i="1" l="1"/>
  <c r="K688" i="1" l="1"/>
  <c r="K689" i="1" l="1"/>
  <c r="K690" i="1" l="1"/>
  <c r="K691" i="1" l="1"/>
  <c r="K692" i="1" l="1"/>
  <c r="K693" i="1" l="1"/>
  <c r="K694" i="1" l="1"/>
  <c r="K695" i="1" l="1"/>
  <c r="K696" i="1" l="1"/>
  <c r="K697" i="1" l="1"/>
  <c r="K698" i="1" l="1"/>
  <c r="K699" i="1" l="1"/>
  <c r="K700" i="1" l="1"/>
  <c r="K701" i="1" l="1"/>
  <c r="K702" i="1" l="1"/>
  <c r="K703" i="1" l="1"/>
  <c r="K704" i="1" l="1"/>
  <c r="K705" i="1" l="1"/>
  <c r="K706" i="1" l="1"/>
  <c r="K707" i="1" l="1"/>
  <c r="K708" i="1" l="1"/>
  <c r="K709" i="1" l="1"/>
  <c r="K710" i="1" l="1"/>
  <c r="K711" i="1" l="1"/>
  <c r="K712" i="1" l="1"/>
  <c r="K713" i="1" l="1"/>
  <c r="K714" i="1" l="1"/>
  <c r="K715" i="1" l="1"/>
  <c r="K716" i="1" l="1"/>
  <c r="K717" i="1" l="1"/>
  <c r="K718" i="1" l="1"/>
  <c r="K719" i="1" l="1"/>
  <c r="K720" i="1" l="1"/>
  <c r="K721" i="1" l="1"/>
  <c r="K722" i="1" l="1"/>
  <c r="K723" i="1" l="1"/>
  <c r="K724" i="1" l="1"/>
  <c r="K725" i="1" l="1"/>
  <c r="K726" i="1" l="1"/>
  <c r="K727" i="1" l="1"/>
  <c r="K728" i="1" l="1"/>
  <c r="K729" i="1" l="1"/>
  <c r="K730" i="1" l="1"/>
  <c r="K731" i="1" l="1"/>
  <c r="K732" i="1" l="1"/>
  <c r="K733" i="1" l="1"/>
  <c r="K734" i="1" l="1"/>
  <c r="K735" i="1" l="1"/>
  <c r="K736" i="1" l="1"/>
  <c r="K737" i="1" l="1"/>
  <c r="K738" i="1" l="1"/>
  <c r="K739" i="1" l="1"/>
  <c r="K740" i="1" l="1"/>
  <c r="K741" i="1" l="1"/>
  <c r="K742" i="1" l="1"/>
  <c r="K743" i="1" l="1"/>
  <c r="K744" i="1" l="1"/>
  <c r="K745" i="1" l="1"/>
  <c r="K746" i="1" l="1"/>
  <c r="K747" i="1" l="1"/>
  <c r="K748" i="1" l="1"/>
  <c r="K749" i="1" l="1"/>
  <c r="K750" i="1" l="1"/>
  <c r="K751" i="1" l="1"/>
  <c r="K752" i="1" l="1"/>
  <c r="K753" i="1" l="1"/>
  <c r="K754" i="1" l="1"/>
  <c r="K755" i="1" l="1"/>
  <c r="K756" i="1" l="1"/>
  <c r="K757" i="1" l="1"/>
  <c r="K758" i="1" l="1"/>
  <c r="K759" i="1" l="1"/>
  <c r="K760" i="1" l="1"/>
  <c r="K761" i="1" l="1"/>
  <c r="K762" i="1" l="1"/>
  <c r="K763" i="1" l="1"/>
  <c r="K764" i="1" l="1"/>
  <c r="K765" i="1" l="1"/>
  <c r="K766" i="1" l="1"/>
  <c r="K767" i="1" l="1"/>
  <c r="K768" i="1" l="1"/>
  <c r="K769" i="1" l="1"/>
  <c r="K770" i="1" l="1"/>
  <c r="K771" i="1" l="1"/>
  <c r="K772" i="1" l="1"/>
  <c r="K773" i="1" l="1"/>
  <c r="K774" i="1" l="1"/>
  <c r="K775" i="1" l="1"/>
  <c r="K776" i="1" l="1"/>
  <c r="K777" i="1" l="1"/>
  <c r="K778" i="1" l="1"/>
  <c r="K779" i="1" l="1"/>
  <c r="K780" i="1" l="1"/>
  <c r="K781" i="1" l="1"/>
  <c r="K782" i="1" l="1"/>
  <c r="K783" i="1" l="1"/>
  <c r="K784" i="1" l="1"/>
  <c r="K785" i="1" l="1"/>
  <c r="K786" i="1" l="1"/>
  <c r="K787" i="1" l="1"/>
  <c r="K788" i="1" l="1"/>
  <c r="K789" i="1" l="1"/>
  <c r="K790" i="1" l="1"/>
  <c r="K791" i="1" l="1"/>
  <c r="K792" i="1" l="1"/>
  <c r="K793" i="1" l="1"/>
  <c r="K794" i="1" l="1"/>
  <c r="K795" i="1" l="1"/>
  <c r="K796" i="1" l="1"/>
  <c r="K797" i="1" l="1"/>
  <c r="K798" i="1" l="1"/>
  <c r="K799" i="1" l="1"/>
  <c r="K800" i="1" l="1"/>
  <c r="K801" i="1" l="1"/>
  <c r="K802" i="1" l="1"/>
  <c r="K803" i="1" l="1"/>
  <c r="K804" i="1" l="1"/>
  <c r="K805" i="1" l="1"/>
  <c r="K806" i="1" l="1"/>
  <c r="K807" i="1" l="1"/>
  <c r="K808" i="1" l="1"/>
  <c r="K809" i="1" l="1"/>
  <c r="K810" i="1" l="1"/>
  <c r="K811" i="1" l="1"/>
  <c r="K812" i="1" l="1"/>
  <c r="K813" i="1" l="1"/>
  <c r="K814" i="1" l="1"/>
  <c r="K815" i="1" l="1"/>
  <c r="K816" i="1" l="1"/>
  <c r="K817" i="1" l="1"/>
  <c r="K818" i="1" l="1"/>
  <c r="K819" i="1" l="1"/>
  <c r="K820" i="1" l="1"/>
  <c r="K821" i="1" l="1"/>
  <c r="K822" i="1" l="1"/>
  <c r="K823" i="1" l="1"/>
  <c r="K824" i="1" l="1"/>
  <c r="K825" i="1" l="1"/>
  <c r="K826" i="1" l="1"/>
  <c r="K827" i="1" l="1"/>
  <c r="K828" i="1" l="1"/>
  <c r="K829" i="1" l="1"/>
  <c r="K830" i="1" l="1"/>
  <c r="K831" i="1" l="1"/>
  <c r="K832" i="1" l="1"/>
  <c r="K833" i="1" l="1"/>
  <c r="K834" i="1" l="1"/>
  <c r="K835" i="1" l="1"/>
  <c r="K836" i="1" l="1"/>
  <c r="K837" i="1" l="1"/>
  <c r="K838" i="1" l="1"/>
  <c r="K839" i="1" l="1"/>
  <c r="K840" i="1" l="1"/>
  <c r="K841" i="1" l="1"/>
  <c r="K842" i="1" l="1"/>
  <c r="K843" i="1" l="1"/>
  <c r="K844" i="1" l="1"/>
  <c r="K845" i="1" l="1"/>
  <c r="K846" i="1" l="1"/>
  <c r="K847" i="1" l="1"/>
  <c r="K848" i="1" l="1"/>
  <c r="K849" i="1" l="1"/>
  <c r="K850" i="1" l="1"/>
  <c r="K851" i="1" l="1"/>
  <c r="K852" i="1" l="1"/>
  <c r="K853" i="1" l="1"/>
  <c r="K854" i="1" l="1"/>
  <c r="K855" i="1" l="1"/>
  <c r="K856" i="1" l="1"/>
  <c r="K857" i="1" l="1"/>
  <c r="K858" i="1" l="1"/>
  <c r="K859" i="1" l="1"/>
  <c r="K860" i="1" l="1"/>
  <c r="K861" i="1" l="1"/>
  <c r="K862" i="1" l="1"/>
  <c r="K863" i="1" l="1"/>
  <c r="K864" i="1" l="1"/>
  <c r="K865" i="1" l="1"/>
  <c r="K866" i="1" l="1"/>
  <c r="K867" i="1" l="1"/>
  <c r="K868" i="1" l="1"/>
  <c r="K869" i="1" l="1"/>
  <c r="K870" i="1" l="1"/>
  <c r="K871" i="1" l="1"/>
  <c r="K872" i="1" l="1"/>
  <c r="K873" i="1" l="1"/>
  <c r="K874" i="1" l="1"/>
  <c r="K875" i="1" l="1"/>
  <c r="K876" i="1" l="1"/>
  <c r="K877" i="1" l="1"/>
  <c r="K878" i="1" l="1"/>
  <c r="K879" i="1" l="1"/>
  <c r="K880" i="1" l="1"/>
  <c r="K881" i="1" l="1"/>
  <c r="K882" i="1" l="1"/>
  <c r="K883" i="1" l="1"/>
  <c r="K884" i="1" l="1"/>
  <c r="K885" i="1" l="1"/>
  <c r="K886" i="1" l="1"/>
  <c r="K887" i="1" l="1"/>
  <c r="K888" i="1" l="1"/>
  <c r="K889" i="1" l="1"/>
  <c r="K890" i="1" l="1"/>
  <c r="K891" i="1" l="1"/>
  <c r="K892" i="1" l="1"/>
  <c r="K893" i="1" l="1"/>
  <c r="K894" i="1" l="1"/>
  <c r="K895" i="1" l="1"/>
  <c r="K896" i="1" l="1"/>
  <c r="K897" i="1" l="1"/>
  <c r="K898" i="1" l="1"/>
  <c r="K899" i="1" l="1"/>
  <c r="K900" i="1" l="1"/>
  <c r="K901" i="1" l="1"/>
  <c r="K902" i="1" l="1"/>
  <c r="K903" i="1" l="1"/>
  <c r="K904" i="1" l="1"/>
  <c r="K905" i="1" l="1"/>
  <c r="K906" i="1" l="1"/>
  <c r="K907" i="1" l="1"/>
  <c r="K908" i="1" l="1"/>
  <c r="K909" i="1" l="1"/>
  <c r="K910" i="1" l="1"/>
  <c r="K911" i="1" l="1"/>
  <c r="K912" i="1" l="1"/>
  <c r="K913" i="1" l="1"/>
  <c r="K914" i="1" l="1"/>
  <c r="K915" i="1" l="1"/>
  <c r="K916" i="1" l="1"/>
  <c r="K917" i="1" l="1"/>
  <c r="K918" i="1" l="1"/>
  <c r="K919" i="1" l="1"/>
  <c r="K920" i="1" l="1"/>
  <c r="K921" i="1" l="1"/>
  <c r="K922" i="1" l="1"/>
  <c r="K923" i="1" l="1"/>
  <c r="K924" i="1" l="1"/>
  <c r="K925" i="1" l="1"/>
  <c r="K926" i="1" l="1"/>
  <c r="K927" i="1" l="1"/>
  <c r="K928" i="1" l="1"/>
  <c r="K929" i="1" l="1"/>
  <c r="K930" i="1" l="1"/>
  <c r="K931" i="1" l="1"/>
  <c r="K932" i="1" l="1"/>
  <c r="K933" i="1" l="1"/>
  <c r="K934" i="1" l="1"/>
  <c r="K935" i="1" l="1"/>
  <c r="K936" i="1" l="1"/>
  <c r="K937" i="1" l="1"/>
  <c r="K938" i="1" l="1"/>
  <c r="K939" i="1" l="1"/>
  <c r="K940" i="1" l="1"/>
  <c r="K941" i="1" l="1"/>
  <c r="K942" i="1" l="1"/>
  <c r="K943" i="1" l="1"/>
  <c r="K944" i="1" l="1"/>
  <c r="K945" i="1" l="1"/>
  <c r="K946" i="1" l="1"/>
  <c r="K947" i="1" l="1"/>
  <c r="K948" i="1" l="1"/>
  <c r="K949" i="1" l="1"/>
  <c r="K950" i="1" l="1"/>
  <c r="K951" i="1" l="1"/>
  <c r="K952" i="1" l="1"/>
  <c r="K953" i="1" l="1"/>
  <c r="K954" i="1" l="1"/>
  <c r="K955" i="1" l="1"/>
  <c r="K956" i="1" l="1"/>
  <c r="K957" i="1" l="1"/>
  <c r="K958" i="1" l="1"/>
  <c r="K959" i="1" l="1"/>
  <c r="K960" i="1" l="1"/>
  <c r="K961" i="1" l="1"/>
  <c r="K962" i="1" l="1"/>
  <c r="K963" i="1" l="1"/>
  <c r="K964" i="1" l="1"/>
  <c r="K965" i="1" l="1"/>
  <c r="K966" i="1" l="1"/>
  <c r="K967" i="1" l="1"/>
  <c r="K968" i="1" l="1"/>
  <c r="K969" i="1" l="1"/>
  <c r="K970" i="1" l="1"/>
  <c r="K971" i="1" l="1"/>
  <c r="K972" i="1" l="1"/>
  <c r="K973" i="1" l="1"/>
  <c r="K974" i="1" l="1"/>
  <c r="K975" i="1" l="1"/>
  <c r="K976" i="1" l="1"/>
  <c r="K977" i="1" l="1"/>
  <c r="K978" i="1" l="1"/>
  <c r="K979" i="1" l="1"/>
  <c r="K980" i="1" l="1"/>
  <c r="K981" i="1" l="1"/>
  <c r="K982" i="1" l="1"/>
  <c r="K983" i="1" l="1"/>
  <c r="K984" i="1" l="1"/>
  <c r="K985" i="1" l="1"/>
  <c r="K986" i="1" l="1"/>
  <c r="K987" i="1" l="1"/>
  <c r="K988" i="1" l="1"/>
  <c r="K989" i="1" l="1"/>
  <c r="K990" i="1" l="1"/>
  <c r="K991" i="1" l="1"/>
  <c r="K992" i="1" l="1"/>
  <c r="K993" i="1" l="1"/>
  <c r="K994" i="1" l="1"/>
  <c r="K995" i="1" l="1"/>
  <c r="K996" i="1" l="1"/>
  <c r="K997" i="1" l="1"/>
  <c r="K998" i="1" l="1"/>
  <c r="K999" i="1" l="1"/>
  <c r="K1000" i="1" l="1"/>
  <c r="K1001" i="1" l="1"/>
  <c r="K1002" i="1" l="1"/>
  <c r="K1003" i="1" l="1"/>
  <c r="K1004" i="1" l="1"/>
  <c r="K1005" i="1" l="1"/>
  <c r="K1006" i="1" l="1"/>
  <c r="K1007" i="1" l="1"/>
  <c r="K1008" i="1" l="1"/>
  <c r="K1009" i="1" l="1"/>
  <c r="K1010" i="1" l="1"/>
  <c r="K1011" i="1" l="1"/>
  <c r="K1012" i="1" l="1"/>
  <c r="K1013" i="1" l="1"/>
  <c r="K1014" i="1" l="1"/>
  <c r="K1015" i="1" l="1"/>
  <c r="K1016" i="1" l="1"/>
  <c r="K1017" i="1" l="1"/>
  <c r="K1018" i="1" l="1"/>
  <c r="K1019" i="1" l="1"/>
  <c r="K1020" i="1" l="1"/>
  <c r="K1021" i="1" l="1"/>
  <c r="K1022" i="1" l="1"/>
  <c r="K1023" i="1" l="1"/>
  <c r="K1024" i="1" l="1"/>
  <c r="K1025" i="1" l="1"/>
  <c r="K1026" i="1" l="1"/>
  <c r="K1027" i="1" l="1"/>
  <c r="K1028" i="1" l="1"/>
  <c r="K1029" i="1" l="1"/>
  <c r="K1030" i="1" l="1"/>
  <c r="K1031" i="1" l="1"/>
  <c r="K1032" i="1" l="1"/>
  <c r="K1033" i="1" l="1"/>
  <c r="K1034" i="1" l="1"/>
  <c r="K1035" i="1" l="1"/>
  <c r="K1036" i="1" l="1"/>
  <c r="K1037" i="1" l="1"/>
  <c r="K1038" i="1" l="1"/>
  <c r="K1039" i="1" l="1"/>
  <c r="K1040" i="1" l="1"/>
  <c r="K1041" i="1" l="1"/>
  <c r="K1042" i="1" l="1"/>
  <c r="K1043" i="1" l="1"/>
  <c r="K1044" i="1" l="1"/>
  <c r="K1045" i="1" l="1"/>
  <c r="K1046" i="1" l="1"/>
  <c r="K1047" i="1" l="1"/>
  <c r="K1048" i="1" l="1"/>
  <c r="K1049" i="1" l="1"/>
  <c r="K1050" i="1" l="1"/>
  <c r="K1051" i="1" l="1"/>
  <c r="K1052" i="1" l="1"/>
  <c r="K1053" i="1" l="1"/>
  <c r="K1054" i="1" l="1"/>
  <c r="K1055" i="1" l="1"/>
  <c r="K1056" i="1" l="1"/>
  <c r="K1057" i="1" l="1"/>
  <c r="K1058" i="1" l="1"/>
  <c r="K1059" i="1" l="1"/>
  <c r="K1060" i="1" l="1"/>
  <c r="K1061" i="1" l="1"/>
  <c r="K1062" i="1" l="1"/>
  <c r="K1063" i="1" l="1"/>
  <c r="K1064" i="1" l="1"/>
  <c r="K1065" i="1" l="1"/>
  <c r="K1066" i="1" l="1"/>
  <c r="K1067" i="1" l="1"/>
  <c r="K1068" i="1" l="1"/>
  <c r="K1069" i="1" l="1"/>
  <c r="K1070" i="1" l="1"/>
  <c r="K1071" i="1" l="1"/>
  <c r="K1072" i="1" l="1"/>
  <c r="K1073" i="1" l="1"/>
  <c r="K1074" i="1" l="1"/>
  <c r="K1075" i="1" l="1"/>
  <c r="K1076" i="1" l="1"/>
  <c r="K1077" i="1" l="1"/>
  <c r="K1078" i="1" l="1"/>
  <c r="K1079" i="1" l="1"/>
  <c r="K1080" i="1" l="1"/>
  <c r="K1081" i="1" l="1"/>
  <c r="K1082" i="1" l="1"/>
  <c r="K1083" i="1" l="1"/>
  <c r="K1084" i="1" l="1"/>
  <c r="K1085" i="1" l="1"/>
  <c r="K1086" i="1" l="1"/>
  <c r="K1087" i="1" l="1"/>
  <c r="K1088" i="1" l="1"/>
  <c r="K1089" i="1" l="1"/>
  <c r="K1090" i="1" l="1"/>
  <c r="K1091" i="1" l="1"/>
  <c r="K1092" i="1" l="1"/>
  <c r="K1093" i="1" l="1"/>
  <c r="K1094" i="1" l="1"/>
  <c r="K1095" i="1" l="1"/>
  <c r="K1096" i="1" l="1"/>
  <c r="K1097" i="1" l="1"/>
  <c r="K1098" i="1" l="1"/>
  <c r="K1099" i="1" l="1"/>
  <c r="K1100" i="1" l="1"/>
  <c r="K1101" i="1" l="1"/>
  <c r="K1102" i="1" l="1"/>
  <c r="K1103" i="1" l="1"/>
  <c r="K1104" i="1" l="1"/>
  <c r="K1105" i="1" l="1"/>
  <c r="K1106" i="1" l="1"/>
  <c r="K1107" i="1" l="1"/>
  <c r="K1108" i="1" l="1"/>
  <c r="K1109" i="1" l="1"/>
  <c r="K1110" i="1" l="1"/>
  <c r="K1111" i="1" l="1"/>
  <c r="K1112" i="1" l="1"/>
  <c r="K1113" i="1" l="1"/>
  <c r="K1114" i="1" l="1"/>
  <c r="K1115" i="1" l="1"/>
  <c r="K1116" i="1" l="1"/>
  <c r="K1117" i="1" l="1"/>
  <c r="K1118" i="1" l="1"/>
  <c r="K1119" i="1" l="1"/>
  <c r="K1120" i="1" l="1"/>
  <c r="K1121" i="1" l="1"/>
  <c r="K1122" i="1" l="1"/>
  <c r="K1123" i="1" l="1"/>
  <c r="K1124" i="1" l="1"/>
  <c r="K1125" i="1" l="1"/>
  <c r="K1126" i="1" l="1"/>
  <c r="K1127" i="1" l="1"/>
  <c r="K1128" i="1" l="1"/>
  <c r="K1129" i="1" l="1"/>
  <c r="K1130" i="1" l="1"/>
  <c r="K1131" i="1" l="1"/>
  <c r="K1132" i="1" l="1"/>
  <c r="K1133" i="1" l="1"/>
  <c r="K1134" i="1" l="1"/>
  <c r="K1135" i="1" l="1"/>
  <c r="K1136" i="1" l="1"/>
  <c r="K1137" i="1" l="1"/>
  <c r="K1138" i="1" l="1"/>
  <c r="K1139" i="1" l="1"/>
  <c r="K1140" i="1" l="1"/>
  <c r="K1141" i="1" l="1"/>
  <c r="K1142" i="1" l="1"/>
  <c r="K1143" i="1" l="1"/>
  <c r="K1144" i="1" l="1"/>
  <c r="K1145" i="1" l="1"/>
  <c r="K1146" i="1" l="1"/>
  <c r="K1147" i="1" l="1"/>
  <c r="K1148" i="1" l="1"/>
  <c r="K1149" i="1" l="1"/>
  <c r="K1150" i="1" l="1"/>
  <c r="K1151" i="1" l="1"/>
  <c r="K1152" i="1" l="1"/>
  <c r="K1153" i="1" l="1"/>
  <c r="K1154" i="1" l="1"/>
  <c r="K1155" i="1" l="1"/>
  <c r="K1156" i="1" l="1"/>
  <c r="K1157" i="1" l="1"/>
  <c r="K1158" i="1" l="1"/>
  <c r="K1159" i="1" l="1"/>
  <c r="K1160" i="1" l="1"/>
  <c r="K1161" i="1" l="1"/>
  <c r="K1162" i="1" l="1"/>
  <c r="K1163" i="1" l="1"/>
  <c r="K1164" i="1" l="1"/>
  <c r="K1165" i="1" l="1"/>
  <c r="K1166" i="1" l="1"/>
  <c r="K1167" i="1" l="1"/>
  <c r="K1168" i="1" l="1"/>
  <c r="K1169" i="1" l="1"/>
  <c r="K1170" i="1" l="1"/>
  <c r="K1171" i="1" l="1"/>
  <c r="K1172" i="1" l="1"/>
  <c r="K1173" i="1" l="1"/>
  <c r="K1174" i="1" l="1"/>
  <c r="K1175" i="1" l="1"/>
  <c r="K1176" i="1" l="1"/>
  <c r="K1177" i="1" l="1"/>
  <c r="K1178" i="1" l="1"/>
  <c r="K1179" i="1" l="1"/>
  <c r="K1180" i="1" l="1"/>
  <c r="K1181" i="1" l="1"/>
  <c r="K1182" i="1" l="1"/>
  <c r="K1183" i="1" l="1"/>
  <c r="K1184" i="1" l="1"/>
  <c r="K1185" i="1" l="1"/>
  <c r="K1186" i="1" l="1"/>
  <c r="K1187" i="1" l="1"/>
  <c r="K1188" i="1" l="1"/>
  <c r="K1189" i="1" l="1"/>
  <c r="K1190" i="1" l="1"/>
  <c r="K1191" i="1" l="1"/>
  <c r="K1192" i="1" l="1"/>
  <c r="K1193" i="1" l="1"/>
  <c r="K1194" i="1" l="1"/>
  <c r="K1195" i="1" l="1"/>
  <c r="K1196" i="1" l="1"/>
  <c r="K1197" i="1" l="1"/>
  <c r="K1198" i="1" l="1"/>
  <c r="K1199" i="1" l="1"/>
  <c r="K1200" i="1" l="1"/>
  <c r="K1201" i="1" l="1"/>
  <c r="K1202" i="1" l="1"/>
  <c r="K1203" i="1" l="1"/>
  <c r="K1204" i="1" l="1"/>
  <c r="K1205" i="1" l="1"/>
  <c r="K1206" i="1" l="1"/>
  <c r="K1207" i="1" l="1"/>
  <c r="K1208" i="1" l="1"/>
  <c r="K1209" i="1" l="1"/>
  <c r="K1210" i="1" l="1"/>
  <c r="K1211" i="1" l="1"/>
  <c r="K1212" i="1" l="1"/>
  <c r="K1213" i="1" l="1"/>
  <c r="K1214" i="1" l="1"/>
  <c r="K1215" i="1" l="1"/>
  <c r="K1216" i="1" l="1"/>
  <c r="K1217" i="1" l="1"/>
  <c r="K1218" i="1" l="1"/>
  <c r="K1219" i="1" l="1"/>
  <c r="K1220" i="1" l="1"/>
  <c r="K1221" i="1" l="1"/>
  <c r="K1222" i="1" l="1"/>
  <c r="K1223" i="1" l="1"/>
  <c r="K1224" i="1" l="1"/>
  <c r="K1225" i="1" l="1"/>
  <c r="K1226" i="1" l="1"/>
  <c r="K1227" i="1" l="1"/>
  <c r="K1228" i="1" l="1"/>
  <c r="K1229" i="1" l="1"/>
  <c r="K1230" i="1" l="1"/>
  <c r="K1231" i="1" l="1"/>
  <c r="K1232" i="1" l="1"/>
  <c r="K1233" i="1" l="1"/>
  <c r="K1234" i="1" l="1"/>
  <c r="K1235" i="1" l="1"/>
  <c r="K1236" i="1" l="1"/>
  <c r="K1237" i="1" l="1"/>
  <c r="K1238" i="1" l="1"/>
  <c r="K1239" i="1" l="1"/>
  <c r="K1240" i="1" l="1"/>
  <c r="K1241" i="1" l="1"/>
  <c r="K1242" i="1" l="1"/>
  <c r="K1243" i="1" l="1"/>
  <c r="K1244" i="1" l="1"/>
  <c r="K1245" i="1" l="1"/>
  <c r="K1246" i="1" l="1"/>
  <c r="K1247" i="1" l="1"/>
  <c r="K1248" i="1" l="1"/>
  <c r="K1249" i="1" l="1"/>
  <c r="K1250" i="1" l="1"/>
  <c r="K1251" i="1" l="1"/>
  <c r="K1252" i="1" l="1"/>
  <c r="K1253" i="1" l="1"/>
  <c r="K1254" i="1" l="1"/>
  <c r="K1255" i="1" l="1"/>
  <c r="K1256" i="1" l="1"/>
  <c r="K1257" i="1" l="1"/>
  <c r="K1258" i="1" l="1"/>
  <c r="K1259" i="1" l="1"/>
  <c r="K1260" i="1" l="1"/>
  <c r="K1261" i="1" l="1"/>
  <c r="K1262" i="1" l="1"/>
  <c r="K1263" i="1" l="1"/>
  <c r="K1264" i="1" l="1"/>
  <c r="K1265" i="1" l="1"/>
  <c r="K1266" i="1" l="1"/>
  <c r="K1267" i="1" l="1"/>
  <c r="K1268" i="1" l="1"/>
  <c r="K1269" i="1" l="1"/>
  <c r="K1270" i="1" l="1"/>
  <c r="K1271" i="1" l="1"/>
  <c r="K1272" i="1" l="1"/>
  <c r="K1273" i="1" l="1"/>
  <c r="K1274" i="1" l="1"/>
  <c r="K1275" i="1" l="1"/>
  <c r="K1276" i="1" l="1"/>
  <c r="K1277" i="1" l="1"/>
  <c r="K1278" i="1" l="1"/>
  <c r="K1279" i="1" l="1"/>
  <c r="K1280" i="1" l="1"/>
  <c r="K1281" i="1" l="1"/>
  <c r="K1282" i="1" l="1"/>
  <c r="K1283" i="1" l="1"/>
  <c r="K1284" i="1" l="1"/>
  <c r="K1285" i="1" l="1"/>
  <c r="K1286" i="1" l="1"/>
  <c r="K1287" i="1" l="1"/>
  <c r="K1288" i="1" l="1"/>
  <c r="K1289" i="1" l="1"/>
  <c r="K1290" i="1" l="1"/>
  <c r="K1291" i="1" l="1"/>
  <c r="K1292" i="1" l="1"/>
  <c r="K1293" i="1" l="1"/>
  <c r="K1294" i="1" l="1"/>
  <c r="K1295" i="1" l="1"/>
  <c r="K1296" i="1" l="1"/>
  <c r="K1297" i="1" l="1"/>
  <c r="K1298" i="1" l="1"/>
  <c r="K1299" i="1" l="1"/>
  <c r="K1300" i="1" l="1"/>
  <c r="K1301" i="1" l="1"/>
  <c r="K1302" i="1" l="1"/>
  <c r="K1303" i="1" l="1"/>
  <c r="K1304" i="1" l="1"/>
  <c r="K1305" i="1" l="1"/>
  <c r="K1306" i="1" l="1"/>
  <c r="K1307" i="1" l="1"/>
  <c r="K1308" i="1" l="1"/>
  <c r="K1309" i="1" l="1"/>
  <c r="K1310" i="1" l="1"/>
  <c r="K1311" i="1" l="1"/>
  <c r="K1312" i="1" l="1"/>
  <c r="K1313" i="1" l="1"/>
  <c r="K1314" i="1" l="1"/>
  <c r="K1315" i="1" l="1"/>
  <c r="K1316" i="1" l="1"/>
  <c r="K1317" i="1" l="1"/>
  <c r="K1318" i="1" l="1"/>
  <c r="K1319" i="1" l="1"/>
  <c r="K1320" i="1" l="1"/>
  <c r="K1321" i="1" l="1"/>
  <c r="K1322" i="1" l="1"/>
  <c r="K1323" i="1" l="1"/>
  <c r="K1324" i="1" l="1"/>
  <c r="K1325" i="1" l="1"/>
  <c r="K1326" i="1" l="1"/>
  <c r="K1327" i="1" l="1"/>
  <c r="K1328" i="1" l="1"/>
  <c r="K1329" i="1" l="1"/>
  <c r="K1330" i="1" l="1"/>
  <c r="K1331" i="1" l="1"/>
  <c r="K1332" i="1" l="1"/>
  <c r="K1333" i="1" l="1"/>
  <c r="K1334" i="1" l="1"/>
  <c r="K1335" i="1" l="1"/>
  <c r="K1336" i="1" l="1"/>
  <c r="K1337" i="1" l="1"/>
  <c r="K1338" i="1" l="1"/>
  <c r="K1339" i="1" l="1"/>
  <c r="K1340" i="1" l="1"/>
  <c r="K1341" i="1" l="1"/>
  <c r="K1342" i="1" l="1"/>
  <c r="K1343" i="1" l="1"/>
  <c r="K1344" i="1" l="1"/>
  <c r="K1345" i="1" l="1"/>
  <c r="K1346" i="1" l="1"/>
  <c r="K1347" i="1" l="1"/>
  <c r="K1348" i="1" l="1"/>
  <c r="K1349" i="1" l="1"/>
  <c r="K1350" i="1" l="1"/>
  <c r="K1351" i="1" l="1"/>
  <c r="K1352" i="1" l="1"/>
  <c r="K1353" i="1" l="1"/>
  <c r="K1354" i="1" l="1"/>
  <c r="K1355" i="1" l="1"/>
  <c r="K1356" i="1" l="1"/>
  <c r="K1357" i="1" l="1"/>
  <c r="K1358" i="1" l="1"/>
  <c r="K1359" i="1" l="1"/>
  <c r="K1360" i="1" l="1"/>
  <c r="K1361" i="1" l="1"/>
  <c r="K1362" i="1" l="1"/>
  <c r="K1363" i="1" l="1"/>
  <c r="K1364" i="1" l="1"/>
  <c r="K1365" i="1" l="1"/>
  <c r="K1366" i="1" l="1"/>
  <c r="K1367" i="1" l="1"/>
  <c r="K1368" i="1" l="1"/>
  <c r="K1369" i="1" l="1"/>
  <c r="K1370" i="1" l="1"/>
  <c r="K1371" i="1" l="1"/>
  <c r="K1372" i="1" l="1"/>
  <c r="K1373" i="1" l="1"/>
  <c r="K1374" i="1" l="1"/>
  <c r="K1375" i="1" l="1"/>
  <c r="K1376" i="1" l="1"/>
  <c r="K1377" i="1" l="1"/>
  <c r="K1378" i="1" l="1"/>
  <c r="K1379" i="1" l="1"/>
  <c r="K1380" i="1" l="1"/>
  <c r="K1381" i="1" l="1"/>
  <c r="K1382" i="1" l="1"/>
  <c r="K1383" i="1" l="1"/>
  <c r="K1384" i="1" l="1"/>
  <c r="K1385" i="1" l="1"/>
  <c r="K1386" i="1" l="1"/>
  <c r="K1387" i="1" l="1"/>
  <c r="K1388" i="1" l="1"/>
  <c r="K1389" i="1" l="1"/>
  <c r="K1390" i="1" l="1"/>
  <c r="K1391" i="1" l="1"/>
  <c r="K1392" i="1" l="1"/>
  <c r="K1393" i="1" l="1"/>
  <c r="K1394" i="1" l="1"/>
  <c r="K1395" i="1" l="1"/>
  <c r="K1396" i="1" l="1"/>
  <c r="K1397" i="1" l="1"/>
  <c r="K1398" i="1" l="1"/>
  <c r="K1399" i="1" l="1"/>
  <c r="K1400" i="1" l="1"/>
  <c r="K1401" i="1" l="1"/>
  <c r="K1402" i="1" l="1"/>
  <c r="K1403" i="1" l="1"/>
  <c r="K1404" i="1" l="1"/>
  <c r="K1405" i="1" l="1"/>
  <c r="K1406" i="1" l="1"/>
  <c r="K1407" i="1" l="1"/>
  <c r="K1408" i="1" l="1"/>
  <c r="K1409" i="1" l="1"/>
  <c r="K1410" i="1" l="1"/>
  <c r="K1411" i="1" l="1"/>
  <c r="K1412" i="1" l="1"/>
  <c r="K1413" i="1" l="1"/>
  <c r="K1414" i="1" l="1"/>
  <c r="K1415" i="1" l="1"/>
  <c r="K1416" i="1" l="1"/>
  <c r="K1417" i="1" l="1"/>
  <c r="K1418" i="1" l="1"/>
  <c r="K1419" i="1" l="1"/>
  <c r="K1420" i="1" l="1"/>
  <c r="K1421" i="1" l="1"/>
  <c r="K1422" i="1" l="1"/>
  <c r="K1423" i="1" l="1"/>
  <c r="K1424" i="1" l="1"/>
  <c r="K1425" i="1" l="1"/>
  <c r="K1426" i="1" l="1"/>
  <c r="K1427" i="1" l="1"/>
  <c r="K1428" i="1" l="1"/>
  <c r="K1429" i="1" l="1"/>
  <c r="K1430" i="1" l="1"/>
  <c r="K1431" i="1" l="1"/>
  <c r="K1432" i="1" l="1"/>
  <c r="K1433" i="1" l="1"/>
  <c r="K1434" i="1" l="1"/>
  <c r="K1435" i="1" l="1"/>
  <c r="K1436" i="1" l="1"/>
  <c r="K1437" i="1" l="1"/>
  <c r="K1438" i="1" l="1"/>
  <c r="K1439" i="1" l="1"/>
  <c r="K1440" i="1" l="1"/>
  <c r="K1441" i="1" l="1"/>
  <c r="K1442" i="1" l="1"/>
  <c r="K1443" i="1" l="1"/>
  <c r="K1444" i="1" l="1"/>
  <c r="K1445" i="1" l="1"/>
  <c r="K1446" i="1" l="1"/>
  <c r="K1447" i="1" l="1"/>
  <c r="K1448" i="1" l="1"/>
  <c r="AD1448" i="1" l="1"/>
  <c r="AC1448" i="1"/>
  <c r="AE1448" i="1"/>
  <c r="Z1448" i="1"/>
  <c r="P32" i="1"/>
  <c r="AB1448" i="1"/>
  <c r="P7" i="1"/>
  <c r="P8" i="1"/>
  <c r="I12" i="1"/>
  <c r="I16" i="1"/>
  <c r="I17" i="1"/>
  <c r="L31" i="1"/>
  <c r="M31" i="1"/>
  <c r="L32" i="1"/>
  <c r="M32" i="1"/>
  <c r="L33" i="1"/>
  <c r="M33" i="1"/>
  <c r="L34" i="1"/>
  <c r="M34" i="1"/>
  <c r="N34" i="1"/>
  <c r="L35" i="1"/>
  <c r="M35" i="1"/>
  <c r="N35" i="1"/>
  <c r="T35" i="1"/>
  <c r="U35" i="1"/>
  <c r="L36" i="1"/>
  <c r="M36" i="1"/>
  <c r="P36" i="1"/>
  <c r="W45" i="1"/>
  <c r="X45" i="1"/>
  <c r="Y45" i="1"/>
  <c r="Z45" i="1"/>
  <c r="AA45" i="1"/>
  <c r="AB45" i="1"/>
  <c r="AC45" i="1"/>
  <c r="AD45" i="1"/>
  <c r="AE45" i="1"/>
  <c r="AF45" i="1"/>
  <c r="AG45" i="1"/>
  <c r="AH45" i="1"/>
  <c r="AI45" i="1"/>
  <c r="AJ45" i="1"/>
  <c r="AQ45" i="1"/>
  <c r="AR45" i="1"/>
  <c r="AS45" i="1"/>
  <c r="L46" i="1"/>
  <c r="M46" i="1"/>
  <c r="N46" i="1"/>
  <c r="O46" i="1"/>
  <c r="P46" i="1"/>
  <c r="Q46" i="1"/>
  <c r="R46" i="1"/>
  <c r="S46" i="1"/>
  <c r="T46" i="1"/>
  <c r="U46" i="1"/>
  <c r="V46" i="1"/>
  <c r="W46" i="1"/>
  <c r="X46" i="1"/>
  <c r="Y46" i="1"/>
  <c r="Z46" i="1"/>
  <c r="AA46" i="1"/>
  <c r="AB46" i="1"/>
  <c r="AC46" i="1"/>
  <c r="AD46" i="1"/>
  <c r="AE46" i="1"/>
  <c r="AF46" i="1"/>
  <c r="AG46" i="1"/>
  <c r="AH46" i="1"/>
  <c r="AI46" i="1"/>
  <c r="AJ46" i="1"/>
  <c r="AQ46" i="1"/>
  <c r="AR46" i="1"/>
  <c r="AS46" i="1"/>
  <c r="L47" i="1"/>
  <c r="M47" i="1"/>
  <c r="N47" i="1"/>
  <c r="O47" i="1"/>
  <c r="P47" i="1"/>
  <c r="Q47" i="1"/>
  <c r="R47" i="1"/>
  <c r="S47" i="1"/>
  <c r="T47" i="1"/>
  <c r="U47" i="1"/>
  <c r="V47" i="1"/>
  <c r="W47" i="1"/>
  <c r="X47" i="1"/>
  <c r="Y47" i="1"/>
  <c r="Z47" i="1"/>
  <c r="AA47" i="1"/>
  <c r="AB47" i="1"/>
  <c r="AC47" i="1"/>
  <c r="AD47" i="1"/>
  <c r="AE47" i="1"/>
  <c r="AF47" i="1"/>
  <c r="AG47" i="1"/>
  <c r="AH47" i="1"/>
  <c r="AI47" i="1"/>
  <c r="AJ47" i="1"/>
  <c r="AQ47" i="1"/>
  <c r="AR47" i="1"/>
  <c r="AS47" i="1"/>
  <c r="L48" i="1"/>
  <c r="M48" i="1"/>
  <c r="N48" i="1"/>
  <c r="O48" i="1"/>
  <c r="P48" i="1"/>
  <c r="Q48" i="1"/>
  <c r="R48" i="1"/>
  <c r="S48" i="1"/>
  <c r="T48" i="1"/>
  <c r="U48" i="1"/>
  <c r="V48" i="1"/>
  <c r="W48" i="1"/>
  <c r="X48" i="1"/>
  <c r="Y48" i="1"/>
  <c r="Z48" i="1"/>
  <c r="AA48" i="1"/>
  <c r="AB48" i="1"/>
  <c r="AC48" i="1"/>
  <c r="AD48" i="1"/>
  <c r="AE48" i="1"/>
  <c r="AF48" i="1"/>
  <c r="AG48" i="1"/>
  <c r="AH48" i="1"/>
  <c r="AI48" i="1"/>
  <c r="AJ48" i="1"/>
  <c r="AQ48" i="1"/>
  <c r="AR48" i="1"/>
  <c r="AS48" i="1"/>
  <c r="L49" i="1"/>
  <c r="M49" i="1"/>
  <c r="N49" i="1"/>
  <c r="O49" i="1"/>
  <c r="P49" i="1"/>
  <c r="Q49" i="1"/>
  <c r="R49" i="1"/>
  <c r="S49" i="1"/>
  <c r="T49" i="1"/>
  <c r="U49" i="1"/>
  <c r="V49" i="1"/>
  <c r="W49" i="1"/>
  <c r="X49" i="1"/>
  <c r="Y49" i="1"/>
  <c r="Z49" i="1"/>
  <c r="AA49" i="1"/>
  <c r="AB49" i="1"/>
  <c r="AC49" i="1"/>
  <c r="AD49" i="1"/>
  <c r="AE49" i="1"/>
  <c r="AF49" i="1"/>
  <c r="AG49" i="1"/>
  <c r="AH49" i="1"/>
  <c r="AI49" i="1"/>
  <c r="AJ49" i="1"/>
  <c r="AQ49" i="1"/>
  <c r="AR49" i="1"/>
  <c r="AS49" i="1"/>
  <c r="L50" i="1"/>
  <c r="M50" i="1"/>
  <c r="N50" i="1"/>
  <c r="O50" i="1"/>
  <c r="P50" i="1"/>
  <c r="Q50" i="1"/>
  <c r="R50" i="1"/>
  <c r="S50" i="1"/>
  <c r="T50" i="1"/>
  <c r="U50" i="1"/>
  <c r="V50" i="1"/>
  <c r="W50" i="1"/>
  <c r="X50" i="1"/>
  <c r="Y50" i="1"/>
  <c r="Z50" i="1"/>
  <c r="AA50" i="1"/>
  <c r="AB50" i="1"/>
  <c r="AC50" i="1"/>
  <c r="AD50" i="1"/>
  <c r="AE50" i="1"/>
  <c r="AF50" i="1"/>
  <c r="AG50" i="1"/>
  <c r="AH50" i="1"/>
  <c r="AI50" i="1"/>
  <c r="AJ50" i="1"/>
  <c r="AQ50" i="1"/>
  <c r="AR50" i="1"/>
  <c r="AS50" i="1"/>
  <c r="L51" i="1"/>
  <c r="M51" i="1"/>
  <c r="N51" i="1"/>
  <c r="O51" i="1"/>
  <c r="P51" i="1"/>
  <c r="Q51" i="1"/>
  <c r="R51" i="1"/>
  <c r="S51" i="1"/>
  <c r="T51" i="1"/>
  <c r="U51" i="1"/>
  <c r="V51" i="1"/>
  <c r="W51" i="1"/>
  <c r="X51" i="1"/>
  <c r="Y51" i="1"/>
  <c r="Z51" i="1"/>
  <c r="AA51" i="1"/>
  <c r="AB51" i="1"/>
  <c r="AC51" i="1"/>
  <c r="AD51" i="1"/>
  <c r="AE51" i="1"/>
  <c r="AF51" i="1"/>
  <c r="AG51" i="1"/>
  <c r="AH51" i="1"/>
  <c r="AI51" i="1"/>
  <c r="AJ51" i="1"/>
  <c r="AQ51" i="1"/>
  <c r="AR51" i="1"/>
  <c r="AS51" i="1"/>
  <c r="L52" i="1"/>
  <c r="M52" i="1"/>
  <c r="N52" i="1"/>
  <c r="O52" i="1"/>
  <c r="P52" i="1"/>
  <c r="Q52" i="1"/>
  <c r="R52" i="1"/>
  <c r="S52" i="1"/>
  <c r="T52" i="1"/>
  <c r="U52" i="1"/>
  <c r="V52" i="1"/>
  <c r="W52" i="1"/>
  <c r="X52" i="1"/>
  <c r="Y52" i="1"/>
  <c r="Z52" i="1"/>
  <c r="AA52" i="1"/>
  <c r="AB52" i="1"/>
  <c r="AC52" i="1"/>
  <c r="AD52" i="1"/>
  <c r="AE52" i="1"/>
  <c r="AF52" i="1"/>
  <c r="AG52" i="1"/>
  <c r="AH52" i="1"/>
  <c r="AI52" i="1"/>
  <c r="AJ52" i="1"/>
  <c r="AQ52" i="1"/>
  <c r="AR52" i="1"/>
  <c r="AS52" i="1"/>
  <c r="L53" i="1"/>
  <c r="M53" i="1"/>
  <c r="N53" i="1"/>
  <c r="O53" i="1"/>
  <c r="P53" i="1"/>
  <c r="Q53" i="1"/>
  <c r="R53" i="1"/>
  <c r="S53" i="1"/>
  <c r="T53" i="1"/>
  <c r="U53" i="1"/>
  <c r="V53" i="1"/>
  <c r="W53" i="1"/>
  <c r="X53" i="1"/>
  <c r="Y53" i="1"/>
  <c r="Z53" i="1"/>
  <c r="AA53" i="1"/>
  <c r="AB53" i="1"/>
  <c r="AC53" i="1"/>
  <c r="AD53" i="1"/>
  <c r="AE53" i="1"/>
  <c r="AF53" i="1"/>
  <c r="AG53" i="1"/>
  <c r="AH53" i="1"/>
  <c r="AI53" i="1"/>
  <c r="AJ53" i="1"/>
  <c r="AQ53" i="1"/>
  <c r="AR53" i="1"/>
  <c r="AS53" i="1"/>
  <c r="L54" i="1"/>
  <c r="M54" i="1"/>
  <c r="N54" i="1"/>
  <c r="O54" i="1"/>
  <c r="P54" i="1"/>
  <c r="Q54" i="1"/>
  <c r="R54" i="1"/>
  <c r="S54" i="1"/>
  <c r="T54" i="1"/>
  <c r="U54" i="1"/>
  <c r="V54" i="1"/>
  <c r="W54" i="1"/>
  <c r="X54" i="1"/>
  <c r="Y54" i="1"/>
  <c r="Z54" i="1"/>
  <c r="AA54" i="1"/>
  <c r="AB54" i="1"/>
  <c r="AC54" i="1"/>
  <c r="AD54" i="1"/>
  <c r="AE54" i="1"/>
  <c r="AF54" i="1"/>
  <c r="AG54" i="1"/>
  <c r="AH54" i="1"/>
  <c r="AI54" i="1"/>
  <c r="AJ54" i="1"/>
  <c r="AQ54" i="1"/>
  <c r="AR54" i="1"/>
  <c r="AS54" i="1"/>
  <c r="L55" i="1"/>
  <c r="M55" i="1"/>
  <c r="N55" i="1"/>
  <c r="O55" i="1"/>
  <c r="P55" i="1"/>
  <c r="Q55" i="1"/>
  <c r="R55" i="1"/>
  <c r="S55" i="1"/>
  <c r="T55" i="1"/>
  <c r="U55" i="1"/>
  <c r="V55" i="1"/>
  <c r="W55" i="1"/>
  <c r="X55" i="1"/>
  <c r="Y55" i="1"/>
  <c r="Z55" i="1"/>
  <c r="AA55" i="1"/>
  <c r="AB55" i="1"/>
  <c r="AC55" i="1"/>
  <c r="AD55" i="1"/>
  <c r="AE55" i="1"/>
  <c r="AF55" i="1"/>
  <c r="AG55" i="1"/>
  <c r="AH55" i="1"/>
  <c r="AI55" i="1"/>
  <c r="AJ55" i="1"/>
  <c r="AQ55" i="1"/>
  <c r="AR55" i="1"/>
  <c r="AS55" i="1"/>
  <c r="L56" i="1"/>
  <c r="M56" i="1"/>
  <c r="N56" i="1"/>
  <c r="O56" i="1"/>
  <c r="P56" i="1"/>
  <c r="Q56" i="1"/>
  <c r="R56" i="1"/>
  <c r="S56" i="1"/>
  <c r="T56" i="1"/>
  <c r="U56" i="1"/>
  <c r="V56" i="1"/>
  <c r="AH56" i="1"/>
  <c r="AI56" i="1"/>
  <c r="AJ56" i="1"/>
  <c r="AQ56" i="1"/>
  <c r="AR56" i="1"/>
  <c r="AS56" i="1"/>
  <c r="W62" i="1"/>
  <c r="X62" i="1"/>
  <c r="Y62" i="1"/>
  <c r="Z62" i="1"/>
  <c r="AA62" i="1"/>
  <c r="AB62" i="1"/>
  <c r="AC62" i="1"/>
  <c r="AD62" i="1"/>
  <c r="AE62" i="1"/>
  <c r="AF62" i="1"/>
  <c r="AG62" i="1"/>
  <c r="AH62" i="1"/>
  <c r="AI62" i="1"/>
  <c r="AJ62" i="1"/>
  <c r="AQ62" i="1"/>
  <c r="AR62" i="1"/>
  <c r="AS62" i="1"/>
  <c r="L63" i="1"/>
  <c r="M63" i="1"/>
  <c r="N63" i="1"/>
  <c r="O63" i="1"/>
  <c r="P63" i="1"/>
  <c r="Q63" i="1"/>
  <c r="R63" i="1"/>
  <c r="S63" i="1"/>
  <c r="T63" i="1"/>
  <c r="U63" i="1"/>
  <c r="V63" i="1"/>
  <c r="W63" i="1"/>
  <c r="X63" i="1"/>
  <c r="Y63" i="1"/>
  <c r="Z63" i="1"/>
  <c r="AA63" i="1"/>
  <c r="AB63" i="1"/>
  <c r="AC63" i="1"/>
  <c r="AD63" i="1"/>
  <c r="AE63" i="1"/>
  <c r="AF63" i="1"/>
  <c r="AG63" i="1"/>
  <c r="AH63" i="1"/>
  <c r="AI63" i="1"/>
  <c r="AJ63" i="1"/>
  <c r="AQ63" i="1"/>
  <c r="AR63" i="1"/>
  <c r="AS63" i="1"/>
  <c r="L64" i="1"/>
  <c r="M64" i="1"/>
  <c r="N64" i="1"/>
  <c r="O64" i="1"/>
  <c r="P64" i="1"/>
  <c r="Q64" i="1"/>
  <c r="R64" i="1"/>
  <c r="S64" i="1"/>
  <c r="T64" i="1"/>
  <c r="U64" i="1"/>
  <c r="V64" i="1"/>
  <c r="W64" i="1"/>
  <c r="X64" i="1"/>
  <c r="Y64" i="1"/>
  <c r="Z64" i="1"/>
  <c r="AA64" i="1"/>
  <c r="AB64" i="1"/>
  <c r="AC64" i="1"/>
  <c r="AD64" i="1"/>
  <c r="AE64" i="1"/>
  <c r="AF64" i="1"/>
  <c r="AG64" i="1"/>
  <c r="AH64" i="1"/>
  <c r="AI64" i="1"/>
  <c r="AJ64" i="1"/>
  <c r="AQ64" i="1"/>
  <c r="AR64" i="1"/>
  <c r="AS64" i="1"/>
  <c r="L65" i="1"/>
  <c r="M65" i="1"/>
  <c r="N65" i="1"/>
  <c r="O65" i="1"/>
  <c r="P65" i="1"/>
  <c r="Q65" i="1"/>
  <c r="R65" i="1"/>
  <c r="S65" i="1"/>
  <c r="T65" i="1"/>
  <c r="U65" i="1"/>
  <c r="V65" i="1"/>
  <c r="W65" i="1"/>
  <c r="X65" i="1"/>
  <c r="Y65" i="1"/>
  <c r="Z65" i="1"/>
  <c r="AA65" i="1"/>
  <c r="AB65" i="1"/>
  <c r="AC65" i="1"/>
  <c r="AD65" i="1"/>
  <c r="AE65" i="1"/>
  <c r="AF65" i="1"/>
  <c r="AG65" i="1"/>
  <c r="AH65" i="1"/>
  <c r="AI65" i="1"/>
  <c r="AJ65" i="1"/>
  <c r="AQ65" i="1"/>
  <c r="AR65" i="1"/>
  <c r="AS65" i="1"/>
  <c r="L66" i="1"/>
  <c r="M66" i="1"/>
  <c r="N66" i="1"/>
  <c r="O66" i="1"/>
  <c r="P66" i="1"/>
  <c r="Q66" i="1"/>
  <c r="R66" i="1"/>
  <c r="S66" i="1"/>
  <c r="T66" i="1"/>
  <c r="U66" i="1"/>
  <c r="V66" i="1"/>
  <c r="W66" i="1"/>
  <c r="X66" i="1"/>
  <c r="Y66" i="1"/>
  <c r="Z66" i="1"/>
  <c r="AA66" i="1"/>
  <c r="AB66" i="1"/>
  <c r="AC66" i="1"/>
  <c r="AD66" i="1"/>
  <c r="AE66" i="1"/>
  <c r="AF66" i="1"/>
  <c r="AG66" i="1"/>
  <c r="AH66" i="1"/>
  <c r="AI66" i="1"/>
  <c r="AJ66" i="1"/>
  <c r="AQ66" i="1"/>
  <c r="AR66" i="1"/>
  <c r="AS66" i="1"/>
  <c r="L67" i="1"/>
  <c r="M67" i="1"/>
  <c r="N67" i="1"/>
  <c r="O67" i="1"/>
  <c r="P67" i="1"/>
  <c r="Q67" i="1"/>
  <c r="R67" i="1"/>
  <c r="S67" i="1"/>
  <c r="T67" i="1"/>
  <c r="U67" i="1"/>
  <c r="V67" i="1"/>
  <c r="W67" i="1"/>
  <c r="X67" i="1"/>
  <c r="Y67" i="1"/>
  <c r="Z67" i="1"/>
  <c r="AA67" i="1"/>
  <c r="AB67" i="1"/>
  <c r="AC67" i="1"/>
  <c r="AD67" i="1"/>
  <c r="AE67" i="1"/>
  <c r="AF67" i="1"/>
  <c r="AG67" i="1"/>
  <c r="AH67" i="1"/>
  <c r="AI67" i="1"/>
  <c r="AJ67" i="1"/>
  <c r="AQ67" i="1"/>
  <c r="AR67" i="1"/>
  <c r="AS67" i="1"/>
  <c r="L68" i="1"/>
  <c r="M68" i="1"/>
  <c r="N68" i="1"/>
  <c r="O68" i="1"/>
  <c r="P68" i="1"/>
  <c r="Q68" i="1"/>
  <c r="R68" i="1"/>
  <c r="S68" i="1"/>
  <c r="T68" i="1"/>
  <c r="U68" i="1"/>
  <c r="V68" i="1"/>
  <c r="W68" i="1"/>
  <c r="X68" i="1"/>
  <c r="Y68" i="1"/>
  <c r="Z68" i="1"/>
  <c r="AA68" i="1"/>
  <c r="AB68" i="1"/>
  <c r="AC68" i="1"/>
  <c r="AD68" i="1"/>
  <c r="AE68" i="1"/>
  <c r="AF68" i="1"/>
  <c r="AG68" i="1"/>
  <c r="AH68" i="1"/>
  <c r="AI68" i="1"/>
  <c r="AJ68" i="1"/>
  <c r="AQ68" i="1"/>
  <c r="AR68" i="1"/>
  <c r="AS68" i="1"/>
  <c r="L69" i="1"/>
  <c r="M69" i="1"/>
  <c r="N69" i="1"/>
  <c r="O69" i="1"/>
  <c r="P69" i="1"/>
  <c r="Q69" i="1"/>
  <c r="R69" i="1"/>
  <c r="S69" i="1"/>
  <c r="T69" i="1"/>
  <c r="U69" i="1"/>
  <c r="V69" i="1"/>
  <c r="W69" i="1"/>
  <c r="X69" i="1"/>
  <c r="Y69" i="1"/>
  <c r="Z69" i="1"/>
  <c r="AA69" i="1"/>
  <c r="AB69" i="1"/>
  <c r="AC69" i="1"/>
  <c r="AD69" i="1"/>
  <c r="AE69" i="1"/>
  <c r="AF69" i="1"/>
  <c r="AG69" i="1"/>
  <c r="AH69" i="1"/>
  <c r="AI69" i="1"/>
  <c r="AJ69" i="1"/>
  <c r="AQ69" i="1"/>
  <c r="AR69" i="1"/>
  <c r="AS69" i="1"/>
  <c r="L70" i="1"/>
  <c r="M70" i="1"/>
  <c r="N70" i="1"/>
  <c r="O70" i="1"/>
  <c r="P70" i="1"/>
  <c r="Q70" i="1"/>
  <c r="R70" i="1"/>
  <c r="S70" i="1"/>
  <c r="T70" i="1"/>
  <c r="U70" i="1"/>
  <c r="V70" i="1"/>
  <c r="W70" i="1"/>
  <c r="X70" i="1"/>
  <c r="Y70" i="1"/>
  <c r="Z70" i="1"/>
  <c r="AA70" i="1"/>
  <c r="AB70" i="1"/>
  <c r="AC70" i="1"/>
  <c r="AD70" i="1"/>
  <c r="AE70" i="1"/>
  <c r="AF70" i="1"/>
  <c r="AG70" i="1"/>
  <c r="AH70" i="1"/>
  <c r="AI70" i="1"/>
  <c r="AJ70" i="1"/>
  <c r="AQ70" i="1"/>
  <c r="AR70" i="1"/>
  <c r="AS70" i="1"/>
  <c r="L71" i="1"/>
  <c r="M71" i="1"/>
  <c r="N71" i="1"/>
  <c r="O71" i="1"/>
  <c r="P71" i="1"/>
  <c r="Q71" i="1"/>
  <c r="R71" i="1"/>
  <c r="S71" i="1"/>
  <c r="T71" i="1"/>
  <c r="U71" i="1"/>
  <c r="V71" i="1"/>
  <c r="W71" i="1"/>
  <c r="X71" i="1"/>
  <c r="Y71" i="1"/>
  <c r="Z71" i="1"/>
  <c r="AA71" i="1"/>
  <c r="AB71" i="1"/>
  <c r="AC71" i="1"/>
  <c r="AD71" i="1"/>
  <c r="AE71" i="1"/>
  <c r="AF71" i="1"/>
  <c r="AG71" i="1"/>
  <c r="AH71" i="1"/>
  <c r="AI71" i="1"/>
  <c r="AJ71" i="1"/>
  <c r="AQ71" i="1"/>
  <c r="AR71" i="1"/>
  <c r="AS71" i="1"/>
  <c r="L72" i="1"/>
  <c r="M72" i="1"/>
  <c r="N72" i="1"/>
  <c r="O72" i="1"/>
  <c r="P72" i="1"/>
  <c r="Q72" i="1"/>
  <c r="R72" i="1"/>
  <c r="S72" i="1"/>
  <c r="T72" i="1"/>
  <c r="U72" i="1"/>
  <c r="V72" i="1"/>
  <c r="W72" i="1"/>
  <c r="X72" i="1"/>
  <c r="Y72" i="1"/>
  <c r="Z72" i="1"/>
  <c r="AA72" i="1"/>
  <c r="AB72" i="1"/>
  <c r="AC72" i="1"/>
  <c r="AD72" i="1"/>
  <c r="AE72" i="1"/>
  <c r="AF72" i="1"/>
  <c r="AG72" i="1"/>
  <c r="AH72" i="1"/>
  <c r="AI72" i="1"/>
  <c r="AJ72" i="1"/>
  <c r="AQ72" i="1"/>
  <c r="AR72" i="1"/>
  <c r="AS72" i="1"/>
  <c r="L73" i="1"/>
  <c r="M73" i="1"/>
  <c r="N73" i="1"/>
  <c r="O73" i="1"/>
  <c r="P73" i="1"/>
  <c r="Q73" i="1"/>
  <c r="R73" i="1"/>
  <c r="S73" i="1"/>
  <c r="T73" i="1"/>
  <c r="U73" i="1"/>
  <c r="V73" i="1"/>
  <c r="W73" i="1"/>
  <c r="X73" i="1"/>
  <c r="Y73" i="1"/>
  <c r="Z73" i="1"/>
  <c r="AA73" i="1"/>
  <c r="AB73" i="1"/>
  <c r="AC73" i="1"/>
  <c r="AD73" i="1"/>
  <c r="AE73" i="1"/>
  <c r="AF73" i="1"/>
  <c r="AG73" i="1"/>
  <c r="AH73" i="1"/>
  <c r="AI73" i="1"/>
  <c r="AJ73" i="1"/>
  <c r="AQ73" i="1"/>
  <c r="AR73" i="1"/>
  <c r="AS73" i="1"/>
  <c r="L74" i="1"/>
  <c r="M74" i="1"/>
  <c r="N74" i="1"/>
  <c r="O74" i="1"/>
  <c r="P74" i="1"/>
  <c r="Q74" i="1"/>
  <c r="R74" i="1"/>
  <c r="S74" i="1"/>
  <c r="T74" i="1"/>
  <c r="U74" i="1"/>
  <c r="V74" i="1"/>
  <c r="W74" i="1"/>
  <c r="X74" i="1"/>
  <c r="Y74" i="1"/>
  <c r="Z74" i="1"/>
  <c r="AA74" i="1"/>
  <c r="AB74" i="1"/>
  <c r="AC74" i="1"/>
  <c r="AD74" i="1"/>
  <c r="AE74" i="1"/>
  <c r="AF74" i="1"/>
  <c r="AG74" i="1"/>
  <c r="AH74" i="1"/>
  <c r="AI74" i="1"/>
  <c r="AJ74" i="1"/>
  <c r="AQ74" i="1"/>
  <c r="AR74" i="1"/>
  <c r="AS74" i="1"/>
  <c r="L75" i="1"/>
  <c r="M75" i="1"/>
  <c r="N75" i="1"/>
  <c r="O75" i="1"/>
  <c r="P75" i="1"/>
  <c r="Q75" i="1"/>
  <c r="R75" i="1"/>
  <c r="S75" i="1"/>
  <c r="T75" i="1"/>
  <c r="U75" i="1"/>
  <c r="V75" i="1"/>
  <c r="W75" i="1"/>
  <c r="X75" i="1"/>
  <c r="Y75" i="1"/>
  <c r="Z75" i="1"/>
  <c r="AA75" i="1"/>
  <c r="AB75" i="1"/>
  <c r="AC75" i="1"/>
  <c r="AD75" i="1"/>
  <c r="AE75" i="1"/>
  <c r="AF75" i="1"/>
  <c r="AG75" i="1"/>
  <c r="AH75" i="1"/>
  <c r="AI75" i="1"/>
  <c r="AJ75" i="1"/>
  <c r="AQ75" i="1"/>
  <c r="AR75" i="1"/>
  <c r="AS75" i="1"/>
  <c r="L76" i="1"/>
  <c r="M76" i="1"/>
  <c r="N76" i="1"/>
  <c r="O76" i="1"/>
  <c r="P76" i="1"/>
  <c r="Q76" i="1"/>
  <c r="R76" i="1"/>
  <c r="S76" i="1"/>
  <c r="T76" i="1"/>
  <c r="U76" i="1"/>
  <c r="V76" i="1"/>
  <c r="W76" i="1"/>
  <c r="X76" i="1"/>
  <c r="Y76" i="1"/>
  <c r="Z76" i="1"/>
  <c r="AA76" i="1"/>
  <c r="AB76" i="1"/>
  <c r="AC76" i="1"/>
  <c r="AD76" i="1"/>
  <c r="AE76" i="1"/>
  <c r="AF76" i="1"/>
  <c r="AG76" i="1"/>
  <c r="AH76" i="1"/>
  <c r="AI76" i="1"/>
  <c r="AJ76" i="1"/>
  <c r="AQ76" i="1"/>
  <c r="AR76" i="1"/>
  <c r="AS76" i="1"/>
  <c r="L77" i="1"/>
  <c r="M77" i="1"/>
  <c r="N77" i="1"/>
  <c r="O77" i="1"/>
  <c r="P77" i="1"/>
  <c r="Q77" i="1"/>
  <c r="R77" i="1"/>
  <c r="S77" i="1"/>
  <c r="T77" i="1"/>
  <c r="U77" i="1"/>
  <c r="V77" i="1"/>
  <c r="W77" i="1"/>
  <c r="X77" i="1"/>
  <c r="Y77" i="1"/>
  <c r="Z77" i="1"/>
  <c r="AA77" i="1"/>
  <c r="AB77" i="1"/>
  <c r="AC77" i="1"/>
  <c r="AD77" i="1"/>
  <c r="AE77" i="1"/>
  <c r="AF77" i="1"/>
  <c r="AG77" i="1"/>
  <c r="AH77" i="1"/>
  <c r="AI77" i="1"/>
  <c r="AJ77" i="1"/>
  <c r="AQ77" i="1"/>
  <c r="AR77" i="1"/>
  <c r="AS77" i="1"/>
  <c r="L78" i="1"/>
  <c r="M78" i="1"/>
  <c r="N78" i="1"/>
  <c r="O78" i="1"/>
  <c r="P78" i="1"/>
  <c r="Q78" i="1"/>
  <c r="R78" i="1"/>
  <c r="S78" i="1"/>
  <c r="T78" i="1"/>
  <c r="U78" i="1"/>
  <c r="V78" i="1"/>
  <c r="W78" i="1"/>
  <c r="X78" i="1"/>
  <c r="Y78" i="1"/>
  <c r="Z78" i="1"/>
  <c r="AA78" i="1"/>
  <c r="AB78" i="1"/>
  <c r="AC78" i="1"/>
  <c r="AD78" i="1"/>
  <c r="AE78" i="1"/>
  <c r="AF78" i="1"/>
  <c r="AG78" i="1"/>
  <c r="AH78" i="1"/>
  <c r="AI78" i="1"/>
  <c r="AJ78" i="1"/>
  <c r="AQ78" i="1"/>
  <c r="AR78" i="1"/>
  <c r="AS78" i="1"/>
  <c r="L79" i="1"/>
  <c r="M79" i="1"/>
  <c r="N79" i="1"/>
  <c r="O79" i="1"/>
  <c r="P79" i="1"/>
  <c r="Q79" i="1"/>
  <c r="R79" i="1"/>
  <c r="S79" i="1"/>
  <c r="T79" i="1"/>
  <c r="U79" i="1"/>
  <c r="V79" i="1"/>
  <c r="W79" i="1"/>
  <c r="X79" i="1"/>
  <c r="Y79" i="1"/>
  <c r="Z79" i="1"/>
  <c r="AA79" i="1"/>
  <c r="AB79" i="1"/>
  <c r="AC79" i="1"/>
  <c r="AD79" i="1"/>
  <c r="AE79" i="1"/>
  <c r="AF79" i="1"/>
  <c r="AG79" i="1"/>
  <c r="AH79" i="1"/>
  <c r="AI79" i="1"/>
  <c r="AJ79" i="1"/>
  <c r="AQ79" i="1"/>
  <c r="AR79" i="1"/>
  <c r="AS79" i="1"/>
  <c r="L80" i="1"/>
  <c r="M80" i="1"/>
  <c r="N80" i="1"/>
  <c r="O80" i="1"/>
  <c r="P80" i="1"/>
  <c r="Q80" i="1"/>
  <c r="R80" i="1"/>
  <c r="S80" i="1"/>
  <c r="T80" i="1"/>
  <c r="U80" i="1"/>
  <c r="V80" i="1"/>
  <c r="W80" i="1"/>
  <c r="X80" i="1"/>
  <c r="Y80" i="1"/>
  <c r="Z80" i="1"/>
  <c r="AA80" i="1"/>
  <c r="AB80" i="1"/>
  <c r="AC80" i="1"/>
  <c r="AD80" i="1"/>
  <c r="AE80" i="1"/>
  <c r="AF80" i="1"/>
  <c r="AG80" i="1"/>
  <c r="AH80" i="1"/>
  <c r="AI80" i="1"/>
  <c r="AJ80" i="1"/>
  <c r="AQ80" i="1"/>
  <c r="AR80" i="1"/>
  <c r="AS80" i="1"/>
  <c r="L81" i="1"/>
  <c r="M81" i="1"/>
  <c r="N81" i="1"/>
  <c r="O81" i="1"/>
  <c r="P81" i="1"/>
  <c r="Q81" i="1"/>
  <c r="R81" i="1"/>
  <c r="S81" i="1"/>
  <c r="T81" i="1"/>
  <c r="U81" i="1"/>
  <c r="V81" i="1"/>
  <c r="W81" i="1"/>
  <c r="X81" i="1"/>
  <c r="Y81" i="1"/>
  <c r="Z81" i="1"/>
  <c r="AA81" i="1"/>
  <c r="AB81" i="1"/>
  <c r="AC81" i="1"/>
  <c r="AD81" i="1"/>
  <c r="AE81" i="1"/>
  <c r="AF81" i="1"/>
  <c r="AG81" i="1"/>
  <c r="AH81" i="1"/>
  <c r="AI81" i="1"/>
  <c r="AJ81" i="1"/>
  <c r="AQ81" i="1"/>
  <c r="AR81" i="1"/>
  <c r="AS81" i="1"/>
  <c r="L82" i="1"/>
  <c r="M82" i="1"/>
  <c r="N82" i="1"/>
  <c r="O82" i="1"/>
  <c r="P82" i="1"/>
  <c r="Q82" i="1"/>
  <c r="R82" i="1"/>
  <c r="S82" i="1"/>
  <c r="T82" i="1"/>
  <c r="U82" i="1"/>
  <c r="V82" i="1"/>
  <c r="W82" i="1"/>
  <c r="X82" i="1"/>
  <c r="Y82" i="1"/>
  <c r="Z82" i="1"/>
  <c r="AA82" i="1"/>
  <c r="AB82" i="1"/>
  <c r="AC82" i="1"/>
  <c r="AD82" i="1"/>
  <c r="AE82" i="1"/>
  <c r="AF82" i="1"/>
  <c r="AG82" i="1"/>
  <c r="AH82" i="1"/>
  <c r="AI82" i="1"/>
  <c r="AJ82" i="1"/>
  <c r="AQ82" i="1"/>
  <c r="AR82" i="1"/>
  <c r="AS82" i="1"/>
  <c r="L83" i="1"/>
  <c r="M83" i="1"/>
  <c r="N83" i="1"/>
  <c r="O83" i="1"/>
  <c r="P83" i="1"/>
  <c r="Q83" i="1"/>
  <c r="R83" i="1"/>
  <c r="S83" i="1"/>
  <c r="T83" i="1"/>
  <c r="U83" i="1"/>
  <c r="V83" i="1"/>
  <c r="W83" i="1"/>
  <c r="X83" i="1"/>
  <c r="Y83" i="1"/>
  <c r="Z83" i="1"/>
  <c r="AA83" i="1"/>
  <c r="AB83" i="1"/>
  <c r="AC83" i="1"/>
  <c r="AD83" i="1"/>
  <c r="AE83" i="1"/>
  <c r="AF83" i="1"/>
  <c r="AG83" i="1"/>
  <c r="AH83" i="1"/>
  <c r="AI83" i="1"/>
  <c r="AJ83" i="1"/>
  <c r="AQ83" i="1"/>
  <c r="AR83" i="1"/>
  <c r="AS83" i="1"/>
  <c r="L84" i="1"/>
  <c r="M84" i="1"/>
  <c r="N84" i="1"/>
  <c r="O84" i="1"/>
  <c r="P84" i="1"/>
  <c r="Q84" i="1"/>
  <c r="R84" i="1"/>
  <c r="S84" i="1"/>
  <c r="T84" i="1"/>
  <c r="U84" i="1"/>
  <c r="V84" i="1"/>
  <c r="W84" i="1"/>
  <c r="X84" i="1"/>
  <c r="Y84" i="1"/>
  <c r="Z84" i="1"/>
  <c r="AA84" i="1"/>
  <c r="AB84" i="1"/>
  <c r="AC84" i="1"/>
  <c r="AD84" i="1"/>
  <c r="AE84" i="1"/>
  <c r="AF84" i="1"/>
  <c r="AG84" i="1"/>
  <c r="AH84" i="1"/>
  <c r="AI84" i="1"/>
  <c r="AJ84" i="1"/>
  <c r="AQ84" i="1"/>
  <c r="AR84" i="1"/>
  <c r="AS84" i="1"/>
  <c r="L85" i="1"/>
  <c r="M85" i="1"/>
  <c r="N85" i="1"/>
  <c r="O85" i="1"/>
  <c r="P85" i="1"/>
  <c r="Q85" i="1"/>
  <c r="R85" i="1"/>
  <c r="S85" i="1"/>
  <c r="T85" i="1"/>
  <c r="U85" i="1"/>
  <c r="V85" i="1"/>
  <c r="W85" i="1"/>
  <c r="X85" i="1"/>
  <c r="Y85" i="1"/>
  <c r="Z85" i="1"/>
  <c r="AA85" i="1"/>
  <c r="AB85" i="1"/>
  <c r="AC85" i="1"/>
  <c r="AD85" i="1"/>
  <c r="AE85" i="1"/>
  <c r="AF85" i="1"/>
  <c r="AG85" i="1"/>
  <c r="AH85" i="1"/>
  <c r="AI85" i="1"/>
  <c r="AJ85" i="1"/>
  <c r="AQ85" i="1"/>
  <c r="AR85" i="1"/>
  <c r="AS85" i="1"/>
  <c r="L86" i="1"/>
  <c r="M86" i="1"/>
  <c r="N86" i="1"/>
  <c r="O86" i="1"/>
  <c r="P86" i="1"/>
  <c r="Q86" i="1"/>
  <c r="R86" i="1"/>
  <c r="S86" i="1"/>
  <c r="T86" i="1"/>
  <c r="U86" i="1"/>
  <c r="V86" i="1"/>
  <c r="W86" i="1"/>
  <c r="X86" i="1"/>
  <c r="Y86" i="1"/>
  <c r="Z86" i="1"/>
  <c r="AA86" i="1"/>
  <c r="AB86" i="1"/>
  <c r="AC86" i="1"/>
  <c r="AD86" i="1"/>
  <c r="AE86" i="1"/>
  <c r="AF86" i="1"/>
  <c r="AG86" i="1"/>
  <c r="AH86" i="1"/>
  <c r="AI86" i="1"/>
  <c r="AJ86" i="1"/>
  <c r="AQ86" i="1"/>
  <c r="AR86" i="1"/>
  <c r="AS86" i="1"/>
  <c r="L87" i="1"/>
  <c r="M87" i="1"/>
  <c r="N87" i="1"/>
  <c r="O87" i="1"/>
  <c r="P87" i="1"/>
  <c r="Q87" i="1"/>
  <c r="R87" i="1"/>
  <c r="S87" i="1"/>
  <c r="T87" i="1"/>
  <c r="U87" i="1"/>
  <c r="V87" i="1"/>
  <c r="W87" i="1"/>
  <c r="X87" i="1"/>
  <c r="Y87" i="1"/>
  <c r="Z87" i="1"/>
  <c r="AA87" i="1"/>
  <c r="AB87" i="1"/>
  <c r="AC87" i="1"/>
  <c r="AD87" i="1"/>
  <c r="AE87" i="1"/>
  <c r="AF87" i="1"/>
  <c r="AG87" i="1"/>
  <c r="AH87" i="1"/>
  <c r="AI87" i="1"/>
  <c r="AJ87" i="1"/>
  <c r="AQ87" i="1"/>
  <c r="AR87" i="1"/>
  <c r="AS87" i="1"/>
  <c r="L88" i="1"/>
  <c r="M88" i="1"/>
  <c r="N88" i="1"/>
  <c r="O88" i="1"/>
  <c r="P88" i="1"/>
  <c r="Q88" i="1"/>
  <c r="R88" i="1"/>
  <c r="S88" i="1"/>
  <c r="T88" i="1"/>
  <c r="U88" i="1"/>
  <c r="V88" i="1"/>
  <c r="W88" i="1"/>
  <c r="X88" i="1"/>
  <c r="Y88" i="1"/>
  <c r="Z88" i="1"/>
  <c r="AA88" i="1"/>
  <c r="AB88" i="1"/>
  <c r="AC88" i="1"/>
  <c r="AD88" i="1"/>
  <c r="AE88" i="1"/>
  <c r="AF88" i="1"/>
  <c r="AG88" i="1"/>
  <c r="AH88" i="1"/>
  <c r="AI88" i="1"/>
  <c r="AJ88" i="1"/>
  <c r="AQ88" i="1"/>
  <c r="AR88" i="1"/>
  <c r="AS88" i="1"/>
  <c r="L89" i="1"/>
  <c r="M89" i="1"/>
  <c r="N89" i="1"/>
  <c r="O89" i="1"/>
  <c r="P89" i="1"/>
  <c r="Q89" i="1"/>
  <c r="R89" i="1"/>
  <c r="S89" i="1"/>
  <c r="T89" i="1"/>
  <c r="U89" i="1"/>
  <c r="V89" i="1"/>
  <c r="W89" i="1"/>
  <c r="X89" i="1"/>
  <c r="Y89" i="1"/>
  <c r="Z89" i="1"/>
  <c r="AA89" i="1"/>
  <c r="AB89" i="1"/>
  <c r="AC89" i="1"/>
  <c r="AD89" i="1"/>
  <c r="AE89" i="1"/>
  <c r="AF89" i="1"/>
  <c r="AG89" i="1"/>
  <c r="AH89" i="1"/>
  <c r="AI89" i="1"/>
  <c r="AJ89" i="1"/>
  <c r="AQ89" i="1"/>
  <c r="AR89" i="1"/>
  <c r="AS89" i="1"/>
  <c r="L90" i="1"/>
  <c r="M90" i="1"/>
  <c r="N90" i="1"/>
  <c r="O90" i="1"/>
  <c r="P90" i="1"/>
  <c r="Q90" i="1"/>
  <c r="R90" i="1"/>
  <c r="S90" i="1"/>
  <c r="T90" i="1"/>
  <c r="U90" i="1"/>
  <c r="V90" i="1"/>
  <c r="W90" i="1"/>
  <c r="X90" i="1"/>
  <c r="Y90" i="1"/>
  <c r="Z90" i="1"/>
  <c r="AA90" i="1"/>
  <c r="AB90" i="1"/>
  <c r="AC90" i="1"/>
  <c r="AD90" i="1"/>
  <c r="AE90" i="1"/>
  <c r="AF90" i="1"/>
  <c r="AG90" i="1"/>
  <c r="AH90" i="1"/>
  <c r="AI90" i="1"/>
  <c r="AJ90" i="1"/>
  <c r="AQ90" i="1"/>
  <c r="AR90" i="1"/>
  <c r="AS90" i="1"/>
  <c r="L91" i="1"/>
  <c r="M91" i="1"/>
  <c r="N91" i="1"/>
  <c r="O91" i="1"/>
  <c r="P91" i="1"/>
  <c r="Q91" i="1"/>
  <c r="R91" i="1"/>
  <c r="S91" i="1"/>
  <c r="T91" i="1"/>
  <c r="U91" i="1"/>
  <c r="V91" i="1"/>
  <c r="W91" i="1"/>
  <c r="X91" i="1"/>
  <c r="Y91" i="1"/>
  <c r="Z91" i="1"/>
  <c r="AA91" i="1"/>
  <c r="AB91" i="1"/>
  <c r="AC91" i="1"/>
  <c r="AD91" i="1"/>
  <c r="AE91" i="1"/>
  <c r="AF91" i="1"/>
  <c r="AG91" i="1"/>
  <c r="AH91" i="1"/>
  <c r="AI91" i="1"/>
  <c r="AJ91" i="1"/>
  <c r="AQ91" i="1"/>
  <c r="AR91" i="1"/>
  <c r="AS91" i="1"/>
  <c r="L92" i="1"/>
  <c r="M92" i="1"/>
  <c r="N92" i="1"/>
  <c r="O92" i="1"/>
  <c r="P92" i="1"/>
  <c r="Q92" i="1"/>
  <c r="R92" i="1"/>
  <c r="S92" i="1"/>
  <c r="T92" i="1"/>
  <c r="U92" i="1"/>
  <c r="V92" i="1"/>
  <c r="W92" i="1"/>
  <c r="X92" i="1"/>
  <c r="Y92" i="1"/>
  <c r="Z92" i="1"/>
  <c r="AA92" i="1"/>
  <c r="AB92" i="1"/>
  <c r="AC92" i="1"/>
  <c r="AD92" i="1"/>
  <c r="AE92" i="1"/>
  <c r="AF92" i="1"/>
  <c r="AG92" i="1"/>
  <c r="AH92" i="1"/>
  <c r="AI92" i="1"/>
  <c r="AJ92" i="1"/>
  <c r="AQ92" i="1"/>
  <c r="AR92" i="1"/>
  <c r="AS92" i="1"/>
  <c r="L93" i="1"/>
  <c r="M93" i="1"/>
  <c r="N93" i="1"/>
  <c r="O93" i="1"/>
  <c r="P93" i="1"/>
  <c r="Q93" i="1"/>
  <c r="R93" i="1"/>
  <c r="S93" i="1"/>
  <c r="T93" i="1"/>
  <c r="U93" i="1"/>
  <c r="V93" i="1"/>
  <c r="W93" i="1"/>
  <c r="X93" i="1"/>
  <c r="Y93" i="1"/>
  <c r="Z93" i="1"/>
  <c r="AA93" i="1"/>
  <c r="AB93" i="1"/>
  <c r="AC93" i="1"/>
  <c r="AD93" i="1"/>
  <c r="AE93" i="1"/>
  <c r="AF93" i="1"/>
  <c r="AG93" i="1"/>
  <c r="AH93" i="1"/>
  <c r="AI93" i="1"/>
  <c r="AJ93" i="1"/>
  <c r="AQ93" i="1"/>
  <c r="AR93" i="1"/>
  <c r="AS93" i="1"/>
  <c r="L94" i="1"/>
  <c r="M94" i="1"/>
  <c r="N94" i="1"/>
  <c r="O94" i="1"/>
  <c r="P94" i="1"/>
  <c r="Q94" i="1"/>
  <c r="R94" i="1"/>
  <c r="S94" i="1"/>
  <c r="T94" i="1"/>
  <c r="U94" i="1"/>
  <c r="V94" i="1"/>
  <c r="W94" i="1"/>
  <c r="X94" i="1"/>
  <c r="Y94" i="1"/>
  <c r="Z94" i="1"/>
  <c r="AA94" i="1"/>
  <c r="AB94" i="1"/>
  <c r="AC94" i="1"/>
  <c r="AD94" i="1"/>
  <c r="AE94" i="1"/>
  <c r="AF94" i="1"/>
  <c r="AG94" i="1"/>
  <c r="AH94" i="1"/>
  <c r="AI94" i="1"/>
  <c r="AJ94" i="1"/>
  <c r="AQ94" i="1"/>
  <c r="AR94" i="1"/>
  <c r="AS94" i="1"/>
  <c r="L95" i="1"/>
  <c r="M95" i="1"/>
  <c r="N95" i="1"/>
  <c r="O95" i="1"/>
  <c r="P95" i="1"/>
  <c r="Q95" i="1"/>
  <c r="R95" i="1"/>
  <c r="S95" i="1"/>
  <c r="T95" i="1"/>
  <c r="U95" i="1"/>
  <c r="V95" i="1"/>
  <c r="W95" i="1"/>
  <c r="X95" i="1"/>
  <c r="Y95" i="1"/>
  <c r="Z95" i="1"/>
  <c r="AA95" i="1"/>
  <c r="AB95" i="1"/>
  <c r="AC95" i="1"/>
  <c r="AD95" i="1"/>
  <c r="AE95" i="1"/>
  <c r="AF95" i="1"/>
  <c r="AG95" i="1"/>
  <c r="AH95" i="1"/>
  <c r="AI95" i="1"/>
  <c r="AJ95" i="1"/>
  <c r="AQ95" i="1"/>
  <c r="AR95" i="1"/>
  <c r="AS95" i="1"/>
  <c r="L96" i="1"/>
  <c r="M96" i="1"/>
  <c r="N96" i="1"/>
  <c r="O96" i="1"/>
  <c r="P96" i="1"/>
  <c r="Q96" i="1"/>
  <c r="R96" i="1"/>
  <c r="S96" i="1"/>
  <c r="T96" i="1"/>
  <c r="U96" i="1"/>
  <c r="V96" i="1"/>
  <c r="W96" i="1"/>
  <c r="X96" i="1"/>
  <c r="Y96" i="1"/>
  <c r="Z96" i="1"/>
  <c r="AA96" i="1"/>
  <c r="AB96" i="1"/>
  <c r="AC96" i="1"/>
  <c r="AD96" i="1"/>
  <c r="AE96" i="1"/>
  <c r="AF96" i="1"/>
  <c r="AG96" i="1"/>
  <c r="AH96" i="1"/>
  <c r="AI96" i="1"/>
  <c r="AJ96" i="1"/>
  <c r="AQ96" i="1"/>
  <c r="AR96" i="1"/>
  <c r="AS96" i="1"/>
  <c r="L97" i="1"/>
  <c r="M97" i="1"/>
  <c r="N97" i="1"/>
  <c r="O97" i="1"/>
  <c r="P97" i="1"/>
  <c r="Q97" i="1"/>
  <c r="R97" i="1"/>
  <c r="S97" i="1"/>
  <c r="T97" i="1"/>
  <c r="U97" i="1"/>
  <c r="V97" i="1"/>
  <c r="W97" i="1"/>
  <c r="X97" i="1"/>
  <c r="Y97" i="1"/>
  <c r="Z97" i="1"/>
  <c r="AA97" i="1"/>
  <c r="AB97" i="1"/>
  <c r="AC97" i="1"/>
  <c r="AD97" i="1"/>
  <c r="AE97" i="1"/>
  <c r="AF97" i="1"/>
  <c r="AG97" i="1"/>
  <c r="AH97" i="1"/>
  <c r="AI97" i="1"/>
  <c r="AJ97" i="1"/>
  <c r="AQ97" i="1"/>
  <c r="AR97" i="1"/>
  <c r="AS97" i="1"/>
  <c r="L98" i="1"/>
  <c r="M98" i="1"/>
  <c r="N98" i="1"/>
  <c r="O98" i="1"/>
  <c r="P98" i="1"/>
  <c r="Q98" i="1"/>
  <c r="R98" i="1"/>
  <c r="S98" i="1"/>
  <c r="T98" i="1"/>
  <c r="U98" i="1"/>
  <c r="V98" i="1"/>
  <c r="W98" i="1"/>
  <c r="X98" i="1"/>
  <c r="Y98" i="1"/>
  <c r="Z98" i="1"/>
  <c r="AA98" i="1"/>
  <c r="AB98" i="1"/>
  <c r="AC98" i="1"/>
  <c r="AD98" i="1"/>
  <c r="AE98" i="1"/>
  <c r="AF98" i="1"/>
  <c r="AG98" i="1"/>
  <c r="AH98" i="1"/>
  <c r="AI98" i="1"/>
  <c r="AJ98" i="1"/>
  <c r="AQ98" i="1"/>
  <c r="AR98" i="1"/>
  <c r="AS98" i="1"/>
  <c r="L99" i="1"/>
  <c r="M99" i="1"/>
  <c r="N99" i="1"/>
  <c r="O99" i="1"/>
  <c r="P99" i="1"/>
  <c r="Q99" i="1"/>
  <c r="R99" i="1"/>
  <c r="S99" i="1"/>
  <c r="T99" i="1"/>
  <c r="U99" i="1"/>
  <c r="V99" i="1"/>
  <c r="W99" i="1"/>
  <c r="X99" i="1"/>
  <c r="Y99" i="1"/>
  <c r="Z99" i="1"/>
  <c r="AA99" i="1"/>
  <c r="AB99" i="1"/>
  <c r="AC99" i="1"/>
  <c r="AD99" i="1"/>
  <c r="AE99" i="1"/>
  <c r="AF99" i="1"/>
  <c r="AG99" i="1"/>
  <c r="AH99" i="1"/>
  <c r="AI99" i="1"/>
  <c r="AJ99" i="1"/>
  <c r="AQ99" i="1"/>
  <c r="AR99" i="1"/>
  <c r="AS99" i="1"/>
  <c r="L100" i="1"/>
  <c r="M100" i="1"/>
  <c r="N100" i="1"/>
  <c r="O100" i="1"/>
  <c r="P100" i="1"/>
  <c r="Q100" i="1"/>
  <c r="R100" i="1"/>
  <c r="S100" i="1"/>
  <c r="T100" i="1"/>
  <c r="U100" i="1"/>
  <c r="V100" i="1"/>
  <c r="W100" i="1"/>
  <c r="X100" i="1"/>
  <c r="Y100" i="1"/>
  <c r="Z100" i="1"/>
  <c r="AA100" i="1"/>
  <c r="AB100" i="1"/>
  <c r="AC100" i="1"/>
  <c r="AD100" i="1"/>
  <c r="AE100" i="1"/>
  <c r="AF100" i="1"/>
  <c r="AG100" i="1"/>
  <c r="AH100" i="1"/>
  <c r="AI100" i="1"/>
  <c r="AJ100" i="1"/>
  <c r="AQ100" i="1"/>
  <c r="AR100" i="1"/>
  <c r="AS100" i="1"/>
  <c r="L101" i="1"/>
  <c r="M101" i="1"/>
  <c r="N101" i="1"/>
  <c r="O101" i="1"/>
  <c r="P101" i="1"/>
  <c r="Q101" i="1"/>
  <c r="R101" i="1"/>
  <c r="S101" i="1"/>
  <c r="T101" i="1"/>
  <c r="U101" i="1"/>
  <c r="V101" i="1"/>
  <c r="W101" i="1"/>
  <c r="X101" i="1"/>
  <c r="Y101" i="1"/>
  <c r="Z101" i="1"/>
  <c r="AA101" i="1"/>
  <c r="AB101" i="1"/>
  <c r="AC101" i="1"/>
  <c r="AD101" i="1"/>
  <c r="AE101" i="1"/>
  <c r="AF101" i="1"/>
  <c r="AG101" i="1"/>
  <c r="AH101" i="1"/>
  <c r="AI101" i="1"/>
  <c r="AJ101" i="1"/>
  <c r="AQ101" i="1"/>
  <c r="AR101" i="1"/>
  <c r="AS101"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Q102" i="1"/>
  <c r="AR102" i="1"/>
  <c r="AS102"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Q103" i="1"/>
  <c r="AR103" i="1"/>
  <c r="AS103"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Q104" i="1"/>
  <c r="AR104" i="1"/>
  <c r="AS104" i="1"/>
  <c r="L105" i="1"/>
  <c r="M105" i="1"/>
  <c r="N105" i="1"/>
  <c r="O105" i="1"/>
  <c r="P105" i="1"/>
  <c r="Q105" i="1"/>
  <c r="R105" i="1"/>
  <c r="S105" i="1"/>
  <c r="T105" i="1"/>
  <c r="U105" i="1"/>
  <c r="V105" i="1"/>
  <c r="W105" i="1"/>
  <c r="X105" i="1"/>
  <c r="Y105" i="1"/>
  <c r="Z105" i="1"/>
  <c r="AA105" i="1"/>
  <c r="AB105" i="1"/>
  <c r="AC105" i="1"/>
  <c r="AD105" i="1"/>
  <c r="AE105" i="1"/>
  <c r="AF105" i="1"/>
  <c r="AG105" i="1"/>
  <c r="AH105" i="1"/>
  <c r="AI105" i="1"/>
  <c r="AJ105" i="1"/>
  <c r="AQ105" i="1"/>
  <c r="AR105" i="1"/>
  <c r="AS105"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Q106" i="1"/>
  <c r="AR106" i="1"/>
  <c r="AS106"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Q107" i="1"/>
  <c r="AR107" i="1"/>
  <c r="AS107"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Q108" i="1"/>
  <c r="AR108" i="1"/>
  <c r="AS108"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Q109" i="1"/>
  <c r="AR109" i="1"/>
  <c r="AS109"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Q110" i="1"/>
  <c r="AR110" i="1"/>
  <c r="AS110"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Q111" i="1"/>
  <c r="AR111" i="1"/>
  <c r="AS111"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Q112" i="1"/>
  <c r="AR112" i="1"/>
  <c r="AS112" i="1"/>
  <c r="L113" i="1"/>
  <c r="M113" i="1"/>
  <c r="N113" i="1"/>
  <c r="O113" i="1"/>
  <c r="P113" i="1"/>
  <c r="Q113" i="1"/>
  <c r="R113" i="1"/>
  <c r="S113" i="1"/>
  <c r="T113" i="1"/>
  <c r="U113" i="1"/>
  <c r="V113" i="1"/>
  <c r="W113" i="1"/>
  <c r="X113" i="1"/>
  <c r="Y113" i="1"/>
  <c r="Z113" i="1"/>
  <c r="AA113" i="1"/>
  <c r="AB113" i="1"/>
  <c r="AC113" i="1"/>
  <c r="AD113" i="1"/>
  <c r="AE113" i="1"/>
  <c r="AF113" i="1"/>
  <c r="AG113" i="1"/>
  <c r="AH113" i="1"/>
  <c r="AI113" i="1"/>
  <c r="AJ113" i="1"/>
  <c r="AQ113" i="1"/>
  <c r="AR113" i="1"/>
  <c r="AS113"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Q114" i="1"/>
  <c r="AR114" i="1"/>
  <c r="AS114"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Q115" i="1"/>
  <c r="AR115" i="1"/>
  <c r="AS115"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Q116" i="1"/>
  <c r="AR116" i="1"/>
  <c r="AS116"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Q117" i="1"/>
  <c r="AR117" i="1"/>
  <c r="AS117" i="1"/>
  <c r="L118" i="1"/>
  <c r="M118" i="1"/>
  <c r="N118" i="1"/>
  <c r="O118" i="1"/>
  <c r="P118" i="1"/>
  <c r="Q118" i="1"/>
  <c r="R118" i="1"/>
  <c r="S118" i="1"/>
  <c r="T118" i="1"/>
  <c r="U118" i="1"/>
  <c r="V118" i="1"/>
  <c r="W118" i="1"/>
  <c r="X118" i="1"/>
  <c r="Y118" i="1"/>
  <c r="Z118" i="1"/>
  <c r="AA118" i="1"/>
  <c r="AB118" i="1"/>
  <c r="AC118" i="1"/>
  <c r="AD118" i="1"/>
  <c r="AE118" i="1"/>
  <c r="AF118" i="1"/>
  <c r="AG118" i="1"/>
  <c r="AH118" i="1"/>
  <c r="AI118" i="1"/>
  <c r="AJ118" i="1"/>
  <c r="AQ118" i="1"/>
  <c r="AR118" i="1"/>
  <c r="AS118"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Q119" i="1"/>
  <c r="AR119" i="1"/>
  <c r="AS119"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Q120" i="1"/>
  <c r="AR120" i="1"/>
  <c r="AS120"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Q121" i="1"/>
  <c r="AR121" i="1"/>
  <c r="AS121" i="1"/>
  <c r="L122" i="1"/>
  <c r="M122" i="1"/>
  <c r="N122" i="1"/>
  <c r="O122" i="1"/>
  <c r="P122" i="1"/>
  <c r="Q122" i="1"/>
  <c r="R122" i="1"/>
  <c r="S122" i="1"/>
  <c r="T122" i="1"/>
  <c r="U122" i="1"/>
  <c r="V122" i="1"/>
  <c r="W122" i="1"/>
  <c r="X122" i="1"/>
  <c r="Y122" i="1"/>
  <c r="Z122" i="1"/>
  <c r="AA122" i="1"/>
  <c r="AB122" i="1"/>
  <c r="AC122" i="1"/>
  <c r="AD122" i="1"/>
  <c r="AE122" i="1"/>
  <c r="AF122" i="1"/>
  <c r="AG122" i="1"/>
  <c r="AH122" i="1"/>
  <c r="AI122" i="1"/>
  <c r="AJ122" i="1"/>
  <c r="AQ122" i="1"/>
  <c r="AR122" i="1"/>
  <c r="AS122"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Q123" i="1"/>
  <c r="AR123" i="1"/>
  <c r="AS123"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Q124" i="1"/>
  <c r="AR124" i="1"/>
  <c r="AS124"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Q125" i="1"/>
  <c r="AR125" i="1"/>
  <c r="AS125"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Q126" i="1"/>
  <c r="AR126" i="1"/>
  <c r="AS126" i="1"/>
  <c r="L127" i="1"/>
  <c r="M127" i="1"/>
  <c r="N127" i="1"/>
  <c r="O127" i="1"/>
  <c r="P127" i="1"/>
  <c r="Q127" i="1"/>
  <c r="R127" i="1"/>
  <c r="S127" i="1"/>
  <c r="T127" i="1"/>
  <c r="U127" i="1"/>
  <c r="V127" i="1"/>
  <c r="W127" i="1"/>
  <c r="X127" i="1"/>
  <c r="Y127" i="1"/>
  <c r="Z127" i="1"/>
  <c r="AA127" i="1"/>
  <c r="AB127" i="1"/>
  <c r="AC127" i="1"/>
  <c r="AD127" i="1"/>
  <c r="AE127" i="1"/>
  <c r="AF127" i="1"/>
  <c r="AG127" i="1"/>
  <c r="AH127" i="1"/>
  <c r="AI127" i="1"/>
  <c r="AJ127" i="1"/>
  <c r="AQ127" i="1"/>
  <c r="AR127" i="1"/>
  <c r="AS127"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Q128" i="1"/>
  <c r="AR128" i="1"/>
  <c r="AS128"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Q129" i="1"/>
  <c r="AR129" i="1"/>
  <c r="AS129"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Q130" i="1"/>
  <c r="AR130" i="1"/>
  <c r="AS130"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Q131" i="1"/>
  <c r="AR131" i="1"/>
  <c r="AS131"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Q132" i="1"/>
  <c r="AR132" i="1"/>
  <c r="AS132"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Q133" i="1"/>
  <c r="AR133" i="1"/>
  <c r="AS133"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Q134" i="1"/>
  <c r="AR134" i="1"/>
  <c r="AS134"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Q135" i="1"/>
  <c r="AR135" i="1"/>
  <c r="AS135"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Q136" i="1"/>
  <c r="AR136" i="1"/>
  <c r="AS136"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Q137" i="1"/>
  <c r="AR137" i="1"/>
  <c r="AS137"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Q138" i="1"/>
  <c r="AR138" i="1"/>
  <c r="AS138"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Q139" i="1"/>
  <c r="AR139" i="1"/>
  <c r="AS139" i="1"/>
  <c r="L140" i="1"/>
  <c r="M140" i="1"/>
  <c r="N140" i="1"/>
  <c r="O140" i="1"/>
  <c r="P140" i="1"/>
  <c r="Q140" i="1"/>
  <c r="R140" i="1"/>
  <c r="S140" i="1"/>
  <c r="T140" i="1"/>
  <c r="U140" i="1"/>
  <c r="V140" i="1"/>
  <c r="W140" i="1"/>
  <c r="X140" i="1"/>
  <c r="Y140" i="1"/>
  <c r="Z140" i="1"/>
  <c r="AA140" i="1"/>
  <c r="AB140" i="1"/>
  <c r="AC140" i="1"/>
  <c r="AD140" i="1"/>
  <c r="AE140" i="1"/>
  <c r="AF140" i="1"/>
  <c r="AG140" i="1"/>
  <c r="AH140" i="1"/>
  <c r="AI140" i="1"/>
  <c r="AJ140" i="1"/>
  <c r="AQ140" i="1"/>
  <c r="AR140" i="1"/>
  <c r="AS140"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Q141" i="1"/>
  <c r="AR141" i="1"/>
  <c r="AS141" i="1"/>
  <c r="L142" i="1"/>
  <c r="M142" i="1"/>
  <c r="N142" i="1"/>
  <c r="O142" i="1"/>
  <c r="P142" i="1"/>
  <c r="Q142" i="1"/>
  <c r="R142" i="1"/>
  <c r="S142" i="1"/>
  <c r="T142" i="1"/>
  <c r="U142" i="1"/>
  <c r="V142" i="1"/>
  <c r="W142" i="1"/>
  <c r="X142" i="1"/>
  <c r="Y142" i="1"/>
  <c r="Z142" i="1"/>
  <c r="AA142" i="1"/>
  <c r="AB142" i="1"/>
  <c r="AC142" i="1"/>
  <c r="AD142" i="1"/>
  <c r="AE142" i="1"/>
  <c r="AF142" i="1"/>
  <c r="AG142" i="1"/>
  <c r="AH142" i="1"/>
  <c r="AI142" i="1"/>
  <c r="AJ142" i="1"/>
  <c r="AQ142" i="1"/>
  <c r="AR142" i="1"/>
  <c r="AS142"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Q143" i="1"/>
  <c r="AR143" i="1"/>
  <c r="AS143"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Q144" i="1"/>
  <c r="AR144" i="1"/>
  <c r="AS144"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Q145" i="1"/>
  <c r="AR145" i="1"/>
  <c r="AS145"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Q146" i="1"/>
  <c r="AR146" i="1"/>
  <c r="AS146"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Q147" i="1"/>
  <c r="AR147" i="1"/>
  <c r="AS147"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Q148" i="1"/>
  <c r="AR148" i="1"/>
  <c r="AS148"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Q149" i="1"/>
  <c r="AR149" i="1"/>
  <c r="AS149"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Q150" i="1"/>
  <c r="AR150" i="1"/>
  <c r="AS150"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Q151" i="1"/>
  <c r="AR151" i="1"/>
  <c r="AS151" i="1"/>
  <c r="L152" i="1"/>
  <c r="M152" i="1"/>
  <c r="N152" i="1"/>
  <c r="O152" i="1"/>
  <c r="P152" i="1"/>
  <c r="Q152" i="1"/>
  <c r="R152" i="1"/>
  <c r="S152" i="1"/>
  <c r="T152" i="1"/>
  <c r="U152" i="1"/>
  <c r="V152" i="1"/>
  <c r="W152" i="1"/>
  <c r="X152" i="1"/>
  <c r="Y152" i="1"/>
  <c r="Z152" i="1"/>
  <c r="AA152" i="1"/>
  <c r="AB152" i="1"/>
  <c r="AC152" i="1"/>
  <c r="AD152" i="1"/>
  <c r="AE152" i="1"/>
  <c r="AF152" i="1"/>
  <c r="AG152" i="1"/>
  <c r="AH152" i="1"/>
  <c r="AI152" i="1"/>
  <c r="AJ152" i="1"/>
  <c r="AQ152" i="1"/>
  <c r="AR152" i="1"/>
  <c r="AS152"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Q153" i="1"/>
  <c r="AR153" i="1"/>
  <c r="AS153"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Q154" i="1"/>
  <c r="AR154" i="1"/>
  <c r="AS154" i="1"/>
  <c r="L155" i="1"/>
  <c r="M155" i="1"/>
  <c r="N155" i="1"/>
  <c r="O155" i="1"/>
  <c r="P155" i="1"/>
  <c r="Q155" i="1"/>
  <c r="R155" i="1"/>
  <c r="S155" i="1"/>
  <c r="T155" i="1"/>
  <c r="U155" i="1"/>
  <c r="V155" i="1"/>
  <c r="W155" i="1"/>
  <c r="X155" i="1"/>
  <c r="Y155" i="1"/>
  <c r="Z155" i="1"/>
  <c r="AA155" i="1"/>
  <c r="AB155" i="1"/>
  <c r="AC155" i="1"/>
  <c r="AD155" i="1"/>
  <c r="AE155" i="1"/>
  <c r="AF155" i="1"/>
  <c r="AG155" i="1"/>
  <c r="AH155" i="1"/>
  <c r="AI155" i="1"/>
  <c r="AJ155" i="1"/>
  <c r="AQ155" i="1"/>
  <c r="AR155" i="1"/>
  <c r="AS155"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Q156" i="1"/>
  <c r="AR156" i="1"/>
  <c r="AS156"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Q157" i="1"/>
  <c r="AR157" i="1"/>
  <c r="AS157" i="1"/>
  <c r="L158" i="1"/>
  <c r="M158" i="1"/>
  <c r="N158" i="1"/>
  <c r="O158" i="1"/>
  <c r="P158" i="1"/>
  <c r="Q158" i="1"/>
  <c r="R158" i="1"/>
  <c r="S158" i="1"/>
  <c r="T158" i="1"/>
  <c r="U158" i="1"/>
  <c r="V158" i="1"/>
  <c r="W158" i="1"/>
  <c r="X158" i="1"/>
  <c r="Y158" i="1"/>
  <c r="Z158" i="1"/>
  <c r="AA158" i="1"/>
  <c r="AB158" i="1"/>
  <c r="AC158" i="1"/>
  <c r="AD158" i="1"/>
  <c r="AE158" i="1"/>
  <c r="AF158" i="1"/>
  <c r="AG158" i="1"/>
  <c r="AH158" i="1"/>
  <c r="AI158" i="1"/>
  <c r="AJ158" i="1"/>
  <c r="AQ158" i="1"/>
  <c r="AR158" i="1"/>
  <c r="AS158" i="1"/>
  <c r="L159" i="1"/>
  <c r="M159" i="1"/>
  <c r="N159" i="1"/>
  <c r="O159" i="1"/>
  <c r="P159" i="1"/>
  <c r="Q159" i="1"/>
  <c r="R159" i="1"/>
  <c r="S159" i="1"/>
  <c r="T159" i="1"/>
  <c r="U159" i="1"/>
  <c r="V159" i="1"/>
  <c r="W159" i="1"/>
  <c r="X159" i="1"/>
  <c r="Y159" i="1"/>
  <c r="Z159" i="1"/>
  <c r="AA159" i="1"/>
  <c r="AB159" i="1"/>
  <c r="AC159" i="1"/>
  <c r="AD159" i="1"/>
  <c r="AE159" i="1"/>
  <c r="AF159" i="1"/>
  <c r="AG159" i="1"/>
  <c r="AH159" i="1"/>
  <c r="AI159" i="1"/>
  <c r="AJ159" i="1"/>
  <c r="AQ159" i="1"/>
  <c r="AR159" i="1"/>
  <c r="AS159" i="1"/>
  <c r="L160" i="1"/>
  <c r="M160" i="1"/>
  <c r="N160" i="1"/>
  <c r="O160" i="1"/>
  <c r="P160" i="1"/>
  <c r="Q160" i="1"/>
  <c r="R160" i="1"/>
  <c r="S160" i="1"/>
  <c r="T160" i="1"/>
  <c r="U160" i="1"/>
  <c r="V160" i="1"/>
  <c r="W160" i="1"/>
  <c r="X160" i="1"/>
  <c r="Y160" i="1"/>
  <c r="Z160" i="1"/>
  <c r="AA160" i="1"/>
  <c r="AB160" i="1"/>
  <c r="AC160" i="1"/>
  <c r="AD160" i="1"/>
  <c r="AE160" i="1"/>
  <c r="AF160" i="1"/>
  <c r="AG160" i="1"/>
  <c r="AH160" i="1"/>
  <c r="AI160" i="1"/>
  <c r="AJ160" i="1"/>
  <c r="AQ160" i="1"/>
  <c r="AR160" i="1"/>
  <c r="AS160" i="1"/>
  <c r="L161" i="1"/>
  <c r="M161" i="1"/>
  <c r="N161" i="1"/>
  <c r="O161" i="1"/>
  <c r="P161" i="1"/>
  <c r="Q161" i="1"/>
  <c r="R161" i="1"/>
  <c r="S161" i="1"/>
  <c r="T161" i="1"/>
  <c r="U161" i="1"/>
  <c r="V161" i="1"/>
  <c r="W161" i="1"/>
  <c r="X161" i="1"/>
  <c r="Y161" i="1"/>
  <c r="Z161" i="1"/>
  <c r="AA161" i="1"/>
  <c r="AB161" i="1"/>
  <c r="AC161" i="1"/>
  <c r="AD161" i="1"/>
  <c r="AE161" i="1"/>
  <c r="AF161" i="1"/>
  <c r="AG161" i="1"/>
  <c r="AH161" i="1"/>
  <c r="AI161" i="1"/>
  <c r="AJ161" i="1"/>
  <c r="AQ161" i="1"/>
  <c r="AR161" i="1"/>
  <c r="AS161" i="1"/>
  <c r="L162" i="1"/>
  <c r="M162" i="1"/>
  <c r="N162" i="1"/>
  <c r="O162" i="1"/>
  <c r="P162" i="1"/>
  <c r="Q162" i="1"/>
  <c r="R162" i="1"/>
  <c r="S162" i="1"/>
  <c r="T162" i="1"/>
  <c r="U162" i="1"/>
  <c r="V162" i="1"/>
  <c r="W162" i="1"/>
  <c r="X162" i="1"/>
  <c r="Y162" i="1"/>
  <c r="Z162" i="1"/>
  <c r="AA162" i="1"/>
  <c r="AB162" i="1"/>
  <c r="AC162" i="1"/>
  <c r="AD162" i="1"/>
  <c r="AE162" i="1"/>
  <c r="AF162" i="1"/>
  <c r="AG162" i="1"/>
  <c r="AH162" i="1"/>
  <c r="AI162" i="1"/>
  <c r="AJ162" i="1"/>
  <c r="AQ162" i="1"/>
  <c r="AR162" i="1"/>
  <c r="AS162"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Q163" i="1"/>
  <c r="AR163" i="1"/>
  <c r="AS163" i="1"/>
  <c r="L164" i="1"/>
  <c r="M164" i="1"/>
  <c r="N164" i="1"/>
  <c r="O164" i="1"/>
  <c r="P164" i="1"/>
  <c r="Q164" i="1"/>
  <c r="R164" i="1"/>
  <c r="S164" i="1"/>
  <c r="T164" i="1"/>
  <c r="U164" i="1"/>
  <c r="V164" i="1"/>
  <c r="W164" i="1"/>
  <c r="X164" i="1"/>
  <c r="Y164" i="1"/>
  <c r="Z164" i="1"/>
  <c r="AA164" i="1"/>
  <c r="AB164" i="1"/>
  <c r="AC164" i="1"/>
  <c r="AD164" i="1"/>
  <c r="AE164" i="1"/>
  <c r="AF164" i="1"/>
  <c r="AG164" i="1"/>
  <c r="AH164" i="1"/>
  <c r="AI164" i="1"/>
  <c r="AJ164" i="1"/>
  <c r="AQ164" i="1"/>
  <c r="AR164" i="1"/>
  <c r="AS164" i="1"/>
  <c r="L165" i="1"/>
  <c r="M165" i="1"/>
  <c r="N165" i="1"/>
  <c r="O165" i="1"/>
  <c r="P165" i="1"/>
  <c r="Q165" i="1"/>
  <c r="R165" i="1"/>
  <c r="S165" i="1"/>
  <c r="T165" i="1"/>
  <c r="U165" i="1"/>
  <c r="V165" i="1"/>
  <c r="W165" i="1"/>
  <c r="X165" i="1"/>
  <c r="Y165" i="1"/>
  <c r="Z165" i="1"/>
  <c r="AA165" i="1"/>
  <c r="AB165" i="1"/>
  <c r="AC165" i="1"/>
  <c r="AD165" i="1"/>
  <c r="AE165" i="1"/>
  <c r="AF165" i="1"/>
  <c r="AG165" i="1"/>
  <c r="AH165" i="1"/>
  <c r="AI165" i="1"/>
  <c r="AJ165" i="1"/>
  <c r="AQ165" i="1"/>
  <c r="AR165" i="1"/>
  <c r="AS165"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Q166" i="1"/>
  <c r="AR166" i="1"/>
  <c r="AS166"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Q167" i="1"/>
  <c r="AR167" i="1"/>
  <c r="AS167"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Q168" i="1"/>
  <c r="AR168" i="1"/>
  <c r="AS168"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Q169" i="1"/>
  <c r="AR169" i="1"/>
  <c r="AS169"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Q170" i="1"/>
  <c r="AR170" i="1"/>
  <c r="AS170"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Q171" i="1"/>
  <c r="AR171" i="1"/>
  <c r="AS171"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Q172" i="1"/>
  <c r="AR172" i="1"/>
  <c r="AS172"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Q173" i="1"/>
  <c r="AR173" i="1"/>
  <c r="AS173" i="1"/>
  <c r="L174" i="1"/>
  <c r="M174" i="1"/>
  <c r="N174" i="1"/>
  <c r="O174" i="1"/>
  <c r="P174" i="1"/>
  <c r="Q174" i="1"/>
  <c r="R174" i="1"/>
  <c r="S174" i="1"/>
  <c r="T174" i="1"/>
  <c r="U174" i="1"/>
  <c r="V174" i="1"/>
  <c r="W174" i="1"/>
  <c r="X174" i="1"/>
  <c r="Y174" i="1"/>
  <c r="Z174" i="1"/>
  <c r="AA174" i="1"/>
  <c r="AB174" i="1"/>
  <c r="AC174" i="1"/>
  <c r="AD174" i="1"/>
  <c r="AE174" i="1"/>
  <c r="AF174" i="1"/>
  <c r="AG174" i="1"/>
  <c r="AH174" i="1"/>
  <c r="AI174" i="1"/>
  <c r="AJ174" i="1"/>
  <c r="AQ174" i="1"/>
  <c r="AR174" i="1"/>
  <c r="AS174" i="1"/>
  <c r="L175" i="1"/>
  <c r="M175" i="1"/>
  <c r="N175" i="1"/>
  <c r="O175" i="1"/>
  <c r="P175" i="1"/>
  <c r="Q175" i="1"/>
  <c r="R175" i="1"/>
  <c r="S175" i="1"/>
  <c r="T175" i="1"/>
  <c r="U175" i="1"/>
  <c r="V175" i="1"/>
  <c r="W175" i="1"/>
  <c r="X175" i="1"/>
  <c r="Y175" i="1"/>
  <c r="Z175" i="1"/>
  <c r="AA175" i="1"/>
  <c r="AB175" i="1"/>
  <c r="AC175" i="1"/>
  <c r="AD175" i="1"/>
  <c r="AE175" i="1"/>
  <c r="AF175" i="1"/>
  <c r="AG175" i="1"/>
  <c r="AH175" i="1"/>
  <c r="AI175" i="1"/>
  <c r="AJ175" i="1"/>
  <c r="AQ175" i="1"/>
  <c r="AR175" i="1"/>
  <c r="AS175"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Q176" i="1"/>
  <c r="AR176" i="1"/>
  <c r="AS176"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Q177" i="1"/>
  <c r="AR177" i="1"/>
  <c r="AS177"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Q178" i="1"/>
  <c r="AR178" i="1"/>
  <c r="AS178"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Q179" i="1"/>
  <c r="AR179" i="1"/>
  <c r="AS179" i="1"/>
  <c r="L180" i="1"/>
  <c r="M180" i="1"/>
  <c r="N180" i="1"/>
  <c r="O180" i="1"/>
  <c r="P180" i="1"/>
  <c r="Q180" i="1"/>
  <c r="R180" i="1"/>
  <c r="S180" i="1"/>
  <c r="T180" i="1"/>
  <c r="U180" i="1"/>
  <c r="V180" i="1"/>
  <c r="W180" i="1"/>
  <c r="X180" i="1"/>
  <c r="Y180" i="1"/>
  <c r="Z180" i="1"/>
  <c r="AA180" i="1"/>
  <c r="AB180" i="1"/>
  <c r="AC180" i="1"/>
  <c r="AD180" i="1"/>
  <c r="AE180" i="1"/>
  <c r="AF180" i="1"/>
  <c r="AG180" i="1"/>
  <c r="AH180" i="1"/>
  <c r="AI180" i="1"/>
  <c r="AJ180" i="1"/>
  <c r="AQ180" i="1"/>
  <c r="AR180" i="1"/>
  <c r="AS180"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Q181" i="1"/>
  <c r="AR181" i="1"/>
  <c r="AS181"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Q182" i="1"/>
  <c r="AR182" i="1"/>
  <c r="AS182" i="1"/>
  <c r="L183" i="1"/>
  <c r="M183" i="1"/>
  <c r="N183" i="1"/>
  <c r="O183" i="1"/>
  <c r="P183" i="1"/>
  <c r="Q183" i="1"/>
  <c r="R183" i="1"/>
  <c r="S183" i="1"/>
  <c r="T183" i="1"/>
  <c r="U183" i="1"/>
  <c r="V183" i="1"/>
  <c r="W183" i="1"/>
  <c r="X183" i="1"/>
  <c r="Y183" i="1"/>
  <c r="Z183" i="1"/>
  <c r="AA183" i="1"/>
  <c r="AB183" i="1"/>
  <c r="AC183" i="1"/>
  <c r="AD183" i="1"/>
  <c r="AE183" i="1"/>
  <c r="AF183" i="1"/>
  <c r="AG183" i="1"/>
  <c r="AH183" i="1"/>
  <c r="AI183" i="1"/>
  <c r="AJ183" i="1"/>
  <c r="AQ183" i="1"/>
  <c r="AR183" i="1"/>
  <c r="AS183"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Q184" i="1"/>
  <c r="AR184" i="1"/>
  <c r="AS184"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Q185" i="1"/>
  <c r="AR185" i="1"/>
  <c r="AS185"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Q186" i="1"/>
  <c r="AR186" i="1"/>
  <c r="AS186"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Q187" i="1"/>
  <c r="AR187" i="1"/>
  <c r="AS187"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Q188" i="1"/>
  <c r="AR188" i="1"/>
  <c r="AS188" i="1"/>
  <c r="L189" i="1"/>
  <c r="M189" i="1"/>
  <c r="N189" i="1"/>
  <c r="O189" i="1"/>
  <c r="P189" i="1"/>
  <c r="Q189" i="1"/>
  <c r="R189" i="1"/>
  <c r="S189" i="1"/>
  <c r="T189" i="1"/>
  <c r="U189" i="1"/>
  <c r="V189" i="1"/>
  <c r="W189" i="1"/>
  <c r="X189" i="1"/>
  <c r="Y189" i="1"/>
  <c r="Z189" i="1"/>
  <c r="AA189" i="1"/>
  <c r="AB189" i="1"/>
  <c r="AC189" i="1"/>
  <c r="AD189" i="1"/>
  <c r="AE189" i="1"/>
  <c r="AF189" i="1"/>
  <c r="AG189" i="1"/>
  <c r="AH189" i="1"/>
  <c r="AI189" i="1"/>
  <c r="AJ189" i="1"/>
  <c r="AQ189" i="1"/>
  <c r="AR189" i="1"/>
  <c r="AS189"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Q190" i="1"/>
  <c r="AR190" i="1"/>
  <c r="AS190"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Q191" i="1"/>
  <c r="AR191" i="1"/>
  <c r="AS191"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Q192" i="1"/>
  <c r="AR192" i="1"/>
  <c r="AS192"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Q193" i="1"/>
  <c r="AR193" i="1"/>
  <c r="AS193"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Q194" i="1"/>
  <c r="AR194" i="1"/>
  <c r="AS194" i="1"/>
  <c r="L195" i="1"/>
  <c r="M195" i="1"/>
  <c r="N195" i="1"/>
  <c r="O195" i="1"/>
  <c r="P195" i="1"/>
  <c r="Q195" i="1"/>
  <c r="R195" i="1"/>
  <c r="S195" i="1"/>
  <c r="T195" i="1"/>
  <c r="U195" i="1"/>
  <c r="V195" i="1"/>
  <c r="W195" i="1"/>
  <c r="X195" i="1"/>
  <c r="Y195" i="1"/>
  <c r="Z195" i="1"/>
  <c r="AA195" i="1"/>
  <c r="AB195" i="1"/>
  <c r="AC195" i="1"/>
  <c r="AD195" i="1"/>
  <c r="AE195" i="1"/>
  <c r="AF195" i="1"/>
  <c r="AG195" i="1"/>
  <c r="AH195" i="1"/>
  <c r="AI195" i="1"/>
  <c r="AJ195" i="1"/>
  <c r="AQ195" i="1"/>
  <c r="AR195" i="1"/>
  <c r="AS195" i="1"/>
  <c r="L196" i="1"/>
  <c r="M196" i="1"/>
  <c r="N196" i="1"/>
  <c r="O196" i="1"/>
  <c r="P196" i="1"/>
  <c r="Q196" i="1"/>
  <c r="R196" i="1"/>
  <c r="S196" i="1"/>
  <c r="T196" i="1"/>
  <c r="U196" i="1"/>
  <c r="V196" i="1"/>
  <c r="W196" i="1"/>
  <c r="X196" i="1"/>
  <c r="Y196" i="1"/>
  <c r="Z196" i="1"/>
  <c r="AA196" i="1"/>
  <c r="AB196" i="1"/>
  <c r="AC196" i="1"/>
  <c r="AD196" i="1"/>
  <c r="AE196" i="1"/>
  <c r="AF196" i="1"/>
  <c r="AG196" i="1"/>
  <c r="AH196" i="1"/>
  <c r="AI196" i="1"/>
  <c r="AJ196" i="1"/>
  <c r="AQ196" i="1"/>
  <c r="AR196" i="1"/>
  <c r="AS196"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Q197" i="1"/>
  <c r="AR197" i="1"/>
  <c r="AS197"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Q198" i="1"/>
  <c r="AR198" i="1"/>
  <c r="AS198"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Q199" i="1"/>
  <c r="AR199" i="1"/>
  <c r="AS199"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Q200" i="1"/>
  <c r="AR200" i="1"/>
  <c r="AS200"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Q201" i="1"/>
  <c r="AR201" i="1"/>
  <c r="AS201"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Q202" i="1"/>
  <c r="AR202" i="1"/>
  <c r="AS202"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Q203" i="1"/>
  <c r="AR203" i="1"/>
  <c r="AS203"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Q204" i="1"/>
  <c r="AR204" i="1"/>
  <c r="AS204"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Q205" i="1"/>
  <c r="AR205" i="1"/>
  <c r="AS205"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Q206" i="1"/>
  <c r="AR206" i="1"/>
  <c r="AS206"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Q207" i="1"/>
  <c r="AR207" i="1"/>
  <c r="AS207"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Q208" i="1"/>
  <c r="AR208" i="1"/>
  <c r="AS208"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Q209" i="1"/>
  <c r="AR209" i="1"/>
  <c r="AS209"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Q210" i="1"/>
  <c r="AR210" i="1"/>
  <c r="AS210"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Q211" i="1"/>
  <c r="AR211" i="1"/>
  <c r="AS211"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Q212" i="1"/>
  <c r="AR212" i="1"/>
  <c r="AS212"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Q213" i="1"/>
  <c r="AR213" i="1"/>
  <c r="AS213"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Q214" i="1"/>
  <c r="AR214" i="1"/>
  <c r="AS214" i="1"/>
  <c r="L215" i="1"/>
  <c r="M215" i="1"/>
  <c r="N215" i="1"/>
  <c r="O215" i="1"/>
  <c r="P215" i="1"/>
  <c r="Q215" i="1"/>
  <c r="R215" i="1"/>
  <c r="S215" i="1"/>
  <c r="T215" i="1"/>
  <c r="U215" i="1"/>
  <c r="V215" i="1"/>
  <c r="W215" i="1"/>
  <c r="X215" i="1"/>
  <c r="Y215" i="1"/>
  <c r="Z215" i="1"/>
  <c r="AA215" i="1"/>
  <c r="AB215" i="1"/>
  <c r="AC215" i="1"/>
  <c r="AD215" i="1"/>
  <c r="AE215" i="1"/>
  <c r="AF215" i="1"/>
  <c r="AG215" i="1"/>
  <c r="AH215" i="1"/>
  <c r="AI215" i="1"/>
  <c r="AJ215" i="1"/>
  <c r="AQ215" i="1"/>
  <c r="AR215" i="1"/>
  <c r="AS215"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Q216" i="1"/>
  <c r="AR216" i="1"/>
  <c r="AS216"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Q217" i="1"/>
  <c r="AR217" i="1"/>
  <c r="AS217"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Q218" i="1"/>
  <c r="AR218" i="1"/>
  <c r="AS218"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Q219" i="1"/>
  <c r="AR219" i="1"/>
  <c r="AS219"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Q220" i="1"/>
  <c r="AR220" i="1"/>
  <c r="AS220" i="1"/>
  <c r="L221" i="1"/>
  <c r="M221" i="1"/>
  <c r="N221" i="1"/>
  <c r="O221" i="1"/>
  <c r="P221" i="1"/>
  <c r="Q221" i="1"/>
  <c r="R221" i="1"/>
  <c r="S221" i="1"/>
  <c r="T221" i="1"/>
  <c r="U221" i="1"/>
  <c r="V221" i="1"/>
  <c r="W221" i="1"/>
  <c r="X221" i="1"/>
  <c r="Y221" i="1"/>
  <c r="Z221" i="1"/>
  <c r="AA221" i="1"/>
  <c r="AB221" i="1"/>
  <c r="AC221" i="1"/>
  <c r="AD221" i="1"/>
  <c r="AE221" i="1"/>
  <c r="AF221" i="1"/>
  <c r="AG221" i="1"/>
  <c r="AH221" i="1"/>
  <c r="AI221" i="1"/>
  <c r="AJ221" i="1"/>
  <c r="AQ221" i="1"/>
  <c r="AR221" i="1"/>
  <c r="AS221"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Q222" i="1"/>
  <c r="AR222" i="1"/>
  <c r="AS222"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Q223" i="1"/>
  <c r="AR223" i="1"/>
  <c r="AS223"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Q224" i="1"/>
  <c r="AR224" i="1"/>
  <c r="AS224"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Q225" i="1"/>
  <c r="AR225" i="1"/>
  <c r="AS225"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Q226" i="1"/>
  <c r="AR226" i="1"/>
  <c r="AS226"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Q227" i="1"/>
  <c r="AR227" i="1"/>
  <c r="AS227"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Q228" i="1"/>
  <c r="AR228" i="1"/>
  <c r="AS228"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Q229" i="1"/>
  <c r="AR229" i="1"/>
  <c r="AS229"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Q230" i="1"/>
  <c r="AR230" i="1"/>
  <c r="AS230"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Q231" i="1"/>
  <c r="AR231" i="1"/>
  <c r="AS231"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Q232" i="1"/>
  <c r="AR232" i="1"/>
  <c r="AS232" i="1"/>
  <c r="L233" i="1"/>
  <c r="M233" i="1"/>
  <c r="N233" i="1"/>
  <c r="O233" i="1"/>
  <c r="P233" i="1"/>
  <c r="Q233" i="1"/>
  <c r="R233" i="1"/>
  <c r="S233" i="1"/>
  <c r="T233" i="1"/>
  <c r="U233" i="1"/>
  <c r="V233" i="1"/>
  <c r="W233" i="1"/>
  <c r="X233" i="1"/>
  <c r="Y233" i="1"/>
  <c r="Z233" i="1"/>
  <c r="AA233" i="1"/>
  <c r="AB233" i="1"/>
  <c r="AC233" i="1"/>
  <c r="AD233" i="1"/>
  <c r="AE233" i="1"/>
  <c r="AF233" i="1"/>
  <c r="AG233" i="1"/>
  <c r="AH233" i="1"/>
  <c r="AI233" i="1"/>
  <c r="AJ233" i="1"/>
  <c r="AQ233" i="1"/>
  <c r="AR233" i="1"/>
  <c r="AS233"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Q234" i="1"/>
  <c r="AR234" i="1"/>
  <c r="AS234"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Q235" i="1"/>
  <c r="AR235" i="1"/>
  <c r="AS235" i="1"/>
  <c r="L236" i="1"/>
  <c r="M236" i="1"/>
  <c r="N236" i="1"/>
  <c r="O236" i="1"/>
  <c r="P236" i="1"/>
  <c r="Q236" i="1"/>
  <c r="R236" i="1"/>
  <c r="S236" i="1"/>
  <c r="T236" i="1"/>
  <c r="U236" i="1"/>
  <c r="V236" i="1"/>
  <c r="W236" i="1"/>
  <c r="X236" i="1"/>
  <c r="Y236" i="1"/>
  <c r="Z236" i="1"/>
  <c r="AA236" i="1"/>
  <c r="AB236" i="1"/>
  <c r="AC236" i="1"/>
  <c r="AD236" i="1"/>
  <c r="AE236" i="1"/>
  <c r="AF236" i="1"/>
  <c r="AG236" i="1"/>
  <c r="AH236" i="1"/>
  <c r="AI236" i="1"/>
  <c r="AJ236" i="1"/>
  <c r="AQ236" i="1"/>
  <c r="AR236" i="1"/>
  <c r="AS236"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Q237" i="1"/>
  <c r="AR237" i="1"/>
  <c r="AS237"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Q238" i="1"/>
  <c r="AR238" i="1"/>
  <c r="AS238"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Q239" i="1"/>
  <c r="AR239" i="1"/>
  <c r="AS239"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Q240" i="1"/>
  <c r="AR240" i="1"/>
  <c r="AS240"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Q241" i="1"/>
  <c r="AR241" i="1"/>
  <c r="AS241"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Q242" i="1"/>
  <c r="AR242" i="1"/>
  <c r="AS242"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Q243" i="1"/>
  <c r="AR243" i="1"/>
  <c r="AS243" i="1"/>
  <c r="L244" i="1"/>
  <c r="M244" i="1"/>
  <c r="N244" i="1"/>
  <c r="O244" i="1"/>
  <c r="P244" i="1"/>
  <c r="Q244" i="1"/>
  <c r="R244" i="1"/>
  <c r="S244" i="1"/>
  <c r="T244" i="1"/>
  <c r="U244" i="1"/>
  <c r="V244" i="1"/>
  <c r="W244" i="1"/>
  <c r="X244" i="1"/>
  <c r="Y244" i="1"/>
  <c r="Z244" i="1"/>
  <c r="AA244" i="1"/>
  <c r="AB244" i="1"/>
  <c r="AC244" i="1"/>
  <c r="AD244" i="1"/>
  <c r="AE244" i="1"/>
  <c r="AF244" i="1"/>
  <c r="AG244" i="1"/>
  <c r="AH244" i="1"/>
  <c r="AI244" i="1"/>
  <c r="AJ244" i="1"/>
  <c r="AQ244" i="1"/>
  <c r="AR244" i="1"/>
  <c r="AS244" i="1"/>
  <c r="L245" i="1"/>
  <c r="M245" i="1"/>
  <c r="N245" i="1"/>
  <c r="O245" i="1"/>
  <c r="P245" i="1"/>
  <c r="Q245" i="1"/>
  <c r="R245" i="1"/>
  <c r="S245" i="1"/>
  <c r="T245" i="1"/>
  <c r="U245" i="1"/>
  <c r="V245" i="1"/>
  <c r="W245" i="1"/>
  <c r="X245" i="1"/>
  <c r="Y245" i="1"/>
  <c r="Z245" i="1"/>
  <c r="AA245" i="1"/>
  <c r="AB245" i="1"/>
  <c r="AC245" i="1"/>
  <c r="AD245" i="1"/>
  <c r="AE245" i="1"/>
  <c r="AF245" i="1"/>
  <c r="AG245" i="1"/>
  <c r="AH245" i="1"/>
  <c r="AI245" i="1"/>
  <c r="AJ245" i="1"/>
  <c r="AQ245" i="1"/>
  <c r="AR245" i="1"/>
  <c r="AS245"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Q246" i="1"/>
  <c r="AR246" i="1"/>
  <c r="AS246"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Q247" i="1"/>
  <c r="AR247" i="1"/>
  <c r="AS247"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Q248" i="1"/>
  <c r="AR248" i="1"/>
  <c r="AS248" i="1"/>
  <c r="L249" i="1"/>
  <c r="M249" i="1"/>
  <c r="N249" i="1"/>
  <c r="O249" i="1"/>
  <c r="P249" i="1"/>
  <c r="Q249" i="1"/>
  <c r="R249" i="1"/>
  <c r="S249" i="1"/>
  <c r="T249" i="1"/>
  <c r="U249" i="1"/>
  <c r="V249" i="1"/>
  <c r="W249" i="1"/>
  <c r="X249" i="1"/>
  <c r="Y249" i="1"/>
  <c r="Z249" i="1"/>
  <c r="AA249" i="1"/>
  <c r="AB249" i="1"/>
  <c r="AC249" i="1"/>
  <c r="AD249" i="1"/>
  <c r="AE249" i="1"/>
  <c r="AF249" i="1"/>
  <c r="AG249" i="1"/>
  <c r="AH249" i="1"/>
  <c r="AI249" i="1"/>
  <c r="AJ249" i="1"/>
  <c r="AQ249" i="1"/>
  <c r="AR249" i="1"/>
  <c r="AS249" i="1"/>
  <c r="L250" i="1"/>
  <c r="M250" i="1"/>
  <c r="N250" i="1"/>
  <c r="O250" i="1"/>
  <c r="P250" i="1"/>
  <c r="Q250" i="1"/>
  <c r="R250" i="1"/>
  <c r="S250" i="1"/>
  <c r="T250" i="1"/>
  <c r="U250" i="1"/>
  <c r="V250" i="1"/>
  <c r="W250" i="1"/>
  <c r="X250" i="1"/>
  <c r="Y250" i="1"/>
  <c r="Z250" i="1"/>
  <c r="AA250" i="1"/>
  <c r="AB250" i="1"/>
  <c r="AC250" i="1"/>
  <c r="AD250" i="1"/>
  <c r="AE250" i="1"/>
  <c r="AF250" i="1"/>
  <c r="AG250" i="1"/>
  <c r="AH250" i="1"/>
  <c r="AI250" i="1"/>
  <c r="AJ250" i="1"/>
  <c r="AQ250" i="1"/>
  <c r="AR250" i="1"/>
  <c r="AS250"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Q251" i="1"/>
  <c r="AR251" i="1"/>
  <c r="AS251"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Q252" i="1"/>
  <c r="AR252" i="1"/>
  <c r="AS252" i="1"/>
  <c r="L253" i="1"/>
  <c r="M253" i="1"/>
  <c r="N253" i="1"/>
  <c r="O253" i="1"/>
  <c r="P253" i="1"/>
  <c r="Q253" i="1"/>
  <c r="R253" i="1"/>
  <c r="S253" i="1"/>
  <c r="T253" i="1"/>
  <c r="U253" i="1"/>
  <c r="V253" i="1"/>
  <c r="W253" i="1"/>
  <c r="X253" i="1"/>
  <c r="Y253" i="1"/>
  <c r="Z253" i="1"/>
  <c r="AA253" i="1"/>
  <c r="AB253" i="1"/>
  <c r="AC253" i="1"/>
  <c r="AD253" i="1"/>
  <c r="AE253" i="1"/>
  <c r="AF253" i="1"/>
  <c r="AG253" i="1"/>
  <c r="AH253" i="1"/>
  <c r="AI253" i="1"/>
  <c r="AJ253" i="1"/>
  <c r="AQ253" i="1"/>
  <c r="AR253" i="1"/>
  <c r="AS253"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Q254" i="1"/>
  <c r="AR254" i="1"/>
  <c r="AS254"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Q255" i="1"/>
  <c r="AR255" i="1"/>
  <c r="AS255" i="1"/>
  <c r="L256" i="1"/>
  <c r="M256" i="1"/>
  <c r="N256" i="1"/>
  <c r="O256" i="1"/>
  <c r="P256" i="1"/>
  <c r="Q256" i="1"/>
  <c r="R256" i="1"/>
  <c r="S256" i="1"/>
  <c r="T256" i="1"/>
  <c r="U256" i="1"/>
  <c r="V256" i="1"/>
  <c r="W256" i="1"/>
  <c r="X256" i="1"/>
  <c r="Y256" i="1"/>
  <c r="Z256" i="1"/>
  <c r="AA256" i="1"/>
  <c r="AB256" i="1"/>
  <c r="AC256" i="1"/>
  <c r="AD256" i="1"/>
  <c r="AE256" i="1"/>
  <c r="AF256" i="1"/>
  <c r="AG256" i="1"/>
  <c r="AH256" i="1"/>
  <c r="AI256" i="1"/>
  <c r="AJ256" i="1"/>
  <c r="AQ256" i="1"/>
  <c r="AR256" i="1"/>
  <c r="AS256"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Q257" i="1"/>
  <c r="AR257" i="1"/>
  <c r="AS257"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Q258" i="1"/>
  <c r="AR258" i="1"/>
  <c r="AS258" i="1"/>
  <c r="L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Q259" i="1"/>
  <c r="AR259" i="1"/>
  <c r="AS259"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Q260" i="1"/>
  <c r="AR260" i="1"/>
  <c r="AS260" i="1"/>
  <c r="L261" i="1"/>
  <c r="M261" i="1"/>
  <c r="N261" i="1"/>
  <c r="O261" i="1"/>
  <c r="P261" i="1"/>
  <c r="Q261" i="1"/>
  <c r="R261" i="1"/>
  <c r="S261" i="1"/>
  <c r="T261" i="1"/>
  <c r="U261" i="1"/>
  <c r="V261" i="1"/>
  <c r="W261" i="1"/>
  <c r="X261" i="1"/>
  <c r="Y261" i="1"/>
  <c r="Z261" i="1"/>
  <c r="AA261" i="1"/>
  <c r="AB261" i="1"/>
  <c r="AC261" i="1"/>
  <c r="AD261" i="1"/>
  <c r="AE261" i="1"/>
  <c r="AF261" i="1"/>
  <c r="AG261" i="1"/>
  <c r="AH261" i="1"/>
  <c r="AI261" i="1"/>
  <c r="AJ261" i="1"/>
  <c r="AQ261" i="1"/>
  <c r="AR261" i="1"/>
  <c r="AS261" i="1"/>
  <c r="L262" i="1"/>
  <c r="M262" i="1"/>
  <c r="N262" i="1"/>
  <c r="O262" i="1"/>
  <c r="P262" i="1"/>
  <c r="Q262" i="1"/>
  <c r="R262" i="1"/>
  <c r="S262" i="1"/>
  <c r="T262" i="1"/>
  <c r="U262" i="1"/>
  <c r="V262" i="1"/>
  <c r="W262" i="1"/>
  <c r="X262" i="1"/>
  <c r="Y262" i="1"/>
  <c r="Z262" i="1"/>
  <c r="AA262" i="1"/>
  <c r="AB262" i="1"/>
  <c r="AC262" i="1"/>
  <c r="AD262" i="1"/>
  <c r="AE262" i="1"/>
  <c r="AF262" i="1"/>
  <c r="AG262" i="1"/>
  <c r="AH262" i="1"/>
  <c r="AI262" i="1"/>
  <c r="AJ262" i="1"/>
  <c r="AQ262" i="1"/>
  <c r="AR262" i="1"/>
  <c r="AS262"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Q263" i="1"/>
  <c r="AR263" i="1"/>
  <c r="AS263"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Q264" i="1"/>
  <c r="AR264" i="1"/>
  <c r="AS264"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Q265" i="1"/>
  <c r="AR265" i="1"/>
  <c r="AS265"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Q266" i="1"/>
  <c r="AR266" i="1"/>
  <c r="AS266" i="1"/>
  <c r="L267" i="1"/>
  <c r="M267" i="1"/>
  <c r="N267" i="1"/>
  <c r="O267" i="1"/>
  <c r="P267" i="1"/>
  <c r="Q267" i="1"/>
  <c r="R267" i="1"/>
  <c r="S267" i="1"/>
  <c r="T267" i="1"/>
  <c r="U267" i="1"/>
  <c r="V267" i="1"/>
  <c r="W267" i="1"/>
  <c r="X267" i="1"/>
  <c r="Y267" i="1"/>
  <c r="Z267" i="1"/>
  <c r="AA267" i="1"/>
  <c r="AB267" i="1"/>
  <c r="AC267" i="1"/>
  <c r="AD267" i="1"/>
  <c r="AE267" i="1"/>
  <c r="AF267" i="1"/>
  <c r="AG267" i="1"/>
  <c r="AH267" i="1"/>
  <c r="AI267" i="1"/>
  <c r="AJ267" i="1"/>
  <c r="AQ267" i="1"/>
  <c r="AR267" i="1"/>
  <c r="AS267" i="1"/>
  <c r="L268" i="1"/>
  <c r="M268" i="1"/>
  <c r="N268" i="1"/>
  <c r="O268" i="1"/>
  <c r="P268" i="1"/>
  <c r="Q268" i="1"/>
  <c r="R268" i="1"/>
  <c r="S268" i="1"/>
  <c r="T268" i="1"/>
  <c r="U268" i="1"/>
  <c r="V268" i="1"/>
  <c r="W268" i="1"/>
  <c r="X268" i="1"/>
  <c r="Y268" i="1"/>
  <c r="Z268" i="1"/>
  <c r="AA268" i="1"/>
  <c r="AB268" i="1"/>
  <c r="AC268" i="1"/>
  <c r="AD268" i="1"/>
  <c r="AE268" i="1"/>
  <c r="AF268" i="1"/>
  <c r="AG268" i="1"/>
  <c r="AH268" i="1"/>
  <c r="AI268" i="1"/>
  <c r="AJ268" i="1"/>
  <c r="AQ268" i="1"/>
  <c r="AR268" i="1"/>
  <c r="AS268" i="1"/>
  <c r="L269" i="1"/>
  <c r="M269" i="1"/>
  <c r="N269" i="1"/>
  <c r="O269" i="1"/>
  <c r="P269" i="1"/>
  <c r="Q269" i="1"/>
  <c r="R269" i="1"/>
  <c r="S269" i="1"/>
  <c r="T269" i="1"/>
  <c r="U269" i="1"/>
  <c r="V269" i="1"/>
  <c r="W269" i="1"/>
  <c r="X269" i="1"/>
  <c r="Y269" i="1"/>
  <c r="Z269" i="1"/>
  <c r="AA269" i="1"/>
  <c r="AB269" i="1"/>
  <c r="AC269" i="1"/>
  <c r="AD269" i="1"/>
  <c r="AE269" i="1"/>
  <c r="AF269" i="1"/>
  <c r="AG269" i="1"/>
  <c r="AH269" i="1"/>
  <c r="AI269" i="1"/>
  <c r="AJ269" i="1"/>
  <c r="AQ269" i="1"/>
  <c r="AR269" i="1"/>
  <c r="AS269"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Q270" i="1"/>
  <c r="AR270" i="1"/>
  <c r="AS270"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Q271" i="1"/>
  <c r="AR271" i="1"/>
  <c r="AS271"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Q272" i="1"/>
  <c r="AR272" i="1"/>
  <c r="AS272" i="1"/>
  <c r="L273" i="1"/>
  <c r="M273" i="1"/>
  <c r="N273" i="1"/>
  <c r="O273" i="1"/>
  <c r="P273" i="1"/>
  <c r="Q273" i="1"/>
  <c r="R273" i="1"/>
  <c r="S273" i="1"/>
  <c r="T273" i="1"/>
  <c r="U273" i="1"/>
  <c r="V273" i="1"/>
  <c r="W273" i="1"/>
  <c r="X273" i="1"/>
  <c r="Y273" i="1"/>
  <c r="Z273" i="1"/>
  <c r="AA273" i="1"/>
  <c r="AB273" i="1"/>
  <c r="AC273" i="1"/>
  <c r="AD273" i="1"/>
  <c r="AE273" i="1"/>
  <c r="AF273" i="1"/>
  <c r="AG273" i="1"/>
  <c r="AH273" i="1"/>
  <c r="AI273" i="1"/>
  <c r="AJ273" i="1"/>
  <c r="AQ273" i="1"/>
  <c r="AR273" i="1"/>
  <c r="AS273" i="1"/>
  <c r="L274" i="1"/>
  <c r="M274" i="1"/>
  <c r="N274" i="1"/>
  <c r="O274" i="1"/>
  <c r="P274" i="1"/>
  <c r="Q274" i="1"/>
  <c r="R274" i="1"/>
  <c r="S274" i="1"/>
  <c r="T274" i="1"/>
  <c r="U274" i="1"/>
  <c r="V274" i="1"/>
  <c r="W274" i="1"/>
  <c r="X274" i="1"/>
  <c r="Y274" i="1"/>
  <c r="Z274" i="1"/>
  <c r="AA274" i="1"/>
  <c r="AB274" i="1"/>
  <c r="AC274" i="1"/>
  <c r="AD274" i="1"/>
  <c r="AE274" i="1"/>
  <c r="AF274" i="1"/>
  <c r="AG274" i="1"/>
  <c r="AH274" i="1"/>
  <c r="AI274" i="1"/>
  <c r="AJ274" i="1"/>
  <c r="AQ274" i="1"/>
  <c r="AR274" i="1"/>
  <c r="AS274" i="1"/>
  <c r="L275" i="1"/>
  <c r="M275" i="1"/>
  <c r="N275" i="1"/>
  <c r="O275" i="1"/>
  <c r="P275" i="1"/>
  <c r="Q275" i="1"/>
  <c r="R275" i="1"/>
  <c r="S275" i="1"/>
  <c r="T275" i="1"/>
  <c r="U275" i="1"/>
  <c r="V275" i="1"/>
  <c r="W275" i="1"/>
  <c r="X275" i="1"/>
  <c r="Y275" i="1"/>
  <c r="Z275" i="1"/>
  <c r="AA275" i="1"/>
  <c r="AB275" i="1"/>
  <c r="AC275" i="1"/>
  <c r="AD275" i="1"/>
  <c r="AE275" i="1"/>
  <c r="AF275" i="1"/>
  <c r="AG275" i="1"/>
  <c r="AH275" i="1"/>
  <c r="AI275" i="1"/>
  <c r="AJ275" i="1"/>
  <c r="AQ275" i="1"/>
  <c r="AR275" i="1"/>
  <c r="AS275" i="1"/>
  <c r="L276" i="1"/>
  <c r="M276" i="1"/>
  <c r="N276" i="1"/>
  <c r="O276" i="1"/>
  <c r="P276" i="1"/>
  <c r="Q276" i="1"/>
  <c r="R276" i="1"/>
  <c r="S276" i="1"/>
  <c r="T276" i="1"/>
  <c r="U276" i="1"/>
  <c r="V276" i="1"/>
  <c r="W276" i="1"/>
  <c r="X276" i="1"/>
  <c r="Y276" i="1"/>
  <c r="Z276" i="1"/>
  <c r="AA276" i="1"/>
  <c r="AB276" i="1"/>
  <c r="AC276" i="1"/>
  <c r="AD276" i="1"/>
  <c r="AE276" i="1"/>
  <c r="AF276" i="1"/>
  <c r="AG276" i="1"/>
  <c r="AH276" i="1"/>
  <c r="AI276" i="1"/>
  <c r="AJ276" i="1"/>
  <c r="AQ276" i="1"/>
  <c r="AR276" i="1"/>
  <c r="AS276" i="1"/>
  <c r="L277" i="1"/>
  <c r="M277" i="1"/>
  <c r="N277" i="1"/>
  <c r="O277" i="1"/>
  <c r="P277" i="1"/>
  <c r="Q277" i="1"/>
  <c r="R277" i="1"/>
  <c r="S277" i="1"/>
  <c r="T277" i="1"/>
  <c r="U277" i="1"/>
  <c r="V277" i="1"/>
  <c r="W277" i="1"/>
  <c r="X277" i="1"/>
  <c r="Y277" i="1"/>
  <c r="Z277" i="1"/>
  <c r="AA277" i="1"/>
  <c r="AB277" i="1"/>
  <c r="AC277" i="1"/>
  <c r="AD277" i="1"/>
  <c r="AE277" i="1"/>
  <c r="AF277" i="1"/>
  <c r="AG277" i="1"/>
  <c r="AH277" i="1"/>
  <c r="AI277" i="1"/>
  <c r="AJ277" i="1"/>
  <c r="AQ277" i="1"/>
  <c r="AR277" i="1"/>
  <c r="AS277" i="1"/>
  <c r="L278" i="1"/>
  <c r="M278" i="1"/>
  <c r="N278" i="1"/>
  <c r="O278" i="1"/>
  <c r="P278" i="1"/>
  <c r="Q278" i="1"/>
  <c r="R278" i="1"/>
  <c r="S278" i="1"/>
  <c r="T278" i="1"/>
  <c r="U278" i="1"/>
  <c r="V278" i="1"/>
  <c r="W278" i="1"/>
  <c r="X278" i="1"/>
  <c r="Y278" i="1"/>
  <c r="Z278" i="1"/>
  <c r="AA278" i="1"/>
  <c r="AB278" i="1"/>
  <c r="AC278" i="1"/>
  <c r="AD278" i="1"/>
  <c r="AE278" i="1"/>
  <c r="AF278" i="1"/>
  <c r="AG278" i="1"/>
  <c r="AH278" i="1"/>
  <c r="AI278" i="1"/>
  <c r="AJ278" i="1"/>
  <c r="AQ278" i="1"/>
  <c r="AR278" i="1"/>
  <c r="AS278" i="1"/>
  <c r="L279" i="1"/>
  <c r="M279" i="1"/>
  <c r="N279" i="1"/>
  <c r="O279" i="1"/>
  <c r="P279" i="1"/>
  <c r="Q279" i="1"/>
  <c r="R279" i="1"/>
  <c r="S279" i="1"/>
  <c r="T279" i="1"/>
  <c r="U279" i="1"/>
  <c r="V279" i="1"/>
  <c r="W279" i="1"/>
  <c r="X279" i="1"/>
  <c r="Y279" i="1"/>
  <c r="Z279" i="1"/>
  <c r="AA279" i="1"/>
  <c r="AB279" i="1"/>
  <c r="AC279" i="1"/>
  <c r="AD279" i="1"/>
  <c r="AE279" i="1"/>
  <c r="AF279" i="1"/>
  <c r="AG279" i="1"/>
  <c r="AH279" i="1"/>
  <c r="AI279" i="1"/>
  <c r="AJ279" i="1"/>
  <c r="AQ279" i="1"/>
  <c r="AR279" i="1"/>
  <c r="AS279" i="1"/>
  <c r="L280" i="1"/>
  <c r="M280" i="1"/>
  <c r="N280" i="1"/>
  <c r="O280" i="1"/>
  <c r="P280" i="1"/>
  <c r="Q280" i="1"/>
  <c r="R280" i="1"/>
  <c r="S280" i="1"/>
  <c r="T280" i="1"/>
  <c r="U280" i="1"/>
  <c r="V280" i="1"/>
  <c r="W280" i="1"/>
  <c r="X280" i="1"/>
  <c r="Y280" i="1"/>
  <c r="Z280" i="1"/>
  <c r="AA280" i="1"/>
  <c r="AB280" i="1"/>
  <c r="AC280" i="1"/>
  <c r="AD280" i="1"/>
  <c r="AE280" i="1"/>
  <c r="AF280" i="1"/>
  <c r="AG280" i="1"/>
  <c r="AH280" i="1"/>
  <c r="AI280" i="1"/>
  <c r="AJ280" i="1"/>
  <c r="AQ280" i="1"/>
  <c r="AR280" i="1"/>
  <c r="AS280" i="1"/>
  <c r="L281" i="1"/>
  <c r="M281" i="1"/>
  <c r="N281" i="1"/>
  <c r="O281" i="1"/>
  <c r="P281" i="1"/>
  <c r="Q281" i="1"/>
  <c r="R281" i="1"/>
  <c r="S281" i="1"/>
  <c r="T281" i="1"/>
  <c r="U281" i="1"/>
  <c r="V281" i="1"/>
  <c r="W281" i="1"/>
  <c r="X281" i="1"/>
  <c r="Y281" i="1"/>
  <c r="Z281" i="1"/>
  <c r="AA281" i="1"/>
  <c r="AB281" i="1"/>
  <c r="AC281" i="1"/>
  <c r="AD281" i="1"/>
  <c r="AE281" i="1"/>
  <c r="AF281" i="1"/>
  <c r="AG281" i="1"/>
  <c r="AH281" i="1"/>
  <c r="AI281" i="1"/>
  <c r="AJ281" i="1"/>
  <c r="AQ281" i="1"/>
  <c r="AR281" i="1"/>
  <c r="AS281" i="1"/>
  <c r="L282" i="1"/>
  <c r="M282" i="1"/>
  <c r="N282" i="1"/>
  <c r="O282" i="1"/>
  <c r="P282" i="1"/>
  <c r="Q282" i="1"/>
  <c r="R282" i="1"/>
  <c r="S282" i="1"/>
  <c r="T282" i="1"/>
  <c r="U282" i="1"/>
  <c r="V282" i="1"/>
  <c r="W282" i="1"/>
  <c r="X282" i="1"/>
  <c r="Y282" i="1"/>
  <c r="Z282" i="1"/>
  <c r="AA282" i="1"/>
  <c r="AB282" i="1"/>
  <c r="AC282" i="1"/>
  <c r="AD282" i="1"/>
  <c r="AE282" i="1"/>
  <c r="AF282" i="1"/>
  <c r="AG282" i="1"/>
  <c r="AH282" i="1"/>
  <c r="AI282" i="1"/>
  <c r="AJ282" i="1"/>
  <c r="AQ282" i="1"/>
  <c r="AR282" i="1"/>
  <c r="AS282" i="1"/>
  <c r="L283" i="1"/>
  <c r="M283" i="1"/>
  <c r="N283" i="1"/>
  <c r="O283" i="1"/>
  <c r="P283" i="1"/>
  <c r="Q283" i="1"/>
  <c r="R283" i="1"/>
  <c r="S283" i="1"/>
  <c r="T283" i="1"/>
  <c r="U283" i="1"/>
  <c r="V283" i="1"/>
  <c r="W283" i="1"/>
  <c r="X283" i="1"/>
  <c r="Y283" i="1"/>
  <c r="Z283" i="1"/>
  <c r="AA283" i="1"/>
  <c r="AB283" i="1"/>
  <c r="AC283" i="1"/>
  <c r="AD283" i="1"/>
  <c r="AE283" i="1"/>
  <c r="AF283" i="1"/>
  <c r="AG283" i="1"/>
  <c r="AH283" i="1"/>
  <c r="AI283" i="1"/>
  <c r="AJ283" i="1"/>
  <c r="AQ283" i="1"/>
  <c r="AR283" i="1"/>
  <c r="AS283" i="1"/>
  <c r="L284" i="1"/>
  <c r="M284" i="1"/>
  <c r="N284" i="1"/>
  <c r="O284" i="1"/>
  <c r="P284" i="1"/>
  <c r="Q284" i="1"/>
  <c r="R284" i="1"/>
  <c r="S284" i="1"/>
  <c r="T284" i="1"/>
  <c r="U284" i="1"/>
  <c r="V284" i="1"/>
  <c r="W284" i="1"/>
  <c r="X284" i="1"/>
  <c r="Y284" i="1"/>
  <c r="Z284" i="1"/>
  <c r="AA284" i="1"/>
  <c r="AB284" i="1"/>
  <c r="AC284" i="1"/>
  <c r="AD284" i="1"/>
  <c r="AE284" i="1"/>
  <c r="AF284" i="1"/>
  <c r="AG284" i="1"/>
  <c r="AH284" i="1"/>
  <c r="AI284" i="1"/>
  <c r="AJ284" i="1"/>
  <c r="AQ284" i="1"/>
  <c r="AR284" i="1"/>
  <c r="AS284" i="1"/>
  <c r="L285" i="1"/>
  <c r="M285" i="1"/>
  <c r="N285" i="1"/>
  <c r="O285" i="1"/>
  <c r="P285" i="1"/>
  <c r="Q285" i="1"/>
  <c r="R285" i="1"/>
  <c r="S285" i="1"/>
  <c r="T285" i="1"/>
  <c r="U285" i="1"/>
  <c r="V285" i="1"/>
  <c r="W285" i="1"/>
  <c r="X285" i="1"/>
  <c r="Y285" i="1"/>
  <c r="Z285" i="1"/>
  <c r="AA285" i="1"/>
  <c r="AB285" i="1"/>
  <c r="AC285" i="1"/>
  <c r="AD285" i="1"/>
  <c r="AE285" i="1"/>
  <c r="AF285" i="1"/>
  <c r="AG285" i="1"/>
  <c r="AH285" i="1"/>
  <c r="AI285" i="1"/>
  <c r="AJ285" i="1"/>
  <c r="AQ285" i="1"/>
  <c r="AR285" i="1"/>
  <c r="AS285"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Q286" i="1"/>
  <c r="AR286" i="1"/>
  <c r="AS286" i="1"/>
  <c r="L287" i="1"/>
  <c r="M287" i="1"/>
  <c r="N287" i="1"/>
  <c r="O287" i="1"/>
  <c r="P287" i="1"/>
  <c r="Q287" i="1"/>
  <c r="R287" i="1"/>
  <c r="S287" i="1"/>
  <c r="T287" i="1"/>
  <c r="U287" i="1"/>
  <c r="V287" i="1"/>
  <c r="W287" i="1"/>
  <c r="X287" i="1"/>
  <c r="Y287" i="1"/>
  <c r="Z287" i="1"/>
  <c r="AA287" i="1"/>
  <c r="AB287" i="1"/>
  <c r="AC287" i="1"/>
  <c r="AD287" i="1"/>
  <c r="AE287" i="1"/>
  <c r="AF287" i="1"/>
  <c r="AG287" i="1"/>
  <c r="AH287" i="1"/>
  <c r="AI287" i="1"/>
  <c r="AJ287" i="1"/>
  <c r="AQ287" i="1"/>
  <c r="AR287" i="1"/>
  <c r="AS287" i="1"/>
  <c r="L288" i="1"/>
  <c r="M288" i="1"/>
  <c r="N288" i="1"/>
  <c r="O288" i="1"/>
  <c r="P288" i="1"/>
  <c r="Q288" i="1"/>
  <c r="R288" i="1"/>
  <c r="S288" i="1"/>
  <c r="T288" i="1"/>
  <c r="U288" i="1"/>
  <c r="V288" i="1"/>
  <c r="W288" i="1"/>
  <c r="X288" i="1"/>
  <c r="Y288" i="1"/>
  <c r="Z288" i="1"/>
  <c r="AA288" i="1"/>
  <c r="AB288" i="1"/>
  <c r="AC288" i="1"/>
  <c r="AD288" i="1"/>
  <c r="AE288" i="1"/>
  <c r="AF288" i="1"/>
  <c r="AG288" i="1"/>
  <c r="AH288" i="1"/>
  <c r="AI288" i="1"/>
  <c r="AJ288" i="1"/>
  <c r="AQ288" i="1"/>
  <c r="AR288" i="1"/>
  <c r="AS288" i="1"/>
  <c r="L289" i="1"/>
  <c r="M289" i="1"/>
  <c r="N289" i="1"/>
  <c r="O289" i="1"/>
  <c r="P289" i="1"/>
  <c r="Q289" i="1"/>
  <c r="R289" i="1"/>
  <c r="S289" i="1"/>
  <c r="T289" i="1"/>
  <c r="U289" i="1"/>
  <c r="V289" i="1"/>
  <c r="W289" i="1"/>
  <c r="X289" i="1"/>
  <c r="Y289" i="1"/>
  <c r="Z289" i="1"/>
  <c r="AA289" i="1"/>
  <c r="AB289" i="1"/>
  <c r="AC289" i="1"/>
  <c r="AD289" i="1"/>
  <c r="AE289" i="1"/>
  <c r="AF289" i="1"/>
  <c r="AG289" i="1"/>
  <c r="AH289" i="1"/>
  <c r="AI289" i="1"/>
  <c r="AJ289" i="1"/>
  <c r="AQ289" i="1"/>
  <c r="AR289" i="1"/>
  <c r="AS289" i="1"/>
  <c r="L290" i="1"/>
  <c r="M290" i="1"/>
  <c r="N290" i="1"/>
  <c r="O290" i="1"/>
  <c r="P290" i="1"/>
  <c r="Q290" i="1"/>
  <c r="R290" i="1"/>
  <c r="S290" i="1"/>
  <c r="T290" i="1"/>
  <c r="U290" i="1"/>
  <c r="V290" i="1"/>
  <c r="W290" i="1"/>
  <c r="X290" i="1"/>
  <c r="Y290" i="1"/>
  <c r="Z290" i="1"/>
  <c r="AA290" i="1"/>
  <c r="AB290" i="1"/>
  <c r="AC290" i="1"/>
  <c r="AD290" i="1"/>
  <c r="AE290" i="1"/>
  <c r="AF290" i="1"/>
  <c r="AG290" i="1"/>
  <c r="AH290" i="1"/>
  <c r="AI290" i="1"/>
  <c r="AJ290" i="1"/>
  <c r="AQ290" i="1"/>
  <c r="AR290" i="1"/>
  <c r="AS290" i="1"/>
  <c r="L291" i="1"/>
  <c r="M291" i="1"/>
  <c r="N291" i="1"/>
  <c r="O291" i="1"/>
  <c r="P291" i="1"/>
  <c r="Q291" i="1"/>
  <c r="R291" i="1"/>
  <c r="S291" i="1"/>
  <c r="T291" i="1"/>
  <c r="U291" i="1"/>
  <c r="V291" i="1"/>
  <c r="W291" i="1"/>
  <c r="X291" i="1"/>
  <c r="Y291" i="1"/>
  <c r="Z291" i="1"/>
  <c r="AA291" i="1"/>
  <c r="AB291" i="1"/>
  <c r="AC291" i="1"/>
  <c r="AD291" i="1"/>
  <c r="AE291" i="1"/>
  <c r="AF291" i="1"/>
  <c r="AG291" i="1"/>
  <c r="AH291" i="1"/>
  <c r="AI291" i="1"/>
  <c r="AJ291" i="1"/>
  <c r="AQ291" i="1"/>
  <c r="AR291" i="1"/>
  <c r="AS291" i="1"/>
  <c r="L292" i="1"/>
  <c r="M292" i="1"/>
  <c r="N292" i="1"/>
  <c r="O292" i="1"/>
  <c r="P292" i="1"/>
  <c r="Q292" i="1"/>
  <c r="R292" i="1"/>
  <c r="S292" i="1"/>
  <c r="T292" i="1"/>
  <c r="U292" i="1"/>
  <c r="V292" i="1"/>
  <c r="W292" i="1"/>
  <c r="X292" i="1"/>
  <c r="Y292" i="1"/>
  <c r="Z292" i="1"/>
  <c r="AA292" i="1"/>
  <c r="AB292" i="1"/>
  <c r="AC292" i="1"/>
  <c r="AD292" i="1"/>
  <c r="AE292" i="1"/>
  <c r="AF292" i="1"/>
  <c r="AG292" i="1"/>
  <c r="AH292" i="1"/>
  <c r="AI292" i="1"/>
  <c r="AJ292" i="1"/>
  <c r="AQ292" i="1"/>
  <c r="AR292" i="1"/>
  <c r="AS292" i="1"/>
  <c r="L293" i="1"/>
  <c r="M293" i="1"/>
  <c r="N293" i="1"/>
  <c r="O293" i="1"/>
  <c r="P293" i="1"/>
  <c r="Q293" i="1"/>
  <c r="R293" i="1"/>
  <c r="S293" i="1"/>
  <c r="T293" i="1"/>
  <c r="U293" i="1"/>
  <c r="V293" i="1"/>
  <c r="W293" i="1"/>
  <c r="X293" i="1"/>
  <c r="Y293" i="1"/>
  <c r="Z293" i="1"/>
  <c r="AA293" i="1"/>
  <c r="AB293" i="1"/>
  <c r="AC293" i="1"/>
  <c r="AD293" i="1"/>
  <c r="AE293" i="1"/>
  <c r="AF293" i="1"/>
  <c r="AG293" i="1"/>
  <c r="AH293" i="1"/>
  <c r="AI293" i="1"/>
  <c r="AJ293" i="1"/>
  <c r="AQ293" i="1"/>
  <c r="AR293" i="1"/>
  <c r="AS293"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Q294" i="1"/>
  <c r="AR294" i="1"/>
  <c r="AS294"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Q295" i="1"/>
  <c r="AR295" i="1"/>
  <c r="AS295" i="1"/>
  <c r="L296" i="1"/>
  <c r="M296" i="1"/>
  <c r="N296" i="1"/>
  <c r="O296" i="1"/>
  <c r="P296" i="1"/>
  <c r="Q296" i="1"/>
  <c r="R296" i="1"/>
  <c r="S296" i="1"/>
  <c r="T296" i="1"/>
  <c r="U296" i="1"/>
  <c r="V296" i="1"/>
  <c r="W296" i="1"/>
  <c r="X296" i="1"/>
  <c r="Y296" i="1"/>
  <c r="Z296" i="1"/>
  <c r="AA296" i="1"/>
  <c r="AB296" i="1"/>
  <c r="AC296" i="1"/>
  <c r="AD296" i="1"/>
  <c r="AE296" i="1"/>
  <c r="AF296" i="1"/>
  <c r="AG296" i="1"/>
  <c r="AH296" i="1"/>
  <c r="AI296" i="1"/>
  <c r="AJ296" i="1"/>
  <c r="AQ296" i="1"/>
  <c r="AR296" i="1"/>
  <c r="AS296" i="1"/>
  <c r="L297" i="1"/>
  <c r="M297" i="1"/>
  <c r="N297" i="1"/>
  <c r="O297" i="1"/>
  <c r="P297" i="1"/>
  <c r="Q297" i="1"/>
  <c r="R297" i="1"/>
  <c r="S297" i="1"/>
  <c r="T297" i="1"/>
  <c r="U297" i="1"/>
  <c r="V297" i="1"/>
  <c r="W297" i="1"/>
  <c r="X297" i="1"/>
  <c r="Y297" i="1"/>
  <c r="Z297" i="1"/>
  <c r="AA297" i="1"/>
  <c r="AB297" i="1"/>
  <c r="AC297" i="1"/>
  <c r="AD297" i="1"/>
  <c r="AE297" i="1"/>
  <c r="AF297" i="1"/>
  <c r="AG297" i="1"/>
  <c r="AH297" i="1"/>
  <c r="AI297" i="1"/>
  <c r="AJ297" i="1"/>
  <c r="AQ297" i="1"/>
  <c r="AR297" i="1"/>
  <c r="AS297"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Q298" i="1"/>
  <c r="AR298" i="1"/>
  <c r="AS298"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Q299" i="1"/>
  <c r="AR299" i="1"/>
  <c r="AS299"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Q300" i="1"/>
  <c r="AR300" i="1"/>
  <c r="AS300" i="1"/>
  <c r="L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Q301" i="1"/>
  <c r="AR301" i="1"/>
  <c r="AS301" i="1"/>
  <c r="L302" i="1"/>
  <c r="M302" i="1"/>
  <c r="N302" i="1"/>
  <c r="O302" i="1"/>
  <c r="P302" i="1"/>
  <c r="Q302" i="1"/>
  <c r="R302" i="1"/>
  <c r="S302" i="1"/>
  <c r="T302" i="1"/>
  <c r="U302" i="1"/>
  <c r="V302" i="1"/>
  <c r="W302" i="1"/>
  <c r="X302" i="1"/>
  <c r="Y302" i="1"/>
  <c r="Z302" i="1"/>
  <c r="AA302" i="1"/>
  <c r="AB302" i="1"/>
  <c r="AC302" i="1"/>
  <c r="AD302" i="1"/>
  <c r="AE302" i="1"/>
  <c r="AF302" i="1"/>
  <c r="AG302" i="1"/>
  <c r="AH302" i="1"/>
  <c r="AI302" i="1"/>
  <c r="AJ302" i="1"/>
  <c r="AQ302" i="1"/>
  <c r="AR302" i="1"/>
  <c r="AS302" i="1"/>
  <c r="L303" i="1"/>
  <c r="M303" i="1"/>
  <c r="N303" i="1"/>
  <c r="O303" i="1"/>
  <c r="P303" i="1"/>
  <c r="Q303" i="1"/>
  <c r="R303" i="1"/>
  <c r="S303" i="1"/>
  <c r="T303" i="1"/>
  <c r="U303" i="1"/>
  <c r="V303" i="1"/>
  <c r="W303" i="1"/>
  <c r="X303" i="1"/>
  <c r="Y303" i="1"/>
  <c r="Z303" i="1"/>
  <c r="AA303" i="1"/>
  <c r="AB303" i="1"/>
  <c r="AC303" i="1"/>
  <c r="AD303" i="1"/>
  <c r="AE303" i="1"/>
  <c r="AF303" i="1"/>
  <c r="AG303" i="1"/>
  <c r="AH303" i="1"/>
  <c r="AI303" i="1"/>
  <c r="AJ303" i="1"/>
  <c r="AQ303" i="1"/>
  <c r="AR303" i="1"/>
  <c r="AS303" i="1"/>
  <c r="L304" i="1"/>
  <c r="M304" i="1"/>
  <c r="N304" i="1"/>
  <c r="O304" i="1"/>
  <c r="P304" i="1"/>
  <c r="Q304" i="1"/>
  <c r="R304" i="1"/>
  <c r="S304" i="1"/>
  <c r="T304" i="1"/>
  <c r="U304" i="1"/>
  <c r="V304" i="1"/>
  <c r="W304" i="1"/>
  <c r="X304" i="1"/>
  <c r="Y304" i="1"/>
  <c r="Z304" i="1"/>
  <c r="AA304" i="1"/>
  <c r="AB304" i="1"/>
  <c r="AC304" i="1"/>
  <c r="AD304" i="1"/>
  <c r="AE304" i="1"/>
  <c r="AF304" i="1"/>
  <c r="AG304" i="1"/>
  <c r="AH304" i="1"/>
  <c r="AI304" i="1"/>
  <c r="AJ304" i="1"/>
  <c r="AQ304" i="1"/>
  <c r="AR304" i="1"/>
  <c r="AS304" i="1"/>
  <c r="L305" i="1"/>
  <c r="M305" i="1"/>
  <c r="N305" i="1"/>
  <c r="O305" i="1"/>
  <c r="P305" i="1"/>
  <c r="Q305" i="1"/>
  <c r="R305" i="1"/>
  <c r="S305" i="1"/>
  <c r="T305" i="1"/>
  <c r="U305" i="1"/>
  <c r="V305" i="1"/>
  <c r="W305" i="1"/>
  <c r="X305" i="1"/>
  <c r="Y305" i="1"/>
  <c r="Z305" i="1"/>
  <c r="AA305" i="1"/>
  <c r="AB305" i="1"/>
  <c r="AC305" i="1"/>
  <c r="AD305" i="1"/>
  <c r="AE305" i="1"/>
  <c r="AF305" i="1"/>
  <c r="AG305" i="1"/>
  <c r="AH305" i="1"/>
  <c r="AI305" i="1"/>
  <c r="AJ305" i="1"/>
  <c r="AQ305" i="1"/>
  <c r="AR305" i="1"/>
  <c r="AS305" i="1"/>
  <c r="L306" i="1"/>
  <c r="M306" i="1"/>
  <c r="N306" i="1"/>
  <c r="O306" i="1"/>
  <c r="P306" i="1"/>
  <c r="Q306" i="1"/>
  <c r="R306" i="1"/>
  <c r="S306" i="1"/>
  <c r="T306" i="1"/>
  <c r="U306" i="1"/>
  <c r="V306" i="1"/>
  <c r="W306" i="1"/>
  <c r="X306" i="1"/>
  <c r="Y306" i="1"/>
  <c r="Z306" i="1"/>
  <c r="AA306" i="1"/>
  <c r="AB306" i="1"/>
  <c r="AC306" i="1"/>
  <c r="AD306" i="1"/>
  <c r="AE306" i="1"/>
  <c r="AF306" i="1"/>
  <c r="AG306" i="1"/>
  <c r="AH306" i="1"/>
  <c r="AI306" i="1"/>
  <c r="AJ306" i="1"/>
  <c r="AQ306" i="1"/>
  <c r="AR306" i="1"/>
  <c r="AS306" i="1"/>
  <c r="L307" i="1"/>
  <c r="M307" i="1"/>
  <c r="N307" i="1"/>
  <c r="O307" i="1"/>
  <c r="P307" i="1"/>
  <c r="Q307" i="1"/>
  <c r="R307" i="1"/>
  <c r="S307" i="1"/>
  <c r="T307" i="1"/>
  <c r="U307" i="1"/>
  <c r="V307" i="1"/>
  <c r="W307" i="1"/>
  <c r="X307" i="1"/>
  <c r="Y307" i="1"/>
  <c r="Z307" i="1"/>
  <c r="AA307" i="1"/>
  <c r="AB307" i="1"/>
  <c r="AC307" i="1"/>
  <c r="AD307" i="1"/>
  <c r="AE307" i="1"/>
  <c r="AF307" i="1"/>
  <c r="AG307" i="1"/>
  <c r="AH307" i="1"/>
  <c r="AI307" i="1"/>
  <c r="AJ307" i="1"/>
  <c r="AQ307" i="1"/>
  <c r="AR307" i="1"/>
  <c r="AS307" i="1"/>
  <c r="L308" i="1"/>
  <c r="M308" i="1"/>
  <c r="N308" i="1"/>
  <c r="O308" i="1"/>
  <c r="P308" i="1"/>
  <c r="Q308" i="1"/>
  <c r="R308" i="1"/>
  <c r="S308" i="1"/>
  <c r="T308" i="1"/>
  <c r="U308" i="1"/>
  <c r="V308" i="1"/>
  <c r="W308" i="1"/>
  <c r="X308" i="1"/>
  <c r="Y308" i="1"/>
  <c r="Z308" i="1"/>
  <c r="AA308" i="1"/>
  <c r="AB308" i="1"/>
  <c r="AC308" i="1"/>
  <c r="AD308" i="1"/>
  <c r="AE308" i="1"/>
  <c r="AF308" i="1"/>
  <c r="AG308" i="1"/>
  <c r="AH308" i="1"/>
  <c r="AI308" i="1"/>
  <c r="AJ308" i="1"/>
  <c r="AQ308" i="1"/>
  <c r="AR308" i="1"/>
  <c r="AS308" i="1"/>
  <c r="L309" i="1"/>
  <c r="M309" i="1"/>
  <c r="N309" i="1"/>
  <c r="O309" i="1"/>
  <c r="P309" i="1"/>
  <c r="Q309" i="1"/>
  <c r="R309" i="1"/>
  <c r="S309" i="1"/>
  <c r="T309" i="1"/>
  <c r="U309" i="1"/>
  <c r="V309" i="1"/>
  <c r="W309" i="1"/>
  <c r="X309" i="1"/>
  <c r="Y309" i="1"/>
  <c r="Z309" i="1"/>
  <c r="AA309" i="1"/>
  <c r="AB309" i="1"/>
  <c r="AC309" i="1"/>
  <c r="AD309" i="1"/>
  <c r="AE309" i="1"/>
  <c r="AF309" i="1"/>
  <c r="AG309" i="1"/>
  <c r="AH309" i="1"/>
  <c r="AI309" i="1"/>
  <c r="AJ309" i="1"/>
  <c r="AQ309" i="1"/>
  <c r="AR309" i="1"/>
  <c r="AS309" i="1"/>
  <c r="L310" i="1"/>
  <c r="M310" i="1"/>
  <c r="N310" i="1"/>
  <c r="O310" i="1"/>
  <c r="P310" i="1"/>
  <c r="Q310" i="1"/>
  <c r="R310" i="1"/>
  <c r="S310" i="1"/>
  <c r="T310" i="1"/>
  <c r="U310" i="1"/>
  <c r="V310" i="1"/>
  <c r="W310" i="1"/>
  <c r="X310" i="1"/>
  <c r="Y310" i="1"/>
  <c r="Z310" i="1"/>
  <c r="AA310" i="1"/>
  <c r="AB310" i="1"/>
  <c r="AC310" i="1"/>
  <c r="AD310" i="1"/>
  <c r="AE310" i="1"/>
  <c r="AF310" i="1"/>
  <c r="AG310" i="1"/>
  <c r="AH310" i="1"/>
  <c r="AI310" i="1"/>
  <c r="AJ310" i="1"/>
  <c r="AQ310" i="1"/>
  <c r="AR310" i="1"/>
  <c r="AS310" i="1"/>
  <c r="L311" i="1"/>
  <c r="M311" i="1"/>
  <c r="N311" i="1"/>
  <c r="O311" i="1"/>
  <c r="P311" i="1"/>
  <c r="Q311" i="1"/>
  <c r="R311" i="1"/>
  <c r="S311" i="1"/>
  <c r="T311" i="1"/>
  <c r="U311" i="1"/>
  <c r="V311" i="1"/>
  <c r="W311" i="1"/>
  <c r="X311" i="1"/>
  <c r="Y311" i="1"/>
  <c r="Z311" i="1"/>
  <c r="AA311" i="1"/>
  <c r="AB311" i="1"/>
  <c r="AC311" i="1"/>
  <c r="AD311" i="1"/>
  <c r="AE311" i="1"/>
  <c r="AF311" i="1"/>
  <c r="AG311" i="1"/>
  <c r="AH311" i="1"/>
  <c r="AI311" i="1"/>
  <c r="AJ311" i="1"/>
  <c r="AQ311" i="1"/>
  <c r="AR311" i="1"/>
  <c r="AS311" i="1"/>
  <c r="L312" i="1"/>
  <c r="M312" i="1"/>
  <c r="N312" i="1"/>
  <c r="O312" i="1"/>
  <c r="P312" i="1"/>
  <c r="Q312" i="1"/>
  <c r="R312" i="1"/>
  <c r="S312" i="1"/>
  <c r="T312" i="1"/>
  <c r="U312" i="1"/>
  <c r="V312" i="1"/>
  <c r="W312" i="1"/>
  <c r="X312" i="1"/>
  <c r="Y312" i="1"/>
  <c r="Z312" i="1"/>
  <c r="AA312" i="1"/>
  <c r="AB312" i="1"/>
  <c r="AC312" i="1"/>
  <c r="AD312" i="1"/>
  <c r="AE312" i="1"/>
  <c r="AF312" i="1"/>
  <c r="AG312" i="1"/>
  <c r="AH312" i="1"/>
  <c r="AI312" i="1"/>
  <c r="AJ312" i="1"/>
  <c r="AQ312" i="1"/>
  <c r="AR312" i="1"/>
  <c r="AS312" i="1"/>
  <c r="L313" i="1"/>
  <c r="M313" i="1"/>
  <c r="N313" i="1"/>
  <c r="O313" i="1"/>
  <c r="P313" i="1"/>
  <c r="Q313" i="1"/>
  <c r="R313" i="1"/>
  <c r="S313" i="1"/>
  <c r="T313" i="1"/>
  <c r="U313" i="1"/>
  <c r="V313" i="1"/>
  <c r="W313" i="1"/>
  <c r="X313" i="1"/>
  <c r="Y313" i="1"/>
  <c r="Z313" i="1"/>
  <c r="AA313" i="1"/>
  <c r="AB313" i="1"/>
  <c r="AC313" i="1"/>
  <c r="AD313" i="1"/>
  <c r="AE313" i="1"/>
  <c r="AF313" i="1"/>
  <c r="AG313" i="1"/>
  <c r="AH313" i="1"/>
  <c r="AI313" i="1"/>
  <c r="AJ313" i="1"/>
  <c r="AQ313" i="1"/>
  <c r="AR313" i="1"/>
  <c r="AS313" i="1"/>
  <c r="L314" i="1"/>
  <c r="M314" i="1"/>
  <c r="N314" i="1"/>
  <c r="O314" i="1"/>
  <c r="P314" i="1"/>
  <c r="Q314" i="1"/>
  <c r="R314" i="1"/>
  <c r="S314" i="1"/>
  <c r="T314" i="1"/>
  <c r="U314" i="1"/>
  <c r="V314" i="1"/>
  <c r="W314" i="1"/>
  <c r="X314" i="1"/>
  <c r="Y314" i="1"/>
  <c r="Z314" i="1"/>
  <c r="AA314" i="1"/>
  <c r="AB314" i="1"/>
  <c r="AC314" i="1"/>
  <c r="AD314" i="1"/>
  <c r="AE314" i="1"/>
  <c r="AF314" i="1"/>
  <c r="AG314" i="1"/>
  <c r="AH314" i="1"/>
  <c r="AI314" i="1"/>
  <c r="AJ314" i="1"/>
  <c r="AQ314" i="1"/>
  <c r="AR314" i="1"/>
  <c r="AS314" i="1"/>
  <c r="L315" i="1"/>
  <c r="M315" i="1"/>
  <c r="N315" i="1"/>
  <c r="O315" i="1"/>
  <c r="P315" i="1"/>
  <c r="Q315" i="1"/>
  <c r="R315" i="1"/>
  <c r="S315" i="1"/>
  <c r="T315" i="1"/>
  <c r="U315" i="1"/>
  <c r="V315" i="1"/>
  <c r="W315" i="1"/>
  <c r="X315" i="1"/>
  <c r="Y315" i="1"/>
  <c r="Z315" i="1"/>
  <c r="AA315" i="1"/>
  <c r="AB315" i="1"/>
  <c r="AC315" i="1"/>
  <c r="AD315" i="1"/>
  <c r="AE315" i="1"/>
  <c r="AF315" i="1"/>
  <c r="AG315" i="1"/>
  <c r="AH315" i="1"/>
  <c r="AI315" i="1"/>
  <c r="AJ315" i="1"/>
  <c r="AQ315" i="1"/>
  <c r="AR315" i="1"/>
  <c r="AS315" i="1"/>
  <c r="L316" i="1"/>
  <c r="M316" i="1"/>
  <c r="N316" i="1"/>
  <c r="O316" i="1"/>
  <c r="P316" i="1"/>
  <c r="Q316" i="1"/>
  <c r="R316" i="1"/>
  <c r="S316" i="1"/>
  <c r="T316" i="1"/>
  <c r="U316" i="1"/>
  <c r="V316" i="1"/>
  <c r="W316" i="1"/>
  <c r="X316" i="1"/>
  <c r="Y316" i="1"/>
  <c r="Z316" i="1"/>
  <c r="AA316" i="1"/>
  <c r="AB316" i="1"/>
  <c r="AC316" i="1"/>
  <c r="AD316" i="1"/>
  <c r="AE316" i="1"/>
  <c r="AF316" i="1"/>
  <c r="AG316" i="1"/>
  <c r="AH316" i="1"/>
  <c r="AI316" i="1"/>
  <c r="AJ316" i="1"/>
  <c r="AQ316" i="1"/>
  <c r="AR316" i="1"/>
  <c r="AS316" i="1"/>
  <c r="L317" i="1"/>
  <c r="M317" i="1"/>
  <c r="N317" i="1"/>
  <c r="O317" i="1"/>
  <c r="P317" i="1"/>
  <c r="Q317" i="1"/>
  <c r="R317" i="1"/>
  <c r="S317" i="1"/>
  <c r="T317" i="1"/>
  <c r="U317" i="1"/>
  <c r="V317" i="1"/>
  <c r="W317" i="1"/>
  <c r="X317" i="1"/>
  <c r="Y317" i="1"/>
  <c r="Z317" i="1"/>
  <c r="AA317" i="1"/>
  <c r="AB317" i="1"/>
  <c r="AC317" i="1"/>
  <c r="AD317" i="1"/>
  <c r="AE317" i="1"/>
  <c r="AF317" i="1"/>
  <c r="AG317" i="1"/>
  <c r="AH317" i="1"/>
  <c r="AI317" i="1"/>
  <c r="AJ317" i="1"/>
  <c r="AQ317" i="1"/>
  <c r="AR317" i="1"/>
  <c r="AS317" i="1"/>
  <c r="L318" i="1"/>
  <c r="M318" i="1"/>
  <c r="N318" i="1"/>
  <c r="O318" i="1"/>
  <c r="P318" i="1"/>
  <c r="Q318" i="1"/>
  <c r="R318" i="1"/>
  <c r="S318" i="1"/>
  <c r="T318" i="1"/>
  <c r="U318" i="1"/>
  <c r="V318" i="1"/>
  <c r="W318" i="1"/>
  <c r="X318" i="1"/>
  <c r="Y318" i="1"/>
  <c r="Z318" i="1"/>
  <c r="AA318" i="1"/>
  <c r="AB318" i="1"/>
  <c r="AC318" i="1"/>
  <c r="AD318" i="1"/>
  <c r="AE318" i="1"/>
  <c r="AF318" i="1"/>
  <c r="AG318" i="1"/>
  <c r="AH318" i="1"/>
  <c r="AI318" i="1"/>
  <c r="AJ318" i="1"/>
  <c r="AQ318" i="1"/>
  <c r="AR318" i="1"/>
  <c r="AS318" i="1"/>
  <c r="L319" i="1"/>
  <c r="M319" i="1"/>
  <c r="N319" i="1"/>
  <c r="O319" i="1"/>
  <c r="P319" i="1"/>
  <c r="Q319" i="1"/>
  <c r="R319" i="1"/>
  <c r="S319" i="1"/>
  <c r="T319" i="1"/>
  <c r="U319" i="1"/>
  <c r="V319" i="1"/>
  <c r="W319" i="1"/>
  <c r="X319" i="1"/>
  <c r="Y319" i="1"/>
  <c r="Z319" i="1"/>
  <c r="AA319" i="1"/>
  <c r="AB319" i="1"/>
  <c r="AC319" i="1"/>
  <c r="AD319" i="1"/>
  <c r="AE319" i="1"/>
  <c r="AF319" i="1"/>
  <c r="AG319" i="1"/>
  <c r="AH319" i="1"/>
  <c r="AI319" i="1"/>
  <c r="AJ319" i="1"/>
  <c r="AQ319" i="1"/>
  <c r="AR319" i="1"/>
  <c r="AS319" i="1"/>
  <c r="L320" i="1"/>
  <c r="M320" i="1"/>
  <c r="N320" i="1"/>
  <c r="O320" i="1"/>
  <c r="P320" i="1"/>
  <c r="Q320" i="1"/>
  <c r="R320" i="1"/>
  <c r="S320" i="1"/>
  <c r="T320" i="1"/>
  <c r="U320" i="1"/>
  <c r="V320" i="1"/>
  <c r="W320" i="1"/>
  <c r="X320" i="1"/>
  <c r="Y320" i="1"/>
  <c r="Z320" i="1"/>
  <c r="AA320" i="1"/>
  <c r="AB320" i="1"/>
  <c r="AC320" i="1"/>
  <c r="AD320" i="1"/>
  <c r="AE320" i="1"/>
  <c r="AF320" i="1"/>
  <c r="AG320" i="1"/>
  <c r="AH320" i="1"/>
  <c r="AI320" i="1"/>
  <c r="AJ320" i="1"/>
  <c r="AQ320" i="1"/>
  <c r="AR320" i="1"/>
  <c r="AS320" i="1"/>
  <c r="L321" i="1"/>
  <c r="M321" i="1"/>
  <c r="N321" i="1"/>
  <c r="O321" i="1"/>
  <c r="P321" i="1"/>
  <c r="Q321" i="1"/>
  <c r="R321" i="1"/>
  <c r="S321" i="1"/>
  <c r="T321" i="1"/>
  <c r="U321" i="1"/>
  <c r="V321" i="1"/>
  <c r="W321" i="1"/>
  <c r="X321" i="1"/>
  <c r="Y321" i="1"/>
  <c r="Z321" i="1"/>
  <c r="AA321" i="1"/>
  <c r="AB321" i="1"/>
  <c r="AC321" i="1"/>
  <c r="AD321" i="1"/>
  <c r="AE321" i="1"/>
  <c r="AF321" i="1"/>
  <c r="AG321" i="1"/>
  <c r="AH321" i="1"/>
  <c r="AI321" i="1"/>
  <c r="AJ321" i="1"/>
  <c r="AQ321" i="1"/>
  <c r="AR321" i="1"/>
  <c r="AS321" i="1"/>
  <c r="L322" i="1"/>
  <c r="M322" i="1"/>
  <c r="N322" i="1"/>
  <c r="O322" i="1"/>
  <c r="P322" i="1"/>
  <c r="Q322" i="1"/>
  <c r="R322" i="1"/>
  <c r="S322" i="1"/>
  <c r="T322" i="1"/>
  <c r="U322" i="1"/>
  <c r="V322" i="1"/>
  <c r="W322" i="1"/>
  <c r="X322" i="1"/>
  <c r="Y322" i="1"/>
  <c r="Z322" i="1"/>
  <c r="AA322" i="1"/>
  <c r="AB322" i="1"/>
  <c r="AC322" i="1"/>
  <c r="AD322" i="1"/>
  <c r="AE322" i="1"/>
  <c r="AF322" i="1"/>
  <c r="AG322" i="1"/>
  <c r="AH322" i="1"/>
  <c r="AI322" i="1"/>
  <c r="AJ322" i="1"/>
  <c r="AQ322" i="1"/>
  <c r="AR322" i="1"/>
  <c r="AS322" i="1"/>
  <c r="L323" i="1"/>
  <c r="M323" i="1"/>
  <c r="N323" i="1"/>
  <c r="O323" i="1"/>
  <c r="P323" i="1"/>
  <c r="Q323" i="1"/>
  <c r="R323" i="1"/>
  <c r="S323" i="1"/>
  <c r="T323" i="1"/>
  <c r="U323" i="1"/>
  <c r="V323" i="1"/>
  <c r="W323" i="1"/>
  <c r="X323" i="1"/>
  <c r="Y323" i="1"/>
  <c r="Z323" i="1"/>
  <c r="AA323" i="1"/>
  <c r="AB323" i="1"/>
  <c r="AC323" i="1"/>
  <c r="AD323" i="1"/>
  <c r="AE323" i="1"/>
  <c r="AF323" i="1"/>
  <c r="AG323" i="1"/>
  <c r="AH323" i="1"/>
  <c r="AI323" i="1"/>
  <c r="AJ323" i="1"/>
  <c r="AQ323" i="1"/>
  <c r="AR323" i="1"/>
  <c r="AS323" i="1"/>
  <c r="L324" i="1"/>
  <c r="M324" i="1"/>
  <c r="N324" i="1"/>
  <c r="O324" i="1"/>
  <c r="P324" i="1"/>
  <c r="Q324" i="1"/>
  <c r="R324" i="1"/>
  <c r="S324" i="1"/>
  <c r="T324" i="1"/>
  <c r="U324" i="1"/>
  <c r="V324" i="1"/>
  <c r="W324" i="1"/>
  <c r="X324" i="1"/>
  <c r="Y324" i="1"/>
  <c r="Z324" i="1"/>
  <c r="AA324" i="1"/>
  <c r="AB324" i="1"/>
  <c r="AC324" i="1"/>
  <c r="AD324" i="1"/>
  <c r="AE324" i="1"/>
  <c r="AF324" i="1"/>
  <c r="AG324" i="1"/>
  <c r="AH324" i="1"/>
  <c r="AI324" i="1"/>
  <c r="AJ324" i="1"/>
  <c r="AQ324" i="1"/>
  <c r="AR324" i="1"/>
  <c r="AS324" i="1"/>
  <c r="L325" i="1"/>
  <c r="M325" i="1"/>
  <c r="N325" i="1"/>
  <c r="O325" i="1"/>
  <c r="P325" i="1"/>
  <c r="Q325" i="1"/>
  <c r="R325" i="1"/>
  <c r="S325" i="1"/>
  <c r="T325" i="1"/>
  <c r="U325" i="1"/>
  <c r="V325" i="1"/>
  <c r="W325" i="1"/>
  <c r="X325" i="1"/>
  <c r="Y325" i="1"/>
  <c r="Z325" i="1"/>
  <c r="AA325" i="1"/>
  <c r="AB325" i="1"/>
  <c r="AC325" i="1"/>
  <c r="AD325" i="1"/>
  <c r="AE325" i="1"/>
  <c r="AF325" i="1"/>
  <c r="AG325" i="1"/>
  <c r="AH325" i="1"/>
  <c r="AI325" i="1"/>
  <c r="AJ325" i="1"/>
  <c r="AQ325" i="1"/>
  <c r="AR325" i="1"/>
  <c r="AS325" i="1"/>
  <c r="L326" i="1"/>
  <c r="M326" i="1"/>
  <c r="N326" i="1"/>
  <c r="O326" i="1"/>
  <c r="P326" i="1"/>
  <c r="Q326" i="1"/>
  <c r="R326" i="1"/>
  <c r="S326" i="1"/>
  <c r="T326" i="1"/>
  <c r="U326" i="1"/>
  <c r="V326" i="1"/>
  <c r="W326" i="1"/>
  <c r="X326" i="1"/>
  <c r="Y326" i="1"/>
  <c r="Z326" i="1"/>
  <c r="AA326" i="1"/>
  <c r="AB326" i="1"/>
  <c r="AC326" i="1"/>
  <c r="AD326" i="1"/>
  <c r="AE326" i="1"/>
  <c r="AF326" i="1"/>
  <c r="AG326" i="1"/>
  <c r="AH326" i="1"/>
  <c r="AI326" i="1"/>
  <c r="AJ326" i="1"/>
  <c r="AQ326" i="1"/>
  <c r="AR326" i="1"/>
  <c r="AS326" i="1"/>
  <c r="L327" i="1"/>
  <c r="M327" i="1"/>
  <c r="N327" i="1"/>
  <c r="O327" i="1"/>
  <c r="P327" i="1"/>
  <c r="Q327" i="1"/>
  <c r="R327" i="1"/>
  <c r="S327" i="1"/>
  <c r="T327" i="1"/>
  <c r="U327" i="1"/>
  <c r="V327" i="1"/>
  <c r="W327" i="1"/>
  <c r="X327" i="1"/>
  <c r="Y327" i="1"/>
  <c r="Z327" i="1"/>
  <c r="AA327" i="1"/>
  <c r="AB327" i="1"/>
  <c r="AC327" i="1"/>
  <c r="AD327" i="1"/>
  <c r="AE327" i="1"/>
  <c r="AF327" i="1"/>
  <c r="AG327" i="1"/>
  <c r="AH327" i="1"/>
  <c r="AI327" i="1"/>
  <c r="AJ327" i="1"/>
  <c r="AQ327" i="1"/>
  <c r="AR327" i="1"/>
  <c r="AS327" i="1"/>
  <c r="L328" i="1"/>
  <c r="M328" i="1"/>
  <c r="N328" i="1"/>
  <c r="O328" i="1"/>
  <c r="P328" i="1"/>
  <c r="Q328" i="1"/>
  <c r="R328" i="1"/>
  <c r="S328" i="1"/>
  <c r="T328" i="1"/>
  <c r="U328" i="1"/>
  <c r="V328" i="1"/>
  <c r="W328" i="1"/>
  <c r="X328" i="1"/>
  <c r="Y328" i="1"/>
  <c r="Z328" i="1"/>
  <c r="AA328" i="1"/>
  <c r="AB328" i="1"/>
  <c r="AC328" i="1"/>
  <c r="AD328" i="1"/>
  <c r="AE328" i="1"/>
  <c r="AF328" i="1"/>
  <c r="AG328" i="1"/>
  <c r="AH328" i="1"/>
  <c r="AI328" i="1"/>
  <c r="AJ328" i="1"/>
  <c r="AQ328" i="1"/>
  <c r="AR328" i="1"/>
  <c r="AS328" i="1"/>
  <c r="L329" i="1"/>
  <c r="M329" i="1"/>
  <c r="N329" i="1"/>
  <c r="O329" i="1"/>
  <c r="P329" i="1"/>
  <c r="Q329" i="1"/>
  <c r="R329" i="1"/>
  <c r="S329" i="1"/>
  <c r="T329" i="1"/>
  <c r="U329" i="1"/>
  <c r="V329" i="1"/>
  <c r="W329" i="1"/>
  <c r="X329" i="1"/>
  <c r="Y329" i="1"/>
  <c r="Z329" i="1"/>
  <c r="AA329" i="1"/>
  <c r="AB329" i="1"/>
  <c r="AC329" i="1"/>
  <c r="AD329" i="1"/>
  <c r="AE329" i="1"/>
  <c r="AF329" i="1"/>
  <c r="AG329" i="1"/>
  <c r="AH329" i="1"/>
  <c r="AI329" i="1"/>
  <c r="AJ329" i="1"/>
  <c r="AQ329" i="1"/>
  <c r="AR329" i="1"/>
  <c r="AS329" i="1"/>
  <c r="L330" i="1"/>
  <c r="M330" i="1"/>
  <c r="N330" i="1"/>
  <c r="O330" i="1"/>
  <c r="P330" i="1"/>
  <c r="Q330" i="1"/>
  <c r="R330" i="1"/>
  <c r="S330" i="1"/>
  <c r="T330" i="1"/>
  <c r="U330" i="1"/>
  <c r="V330" i="1"/>
  <c r="W330" i="1"/>
  <c r="X330" i="1"/>
  <c r="Y330" i="1"/>
  <c r="Z330" i="1"/>
  <c r="AA330" i="1"/>
  <c r="AB330" i="1"/>
  <c r="AC330" i="1"/>
  <c r="AD330" i="1"/>
  <c r="AE330" i="1"/>
  <c r="AF330" i="1"/>
  <c r="AG330" i="1"/>
  <c r="AH330" i="1"/>
  <c r="AI330" i="1"/>
  <c r="AJ330" i="1"/>
  <c r="AQ330" i="1"/>
  <c r="AR330" i="1"/>
  <c r="AS330" i="1"/>
  <c r="L331" i="1"/>
  <c r="M331" i="1"/>
  <c r="N331" i="1"/>
  <c r="O331" i="1"/>
  <c r="P331" i="1"/>
  <c r="Q331" i="1"/>
  <c r="R331" i="1"/>
  <c r="S331" i="1"/>
  <c r="T331" i="1"/>
  <c r="U331" i="1"/>
  <c r="V331" i="1"/>
  <c r="W331" i="1"/>
  <c r="X331" i="1"/>
  <c r="Y331" i="1"/>
  <c r="Z331" i="1"/>
  <c r="AA331" i="1"/>
  <c r="AB331" i="1"/>
  <c r="AC331" i="1"/>
  <c r="AD331" i="1"/>
  <c r="AE331" i="1"/>
  <c r="AF331" i="1"/>
  <c r="AG331" i="1"/>
  <c r="AH331" i="1"/>
  <c r="AI331" i="1"/>
  <c r="AJ331" i="1"/>
  <c r="AQ331" i="1"/>
  <c r="AR331" i="1"/>
  <c r="AS331" i="1"/>
  <c r="L332" i="1"/>
  <c r="M332" i="1"/>
  <c r="N332" i="1"/>
  <c r="O332" i="1"/>
  <c r="P332" i="1"/>
  <c r="Q332" i="1"/>
  <c r="R332" i="1"/>
  <c r="S332" i="1"/>
  <c r="T332" i="1"/>
  <c r="U332" i="1"/>
  <c r="V332" i="1"/>
  <c r="W332" i="1"/>
  <c r="X332" i="1"/>
  <c r="Y332" i="1"/>
  <c r="Z332" i="1"/>
  <c r="AA332" i="1"/>
  <c r="AB332" i="1"/>
  <c r="AC332" i="1"/>
  <c r="AD332" i="1"/>
  <c r="AE332" i="1"/>
  <c r="AF332" i="1"/>
  <c r="AG332" i="1"/>
  <c r="AH332" i="1"/>
  <c r="AI332" i="1"/>
  <c r="AJ332" i="1"/>
  <c r="AQ332" i="1"/>
  <c r="AR332" i="1"/>
  <c r="AS332" i="1"/>
  <c r="L333" i="1"/>
  <c r="M333" i="1"/>
  <c r="N333" i="1"/>
  <c r="O333" i="1"/>
  <c r="P333" i="1"/>
  <c r="Q333" i="1"/>
  <c r="R333" i="1"/>
  <c r="S333" i="1"/>
  <c r="T333" i="1"/>
  <c r="U333" i="1"/>
  <c r="V333" i="1"/>
  <c r="W333" i="1"/>
  <c r="X333" i="1"/>
  <c r="Y333" i="1"/>
  <c r="Z333" i="1"/>
  <c r="AA333" i="1"/>
  <c r="AB333" i="1"/>
  <c r="AC333" i="1"/>
  <c r="AD333" i="1"/>
  <c r="AE333" i="1"/>
  <c r="AF333" i="1"/>
  <c r="AG333" i="1"/>
  <c r="AH333" i="1"/>
  <c r="AI333" i="1"/>
  <c r="AJ333" i="1"/>
  <c r="AQ333" i="1"/>
  <c r="AR333" i="1"/>
  <c r="AS333" i="1"/>
  <c r="L334" i="1"/>
  <c r="M334" i="1"/>
  <c r="N334" i="1"/>
  <c r="O334" i="1"/>
  <c r="P334" i="1"/>
  <c r="Q334" i="1"/>
  <c r="R334" i="1"/>
  <c r="S334" i="1"/>
  <c r="T334" i="1"/>
  <c r="U334" i="1"/>
  <c r="V334" i="1"/>
  <c r="W334" i="1"/>
  <c r="X334" i="1"/>
  <c r="Y334" i="1"/>
  <c r="Z334" i="1"/>
  <c r="AA334" i="1"/>
  <c r="AB334" i="1"/>
  <c r="AC334" i="1"/>
  <c r="AD334" i="1"/>
  <c r="AE334" i="1"/>
  <c r="AF334" i="1"/>
  <c r="AG334" i="1"/>
  <c r="AH334" i="1"/>
  <c r="AI334" i="1"/>
  <c r="AJ334" i="1"/>
  <c r="AQ334" i="1"/>
  <c r="AR334" i="1"/>
  <c r="AS334" i="1"/>
  <c r="L335" i="1"/>
  <c r="M335" i="1"/>
  <c r="N335" i="1"/>
  <c r="O335" i="1"/>
  <c r="P335" i="1"/>
  <c r="Q335" i="1"/>
  <c r="R335" i="1"/>
  <c r="S335" i="1"/>
  <c r="T335" i="1"/>
  <c r="U335" i="1"/>
  <c r="V335" i="1"/>
  <c r="W335" i="1"/>
  <c r="X335" i="1"/>
  <c r="Y335" i="1"/>
  <c r="Z335" i="1"/>
  <c r="AA335" i="1"/>
  <c r="AB335" i="1"/>
  <c r="AC335" i="1"/>
  <c r="AD335" i="1"/>
  <c r="AE335" i="1"/>
  <c r="AF335" i="1"/>
  <c r="AG335" i="1"/>
  <c r="AH335" i="1"/>
  <c r="AI335" i="1"/>
  <c r="AJ335" i="1"/>
  <c r="AQ335" i="1"/>
  <c r="AR335" i="1"/>
  <c r="AS335" i="1"/>
  <c r="L336" i="1"/>
  <c r="M336" i="1"/>
  <c r="N336" i="1"/>
  <c r="O336" i="1"/>
  <c r="P336" i="1"/>
  <c r="Q336" i="1"/>
  <c r="R336" i="1"/>
  <c r="S336" i="1"/>
  <c r="T336" i="1"/>
  <c r="U336" i="1"/>
  <c r="V336" i="1"/>
  <c r="W336" i="1"/>
  <c r="X336" i="1"/>
  <c r="Y336" i="1"/>
  <c r="Z336" i="1"/>
  <c r="AA336" i="1"/>
  <c r="AB336" i="1"/>
  <c r="AC336" i="1"/>
  <c r="AD336" i="1"/>
  <c r="AE336" i="1"/>
  <c r="AF336" i="1"/>
  <c r="AG336" i="1"/>
  <c r="AH336" i="1"/>
  <c r="AI336" i="1"/>
  <c r="AJ336" i="1"/>
  <c r="AQ336" i="1"/>
  <c r="AR336" i="1"/>
  <c r="AS336" i="1"/>
  <c r="L337" i="1"/>
  <c r="M337" i="1"/>
  <c r="N337" i="1"/>
  <c r="O337" i="1"/>
  <c r="P337" i="1"/>
  <c r="Q337" i="1"/>
  <c r="R337" i="1"/>
  <c r="S337" i="1"/>
  <c r="T337" i="1"/>
  <c r="U337" i="1"/>
  <c r="V337" i="1"/>
  <c r="W337" i="1"/>
  <c r="X337" i="1"/>
  <c r="Y337" i="1"/>
  <c r="Z337" i="1"/>
  <c r="AA337" i="1"/>
  <c r="AB337" i="1"/>
  <c r="AC337" i="1"/>
  <c r="AD337" i="1"/>
  <c r="AE337" i="1"/>
  <c r="AF337" i="1"/>
  <c r="AG337" i="1"/>
  <c r="AH337" i="1"/>
  <c r="AI337" i="1"/>
  <c r="AJ337" i="1"/>
  <c r="AQ337" i="1"/>
  <c r="AR337" i="1"/>
  <c r="AS337" i="1"/>
  <c r="L338" i="1"/>
  <c r="M338" i="1"/>
  <c r="N338" i="1"/>
  <c r="O338" i="1"/>
  <c r="P338" i="1"/>
  <c r="Q338" i="1"/>
  <c r="R338" i="1"/>
  <c r="S338" i="1"/>
  <c r="T338" i="1"/>
  <c r="U338" i="1"/>
  <c r="V338" i="1"/>
  <c r="W338" i="1"/>
  <c r="X338" i="1"/>
  <c r="Y338" i="1"/>
  <c r="Z338" i="1"/>
  <c r="AA338" i="1"/>
  <c r="AB338" i="1"/>
  <c r="AC338" i="1"/>
  <c r="AD338" i="1"/>
  <c r="AE338" i="1"/>
  <c r="AF338" i="1"/>
  <c r="AG338" i="1"/>
  <c r="AH338" i="1"/>
  <c r="AI338" i="1"/>
  <c r="AJ338" i="1"/>
  <c r="AQ338" i="1"/>
  <c r="AR338" i="1"/>
  <c r="AS338" i="1"/>
  <c r="L339" i="1"/>
  <c r="M339" i="1"/>
  <c r="N339" i="1"/>
  <c r="O339" i="1"/>
  <c r="P339" i="1"/>
  <c r="Q339" i="1"/>
  <c r="R339" i="1"/>
  <c r="S339" i="1"/>
  <c r="T339" i="1"/>
  <c r="U339" i="1"/>
  <c r="V339" i="1"/>
  <c r="W339" i="1"/>
  <c r="X339" i="1"/>
  <c r="Y339" i="1"/>
  <c r="Z339" i="1"/>
  <c r="AA339" i="1"/>
  <c r="AB339" i="1"/>
  <c r="AC339" i="1"/>
  <c r="AD339" i="1"/>
  <c r="AE339" i="1"/>
  <c r="AF339" i="1"/>
  <c r="AG339" i="1"/>
  <c r="AH339" i="1"/>
  <c r="AI339" i="1"/>
  <c r="AJ339" i="1"/>
  <c r="AQ339" i="1"/>
  <c r="AR339" i="1"/>
  <c r="AS339" i="1"/>
  <c r="L340" i="1"/>
  <c r="M340" i="1"/>
  <c r="N340" i="1"/>
  <c r="O340" i="1"/>
  <c r="P340" i="1"/>
  <c r="Q340" i="1"/>
  <c r="R340" i="1"/>
  <c r="S340" i="1"/>
  <c r="T340" i="1"/>
  <c r="U340" i="1"/>
  <c r="V340" i="1"/>
  <c r="W340" i="1"/>
  <c r="X340" i="1"/>
  <c r="Y340" i="1"/>
  <c r="Z340" i="1"/>
  <c r="AA340" i="1"/>
  <c r="AB340" i="1"/>
  <c r="AC340" i="1"/>
  <c r="AD340" i="1"/>
  <c r="AE340" i="1"/>
  <c r="AF340" i="1"/>
  <c r="AG340" i="1"/>
  <c r="AH340" i="1"/>
  <c r="AI340" i="1"/>
  <c r="AJ340" i="1"/>
  <c r="AQ340" i="1"/>
  <c r="AR340" i="1"/>
  <c r="AS340" i="1"/>
  <c r="L341" i="1"/>
  <c r="M341" i="1"/>
  <c r="N341" i="1"/>
  <c r="O341" i="1"/>
  <c r="P341" i="1"/>
  <c r="Q341" i="1"/>
  <c r="R341" i="1"/>
  <c r="S341" i="1"/>
  <c r="T341" i="1"/>
  <c r="U341" i="1"/>
  <c r="V341" i="1"/>
  <c r="W341" i="1"/>
  <c r="X341" i="1"/>
  <c r="Y341" i="1"/>
  <c r="Z341" i="1"/>
  <c r="AA341" i="1"/>
  <c r="AB341" i="1"/>
  <c r="AC341" i="1"/>
  <c r="AD341" i="1"/>
  <c r="AE341" i="1"/>
  <c r="AF341" i="1"/>
  <c r="AG341" i="1"/>
  <c r="AH341" i="1"/>
  <c r="AI341" i="1"/>
  <c r="AJ341" i="1"/>
  <c r="AQ341" i="1"/>
  <c r="AR341" i="1"/>
  <c r="AS341" i="1"/>
  <c r="L342" i="1"/>
  <c r="M342" i="1"/>
  <c r="N342" i="1"/>
  <c r="O342" i="1"/>
  <c r="P342" i="1"/>
  <c r="Q342" i="1"/>
  <c r="R342" i="1"/>
  <c r="S342" i="1"/>
  <c r="T342" i="1"/>
  <c r="U342" i="1"/>
  <c r="V342" i="1"/>
  <c r="W342" i="1"/>
  <c r="X342" i="1"/>
  <c r="Y342" i="1"/>
  <c r="Z342" i="1"/>
  <c r="AA342" i="1"/>
  <c r="AB342" i="1"/>
  <c r="AC342" i="1"/>
  <c r="AD342" i="1"/>
  <c r="AE342" i="1"/>
  <c r="AF342" i="1"/>
  <c r="AG342" i="1"/>
  <c r="AH342" i="1"/>
  <c r="AI342" i="1"/>
  <c r="AJ342" i="1"/>
  <c r="AQ342" i="1"/>
  <c r="AR342" i="1"/>
  <c r="AS342" i="1"/>
  <c r="L343" i="1"/>
  <c r="M343" i="1"/>
  <c r="N343" i="1"/>
  <c r="O343" i="1"/>
  <c r="P343" i="1"/>
  <c r="Q343" i="1"/>
  <c r="R343" i="1"/>
  <c r="S343" i="1"/>
  <c r="T343" i="1"/>
  <c r="U343" i="1"/>
  <c r="V343" i="1"/>
  <c r="W343" i="1"/>
  <c r="X343" i="1"/>
  <c r="Y343" i="1"/>
  <c r="Z343" i="1"/>
  <c r="AA343" i="1"/>
  <c r="AB343" i="1"/>
  <c r="AC343" i="1"/>
  <c r="AD343" i="1"/>
  <c r="AE343" i="1"/>
  <c r="AF343" i="1"/>
  <c r="AG343" i="1"/>
  <c r="AH343" i="1"/>
  <c r="AI343" i="1"/>
  <c r="AJ343" i="1"/>
  <c r="AQ343" i="1"/>
  <c r="AR343" i="1"/>
  <c r="AS343" i="1"/>
  <c r="L344" i="1"/>
  <c r="M344" i="1"/>
  <c r="N344" i="1"/>
  <c r="O344" i="1"/>
  <c r="P344" i="1"/>
  <c r="Q344" i="1"/>
  <c r="R344" i="1"/>
  <c r="S344" i="1"/>
  <c r="T344" i="1"/>
  <c r="U344" i="1"/>
  <c r="V344" i="1"/>
  <c r="W344" i="1"/>
  <c r="X344" i="1"/>
  <c r="Y344" i="1"/>
  <c r="Z344" i="1"/>
  <c r="AA344" i="1"/>
  <c r="AB344" i="1"/>
  <c r="AC344" i="1"/>
  <c r="AD344" i="1"/>
  <c r="AE344" i="1"/>
  <c r="AF344" i="1"/>
  <c r="AG344" i="1"/>
  <c r="AH344" i="1"/>
  <c r="AI344" i="1"/>
  <c r="AJ344" i="1"/>
  <c r="AQ344" i="1"/>
  <c r="AR344" i="1"/>
  <c r="AS344" i="1"/>
  <c r="L345" i="1"/>
  <c r="M345" i="1"/>
  <c r="N345" i="1"/>
  <c r="O345" i="1"/>
  <c r="P345" i="1"/>
  <c r="Q345" i="1"/>
  <c r="R345" i="1"/>
  <c r="S345" i="1"/>
  <c r="T345" i="1"/>
  <c r="U345" i="1"/>
  <c r="V345" i="1"/>
  <c r="W345" i="1"/>
  <c r="X345" i="1"/>
  <c r="Y345" i="1"/>
  <c r="Z345" i="1"/>
  <c r="AA345" i="1"/>
  <c r="AB345" i="1"/>
  <c r="AC345" i="1"/>
  <c r="AD345" i="1"/>
  <c r="AE345" i="1"/>
  <c r="AF345" i="1"/>
  <c r="AG345" i="1"/>
  <c r="AH345" i="1"/>
  <c r="AI345" i="1"/>
  <c r="AJ345" i="1"/>
  <c r="AQ345" i="1"/>
  <c r="AR345" i="1"/>
  <c r="AS345" i="1"/>
  <c r="L346" i="1"/>
  <c r="M346" i="1"/>
  <c r="N346" i="1"/>
  <c r="O346" i="1"/>
  <c r="P346" i="1"/>
  <c r="Q346" i="1"/>
  <c r="R346" i="1"/>
  <c r="S346" i="1"/>
  <c r="T346" i="1"/>
  <c r="U346" i="1"/>
  <c r="V346" i="1"/>
  <c r="W346" i="1"/>
  <c r="X346" i="1"/>
  <c r="Y346" i="1"/>
  <c r="Z346" i="1"/>
  <c r="AA346" i="1"/>
  <c r="AB346" i="1"/>
  <c r="AC346" i="1"/>
  <c r="AD346" i="1"/>
  <c r="AE346" i="1"/>
  <c r="AF346" i="1"/>
  <c r="AG346" i="1"/>
  <c r="AH346" i="1"/>
  <c r="AI346" i="1"/>
  <c r="AJ346" i="1"/>
  <c r="AQ346" i="1"/>
  <c r="AR346" i="1"/>
  <c r="AS346" i="1"/>
  <c r="L347" i="1"/>
  <c r="M347" i="1"/>
  <c r="N347" i="1"/>
  <c r="O347" i="1"/>
  <c r="P347" i="1"/>
  <c r="Q347" i="1"/>
  <c r="R347" i="1"/>
  <c r="S347" i="1"/>
  <c r="T347" i="1"/>
  <c r="U347" i="1"/>
  <c r="V347" i="1"/>
  <c r="W347" i="1"/>
  <c r="X347" i="1"/>
  <c r="Y347" i="1"/>
  <c r="Z347" i="1"/>
  <c r="AA347" i="1"/>
  <c r="AB347" i="1"/>
  <c r="AC347" i="1"/>
  <c r="AD347" i="1"/>
  <c r="AE347" i="1"/>
  <c r="AF347" i="1"/>
  <c r="AG347" i="1"/>
  <c r="AH347" i="1"/>
  <c r="AI347" i="1"/>
  <c r="AJ347" i="1"/>
  <c r="AQ347" i="1"/>
  <c r="AR347" i="1"/>
  <c r="AS347" i="1"/>
  <c r="L348" i="1"/>
  <c r="M348" i="1"/>
  <c r="N348" i="1"/>
  <c r="O348" i="1"/>
  <c r="P348" i="1"/>
  <c r="Q348" i="1"/>
  <c r="R348" i="1"/>
  <c r="S348" i="1"/>
  <c r="T348" i="1"/>
  <c r="U348" i="1"/>
  <c r="V348" i="1"/>
  <c r="W348" i="1"/>
  <c r="X348" i="1"/>
  <c r="Y348" i="1"/>
  <c r="Z348" i="1"/>
  <c r="AA348" i="1"/>
  <c r="AB348" i="1"/>
  <c r="AC348" i="1"/>
  <c r="AD348" i="1"/>
  <c r="AE348" i="1"/>
  <c r="AF348" i="1"/>
  <c r="AG348" i="1"/>
  <c r="AH348" i="1"/>
  <c r="AI348" i="1"/>
  <c r="AJ348" i="1"/>
  <c r="AQ348" i="1"/>
  <c r="AR348" i="1"/>
  <c r="AS348" i="1"/>
  <c r="L349" i="1"/>
  <c r="M349" i="1"/>
  <c r="N349" i="1"/>
  <c r="O349" i="1"/>
  <c r="P349" i="1"/>
  <c r="Q349" i="1"/>
  <c r="R349" i="1"/>
  <c r="S349" i="1"/>
  <c r="T349" i="1"/>
  <c r="U349" i="1"/>
  <c r="V349" i="1"/>
  <c r="W349" i="1"/>
  <c r="X349" i="1"/>
  <c r="Y349" i="1"/>
  <c r="Z349" i="1"/>
  <c r="AA349" i="1"/>
  <c r="AB349" i="1"/>
  <c r="AC349" i="1"/>
  <c r="AD349" i="1"/>
  <c r="AE349" i="1"/>
  <c r="AF349" i="1"/>
  <c r="AG349" i="1"/>
  <c r="AH349" i="1"/>
  <c r="AI349" i="1"/>
  <c r="AJ349" i="1"/>
  <c r="AQ349" i="1"/>
  <c r="AR349" i="1"/>
  <c r="AS349" i="1"/>
  <c r="L350" i="1"/>
  <c r="M350" i="1"/>
  <c r="N350" i="1"/>
  <c r="O350" i="1"/>
  <c r="P350" i="1"/>
  <c r="Q350" i="1"/>
  <c r="R350" i="1"/>
  <c r="S350" i="1"/>
  <c r="T350" i="1"/>
  <c r="U350" i="1"/>
  <c r="V350" i="1"/>
  <c r="W350" i="1"/>
  <c r="X350" i="1"/>
  <c r="Y350" i="1"/>
  <c r="Z350" i="1"/>
  <c r="AA350" i="1"/>
  <c r="AB350" i="1"/>
  <c r="AC350" i="1"/>
  <c r="AD350" i="1"/>
  <c r="AE350" i="1"/>
  <c r="AF350" i="1"/>
  <c r="AG350" i="1"/>
  <c r="AH350" i="1"/>
  <c r="AI350" i="1"/>
  <c r="AJ350" i="1"/>
  <c r="AQ350" i="1"/>
  <c r="AR350" i="1"/>
  <c r="AS350" i="1"/>
  <c r="L351" i="1"/>
  <c r="M351" i="1"/>
  <c r="N351" i="1"/>
  <c r="O351" i="1"/>
  <c r="P351" i="1"/>
  <c r="Q351" i="1"/>
  <c r="R351" i="1"/>
  <c r="S351" i="1"/>
  <c r="T351" i="1"/>
  <c r="U351" i="1"/>
  <c r="V351" i="1"/>
  <c r="W351" i="1"/>
  <c r="X351" i="1"/>
  <c r="Y351" i="1"/>
  <c r="Z351" i="1"/>
  <c r="AA351" i="1"/>
  <c r="AB351" i="1"/>
  <c r="AC351" i="1"/>
  <c r="AD351" i="1"/>
  <c r="AE351" i="1"/>
  <c r="AF351" i="1"/>
  <c r="AG351" i="1"/>
  <c r="AH351" i="1"/>
  <c r="AI351" i="1"/>
  <c r="AJ351" i="1"/>
  <c r="AQ351" i="1"/>
  <c r="AR351" i="1"/>
  <c r="AS351" i="1"/>
  <c r="L352" i="1"/>
  <c r="M352" i="1"/>
  <c r="N352" i="1"/>
  <c r="O352" i="1"/>
  <c r="P352" i="1"/>
  <c r="Q352" i="1"/>
  <c r="R352" i="1"/>
  <c r="S352" i="1"/>
  <c r="T352" i="1"/>
  <c r="U352" i="1"/>
  <c r="V352" i="1"/>
  <c r="W352" i="1"/>
  <c r="X352" i="1"/>
  <c r="Y352" i="1"/>
  <c r="Z352" i="1"/>
  <c r="AA352" i="1"/>
  <c r="AB352" i="1"/>
  <c r="AC352" i="1"/>
  <c r="AD352" i="1"/>
  <c r="AE352" i="1"/>
  <c r="AF352" i="1"/>
  <c r="AG352" i="1"/>
  <c r="AH352" i="1"/>
  <c r="AI352" i="1"/>
  <c r="AJ352" i="1"/>
  <c r="AQ352" i="1"/>
  <c r="AR352" i="1"/>
  <c r="AS352" i="1"/>
  <c r="L353" i="1"/>
  <c r="M353" i="1"/>
  <c r="N353" i="1"/>
  <c r="O353" i="1"/>
  <c r="P353" i="1"/>
  <c r="Q353" i="1"/>
  <c r="R353" i="1"/>
  <c r="S353" i="1"/>
  <c r="T353" i="1"/>
  <c r="U353" i="1"/>
  <c r="V353" i="1"/>
  <c r="W353" i="1"/>
  <c r="X353" i="1"/>
  <c r="Y353" i="1"/>
  <c r="Z353" i="1"/>
  <c r="AA353" i="1"/>
  <c r="AB353" i="1"/>
  <c r="AC353" i="1"/>
  <c r="AD353" i="1"/>
  <c r="AE353" i="1"/>
  <c r="AF353" i="1"/>
  <c r="AG353" i="1"/>
  <c r="AH353" i="1"/>
  <c r="AI353" i="1"/>
  <c r="AJ353" i="1"/>
  <c r="AQ353" i="1"/>
  <c r="AR353" i="1"/>
  <c r="AS353" i="1"/>
  <c r="L354" i="1"/>
  <c r="M354" i="1"/>
  <c r="N354" i="1"/>
  <c r="O354" i="1"/>
  <c r="P354" i="1"/>
  <c r="Q354" i="1"/>
  <c r="R354" i="1"/>
  <c r="S354" i="1"/>
  <c r="T354" i="1"/>
  <c r="U354" i="1"/>
  <c r="V354" i="1"/>
  <c r="W354" i="1"/>
  <c r="X354" i="1"/>
  <c r="Y354" i="1"/>
  <c r="Z354" i="1"/>
  <c r="AA354" i="1"/>
  <c r="AB354" i="1"/>
  <c r="AC354" i="1"/>
  <c r="AD354" i="1"/>
  <c r="AE354" i="1"/>
  <c r="AF354" i="1"/>
  <c r="AG354" i="1"/>
  <c r="AH354" i="1"/>
  <c r="AI354" i="1"/>
  <c r="AJ354" i="1"/>
  <c r="AQ354" i="1"/>
  <c r="AR354" i="1"/>
  <c r="AS354" i="1"/>
  <c r="L355" i="1"/>
  <c r="M355" i="1"/>
  <c r="N355" i="1"/>
  <c r="O355" i="1"/>
  <c r="P355" i="1"/>
  <c r="Q355" i="1"/>
  <c r="R355" i="1"/>
  <c r="S355" i="1"/>
  <c r="T355" i="1"/>
  <c r="U355" i="1"/>
  <c r="V355" i="1"/>
  <c r="W355" i="1"/>
  <c r="X355" i="1"/>
  <c r="Y355" i="1"/>
  <c r="Z355" i="1"/>
  <c r="AA355" i="1"/>
  <c r="AB355" i="1"/>
  <c r="AC355" i="1"/>
  <c r="AD355" i="1"/>
  <c r="AE355" i="1"/>
  <c r="AF355" i="1"/>
  <c r="AG355" i="1"/>
  <c r="AH355" i="1"/>
  <c r="AI355" i="1"/>
  <c r="AJ355" i="1"/>
  <c r="AQ355" i="1"/>
  <c r="AR355" i="1"/>
  <c r="AS355" i="1"/>
  <c r="L356" i="1"/>
  <c r="M356" i="1"/>
  <c r="N356" i="1"/>
  <c r="O356" i="1"/>
  <c r="P356" i="1"/>
  <c r="Q356" i="1"/>
  <c r="R356" i="1"/>
  <c r="S356" i="1"/>
  <c r="T356" i="1"/>
  <c r="U356" i="1"/>
  <c r="V356" i="1"/>
  <c r="W356" i="1"/>
  <c r="X356" i="1"/>
  <c r="Y356" i="1"/>
  <c r="Z356" i="1"/>
  <c r="AA356" i="1"/>
  <c r="AB356" i="1"/>
  <c r="AC356" i="1"/>
  <c r="AD356" i="1"/>
  <c r="AE356" i="1"/>
  <c r="AF356" i="1"/>
  <c r="AG356" i="1"/>
  <c r="AH356" i="1"/>
  <c r="AI356" i="1"/>
  <c r="AJ356" i="1"/>
  <c r="AQ356" i="1"/>
  <c r="AR356" i="1"/>
  <c r="AS356" i="1"/>
  <c r="L357" i="1"/>
  <c r="M357" i="1"/>
  <c r="N357" i="1"/>
  <c r="O357" i="1"/>
  <c r="P357" i="1"/>
  <c r="Q357" i="1"/>
  <c r="R357" i="1"/>
  <c r="S357" i="1"/>
  <c r="T357" i="1"/>
  <c r="U357" i="1"/>
  <c r="V357" i="1"/>
  <c r="W357" i="1"/>
  <c r="X357" i="1"/>
  <c r="Y357" i="1"/>
  <c r="Z357" i="1"/>
  <c r="AA357" i="1"/>
  <c r="AB357" i="1"/>
  <c r="AC357" i="1"/>
  <c r="AD357" i="1"/>
  <c r="AE357" i="1"/>
  <c r="AF357" i="1"/>
  <c r="AG357" i="1"/>
  <c r="AH357" i="1"/>
  <c r="AI357" i="1"/>
  <c r="AJ357" i="1"/>
  <c r="AQ357" i="1"/>
  <c r="AR357" i="1"/>
  <c r="AS357" i="1"/>
  <c r="L358" i="1"/>
  <c r="M358" i="1"/>
  <c r="N358" i="1"/>
  <c r="O358" i="1"/>
  <c r="P358" i="1"/>
  <c r="Q358" i="1"/>
  <c r="R358" i="1"/>
  <c r="S358" i="1"/>
  <c r="T358" i="1"/>
  <c r="U358" i="1"/>
  <c r="V358" i="1"/>
  <c r="W358" i="1"/>
  <c r="X358" i="1"/>
  <c r="Y358" i="1"/>
  <c r="Z358" i="1"/>
  <c r="AA358" i="1"/>
  <c r="AB358" i="1"/>
  <c r="AC358" i="1"/>
  <c r="AD358" i="1"/>
  <c r="AE358" i="1"/>
  <c r="AF358" i="1"/>
  <c r="AG358" i="1"/>
  <c r="AH358" i="1"/>
  <c r="AI358" i="1"/>
  <c r="AJ358" i="1"/>
  <c r="AQ358" i="1"/>
  <c r="AR358" i="1"/>
  <c r="AS358" i="1"/>
  <c r="L359" i="1"/>
  <c r="M359" i="1"/>
  <c r="N359" i="1"/>
  <c r="O359" i="1"/>
  <c r="P359" i="1"/>
  <c r="Q359" i="1"/>
  <c r="R359" i="1"/>
  <c r="S359" i="1"/>
  <c r="T359" i="1"/>
  <c r="U359" i="1"/>
  <c r="V359" i="1"/>
  <c r="W359" i="1"/>
  <c r="X359" i="1"/>
  <c r="Y359" i="1"/>
  <c r="Z359" i="1"/>
  <c r="AA359" i="1"/>
  <c r="AB359" i="1"/>
  <c r="AC359" i="1"/>
  <c r="AD359" i="1"/>
  <c r="AE359" i="1"/>
  <c r="AF359" i="1"/>
  <c r="AG359" i="1"/>
  <c r="AH359" i="1"/>
  <c r="AI359" i="1"/>
  <c r="AJ359" i="1"/>
  <c r="AQ359" i="1"/>
  <c r="AR359" i="1"/>
  <c r="AS359" i="1"/>
  <c r="L360" i="1"/>
  <c r="M360" i="1"/>
  <c r="N360" i="1"/>
  <c r="O360" i="1"/>
  <c r="P360" i="1"/>
  <c r="Q360" i="1"/>
  <c r="R360" i="1"/>
  <c r="S360" i="1"/>
  <c r="T360" i="1"/>
  <c r="U360" i="1"/>
  <c r="V360" i="1"/>
  <c r="W360" i="1"/>
  <c r="X360" i="1"/>
  <c r="Y360" i="1"/>
  <c r="Z360" i="1"/>
  <c r="AA360" i="1"/>
  <c r="AB360" i="1"/>
  <c r="AC360" i="1"/>
  <c r="AD360" i="1"/>
  <c r="AE360" i="1"/>
  <c r="AF360" i="1"/>
  <c r="AG360" i="1"/>
  <c r="AH360" i="1"/>
  <c r="AI360" i="1"/>
  <c r="AJ360" i="1"/>
  <c r="AQ360" i="1"/>
  <c r="AR360" i="1"/>
  <c r="AS360" i="1"/>
  <c r="L361" i="1"/>
  <c r="M361" i="1"/>
  <c r="N361" i="1"/>
  <c r="O361" i="1"/>
  <c r="P361" i="1"/>
  <c r="Q361" i="1"/>
  <c r="R361" i="1"/>
  <c r="S361" i="1"/>
  <c r="T361" i="1"/>
  <c r="U361" i="1"/>
  <c r="V361" i="1"/>
  <c r="W361" i="1"/>
  <c r="X361" i="1"/>
  <c r="Y361" i="1"/>
  <c r="Z361" i="1"/>
  <c r="AA361" i="1"/>
  <c r="AB361" i="1"/>
  <c r="AC361" i="1"/>
  <c r="AD361" i="1"/>
  <c r="AE361" i="1"/>
  <c r="AF361" i="1"/>
  <c r="AG361" i="1"/>
  <c r="AH361" i="1"/>
  <c r="AI361" i="1"/>
  <c r="AJ361" i="1"/>
  <c r="AQ361" i="1"/>
  <c r="AR361" i="1"/>
  <c r="AS361" i="1"/>
  <c r="L362" i="1"/>
  <c r="M362" i="1"/>
  <c r="N362" i="1"/>
  <c r="O362" i="1"/>
  <c r="P362" i="1"/>
  <c r="Q362" i="1"/>
  <c r="R362" i="1"/>
  <c r="S362" i="1"/>
  <c r="T362" i="1"/>
  <c r="U362" i="1"/>
  <c r="V362" i="1"/>
  <c r="W362" i="1"/>
  <c r="X362" i="1"/>
  <c r="Y362" i="1"/>
  <c r="Z362" i="1"/>
  <c r="AA362" i="1"/>
  <c r="AB362" i="1"/>
  <c r="AC362" i="1"/>
  <c r="AD362" i="1"/>
  <c r="AE362" i="1"/>
  <c r="AF362" i="1"/>
  <c r="AG362" i="1"/>
  <c r="AH362" i="1"/>
  <c r="AI362" i="1"/>
  <c r="AJ362" i="1"/>
  <c r="AQ362" i="1"/>
  <c r="AR362" i="1"/>
  <c r="AS362" i="1"/>
  <c r="L363" i="1"/>
  <c r="M363" i="1"/>
  <c r="N363" i="1"/>
  <c r="O363" i="1"/>
  <c r="P363" i="1"/>
  <c r="Q363" i="1"/>
  <c r="R363" i="1"/>
  <c r="S363" i="1"/>
  <c r="T363" i="1"/>
  <c r="U363" i="1"/>
  <c r="V363" i="1"/>
  <c r="W363" i="1"/>
  <c r="X363" i="1"/>
  <c r="Y363" i="1"/>
  <c r="Z363" i="1"/>
  <c r="AA363" i="1"/>
  <c r="AB363" i="1"/>
  <c r="AC363" i="1"/>
  <c r="AD363" i="1"/>
  <c r="AE363" i="1"/>
  <c r="AF363" i="1"/>
  <c r="AG363" i="1"/>
  <c r="AH363" i="1"/>
  <c r="AI363" i="1"/>
  <c r="AJ363" i="1"/>
  <c r="AQ363" i="1"/>
  <c r="AR363" i="1"/>
  <c r="AS363" i="1"/>
  <c r="L364" i="1"/>
  <c r="M364" i="1"/>
  <c r="N364" i="1"/>
  <c r="O364" i="1"/>
  <c r="P364" i="1"/>
  <c r="Q364" i="1"/>
  <c r="R364" i="1"/>
  <c r="S364" i="1"/>
  <c r="T364" i="1"/>
  <c r="U364" i="1"/>
  <c r="V364" i="1"/>
  <c r="W364" i="1"/>
  <c r="X364" i="1"/>
  <c r="Y364" i="1"/>
  <c r="Z364" i="1"/>
  <c r="AA364" i="1"/>
  <c r="AB364" i="1"/>
  <c r="AC364" i="1"/>
  <c r="AD364" i="1"/>
  <c r="AE364" i="1"/>
  <c r="AF364" i="1"/>
  <c r="AG364" i="1"/>
  <c r="AH364" i="1"/>
  <c r="AI364" i="1"/>
  <c r="AJ364" i="1"/>
  <c r="AQ364" i="1"/>
  <c r="AR364" i="1"/>
  <c r="AS364" i="1"/>
  <c r="L365" i="1"/>
  <c r="M365" i="1"/>
  <c r="N365" i="1"/>
  <c r="O365" i="1"/>
  <c r="P365" i="1"/>
  <c r="Q365" i="1"/>
  <c r="R365" i="1"/>
  <c r="S365" i="1"/>
  <c r="T365" i="1"/>
  <c r="U365" i="1"/>
  <c r="V365" i="1"/>
  <c r="W365" i="1"/>
  <c r="X365" i="1"/>
  <c r="Y365" i="1"/>
  <c r="Z365" i="1"/>
  <c r="AA365" i="1"/>
  <c r="AB365" i="1"/>
  <c r="AC365" i="1"/>
  <c r="AD365" i="1"/>
  <c r="AE365" i="1"/>
  <c r="AF365" i="1"/>
  <c r="AG365" i="1"/>
  <c r="AH365" i="1"/>
  <c r="AI365" i="1"/>
  <c r="AJ365" i="1"/>
  <c r="AQ365" i="1"/>
  <c r="AR365" i="1"/>
  <c r="AS365" i="1"/>
  <c r="L366" i="1"/>
  <c r="M366" i="1"/>
  <c r="N366" i="1"/>
  <c r="O366" i="1"/>
  <c r="P366" i="1"/>
  <c r="Q366" i="1"/>
  <c r="R366" i="1"/>
  <c r="S366" i="1"/>
  <c r="T366" i="1"/>
  <c r="U366" i="1"/>
  <c r="V366" i="1"/>
  <c r="W366" i="1"/>
  <c r="X366" i="1"/>
  <c r="Y366" i="1"/>
  <c r="Z366" i="1"/>
  <c r="AA366" i="1"/>
  <c r="AB366" i="1"/>
  <c r="AC366" i="1"/>
  <c r="AD366" i="1"/>
  <c r="AE366" i="1"/>
  <c r="AF366" i="1"/>
  <c r="AG366" i="1"/>
  <c r="AH366" i="1"/>
  <c r="AI366" i="1"/>
  <c r="AJ366" i="1"/>
  <c r="AQ366" i="1"/>
  <c r="AR366" i="1"/>
  <c r="AS366" i="1"/>
  <c r="L367" i="1"/>
  <c r="M367" i="1"/>
  <c r="N367" i="1"/>
  <c r="O367" i="1"/>
  <c r="P367" i="1"/>
  <c r="Q367" i="1"/>
  <c r="R367" i="1"/>
  <c r="S367" i="1"/>
  <c r="T367" i="1"/>
  <c r="U367" i="1"/>
  <c r="V367" i="1"/>
  <c r="W367" i="1"/>
  <c r="X367" i="1"/>
  <c r="Y367" i="1"/>
  <c r="Z367" i="1"/>
  <c r="AA367" i="1"/>
  <c r="AB367" i="1"/>
  <c r="AC367" i="1"/>
  <c r="AD367" i="1"/>
  <c r="AE367" i="1"/>
  <c r="AF367" i="1"/>
  <c r="AG367" i="1"/>
  <c r="AH367" i="1"/>
  <c r="AI367" i="1"/>
  <c r="AJ367" i="1"/>
  <c r="AQ367" i="1"/>
  <c r="AR367" i="1"/>
  <c r="AS367" i="1"/>
  <c r="L368" i="1"/>
  <c r="M368" i="1"/>
  <c r="N368" i="1"/>
  <c r="O368" i="1"/>
  <c r="P368" i="1"/>
  <c r="Q368" i="1"/>
  <c r="R368" i="1"/>
  <c r="S368" i="1"/>
  <c r="T368" i="1"/>
  <c r="U368" i="1"/>
  <c r="V368" i="1"/>
  <c r="W368" i="1"/>
  <c r="X368" i="1"/>
  <c r="Y368" i="1"/>
  <c r="Z368" i="1"/>
  <c r="AA368" i="1"/>
  <c r="AB368" i="1"/>
  <c r="AC368" i="1"/>
  <c r="AD368" i="1"/>
  <c r="AE368" i="1"/>
  <c r="AF368" i="1"/>
  <c r="AG368" i="1"/>
  <c r="AH368" i="1"/>
  <c r="AI368" i="1"/>
  <c r="AJ368" i="1"/>
  <c r="AQ368" i="1"/>
  <c r="AR368" i="1"/>
  <c r="AS368" i="1"/>
  <c r="L369" i="1"/>
  <c r="M369" i="1"/>
  <c r="N369" i="1"/>
  <c r="O369" i="1"/>
  <c r="P369" i="1"/>
  <c r="Q369" i="1"/>
  <c r="R369" i="1"/>
  <c r="S369" i="1"/>
  <c r="T369" i="1"/>
  <c r="U369" i="1"/>
  <c r="V369" i="1"/>
  <c r="W369" i="1"/>
  <c r="X369" i="1"/>
  <c r="Y369" i="1"/>
  <c r="Z369" i="1"/>
  <c r="AA369" i="1"/>
  <c r="AB369" i="1"/>
  <c r="AC369" i="1"/>
  <c r="AD369" i="1"/>
  <c r="AE369" i="1"/>
  <c r="AF369" i="1"/>
  <c r="AG369" i="1"/>
  <c r="AH369" i="1"/>
  <c r="AI369" i="1"/>
  <c r="AJ369" i="1"/>
  <c r="AQ369" i="1"/>
  <c r="AR369" i="1"/>
  <c r="AS369" i="1"/>
  <c r="L370" i="1"/>
  <c r="M370" i="1"/>
  <c r="N370" i="1"/>
  <c r="O370" i="1"/>
  <c r="P370" i="1"/>
  <c r="Q370" i="1"/>
  <c r="R370" i="1"/>
  <c r="S370" i="1"/>
  <c r="T370" i="1"/>
  <c r="U370" i="1"/>
  <c r="V370" i="1"/>
  <c r="W370" i="1"/>
  <c r="X370" i="1"/>
  <c r="Y370" i="1"/>
  <c r="Z370" i="1"/>
  <c r="AA370" i="1"/>
  <c r="AB370" i="1"/>
  <c r="AC370" i="1"/>
  <c r="AD370" i="1"/>
  <c r="AE370" i="1"/>
  <c r="AF370" i="1"/>
  <c r="AG370" i="1"/>
  <c r="AH370" i="1"/>
  <c r="AI370" i="1"/>
  <c r="AJ370" i="1"/>
  <c r="AQ370" i="1"/>
  <c r="AR370" i="1"/>
  <c r="AS370" i="1"/>
  <c r="L371" i="1"/>
  <c r="M371" i="1"/>
  <c r="N371" i="1"/>
  <c r="O371" i="1"/>
  <c r="P371" i="1"/>
  <c r="Q371" i="1"/>
  <c r="R371" i="1"/>
  <c r="S371" i="1"/>
  <c r="T371" i="1"/>
  <c r="U371" i="1"/>
  <c r="V371" i="1"/>
  <c r="W371" i="1"/>
  <c r="X371" i="1"/>
  <c r="Y371" i="1"/>
  <c r="Z371" i="1"/>
  <c r="AA371" i="1"/>
  <c r="AB371" i="1"/>
  <c r="AC371" i="1"/>
  <c r="AD371" i="1"/>
  <c r="AE371" i="1"/>
  <c r="AF371" i="1"/>
  <c r="AG371" i="1"/>
  <c r="AH371" i="1"/>
  <c r="AI371" i="1"/>
  <c r="AJ371" i="1"/>
  <c r="AQ371" i="1"/>
  <c r="AR371" i="1"/>
  <c r="AS371" i="1"/>
  <c r="L372" i="1"/>
  <c r="M372" i="1"/>
  <c r="N372" i="1"/>
  <c r="O372" i="1"/>
  <c r="P372" i="1"/>
  <c r="Q372" i="1"/>
  <c r="R372" i="1"/>
  <c r="S372" i="1"/>
  <c r="T372" i="1"/>
  <c r="U372" i="1"/>
  <c r="V372" i="1"/>
  <c r="W372" i="1"/>
  <c r="X372" i="1"/>
  <c r="Y372" i="1"/>
  <c r="Z372" i="1"/>
  <c r="AA372" i="1"/>
  <c r="AB372" i="1"/>
  <c r="AC372" i="1"/>
  <c r="AD372" i="1"/>
  <c r="AE372" i="1"/>
  <c r="AF372" i="1"/>
  <c r="AG372" i="1"/>
  <c r="AH372" i="1"/>
  <c r="AI372" i="1"/>
  <c r="AJ372" i="1"/>
  <c r="AQ372" i="1"/>
  <c r="AR372" i="1"/>
  <c r="AS372" i="1"/>
  <c r="L373" i="1"/>
  <c r="M373" i="1"/>
  <c r="N373" i="1"/>
  <c r="O373" i="1"/>
  <c r="P373" i="1"/>
  <c r="Q373" i="1"/>
  <c r="R373" i="1"/>
  <c r="S373" i="1"/>
  <c r="T373" i="1"/>
  <c r="U373" i="1"/>
  <c r="V373" i="1"/>
  <c r="W373" i="1"/>
  <c r="X373" i="1"/>
  <c r="Y373" i="1"/>
  <c r="Z373" i="1"/>
  <c r="AA373" i="1"/>
  <c r="AB373" i="1"/>
  <c r="AC373" i="1"/>
  <c r="AD373" i="1"/>
  <c r="AE373" i="1"/>
  <c r="AF373" i="1"/>
  <c r="AG373" i="1"/>
  <c r="AH373" i="1"/>
  <c r="AI373" i="1"/>
  <c r="AJ373" i="1"/>
  <c r="AQ373" i="1"/>
  <c r="AR373" i="1"/>
  <c r="AS373" i="1"/>
  <c r="L374" i="1"/>
  <c r="M374" i="1"/>
  <c r="N374" i="1"/>
  <c r="O374" i="1"/>
  <c r="P374" i="1"/>
  <c r="Q374" i="1"/>
  <c r="R374" i="1"/>
  <c r="S374" i="1"/>
  <c r="T374" i="1"/>
  <c r="U374" i="1"/>
  <c r="V374" i="1"/>
  <c r="W374" i="1"/>
  <c r="X374" i="1"/>
  <c r="Y374" i="1"/>
  <c r="Z374" i="1"/>
  <c r="AA374" i="1"/>
  <c r="AB374" i="1"/>
  <c r="AC374" i="1"/>
  <c r="AD374" i="1"/>
  <c r="AE374" i="1"/>
  <c r="AF374" i="1"/>
  <c r="AG374" i="1"/>
  <c r="AH374" i="1"/>
  <c r="AI374" i="1"/>
  <c r="AJ374" i="1"/>
  <c r="AQ374" i="1"/>
  <c r="AR374" i="1"/>
  <c r="AS374" i="1"/>
  <c r="L375" i="1"/>
  <c r="M375" i="1"/>
  <c r="N375" i="1"/>
  <c r="O375" i="1"/>
  <c r="P375" i="1"/>
  <c r="Q375" i="1"/>
  <c r="R375" i="1"/>
  <c r="S375" i="1"/>
  <c r="T375" i="1"/>
  <c r="U375" i="1"/>
  <c r="V375" i="1"/>
  <c r="W375" i="1"/>
  <c r="X375" i="1"/>
  <c r="Y375" i="1"/>
  <c r="Z375" i="1"/>
  <c r="AA375" i="1"/>
  <c r="AB375" i="1"/>
  <c r="AC375" i="1"/>
  <c r="AD375" i="1"/>
  <c r="AE375" i="1"/>
  <c r="AF375" i="1"/>
  <c r="AG375" i="1"/>
  <c r="AH375" i="1"/>
  <c r="AI375" i="1"/>
  <c r="AJ375" i="1"/>
  <c r="AQ375" i="1"/>
  <c r="AR375" i="1"/>
  <c r="AS375" i="1"/>
  <c r="L376" i="1"/>
  <c r="M376" i="1"/>
  <c r="N376" i="1"/>
  <c r="O376" i="1"/>
  <c r="P376" i="1"/>
  <c r="Q376" i="1"/>
  <c r="R376" i="1"/>
  <c r="S376" i="1"/>
  <c r="T376" i="1"/>
  <c r="U376" i="1"/>
  <c r="V376" i="1"/>
  <c r="W376" i="1"/>
  <c r="X376" i="1"/>
  <c r="Y376" i="1"/>
  <c r="Z376" i="1"/>
  <c r="AA376" i="1"/>
  <c r="AB376" i="1"/>
  <c r="AC376" i="1"/>
  <c r="AD376" i="1"/>
  <c r="AE376" i="1"/>
  <c r="AF376" i="1"/>
  <c r="AG376" i="1"/>
  <c r="AH376" i="1"/>
  <c r="AI376" i="1"/>
  <c r="AJ376" i="1"/>
  <c r="AQ376" i="1"/>
  <c r="AR376" i="1"/>
  <c r="AS376" i="1"/>
  <c r="L377" i="1"/>
  <c r="M377" i="1"/>
  <c r="N377" i="1"/>
  <c r="O377" i="1"/>
  <c r="P377" i="1"/>
  <c r="Q377" i="1"/>
  <c r="R377" i="1"/>
  <c r="S377" i="1"/>
  <c r="T377" i="1"/>
  <c r="U377" i="1"/>
  <c r="V377" i="1"/>
  <c r="W377" i="1"/>
  <c r="X377" i="1"/>
  <c r="Y377" i="1"/>
  <c r="Z377" i="1"/>
  <c r="AA377" i="1"/>
  <c r="AB377" i="1"/>
  <c r="AC377" i="1"/>
  <c r="AD377" i="1"/>
  <c r="AE377" i="1"/>
  <c r="AF377" i="1"/>
  <c r="AG377" i="1"/>
  <c r="AH377" i="1"/>
  <c r="AI377" i="1"/>
  <c r="AJ377" i="1"/>
  <c r="AQ377" i="1"/>
  <c r="AR377" i="1"/>
  <c r="AS377" i="1"/>
  <c r="L378" i="1"/>
  <c r="M378" i="1"/>
  <c r="N378" i="1"/>
  <c r="O378" i="1"/>
  <c r="P378" i="1"/>
  <c r="Q378" i="1"/>
  <c r="R378" i="1"/>
  <c r="S378" i="1"/>
  <c r="T378" i="1"/>
  <c r="U378" i="1"/>
  <c r="V378" i="1"/>
  <c r="W378" i="1"/>
  <c r="X378" i="1"/>
  <c r="Y378" i="1"/>
  <c r="Z378" i="1"/>
  <c r="AA378" i="1"/>
  <c r="AB378" i="1"/>
  <c r="AC378" i="1"/>
  <c r="AD378" i="1"/>
  <c r="AE378" i="1"/>
  <c r="AF378" i="1"/>
  <c r="AG378" i="1"/>
  <c r="AH378" i="1"/>
  <c r="AI378" i="1"/>
  <c r="AJ378" i="1"/>
  <c r="AQ378" i="1"/>
  <c r="AR378" i="1"/>
  <c r="AS378" i="1"/>
  <c r="L379" i="1"/>
  <c r="M379" i="1"/>
  <c r="N379" i="1"/>
  <c r="O379" i="1"/>
  <c r="P379" i="1"/>
  <c r="Q379" i="1"/>
  <c r="R379" i="1"/>
  <c r="S379" i="1"/>
  <c r="T379" i="1"/>
  <c r="U379" i="1"/>
  <c r="V379" i="1"/>
  <c r="W379" i="1"/>
  <c r="X379" i="1"/>
  <c r="Y379" i="1"/>
  <c r="Z379" i="1"/>
  <c r="AA379" i="1"/>
  <c r="AB379" i="1"/>
  <c r="AC379" i="1"/>
  <c r="AD379" i="1"/>
  <c r="AE379" i="1"/>
  <c r="AF379" i="1"/>
  <c r="AG379" i="1"/>
  <c r="AH379" i="1"/>
  <c r="AI379" i="1"/>
  <c r="AJ379" i="1"/>
  <c r="AQ379" i="1"/>
  <c r="AR379" i="1"/>
  <c r="AS379" i="1"/>
  <c r="L380" i="1"/>
  <c r="M380" i="1"/>
  <c r="N380" i="1"/>
  <c r="O380" i="1"/>
  <c r="P380" i="1"/>
  <c r="Q380" i="1"/>
  <c r="R380" i="1"/>
  <c r="S380" i="1"/>
  <c r="T380" i="1"/>
  <c r="U380" i="1"/>
  <c r="V380" i="1"/>
  <c r="W380" i="1"/>
  <c r="X380" i="1"/>
  <c r="Y380" i="1"/>
  <c r="Z380" i="1"/>
  <c r="AA380" i="1"/>
  <c r="AB380" i="1"/>
  <c r="AC380" i="1"/>
  <c r="AD380" i="1"/>
  <c r="AE380" i="1"/>
  <c r="AF380" i="1"/>
  <c r="AG380" i="1"/>
  <c r="AH380" i="1"/>
  <c r="AI380" i="1"/>
  <c r="AJ380" i="1"/>
  <c r="AQ380" i="1"/>
  <c r="AR380" i="1"/>
  <c r="AS380" i="1"/>
  <c r="L381" i="1"/>
  <c r="M381" i="1"/>
  <c r="N381" i="1"/>
  <c r="O381" i="1"/>
  <c r="P381" i="1"/>
  <c r="Q381" i="1"/>
  <c r="R381" i="1"/>
  <c r="S381" i="1"/>
  <c r="T381" i="1"/>
  <c r="U381" i="1"/>
  <c r="V381" i="1"/>
  <c r="W381" i="1"/>
  <c r="X381" i="1"/>
  <c r="Y381" i="1"/>
  <c r="Z381" i="1"/>
  <c r="AA381" i="1"/>
  <c r="AB381" i="1"/>
  <c r="AC381" i="1"/>
  <c r="AD381" i="1"/>
  <c r="AE381" i="1"/>
  <c r="AF381" i="1"/>
  <c r="AG381" i="1"/>
  <c r="AH381" i="1"/>
  <c r="AI381" i="1"/>
  <c r="AJ381" i="1"/>
  <c r="AQ381" i="1"/>
  <c r="AR381" i="1"/>
  <c r="AS381" i="1"/>
  <c r="L382" i="1"/>
  <c r="M382" i="1"/>
  <c r="N382" i="1"/>
  <c r="O382" i="1"/>
  <c r="P382" i="1"/>
  <c r="Q382" i="1"/>
  <c r="R382" i="1"/>
  <c r="S382" i="1"/>
  <c r="T382" i="1"/>
  <c r="U382" i="1"/>
  <c r="V382" i="1"/>
  <c r="W382" i="1"/>
  <c r="X382" i="1"/>
  <c r="Y382" i="1"/>
  <c r="Z382" i="1"/>
  <c r="AA382" i="1"/>
  <c r="AB382" i="1"/>
  <c r="AC382" i="1"/>
  <c r="AD382" i="1"/>
  <c r="AE382" i="1"/>
  <c r="AF382" i="1"/>
  <c r="AG382" i="1"/>
  <c r="AH382" i="1"/>
  <c r="AI382" i="1"/>
  <c r="AJ382" i="1"/>
  <c r="AQ382" i="1"/>
  <c r="AR382" i="1"/>
  <c r="AS382" i="1"/>
  <c r="L383" i="1"/>
  <c r="M383" i="1"/>
  <c r="N383" i="1"/>
  <c r="O383" i="1"/>
  <c r="P383" i="1"/>
  <c r="Q383" i="1"/>
  <c r="R383" i="1"/>
  <c r="S383" i="1"/>
  <c r="T383" i="1"/>
  <c r="U383" i="1"/>
  <c r="V383" i="1"/>
  <c r="W383" i="1"/>
  <c r="X383" i="1"/>
  <c r="Y383" i="1"/>
  <c r="Z383" i="1"/>
  <c r="AA383" i="1"/>
  <c r="AB383" i="1"/>
  <c r="AC383" i="1"/>
  <c r="AD383" i="1"/>
  <c r="AE383" i="1"/>
  <c r="AF383" i="1"/>
  <c r="AG383" i="1"/>
  <c r="AH383" i="1"/>
  <c r="AI383" i="1"/>
  <c r="AJ383" i="1"/>
  <c r="AQ383" i="1"/>
  <c r="AR383" i="1"/>
  <c r="AS383" i="1"/>
  <c r="L384" i="1"/>
  <c r="M384" i="1"/>
  <c r="N384" i="1"/>
  <c r="O384" i="1"/>
  <c r="P384" i="1"/>
  <c r="Q384" i="1"/>
  <c r="R384" i="1"/>
  <c r="S384" i="1"/>
  <c r="T384" i="1"/>
  <c r="U384" i="1"/>
  <c r="V384" i="1"/>
  <c r="W384" i="1"/>
  <c r="X384" i="1"/>
  <c r="Y384" i="1"/>
  <c r="Z384" i="1"/>
  <c r="AA384" i="1"/>
  <c r="AB384" i="1"/>
  <c r="AC384" i="1"/>
  <c r="AD384" i="1"/>
  <c r="AE384" i="1"/>
  <c r="AF384" i="1"/>
  <c r="AG384" i="1"/>
  <c r="AH384" i="1"/>
  <c r="AI384" i="1"/>
  <c r="AJ384" i="1"/>
  <c r="AQ384" i="1"/>
  <c r="AR384" i="1"/>
  <c r="AS384" i="1"/>
  <c r="L385" i="1"/>
  <c r="M385" i="1"/>
  <c r="N385" i="1"/>
  <c r="O385" i="1"/>
  <c r="P385" i="1"/>
  <c r="Q385" i="1"/>
  <c r="R385" i="1"/>
  <c r="S385" i="1"/>
  <c r="T385" i="1"/>
  <c r="U385" i="1"/>
  <c r="V385" i="1"/>
  <c r="W385" i="1"/>
  <c r="X385" i="1"/>
  <c r="Y385" i="1"/>
  <c r="Z385" i="1"/>
  <c r="AA385" i="1"/>
  <c r="AB385" i="1"/>
  <c r="AC385" i="1"/>
  <c r="AD385" i="1"/>
  <c r="AE385" i="1"/>
  <c r="AF385" i="1"/>
  <c r="AG385" i="1"/>
  <c r="AH385" i="1"/>
  <c r="AI385" i="1"/>
  <c r="AJ385" i="1"/>
  <c r="AQ385" i="1"/>
  <c r="AR385" i="1"/>
  <c r="AS385" i="1"/>
  <c r="L386" i="1"/>
  <c r="M386" i="1"/>
  <c r="N386" i="1"/>
  <c r="O386" i="1"/>
  <c r="P386" i="1"/>
  <c r="Q386" i="1"/>
  <c r="R386" i="1"/>
  <c r="S386" i="1"/>
  <c r="T386" i="1"/>
  <c r="U386" i="1"/>
  <c r="V386" i="1"/>
  <c r="W386" i="1"/>
  <c r="X386" i="1"/>
  <c r="Y386" i="1"/>
  <c r="Z386" i="1"/>
  <c r="AA386" i="1"/>
  <c r="AB386" i="1"/>
  <c r="AC386" i="1"/>
  <c r="AD386" i="1"/>
  <c r="AE386" i="1"/>
  <c r="AF386" i="1"/>
  <c r="AG386" i="1"/>
  <c r="AH386" i="1"/>
  <c r="AI386" i="1"/>
  <c r="AJ386" i="1"/>
  <c r="AQ386" i="1"/>
  <c r="AR386" i="1"/>
  <c r="AS386" i="1"/>
  <c r="L387" i="1"/>
  <c r="M387" i="1"/>
  <c r="N387" i="1"/>
  <c r="O387" i="1"/>
  <c r="P387" i="1"/>
  <c r="Q387" i="1"/>
  <c r="R387" i="1"/>
  <c r="S387" i="1"/>
  <c r="T387" i="1"/>
  <c r="U387" i="1"/>
  <c r="V387" i="1"/>
  <c r="W387" i="1"/>
  <c r="X387" i="1"/>
  <c r="Y387" i="1"/>
  <c r="Z387" i="1"/>
  <c r="AA387" i="1"/>
  <c r="AB387" i="1"/>
  <c r="AC387" i="1"/>
  <c r="AD387" i="1"/>
  <c r="AE387" i="1"/>
  <c r="AF387" i="1"/>
  <c r="AG387" i="1"/>
  <c r="AH387" i="1"/>
  <c r="AI387" i="1"/>
  <c r="AJ387" i="1"/>
  <c r="AQ387" i="1"/>
  <c r="AR387" i="1"/>
  <c r="AS387" i="1"/>
  <c r="L388" i="1"/>
  <c r="M388" i="1"/>
  <c r="N388" i="1"/>
  <c r="O388" i="1"/>
  <c r="P388" i="1"/>
  <c r="Q388" i="1"/>
  <c r="R388" i="1"/>
  <c r="S388" i="1"/>
  <c r="T388" i="1"/>
  <c r="U388" i="1"/>
  <c r="V388" i="1"/>
  <c r="W388" i="1"/>
  <c r="X388" i="1"/>
  <c r="Y388" i="1"/>
  <c r="Z388" i="1"/>
  <c r="AA388" i="1"/>
  <c r="AB388" i="1"/>
  <c r="AC388" i="1"/>
  <c r="AD388" i="1"/>
  <c r="AE388" i="1"/>
  <c r="AF388" i="1"/>
  <c r="AG388" i="1"/>
  <c r="AH388" i="1"/>
  <c r="AI388" i="1"/>
  <c r="AJ388" i="1"/>
  <c r="AQ388" i="1"/>
  <c r="AR388" i="1"/>
  <c r="AS388" i="1"/>
  <c r="L389" i="1"/>
  <c r="M389" i="1"/>
  <c r="N389" i="1"/>
  <c r="O389" i="1"/>
  <c r="P389" i="1"/>
  <c r="Q389" i="1"/>
  <c r="R389" i="1"/>
  <c r="S389" i="1"/>
  <c r="T389" i="1"/>
  <c r="U389" i="1"/>
  <c r="V389" i="1"/>
  <c r="W389" i="1"/>
  <c r="X389" i="1"/>
  <c r="Y389" i="1"/>
  <c r="Z389" i="1"/>
  <c r="AA389" i="1"/>
  <c r="AB389" i="1"/>
  <c r="AC389" i="1"/>
  <c r="AD389" i="1"/>
  <c r="AE389" i="1"/>
  <c r="AF389" i="1"/>
  <c r="AG389" i="1"/>
  <c r="AH389" i="1"/>
  <c r="AI389" i="1"/>
  <c r="AJ389" i="1"/>
  <c r="AQ389" i="1"/>
  <c r="AR389" i="1"/>
  <c r="AS389" i="1"/>
  <c r="L390" i="1"/>
  <c r="M390" i="1"/>
  <c r="N390" i="1"/>
  <c r="O390" i="1"/>
  <c r="P390" i="1"/>
  <c r="Q390" i="1"/>
  <c r="R390" i="1"/>
  <c r="S390" i="1"/>
  <c r="T390" i="1"/>
  <c r="U390" i="1"/>
  <c r="V390" i="1"/>
  <c r="W390" i="1"/>
  <c r="X390" i="1"/>
  <c r="Y390" i="1"/>
  <c r="Z390" i="1"/>
  <c r="AA390" i="1"/>
  <c r="AB390" i="1"/>
  <c r="AC390" i="1"/>
  <c r="AD390" i="1"/>
  <c r="AE390" i="1"/>
  <c r="AF390" i="1"/>
  <c r="AG390" i="1"/>
  <c r="AH390" i="1"/>
  <c r="AI390" i="1"/>
  <c r="AJ390" i="1"/>
  <c r="AQ390" i="1"/>
  <c r="AR390" i="1"/>
  <c r="AS390" i="1"/>
  <c r="L391" i="1"/>
  <c r="M391" i="1"/>
  <c r="N391" i="1"/>
  <c r="O391" i="1"/>
  <c r="P391" i="1"/>
  <c r="Q391" i="1"/>
  <c r="R391" i="1"/>
  <c r="S391" i="1"/>
  <c r="T391" i="1"/>
  <c r="U391" i="1"/>
  <c r="V391" i="1"/>
  <c r="W391" i="1"/>
  <c r="X391" i="1"/>
  <c r="Y391" i="1"/>
  <c r="Z391" i="1"/>
  <c r="AA391" i="1"/>
  <c r="AB391" i="1"/>
  <c r="AC391" i="1"/>
  <c r="AD391" i="1"/>
  <c r="AE391" i="1"/>
  <c r="AF391" i="1"/>
  <c r="AG391" i="1"/>
  <c r="AH391" i="1"/>
  <c r="AI391" i="1"/>
  <c r="AJ391" i="1"/>
  <c r="AQ391" i="1"/>
  <c r="AR391" i="1"/>
  <c r="AS391" i="1"/>
  <c r="L392" i="1"/>
  <c r="M392" i="1"/>
  <c r="N392" i="1"/>
  <c r="O392" i="1"/>
  <c r="P392" i="1"/>
  <c r="Q392" i="1"/>
  <c r="R392" i="1"/>
  <c r="S392" i="1"/>
  <c r="T392" i="1"/>
  <c r="U392" i="1"/>
  <c r="V392" i="1"/>
  <c r="W392" i="1"/>
  <c r="X392" i="1"/>
  <c r="Y392" i="1"/>
  <c r="Z392" i="1"/>
  <c r="AA392" i="1"/>
  <c r="AB392" i="1"/>
  <c r="AC392" i="1"/>
  <c r="AD392" i="1"/>
  <c r="AE392" i="1"/>
  <c r="AF392" i="1"/>
  <c r="AG392" i="1"/>
  <c r="AH392" i="1"/>
  <c r="AI392" i="1"/>
  <c r="AJ392" i="1"/>
  <c r="AQ392" i="1"/>
  <c r="AR392" i="1"/>
  <c r="AS392" i="1"/>
  <c r="L393" i="1"/>
  <c r="M393" i="1"/>
  <c r="N393" i="1"/>
  <c r="O393" i="1"/>
  <c r="P393" i="1"/>
  <c r="Q393" i="1"/>
  <c r="R393" i="1"/>
  <c r="S393" i="1"/>
  <c r="T393" i="1"/>
  <c r="U393" i="1"/>
  <c r="V393" i="1"/>
  <c r="W393" i="1"/>
  <c r="X393" i="1"/>
  <c r="Y393" i="1"/>
  <c r="Z393" i="1"/>
  <c r="AA393" i="1"/>
  <c r="AB393" i="1"/>
  <c r="AC393" i="1"/>
  <c r="AD393" i="1"/>
  <c r="AE393" i="1"/>
  <c r="AF393" i="1"/>
  <c r="AG393" i="1"/>
  <c r="AH393" i="1"/>
  <c r="AI393" i="1"/>
  <c r="AJ393" i="1"/>
  <c r="AQ393" i="1"/>
  <c r="AR393" i="1"/>
  <c r="AS393" i="1"/>
  <c r="L394" i="1"/>
  <c r="M394" i="1"/>
  <c r="N394" i="1"/>
  <c r="O394" i="1"/>
  <c r="P394" i="1"/>
  <c r="Q394" i="1"/>
  <c r="R394" i="1"/>
  <c r="S394" i="1"/>
  <c r="T394" i="1"/>
  <c r="U394" i="1"/>
  <c r="V394" i="1"/>
  <c r="W394" i="1"/>
  <c r="X394" i="1"/>
  <c r="Y394" i="1"/>
  <c r="Z394" i="1"/>
  <c r="AA394" i="1"/>
  <c r="AB394" i="1"/>
  <c r="AC394" i="1"/>
  <c r="AD394" i="1"/>
  <c r="AE394" i="1"/>
  <c r="AF394" i="1"/>
  <c r="AG394" i="1"/>
  <c r="AH394" i="1"/>
  <c r="AI394" i="1"/>
  <c r="AJ394" i="1"/>
  <c r="AQ394" i="1"/>
  <c r="AR394" i="1"/>
  <c r="AS394" i="1"/>
  <c r="L395" i="1"/>
  <c r="M395" i="1"/>
  <c r="N395" i="1"/>
  <c r="O395" i="1"/>
  <c r="P395" i="1"/>
  <c r="Q395" i="1"/>
  <c r="R395" i="1"/>
  <c r="S395" i="1"/>
  <c r="T395" i="1"/>
  <c r="U395" i="1"/>
  <c r="V395" i="1"/>
  <c r="W395" i="1"/>
  <c r="X395" i="1"/>
  <c r="Y395" i="1"/>
  <c r="Z395" i="1"/>
  <c r="AA395" i="1"/>
  <c r="AB395" i="1"/>
  <c r="AC395" i="1"/>
  <c r="AD395" i="1"/>
  <c r="AE395" i="1"/>
  <c r="AF395" i="1"/>
  <c r="AG395" i="1"/>
  <c r="AH395" i="1"/>
  <c r="AI395" i="1"/>
  <c r="AJ395" i="1"/>
  <c r="AQ395" i="1"/>
  <c r="AR395" i="1"/>
  <c r="AS395" i="1"/>
  <c r="L396" i="1"/>
  <c r="M396" i="1"/>
  <c r="N396" i="1"/>
  <c r="O396" i="1"/>
  <c r="P396" i="1"/>
  <c r="Q396" i="1"/>
  <c r="R396" i="1"/>
  <c r="S396" i="1"/>
  <c r="T396" i="1"/>
  <c r="U396" i="1"/>
  <c r="V396" i="1"/>
  <c r="W396" i="1"/>
  <c r="X396" i="1"/>
  <c r="Y396" i="1"/>
  <c r="Z396" i="1"/>
  <c r="AA396" i="1"/>
  <c r="AB396" i="1"/>
  <c r="AC396" i="1"/>
  <c r="AD396" i="1"/>
  <c r="AE396" i="1"/>
  <c r="AF396" i="1"/>
  <c r="AG396" i="1"/>
  <c r="AH396" i="1"/>
  <c r="AI396" i="1"/>
  <c r="AJ396" i="1"/>
  <c r="AQ396" i="1"/>
  <c r="AR396" i="1"/>
  <c r="AS396" i="1"/>
  <c r="L397" i="1"/>
  <c r="M397" i="1"/>
  <c r="N397" i="1"/>
  <c r="O397" i="1"/>
  <c r="P397" i="1"/>
  <c r="Q397" i="1"/>
  <c r="R397" i="1"/>
  <c r="S397" i="1"/>
  <c r="T397" i="1"/>
  <c r="U397" i="1"/>
  <c r="V397" i="1"/>
  <c r="W397" i="1"/>
  <c r="X397" i="1"/>
  <c r="Y397" i="1"/>
  <c r="Z397" i="1"/>
  <c r="AA397" i="1"/>
  <c r="AB397" i="1"/>
  <c r="AC397" i="1"/>
  <c r="AD397" i="1"/>
  <c r="AE397" i="1"/>
  <c r="AF397" i="1"/>
  <c r="AG397" i="1"/>
  <c r="AH397" i="1"/>
  <c r="AI397" i="1"/>
  <c r="AJ397" i="1"/>
  <c r="AQ397" i="1"/>
  <c r="AR397" i="1"/>
  <c r="AS397" i="1"/>
  <c r="L398" i="1"/>
  <c r="M398" i="1"/>
  <c r="N398" i="1"/>
  <c r="O398" i="1"/>
  <c r="P398" i="1"/>
  <c r="Q398" i="1"/>
  <c r="R398" i="1"/>
  <c r="S398" i="1"/>
  <c r="T398" i="1"/>
  <c r="U398" i="1"/>
  <c r="V398" i="1"/>
  <c r="W398" i="1"/>
  <c r="X398" i="1"/>
  <c r="Y398" i="1"/>
  <c r="Z398" i="1"/>
  <c r="AA398" i="1"/>
  <c r="AB398" i="1"/>
  <c r="AC398" i="1"/>
  <c r="AD398" i="1"/>
  <c r="AE398" i="1"/>
  <c r="AF398" i="1"/>
  <c r="AG398" i="1"/>
  <c r="AH398" i="1"/>
  <c r="AI398" i="1"/>
  <c r="AJ398" i="1"/>
  <c r="AQ398" i="1"/>
  <c r="AR398" i="1"/>
  <c r="AS398" i="1"/>
  <c r="L399" i="1"/>
  <c r="M399" i="1"/>
  <c r="N399" i="1"/>
  <c r="O399" i="1"/>
  <c r="P399" i="1"/>
  <c r="Q399" i="1"/>
  <c r="R399" i="1"/>
  <c r="S399" i="1"/>
  <c r="T399" i="1"/>
  <c r="U399" i="1"/>
  <c r="V399" i="1"/>
  <c r="W399" i="1"/>
  <c r="X399" i="1"/>
  <c r="Y399" i="1"/>
  <c r="Z399" i="1"/>
  <c r="AA399" i="1"/>
  <c r="AB399" i="1"/>
  <c r="AC399" i="1"/>
  <c r="AD399" i="1"/>
  <c r="AE399" i="1"/>
  <c r="AF399" i="1"/>
  <c r="AG399" i="1"/>
  <c r="AH399" i="1"/>
  <c r="AI399" i="1"/>
  <c r="AJ399" i="1"/>
  <c r="AQ399" i="1"/>
  <c r="AR399" i="1"/>
  <c r="AS399" i="1"/>
  <c r="L400" i="1"/>
  <c r="M400" i="1"/>
  <c r="N400" i="1"/>
  <c r="O400" i="1"/>
  <c r="P400" i="1"/>
  <c r="Q400" i="1"/>
  <c r="R400" i="1"/>
  <c r="S400" i="1"/>
  <c r="T400" i="1"/>
  <c r="U400" i="1"/>
  <c r="V400" i="1"/>
  <c r="W400" i="1"/>
  <c r="X400" i="1"/>
  <c r="Y400" i="1"/>
  <c r="Z400" i="1"/>
  <c r="AA400" i="1"/>
  <c r="AB400" i="1"/>
  <c r="AC400" i="1"/>
  <c r="AD400" i="1"/>
  <c r="AE400" i="1"/>
  <c r="AF400" i="1"/>
  <c r="AG400" i="1"/>
  <c r="AH400" i="1"/>
  <c r="AI400" i="1"/>
  <c r="AJ400" i="1"/>
  <c r="AQ400" i="1"/>
  <c r="AR400" i="1"/>
  <c r="AS400" i="1"/>
  <c r="L401" i="1"/>
  <c r="M401" i="1"/>
  <c r="N401" i="1"/>
  <c r="O401" i="1"/>
  <c r="P401" i="1"/>
  <c r="Q401" i="1"/>
  <c r="R401" i="1"/>
  <c r="S401" i="1"/>
  <c r="T401" i="1"/>
  <c r="U401" i="1"/>
  <c r="V401" i="1"/>
  <c r="W401" i="1"/>
  <c r="X401" i="1"/>
  <c r="Y401" i="1"/>
  <c r="Z401" i="1"/>
  <c r="AA401" i="1"/>
  <c r="AB401" i="1"/>
  <c r="AC401" i="1"/>
  <c r="AD401" i="1"/>
  <c r="AE401" i="1"/>
  <c r="AF401" i="1"/>
  <c r="AG401" i="1"/>
  <c r="AH401" i="1"/>
  <c r="AI401" i="1"/>
  <c r="AJ401" i="1"/>
  <c r="AQ401" i="1"/>
  <c r="AR401" i="1"/>
  <c r="AS401" i="1"/>
  <c r="L402" i="1"/>
  <c r="M402" i="1"/>
  <c r="N402" i="1"/>
  <c r="O402" i="1"/>
  <c r="P402" i="1"/>
  <c r="Q402" i="1"/>
  <c r="R402" i="1"/>
  <c r="S402" i="1"/>
  <c r="T402" i="1"/>
  <c r="U402" i="1"/>
  <c r="V402" i="1"/>
  <c r="W402" i="1"/>
  <c r="X402" i="1"/>
  <c r="Y402" i="1"/>
  <c r="Z402" i="1"/>
  <c r="AA402" i="1"/>
  <c r="AB402" i="1"/>
  <c r="AC402" i="1"/>
  <c r="AD402" i="1"/>
  <c r="AE402" i="1"/>
  <c r="AF402" i="1"/>
  <c r="AG402" i="1"/>
  <c r="AH402" i="1"/>
  <c r="AI402" i="1"/>
  <c r="AJ402" i="1"/>
  <c r="AQ402" i="1"/>
  <c r="AR402" i="1"/>
  <c r="AS402" i="1"/>
  <c r="L403" i="1"/>
  <c r="M403" i="1"/>
  <c r="N403" i="1"/>
  <c r="O403" i="1"/>
  <c r="P403" i="1"/>
  <c r="Q403" i="1"/>
  <c r="R403" i="1"/>
  <c r="S403" i="1"/>
  <c r="T403" i="1"/>
  <c r="U403" i="1"/>
  <c r="V403" i="1"/>
  <c r="W403" i="1"/>
  <c r="X403" i="1"/>
  <c r="Y403" i="1"/>
  <c r="Z403" i="1"/>
  <c r="AA403" i="1"/>
  <c r="AB403" i="1"/>
  <c r="AC403" i="1"/>
  <c r="AD403" i="1"/>
  <c r="AE403" i="1"/>
  <c r="AF403" i="1"/>
  <c r="AG403" i="1"/>
  <c r="AH403" i="1"/>
  <c r="AI403" i="1"/>
  <c r="AJ403" i="1"/>
  <c r="AQ403" i="1"/>
  <c r="AR403" i="1"/>
  <c r="AS403" i="1"/>
  <c r="L404" i="1"/>
  <c r="M404" i="1"/>
  <c r="N404" i="1"/>
  <c r="O404" i="1"/>
  <c r="P404" i="1"/>
  <c r="Q404" i="1"/>
  <c r="R404" i="1"/>
  <c r="S404" i="1"/>
  <c r="T404" i="1"/>
  <c r="U404" i="1"/>
  <c r="V404" i="1"/>
  <c r="W404" i="1"/>
  <c r="X404" i="1"/>
  <c r="Y404" i="1"/>
  <c r="Z404" i="1"/>
  <c r="AA404" i="1"/>
  <c r="AB404" i="1"/>
  <c r="AC404" i="1"/>
  <c r="AD404" i="1"/>
  <c r="AE404" i="1"/>
  <c r="AF404" i="1"/>
  <c r="AG404" i="1"/>
  <c r="AH404" i="1"/>
  <c r="AI404" i="1"/>
  <c r="AJ404" i="1"/>
  <c r="AQ404" i="1"/>
  <c r="AR404" i="1"/>
  <c r="AS404" i="1"/>
  <c r="L405" i="1"/>
  <c r="M405" i="1"/>
  <c r="N405" i="1"/>
  <c r="O405" i="1"/>
  <c r="P405" i="1"/>
  <c r="Q405" i="1"/>
  <c r="R405" i="1"/>
  <c r="S405" i="1"/>
  <c r="T405" i="1"/>
  <c r="U405" i="1"/>
  <c r="V405" i="1"/>
  <c r="W405" i="1"/>
  <c r="X405" i="1"/>
  <c r="Y405" i="1"/>
  <c r="Z405" i="1"/>
  <c r="AA405" i="1"/>
  <c r="AB405" i="1"/>
  <c r="AC405" i="1"/>
  <c r="AD405" i="1"/>
  <c r="AE405" i="1"/>
  <c r="AF405" i="1"/>
  <c r="AG405" i="1"/>
  <c r="AH405" i="1"/>
  <c r="AI405" i="1"/>
  <c r="AJ405" i="1"/>
  <c r="AQ405" i="1"/>
  <c r="AR405" i="1"/>
  <c r="AS405" i="1"/>
  <c r="L406" i="1"/>
  <c r="M406" i="1"/>
  <c r="N406" i="1"/>
  <c r="O406" i="1"/>
  <c r="P406" i="1"/>
  <c r="Q406" i="1"/>
  <c r="R406" i="1"/>
  <c r="S406" i="1"/>
  <c r="T406" i="1"/>
  <c r="U406" i="1"/>
  <c r="V406" i="1"/>
  <c r="W406" i="1"/>
  <c r="X406" i="1"/>
  <c r="Y406" i="1"/>
  <c r="Z406" i="1"/>
  <c r="AA406" i="1"/>
  <c r="AB406" i="1"/>
  <c r="AC406" i="1"/>
  <c r="AD406" i="1"/>
  <c r="AE406" i="1"/>
  <c r="AF406" i="1"/>
  <c r="AG406" i="1"/>
  <c r="AH406" i="1"/>
  <c r="AI406" i="1"/>
  <c r="AJ406" i="1"/>
  <c r="AQ406" i="1"/>
  <c r="AR406" i="1"/>
  <c r="AS406" i="1"/>
  <c r="L407" i="1"/>
  <c r="M407" i="1"/>
  <c r="N407" i="1"/>
  <c r="O407" i="1"/>
  <c r="P407" i="1"/>
  <c r="Q407" i="1"/>
  <c r="R407" i="1"/>
  <c r="S407" i="1"/>
  <c r="T407" i="1"/>
  <c r="U407" i="1"/>
  <c r="V407" i="1"/>
  <c r="W407" i="1"/>
  <c r="X407" i="1"/>
  <c r="Y407" i="1"/>
  <c r="Z407" i="1"/>
  <c r="AA407" i="1"/>
  <c r="AB407" i="1"/>
  <c r="AC407" i="1"/>
  <c r="AD407" i="1"/>
  <c r="AE407" i="1"/>
  <c r="AF407" i="1"/>
  <c r="AG407" i="1"/>
  <c r="AH407" i="1"/>
  <c r="AI407" i="1"/>
  <c r="AJ407" i="1"/>
  <c r="AQ407" i="1"/>
  <c r="AR407" i="1"/>
  <c r="AS407" i="1"/>
  <c r="L408" i="1"/>
  <c r="M408" i="1"/>
  <c r="N408" i="1"/>
  <c r="O408" i="1"/>
  <c r="P408" i="1"/>
  <c r="Q408" i="1"/>
  <c r="R408" i="1"/>
  <c r="S408" i="1"/>
  <c r="T408" i="1"/>
  <c r="U408" i="1"/>
  <c r="V408" i="1"/>
  <c r="W408" i="1"/>
  <c r="X408" i="1"/>
  <c r="Y408" i="1"/>
  <c r="Z408" i="1"/>
  <c r="AA408" i="1"/>
  <c r="AB408" i="1"/>
  <c r="AC408" i="1"/>
  <c r="AD408" i="1"/>
  <c r="AE408" i="1"/>
  <c r="AF408" i="1"/>
  <c r="AG408" i="1"/>
  <c r="AH408" i="1"/>
  <c r="AI408" i="1"/>
  <c r="AJ408" i="1"/>
  <c r="AQ408" i="1"/>
  <c r="AR408" i="1"/>
  <c r="AS408" i="1"/>
  <c r="L409" i="1"/>
  <c r="M409" i="1"/>
  <c r="N409" i="1"/>
  <c r="O409" i="1"/>
  <c r="P409" i="1"/>
  <c r="Q409" i="1"/>
  <c r="R409" i="1"/>
  <c r="S409" i="1"/>
  <c r="T409" i="1"/>
  <c r="U409" i="1"/>
  <c r="V409" i="1"/>
  <c r="W409" i="1"/>
  <c r="X409" i="1"/>
  <c r="Y409" i="1"/>
  <c r="Z409" i="1"/>
  <c r="AA409" i="1"/>
  <c r="AB409" i="1"/>
  <c r="AC409" i="1"/>
  <c r="AD409" i="1"/>
  <c r="AE409" i="1"/>
  <c r="AF409" i="1"/>
  <c r="AG409" i="1"/>
  <c r="AH409" i="1"/>
  <c r="AI409" i="1"/>
  <c r="AJ409" i="1"/>
  <c r="AQ409" i="1"/>
  <c r="AR409" i="1"/>
  <c r="AS409" i="1"/>
  <c r="L410" i="1"/>
  <c r="M410" i="1"/>
  <c r="N410" i="1"/>
  <c r="O410" i="1"/>
  <c r="P410" i="1"/>
  <c r="Q410" i="1"/>
  <c r="R410" i="1"/>
  <c r="S410" i="1"/>
  <c r="T410" i="1"/>
  <c r="U410" i="1"/>
  <c r="V410" i="1"/>
  <c r="W410" i="1"/>
  <c r="X410" i="1"/>
  <c r="Y410" i="1"/>
  <c r="Z410" i="1"/>
  <c r="AA410" i="1"/>
  <c r="AB410" i="1"/>
  <c r="AC410" i="1"/>
  <c r="AD410" i="1"/>
  <c r="AE410" i="1"/>
  <c r="AF410" i="1"/>
  <c r="AG410" i="1"/>
  <c r="AH410" i="1"/>
  <c r="AI410" i="1"/>
  <c r="AJ410" i="1"/>
  <c r="AQ410" i="1"/>
  <c r="AR410" i="1"/>
  <c r="AS410" i="1"/>
  <c r="L411" i="1"/>
  <c r="M411" i="1"/>
  <c r="N411" i="1"/>
  <c r="O411" i="1"/>
  <c r="P411" i="1"/>
  <c r="Q411" i="1"/>
  <c r="R411" i="1"/>
  <c r="S411" i="1"/>
  <c r="T411" i="1"/>
  <c r="U411" i="1"/>
  <c r="V411" i="1"/>
  <c r="W411" i="1"/>
  <c r="X411" i="1"/>
  <c r="Y411" i="1"/>
  <c r="Z411" i="1"/>
  <c r="AA411" i="1"/>
  <c r="AB411" i="1"/>
  <c r="AC411" i="1"/>
  <c r="AD411" i="1"/>
  <c r="AE411" i="1"/>
  <c r="AF411" i="1"/>
  <c r="AG411" i="1"/>
  <c r="AH411" i="1"/>
  <c r="AI411" i="1"/>
  <c r="AJ411" i="1"/>
  <c r="AQ411" i="1"/>
  <c r="AR411" i="1"/>
  <c r="AS411" i="1"/>
  <c r="L412" i="1"/>
  <c r="M412" i="1"/>
  <c r="N412" i="1"/>
  <c r="O412" i="1"/>
  <c r="P412" i="1"/>
  <c r="Q412" i="1"/>
  <c r="R412" i="1"/>
  <c r="S412" i="1"/>
  <c r="T412" i="1"/>
  <c r="U412" i="1"/>
  <c r="V412" i="1"/>
  <c r="W412" i="1"/>
  <c r="X412" i="1"/>
  <c r="Y412" i="1"/>
  <c r="Z412" i="1"/>
  <c r="AA412" i="1"/>
  <c r="AB412" i="1"/>
  <c r="AC412" i="1"/>
  <c r="AD412" i="1"/>
  <c r="AE412" i="1"/>
  <c r="AF412" i="1"/>
  <c r="AG412" i="1"/>
  <c r="AH412" i="1"/>
  <c r="AI412" i="1"/>
  <c r="AJ412" i="1"/>
  <c r="AQ412" i="1"/>
  <c r="AR412" i="1"/>
  <c r="AS412" i="1"/>
  <c r="L413" i="1"/>
  <c r="M413" i="1"/>
  <c r="N413" i="1"/>
  <c r="O413" i="1"/>
  <c r="P413" i="1"/>
  <c r="Q413" i="1"/>
  <c r="R413" i="1"/>
  <c r="S413" i="1"/>
  <c r="T413" i="1"/>
  <c r="U413" i="1"/>
  <c r="V413" i="1"/>
  <c r="W413" i="1"/>
  <c r="X413" i="1"/>
  <c r="Y413" i="1"/>
  <c r="Z413" i="1"/>
  <c r="AA413" i="1"/>
  <c r="AB413" i="1"/>
  <c r="AC413" i="1"/>
  <c r="AD413" i="1"/>
  <c r="AE413" i="1"/>
  <c r="AF413" i="1"/>
  <c r="AG413" i="1"/>
  <c r="AH413" i="1"/>
  <c r="AI413" i="1"/>
  <c r="AJ413" i="1"/>
  <c r="AQ413" i="1"/>
  <c r="AR413" i="1"/>
  <c r="AS413" i="1"/>
  <c r="L414" i="1"/>
  <c r="M414" i="1"/>
  <c r="N414" i="1"/>
  <c r="O414" i="1"/>
  <c r="P414" i="1"/>
  <c r="Q414" i="1"/>
  <c r="R414" i="1"/>
  <c r="S414" i="1"/>
  <c r="T414" i="1"/>
  <c r="U414" i="1"/>
  <c r="V414" i="1"/>
  <c r="W414" i="1"/>
  <c r="X414" i="1"/>
  <c r="Y414" i="1"/>
  <c r="Z414" i="1"/>
  <c r="AA414" i="1"/>
  <c r="AB414" i="1"/>
  <c r="AC414" i="1"/>
  <c r="AD414" i="1"/>
  <c r="AE414" i="1"/>
  <c r="AF414" i="1"/>
  <c r="AG414" i="1"/>
  <c r="AH414" i="1"/>
  <c r="AI414" i="1"/>
  <c r="AJ414" i="1"/>
  <c r="AQ414" i="1"/>
  <c r="AR414" i="1"/>
  <c r="AS414" i="1"/>
  <c r="L415" i="1"/>
  <c r="M415" i="1"/>
  <c r="N415" i="1"/>
  <c r="O415" i="1"/>
  <c r="P415" i="1"/>
  <c r="Q415" i="1"/>
  <c r="R415" i="1"/>
  <c r="S415" i="1"/>
  <c r="T415" i="1"/>
  <c r="U415" i="1"/>
  <c r="V415" i="1"/>
  <c r="W415" i="1"/>
  <c r="X415" i="1"/>
  <c r="Y415" i="1"/>
  <c r="Z415" i="1"/>
  <c r="AA415" i="1"/>
  <c r="AB415" i="1"/>
  <c r="AC415" i="1"/>
  <c r="AD415" i="1"/>
  <c r="AE415" i="1"/>
  <c r="AF415" i="1"/>
  <c r="AG415" i="1"/>
  <c r="AH415" i="1"/>
  <c r="AI415" i="1"/>
  <c r="AJ415" i="1"/>
  <c r="AQ415" i="1"/>
  <c r="AR415" i="1"/>
  <c r="AS415" i="1"/>
  <c r="L416" i="1"/>
  <c r="M416" i="1"/>
  <c r="N416" i="1"/>
  <c r="O416" i="1"/>
  <c r="P416" i="1"/>
  <c r="Q416" i="1"/>
  <c r="R416" i="1"/>
  <c r="S416" i="1"/>
  <c r="T416" i="1"/>
  <c r="U416" i="1"/>
  <c r="V416" i="1"/>
  <c r="W416" i="1"/>
  <c r="X416" i="1"/>
  <c r="Y416" i="1"/>
  <c r="Z416" i="1"/>
  <c r="AA416" i="1"/>
  <c r="AB416" i="1"/>
  <c r="AC416" i="1"/>
  <c r="AD416" i="1"/>
  <c r="AE416" i="1"/>
  <c r="AF416" i="1"/>
  <c r="AG416" i="1"/>
  <c r="AH416" i="1"/>
  <c r="AI416" i="1"/>
  <c r="AJ416" i="1"/>
  <c r="AQ416" i="1"/>
  <c r="AR416" i="1"/>
  <c r="AS416" i="1"/>
  <c r="L417" i="1"/>
  <c r="M417" i="1"/>
  <c r="N417" i="1"/>
  <c r="O417" i="1"/>
  <c r="P417" i="1"/>
  <c r="Q417" i="1"/>
  <c r="R417" i="1"/>
  <c r="S417" i="1"/>
  <c r="T417" i="1"/>
  <c r="U417" i="1"/>
  <c r="V417" i="1"/>
  <c r="W417" i="1"/>
  <c r="X417" i="1"/>
  <c r="Y417" i="1"/>
  <c r="Z417" i="1"/>
  <c r="AA417" i="1"/>
  <c r="AB417" i="1"/>
  <c r="AC417" i="1"/>
  <c r="AD417" i="1"/>
  <c r="AE417" i="1"/>
  <c r="AF417" i="1"/>
  <c r="AG417" i="1"/>
  <c r="AH417" i="1"/>
  <c r="AI417" i="1"/>
  <c r="AJ417" i="1"/>
  <c r="AQ417" i="1"/>
  <c r="AR417" i="1"/>
  <c r="AS417" i="1"/>
  <c r="L418" i="1"/>
  <c r="M418" i="1"/>
  <c r="N418" i="1"/>
  <c r="O418" i="1"/>
  <c r="P418" i="1"/>
  <c r="Q418" i="1"/>
  <c r="R418" i="1"/>
  <c r="S418" i="1"/>
  <c r="T418" i="1"/>
  <c r="U418" i="1"/>
  <c r="V418" i="1"/>
  <c r="W418" i="1"/>
  <c r="X418" i="1"/>
  <c r="Y418" i="1"/>
  <c r="Z418" i="1"/>
  <c r="AA418" i="1"/>
  <c r="AB418" i="1"/>
  <c r="AC418" i="1"/>
  <c r="AD418" i="1"/>
  <c r="AE418" i="1"/>
  <c r="AF418" i="1"/>
  <c r="AG418" i="1"/>
  <c r="AH418" i="1"/>
  <c r="AI418" i="1"/>
  <c r="AJ418" i="1"/>
  <c r="AQ418" i="1"/>
  <c r="AR418" i="1"/>
  <c r="AS418" i="1"/>
  <c r="L419" i="1"/>
  <c r="M419" i="1"/>
  <c r="N419" i="1"/>
  <c r="O419" i="1"/>
  <c r="P419" i="1"/>
  <c r="Q419" i="1"/>
  <c r="R419" i="1"/>
  <c r="S419" i="1"/>
  <c r="T419" i="1"/>
  <c r="U419" i="1"/>
  <c r="V419" i="1"/>
  <c r="W419" i="1"/>
  <c r="X419" i="1"/>
  <c r="Y419" i="1"/>
  <c r="Z419" i="1"/>
  <c r="AA419" i="1"/>
  <c r="AB419" i="1"/>
  <c r="AC419" i="1"/>
  <c r="AD419" i="1"/>
  <c r="AE419" i="1"/>
  <c r="AF419" i="1"/>
  <c r="AG419" i="1"/>
  <c r="AH419" i="1"/>
  <c r="AI419" i="1"/>
  <c r="AJ419" i="1"/>
  <c r="AQ419" i="1"/>
  <c r="AR419" i="1"/>
  <c r="AS419" i="1"/>
  <c r="L420" i="1"/>
  <c r="M420" i="1"/>
  <c r="N420" i="1"/>
  <c r="O420" i="1"/>
  <c r="P420" i="1"/>
  <c r="Q420" i="1"/>
  <c r="R420" i="1"/>
  <c r="S420" i="1"/>
  <c r="T420" i="1"/>
  <c r="U420" i="1"/>
  <c r="V420" i="1"/>
  <c r="W420" i="1"/>
  <c r="X420" i="1"/>
  <c r="Y420" i="1"/>
  <c r="Z420" i="1"/>
  <c r="AA420" i="1"/>
  <c r="AB420" i="1"/>
  <c r="AC420" i="1"/>
  <c r="AD420" i="1"/>
  <c r="AE420" i="1"/>
  <c r="AF420" i="1"/>
  <c r="AG420" i="1"/>
  <c r="AH420" i="1"/>
  <c r="AI420" i="1"/>
  <c r="AJ420" i="1"/>
  <c r="AQ420" i="1"/>
  <c r="AR420" i="1"/>
  <c r="AS420" i="1"/>
  <c r="L421" i="1"/>
  <c r="M421" i="1"/>
  <c r="N421" i="1"/>
  <c r="O421" i="1"/>
  <c r="P421" i="1"/>
  <c r="Q421" i="1"/>
  <c r="R421" i="1"/>
  <c r="S421" i="1"/>
  <c r="T421" i="1"/>
  <c r="U421" i="1"/>
  <c r="V421" i="1"/>
  <c r="W421" i="1"/>
  <c r="X421" i="1"/>
  <c r="Y421" i="1"/>
  <c r="Z421" i="1"/>
  <c r="AA421" i="1"/>
  <c r="AB421" i="1"/>
  <c r="AC421" i="1"/>
  <c r="AD421" i="1"/>
  <c r="AE421" i="1"/>
  <c r="AF421" i="1"/>
  <c r="AG421" i="1"/>
  <c r="AH421" i="1"/>
  <c r="AI421" i="1"/>
  <c r="AJ421" i="1"/>
  <c r="AQ421" i="1"/>
  <c r="AR421" i="1"/>
  <c r="AS421" i="1"/>
  <c r="L422" i="1"/>
  <c r="M422" i="1"/>
  <c r="N422" i="1"/>
  <c r="O422" i="1"/>
  <c r="P422" i="1"/>
  <c r="Q422" i="1"/>
  <c r="R422" i="1"/>
  <c r="S422" i="1"/>
  <c r="T422" i="1"/>
  <c r="U422" i="1"/>
  <c r="V422" i="1"/>
  <c r="W422" i="1"/>
  <c r="X422" i="1"/>
  <c r="Y422" i="1"/>
  <c r="Z422" i="1"/>
  <c r="AA422" i="1"/>
  <c r="AB422" i="1"/>
  <c r="AC422" i="1"/>
  <c r="AD422" i="1"/>
  <c r="AE422" i="1"/>
  <c r="AF422" i="1"/>
  <c r="AG422" i="1"/>
  <c r="AH422" i="1"/>
  <c r="AI422" i="1"/>
  <c r="AJ422" i="1"/>
  <c r="AQ422" i="1"/>
  <c r="AR422" i="1"/>
  <c r="AS422" i="1"/>
  <c r="L423" i="1"/>
  <c r="M423" i="1"/>
  <c r="N423" i="1"/>
  <c r="O423" i="1"/>
  <c r="P423" i="1"/>
  <c r="Q423" i="1"/>
  <c r="R423" i="1"/>
  <c r="S423" i="1"/>
  <c r="T423" i="1"/>
  <c r="U423" i="1"/>
  <c r="V423" i="1"/>
  <c r="W423" i="1"/>
  <c r="X423" i="1"/>
  <c r="Y423" i="1"/>
  <c r="Z423" i="1"/>
  <c r="AA423" i="1"/>
  <c r="AB423" i="1"/>
  <c r="AC423" i="1"/>
  <c r="AD423" i="1"/>
  <c r="AE423" i="1"/>
  <c r="AF423" i="1"/>
  <c r="AG423" i="1"/>
  <c r="AH423" i="1"/>
  <c r="AI423" i="1"/>
  <c r="AJ423" i="1"/>
  <c r="AQ423" i="1"/>
  <c r="AR423" i="1"/>
  <c r="AS423" i="1"/>
  <c r="L424" i="1"/>
  <c r="M424" i="1"/>
  <c r="N424" i="1"/>
  <c r="O424" i="1"/>
  <c r="P424" i="1"/>
  <c r="Q424" i="1"/>
  <c r="R424" i="1"/>
  <c r="S424" i="1"/>
  <c r="T424" i="1"/>
  <c r="U424" i="1"/>
  <c r="V424" i="1"/>
  <c r="W424" i="1"/>
  <c r="X424" i="1"/>
  <c r="Y424" i="1"/>
  <c r="Z424" i="1"/>
  <c r="AA424" i="1"/>
  <c r="AB424" i="1"/>
  <c r="AC424" i="1"/>
  <c r="AD424" i="1"/>
  <c r="AE424" i="1"/>
  <c r="AF424" i="1"/>
  <c r="AG424" i="1"/>
  <c r="AH424" i="1"/>
  <c r="AI424" i="1"/>
  <c r="AJ424" i="1"/>
  <c r="AQ424" i="1"/>
  <c r="AR424" i="1"/>
  <c r="AS424" i="1"/>
  <c r="L425" i="1"/>
  <c r="M425" i="1"/>
  <c r="N425" i="1"/>
  <c r="O425" i="1"/>
  <c r="P425" i="1"/>
  <c r="Q425" i="1"/>
  <c r="R425" i="1"/>
  <c r="S425" i="1"/>
  <c r="T425" i="1"/>
  <c r="U425" i="1"/>
  <c r="V425" i="1"/>
  <c r="W425" i="1"/>
  <c r="X425" i="1"/>
  <c r="Y425" i="1"/>
  <c r="Z425" i="1"/>
  <c r="AA425" i="1"/>
  <c r="AB425" i="1"/>
  <c r="AC425" i="1"/>
  <c r="AD425" i="1"/>
  <c r="AE425" i="1"/>
  <c r="AF425" i="1"/>
  <c r="AG425" i="1"/>
  <c r="AH425" i="1"/>
  <c r="AI425" i="1"/>
  <c r="AJ425" i="1"/>
  <c r="AQ425" i="1"/>
  <c r="AR425" i="1"/>
  <c r="AS425" i="1"/>
  <c r="L426" i="1"/>
  <c r="M426" i="1"/>
  <c r="N426" i="1"/>
  <c r="O426" i="1"/>
  <c r="P426" i="1"/>
  <c r="Q426" i="1"/>
  <c r="R426" i="1"/>
  <c r="S426" i="1"/>
  <c r="T426" i="1"/>
  <c r="U426" i="1"/>
  <c r="V426" i="1"/>
  <c r="W426" i="1"/>
  <c r="X426" i="1"/>
  <c r="Y426" i="1"/>
  <c r="Z426" i="1"/>
  <c r="AA426" i="1"/>
  <c r="AB426" i="1"/>
  <c r="AC426" i="1"/>
  <c r="AD426" i="1"/>
  <c r="AE426" i="1"/>
  <c r="AF426" i="1"/>
  <c r="AG426" i="1"/>
  <c r="AH426" i="1"/>
  <c r="AI426" i="1"/>
  <c r="AJ426" i="1"/>
  <c r="AQ426" i="1"/>
  <c r="AR426" i="1"/>
  <c r="AS426" i="1"/>
  <c r="L427" i="1"/>
  <c r="M427" i="1"/>
  <c r="N427" i="1"/>
  <c r="O427" i="1"/>
  <c r="P427" i="1"/>
  <c r="Q427" i="1"/>
  <c r="R427" i="1"/>
  <c r="S427" i="1"/>
  <c r="T427" i="1"/>
  <c r="U427" i="1"/>
  <c r="V427" i="1"/>
  <c r="W427" i="1"/>
  <c r="X427" i="1"/>
  <c r="Y427" i="1"/>
  <c r="Z427" i="1"/>
  <c r="AA427" i="1"/>
  <c r="AB427" i="1"/>
  <c r="AC427" i="1"/>
  <c r="AD427" i="1"/>
  <c r="AE427" i="1"/>
  <c r="AF427" i="1"/>
  <c r="AG427" i="1"/>
  <c r="AH427" i="1"/>
  <c r="AI427" i="1"/>
  <c r="AJ427" i="1"/>
  <c r="AQ427" i="1"/>
  <c r="AR427" i="1"/>
  <c r="AS427" i="1"/>
  <c r="L428" i="1"/>
  <c r="M428" i="1"/>
  <c r="N428" i="1"/>
  <c r="O428" i="1"/>
  <c r="P428" i="1"/>
  <c r="Q428" i="1"/>
  <c r="R428" i="1"/>
  <c r="S428" i="1"/>
  <c r="T428" i="1"/>
  <c r="U428" i="1"/>
  <c r="V428" i="1"/>
  <c r="W428" i="1"/>
  <c r="X428" i="1"/>
  <c r="Y428" i="1"/>
  <c r="Z428" i="1"/>
  <c r="AA428" i="1"/>
  <c r="AB428" i="1"/>
  <c r="AC428" i="1"/>
  <c r="AD428" i="1"/>
  <c r="AE428" i="1"/>
  <c r="AF428" i="1"/>
  <c r="AG428" i="1"/>
  <c r="AH428" i="1"/>
  <c r="AI428" i="1"/>
  <c r="AJ428" i="1"/>
  <c r="AQ428" i="1"/>
  <c r="AR428" i="1"/>
  <c r="AS428" i="1"/>
  <c r="L429" i="1"/>
  <c r="M429" i="1"/>
  <c r="N429" i="1"/>
  <c r="O429" i="1"/>
  <c r="P429" i="1"/>
  <c r="Q429" i="1"/>
  <c r="R429" i="1"/>
  <c r="S429" i="1"/>
  <c r="T429" i="1"/>
  <c r="U429" i="1"/>
  <c r="V429" i="1"/>
  <c r="W429" i="1"/>
  <c r="X429" i="1"/>
  <c r="Y429" i="1"/>
  <c r="Z429" i="1"/>
  <c r="AA429" i="1"/>
  <c r="AB429" i="1"/>
  <c r="AC429" i="1"/>
  <c r="AD429" i="1"/>
  <c r="AE429" i="1"/>
  <c r="AF429" i="1"/>
  <c r="AG429" i="1"/>
  <c r="AH429" i="1"/>
  <c r="AI429" i="1"/>
  <c r="AJ429" i="1"/>
  <c r="AQ429" i="1"/>
  <c r="AR429" i="1"/>
  <c r="AS429" i="1"/>
  <c r="L430" i="1"/>
  <c r="M430" i="1"/>
  <c r="N430" i="1"/>
  <c r="O430" i="1"/>
  <c r="P430" i="1"/>
  <c r="Q430" i="1"/>
  <c r="R430" i="1"/>
  <c r="S430" i="1"/>
  <c r="T430" i="1"/>
  <c r="U430" i="1"/>
  <c r="V430" i="1"/>
  <c r="W430" i="1"/>
  <c r="X430" i="1"/>
  <c r="Y430" i="1"/>
  <c r="Z430" i="1"/>
  <c r="AA430" i="1"/>
  <c r="AB430" i="1"/>
  <c r="AC430" i="1"/>
  <c r="AD430" i="1"/>
  <c r="AE430" i="1"/>
  <c r="AF430" i="1"/>
  <c r="AG430" i="1"/>
  <c r="AH430" i="1"/>
  <c r="AI430" i="1"/>
  <c r="AJ430" i="1"/>
  <c r="AQ430" i="1"/>
  <c r="AR430" i="1"/>
  <c r="AS430" i="1"/>
  <c r="L431" i="1"/>
  <c r="M431" i="1"/>
  <c r="N431" i="1"/>
  <c r="O431" i="1"/>
  <c r="P431" i="1"/>
  <c r="Q431" i="1"/>
  <c r="R431" i="1"/>
  <c r="S431" i="1"/>
  <c r="T431" i="1"/>
  <c r="U431" i="1"/>
  <c r="V431" i="1"/>
  <c r="W431" i="1"/>
  <c r="X431" i="1"/>
  <c r="Y431" i="1"/>
  <c r="Z431" i="1"/>
  <c r="AA431" i="1"/>
  <c r="AB431" i="1"/>
  <c r="AC431" i="1"/>
  <c r="AD431" i="1"/>
  <c r="AE431" i="1"/>
  <c r="AF431" i="1"/>
  <c r="AG431" i="1"/>
  <c r="AH431" i="1"/>
  <c r="AI431" i="1"/>
  <c r="AJ431" i="1"/>
  <c r="AQ431" i="1"/>
  <c r="AR431" i="1"/>
  <c r="AS431" i="1"/>
  <c r="L432" i="1"/>
  <c r="M432" i="1"/>
  <c r="N432" i="1"/>
  <c r="O432" i="1"/>
  <c r="P432" i="1"/>
  <c r="Q432" i="1"/>
  <c r="R432" i="1"/>
  <c r="S432" i="1"/>
  <c r="T432" i="1"/>
  <c r="U432" i="1"/>
  <c r="V432" i="1"/>
  <c r="W432" i="1"/>
  <c r="X432" i="1"/>
  <c r="Y432" i="1"/>
  <c r="Z432" i="1"/>
  <c r="AA432" i="1"/>
  <c r="AB432" i="1"/>
  <c r="AC432" i="1"/>
  <c r="AD432" i="1"/>
  <c r="AE432" i="1"/>
  <c r="AF432" i="1"/>
  <c r="AG432" i="1"/>
  <c r="AH432" i="1"/>
  <c r="AI432" i="1"/>
  <c r="AJ432" i="1"/>
  <c r="AQ432" i="1"/>
  <c r="AR432" i="1"/>
  <c r="AS432" i="1"/>
  <c r="L433" i="1"/>
  <c r="M433" i="1"/>
  <c r="N433" i="1"/>
  <c r="O433" i="1"/>
  <c r="P433" i="1"/>
  <c r="Q433" i="1"/>
  <c r="R433" i="1"/>
  <c r="S433" i="1"/>
  <c r="T433" i="1"/>
  <c r="U433" i="1"/>
  <c r="V433" i="1"/>
  <c r="W433" i="1"/>
  <c r="X433" i="1"/>
  <c r="Y433" i="1"/>
  <c r="Z433" i="1"/>
  <c r="AA433" i="1"/>
  <c r="AB433" i="1"/>
  <c r="AC433" i="1"/>
  <c r="AD433" i="1"/>
  <c r="AE433" i="1"/>
  <c r="AF433" i="1"/>
  <c r="AG433" i="1"/>
  <c r="AH433" i="1"/>
  <c r="AI433" i="1"/>
  <c r="AJ433" i="1"/>
  <c r="AQ433" i="1"/>
  <c r="AR433" i="1"/>
  <c r="AS433" i="1"/>
  <c r="L434" i="1"/>
  <c r="M434" i="1"/>
  <c r="N434" i="1"/>
  <c r="O434" i="1"/>
  <c r="P434" i="1"/>
  <c r="Q434" i="1"/>
  <c r="R434" i="1"/>
  <c r="S434" i="1"/>
  <c r="T434" i="1"/>
  <c r="U434" i="1"/>
  <c r="V434" i="1"/>
  <c r="W434" i="1"/>
  <c r="X434" i="1"/>
  <c r="Y434" i="1"/>
  <c r="Z434" i="1"/>
  <c r="AA434" i="1"/>
  <c r="AB434" i="1"/>
  <c r="AC434" i="1"/>
  <c r="AD434" i="1"/>
  <c r="AE434" i="1"/>
  <c r="AF434" i="1"/>
  <c r="AG434" i="1"/>
  <c r="AH434" i="1"/>
  <c r="AI434" i="1"/>
  <c r="AJ434" i="1"/>
  <c r="AQ434" i="1"/>
  <c r="AR434" i="1"/>
  <c r="AS434" i="1"/>
  <c r="L435" i="1"/>
  <c r="M435" i="1"/>
  <c r="N435" i="1"/>
  <c r="O435" i="1"/>
  <c r="P435" i="1"/>
  <c r="Q435" i="1"/>
  <c r="R435" i="1"/>
  <c r="S435" i="1"/>
  <c r="T435" i="1"/>
  <c r="U435" i="1"/>
  <c r="V435" i="1"/>
  <c r="W435" i="1"/>
  <c r="X435" i="1"/>
  <c r="Y435" i="1"/>
  <c r="Z435" i="1"/>
  <c r="AA435" i="1"/>
  <c r="AB435" i="1"/>
  <c r="AC435" i="1"/>
  <c r="AD435" i="1"/>
  <c r="AE435" i="1"/>
  <c r="AF435" i="1"/>
  <c r="AG435" i="1"/>
  <c r="AH435" i="1"/>
  <c r="AI435" i="1"/>
  <c r="AJ435" i="1"/>
  <c r="AQ435" i="1"/>
  <c r="AR435" i="1"/>
  <c r="AS435" i="1"/>
  <c r="L436" i="1"/>
  <c r="M436" i="1"/>
  <c r="N436" i="1"/>
  <c r="O436" i="1"/>
  <c r="P436" i="1"/>
  <c r="Q436" i="1"/>
  <c r="R436" i="1"/>
  <c r="S436" i="1"/>
  <c r="T436" i="1"/>
  <c r="U436" i="1"/>
  <c r="V436" i="1"/>
  <c r="W436" i="1"/>
  <c r="X436" i="1"/>
  <c r="Y436" i="1"/>
  <c r="Z436" i="1"/>
  <c r="AA436" i="1"/>
  <c r="AB436" i="1"/>
  <c r="AC436" i="1"/>
  <c r="AD436" i="1"/>
  <c r="AE436" i="1"/>
  <c r="AF436" i="1"/>
  <c r="AG436" i="1"/>
  <c r="AH436" i="1"/>
  <c r="AI436" i="1"/>
  <c r="AJ436" i="1"/>
  <c r="AQ436" i="1"/>
  <c r="AR436" i="1"/>
  <c r="AS436" i="1"/>
  <c r="L437" i="1"/>
  <c r="M437" i="1"/>
  <c r="N437" i="1"/>
  <c r="O437" i="1"/>
  <c r="P437" i="1"/>
  <c r="Q437" i="1"/>
  <c r="R437" i="1"/>
  <c r="S437" i="1"/>
  <c r="T437" i="1"/>
  <c r="U437" i="1"/>
  <c r="V437" i="1"/>
  <c r="W437" i="1"/>
  <c r="X437" i="1"/>
  <c r="Y437" i="1"/>
  <c r="Z437" i="1"/>
  <c r="AA437" i="1"/>
  <c r="AB437" i="1"/>
  <c r="AC437" i="1"/>
  <c r="AD437" i="1"/>
  <c r="AE437" i="1"/>
  <c r="AF437" i="1"/>
  <c r="AG437" i="1"/>
  <c r="AH437" i="1"/>
  <c r="AI437" i="1"/>
  <c r="AJ437" i="1"/>
  <c r="AQ437" i="1"/>
  <c r="AR437" i="1"/>
  <c r="AS437" i="1"/>
  <c r="L438" i="1"/>
  <c r="M438" i="1"/>
  <c r="N438" i="1"/>
  <c r="O438" i="1"/>
  <c r="P438" i="1"/>
  <c r="Q438" i="1"/>
  <c r="R438" i="1"/>
  <c r="S438" i="1"/>
  <c r="T438" i="1"/>
  <c r="U438" i="1"/>
  <c r="V438" i="1"/>
  <c r="W438" i="1"/>
  <c r="X438" i="1"/>
  <c r="Y438" i="1"/>
  <c r="Z438" i="1"/>
  <c r="AA438" i="1"/>
  <c r="AB438" i="1"/>
  <c r="AC438" i="1"/>
  <c r="AD438" i="1"/>
  <c r="AE438" i="1"/>
  <c r="AF438" i="1"/>
  <c r="AG438" i="1"/>
  <c r="AH438" i="1"/>
  <c r="AI438" i="1"/>
  <c r="AJ438" i="1"/>
  <c r="AQ438" i="1"/>
  <c r="AR438" i="1"/>
  <c r="AS438" i="1"/>
  <c r="L439" i="1"/>
  <c r="M439" i="1"/>
  <c r="N439" i="1"/>
  <c r="O439" i="1"/>
  <c r="P439" i="1"/>
  <c r="Q439" i="1"/>
  <c r="R439" i="1"/>
  <c r="S439" i="1"/>
  <c r="T439" i="1"/>
  <c r="U439" i="1"/>
  <c r="V439" i="1"/>
  <c r="W439" i="1"/>
  <c r="X439" i="1"/>
  <c r="Y439" i="1"/>
  <c r="Z439" i="1"/>
  <c r="AA439" i="1"/>
  <c r="AB439" i="1"/>
  <c r="AC439" i="1"/>
  <c r="AD439" i="1"/>
  <c r="AE439" i="1"/>
  <c r="AF439" i="1"/>
  <c r="AG439" i="1"/>
  <c r="AH439" i="1"/>
  <c r="AI439" i="1"/>
  <c r="AJ439" i="1"/>
  <c r="AQ439" i="1"/>
  <c r="AR439" i="1"/>
  <c r="AS439" i="1"/>
  <c r="L440" i="1"/>
  <c r="M440" i="1"/>
  <c r="N440" i="1"/>
  <c r="O440" i="1"/>
  <c r="P440" i="1"/>
  <c r="Q440" i="1"/>
  <c r="R440" i="1"/>
  <c r="S440" i="1"/>
  <c r="T440" i="1"/>
  <c r="U440" i="1"/>
  <c r="V440" i="1"/>
  <c r="W440" i="1"/>
  <c r="X440" i="1"/>
  <c r="Y440" i="1"/>
  <c r="Z440" i="1"/>
  <c r="AA440" i="1"/>
  <c r="AB440" i="1"/>
  <c r="AC440" i="1"/>
  <c r="AD440" i="1"/>
  <c r="AE440" i="1"/>
  <c r="AF440" i="1"/>
  <c r="AG440" i="1"/>
  <c r="AH440" i="1"/>
  <c r="AI440" i="1"/>
  <c r="AJ440" i="1"/>
  <c r="AQ440" i="1"/>
  <c r="AR440" i="1"/>
  <c r="AS440" i="1"/>
  <c r="L441" i="1"/>
  <c r="M441" i="1"/>
  <c r="N441" i="1"/>
  <c r="O441" i="1"/>
  <c r="P441" i="1"/>
  <c r="Q441" i="1"/>
  <c r="R441" i="1"/>
  <c r="S441" i="1"/>
  <c r="T441" i="1"/>
  <c r="U441" i="1"/>
  <c r="V441" i="1"/>
  <c r="W441" i="1"/>
  <c r="X441" i="1"/>
  <c r="Y441" i="1"/>
  <c r="Z441" i="1"/>
  <c r="AA441" i="1"/>
  <c r="AB441" i="1"/>
  <c r="AC441" i="1"/>
  <c r="AD441" i="1"/>
  <c r="AE441" i="1"/>
  <c r="AF441" i="1"/>
  <c r="AG441" i="1"/>
  <c r="AH441" i="1"/>
  <c r="AI441" i="1"/>
  <c r="AJ441" i="1"/>
  <c r="AQ441" i="1"/>
  <c r="AR441" i="1"/>
  <c r="AS441" i="1"/>
  <c r="L442" i="1"/>
  <c r="M442" i="1"/>
  <c r="N442" i="1"/>
  <c r="O442" i="1"/>
  <c r="P442" i="1"/>
  <c r="Q442" i="1"/>
  <c r="R442" i="1"/>
  <c r="S442" i="1"/>
  <c r="T442" i="1"/>
  <c r="U442" i="1"/>
  <c r="V442" i="1"/>
  <c r="W442" i="1"/>
  <c r="X442" i="1"/>
  <c r="Y442" i="1"/>
  <c r="Z442" i="1"/>
  <c r="AA442" i="1"/>
  <c r="AB442" i="1"/>
  <c r="AC442" i="1"/>
  <c r="AD442" i="1"/>
  <c r="AE442" i="1"/>
  <c r="AF442" i="1"/>
  <c r="AG442" i="1"/>
  <c r="AH442" i="1"/>
  <c r="AI442" i="1"/>
  <c r="AJ442" i="1"/>
  <c r="AQ442" i="1"/>
  <c r="AR442" i="1"/>
  <c r="AS442" i="1"/>
  <c r="L443" i="1"/>
  <c r="M443" i="1"/>
  <c r="N443" i="1"/>
  <c r="O443" i="1"/>
  <c r="P443" i="1"/>
  <c r="Q443" i="1"/>
  <c r="R443" i="1"/>
  <c r="S443" i="1"/>
  <c r="T443" i="1"/>
  <c r="U443" i="1"/>
  <c r="V443" i="1"/>
  <c r="W443" i="1"/>
  <c r="X443" i="1"/>
  <c r="Y443" i="1"/>
  <c r="Z443" i="1"/>
  <c r="AA443" i="1"/>
  <c r="AB443" i="1"/>
  <c r="AC443" i="1"/>
  <c r="AD443" i="1"/>
  <c r="AE443" i="1"/>
  <c r="AF443" i="1"/>
  <c r="AG443" i="1"/>
  <c r="AH443" i="1"/>
  <c r="AI443" i="1"/>
  <c r="AJ443" i="1"/>
  <c r="AQ443" i="1"/>
  <c r="AR443" i="1"/>
  <c r="AS443" i="1"/>
  <c r="L444" i="1"/>
  <c r="M444" i="1"/>
  <c r="N444" i="1"/>
  <c r="O444" i="1"/>
  <c r="P444" i="1"/>
  <c r="Q444" i="1"/>
  <c r="R444" i="1"/>
  <c r="S444" i="1"/>
  <c r="T444" i="1"/>
  <c r="U444" i="1"/>
  <c r="V444" i="1"/>
  <c r="W444" i="1"/>
  <c r="X444" i="1"/>
  <c r="Y444" i="1"/>
  <c r="Z444" i="1"/>
  <c r="AA444" i="1"/>
  <c r="AB444" i="1"/>
  <c r="AC444" i="1"/>
  <c r="AD444" i="1"/>
  <c r="AE444" i="1"/>
  <c r="AF444" i="1"/>
  <c r="AG444" i="1"/>
  <c r="AH444" i="1"/>
  <c r="AI444" i="1"/>
  <c r="AJ444" i="1"/>
  <c r="AQ444" i="1"/>
  <c r="AR444" i="1"/>
  <c r="AS444" i="1"/>
  <c r="L445" i="1"/>
  <c r="M445" i="1"/>
  <c r="N445" i="1"/>
  <c r="O445" i="1"/>
  <c r="P445" i="1"/>
  <c r="Q445" i="1"/>
  <c r="R445" i="1"/>
  <c r="S445" i="1"/>
  <c r="T445" i="1"/>
  <c r="U445" i="1"/>
  <c r="V445" i="1"/>
  <c r="W445" i="1"/>
  <c r="X445" i="1"/>
  <c r="Y445" i="1"/>
  <c r="Z445" i="1"/>
  <c r="AA445" i="1"/>
  <c r="AB445" i="1"/>
  <c r="AC445" i="1"/>
  <c r="AD445" i="1"/>
  <c r="AE445" i="1"/>
  <c r="AF445" i="1"/>
  <c r="AG445" i="1"/>
  <c r="AH445" i="1"/>
  <c r="AI445" i="1"/>
  <c r="AJ445" i="1"/>
  <c r="AQ445" i="1"/>
  <c r="AR445" i="1"/>
  <c r="AS445" i="1"/>
  <c r="L446" i="1"/>
  <c r="M446" i="1"/>
  <c r="N446" i="1"/>
  <c r="O446" i="1"/>
  <c r="P446" i="1"/>
  <c r="Q446" i="1"/>
  <c r="R446" i="1"/>
  <c r="S446" i="1"/>
  <c r="T446" i="1"/>
  <c r="U446" i="1"/>
  <c r="V446" i="1"/>
  <c r="W446" i="1"/>
  <c r="X446" i="1"/>
  <c r="Y446" i="1"/>
  <c r="Z446" i="1"/>
  <c r="AA446" i="1"/>
  <c r="AB446" i="1"/>
  <c r="AC446" i="1"/>
  <c r="AD446" i="1"/>
  <c r="AE446" i="1"/>
  <c r="AF446" i="1"/>
  <c r="AG446" i="1"/>
  <c r="AH446" i="1"/>
  <c r="AI446" i="1"/>
  <c r="AJ446" i="1"/>
  <c r="AQ446" i="1"/>
  <c r="AR446" i="1"/>
  <c r="AS446" i="1"/>
  <c r="L447" i="1"/>
  <c r="M447" i="1"/>
  <c r="N447" i="1"/>
  <c r="O447" i="1"/>
  <c r="P447" i="1"/>
  <c r="Q447" i="1"/>
  <c r="R447" i="1"/>
  <c r="S447" i="1"/>
  <c r="T447" i="1"/>
  <c r="U447" i="1"/>
  <c r="V447" i="1"/>
  <c r="W447" i="1"/>
  <c r="X447" i="1"/>
  <c r="Y447" i="1"/>
  <c r="Z447" i="1"/>
  <c r="AA447" i="1"/>
  <c r="AB447" i="1"/>
  <c r="AC447" i="1"/>
  <c r="AD447" i="1"/>
  <c r="AE447" i="1"/>
  <c r="AF447" i="1"/>
  <c r="AG447" i="1"/>
  <c r="AH447" i="1"/>
  <c r="AI447" i="1"/>
  <c r="AJ447" i="1"/>
  <c r="AQ447" i="1"/>
  <c r="AR447" i="1"/>
  <c r="AS447" i="1"/>
  <c r="L448" i="1"/>
  <c r="M448" i="1"/>
  <c r="N448" i="1"/>
  <c r="O448" i="1"/>
  <c r="P448" i="1"/>
  <c r="Q448" i="1"/>
  <c r="R448" i="1"/>
  <c r="S448" i="1"/>
  <c r="T448" i="1"/>
  <c r="U448" i="1"/>
  <c r="V448" i="1"/>
  <c r="W448" i="1"/>
  <c r="X448" i="1"/>
  <c r="Y448" i="1"/>
  <c r="Z448" i="1"/>
  <c r="AA448" i="1"/>
  <c r="AB448" i="1"/>
  <c r="AC448" i="1"/>
  <c r="AD448" i="1"/>
  <c r="AE448" i="1"/>
  <c r="AF448" i="1"/>
  <c r="AG448" i="1"/>
  <c r="AH448" i="1"/>
  <c r="AI448" i="1"/>
  <c r="AJ448" i="1"/>
  <c r="AQ448" i="1"/>
  <c r="AR448" i="1"/>
  <c r="AS448" i="1"/>
  <c r="L449" i="1"/>
  <c r="M449" i="1"/>
  <c r="N449" i="1"/>
  <c r="O449" i="1"/>
  <c r="P449" i="1"/>
  <c r="Q449" i="1"/>
  <c r="R449" i="1"/>
  <c r="S449" i="1"/>
  <c r="T449" i="1"/>
  <c r="U449" i="1"/>
  <c r="V449" i="1"/>
  <c r="W449" i="1"/>
  <c r="X449" i="1"/>
  <c r="Y449" i="1"/>
  <c r="Z449" i="1"/>
  <c r="AA449" i="1"/>
  <c r="AB449" i="1"/>
  <c r="AC449" i="1"/>
  <c r="AD449" i="1"/>
  <c r="AE449" i="1"/>
  <c r="AF449" i="1"/>
  <c r="AG449" i="1"/>
  <c r="AH449" i="1"/>
  <c r="AI449" i="1"/>
  <c r="AJ449" i="1"/>
  <c r="AQ449" i="1"/>
  <c r="AR449" i="1"/>
  <c r="AS449" i="1"/>
  <c r="L450" i="1"/>
  <c r="M450" i="1"/>
  <c r="N450" i="1"/>
  <c r="O450" i="1"/>
  <c r="P450" i="1"/>
  <c r="Q450" i="1"/>
  <c r="R450" i="1"/>
  <c r="S450" i="1"/>
  <c r="T450" i="1"/>
  <c r="U450" i="1"/>
  <c r="V450" i="1"/>
  <c r="W450" i="1"/>
  <c r="X450" i="1"/>
  <c r="Y450" i="1"/>
  <c r="Z450" i="1"/>
  <c r="AA450" i="1"/>
  <c r="AB450" i="1"/>
  <c r="AC450" i="1"/>
  <c r="AD450" i="1"/>
  <c r="AE450" i="1"/>
  <c r="AF450" i="1"/>
  <c r="AG450" i="1"/>
  <c r="AH450" i="1"/>
  <c r="AI450" i="1"/>
  <c r="AJ450" i="1"/>
  <c r="AQ450" i="1"/>
  <c r="AR450" i="1"/>
  <c r="AS450" i="1"/>
  <c r="L451" i="1"/>
  <c r="M451" i="1"/>
  <c r="N451" i="1"/>
  <c r="O451" i="1"/>
  <c r="P451" i="1"/>
  <c r="Q451" i="1"/>
  <c r="R451" i="1"/>
  <c r="S451" i="1"/>
  <c r="T451" i="1"/>
  <c r="U451" i="1"/>
  <c r="V451" i="1"/>
  <c r="W451" i="1"/>
  <c r="X451" i="1"/>
  <c r="Y451" i="1"/>
  <c r="Z451" i="1"/>
  <c r="AA451" i="1"/>
  <c r="AB451" i="1"/>
  <c r="AC451" i="1"/>
  <c r="AD451" i="1"/>
  <c r="AE451" i="1"/>
  <c r="AF451" i="1"/>
  <c r="AG451" i="1"/>
  <c r="AH451" i="1"/>
  <c r="AI451" i="1"/>
  <c r="AJ451" i="1"/>
  <c r="AQ451" i="1"/>
  <c r="AR451" i="1"/>
  <c r="AS451" i="1"/>
  <c r="L452" i="1"/>
  <c r="M452" i="1"/>
  <c r="N452" i="1"/>
  <c r="O452" i="1"/>
  <c r="P452" i="1"/>
  <c r="Q452" i="1"/>
  <c r="R452" i="1"/>
  <c r="S452" i="1"/>
  <c r="T452" i="1"/>
  <c r="U452" i="1"/>
  <c r="V452" i="1"/>
  <c r="W452" i="1"/>
  <c r="X452" i="1"/>
  <c r="Y452" i="1"/>
  <c r="Z452" i="1"/>
  <c r="AA452" i="1"/>
  <c r="AB452" i="1"/>
  <c r="AC452" i="1"/>
  <c r="AD452" i="1"/>
  <c r="AE452" i="1"/>
  <c r="AF452" i="1"/>
  <c r="AG452" i="1"/>
  <c r="AH452" i="1"/>
  <c r="AI452" i="1"/>
  <c r="AJ452" i="1"/>
  <c r="AQ452" i="1"/>
  <c r="AR452" i="1"/>
  <c r="AS452" i="1"/>
  <c r="L453" i="1"/>
  <c r="M453" i="1"/>
  <c r="N453" i="1"/>
  <c r="O453" i="1"/>
  <c r="P453" i="1"/>
  <c r="Q453" i="1"/>
  <c r="R453" i="1"/>
  <c r="S453" i="1"/>
  <c r="T453" i="1"/>
  <c r="U453" i="1"/>
  <c r="V453" i="1"/>
  <c r="W453" i="1"/>
  <c r="X453" i="1"/>
  <c r="Y453" i="1"/>
  <c r="Z453" i="1"/>
  <c r="AA453" i="1"/>
  <c r="AB453" i="1"/>
  <c r="AC453" i="1"/>
  <c r="AD453" i="1"/>
  <c r="AE453" i="1"/>
  <c r="AF453" i="1"/>
  <c r="AG453" i="1"/>
  <c r="AH453" i="1"/>
  <c r="AI453" i="1"/>
  <c r="AJ453" i="1"/>
  <c r="AQ453" i="1"/>
  <c r="AR453" i="1"/>
  <c r="AS453" i="1"/>
  <c r="L454" i="1"/>
  <c r="M454" i="1"/>
  <c r="N454" i="1"/>
  <c r="O454" i="1"/>
  <c r="P454" i="1"/>
  <c r="Q454" i="1"/>
  <c r="R454" i="1"/>
  <c r="S454" i="1"/>
  <c r="T454" i="1"/>
  <c r="U454" i="1"/>
  <c r="V454" i="1"/>
  <c r="W454" i="1"/>
  <c r="X454" i="1"/>
  <c r="Y454" i="1"/>
  <c r="Z454" i="1"/>
  <c r="AA454" i="1"/>
  <c r="AB454" i="1"/>
  <c r="AC454" i="1"/>
  <c r="AD454" i="1"/>
  <c r="AE454" i="1"/>
  <c r="AF454" i="1"/>
  <c r="AG454" i="1"/>
  <c r="AH454" i="1"/>
  <c r="AI454" i="1"/>
  <c r="AJ454" i="1"/>
  <c r="AQ454" i="1"/>
  <c r="AR454" i="1"/>
  <c r="AS454" i="1"/>
  <c r="L455" i="1"/>
  <c r="M455" i="1"/>
  <c r="N455" i="1"/>
  <c r="O455" i="1"/>
  <c r="P455" i="1"/>
  <c r="Q455" i="1"/>
  <c r="R455" i="1"/>
  <c r="S455" i="1"/>
  <c r="T455" i="1"/>
  <c r="U455" i="1"/>
  <c r="V455" i="1"/>
  <c r="W455" i="1"/>
  <c r="X455" i="1"/>
  <c r="Y455" i="1"/>
  <c r="Z455" i="1"/>
  <c r="AA455" i="1"/>
  <c r="AB455" i="1"/>
  <c r="AC455" i="1"/>
  <c r="AD455" i="1"/>
  <c r="AE455" i="1"/>
  <c r="AF455" i="1"/>
  <c r="AG455" i="1"/>
  <c r="AH455" i="1"/>
  <c r="AI455" i="1"/>
  <c r="AJ455" i="1"/>
  <c r="AQ455" i="1"/>
  <c r="AR455" i="1"/>
  <c r="AS455" i="1"/>
  <c r="L456" i="1"/>
  <c r="M456" i="1"/>
  <c r="N456" i="1"/>
  <c r="O456" i="1"/>
  <c r="P456" i="1"/>
  <c r="Q456" i="1"/>
  <c r="R456" i="1"/>
  <c r="S456" i="1"/>
  <c r="T456" i="1"/>
  <c r="U456" i="1"/>
  <c r="V456" i="1"/>
  <c r="W456" i="1"/>
  <c r="X456" i="1"/>
  <c r="Y456" i="1"/>
  <c r="Z456" i="1"/>
  <c r="AA456" i="1"/>
  <c r="AB456" i="1"/>
  <c r="AC456" i="1"/>
  <c r="AD456" i="1"/>
  <c r="AE456" i="1"/>
  <c r="AF456" i="1"/>
  <c r="AG456" i="1"/>
  <c r="AH456" i="1"/>
  <c r="AI456" i="1"/>
  <c r="AJ456" i="1"/>
  <c r="AQ456" i="1"/>
  <c r="AR456" i="1"/>
  <c r="AS456" i="1"/>
  <c r="L457" i="1"/>
  <c r="M457" i="1"/>
  <c r="N457" i="1"/>
  <c r="O457" i="1"/>
  <c r="P457" i="1"/>
  <c r="Q457" i="1"/>
  <c r="R457" i="1"/>
  <c r="S457" i="1"/>
  <c r="T457" i="1"/>
  <c r="U457" i="1"/>
  <c r="V457" i="1"/>
  <c r="W457" i="1"/>
  <c r="X457" i="1"/>
  <c r="Y457" i="1"/>
  <c r="Z457" i="1"/>
  <c r="AA457" i="1"/>
  <c r="AB457" i="1"/>
  <c r="AC457" i="1"/>
  <c r="AD457" i="1"/>
  <c r="AE457" i="1"/>
  <c r="AF457" i="1"/>
  <c r="AG457" i="1"/>
  <c r="AH457" i="1"/>
  <c r="AI457" i="1"/>
  <c r="AJ457" i="1"/>
  <c r="AQ457" i="1"/>
  <c r="AR457" i="1"/>
  <c r="AS457" i="1"/>
  <c r="L458" i="1"/>
  <c r="M458" i="1"/>
  <c r="N458" i="1"/>
  <c r="O458" i="1"/>
  <c r="P458" i="1"/>
  <c r="Q458" i="1"/>
  <c r="R458" i="1"/>
  <c r="S458" i="1"/>
  <c r="T458" i="1"/>
  <c r="U458" i="1"/>
  <c r="V458" i="1"/>
  <c r="W458" i="1"/>
  <c r="X458" i="1"/>
  <c r="Y458" i="1"/>
  <c r="Z458" i="1"/>
  <c r="AA458" i="1"/>
  <c r="AB458" i="1"/>
  <c r="AC458" i="1"/>
  <c r="AD458" i="1"/>
  <c r="AE458" i="1"/>
  <c r="AF458" i="1"/>
  <c r="AG458" i="1"/>
  <c r="AH458" i="1"/>
  <c r="AI458" i="1"/>
  <c r="AJ458" i="1"/>
  <c r="AQ458" i="1"/>
  <c r="AR458" i="1"/>
  <c r="AS458" i="1"/>
  <c r="L459" i="1"/>
  <c r="M459" i="1"/>
  <c r="N459" i="1"/>
  <c r="O459" i="1"/>
  <c r="P459" i="1"/>
  <c r="Q459" i="1"/>
  <c r="R459" i="1"/>
  <c r="S459" i="1"/>
  <c r="T459" i="1"/>
  <c r="U459" i="1"/>
  <c r="V459" i="1"/>
  <c r="W459" i="1"/>
  <c r="X459" i="1"/>
  <c r="Y459" i="1"/>
  <c r="Z459" i="1"/>
  <c r="AA459" i="1"/>
  <c r="AB459" i="1"/>
  <c r="AC459" i="1"/>
  <c r="AD459" i="1"/>
  <c r="AE459" i="1"/>
  <c r="AF459" i="1"/>
  <c r="AG459" i="1"/>
  <c r="AH459" i="1"/>
  <c r="AI459" i="1"/>
  <c r="AJ459" i="1"/>
  <c r="AQ459" i="1"/>
  <c r="AR459" i="1"/>
  <c r="AS459" i="1"/>
  <c r="L460" i="1"/>
  <c r="M460" i="1"/>
  <c r="N460" i="1"/>
  <c r="O460" i="1"/>
  <c r="P460" i="1"/>
  <c r="Q460" i="1"/>
  <c r="R460" i="1"/>
  <c r="S460" i="1"/>
  <c r="T460" i="1"/>
  <c r="U460" i="1"/>
  <c r="V460" i="1"/>
  <c r="W460" i="1"/>
  <c r="X460" i="1"/>
  <c r="Y460" i="1"/>
  <c r="Z460" i="1"/>
  <c r="AA460" i="1"/>
  <c r="AB460" i="1"/>
  <c r="AC460" i="1"/>
  <c r="AD460" i="1"/>
  <c r="AE460" i="1"/>
  <c r="AF460" i="1"/>
  <c r="AG460" i="1"/>
  <c r="AH460" i="1"/>
  <c r="AI460" i="1"/>
  <c r="AJ460" i="1"/>
  <c r="AQ460" i="1"/>
  <c r="AR460" i="1"/>
  <c r="AS460" i="1"/>
  <c r="L461" i="1"/>
  <c r="M461" i="1"/>
  <c r="N461" i="1"/>
  <c r="O461" i="1"/>
  <c r="P461" i="1"/>
  <c r="Q461" i="1"/>
  <c r="R461" i="1"/>
  <c r="S461" i="1"/>
  <c r="T461" i="1"/>
  <c r="U461" i="1"/>
  <c r="V461" i="1"/>
  <c r="W461" i="1"/>
  <c r="X461" i="1"/>
  <c r="Y461" i="1"/>
  <c r="Z461" i="1"/>
  <c r="AA461" i="1"/>
  <c r="AB461" i="1"/>
  <c r="AC461" i="1"/>
  <c r="AD461" i="1"/>
  <c r="AE461" i="1"/>
  <c r="AF461" i="1"/>
  <c r="AG461" i="1"/>
  <c r="AH461" i="1"/>
  <c r="AI461" i="1"/>
  <c r="AJ461" i="1"/>
  <c r="AQ461" i="1"/>
  <c r="AR461" i="1"/>
  <c r="AS461" i="1"/>
  <c r="L462" i="1"/>
  <c r="M462" i="1"/>
  <c r="N462" i="1"/>
  <c r="O462" i="1"/>
  <c r="P462" i="1"/>
  <c r="Q462" i="1"/>
  <c r="R462" i="1"/>
  <c r="S462" i="1"/>
  <c r="T462" i="1"/>
  <c r="U462" i="1"/>
  <c r="V462" i="1"/>
  <c r="W462" i="1"/>
  <c r="X462" i="1"/>
  <c r="Y462" i="1"/>
  <c r="Z462" i="1"/>
  <c r="AA462" i="1"/>
  <c r="AB462" i="1"/>
  <c r="AC462" i="1"/>
  <c r="AD462" i="1"/>
  <c r="AE462" i="1"/>
  <c r="AF462" i="1"/>
  <c r="AG462" i="1"/>
  <c r="AH462" i="1"/>
  <c r="AI462" i="1"/>
  <c r="AJ462" i="1"/>
  <c r="AQ462" i="1"/>
  <c r="AR462" i="1"/>
  <c r="AS462" i="1"/>
  <c r="L463" i="1"/>
  <c r="M463" i="1"/>
  <c r="N463" i="1"/>
  <c r="O463" i="1"/>
  <c r="P463" i="1"/>
  <c r="Q463" i="1"/>
  <c r="R463" i="1"/>
  <c r="S463" i="1"/>
  <c r="T463" i="1"/>
  <c r="U463" i="1"/>
  <c r="V463" i="1"/>
  <c r="W463" i="1"/>
  <c r="X463" i="1"/>
  <c r="Y463" i="1"/>
  <c r="Z463" i="1"/>
  <c r="AA463" i="1"/>
  <c r="AB463" i="1"/>
  <c r="AC463" i="1"/>
  <c r="AD463" i="1"/>
  <c r="AE463" i="1"/>
  <c r="AF463" i="1"/>
  <c r="AG463" i="1"/>
  <c r="AH463" i="1"/>
  <c r="AI463" i="1"/>
  <c r="AJ463" i="1"/>
  <c r="AQ463" i="1"/>
  <c r="AR463" i="1"/>
  <c r="AS463" i="1"/>
  <c r="L464" i="1"/>
  <c r="M464" i="1"/>
  <c r="N464" i="1"/>
  <c r="O464" i="1"/>
  <c r="P464" i="1"/>
  <c r="Q464" i="1"/>
  <c r="R464" i="1"/>
  <c r="S464" i="1"/>
  <c r="T464" i="1"/>
  <c r="U464" i="1"/>
  <c r="V464" i="1"/>
  <c r="W464" i="1"/>
  <c r="X464" i="1"/>
  <c r="Y464" i="1"/>
  <c r="Z464" i="1"/>
  <c r="AA464" i="1"/>
  <c r="AB464" i="1"/>
  <c r="AC464" i="1"/>
  <c r="AD464" i="1"/>
  <c r="AE464" i="1"/>
  <c r="AF464" i="1"/>
  <c r="AG464" i="1"/>
  <c r="AH464" i="1"/>
  <c r="AI464" i="1"/>
  <c r="AJ464" i="1"/>
  <c r="AQ464" i="1"/>
  <c r="AR464" i="1"/>
  <c r="AS464" i="1"/>
  <c r="L465" i="1"/>
  <c r="M465" i="1"/>
  <c r="N465" i="1"/>
  <c r="O465" i="1"/>
  <c r="P465" i="1"/>
  <c r="Q465" i="1"/>
  <c r="R465" i="1"/>
  <c r="S465" i="1"/>
  <c r="T465" i="1"/>
  <c r="U465" i="1"/>
  <c r="V465" i="1"/>
  <c r="W465" i="1"/>
  <c r="X465" i="1"/>
  <c r="Y465" i="1"/>
  <c r="Z465" i="1"/>
  <c r="AA465" i="1"/>
  <c r="AB465" i="1"/>
  <c r="AC465" i="1"/>
  <c r="AD465" i="1"/>
  <c r="AE465" i="1"/>
  <c r="AF465" i="1"/>
  <c r="AG465" i="1"/>
  <c r="AH465" i="1"/>
  <c r="AI465" i="1"/>
  <c r="AJ465" i="1"/>
  <c r="AQ465" i="1"/>
  <c r="AR465" i="1"/>
  <c r="AS465" i="1"/>
  <c r="L466" i="1"/>
  <c r="M466" i="1"/>
  <c r="N466" i="1"/>
  <c r="O466" i="1"/>
  <c r="P466" i="1"/>
  <c r="Q466" i="1"/>
  <c r="R466" i="1"/>
  <c r="S466" i="1"/>
  <c r="T466" i="1"/>
  <c r="U466" i="1"/>
  <c r="V466" i="1"/>
  <c r="W466" i="1"/>
  <c r="X466" i="1"/>
  <c r="Y466" i="1"/>
  <c r="Z466" i="1"/>
  <c r="AA466" i="1"/>
  <c r="AB466" i="1"/>
  <c r="AC466" i="1"/>
  <c r="AD466" i="1"/>
  <c r="AE466" i="1"/>
  <c r="AF466" i="1"/>
  <c r="AG466" i="1"/>
  <c r="AH466" i="1"/>
  <c r="AI466" i="1"/>
  <c r="AJ466" i="1"/>
  <c r="AQ466" i="1"/>
  <c r="AR466" i="1"/>
  <c r="AS466" i="1"/>
  <c r="L467" i="1"/>
  <c r="M467" i="1"/>
  <c r="N467" i="1"/>
  <c r="O467" i="1"/>
  <c r="P467" i="1"/>
  <c r="Q467" i="1"/>
  <c r="R467" i="1"/>
  <c r="S467" i="1"/>
  <c r="T467" i="1"/>
  <c r="U467" i="1"/>
  <c r="V467" i="1"/>
  <c r="W467" i="1"/>
  <c r="X467" i="1"/>
  <c r="Y467" i="1"/>
  <c r="Z467" i="1"/>
  <c r="AA467" i="1"/>
  <c r="AB467" i="1"/>
  <c r="AC467" i="1"/>
  <c r="AD467" i="1"/>
  <c r="AE467" i="1"/>
  <c r="AF467" i="1"/>
  <c r="AG467" i="1"/>
  <c r="AH467" i="1"/>
  <c r="AI467" i="1"/>
  <c r="AJ467" i="1"/>
  <c r="AQ467" i="1"/>
  <c r="AR467" i="1"/>
  <c r="AS467" i="1"/>
  <c r="L468" i="1"/>
  <c r="M468" i="1"/>
  <c r="N468" i="1"/>
  <c r="O468" i="1"/>
  <c r="P468" i="1"/>
  <c r="Q468" i="1"/>
  <c r="R468" i="1"/>
  <c r="S468" i="1"/>
  <c r="T468" i="1"/>
  <c r="U468" i="1"/>
  <c r="V468" i="1"/>
  <c r="W468" i="1"/>
  <c r="X468" i="1"/>
  <c r="Y468" i="1"/>
  <c r="Z468" i="1"/>
  <c r="AA468" i="1"/>
  <c r="AB468" i="1"/>
  <c r="AC468" i="1"/>
  <c r="AD468" i="1"/>
  <c r="AE468" i="1"/>
  <c r="AF468" i="1"/>
  <c r="AG468" i="1"/>
  <c r="AH468" i="1"/>
  <c r="AI468" i="1"/>
  <c r="AJ468" i="1"/>
  <c r="AQ468" i="1"/>
  <c r="AR468" i="1"/>
  <c r="AS468" i="1"/>
  <c r="L469" i="1"/>
  <c r="M469" i="1"/>
  <c r="N469" i="1"/>
  <c r="O469" i="1"/>
  <c r="P469" i="1"/>
  <c r="Q469" i="1"/>
  <c r="R469" i="1"/>
  <c r="S469" i="1"/>
  <c r="T469" i="1"/>
  <c r="U469" i="1"/>
  <c r="V469" i="1"/>
  <c r="W469" i="1"/>
  <c r="X469" i="1"/>
  <c r="Y469" i="1"/>
  <c r="Z469" i="1"/>
  <c r="AA469" i="1"/>
  <c r="AB469" i="1"/>
  <c r="AC469" i="1"/>
  <c r="AD469" i="1"/>
  <c r="AE469" i="1"/>
  <c r="AF469" i="1"/>
  <c r="AG469" i="1"/>
  <c r="AH469" i="1"/>
  <c r="AI469" i="1"/>
  <c r="AJ469" i="1"/>
  <c r="AQ469" i="1"/>
  <c r="AR469" i="1"/>
  <c r="AS469" i="1"/>
  <c r="L470" i="1"/>
  <c r="M470" i="1"/>
  <c r="N470" i="1"/>
  <c r="O470" i="1"/>
  <c r="P470" i="1"/>
  <c r="Q470" i="1"/>
  <c r="R470" i="1"/>
  <c r="S470" i="1"/>
  <c r="T470" i="1"/>
  <c r="U470" i="1"/>
  <c r="V470" i="1"/>
  <c r="W470" i="1"/>
  <c r="X470" i="1"/>
  <c r="Y470" i="1"/>
  <c r="Z470" i="1"/>
  <c r="AA470" i="1"/>
  <c r="AB470" i="1"/>
  <c r="AC470" i="1"/>
  <c r="AD470" i="1"/>
  <c r="AE470" i="1"/>
  <c r="AF470" i="1"/>
  <c r="AG470" i="1"/>
  <c r="AH470" i="1"/>
  <c r="AI470" i="1"/>
  <c r="AJ470" i="1"/>
  <c r="AQ470" i="1"/>
  <c r="AR470" i="1"/>
  <c r="AS470" i="1"/>
  <c r="L471" i="1"/>
  <c r="M471" i="1"/>
  <c r="N471" i="1"/>
  <c r="O471" i="1"/>
  <c r="P471" i="1"/>
  <c r="Q471" i="1"/>
  <c r="R471" i="1"/>
  <c r="S471" i="1"/>
  <c r="T471" i="1"/>
  <c r="U471" i="1"/>
  <c r="V471" i="1"/>
  <c r="W471" i="1"/>
  <c r="X471" i="1"/>
  <c r="Y471" i="1"/>
  <c r="Z471" i="1"/>
  <c r="AA471" i="1"/>
  <c r="AB471" i="1"/>
  <c r="AC471" i="1"/>
  <c r="AD471" i="1"/>
  <c r="AE471" i="1"/>
  <c r="AF471" i="1"/>
  <c r="AG471" i="1"/>
  <c r="AH471" i="1"/>
  <c r="AI471" i="1"/>
  <c r="AJ471" i="1"/>
  <c r="AQ471" i="1"/>
  <c r="AR471" i="1"/>
  <c r="AS471" i="1"/>
  <c r="L472" i="1"/>
  <c r="M472" i="1"/>
  <c r="N472" i="1"/>
  <c r="O472" i="1"/>
  <c r="P472" i="1"/>
  <c r="Q472" i="1"/>
  <c r="R472" i="1"/>
  <c r="S472" i="1"/>
  <c r="T472" i="1"/>
  <c r="U472" i="1"/>
  <c r="V472" i="1"/>
  <c r="W472" i="1"/>
  <c r="X472" i="1"/>
  <c r="Y472" i="1"/>
  <c r="Z472" i="1"/>
  <c r="AA472" i="1"/>
  <c r="AB472" i="1"/>
  <c r="AC472" i="1"/>
  <c r="AD472" i="1"/>
  <c r="AE472" i="1"/>
  <c r="AF472" i="1"/>
  <c r="AG472" i="1"/>
  <c r="AH472" i="1"/>
  <c r="AI472" i="1"/>
  <c r="AJ472" i="1"/>
  <c r="AQ472" i="1"/>
  <c r="AR472" i="1"/>
  <c r="AS472" i="1"/>
  <c r="L473" i="1"/>
  <c r="M473" i="1"/>
  <c r="N473" i="1"/>
  <c r="O473" i="1"/>
  <c r="P473" i="1"/>
  <c r="Q473" i="1"/>
  <c r="R473" i="1"/>
  <c r="S473" i="1"/>
  <c r="T473" i="1"/>
  <c r="U473" i="1"/>
  <c r="V473" i="1"/>
  <c r="W473" i="1"/>
  <c r="X473" i="1"/>
  <c r="Y473" i="1"/>
  <c r="Z473" i="1"/>
  <c r="AA473" i="1"/>
  <c r="AB473" i="1"/>
  <c r="AC473" i="1"/>
  <c r="AD473" i="1"/>
  <c r="AE473" i="1"/>
  <c r="AF473" i="1"/>
  <c r="AG473" i="1"/>
  <c r="AH473" i="1"/>
  <c r="AI473" i="1"/>
  <c r="AJ473" i="1"/>
  <c r="AQ473" i="1"/>
  <c r="AR473" i="1"/>
  <c r="AS473" i="1"/>
  <c r="L474" i="1"/>
  <c r="M474" i="1"/>
  <c r="N474" i="1"/>
  <c r="O474" i="1"/>
  <c r="P474" i="1"/>
  <c r="Q474" i="1"/>
  <c r="R474" i="1"/>
  <c r="S474" i="1"/>
  <c r="T474" i="1"/>
  <c r="U474" i="1"/>
  <c r="V474" i="1"/>
  <c r="W474" i="1"/>
  <c r="X474" i="1"/>
  <c r="Y474" i="1"/>
  <c r="Z474" i="1"/>
  <c r="AA474" i="1"/>
  <c r="AB474" i="1"/>
  <c r="AC474" i="1"/>
  <c r="AD474" i="1"/>
  <c r="AE474" i="1"/>
  <c r="AF474" i="1"/>
  <c r="AG474" i="1"/>
  <c r="AH474" i="1"/>
  <c r="AI474" i="1"/>
  <c r="AJ474" i="1"/>
  <c r="AQ474" i="1"/>
  <c r="AR474" i="1"/>
  <c r="AS474" i="1"/>
  <c r="L475" i="1"/>
  <c r="M475" i="1"/>
  <c r="N475" i="1"/>
  <c r="O475" i="1"/>
  <c r="P475" i="1"/>
  <c r="Q475" i="1"/>
  <c r="R475" i="1"/>
  <c r="S475" i="1"/>
  <c r="T475" i="1"/>
  <c r="U475" i="1"/>
  <c r="V475" i="1"/>
  <c r="W475" i="1"/>
  <c r="X475" i="1"/>
  <c r="Y475" i="1"/>
  <c r="Z475" i="1"/>
  <c r="AA475" i="1"/>
  <c r="AB475" i="1"/>
  <c r="AC475" i="1"/>
  <c r="AD475" i="1"/>
  <c r="AE475" i="1"/>
  <c r="AF475" i="1"/>
  <c r="AG475" i="1"/>
  <c r="AH475" i="1"/>
  <c r="AI475" i="1"/>
  <c r="AJ475" i="1"/>
  <c r="AQ475" i="1"/>
  <c r="AR475" i="1"/>
  <c r="AS475" i="1"/>
  <c r="L476" i="1"/>
  <c r="M476" i="1"/>
  <c r="N476" i="1"/>
  <c r="O476" i="1"/>
  <c r="P476" i="1"/>
  <c r="Q476" i="1"/>
  <c r="R476" i="1"/>
  <c r="S476" i="1"/>
  <c r="T476" i="1"/>
  <c r="U476" i="1"/>
  <c r="V476" i="1"/>
  <c r="W476" i="1"/>
  <c r="X476" i="1"/>
  <c r="Y476" i="1"/>
  <c r="Z476" i="1"/>
  <c r="AA476" i="1"/>
  <c r="AB476" i="1"/>
  <c r="AC476" i="1"/>
  <c r="AD476" i="1"/>
  <c r="AE476" i="1"/>
  <c r="AF476" i="1"/>
  <c r="AG476" i="1"/>
  <c r="AH476" i="1"/>
  <c r="AI476" i="1"/>
  <c r="AJ476" i="1"/>
  <c r="AQ476" i="1"/>
  <c r="AR476" i="1"/>
  <c r="AS476" i="1"/>
  <c r="L477" i="1"/>
  <c r="M477" i="1"/>
  <c r="N477" i="1"/>
  <c r="O477" i="1"/>
  <c r="P477" i="1"/>
  <c r="Q477" i="1"/>
  <c r="R477" i="1"/>
  <c r="S477" i="1"/>
  <c r="T477" i="1"/>
  <c r="U477" i="1"/>
  <c r="V477" i="1"/>
  <c r="W477" i="1"/>
  <c r="X477" i="1"/>
  <c r="Y477" i="1"/>
  <c r="Z477" i="1"/>
  <c r="AA477" i="1"/>
  <c r="AB477" i="1"/>
  <c r="AC477" i="1"/>
  <c r="AD477" i="1"/>
  <c r="AE477" i="1"/>
  <c r="AF477" i="1"/>
  <c r="AG477" i="1"/>
  <c r="AH477" i="1"/>
  <c r="AI477" i="1"/>
  <c r="AJ477" i="1"/>
  <c r="AQ477" i="1"/>
  <c r="AR477" i="1"/>
  <c r="AS477" i="1"/>
  <c r="L478" i="1"/>
  <c r="M478" i="1"/>
  <c r="N478" i="1"/>
  <c r="O478" i="1"/>
  <c r="P478" i="1"/>
  <c r="Q478" i="1"/>
  <c r="R478" i="1"/>
  <c r="S478" i="1"/>
  <c r="T478" i="1"/>
  <c r="U478" i="1"/>
  <c r="V478" i="1"/>
  <c r="W478" i="1"/>
  <c r="X478" i="1"/>
  <c r="Y478" i="1"/>
  <c r="Z478" i="1"/>
  <c r="AA478" i="1"/>
  <c r="AB478" i="1"/>
  <c r="AC478" i="1"/>
  <c r="AD478" i="1"/>
  <c r="AE478" i="1"/>
  <c r="AF478" i="1"/>
  <c r="AG478" i="1"/>
  <c r="AH478" i="1"/>
  <c r="AI478" i="1"/>
  <c r="AJ478" i="1"/>
  <c r="AQ478" i="1"/>
  <c r="AR478" i="1"/>
  <c r="AS478" i="1"/>
  <c r="L479" i="1"/>
  <c r="M479" i="1"/>
  <c r="N479" i="1"/>
  <c r="O479" i="1"/>
  <c r="P479" i="1"/>
  <c r="Q479" i="1"/>
  <c r="R479" i="1"/>
  <c r="S479" i="1"/>
  <c r="T479" i="1"/>
  <c r="U479" i="1"/>
  <c r="V479" i="1"/>
  <c r="W479" i="1"/>
  <c r="X479" i="1"/>
  <c r="Y479" i="1"/>
  <c r="Z479" i="1"/>
  <c r="AA479" i="1"/>
  <c r="AB479" i="1"/>
  <c r="AC479" i="1"/>
  <c r="AD479" i="1"/>
  <c r="AE479" i="1"/>
  <c r="AF479" i="1"/>
  <c r="AG479" i="1"/>
  <c r="AH479" i="1"/>
  <c r="AI479" i="1"/>
  <c r="AJ479" i="1"/>
  <c r="AQ479" i="1"/>
  <c r="AR479" i="1"/>
  <c r="AS479" i="1"/>
  <c r="L480" i="1"/>
  <c r="M480" i="1"/>
  <c r="N480" i="1"/>
  <c r="O480" i="1"/>
  <c r="P480" i="1"/>
  <c r="Q480" i="1"/>
  <c r="R480" i="1"/>
  <c r="S480" i="1"/>
  <c r="T480" i="1"/>
  <c r="U480" i="1"/>
  <c r="V480" i="1"/>
  <c r="W480" i="1"/>
  <c r="X480" i="1"/>
  <c r="Y480" i="1"/>
  <c r="Z480" i="1"/>
  <c r="AA480" i="1"/>
  <c r="AB480" i="1"/>
  <c r="AC480" i="1"/>
  <c r="AD480" i="1"/>
  <c r="AE480" i="1"/>
  <c r="AF480" i="1"/>
  <c r="AG480" i="1"/>
  <c r="AH480" i="1"/>
  <c r="AI480" i="1"/>
  <c r="AJ480" i="1"/>
  <c r="AQ480" i="1"/>
  <c r="AR480" i="1"/>
  <c r="AS480" i="1"/>
  <c r="L481" i="1"/>
  <c r="M481" i="1"/>
  <c r="N481" i="1"/>
  <c r="O481" i="1"/>
  <c r="P481" i="1"/>
  <c r="Q481" i="1"/>
  <c r="R481" i="1"/>
  <c r="S481" i="1"/>
  <c r="T481" i="1"/>
  <c r="U481" i="1"/>
  <c r="V481" i="1"/>
  <c r="W481" i="1"/>
  <c r="X481" i="1"/>
  <c r="Y481" i="1"/>
  <c r="Z481" i="1"/>
  <c r="AA481" i="1"/>
  <c r="AB481" i="1"/>
  <c r="AC481" i="1"/>
  <c r="AD481" i="1"/>
  <c r="AE481" i="1"/>
  <c r="AF481" i="1"/>
  <c r="AG481" i="1"/>
  <c r="AH481" i="1"/>
  <c r="AI481" i="1"/>
  <c r="AJ481" i="1"/>
  <c r="AQ481" i="1"/>
  <c r="AR481" i="1"/>
  <c r="AS481" i="1"/>
  <c r="L482" i="1"/>
  <c r="M482" i="1"/>
  <c r="N482" i="1"/>
  <c r="O482" i="1"/>
  <c r="P482" i="1"/>
  <c r="Q482" i="1"/>
  <c r="R482" i="1"/>
  <c r="S482" i="1"/>
  <c r="T482" i="1"/>
  <c r="U482" i="1"/>
  <c r="V482" i="1"/>
  <c r="W482" i="1"/>
  <c r="X482" i="1"/>
  <c r="Y482" i="1"/>
  <c r="Z482" i="1"/>
  <c r="AA482" i="1"/>
  <c r="AB482" i="1"/>
  <c r="AC482" i="1"/>
  <c r="AD482" i="1"/>
  <c r="AE482" i="1"/>
  <c r="AF482" i="1"/>
  <c r="AG482" i="1"/>
  <c r="AH482" i="1"/>
  <c r="AI482" i="1"/>
  <c r="AJ482" i="1"/>
  <c r="AQ482" i="1"/>
  <c r="AR482" i="1"/>
  <c r="AS482" i="1"/>
  <c r="L483" i="1"/>
  <c r="M483" i="1"/>
  <c r="N483" i="1"/>
  <c r="O483" i="1"/>
  <c r="P483" i="1"/>
  <c r="Q483" i="1"/>
  <c r="R483" i="1"/>
  <c r="S483" i="1"/>
  <c r="T483" i="1"/>
  <c r="U483" i="1"/>
  <c r="V483" i="1"/>
  <c r="W483" i="1"/>
  <c r="X483" i="1"/>
  <c r="Y483" i="1"/>
  <c r="Z483" i="1"/>
  <c r="AA483" i="1"/>
  <c r="AB483" i="1"/>
  <c r="AC483" i="1"/>
  <c r="AD483" i="1"/>
  <c r="AE483" i="1"/>
  <c r="AF483" i="1"/>
  <c r="AG483" i="1"/>
  <c r="AH483" i="1"/>
  <c r="AI483" i="1"/>
  <c r="AJ483" i="1"/>
  <c r="AQ483" i="1"/>
  <c r="AR483" i="1"/>
  <c r="AS483" i="1"/>
  <c r="L484" i="1"/>
  <c r="M484" i="1"/>
  <c r="N484" i="1"/>
  <c r="O484" i="1"/>
  <c r="P484" i="1"/>
  <c r="Q484" i="1"/>
  <c r="R484" i="1"/>
  <c r="S484" i="1"/>
  <c r="T484" i="1"/>
  <c r="U484" i="1"/>
  <c r="V484" i="1"/>
  <c r="W484" i="1"/>
  <c r="X484" i="1"/>
  <c r="Y484" i="1"/>
  <c r="Z484" i="1"/>
  <c r="AA484" i="1"/>
  <c r="AB484" i="1"/>
  <c r="AC484" i="1"/>
  <c r="AD484" i="1"/>
  <c r="AE484" i="1"/>
  <c r="AF484" i="1"/>
  <c r="AG484" i="1"/>
  <c r="AH484" i="1"/>
  <c r="AI484" i="1"/>
  <c r="AJ484" i="1"/>
  <c r="AQ484" i="1"/>
  <c r="AR484" i="1"/>
  <c r="AS484" i="1"/>
  <c r="L485" i="1"/>
  <c r="M485" i="1"/>
  <c r="N485" i="1"/>
  <c r="O485" i="1"/>
  <c r="P485" i="1"/>
  <c r="Q485" i="1"/>
  <c r="R485" i="1"/>
  <c r="S485" i="1"/>
  <c r="T485" i="1"/>
  <c r="U485" i="1"/>
  <c r="V485" i="1"/>
  <c r="W485" i="1"/>
  <c r="X485" i="1"/>
  <c r="Y485" i="1"/>
  <c r="Z485" i="1"/>
  <c r="AA485" i="1"/>
  <c r="AB485" i="1"/>
  <c r="AC485" i="1"/>
  <c r="AD485" i="1"/>
  <c r="AE485" i="1"/>
  <c r="AF485" i="1"/>
  <c r="AG485" i="1"/>
  <c r="AH485" i="1"/>
  <c r="AI485" i="1"/>
  <c r="AJ485" i="1"/>
  <c r="AQ485" i="1"/>
  <c r="AR485" i="1"/>
  <c r="AS485" i="1"/>
  <c r="L486" i="1"/>
  <c r="M486" i="1"/>
  <c r="N486" i="1"/>
  <c r="O486" i="1"/>
  <c r="P486" i="1"/>
  <c r="Q486" i="1"/>
  <c r="R486" i="1"/>
  <c r="S486" i="1"/>
  <c r="T486" i="1"/>
  <c r="U486" i="1"/>
  <c r="V486" i="1"/>
  <c r="W486" i="1"/>
  <c r="X486" i="1"/>
  <c r="Y486" i="1"/>
  <c r="Z486" i="1"/>
  <c r="AA486" i="1"/>
  <c r="AB486" i="1"/>
  <c r="AC486" i="1"/>
  <c r="AD486" i="1"/>
  <c r="AE486" i="1"/>
  <c r="AF486" i="1"/>
  <c r="AG486" i="1"/>
  <c r="AH486" i="1"/>
  <c r="AI486" i="1"/>
  <c r="AJ486" i="1"/>
  <c r="AQ486" i="1"/>
  <c r="AR486" i="1"/>
  <c r="AS486" i="1"/>
  <c r="L487" i="1"/>
  <c r="M487" i="1"/>
  <c r="N487" i="1"/>
  <c r="O487" i="1"/>
  <c r="P487" i="1"/>
  <c r="Q487" i="1"/>
  <c r="R487" i="1"/>
  <c r="S487" i="1"/>
  <c r="T487" i="1"/>
  <c r="U487" i="1"/>
  <c r="V487" i="1"/>
  <c r="W487" i="1"/>
  <c r="X487" i="1"/>
  <c r="Y487" i="1"/>
  <c r="Z487" i="1"/>
  <c r="AA487" i="1"/>
  <c r="AB487" i="1"/>
  <c r="AC487" i="1"/>
  <c r="AD487" i="1"/>
  <c r="AE487" i="1"/>
  <c r="AF487" i="1"/>
  <c r="AG487" i="1"/>
  <c r="AH487" i="1"/>
  <c r="AI487" i="1"/>
  <c r="AJ487" i="1"/>
  <c r="AQ487" i="1"/>
  <c r="AR487" i="1"/>
  <c r="AS487" i="1"/>
  <c r="L488" i="1"/>
  <c r="M488" i="1"/>
  <c r="N488" i="1"/>
  <c r="O488" i="1"/>
  <c r="P488" i="1"/>
  <c r="Q488" i="1"/>
  <c r="R488" i="1"/>
  <c r="S488" i="1"/>
  <c r="T488" i="1"/>
  <c r="U488" i="1"/>
  <c r="V488" i="1"/>
  <c r="W488" i="1"/>
  <c r="X488" i="1"/>
  <c r="Y488" i="1"/>
  <c r="Z488" i="1"/>
  <c r="AA488" i="1"/>
  <c r="AB488" i="1"/>
  <c r="AC488" i="1"/>
  <c r="AD488" i="1"/>
  <c r="AE488" i="1"/>
  <c r="AF488" i="1"/>
  <c r="AG488" i="1"/>
  <c r="AH488" i="1"/>
  <c r="AI488" i="1"/>
  <c r="AJ488" i="1"/>
  <c r="AQ488" i="1"/>
  <c r="AR488" i="1"/>
  <c r="AS488" i="1"/>
  <c r="L489" i="1"/>
  <c r="M489" i="1"/>
  <c r="N489" i="1"/>
  <c r="O489" i="1"/>
  <c r="P489" i="1"/>
  <c r="Q489" i="1"/>
  <c r="R489" i="1"/>
  <c r="S489" i="1"/>
  <c r="T489" i="1"/>
  <c r="U489" i="1"/>
  <c r="V489" i="1"/>
  <c r="W489" i="1"/>
  <c r="X489" i="1"/>
  <c r="Y489" i="1"/>
  <c r="Z489" i="1"/>
  <c r="AA489" i="1"/>
  <c r="AB489" i="1"/>
  <c r="AC489" i="1"/>
  <c r="AD489" i="1"/>
  <c r="AE489" i="1"/>
  <c r="AF489" i="1"/>
  <c r="AG489" i="1"/>
  <c r="AH489" i="1"/>
  <c r="AI489" i="1"/>
  <c r="AJ489" i="1"/>
  <c r="AQ489" i="1"/>
  <c r="AR489" i="1"/>
  <c r="AS489" i="1"/>
  <c r="L490" i="1"/>
  <c r="M490" i="1"/>
  <c r="N490" i="1"/>
  <c r="O490" i="1"/>
  <c r="P490" i="1"/>
  <c r="Q490" i="1"/>
  <c r="R490" i="1"/>
  <c r="S490" i="1"/>
  <c r="T490" i="1"/>
  <c r="U490" i="1"/>
  <c r="V490" i="1"/>
  <c r="W490" i="1"/>
  <c r="X490" i="1"/>
  <c r="Y490" i="1"/>
  <c r="Z490" i="1"/>
  <c r="AA490" i="1"/>
  <c r="AB490" i="1"/>
  <c r="AC490" i="1"/>
  <c r="AD490" i="1"/>
  <c r="AE490" i="1"/>
  <c r="AF490" i="1"/>
  <c r="AG490" i="1"/>
  <c r="AH490" i="1"/>
  <c r="AI490" i="1"/>
  <c r="AJ490" i="1"/>
  <c r="AQ490" i="1"/>
  <c r="AR490" i="1"/>
  <c r="AS490" i="1"/>
  <c r="L491" i="1"/>
  <c r="M491" i="1"/>
  <c r="N491" i="1"/>
  <c r="O491" i="1"/>
  <c r="P491" i="1"/>
  <c r="Q491" i="1"/>
  <c r="R491" i="1"/>
  <c r="S491" i="1"/>
  <c r="T491" i="1"/>
  <c r="U491" i="1"/>
  <c r="V491" i="1"/>
  <c r="W491" i="1"/>
  <c r="X491" i="1"/>
  <c r="Y491" i="1"/>
  <c r="Z491" i="1"/>
  <c r="AA491" i="1"/>
  <c r="AB491" i="1"/>
  <c r="AC491" i="1"/>
  <c r="AD491" i="1"/>
  <c r="AE491" i="1"/>
  <c r="AF491" i="1"/>
  <c r="AG491" i="1"/>
  <c r="AH491" i="1"/>
  <c r="AI491" i="1"/>
  <c r="AJ491" i="1"/>
  <c r="AQ491" i="1"/>
  <c r="AR491" i="1"/>
  <c r="AS491" i="1"/>
  <c r="L492" i="1"/>
  <c r="M492" i="1"/>
  <c r="N492" i="1"/>
  <c r="O492" i="1"/>
  <c r="P492" i="1"/>
  <c r="Q492" i="1"/>
  <c r="R492" i="1"/>
  <c r="S492" i="1"/>
  <c r="T492" i="1"/>
  <c r="U492" i="1"/>
  <c r="V492" i="1"/>
  <c r="W492" i="1"/>
  <c r="X492" i="1"/>
  <c r="Y492" i="1"/>
  <c r="Z492" i="1"/>
  <c r="AA492" i="1"/>
  <c r="AB492" i="1"/>
  <c r="AC492" i="1"/>
  <c r="AD492" i="1"/>
  <c r="AE492" i="1"/>
  <c r="AF492" i="1"/>
  <c r="AG492" i="1"/>
  <c r="AH492" i="1"/>
  <c r="AI492" i="1"/>
  <c r="AJ492" i="1"/>
  <c r="AQ492" i="1"/>
  <c r="AR492" i="1"/>
  <c r="AS492" i="1"/>
  <c r="L493" i="1"/>
  <c r="M493" i="1"/>
  <c r="N493" i="1"/>
  <c r="O493" i="1"/>
  <c r="P493" i="1"/>
  <c r="Q493" i="1"/>
  <c r="R493" i="1"/>
  <c r="S493" i="1"/>
  <c r="T493" i="1"/>
  <c r="U493" i="1"/>
  <c r="V493" i="1"/>
  <c r="W493" i="1"/>
  <c r="X493" i="1"/>
  <c r="Y493" i="1"/>
  <c r="Z493" i="1"/>
  <c r="AA493" i="1"/>
  <c r="AB493" i="1"/>
  <c r="AC493" i="1"/>
  <c r="AD493" i="1"/>
  <c r="AE493" i="1"/>
  <c r="AF493" i="1"/>
  <c r="AG493" i="1"/>
  <c r="AH493" i="1"/>
  <c r="AI493" i="1"/>
  <c r="AJ493" i="1"/>
  <c r="AQ493" i="1"/>
  <c r="AR493" i="1"/>
  <c r="AS493" i="1"/>
  <c r="L494" i="1"/>
  <c r="M494" i="1"/>
  <c r="N494" i="1"/>
  <c r="O494" i="1"/>
  <c r="P494" i="1"/>
  <c r="Q494" i="1"/>
  <c r="R494" i="1"/>
  <c r="S494" i="1"/>
  <c r="T494" i="1"/>
  <c r="U494" i="1"/>
  <c r="V494" i="1"/>
  <c r="W494" i="1"/>
  <c r="X494" i="1"/>
  <c r="Y494" i="1"/>
  <c r="Z494" i="1"/>
  <c r="AA494" i="1"/>
  <c r="AB494" i="1"/>
  <c r="AC494" i="1"/>
  <c r="AD494" i="1"/>
  <c r="AE494" i="1"/>
  <c r="AF494" i="1"/>
  <c r="AG494" i="1"/>
  <c r="AH494" i="1"/>
  <c r="AI494" i="1"/>
  <c r="AJ494" i="1"/>
  <c r="AQ494" i="1"/>
  <c r="AR494" i="1"/>
  <c r="AS494" i="1"/>
  <c r="L495" i="1"/>
  <c r="M495" i="1"/>
  <c r="N495" i="1"/>
  <c r="O495" i="1"/>
  <c r="P495" i="1"/>
  <c r="Q495" i="1"/>
  <c r="R495" i="1"/>
  <c r="S495" i="1"/>
  <c r="T495" i="1"/>
  <c r="U495" i="1"/>
  <c r="V495" i="1"/>
  <c r="W495" i="1"/>
  <c r="X495" i="1"/>
  <c r="Y495" i="1"/>
  <c r="Z495" i="1"/>
  <c r="AA495" i="1"/>
  <c r="AB495" i="1"/>
  <c r="AC495" i="1"/>
  <c r="AD495" i="1"/>
  <c r="AE495" i="1"/>
  <c r="AF495" i="1"/>
  <c r="AG495" i="1"/>
  <c r="AH495" i="1"/>
  <c r="AI495" i="1"/>
  <c r="AJ495" i="1"/>
  <c r="AQ495" i="1"/>
  <c r="AR495" i="1"/>
  <c r="AS495" i="1"/>
  <c r="L496" i="1"/>
  <c r="M496" i="1"/>
  <c r="N496" i="1"/>
  <c r="O496" i="1"/>
  <c r="P496" i="1"/>
  <c r="Q496" i="1"/>
  <c r="R496" i="1"/>
  <c r="S496" i="1"/>
  <c r="T496" i="1"/>
  <c r="U496" i="1"/>
  <c r="V496" i="1"/>
  <c r="W496" i="1"/>
  <c r="X496" i="1"/>
  <c r="Y496" i="1"/>
  <c r="Z496" i="1"/>
  <c r="AA496" i="1"/>
  <c r="AB496" i="1"/>
  <c r="AC496" i="1"/>
  <c r="AD496" i="1"/>
  <c r="AE496" i="1"/>
  <c r="AF496" i="1"/>
  <c r="AG496" i="1"/>
  <c r="AH496" i="1"/>
  <c r="AI496" i="1"/>
  <c r="AJ496" i="1"/>
  <c r="AQ496" i="1"/>
  <c r="AR496" i="1"/>
  <c r="AS496" i="1"/>
  <c r="L497" i="1"/>
  <c r="M497" i="1"/>
  <c r="N497" i="1"/>
  <c r="O497" i="1"/>
  <c r="P497" i="1"/>
  <c r="Q497" i="1"/>
  <c r="R497" i="1"/>
  <c r="S497" i="1"/>
  <c r="T497" i="1"/>
  <c r="U497" i="1"/>
  <c r="V497" i="1"/>
  <c r="W497" i="1"/>
  <c r="X497" i="1"/>
  <c r="Y497" i="1"/>
  <c r="Z497" i="1"/>
  <c r="AA497" i="1"/>
  <c r="AB497" i="1"/>
  <c r="AC497" i="1"/>
  <c r="AD497" i="1"/>
  <c r="AE497" i="1"/>
  <c r="AF497" i="1"/>
  <c r="AG497" i="1"/>
  <c r="AH497" i="1"/>
  <c r="AI497" i="1"/>
  <c r="AJ497" i="1"/>
  <c r="AQ497" i="1"/>
  <c r="AR497" i="1"/>
  <c r="AS497" i="1"/>
  <c r="L498" i="1"/>
  <c r="M498" i="1"/>
  <c r="N498" i="1"/>
  <c r="O498" i="1"/>
  <c r="P498" i="1"/>
  <c r="Q498" i="1"/>
  <c r="R498" i="1"/>
  <c r="S498" i="1"/>
  <c r="T498" i="1"/>
  <c r="U498" i="1"/>
  <c r="V498" i="1"/>
  <c r="W498" i="1"/>
  <c r="X498" i="1"/>
  <c r="Y498" i="1"/>
  <c r="Z498" i="1"/>
  <c r="AA498" i="1"/>
  <c r="AB498" i="1"/>
  <c r="AC498" i="1"/>
  <c r="AD498" i="1"/>
  <c r="AE498" i="1"/>
  <c r="AF498" i="1"/>
  <c r="AG498" i="1"/>
  <c r="AH498" i="1"/>
  <c r="AI498" i="1"/>
  <c r="AJ498" i="1"/>
  <c r="AQ498" i="1"/>
  <c r="AR498" i="1"/>
  <c r="AS498" i="1"/>
  <c r="L499" i="1"/>
  <c r="M499" i="1"/>
  <c r="N499" i="1"/>
  <c r="O499" i="1"/>
  <c r="P499" i="1"/>
  <c r="Q499" i="1"/>
  <c r="R499" i="1"/>
  <c r="S499" i="1"/>
  <c r="T499" i="1"/>
  <c r="U499" i="1"/>
  <c r="V499" i="1"/>
  <c r="W499" i="1"/>
  <c r="X499" i="1"/>
  <c r="Y499" i="1"/>
  <c r="Z499" i="1"/>
  <c r="AA499" i="1"/>
  <c r="AB499" i="1"/>
  <c r="AC499" i="1"/>
  <c r="AD499" i="1"/>
  <c r="AE499" i="1"/>
  <c r="AF499" i="1"/>
  <c r="AG499" i="1"/>
  <c r="AH499" i="1"/>
  <c r="AI499" i="1"/>
  <c r="AJ499" i="1"/>
  <c r="AQ499" i="1"/>
  <c r="AR499" i="1"/>
  <c r="AS499" i="1"/>
  <c r="L500" i="1"/>
  <c r="M500" i="1"/>
  <c r="N500" i="1"/>
  <c r="O500" i="1"/>
  <c r="P500" i="1"/>
  <c r="Q500" i="1"/>
  <c r="R500" i="1"/>
  <c r="S500" i="1"/>
  <c r="T500" i="1"/>
  <c r="U500" i="1"/>
  <c r="V500" i="1"/>
  <c r="W500" i="1"/>
  <c r="X500" i="1"/>
  <c r="Y500" i="1"/>
  <c r="Z500" i="1"/>
  <c r="AA500" i="1"/>
  <c r="AB500" i="1"/>
  <c r="AC500" i="1"/>
  <c r="AD500" i="1"/>
  <c r="AE500" i="1"/>
  <c r="AF500" i="1"/>
  <c r="AG500" i="1"/>
  <c r="AH500" i="1"/>
  <c r="AI500" i="1"/>
  <c r="AJ500" i="1"/>
  <c r="AQ500" i="1"/>
  <c r="AR500" i="1"/>
  <c r="AS500" i="1"/>
  <c r="L501" i="1"/>
  <c r="M501" i="1"/>
  <c r="N501" i="1"/>
  <c r="O501" i="1"/>
  <c r="P501" i="1"/>
  <c r="Q501" i="1"/>
  <c r="R501" i="1"/>
  <c r="S501" i="1"/>
  <c r="T501" i="1"/>
  <c r="U501" i="1"/>
  <c r="V501" i="1"/>
  <c r="W501" i="1"/>
  <c r="X501" i="1"/>
  <c r="Y501" i="1"/>
  <c r="Z501" i="1"/>
  <c r="AA501" i="1"/>
  <c r="AB501" i="1"/>
  <c r="AC501" i="1"/>
  <c r="AD501" i="1"/>
  <c r="AE501" i="1"/>
  <c r="AF501" i="1"/>
  <c r="AG501" i="1"/>
  <c r="AH501" i="1"/>
  <c r="AI501" i="1"/>
  <c r="AJ501" i="1"/>
  <c r="AQ501" i="1"/>
  <c r="AR501" i="1"/>
  <c r="AS501" i="1"/>
  <c r="L502" i="1"/>
  <c r="M502" i="1"/>
  <c r="N502" i="1"/>
  <c r="O502" i="1"/>
  <c r="P502" i="1"/>
  <c r="Q502" i="1"/>
  <c r="R502" i="1"/>
  <c r="S502" i="1"/>
  <c r="T502" i="1"/>
  <c r="U502" i="1"/>
  <c r="V502" i="1"/>
  <c r="W502" i="1"/>
  <c r="X502" i="1"/>
  <c r="Y502" i="1"/>
  <c r="Z502" i="1"/>
  <c r="AA502" i="1"/>
  <c r="AB502" i="1"/>
  <c r="AC502" i="1"/>
  <c r="AD502" i="1"/>
  <c r="AE502" i="1"/>
  <c r="AF502" i="1"/>
  <c r="AG502" i="1"/>
  <c r="AH502" i="1"/>
  <c r="AI502" i="1"/>
  <c r="AJ502" i="1"/>
  <c r="AQ502" i="1"/>
  <c r="AR502" i="1"/>
  <c r="AS502" i="1"/>
  <c r="L503" i="1"/>
  <c r="M503" i="1"/>
  <c r="N503" i="1"/>
  <c r="O503" i="1"/>
  <c r="P503" i="1"/>
  <c r="Q503" i="1"/>
  <c r="R503" i="1"/>
  <c r="S503" i="1"/>
  <c r="T503" i="1"/>
  <c r="U503" i="1"/>
  <c r="V503" i="1"/>
  <c r="W503" i="1"/>
  <c r="X503" i="1"/>
  <c r="Y503" i="1"/>
  <c r="Z503" i="1"/>
  <c r="AA503" i="1"/>
  <c r="AB503" i="1"/>
  <c r="AC503" i="1"/>
  <c r="AD503" i="1"/>
  <c r="AE503" i="1"/>
  <c r="AF503" i="1"/>
  <c r="AG503" i="1"/>
  <c r="AH503" i="1"/>
  <c r="AI503" i="1"/>
  <c r="AJ503" i="1"/>
  <c r="AQ503" i="1"/>
  <c r="AR503" i="1"/>
  <c r="AS503" i="1"/>
  <c r="L504" i="1"/>
  <c r="M504" i="1"/>
  <c r="N504" i="1"/>
  <c r="O504" i="1"/>
  <c r="P504" i="1"/>
  <c r="Q504" i="1"/>
  <c r="R504" i="1"/>
  <c r="S504" i="1"/>
  <c r="T504" i="1"/>
  <c r="U504" i="1"/>
  <c r="V504" i="1"/>
  <c r="W504" i="1"/>
  <c r="X504" i="1"/>
  <c r="Y504" i="1"/>
  <c r="Z504" i="1"/>
  <c r="AA504" i="1"/>
  <c r="AB504" i="1"/>
  <c r="AC504" i="1"/>
  <c r="AD504" i="1"/>
  <c r="AE504" i="1"/>
  <c r="AF504" i="1"/>
  <c r="AG504" i="1"/>
  <c r="AH504" i="1"/>
  <c r="AI504" i="1"/>
  <c r="AJ504" i="1"/>
  <c r="AQ504" i="1"/>
  <c r="AR504" i="1"/>
  <c r="AS504" i="1"/>
  <c r="L505" i="1"/>
  <c r="M505" i="1"/>
  <c r="N505" i="1"/>
  <c r="O505" i="1"/>
  <c r="P505" i="1"/>
  <c r="Q505" i="1"/>
  <c r="R505" i="1"/>
  <c r="S505" i="1"/>
  <c r="T505" i="1"/>
  <c r="U505" i="1"/>
  <c r="V505" i="1"/>
  <c r="W505" i="1"/>
  <c r="X505" i="1"/>
  <c r="Y505" i="1"/>
  <c r="Z505" i="1"/>
  <c r="AA505" i="1"/>
  <c r="AB505" i="1"/>
  <c r="AC505" i="1"/>
  <c r="AD505" i="1"/>
  <c r="AE505" i="1"/>
  <c r="AF505" i="1"/>
  <c r="AG505" i="1"/>
  <c r="AH505" i="1"/>
  <c r="AI505" i="1"/>
  <c r="AJ505" i="1"/>
  <c r="AQ505" i="1"/>
  <c r="AR505" i="1"/>
  <c r="AS505" i="1"/>
  <c r="L506" i="1"/>
  <c r="M506" i="1"/>
  <c r="N506" i="1"/>
  <c r="O506" i="1"/>
  <c r="P506" i="1"/>
  <c r="Q506" i="1"/>
  <c r="R506" i="1"/>
  <c r="S506" i="1"/>
  <c r="T506" i="1"/>
  <c r="U506" i="1"/>
  <c r="V506" i="1"/>
  <c r="W506" i="1"/>
  <c r="X506" i="1"/>
  <c r="Y506" i="1"/>
  <c r="Z506" i="1"/>
  <c r="AA506" i="1"/>
  <c r="AB506" i="1"/>
  <c r="AC506" i="1"/>
  <c r="AD506" i="1"/>
  <c r="AE506" i="1"/>
  <c r="AF506" i="1"/>
  <c r="AG506" i="1"/>
  <c r="AH506" i="1"/>
  <c r="AI506" i="1"/>
  <c r="AJ506" i="1"/>
  <c r="AQ506" i="1"/>
  <c r="AR506" i="1"/>
  <c r="AS506" i="1"/>
  <c r="L507" i="1"/>
  <c r="M507" i="1"/>
  <c r="N507" i="1"/>
  <c r="O507" i="1"/>
  <c r="P507" i="1"/>
  <c r="Q507" i="1"/>
  <c r="R507" i="1"/>
  <c r="S507" i="1"/>
  <c r="T507" i="1"/>
  <c r="U507" i="1"/>
  <c r="V507" i="1"/>
  <c r="W507" i="1"/>
  <c r="X507" i="1"/>
  <c r="Y507" i="1"/>
  <c r="Z507" i="1"/>
  <c r="AA507" i="1"/>
  <c r="AB507" i="1"/>
  <c r="AC507" i="1"/>
  <c r="AD507" i="1"/>
  <c r="AE507" i="1"/>
  <c r="AF507" i="1"/>
  <c r="AG507" i="1"/>
  <c r="AH507" i="1"/>
  <c r="AI507" i="1"/>
  <c r="AJ507" i="1"/>
  <c r="AQ507" i="1"/>
  <c r="AR507" i="1"/>
  <c r="AS507" i="1"/>
  <c r="L508" i="1"/>
  <c r="M508" i="1"/>
  <c r="N508" i="1"/>
  <c r="O508" i="1"/>
  <c r="P508" i="1"/>
  <c r="Q508" i="1"/>
  <c r="R508" i="1"/>
  <c r="S508" i="1"/>
  <c r="T508" i="1"/>
  <c r="U508" i="1"/>
  <c r="V508" i="1"/>
  <c r="W508" i="1"/>
  <c r="X508" i="1"/>
  <c r="Y508" i="1"/>
  <c r="Z508" i="1"/>
  <c r="AA508" i="1"/>
  <c r="AB508" i="1"/>
  <c r="AC508" i="1"/>
  <c r="AD508" i="1"/>
  <c r="AE508" i="1"/>
  <c r="AF508" i="1"/>
  <c r="AG508" i="1"/>
  <c r="AH508" i="1"/>
  <c r="AI508" i="1"/>
  <c r="AJ508" i="1"/>
  <c r="AQ508" i="1"/>
  <c r="AR508" i="1"/>
  <c r="AS508" i="1"/>
  <c r="L509" i="1"/>
  <c r="M509" i="1"/>
  <c r="N509" i="1"/>
  <c r="O509" i="1"/>
  <c r="P509" i="1"/>
  <c r="Q509" i="1"/>
  <c r="R509" i="1"/>
  <c r="S509" i="1"/>
  <c r="T509" i="1"/>
  <c r="U509" i="1"/>
  <c r="V509" i="1"/>
  <c r="W509" i="1"/>
  <c r="X509" i="1"/>
  <c r="Y509" i="1"/>
  <c r="Z509" i="1"/>
  <c r="AA509" i="1"/>
  <c r="AB509" i="1"/>
  <c r="AC509" i="1"/>
  <c r="AD509" i="1"/>
  <c r="AE509" i="1"/>
  <c r="AF509" i="1"/>
  <c r="AG509" i="1"/>
  <c r="AH509" i="1"/>
  <c r="AI509" i="1"/>
  <c r="AJ509" i="1"/>
  <c r="AQ509" i="1"/>
  <c r="AR509" i="1"/>
  <c r="AS509" i="1"/>
  <c r="L510" i="1"/>
  <c r="M510" i="1"/>
  <c r="N510" i="1"/>
  <c r="O510" i="1"/>
  <c r="P510" i="1"/>
  <c r="Q510" i="1"/>
  <c r="R510" i="1"/>
  <c r="S510" i="1"/>
  <c r="T510" i="1"/>
  <c r="U510" i="1"/>
  <c r="V510" i="1"/>
  <c r="W510" i="1"/>
  <c r="X510" i="1"/>
  <c r="Y510" i="1"/>
  <c r="Z510" i="1"/>
  <c r="AA510" i="1"/>
  <c r="AB510" i="1"/>
  <c r="AC510" i="1"/>
  <c r="AD510" i="1"/>
  <c r="AE510" i="1"/>
  <c r="AF510" i="1"/>
  <c r="AG510" i="1"/>
  <c r="AH510" i="1"/>
  <c r="AI510" i="1"/>
  <c r="AJ510" i="1"/>
  <c r="AQ510" i="1"/>
  <c r="AR510" i="1"/>
  <c r="AS510" i="1"/>
  <c r="L511" i="1"/>
  <c r="M511" i="1"/>
  <c r="N511" i="1"/>
  <c r="O511" i="1"/>
  <c r="P511" i="1"/>
  <c r="Q511" i="1"/>
  <c r="R511" i="1"/>
  <c r="S511" i="1"/>
  <c r="T511" i="1"/>
  <c r="U511" i="1"/>
  <c r="V511" i="1"/>
  <c r="W511" i="1"/>
  <c r="X511" i="1"/>
  <c r="Y511" i="1"/>
  <c r="Z511" i="1"/>
  <c r="AA511" i="1"/>
  <c r="AB511" i="1"/>
  <c r="AC511" i="1"/>
  <c r="AD511" i="1"/>
  <c r="AE511" i="1"/>
  <c r="AF511" i="1"/>
  <c r="AG511" i="1"/>
  <c r="AH511" i="1"/>
  <c r="AI511" i="1"/>
  <c r="AJ511" i="1"/>
  <c r="AQ511" i="1"/>
  <c r="AR511" i="1"/>
  <c r="AS511" i="1"/>
  <c r="L512" i="1"/>
  <c r="M512" i="1"/>
  <c r="N512" i="1"/>
  <c r="O512" i="1"/>
  <c r="P512" i="1"/>
  <c r="Q512" i="1"/>
  <c r="R512" i="1"/>
  <c r="S512" i="1"/>
  <c r="T512" i="1"/>
  <c r="U512" i="1"/>
  <c r="V512" i="1"/>
  <c r="W512" i="1"/>
  <c r="X512" i="1"/>
  <c r="Y512" i="1"/>
  <c r="Z512" i="1"/>
  <c r="AA512" i="1"/>
  <c r="AB512" i="1"/>
  <c r="AC512" i="1"/>
  <c r="AD512" i="1"/>
  <c r="AE512" i="1"/>
  <c r="AF512" i="1"/>
  <c r="AG512" i="1"/>
  <c r="AH512" i="1"/>
  <c r="AI512" i="1"/>
  <c r="AJ512" i="1"/>
  <c r="AQ512" i="1"/>
  <c r="AR512" i="1"/>
  <c r="AS512" i="1"/>
  <c r="L513" i="1"/>
  <c r="M513" i="1"/>
  <c r="N513" i="1"/>
  <c r="O513" i="1"/>
  <c r="P513" i="1"/>
  <c r="Q513" i="1"/>
  <c r="R513" i="1"/>
  <c r="S513" i="1"/>
  <c r="T513" i="1"/>
  <c r="U513" i="1"/>
  <c r="V513" i="1"/>
  <c r="W513" i="1"/>
  <c r="X513" i="1"/>
  <c r="Y513" i="1"/>
  <c r="Z513" i="1"/>
  <c r="AA513" i="1"/>
  <c r="AB513" i="1"/>
  <c r="AC513" i="1"/>
  <c r="AD513" i="1"/>
  <c r="AE513" i="1"/>
  <c r="AF513" i="1"/>
  <c r="AG513" i="1"/>
  <c r="AH513" i="1"/>
  <c r="AI513" i="1"/>
  <c r="AJ513" i="1"/>
  <c r="AQ513" i="1"/>
  <c r="AR513" i="1"/>
  <c r="AS513" i="1"/>
  <c r="L514" i="1"/>
  <c r="M514" i="1"/>
  <c r="N514" i="1"/>
  <c r="O514" i="1"/>
  <c r="P514" i="1"/>
  <c r="Q514" i="1"/>
  <c r="R514" i="1"/>
  <c r="S514" i="1"/>
  <c r="T514" i="1"/>
  <c r="U514" i="1"/>
  <c r="V514" i="1"/>
  <c r="W514" i="1"/>
  <c r="X514" i="1"/>
  <c r="Y514" i="1"/>
  <c r="Z514" i="1"/>
  <c r="AA514" i="1"/>
  <c r="AB514" i="1"/>
  <c r="AC514" i="1"/>
  <c r="AD514" i="1"/>
  <c r="AE514" i="1"/>
  <c r="AF514" i="1"/>
  <c r="AG514" i="1"/>
  <c r="AH514" i="1"/>
  <c r="AI514" i="1"/>
  <c r="AJ514" i="1"/>
  <c r="AQ514" i="1"/>
  <c r="AR514" i="1"/>
  <c r="AS514" i="1"/>
  <c r="L515" i="1"/>
  <c r="M515" i="1"/>
  <c r="N515" i="1"/>
  <c r="O515" i="1"/>
  <c r="P515" i="1"/>
  <c r="Q515" i="1"/>
  <c r="R515" i="1"/>
  <c r="S515" i="1"/>
  <c r="T515" i="1"/>
  <c r="U515" i="1"/>
  <c r="V515" i="1"/>
  <c r="W515" i="1"/>
  <c r="X515" i="1"/>
  <c r="Y515" i="1"/>
  <c r="Z515" i="1"/>
  <c r="AA515" i="1"/>
  <c r="AB515" i="1"/>
  <c r="AC515" i="1"/>
  <c r="AD515" i="1"/>
  <c r="AE515" i="1"/>
  <c r="AF515" i="1"/>
  <c r="AG515" i="1"/>
  <c r="AH515" i="1"/>
  <c r="AI515" i="1"/>
  <c r="AJ515" i="1"/>
  <c r="AQ515" i="1"/>
  <c r="AR515" i="1"/>
  <c r="AS515" i="1"/>
  <c r="L516" i="1"/>
  <c r="M516" i="1"/>
  <c r="N516" i="1"/>
  <c r="O516" i="1"/>
  <c r="P516" i="1"/>
  <c r="Q516" i="1"/>
  <c r="R516" i="1"/>
  <c r="S516" i="1"/>
  <c r="T516" i="1"/>
  <c r="U516" i="1"/>
  <c r="V516" i="1"/>
  <c r="W516" i="1"/>
  <c r="X516" i="1"/>
  <c r="Y516" i="1"/>
  <c r="Z516" i="1"/>
  <c r="AA516" i="1"/>
  <c r="AB516" i="1"/>
  <c r="AC516" i="1"/>
  <c r="AD516" i="1"/>
  <c r="AE516" i="1"/>
  <c r="AF516" i="1"/>
  <c r="AG516" i="1"/>
  <c r="AH516" i="1"/>
  <c r="AI516" i="1"/>
  <c r="AJ516" i="1"/>
  <c r="AQ516" i="1"/>
  <c r="AR516" i="1"/>
  <c r="AS516" i="1"/>
  <c r="L517" i="1"/>
  <c r="M517" i="1"/>
  <c r="N517" i="1"/>
  <c r="O517" i="1"/>
  <c r="P517" i="1"/>
  <c r="Q517" i="1"/>
  <c r="R517" i="1"/>
  <c r="S517" i="1"/>
  <c r="T517" i="1"/>
  <c r="U517" i="1"/>
  <c r="V517" i="1"/>
  <c r="W517" i="1"/>
  <c r="X517" i="1"/>
  <c r="Y517" i="1"/>
  <c r="Z517" i="1"/>
  <c r="AA517" i="1"/>
  <c r="AB517" i="1"/>
  <c r="AC517" i="1"/>
  <c r="AD517" i="1"/>
  <c r="AE517" i="1"/>
  <c r="AF517" i="1"/>
  <c r="AG517" i="1"/>
  <c r="AH517" i="1"/>
  <c r="AI517" i="1"/>
  <c r="AJ517" i="1"/>
  <c r="AQ517" i="1"/>
  <c r="AR517" i="1"/>
  <c r="AS517" i="1"/>
  <c r="L518" i="1"/>
  <c r="M518" i="1"/>
  <c r="N518" i="1"/>
  <c r="O518" i="1"/>
  <c r="P518" i="1"/>
  <c r="Q518" i="1"/>
  <c r="R518" i="1"/>
  <c r="S518" i="1"/>
  <c r="T518" i="1"/>
  <c r="U518" i="1"/>
  <c r="V518" i="1"/>
  <c r="W518" i="1"/>
  <c r="X518" i="1"/>
  <c r="Y518" i="1"/>
  <c r="Z518" i="1"/>
  <c r="AA518" i="1"/>
  <c r="AB518" i="1"/>
  <c r="AC518" i="1"/>
  <c r="AD518" i="1"/>
  <c r="AE518" i="1"/>
  <c r="AF518" i="1"/>
  <c r="AG518" i="1"/>
  <c r="AH518" i="1"/>
  <c r="AI518" i="1"/>
  <c r="AJ518" i="1"/>
  <c r="AQ518" i="1"/>
  <c r="AR518" i="1"/>
  <c r="AS518" i="1"/>
  <c r="L519" i="1"/>
  <c r="M519" i="1"/>
  <c r="N519" i="1"/>
  <c r="O519" i="1"/>
  <c r="P519" i="1"/>
  <c r="Q519" i="1"/>
  <c r="R519" i="1"/>
  <c r="S519" i="1"/>
  <c r="T519" i="1"/>
  <c r="U519" i="1"/>
  <c r="V519" i="1"/>
  <c r="W519" i="1"/>
  <c r="X519" i="1"/>
  <c r="Y519" i="1"/>
  <c r="Z519" i="1"/>
  <c r="AA519" i="1"/>
  <c r="AB519" i="1"/>
  <c r="AC519" i="1"/>
  <c r="AD519" i="1"/>
  <c r="AE519" i="1"/>
  <c r="AF519" i="1"/>
  <c r="AG519" i="1"/>
  <c r="AH519" i="1"/>
  <c r="AI519" i="1"/>
  <c r="AJ519" i="1"/>
  <c r="AQ519" i="1"/>
  <c r="AR519" i="1"/>
  <c r="AS519" i="1"/>
  <c r="L520" i="1"/>
  <c r="M520" i="1"/>
  <c r="N520" i="1"/>
  <c r="O520" i="1"/>
  <c r="P520" i="1"/>
  <c r="Q520" i="1"/>
  <c r="R520" i="1"/>
  <c r="S520" i="1"/>
  <c r="T520" i="1"/>
  <c r="U520" i="1"/>
  <c r="V520" i="1"/>
  <c r="W520" i="1"/>
  <c r="X520" i="1"/>
  <c r="Y520" i="1"/>
  <c r="Z520" i="1"/>
  <c r="AA520" i="1"/>
  <c r="AB520" i="1"/>
  <c r="AC520" i="1"/>
  <c r="AD520" i="1"/>
  <c r="AE520" i="1"/>
  <c r="AF520" i="1"/>
  <c r="AG520" i="1"/>
  <c r="AH520" i="1"/>
  <c r="AI520" i="1"/>
  <c r="AJ520" i="1"/>
  <c r="AQ520" i="1"/>
  <c r="AR520" i="1"/>
  <c r="AS520" i="1"/>
  <c r="L521" i="1"/>
  <c r="M521" i="1"/>
  <c r="N521" i="1"/>
  <c r="O521" i="1"/>
  <c r="P521" i="1"/>
  <c r="Q521" i="1"/>
  <c r="R521" i="1"/>
  <c r="S521" i="1"/>
  <c r="T521" i="1"/>
  <c r="U521" i="1"/>
  <c r="V521" i="1"/>
  <c r="W521" i="1"/>
  <c r="X521" i="1"/>
  <c r="Y521" i="1"/>
  <c r="Z521" i="1"/>
  <c r="AA521" i="1"/>
  <c r="AB521" i="1"/>
  <c r="AC521" i="1"/>
  <c r="AD521" i="1"/>
  <c r="AE521" i="1"/>
  <c r="AF521" i="1"/>
  <c r="AG521" i="1"/>
  <c r="AH521" i="1"/>
  <c r="AI521" i="1"/>
  <c r="AJ521" i="1"/>
  <c r="AQ521" i="1"/>
  <c r="AR521" i="1"/>
  <c r="AS521" i="1"/>
  <c r="L522" i="1"/>
  <c r="M522" i="1"/>
  <c r="N522" i="1"/>
  <c r="O522" i="1"/>
  <c r="P522" i="1"/>
  <c r="Q522" i="1"/>
  <c r="R522" i="1"/>
  <c r="S522" i="1"/>
  <c r="T522" i="1"/>
  <c r="U522" i="1"/>
  <c r="V522" i="1"/>
  <c r="W522" i="1"/>
  <c r="X522" i="1"/>
  <c r="Y522" i="1"/>
  <c r="Z522" i="1"/>
  <c r="AA522" i="1"/>
  <c r="AB522" i="1"/>
  <c r="AC522" i="1"/>
  <c r="AD522" i="1"/>
  <c r="AE522" i="1"/>
  <c r="AF522" i="1"/>
  <c r="AG522" i="1"/>
  <c r="AH522" i="1"/>
  <c r="AI522" i="1"/>
  <c r="AJ522" i="1"/>
  <c r="AQ522" i="1"/>
  <c r="AR522" i="1"/>
  <c r="AS522" i="1"/>
  <c r="L523" i="1"/>
  <c r="M523" i="1"/>
  <c r="N523" i="1"/>
  <c r="O523" i="1"/>
  <c r="P523" i="1"/>
  <c r="Q523" i="1"/>
  <c r="R523" i="1"/>
  <c r="S523" i="1"/>
  <c r="T523" i="1"/>
  <c r="U523" i="1"/>
  <c r="V523" i="1"/>
  <c r="W523" i="1"/>
  <c r="X523" i="1"/>
  <c r="Y523" i="1"/>
  <c r="Z523" i="1"/>
  <c r="AA523" i="1"/>
  <c r="AB523" i="1"/>
  <c r="AC523" i="1"/>
  <c r="AD523" i="1"/>
  <c r="AE523" i="1"/>
  <c r="AF523" i="1"/>
  <c r="AG523" i="1"/>
  <c r="AH523" i="1"/>
  <c r="AI523" i="1"/>
  <c r="AJ523" i="1"/>
  <c r="AQ523" i="1"/>
  <c r="AR523" i="1"/>
  <c r="AS523" i="1"/>
  <c r="L524" i="1"/>
  <c r="M524" i="1"/>
  <c r="N524" i="1"/>
  <c r="O524" i="1"/>
  <c r="P524" i="1"/>
  <c r="Q524" i="1"/>
  <c r="R524" i="1"/>
  <c r="S524" i="1"/>
  <c r="T524" i="1"/>
  <c r="U524" i="1"/>
  <c r="V524" i="1"/>
  <c r="W524" i="1"/>
  <c r="X524" i="1"/>
  <c r="Y524" i="1"/>
  <c r="Z524" i="1"/>
  <c r="AA524" i="1"/>
  <c r="AB524" i="1"/>
  <c r="AC524" i="1"/>
  <c r="AD524" i="1"/>
  <c r="AE524" i="1"/>
  <c r="AF524" i="1"/>
  <c r="AG524" i="1"/>
  <c r="AH524" i="1"/>
  <c r="AI524" i="1"/>
  <c r="AJ524" i="1"/>
  <c r="AQ524" i="1"/>
  <c r="AR524" i="1"/>
  <c r="AS524" i="1"/>
  <c r="L525" i="1"/>
  <c r="M525" i="1"/>
  <c r="N525" i="1"/>
  <c r="O525" i="1"/>
  <c r="P525" i="1"/>
  <c r="Q525" i="1"/>
  <c r="R525" i="1"/>
  <c r="S525" i="1"/>
  <c r="T525" i="1"/>
  <c r="U525" i="1"/>
  <c r="V525" i="1"/>
  <c r="W525" i="1"/>
  <c r="X525" i="1"/>
  <c r="Y525" i="1"/>
  <c r="Z525" i="1"/>
  <c r="AA525" i="1"/>
  <c r="AB525" i="1"/>
  <c r="AC525" i="1"/>
  <c r="AD525" i="1"/>
  <c r="AE525" i="1"/>
  <c r="AF525" i="1"/>
  <c r="AG525" i="1"/>
  <c r="AH525" i="1"/>
  <c r="AI525" i="1"/>
  <c r="AJ525" i="1"/>
  <c r="AQ525" i="1"/>
  <c r="AR525" i="1"/>
  <c r="AS525" i="1"/>
  <c r="L526" i="1"/>
  <c r="M526" i="1"/>
  <c r="N526" i="1"/>
  <c r="O526" i="1"/>
  <c r="P526" i="1"/>
  <c r="Q526" i="1"/>
  <c r="R526" i="1"/>
  <c r="S526" i="1"/>
  <c r="T526" i="1"/>
  <c r="U526" i="1"/>
  <c r="V526" i="1"/>
  <c r="W526" i="1"/>
  <c r="X526" i="1"/>
  <c r="Y526" i="1"/>
  <c r="Z526" i="1"/>
  <c r="AA526" i="1"/>
  <c r="AB526" i="1"/>
  <c r="AC526" i="1"/>
  <c r="AD526" i="1"/>
  <c r="AE526" i="1"/>
  <c r="AF526" i="1"/>
  <c r="AG526" i="1"/>
  <c r="AH526" i="1"/>
  <c r="AI526" i="1"/>
  <c r="AJ526" i="1"/>
  <c r="AQ526" i="1"/>
  <c r="AR526" i="1"/>
  <c r="AS526" i="1"/>
  <c r="L527" i="1"/>
  <c r="M527" i="1"/>
  <c r="N527" i="1"/>
  <c r="O527" i="1"/>
  <c r="P527" i="1"/>
  <c r="Q527" i="1"/>
  <c r="R527" i="1"/>
  <c r="S527" i="1"/>
  <c r="T527" i="1"/>
  <c r="U527" i="1"/>
  <c r="V527" i="1"/>
  <c r="W527" i="1"/>
  <c r="X527" i="1"/>
  <c r="Y527" i="1"/>
  <c r="Z527" i="1"/>
  <c r="AA527" i="1"/>
  <c r="AB527" i="1"/>
  <c r="AC527" i="1"/>
  <c r="AD527" i="1"/>
  <c r="AE527" i="1"/>
  <c r="AF527" i="1"/>
  <c r="AG527" i="1"/>
  <c r="AH527" i="1"/>
  <c r="AI527" i="1"/>
  <c r="AJ527" i="1"/>
  <c r="AQ527" i="1"/>
  <c r="AR527" i="1"/>
  <c r="AS527" i="1"/>
  <c r="L528" i="1"/>
  <c r="M528" i="1"/>
  <c r="N528" i="1"/>
  <c r="O528" i="1"/>
  <c r="P528" i="1"/>
  <c r="Q528" i="1"/>
  <c r="R528" i="1"/>
  <c r="S528" i="1"/>
  <c r="T528" i="1"/>
  <c r="U528" i="1"/>
  <c r="V528" i="1"/>
  <c r="W528" i="1"/>
  <c r="X528" i="1"/>
  <c r="Y528" i="1"/>
  <c r="Z528" i="1"/>
  <c r="AA528" i="1"/>
  <c r="AB528" i="1"/>
  <c r="AC528" i="1"/>
  <c r="AD528" i="1"/>
  <c r="AE528" i="1"/>
  <c r="AF528" i="1"/>
  <c r="AG528" i="1"/>
  <c r="AH528" i="1"/>
  <c r="AI528" i="1"/>
  <c r="AJ528" i="1"/>
  <c r="AQ528" i="1"/>
  <c r="AR528" i="1"/>
  <c r="AS528" i="1"/>
  <c r="L529" i="1"/>
  <c r="M529" i="1"/>
  <c r="N529" i="1"/>
  <c r="O529" i="1"/>
  <c r="P529" i="1"/>
  <c r="Q529" i="1"/>
  <c r="R529" i="1"/>
  <c r="S529" i="1"/>
  <c r="T529" i="1"/>
  <c r="U529" i="1"/>
  <c r="V529" i="1"/>
  <c r="W529" i="1"/>
  <c r="X529" i="1"/>
  <c r="Y529" i="1"/>
  <c r="Z529" i="1"/>
  <c r="AA529" i="1"/>
  <c r="AB529" i="1"/>
  <c r="AC529" i="1"/>
  <c r="AD529" i="1"/>
  <c r="AE529" i="1"/>
  <c r="AF529" i="1"/>
  <c r="AG529" i="1"/>
  <c r="AH529" i="1"/>
  <c r="AI529" i="1"/>
  <c r="AJ529" i="1"/>
  <c r="AQ529" i="1"/>
  <c r="AR529" i="1"/>
  <c r="AS529" i="1"/>
  <c r="L530" i="1"/>
  <c r="M530" i="1"/>
  <c r="N530" i="1"/>
  <c r="O530" i="1"/>
  <c r="P530" i="1"/>
  <c r="Q530" i="1"/>
  <c r="R530" i="1"/>
  <c r="S530" i="1"/>
  <c r="T530" i="1"/>
  <c r="U530" i="1"/>
  <c r="V530" i="1"/>
  <c r="W530" i="1"/>
  <c r="X530" i="1"/>
  <c r="Y530" i="1"/>
  <c r="Z530" i="1"/>
  <c r="AA530" i="1"/>
  <c r="AB530" i="1"/>
  <c r="AC530" i="1"/>
  <c r="AD530" i="1"/>
  <c r="AE530" i="1"/>
  <c r="AF530" i="1"/>
  <c r="AG530" i="1"/>
  <c r="AH530" i="1"/>
  <c r="AI530" i="1"/>
  <c r="AJ530" i="1"/>
  <c r="AQ530" i="1"/>
  <c r="AR530" i="1"/>
  <c r="AS530" i="1"/>
  <c r="L531" i="1"/>
  <c r="M531" i="1"/>
  <c r="N531" i="1"/>
  <c r="O531" i="1"/>
  <c r="P531" i="1"/>
  <c r="Q531" i="1"/>
  <c r="R531" i="1"/>
  <c r="S531" i="1"/>
  <c r="T531" i="1"/>
  <c r="U531" i="1"/>
  <c r="V531" i="1"/>
  <c r="W531" i="1"/>
  <c r="X531" i="1"/>
  <c r="Y531" i="1"/>
  <c r="Z531" i="1"/>
  <c r="AA531" i="1"/>
  <c r="AB531" i="1"/>
  <c r="AC531" i="1"/>
  <c r="AD531" i="1"/>
  <c r="AE531" i="1"/>
  <c r="AF531" i="1"/>
  <c r="AG531" i="1"/>
  <c r="AH531" i="1"/>
  <c r="AI531" i="1"/>
  <c r="AJ531" i="1"/>
  <c r="AQ531" i="1"/>
  <c r="AR531" i="1"/>
  <c r="AS531" i="1"/>
  <c r="L532" i="1"/>
  <c r="M532" i="1"/>
  <c r="N532" i="1"/>
  <c r="O532" i="1"/>
  <c r="P532" i="1"/>
  <c r="Q532" i="1"/>
  <c r="R532" i="1"/>
  <c r="S532" i="1"/>
  <c r="T532" i="1"/>
  <c r="U532" i="1"/>
  <c r="V532" i="1"/>
  <c r="W532" i="1"/>
  <c r="X532" i="1"/>
  <c r="Y532" i="1"/>
  <c r="Z532" i="1"/>
  <c r="AA532" i="1"/>
  <c r="AB532" i="1"/>
  <c r="AC532" i="1"/>
  <c r="AD532" i="1"/>
  <c r="AE532" i="1"/>
  <c r="AF532" i="1"/>
  <c r="AG532" i="1"/>
  <c r="AH532" i="1"/>
  <c r="AI532" i="1"/>
  <c r="AJ532" i="1"/>
  <c r="AQ532" i="1"/>
  <c r="AR532" i="1"/>
  <c r="AS532" i="1"/>
  <c r="L533" i="1"/>
  <c r="M533" i="1"/>
  <c r="N533" i="1"/>
  <c r="O533" i="1"/>
  <c r="P533" i="1"/>
  <c r="Q533" i="1"/>
  <c r="R533" i="1"/>
  <c r="S533" i="1"/>
  <c r="T533" i="1"/>
  <c r="U533" i="1"/>
  <c r="V533" i="1"/>
  <c r="W533" i="1"/>
  <c r="X533" i="1"/>
  <c r="Y533" i="1"/>
  <c r="Z533" i="1"/>
  <c r="AA533" i="1"/>
  <c r="AB533" i="1"/>
  <c r="AC533" i="1"/>
  <c r="AD533" i="1"/>
  <c r="AE533" i="1"/>
  <c r="AF533" i="1"/>
  <c r="AG533" i="1"/>
  <c r="AH533" i="1"/>
  <c r="AI533" i="1"/>
  <c r="AJ533" i="1"/>
  <c r="AQ533" i="1"/>
  <c r="AR533" i="1"/>
  <c r="AS533" i="1"/>
  <c r="L534" i="1"/>
  <c r="M534" i="1"/>
  <c r="N534" i="1"/>
  <c r="O534" i="1"/>
  <c r="P534" i="1"/>
  <c r="Q534" i="1"/>
  <c r="R534" i="1"/>
  <c r="S534" i="1"/>
  <c r="T534" i="1"/>
  <c r="U534" i="1"/>
  <c r="V534" i="1"/>
  <c r="W534" i="1"/>
  <c r="X534" i="1"/>
  <c r="Y534" i="1"/>
  <c r="Z534" i="1"/>
  <c r="AA534" i="1"/>
  <c r="AB534" i="1"/>
  <c r="AC534" i="1"/>
  <c r="AD534" i="1"/>
  <c r="AE534" i="1"/>
  <c r="AF534" i="1"/>
  <c r="AG534" i="1"/>
  <c r="AH534" i="1"/>
  <c r="AI534" i="1"/>
  <c r="AJ534" i="1"/>
  <c r="AQ534" i="1"/>
  <c r="AR534" i="1"/>
  <c r="AS534" i="1"/>
  <c r="L535" i="1"/>
  <c r="M535" i="1"/>
  <c r="N535" i="1"/>
  <c r="O535" i="1"/>
  <c r="P535" i="1"/>
  <c r="Q535" i="1"/>
  <c r="R535" i="1"/>
  <c r="S535" i="1"/>
  <c r="T535" i="1"/>
  <c r="U535" i="1"/>
  <c r="V535" i="1"/>
  <c r="W535" i="1"/>
  <c r="X535" i="1"/>
  <c r="Y535" i="1"/>
  <c r="Z535" i="1"/>
  <c r="AA535" i="1"/>
  <c r="AB535" i="1"/>
  <c r="AC535" i="1"/>
  <c r="AD535" i="1"/>
  <c r="AE535" i="1"/>
  <c r="AF535" i="1"/>
  <c r="AG535" i="1"/>
  <c r="AH535" i="1"/>
  <c r="AI535" i="1"/>
  <c r="AJ535" i="1"/>
  <c r="AQ535" i="1"/>
  <c r="AR535" i="1"/>
  <c r="AS535" i="1"/>
  <c r="L536" i="1"/>
  <c r="M536" i="1"/>
  <c r="N536" i="1"/>
  <c r="O536" i="1"/>
  <c r="P536" i="1"/>
  <c r="Q536" i="1"/>
  <c r="R536" i="1"/>
  <c r="S536" i="1"/>
  <c r="T536" i="1"/>
  <c r="U536" i="1"/>
  <c r="V536" i="1"/>
  <c r="W536" i="1"/>
  <c r="X536" i="1"/>
  <c r="Y536" i="1"/>
  <c r="Z536" i="1"/>
  <c r="AA536" i="1"/>
  <c r="AB536" i="1"/>
  <c r="AC536" i="1"/>
  <c r="AD536" i="1"/>
  <c r="AE536" i="1"/>
  <c r="AF536" i="1"/>
  <c r="AG536" i="1"/>
  <c r="AH536" i="1"/>
  <c r="AI536" i="1"/>
  <c r="AJ536" i="1"/>
  <c r="AQ536" i="1"/>
  <c r="AR536" i="1"/>
  <c r="AS536" i="1"/>
  <c r="L537" i="1"/>
  <c r="M537" i="1"/>
  <c r="N537" i="1"/>
  <c r="O537" i="1"/>
  <c r="P537" i="1"/>
  <c r="Q537" i="1"/>
  <c r="R537" i="1"/>
  <c r="S537" i="1"/>
  <c r="T537" i="1"/>
  <c r="U537" i="1"/>
  <c r="V537" i="1"/>
  <c r="W537" i="1"/>
  <c r="X537" i="1"/>
  <c r="Y537" i="1"/>
  <c r="Z537" i="1"/>
  <c r="AA537" i="1"/>
  <c r="AB537" i="1"/>
  <c r="AC537" i="1"/>
  <c r="AD537" i="1"/>
  <c r="AE537" i="1"/>
  <c r="AF537" i="1"/>
  <c r="AG537" i="1"/>
  <c r="AH537" i="1"/>
  <c r="AI537" i="1"/>
  <c r="AJ537" i="1"/>
  <c r="AQ537" i="1"/>
  <c r="AR537" i="1"/>
  <c r="AS537" i="1"/>
  <c r="L538" i="1"/>
  <c r="M538" i="1"/>
  <c r="N538" i="1"/>
  <c r="O538" i="1"/>
  <c r="P538" i="1"/>
  <c r="Q538" i="1"/>
  <c r="R538" i="1"/>
  <c r="S538" i="1"/>
  <c r="T538" i="1"/>
  <c r="U538" i="1"/>
  <c r="V538" i="1"/>
  <c r="W538" i="1"/>
  <c r="X538" i="1"/>
  <c r="Y538" i="1"/>
  <c r="Z538" i="1"/>
  <c r="AA538" i="1"/>
  <c r="AB538" i="1"/>
  <c r="AC538" i="1"/>
  <c r="AD538" i="1"/>
  <c r="AE538" i="1"/>
  <c r="AF538" i="1"/>
  <c r="AG538" i="1"/>
  <c r="AH538" i="1"/>
  <c r="AI538" i="1"/>
  <c r="AJ538" i="1"/>
  <c r="AQ538" i="1"/>
  <c r="AR538" i="1"/>
  <c r="AS538" i="1"/>
  <c r="L539" i="1"/>
  <c r="M539" i="1"/>
  <c r="N539" i="1"/>
  <c r="O539" i="1"/>
  <c r="P539" i="1"/>
  <c r="Q539" i="1"/>
  <c r="R539" i="1"/>
  <c r="S539" i="1"/>
  <c r="T539" i="1"/>
  <c r="U539" i="1"/>
  <c r="V539" i="1"/>
  <c r="W539" i="1"/>
  <c r="X539" i="1"/>
  <c r="Y539" i="1"/>
  <c r="Z539" i="1"/>
  <c r="AA539" i="1"/>
  <c r="AB539" i="1"/>
  <c r="AC539" i="1"/>
  <c r="AD539" i="1"/>
  <c r="AE539" i="1"/>
  <c r="AF539" i="1"/>
  <c r="AG539" i="1"/>
  <c r="AH539" i="1"/>
  <c r="AI539" i="1"/>
  <c r="AJ539" i="1"/>
  <c r="AQ539" i="1"/>
  <c r="AR539" i="1"/>
  <c r="AS539" i="1"/>
  <c r="L540" i="1"/>
  <c r="M540" i="1"/>
  <c r="N540" i="1"/>
  <c r="O540" i="1"/>
  <c r="P540" i="1"/>
  <c r="Q540" i="1"/>
  <c r="R540" i="1"/>
  <c r="S540" i="1"/>
  <c r="T540" i="1"/>
  <c r="U540" i="1"/>
  <c r="V540" i="1"/>
  <c r="W540" i="1"/>
  <c r="X540" i="1"/>
  <c r="Y540" i="1"/>
  <c r="Z540" i="1"/>
  <c r="AA540" i="1"/>
  <c r="AB540" i="1"/>
  <c r="AC540" i="1"/>
  <c r="AD540" i="1"/>
  <c r="AE540" i="1"/>
  <c r="AF540" i="1"/>
  <c r="AG540" i="1"/>
  <c r="AH540" i="1"/>
  <c r="AI540" i="1"/>
  <c r="AJ540" i="1"/>
  <c r="AQ540" i="1"/>
  <c r="AR540" i="1"/>
  <c r="AS540" i="1"/>
  <c r="L541" i="1"/>
  <c r="M541" i="1"/>
  <c r="N541" i="1"/>
  <c r="O541" i="1"/>
  <c r="P541" i="1"/>
  <c r="Q541" i="1"/>
  <c r="R541" i="1"/>
  <c r="S541" i="1"/>
  <c r="T541" i="1"/>
  <c r="U541" i="1"/>
  <c r="V541" i="1"/>
  <c r="W541" i="1"/>
  <c r="X541" i="1"/>
  <c r="Y541" i="1"/>
  <c r="Z541" i="1"/>
  <c r="AA541" i="1"/>
  <c r="AB541" i="1"/>
  <c r="AC541" i="1"/>
  <c r="AD541" i="1"/>
  <c r="AE541" i="1"/>
  <c r="AF541" i="1"/>
  <c r="AG541" i="1"/>
  <c r="AH541" i="1"/>
  <c r="AI541" i="1"/>
  <c r="AJ541" i="1"/>
  <c r="AQ541" i="1"/>
  <c r="AR541" i="1"/>
  <c r="AS541" i="1"/>
  <c r="L542" i="1"/>
  <c r="M542" i="1"/>
  <c r="N542" i="1"/>
  <c r="O542" i="1"/>
  <c r="P542" i="1"/>
  <c r="Q542" i="1"/>
  <c r="R542" i="1"/>
  <c r="S542" i="1"/>
  <c r="T542" i="1"/>
  <c r="U542" i="1"/>
  <c r="V542" i="1"/>
  <c r="W542" i="1"/>
  <c r="X542" i="1"/>
  <c r="Y542" i="1"/>
  <c r="Z542" i="1"/>
  <c r="AA542" i="1"/>
  <c r="AB542" i="1"/>
  <c r="AC542" i="1"/>
  <c r="AD542" i="1"/>
  <c r="AE542" i="1"/>
  <c r="AF542" i="1"/>
  <c r="AG542" i="1"/>
  <c r="AH542" i="1"/>
  <c r="AI542" i="1"/>
  <c r="AJ542" i="1"/>
  <c r="AQ542" i="1"/>
  <c r="AR542" i="1"/>
  <c r="AS542" i="1"/>
  <c r="L543" i="1"/>
  <c r="M543" i="1"/>
  <c r="N543" i="1"/>
  <c r="O543" i="1"/>
  <c r="P543" i="1"/>
  <c r="Q543" i="1"/>
  <c r="R543" i="1"/>
  <c r="S543" i="1"/>
  <c r="T543" i="1"/>
  <c r="U543" i="1"/>
  <c r="V543" i="1"/>
  <c r="W543" i="1"/>
  <c r="X543" i="1"/>
  <c r="Y543" i="1"/>
  <c r="Z543" i="1"/>
  <c r="AA543" i="1"/>
  <c r="AB543" i="1"/>
  <c r="AC543" i="1"/>
  <c r="AD543" i="1"/>
  <c r="AE543" i="1"/>
  <c r="AF543" i="1"/>
  <c r="AG543" i="1"/>
  <c r="AH543" i="1"/>
  <c r="AI543" i="1"/>
  <c r="AJ543" i="1"/>
  <c r="AQ543" i="1"/>
  <c r="AR543" i="1"/>
  <c r="AS543" i="1"/>
  <c r="L544" i="1"/>
  <c r="M544" i="1"/>
  <c r="N544" i="1"/>
  <c r="O544" i="1"/>
  <c r="P544" i="1"/>
  <c r="Q544" i="1"/>
  <c r="R544" i="1"/>
  <c r="S544" i="1"/>
  <c r="T544" i="1"/>
  <c r="U544" i="1"/>
  <c r="V544" i="1"/>
  <c r="W544" i="1"/>
  <c r="X544" i="1"/>
  <c r="Y544" i="1"/>
  <c r="Z544" i="1"/>
  <c r="AA544" i="1"/>
  <c r="AB544" i="1"/>
  <c r="AC544" i="1"/>
  <c r="AD544" i="1"/>
  <c r="AE544" i="1"/>
  <c r="AF544" i="1"/>
  <c r="AG544" i="1"/>
  <c r="AH544" i="1"/>
  <c r="AI544" i="1"/>
  <c r="AJ544" i="1"/>
  <c r="AQ544" i="1"/>
  <c r="AR544" i="1"/>
  <c r="AS544" i="1"/>
  <c r="L545" i="1"/>
  <c r="M545" i="1"/>
  <c r="N545" i="1"/>
  <c r="O545" i="1"/>
  <c r="P545" i="1"/>
  <c r="Q545" i="1"/>
  <c r="R545" i="1"/>
  <c r="S545" i="1"/>
  <c r="T545" i="1"/>
  <c r="U545" i="1"/>
  <c r="V545" i="1"/>
  <c r="W545" i="1"/>
  <c r="X545" i="1"/>
  <c r="Y545" i="1"/>
  <c r="Z545" i="1"/>
  <c r="AA545" i="1"/>
  <c r="AB545" i="1"/>
  <c r="AC545" i="1"/>
  <c r="AD545" i="1"/>
  <c r="AE545" i="1"/>
  <c r="AF545" i="1"/>
  <c r="AG545" i="1"/>
  <c r="AH545" i="1"/>
  <c r="AI545" i="1"/>
  <c r="AJ545" i="1"/>
  <c r="AQ545" i="1"/>
  <c r="AR545" i="1"/>
  <c r="AS545" i="1"/>
  <c r="L546" i="1"/>
  <c r="M546" i="1"/>
  <c r="N546" i="1"/>
  <c r="O546" i="1"/>
  <c r="P546" i="1"/>
  <c r="Q546" i="1"/>
  <c r="R546" i="1"/>
  <c r="S546" i="1"/>
  <c r="T546" i="1"/>
  <c r="U546" i="1"/>
  <c r="V546" i="1"/>
  <c r="W546" i="1"/>
  <c r="X546" i="1"/>
  <c r="Y546" i="1"/>
  <c r="Z546" i="1"/>
  <c r="AA546" i="1"/>
  <c r="AB546" i="1"/>
  <c r="AC546" i="1"/>
  <c r="AD546" i="1"/>
  <c r="AE546" i="1"/>
  <c r="AF546" i="1"/>
  <c r="AG546" i="1"/>
  <c r="AH546" i="1"/>
  <c r="AI546" i="1"/>
  <c r="AJ546" i="1"/>
  <c r="AQ546" i="1"/>
  <c r="AR546" i="1"/>
  <c r="AS546" i="1"/>
  <c r="L547" i="1"/>
  <c r="M547" i="1"/>
  <c r="N547" i="1"/>
  <c r="O547" i="1"/>
  <c r="P547" i="1"/>
  <c r="Q547" i="1"/>
  <c r="R547" i="1"/>
  <c r="S547" i="1"/>
  <c r="T547" i="1"/>
  <c r="U547" i="1"/>
  <c r="V547" i="1"/>
  <c r="W547" i="1"/>
  <c r="X547" i="1"/>
  <c r="Y547" i="1"/>
  <c r="Z547" i="1"/>
  <c r="AA547" i="1"/>
  <c r="AB547" i="1"/>
  <c r="AC547" i="1"/>
  <c r="AD547" i="1"/>
  <c r="AE547" i="1"/>
  <c r="AF547" i="1"/>
  <c r="AG547" i="1"/>
  <c r="AH547" i="1"/>
  <c r="AI547" i="1"/>
  <c r="AJ547" i="1"/>
  <c r="AQ547" i="1"/>
  <c r="AR547" i="1"/>
  <c r="AS547" i="1"/>
  <c r="L548" i="1"/>
  <c r="M548" i="1"/>
  <c r="N548" i="1"/>
  <c r="O548" i="1"/>
  <c r="P548" i="1"/>
  <c r="Q548" i="1"/>
  <c r="R548" i="1"/>
  <c r="S548" i="1"/>
  <c r="T548" i="1"/>
  <c r="U548" i="1"/>
  <c r="V548" i="1"/>
  <c r="W548" i="1"/>
  <c r="X548" i="1"/>
  <c r="Y548" i="1"/>
  <c r="Z548" i="1"/>
  <c r="AA548" i="1"/>
  <c r="AB548" i="1"/>
  <c r="AC548" i="1"/>
  <c r="AD548" i="1"/>
  <c r="AE548" i="1"/>
  <c r="AF548" i="1"/>
  <c r="AG548" i="1"/>
  <c r="AH548" i="1"/>
  <c r="AI548" i="1"/>
  <c r="AJ548" i="1"/>
  <c r="AQ548" i="1"/>
  <c r="AR548" i="1"/>
  <c r="AS548" i="1"/>
  <c r="L549" i="1"/>
  <c r="M549" i="1"/>
  <c r="N549" i="1"/>
  <c r="O549" i="1"/>
  <c r="P549" i="1"/>
  <c r="Q549" i="1"/>
  <c r="R549" i="1"/>
  <c r="S549" i="1"/>
  <c r="T549" i="1"/>
  <c r="U549" i="1"/>
  <c r="V549" i="1"/>
  <c r="W549" i="1"/>
  <c r="X549" i="1"/>
  <c r="Y549" i="1"/>
  <c r="Z549" i="1"/>
  <c r="AA549" i="1"/>
  <c r="AB549" i="1"/>
  <c r="AC549" i="1"/>
  <c r="AD549" i="1"/>
  <c r="AE549" i="1"/>
  <c r="AF549" i="1"/>
  <c r="AG549" i="1"/>
  <c r="AH549" i="1"/>
  <c r="AI549" i="1"/>
  <c r="AJ549" i="1"/>
  <c r="AQ549" i="1"/>
  <c r="AR549" i="1"/>
  <c r="AS549" i="1"/>
  <c r="L550" i="1"/>
  <c r="M550" i="1"/>
  <c r="N550" i="1"/>
  <c r="O550" i="1"/>
  <c r="P550" i="1"/>
  <c r="Q550" i="1"/>
  <c r="R550" i="1"/>
  <c r="S550" i="1"/>
  <c r="T550" i="1"/>
  <c r="U550" i="1"/>
  <c r="V550" i="1"/>
  <c r="W550" i="1"/>
  <c r="X550" i="1"/>
  <c r="Y550" i="1"/>
  <c r="Z550" i="1"/>
  <c r="AA550" i="1"/>
  <c r="AB550" i="1"/>
  <c r="AC550" i="1"/>
  <c r="AD550" i="1"/>
  <c r="AE550" i="1"/>
  <c r="AF550" i="1"/>
  <c r="AG550" i="1"/>
  <c r="AH550" i="1"/>
  <c r="AI550" i="1"/>
  <c r="AJ550" i="1"/>
  <c r="AQ550" i="1"/>
  <c r="AR550" i="1"/>
  <c r="AS550" i="1"/>
  <c r="L551" i="1"/>
  <c r="M551" i="1"/>
  <c r="N551" i="1"/>
  <c r="O551" i="1"/>
  <c r="P551" i="1"/>
  <c r="Q551" i="1"/>
  <c r="R551" i="1"/>
  <c r="S551" i="1"/>
  <c r="T551" i="1"/>
  <c r="U551" i="1"/>
  <c r="V551" i="1"/>
  <c r="W551" i="1"/>
  <c r="X551" i="1"/>
  <c r="Y551" i="1"/>
  <c r="Z551" i="1"/>
  <c r="AA551" i="1"/>
  <c r="AB551" i="1"/>
  <c r="AC551" i="1"/>
  <c r="AD551" i="1"/>
  <c r="AE551" i="1"/>
  <c r="AF551" i="1"/>
  <c r="AG551" i="1"/>
  <c r="AH551" i="1"/>
  <c r="AI551" i="1"/>
  <c r="AJ551" i="1"/>
  <c r="AQ551" i="1"/>
  <c r="AR551" i="1"/>
  <c r="AS551" i="1"/>
  <c r="L552" i="1"/>
  <c r="M552" i="1"/>
  <c r="N552" i="1"/>
  <c r="O552" i="1"/>
  <c r="P552" i="1"/>
  <c r="Q552" i="1"/>
  <c r="R552" i="1"/>
  <c r="S552" i="1"/>
  <c r="T552" i="1"/>
  <c r="U552" i="1"/>
  <c r="V552" i="1"/>
  <c r="W552" i="1"/>
  <c r="X552" i="1"/>
  <c r="Y552" i="1"/>
  <c r="Z552" i="1"/>
  <c r="AA552" i="1"/>
  <c r="AB552" i="1"/>
  <c r="AC552" i="1"/>
  <c r="AD552" i="1"/>
  <c r="AE552" i="1"/>
  <c r="AF552" i="1"/>
  <c r="AG552" i="1"/>
  <c r="AH552" i="1"/>
  <c r="AI552" i="1"/>
  <c r="AJ552" i="1"/>
  <c r="AQ552" i="1"/>
  <c r="AR552" i="1"/>
  <c r="AS552" i="1"/>
  <c r="L553" i="1"/>
  <c r="M553" i="1"/>
  <c r="N553" i="1"/>
  <c r="O553" i="1"/>
  <c r="P553" i="1"/>
  <c r="Q553" i="1"/>
  <c r="R553" i="1"/>
  <c r="S553" i="1"/>
  <c r="T553" i="1"/>
  <c r="U553" i="1"/>
  <c r="V553" i="1"/>
  <c r="W553" i="1"/>
  <c r="X553" i="1"/>
  <c r="Y553" i="1"/>
  <c r="Z553" i="1"/>
  <c r="AA553" i="1"/>
  <c r="AB553" i="1"/>
  <c r="AC553" i="1"/>
  <c r="AD553" i="1"/>
  <c r="AE553" i="1"/>
  <c r="AF553" i="1"/>
  <c r="AG553" i="1"/>
  <c r="AH553" i="1"/>
  <c r="AI553" i="1"/>
  <c r="AJ553" i="1"/>
  <c r="AQ553" i="1"/>
  <c r="AR553" i="1"/>
  <c r="AS553" i="1"/>
  <c r="L554" i="1"/>
  <c r="M554" i="1"/>
  <c r="N554" i="1"/>
  <c r="O554" i="1"/>
  <c r="P554" i="1"/>
  <c r="Q554" i="1"/>
  <c r="R554" i="1"/>
  <c r="S554" i="1"/>
  <c r="T554" i="1"/>
  <c r="U554" i="1"/>
  <c r="V554" i="1"/>
  <c r="W554" i="1"/>
  <c r="X554" i="1"/>
  <c r="Y554" i="1"/>
  <c r="Z554" i="1"/>
  <c r="AA554" i="1"/>
  <c r="AB554" i="1"/>
  <c r="AC554" i="1"/>
  <c r="AD554" i="1"/>
  <c r="AE554" i="1"/>
  <c r="AF554" i="1"/>
  <c r="AG554" i="1"/>
  <c r="AH554" i="1"/>
  <c r="AI554" i="1"/>
  <c r="AJ554" i="1"/>
  <c r="AQ554" i="1"/>
  <c r="AR554" i="1"/>
  <c r="AS554" i="1"/>
  <c r="L555" i="1"/>
  <c r="M555" i="1"/>
  <c r="N555" i="1"/>
  <c r="O555" i="1"/>
  <c r="P555" i="1"/>
  <c r="Q555" i="1"/>
  <c r="R555" i="1"/>
  <c r="S555" i="1"/>
  <c r="T555" i="1"/>
  <c r="U555" i="1"/>
  <c r="V555" i="1"/>
  <c r="W555" i="1"/>
  <c r="X555" i="1"/>
  <c r="Y555" i="1"/>
  <c r="Z555" i="1"/>
  <c r="AA555" i="1"/>
  <c r="AB555" i="1"/>
  <c r="AC555" i="1"/>
  <c r="AD555" i="1"/>
  <c r="AE555" i="1"/>
  <c r="AF555" i="1"/>
  <c r="AG555" i="1"/>
  <c r="AH555" i="1"/>
  <c r="AI555" i="1"/>
  <c r="AJ555" i="1"/>
  <c r="AQ555" i="1"/>
  <c r="AR555" i="1"/>
  <c r="AS555" i="1"/>
  <c r="L556" i="1"/>
  <c r="M556" i="1"/>
  <c r="N556" i="1"/>
  <c r="O556" i="1"/>
  <c r="P556" i="1"/>
  <c r="Q556" i="1"/>
  <c r="R556" i="1"/>
  <c r="S556" i="1"/>
  <c r="T556" i="1"/>
  <c r="U556" i="1"/>
  <c r="V556" i="1"/>
  <c r="W556" i="1"/>
  <c r="X556" i="1"/>
  <c r="Y556" i="1"/>
  <c r="Z556" i="1"/>
  <c r="AA556" i="1"/>
  <c r="AB556" i="1"/>
  <c r="AC556" i="1"/>
  <c r="AD556" i="1"/>
  <c r="AE556" i="1"/>
  <c r="AF556" i="1"/>
  <c r="AG556" i="1"/>
  <c r="AH556" i="1"/>
  <c r="AI556" i="1"/>
  <c r="AJ556" i="1"/>
  <c r="AQ556" i="1"/>
  <c r="AR556" i="1"/>
  <c r="AS556" i="1"/>
  <c r="L557" i="1"/>
  <c r="M557" i="1"/>
  <c r="N557" i="1"/>
  <c r="O557" i="1"/>
  <c r="P557" i="1"/>
  <c r="Q557" i="1"/>
  <c r="R557" i="1"/>
  <c r="S557" i="1"/>
  <c r="T557" i="1"/>
  <c r="U557" i="1"/>
  <c r="V557" i="1"/>
  <c r="W557" i="1"/>
  <c r="X557" i="1"/>
  <c r="Y557" i="1"/>
  <c r="Z557" i="1"/>
  <c r="AA557" i="1"/>
  <c r="AB557" i="1"/>
  <c r="AC557" i="1"/>
  <c r="AD557" i="1"/>
  <c r="AE557" i="1"/>
  <c r="AF557" i="1"/>
  <c r="AG557" i="1"/>
  <c r="AH557" i="1"/>
  <c r="AI557" i="1"/>
  <c r="AJ557" i="1"/>
  <c r="AQ557" i="1"/>
  <c r="AR557" i="1"/>
  <c r="AS557" i="1"/>
  <c r="L558" i="1"/>
  <c r="M558" i="1"/>
  <c r="N558" i="1"/>
  <c r="O558" i="1"/>
  <c r="P558" i="1"/>
  <c r="Q558" i="1"/>
  <c r="R558" i="1"/>
  <c r="S558" i="1"/>
  <c r="T558" i="1"/>
  <c r="U558" i="1"/>
  <c r="V558" i="1"/>
  <c r="W558" i="1"/>
  <c r="X558" i="1"/>
  <c r="Y558" i="1"/>
  <c r="Z558" i="1"/>
  <c r="AA558" i="1"/>
  <c r="AB558" i="1"/>
  <c r="AC558" i="1"/>
  <c r="AD558" i="1"/>
  <c r="AE558" i="1"/>
  <c r="AF558" i="1"/>
  <c r="AG558" i="1"/>
  <c r="AH558" i="1"/>
  <c r="AI558" i="1"/>
  <c r="AJ558" i="1"/>
  <c r="AQ558" i="1"/>
  <c r="AR558" i="1"/>
  <c r="AS558" i="1"/>
  <c r="L559" i="1"/>
  <c r="M559" i="1"/>
  <c r="N559" i="1"/>
  <c r="O559" i="1"/>
  <c r="P559" i="1"/>
  <c r="Q559" i="1"/>
  <c r="R559" i="1"/>
  <c r="S559" i="1"/>
  <c r="T559" i="1"/>
  <c r="U559" i="1"/>
  <c r="V559" i="1"/>
  <c r="W559" i="1"/>
  <c r="X559" i="1"/>
  <c r="Y559" i="1"/>
  <c r="Z559" i="1"/>
  <c r="AA559" i="1"/>
  <c r="AB559" i="1"/>
  <c r="AC559" i="1"/>
  <c r="AD559" i="1"/>
  <c r="AE559" i="1"/>
  <c r="AF559" i="1"/>
  <c r="AG559" i="1"/>
  <c r="AH559" i="1"/>
  <c r="AI559" i="1"/>
  <c r="AJ559" i="1"/>
  <c r="AQ559" i="1"/>
  <c r="AR559" i="1"/>
  <c r="AS559" i="1"/>
  <c r="L560" i="1"/>
  <c r="M560" i="1"/>
  <c r="N560" i="1"/>
  <c r="O560" i="1"/>
  <c r="P560" i="1"/>
  <c r="Q560" i="1"/>
  <c r="R560" i="1"/>
  <c r="S560" i="1"/>
  <c r="T560" i="1"/>
  <c r="U560" i="1"/>
  <c r="V560" i="1"/>
  <c r="W560" i="1"/>
  <c r="X560" i="1"/>
  <c r="Y560" i="1"/>
  <c r="Z560" i="1"/>
  <c r="AA560" i="1"/>
  <c r="AB560" i="1"/>
  <c r="AC560" i="1"/>
  <c r="AD560" i="1"/>
  <c r="AE560" i="1"/>
  <c r="AF560" i="1"/>
  <c r="AG560" i="1"/>
  <c r="AH560" i="1"/>
  <c r="AI560" i="1"/>
  <c r="AJ560" i="1"/>
  <c r="AQ560" i="1"/>
  <c r="AR560" i="1"/>
  <c r="AS560" i="1"/>
  <c r="L561" i="1"/>
  <c r="M561" i="1"/>
  <c r="N561" i="1"/>
  <c r="O561" i="1"/>
  <c r="P561" i="1"/>
  <c r="Q561" i="1"/>
  <c r="R561" i="1"/>
  <c r="S561" i="1"/>
  <c r="T561" i="1"/>
  <c r="U561" i="1"/>
  <c r="V561" i="1"/>
  <c r="W561" i="1"/>
  <c r="X561" i="1"/>
  <c r="Y561" i="1"/>
  <c r="Z561" i="1"/>
  <c r="AA561" i="1"/>
  <c r="AB561" i="1"/>
  <c r="AC561" i="1"/>
  <c r="AD561" i="1"/>
  <c r="AE561" i="1"/>
  <c r="AF561" i="1"/>
  <c r="AG561" i="1"/>
  <c r="AH561" i="1"/>
  <c r="AI561" i="1"/>
  <c r="AJ561" i="1"/>
  <c r="AQ561" i="1"/>
  <c r="AR561" i="1"/>
  <c r="AS561" i="1"/>
  <c r="L562" i="1"/>
  <c r="M562" i="1"/>
  <c r="N562" i="1"/>
  <c r="O562" i="1"/>
  <c r="P562" i="1"/>
  <c r="Q562" i="1"/>
  <c r="R562" i="1"/>
  <c r="S562" i="1"/>
  <c r="T562" i="1"/>
  <c r="U562" i="1"/>
  <c r="V562" i="1"/>
  <c r="W562" i="1"/>
  <c r="X562" i="1"/>
  <c r="Y562" i="1"/>
  <c r="Z562" i="1"/>
  <c r="AA562" i="1"/>
  <c r="AB562" i="1"/>
  <c r="AC562" i="1"/>
  <c r="AD562" i="1"/>
  <c r="AE562" i="1"/>
  <c r="AF562" i="1"/>
  <c r="AG562" i="1"/>
  <c r="AH562" i="1"/>
  <c r="AI562" i="1"/>
  <c r="AJ562" i="1"/>
  <c r="AQ562" i="1"/>
  <c r="AR562" i="1"/>
  <c r="AS562" i="1"/>
  <c r="L563" i="1"/>
  <c r="M563" i="1"/>
  <c r="N563" i="1"/>
  <c r="O563" i="1"/>
  <c r="P563" i="1"/>
  <c r="Q563" i="1"/>
  <c r="R563" i="1"/>
  <c r="S563" i="1"/>
  <c r="T563" i="1"/>
  <c r="U563" i="1"/>
  <c r="V563" i="1"/>
  <c r="W563" i="1"/>
  <c r="X563" i="1"/>
  <c r="Y563" i="1"/>
  <c r="Z563" i="1"/>
  <c r="AA563" i="1"/>
  <c r="AB563" i="1"/>
  <c r="AC563" i="1"/>
  <c r="AD563" i="1"/>
  <c r="AE563" i="1"/>
  <c r="AF563" i="1"/>
  <c r="AG563" i="1"/>
  <c r="AH563" i="1"/>
  <c r="AI563" i="1"/>
  <c r="AJ563" i="1"/>
  <c r="AQ563" i="1"/>
  <c r="AR563" i="1"/>
  <c r="AS563" i="1"/>
  <c r="L564" i="1"/>
  <c r="M564" i="1"/>
  <c r="N564" i="1"/>
  <c r="O564" i="1"/>
  <c r="P564" i="1"/>
  <c r="Q564" i="1"/>
  <c r="R564" i="1"/>
  <c r="S564" i="1"/>
  <c r="T564" i="1"/>
  <c r="U564" i="1"/>
  <c r="V564" i="1"/>
  <c r="W564" i="1"/>
  <c r="X564" i="1"/>
  <c r="Y564" i="1"/>
  <c r="Z564" i="1"/>
  <c r="AA564" i="1"/>
  <c r="AB564" i="1"/>
  <c r="AC564" i="1"/>
  <c r="AD564" i="1"/>
  <c r="AE564" i="1"/>
  <c r="AF564" i="1"/>
  <c r="AG564" i="1"/>
  <c r="AH564" i="1"/>
  <c r="AI564" i="1"/>
  <c r="AJ564" i="1"/>
  <c r="AQ564" i="1"/>
  <c r="AR564" i="1"/>
  <c r="AS564" i="1"/>
  <c r="L565" i="1"/>
  <c r="M565" i="1"/>
  <c r="N565" i="1"/>
  <c r="O565" i="1"/>
  <c r="P565" i="1"/>
  <c r="Q565" i="1"/>
  <c r="R565" i="1"/>
  <c r="S565" i="1"/>
  <c r="T565" i="1"/>
  <c r="U565" i="1"/>
  <c r="V565" i="1"/>
  <c r="W565" i="1"/>
  <c r="X565" i="1"/>
  <c r="Y565" i="1"/>
  <c r="Z565" i="1"/>
  <c r="AA565" i="1"/>
  <c r="AB565" i="1"/>
  <c r="AC565" i="1"/>
  <c r="AD565" i="1"/>
  <c r="AE565" i="1"/>
  <c r="AF565" i="1"/>
  <c r="AG565" i="1"/>
  <c r="AH565" i="1"/>
  <c r="AI565" i="1"/>
  <c r="AJ565" i="1"/>
  <c r="AQ565" i="1"/>
  <c r="AR565" i="1"/>
  <c r="AS565" i="1"/>
  <c r="L566" i="1"/>
  <c r="M566" i="1"/>
  <c r="N566" i="1"/>
  <c r="O566" i="1"/>
  <c r="P566" i="1"/>
  <c r="Q566" i="1"/>
  <c r="R566" i="1"/>
  <c r="S566" i="1"/>
  <c r="T566" i="1"/>
  <c r="U566" i="1"/>
  <c r="V566" i="1"/>
  <c r="W566" i="1"/>
  <c r="X566" i="1"/>
  <c r="Y566" i="1"/>
  <c r="Z566" i="1"/>
  <c r="AA566" i="1"/>
  <c r="AB566" i="1"/>
  <c r="AC566" i="1"/>
  <c r="AD566" i="1"/>
  <c r="AE566" i="1"/>
  <c r="AF566" i="1"/>
  <c r="AG566" i="1"/>
  <c r="AH566" i="1"/>
  <c r="AI566" i="1"/>
  <c r="AJ566" i="1"/>
  <c r="AQ566" i="1"/>
  <c r="AR566" i="1"/>
  <c r="AS566" i="1"/>
  <c r="L567" i="1"/>
  <c r="M567" i="1"/>
  <c r="N567" i="1"/>
  <c r="O567" i="1"/>
  <c r="P567" i="1"/>
  <c r="Q567" i="1"/>
  <c r="R567" i="1"/>
  <c r="S567" i="1"/>
  <c r="T567" i="1"/>
  <c r="U567" i="1"/>
  <c r="V567" i="1"/>
  <c r="W567" i="1"/>
  <c r="X567" i="1"/>
  <c r="Y567" i="1"/>
  <c r="Z567" i="1"/>
  <c r="AA567" i="1"/>
  <c r="AB567" i="1"/>
  <c r="AC567" i="1"/>
  <c r="AD567" i="1"/>
  <c r="AE567" i="1"/>
  <c r="AF567" i="1"/>
  <c r="AG567" i="1"/>
  <c r="AH567" i="1"/>
  <c r="AI567" i="1"/>
  <c r="AJ567" i="1"/>
  <c r="AQ567" i="1"/>
  <c r="AR567" i="1"/>
  <c r="AS567" i="1"/>
  <c r="L568" i="1"/>
  <c r="M568" i="1"/>
  <c r="N568" i="1"/>
  <c r="O568" i="1"/>
  <c r="P568" i="1"/>
  <c r="Q568" i="1"/>
  <c r="R568" i="1"/>
  <c r="S568" i="1"/>
  <c r="T568" i="1"/>
  <c r="U568" i="1"/>
  <c r="V568" i="1"/>
  <c r="W568" i="1"/>
  <c r="X568" i="1"/>
  <c r="Y568" i="1"/>
  <c r="Z568" i="1"/>
  <c r="AA568" i="1"/>
  <c r="AB568" i="1"/>
  <c r="AC568" i="1"/>
  <c r="AD568" i="1"/>
  <c r="AE568" i="1"/>
  <c r="AF568" i="1"/>
  <c r="AG568" i="1"/>
  <c r="AH568" i="1"/>
  <c r="AI568" i="1"/>
  <c r="AJ568" i="1"/>
  <c r="AQ568" i="1"/>
  <c r="AR568" i="1"/>
  <c r="AS568" i="1"/>
  <c r="L569" i="1"/>
  <c r="M569" i="1"/>
  <c r="N569" i="1"/>
  <c r="O569" i="1"/>
  <c r="P569" i="1"/>
  <c r="Q569" i="1"/>
  <c r="R569" i="1"/>
  <c r="S569" i="1"/>
  <c r="T569" i="1"/>
  <c r="U569" i="1"/>
  <c r="V569" i="1"/>
  <c r="W569" i="1"/>
  <c r="X569" i="1"/>
  <c r="Y569" i="1"/>
  <c r="Z569" i="1"/>
  <c r="AA569" i="1"/>
  <c r="AB569" i="1"/>
  <c r="AC569" i="1"/>
  <c r="AD569" i="1"/>
  <c r="AE569" i="1"/>
  <c r="AF569" i="1"/>
  <c r="AG569" i="1"/>
  <c r="AH569" i="1"/>
  <c r="AI569" i="1"/>
  <c r="AJ569" i="1"/>
  <c r="AQ569" i="1"/>
  <c r="AR569" i="1"/>
  <c r="AS569" i="1"/>
  <c r="L570" i="1"/>
  <c r="M570" i="1"/>
  <c r="N570" i="1"/>
  <c r="O570" i="1"/>
  <c r="P570" i="1"/>
  <c r="Q570" i="1"/>
  <c r="R570" i="1"/>
  <c r="S570" i="1"/>
  <c r="T570" i="1"/>
  <c r="U570" i="1"/>
  <c r="V570" i="1"/>
  <c r="W570" i="1"/>
  <c r="X570" i="1"/>
  <c r="Y570" i="1"/>
  <c r="Z570" i="1"/>
  <c r="AA570" i="1"/>
  <c r="AB570" i="1"/>
  <c r="AC570" i="1"/>
  <c r="AD570" i="1"/>
  <c r="AE570" i="1"/>
  <c r="AF570" i="1"/>
  <c r="AG570" i="1"/>
  <c r="AH570" i="1"/>
  <c r="AI570" i="1"/>
  <c r="AJ570" i="1"/>
  <c r="AQ570" i="1"/>
  <c r="AR570" i="1"/>
  <c r="AS570" i="1"/>
  <c r="L571" i="1"/>
  <c r="M571" i="1"/>
  <c r="N571" i="1"/>
  <c r="O571" i="1"/>
  <c r="P571" i="1"/>
  <c r="Q571" i="1"/>
  <c r="R571" i="1"/>
  <c r="S571" i="1"/>
  <c r="T571" i="1"/>
  <c r="U571" i="1"/>
  <c r="V571" i="1"/>
  <c r="W571" i="1"/>
  <c r="X571" i="1"/>
  <c r="Y571" i="1"/>
  <c r="Z571" i="1"/>
  <c r="AA571" i="1"/>
  <c r="AB571" i="1"/>
  <c r="AC571" i="1"/>
  <c r="AD571" i="1"/>
  <c r="AE571" i="1"/>
  <c r="AF571" i="1"/>
  <c r="AG571" i="1"/>
  <c r="AH571" i="1"/>
  <c r="AI571" i="1"/>
  <c r="AJ571" i="1"/>
  <c r="AQ571" i="1"/>
  <c r="AR571" i="1"/>
  <c r="AS571" i="1"/>
  <c r="L572" i="1"/>
  <c r="M572" i="1"/>
  <c r="N572" i="1"/>
  <c r="O572" i="1"/>
  <c r="P572" i="1"/>
  <c r="Q572" i="1"/>
  <c r="R572" i="1"/>
  <c r="S572" i="1"/>
  <c r="T572" i="1"/>
  <c r="U572" i="1"/>
  <c r="V572" i="1"/>
  <c r="W572" i="1"/>
  <c r="X572" i="1"/>
  <c r="Y572" i="1"/>
  <c r="Z572" i="1"/>
  <c r="AA572" i="1"/>
  <c r="AB572" i="1"/>
  <c r="AC572" i="1"/>
  <c r="AD572" i="1"/>
  <c r="AE572" i="1"/>
  <c r="AF572" i="1"/>
  <c r="AG572" i="1"/>
  <c r="AH572" i="1"/>
  <c r="AI572" i="1"/>
  <c r="AJ572" i="1"/>
  <c r="AQ572" i="1"/>
  <c r="AR572" i="1"/>
  <c r="AS572" i="1"/>
  <c r="L573" i="1"/>
  <c r="M573" i="1"/>
  <c r="N573" i="1"/>
  <c r="O573" i="1"/>
  <c r="P573" i="1"/>
  <c r="Q573" i="1"/>
  <c r="R573" i="1"/>
  <c r="S573" i="1"/>
  <c r="T573" i="1"/>
  <c r="U573" i="1"/>
  <c r="V573" i="1"/>
  <c r="W573" i="1"/>
  <c r="X573" i="1"/>
  <c r="Y573" i="1"/>
  <c r="Z573" i="1"/>
  <c r="AA573" i="1"/>
  <c r="AB573" i="1"/>
  <c r="AC573" i="1"/>
  <c r="AD573" i="1"/>
  <c r="AE573" i="1"/>
  <c r="AF573" i="1"/>
  <c r="AG573" i="1"/>
  <c r="AH573" i="1"/>
  <c r="AI573" i="1"/>
  <c r="AJ573" i="1"/>
  <c r="AQ573" i="1"/>
  <c r="AR573" i="1"/>
  <c r="AS573" i="1"/>
  <c r="L574" i="1"/>
  <c r="M574" i="1"/>
  <c r="N574" i="1"/>
  <c r="O574" i="1"/>
  <c r="P574" i="1"/>
  <c r="Q574" i="1"/>
  <c r="R574" i="1"/>
  <c r="S574" i="1"/>
  <c r="T574" i="1"/>
  <c r="U574" i="1"/>
  <c r="V574" i="1"/>
  <c r="W574" i="1"/>
  <c r="X574" i="1"/>
  <c r="Y574" i="1"/>
  <c r="Z574" i="1"/>
  <c r="AA574" i="1"/>
  <c r="AB574" i="1"/>
  <c r="AC574" i="1"/>
  <c r="AD574" i="1"/>
  <c r="AE574" i="1"/>
  <c r="AF574" i="1"/>
  <c r="AG574" i="1"/>
  <c r="AH574" i="1"/>
  <c r="AI574" i="1"/>
  <c r="AJ574" i="1"/>
  <c r="AQ574" i="1"/>
  <c r="AR574" i="1"/>
  <c r="AS574" i="1"/>
  <c r="L575" i="1"/>
  <c r="M575" i="1"/>
  <c r="N575" i="1"/>
  <c r="O575" i="1"/>
  <c r="P575" i="1"/>
  <c r="Q575" i="1"/>
  <c r="R575" i="1"/>
  <c r="S575" i="1"/>
  <c r="T575" i="1"/>
  <c r="U575" i="1"/>
  <c r="V575" i="1"/>
  <c r="W575" i="1"/>
  <c r="X575" i="1"/>
  <c r="Y575" i="1"/>
  <c r="Z575" i="1"/>
  <c r="AA575" i="1"/>
  <c r="AB575" i="1"/>
  <c r="AC575" i="1"/>
  <c r="AD575" i="1"/>
  <c r="AE575" i="1"/>
  <c r="AF575" i="1"/>
  <c r="AG575" i="1"/>
  <c r="AH575" i="1"/>
  <c r="AI575" i="1"/>
  <c r="AJ575" i="1"/>
  <c r="AQ575" i="1"/>
  <c r="AR575" i="1"/>
  <c r="AS575" i="1"/>
  <c r="L576" i="1"/>
  <c r="M576" i="1"/>
  <c r="N576" i="1"/>
  <c r="O576" i="1"/>
  <c r="P576" i="1"/>
  <c r="Q576" i="1"/>
  <c r="R576" i="1"/>
  <c r="S576" i="1"/>
  <c r="T576" i="1"/>
  <c r="U576" i="1"/>
  <c r="V576" i="1"/>
  <c r="W576" i="1"/>
  <c r="X576" i="1"/>
  <c r="Y576" i="1"/>
  <c r="Z576" i="1"/>
  <c r="AA576" i="1"/>
  <c r="AB576" i="1"/>
  <c r="AC576" i="1"/>
  <c r="AD576" i="1"/>
  <c r="AE576" i="1"/>
  <c r="AF576" i="1"/>
  <c r="AG576" i="1"/>
  <c r="AH576" i="1"/>
  <c r="AI576" i="1"/>
  <c r="AJ576" i="1"/>
  <c r="AQ576" i="1"/>
  <c r="AR576" i="1"/>
  <c r="AS576" i="1"/>
  <c r="L577" i="1"/>
  <c r="M577" i="1"/>
  <c r="N577" i="1"/>
  <c r="O577" i="1"/>
  <c r="P577" i="1"/>
  <c r="Q577" i="1"/>
  <c r="R577" i="1"/>
  <c r="S577" i="1"/>
  <c r="T577" i="1"/>
  <c r="U577" i="1"/>
  <c r="V577" i="1"/>
  <c r="W577" i="1"/>
  <c r="X577" i="1"/>
  <c r="Y577" i="1"/>
  <c r="Z577" i="1"/>
  <c r="AA577" i="1"/>
  <c r="AB577" i="1"/>
  <c r="AC577" i="1"/>
  <c r="AD577" i="1"/>
  <c r="AE577" i="1"/>
  <c r="AF577" i="1"/>
  <c r="AG577" i="1"/>
  <c r="AH577" i="1"/>
  <c r="AI577" i="1"/>
  <c r="AJ577" i="1"/>
  <c r="AQ577" i="1"/>
  <c r="AR577" i="1"/>
  <c r="AS577" i="1"/>
  <c r="L578" i="1"/>
  <c r="M578" i="1"/>
  <c r="N578" i="1"/>
  <c r="O578" i="1"/>
  <c r="P578" i="1"/>
  <c r="Q578" i="1"/>
  <c r="R578" i="1"/>
  <c r="S578" i="1"/>
  <c r="T578" i="1"/>
  <c r="U578" i="1"/>
  <c r="V578" i="1"/>
  <c r="W578" i="1"/>
  <c r="X578" i="1"/>
  <c r="Y578" i="1"/>
  <c r="Z578" i="1"/>
  <c r="AA578" i="1"/>
  <c r="AB578" i="1"/>
  <c r="AC578" i="1"/>
  <c r="AD578" i="1"/>
  <c r="AE578" i="1"/>
  <c r="AF578" i="1"/>
  <c r="AG578" i="1"/>
  <c r="AH578" i="1"/>
  <c r="AI578" i="1"/>
  <c r="AJ578" i="1"/>
  <c r="AQ578" i="1"/>
  <c r="AR578" i="1"/>
  <c r="AS578" i="1"/>
  <c r="L579" i="1"/>
  <c r="M579" i="1"/>
  <c r="N579" i="1"/>
  <c r="O579" i="1"/>
  <c r="P579" i="1"/>
  <c r="Q579" i="1"/>
  <c r="R579" i="1"/>
  <c r="S579" i="1"/>
  <c r="T579" i="1"/>
  <c r="U579" i="1"/>
  <c r="V579" i="1"/>
  <c r="W579" i="1"/>
  <c r="X579" i="1"/>
  <c r="Y579" i="1"/>
  <c r="Z579" i="1"/>
  <c r="AA579" i="1"/>
  <c r="AB579" i="1"/>
  <c r="AC579" i="1"/>
  <c r="AD579" i="1"/>
  <c r="AE579" i="1"/>
  <c r="AF579" i="1"/>
  <c r="AG579" i="1"/>
  <c r="AH579" i="1"/>
  <c r="AI579" i="1"/>
  <c r="AJ579" i="1"/>
  <c r="AQ579" i="1"/>
  <c r="AR579" i="1"/>
  <c r="AS579" i="1"/>
  <c r="L580" i="1"/>
  <c r="M580" i="1"/>
  <c r="N580" i="1"/>
  <c r="O580" i="1"/>
  <c r="P580" i="1"/>
  <c r="Q580" i="1"/>
  <c r="R580" i="1"/>
  <c r="S580" i="1"/>
  <c r="T580" i="1"/>
  <c r="U580" i="1"/>
  <c r="V580" i="1"/>
  <c r="W580" i="1"/>
  <c r="X580" i="1"/>
  <c r="Y580" i="1"/>
  <c r="Z580" i="1"/>
  <c r="AA580" i="1"/>
  <c r="AB580" i="1"/>
  <c r="AC580" i="1"/>
  <c r="AD580" i="1"/>
  <c r="AE580" i="1"/>
  <c r="AF580" i="1"/>
  <c r="AG580" i="1"/>
  <c r="AH580" i="1"/>
  <c r="AI580" i="1"/>
  <c r="AJ580" i="1"/>
  <c r="AQ580" i="1"/>
  <c r="AR580" i="1"/>
  <c r="AS580" i="1"/>
  <c r="L581" i="1"/>
  <c r="M581" i="1"/>
  <c r="N581" i="1"/>
  <c r="O581" i="1"/>
  <c r="P581" i="1"/>
  <c r="Q581" i="1"/>
  <c r="R581" i="1"/>
  <c r="S581" i="1"/>
  <c r="T581" i="1"/>
  <c r="U581" i="1"/>
  <c r="V581" i="1"/>
  <c r="W581" i="1"/>
  <c r="X581" i="1"/>
  <c r="Y581" i="1"/>
  <c r="Z581" i="1"/>
  <c r="AA581" i="1"/>
  <c r="AB581" i="1"/>
  <c r="AC581" i="1"/>
  <c r="AD581" i="1"/>
  <c r="AE581" i="1"/>
  <c r="AF581" i="1"/>
  <c r="AG581" i="1"/>
  <c r="AH581" i="1"/>
  <c r="AI581" i="1"/>
  <c r="AJ581" i="1"/>
  <c r="AQ581" i="1"/>
  <c r="AR581" i="1"/>
  <c r="AS581" i="1"/>
  <c r="L582" i="1"/>
  <c r="M582" i="1"/>
  <c r="N582" i="1"/>
  <c r="O582" i="1"/>
  <c r="P582" i="1"/>
  <c r="Q582" i="1"/>
  <c r="R582" i="1"/>
  <c r="S582" i="1"/>
  <c r="T582" i="1"/>
  <c r="U582" i="1"/>
  <c r="V582" i="1"/>
  <c r="W582" i="1"/>
  <c r="X582" i="1"/>
  <c r="Y582" i="1"/>
  <c r="Z582" i="1"/>
  <c r="AA582" i="1"/>
  <c r="AB582" i="1"/>
  <c r="AC582" i="1"/>
  <c r="AD582" i="1"/>
  <c r="AE582" i="1"/>
  <c r="AF582" i="1"/>
  <c r="AG582" i="1"/>
  <c r="AH582" i="1"/>
  <c r="AI582" i="1"/>
  <c r="AJ582" i="1"/>
  <c r="AQ582" i="1"/>
  <c r="AR582" i="1"/>
  <c r="AS582" i="1"/>
  <c r="L583" i="1"/>
  <c r="M583" i="1"/>
  <c r="N583" i="1"/>
  <c r="O583" i="1"/>
  <c r="P583" i="1"/>
  <c r="Q583" i="1"/>
  <c r="R583" i="1"/>
  <c r="S583" i="1"/>
  <c r="T583" i="1"/>
  <c r="U583" i="1"/>
  <c r="V583" i="1"/>
  <c r="W583" i="1"/>
  <c r="X583" i="1"/>
  <c r="Y583" i="1"/>
  <c r="Z583" i="1"/>
  <c r="AA583" i="1"/>
  <c r="AB583" i="1"/>
  <c r="AC583" i="1"/>
  <c r="AD583" i="1"/>
  <c r="AE583" i="1"/>
  <c r="AF583" i="1"/>
  <c r="AG583" i="1"/>
  <c r="AH583" i="1"/>
  <c r="AI583" i="1"/>
  <c r="AJ583" i="1"/>
  <c r="AQ583" i="1"/>
  <c r="AR583" i="1"/>
  <c r="AS583" i="1"/>
  <c r="L584" i="1"/>
  <c r="M584" i="1"/>
  <c r="N584" i="1"/>
  <c r="O584" i="1"/>
  <c r="P584" i="1"/>
  <c r="Q584" i="1"/>
  <c r="R584" i="1"/>
  <c r="S584" i="1"/>
  <c r="T584" i="1"/>
  <c r="U584" i="1"/>
  <c r="V584" i="1"/>
  <c r="W584" i="1"/>
  <c r="X584" i="1"/>
  <c r="Y584" i="1"/>
  <c r="Z584" i="1"/>
  <c r="AA584" i="1"/>
  <c r="AB584" i="1"/>
  <c r="AC584" i="1"/>
  <c r="AD584" i="1"/>
  <c r="AE584" i="1"/>
  <c r="AF584" i="1"/>
  <c r="AG584" i="1"/>
  <c r="AH584" i="1"/>
  <c r="AI584" i="1"/>
  <c r="AJ584" i="1"/>
  <c r="AQ584" i="1"/>
  <c r="AR584" i="1"/>
  <c r="AS584" i="1"/>
  <c r="L585" i="1"/>
  <c r="M585" i="1"/>
  <c r="N585" i="1"/>
  <c r="O585" i="1"/>
  <c r="P585" i="1"/>
  <c r="Q585" i="1"/>
  <c r="R585" i="1"/>
  <c r="S585" i="1"/>
  <c r="T585" i="1"/>
  <c r="U585" i="1"/>
  <c r="V585" i="1"/>
  <c r="W585" i="1"/>
  <c r="X585" i="1"/>
  <c r="Y585" i="1"/>
  <c r="Z585" i="1"/>
  <c r="AA585" i="1"/>
  <c r="AB585" i="1"/>
  <c r="AC585" i="1"/>
  <c r="AD585" i="1"/>
  <c r="AE585" i="1"/>
  <c r="AF585" i="1"/>
  <c r="AG585" i="1"/>
  <c r="AH585" i="1"/>
  <c r="AI585" i="1"/>
  <c r="AJ585" i="1"/>
  <c r="AQ585" i="1"/>
  <c r="AR585" i="1"/>
  <c r="AS585" i="1"/>
  <c r="L586" i="1"/>
  <c r="M586" i="1"/>
  <c r="N586" i="1"/>
  <c r="O586" i="1"/>
  <c r="P586" i="1"/>
  <c r="Q586" i="1"/>
  <c r="R586" i="1"/>
  <c r="S586" i="1"/>
  <c r="T586" i="1"/>
  <c r="U586" i="1"/>
  <c r="V586" i="1"/>
  <c r="W586" i="1"/>
  <c r="X586" i="1"/>
  <c r="Y586" i="1"/>
  <c r="Z586" i="1"/>
  <c r="AA586" i="1"/>
  <c r="AB586" i="1"/>
  <c r="AC586" i="1"/>
  <c r="AD586" i="1"/>
  <c r="AE586" i="1"/>
  <c r="AF586" i="1"/>
  <c r="AG586" i="1"/>
  <c r="AH586" i="1"/>
  <c r="AI586" i="1"/>
  <c r="AJ586" i="1"/>
  <c r="AQ586" i="1"/>
  <c r="AR586" i="1"/>
  <c r="AS586" i="1"/>
  <c r="L587" i="1"/>
  <c r="M587" i="1"/>
  <c r="N587" i="1"/>
  <c r="O587" i="1"/>
  <c r="P587" i="1"/>
  <c r="Q587" i="1"/>
  <c r="R587" i="1"/>
  <c r="S587" i="1"/>
  <c r="T587" i="1"/>
  <c r="U587" i="1"/>
  <c r="V587" i="1"/>
  <c r="W587" i="1"/>
  <c r="X587" i="1"/>
  <c r="Y587" i="1"/>
  <c r="Z587" i="1"/>
  <c r="AA587" i="1"/>
  <c r="AB587" i="1"/>
  <c r="AC587" i="1"/>
  <c r="AD587" i="1"/>
  <c r="AE587" i="1"/>
  <c r="AF587" i="1"/>
  <c r="AG587" i="1"/>
  <c r="AH587" i="1"/>
  <c r="AI587" i="1"/>
  <c r="AJ587" i="1"/>
  <c r="AQ587" i="1"/>
  <c r="AR587" i="1"/>
  <c r="AS587" i="1"/>
  <c r="L588" i="1"/>
  <c r="M588" i="1"/>
  <c r="N588" i="1"/>
  <c r="O588" i="1"/>
  <c r="P588" i="1"/>
  <c r="Q588" i="1"/>
  <c r="R588" i="1"/>
  <c r="S588" i="1"/>
  <c r="T588" i="1"/>
  <c r="U588" i="1"/>
  <c r="V588" i="1"/>
  <c r="W588" i="1"/>
  <c r="X588" i="1"/>
  <c r="Y588" i="1"/>
  <c r="Z588" i="1"/>
  <c r="AA588" i="1"/>
  <c r="AB588" i="1"/>
  <c r="AC588" i="1"/>
  <c r="AD588" i="1"/>
  <c r="AE588" i="1"/>
  <c r="AF588" i="1"/>
  <c r="AG588" i="1"/>
  <c r="AH588" i="1"/>
  <c r="AI588" i="1"/>
  <c r="AJ588" i="1"/>
  <c r="AQ588" i="1"/>
  <c r="AR588" i="1"/>
  <c r="AS588" i="1"/>
  <c r="L589" i="1"/>
  <c r="M589" i="1"/>
  <c r="N589" i="1"/>
  <c r="O589" i="1"/>
  <c r="P589" i="1"/>
  <c r="Q589" i="1"/>
  <c r="R589" i="1"/>
  <c r="S589" i="1"/>
  <c r="T589" i="1"/>
  <c r="U589" i="1"/>
  <c r="V589" i="1"/>
  <c r="W589" i="1"/>
  <c r="X589" i="1"/>
  <c r="Y589" i="1"/>
  <c r="Z589" i="1"/>
  <c r="AA589" i="1"/>
  <c r="AB589" i="1"/>
  <c r="AC589" i="1"/>
  <c r="AD589" i="1"/>
  <c r="AE589" i="1"/>
  <c r="AF589" i="1"/>
  <c r="AG589" i="1"/>
  <c r="AH589" i="1"/>
  <c r="AI589" i="1"/>
  <c r="AJ589" i="1"/>
  <c r="AQ589" i="1"/>
  <c r="AR589" i="1"/>
  <c r="AS589" i="1"/>
  <c r="L590" i="1"/>
  <c r="M590" i="1"/>
  <c r="N590" i="1"/>
  <c r="O590" i="1"/>
  <c r="P590" i="1"/>
  <c r="Q590" i="1"/>
  <c r="R590" i="1"/>
  <c r="S590" i="1"/>
  <c r="T590" i="1"/>
  <c r="U590" i="1"/>
  <c r="V590" i="1"/>
  <c r="W590" i="1"/>
  <c r="X590" i="1"/>
  <c r="Y590" i="1"/>
  <c r="Z590" i="1"/>
  <c r="AA590" i="1"/>
  <c r="AB590" i="1"/>
  <c r="AC590" i="1"/>
  <c r="AD590" i="1"/>
  <c r="AE590" i="1"/>
  <c r="AF590" i="1"/>
  <c r="AG590" i="1"/>
  <c r="AH590" i="1"/>
  <c r="AI590" i="1"/>
  <c r="AJ590" i="1"/>
  <c r="AQ590" i="1"/>
  <c r="AR590" i="1"/>
  <c r="AS590" i="1"/>
  <c r="L591" i="1"/>
  <c r="M591" i="1"/>
  <c r="N591" i="1"/>
  <c r="O591" i="1"/>
  <c r="P591" i="1"/>
  <c r="Q591" i="1"/>
  <c r="R591" i="1"/>
  <c r="S591" i="1"/>
  <c r="T591" i="1"/>
  <c r="U591" i="1"/>
  <c r="V591" i="1"/>
  <c r="W591" i="1"/>
  <c r="X591" i="1"/>
  <c r="Y591" i="1"/>
  <c r="Z591" i="1"/>
  <c r="AA591" i="1"/>
  <c r="AB591" i="1"/>
  <c r="AC591" i="1"/>
  <c r="AD591" i="1"/>
  <c r="AE591" i="1"/>
  <c r="AF591" i="1"/>
  <c r="AG591" i="1"/>
  <c r="AH591" i="1"/>
  <c r="AI591" i="1"/>
  <c r="AJ591" i="1"/>
  <c r="AQ591" i="1"/>
  <c r="AR591" i="1"/>
  <c r="AS591" i="1"/>
  <c r="L592" i="1"/>
  <c r="M592" i="1"/>
  <c r="N592" i="1"/>
  <c r="O592" i="1"/>
  <c r="P592" i="1"/>
  <c r="Q592" i="1"/>
  <c r="R592" i="1"/>
  <c r="S592" i="1"/>
  <c r="T592" i="1"/>
  <c r="U592" i="1"/>
  <c r="V592" i="1"/>
  <c r="W592" i="1"/>
  <c r="X592" i="1"/>
  <c r="Y592" i="1"/>
  <c r="Z592" i="1"/>
  <c r="AA592" i="1"/>
  <c r="AB592" i="1"/>
  <c r="AC592" i="1"/>
  <c r="AD592" i="1"/>
  <c r="AE592" i="1"/>
  <c r="AF592" i="1"/>
  <c r="AG592" i="1"/>
  <c r="AH592" i="1"/>
  <c r="AI592" i="1"/>
  <c r="AJ592" i="1"/>
  <c r="AQ592" i="1"/>
  <c r="AR592" i="1"/>
  <c r="AS592" i="1"/>
  <c r="L593" i="1"/>
  <c r="M593" i="1"/>
  <c r="N593" i="1"/>
  <c r="O593" i="1"/>
  <c r="P593" i="1"/>
  <c r="Q593" i="1"/>
  <c r="R593" i="1"/>
  <c r="S593" i="1"/>
  <c r="T593" i="1"/>
  <c r="U593" i="1"/>
  <c r="V593" i="1"/>
  <c r="W593" i="1"/>
  <c r="X593" i="1"/>
  <c r="Y593" i="1"/>
  <c r="Z593" i="1"/>
  <c r="AA593" i="1"/>
  <c r="AB593" i="1"/>
  <c r="AC593" i="1"/>
  <c r="AD593" i="1"/>
  <c r="AE593" i="1"/>
  <c r="AF593" i="1"/>
  <c r="AG593" i="1"/>
  <c r="AH593" i="1"/>
  <c r="AI593" i="1"/>
  <c r="AJ593" i="1"/>
  <c r="AQ593" i="1"/>
  <c r="AR593" i="1"/>
  <c r="AS593" i="1"/>
  <c r="L594" i="1"/>
  <c r="M594" i="1"/>
  <c r="N594" i="1"/>
  <c r="O594" i="1"/>
  <c r="P594" i="1"/>
  <c r="Q594" i="1"/>
  <c r="R594" i="1"/>
  <c r="S594" i="1"/>
  <c r="T594" i="1"/>
  <c r="U594" i="1"/>
  <c r="V594" i="1"/>
  <c r="W594" i="1"/>
  <c r="X594" i="1"/>
  <c r="Y594" i="1"/>
  <c r="Z594" i="1"/>
  <c r="AA594" i="1"/>
  <c r="AB594" i="1"/>
  <c r="AC594" i="1"/>
  <c r="AD594" i="1"/>
  <c r="AE594" i="1"/>
  <c r="AF594" i="1"/>
  <c r="AG594" i="1"/>
  <c r="AH594" i="1"/>
  <c r="AI594" i="1"/>
  <c r="AJ594" i="1"/>
  <c r="AQ594" i="1"/>
  <c r="AR594" i="1"/>
  <c r="AS594" i="1"/>
  <c r="L595" i="1"/>
  <c r="M595" i="1"/>
  <c r="N595" i="1"/>
  <c r="O595" i="1"/>
  <c r="P595" i="1"/>
  <c r="Q595" i="1"/>
  <c r="R595" i="1"/>
  <c r="S595" i="1"/>
  <c r="T595" i="1"/>
  <c r="U595" i="1"/>
  <c r="V595" i="1"/>
  <c r="W595" i="1"/>
  <c r="X595" i="1"/>
  <c r="Y595" i="1"/>
  <c r="Z595" i="1"/>
  <c r="AA595" i="1"/>
  <c r="AB595" i="1"/>
  <c r="AC595" i="1"/>
  <c r="AD595" i="1"/>
  <c r="AE595" i="1"/>
  <c r="AF595" i="1"/>
  <c r="AG595" i="1"/>
  <c r="AH595" i="1"/>
  <c r="AI595" i="1"/>
  <c r="AJ595" i="1"/>
  <c r="AQ595" i="1"/>
  <c r="AR595" i="1"/>
  <c r="AS595" i="1"/>
  <c r="L596" i="1"/>
  <c r="M596" i="1"/>
  <c r="N596" i="1"/>
  <c r="O596" i="1"/>
  <c r="P596" i="1"/>
  <c r="Q596" i="1"/>
  <c r="R596" i="1"/>
  <c r="S596" i="1"/>
  <c r="T596" i="1"/>
  <c r="U596" i="1"/>
  <c r="V596" i="1"/>
  <c r="W596" i="1"/>
  <c r="X596" i="1"/>
  <c r="Y596" i="1"/>
  <c r="Z596" i="1"/>
  <c r="AA596" i="1"/>
  <c r="AB596" i="1"/>
  <c r="AC596" i="1"/>
  <c r="AD596" i="1"/>
  <c r="AE596" i="1"/>
  <c r="AF596" i="1"/>
  <c r="AG596" i="1"/>
  <c r="AH596" i="1"/>
  <c r="AI596" i="1"/>
  <c r="AJ596" i="1"/>
  <c r="AQ596" i="1"/>
  <c r="AR596" i="1"/>
  <c r="AS596" i="1"/>
  <c r="L597" i="1"/>
  <c r="M597" i="1"/>
  <c r="N597" i="1"/>
  <c r="O597" i="1"/>
  <c r="P597" i="1"/>
  <c r="Q597" i="1"/>
  <c r="R597" i="1"/>
  <c r="S597" i="1"/>
  <c r="T597" i="1"/>
  <c r="U597" i="1"/>
  <c r="V597" i="1"/>
  <c r="W597" i="1"/>
  <c r="X597" i="1"/>
  <c r="Y597" i="1"/>
  <c r="Z597" i="1"/>
  <c r="AA597" i="1"/>
  <c r="AB597" i="1"/>
  <c r="AC597" i="1"/>
  <c r="AD597" i="1"/>
  <c r="AE597" i="1"/>
  <c r="AF597" i="1"/>
  <c r="AG597" i="1"/>
  <c r="AH597" i="1"/>
  <c r="AI597" i="1"/>
  <c r="AJ597" i="1"/>
  <c r="AQ597" i="1"/>
  <c r="AR597" i="1"/>
  <c r="AS597" i="1"/>
  <c r="L598" i="1"/>
  <c r="M598" i="1"/>
  <c r="N598" i="1"/>
  <c r="O598" i="1"/>
  <c r="P598" i="1"/>
  <c r="Q598" i="1"/>
  <c r="R598" i="1"/>
  <c r="S598" i="1"/>
  <c r="T598" i="1"/>
  <c r="U598" i="1"/>
  <c r="V598" i="1"/>
  <c r="W598" i="1"/>
  <c r="X598" i="1"/>
  <c r="Y598" i="1"/>
  <c r="Z598" i="1"/>
  <c r="AA598" i="1"/>
  <c r="AB598" i="1"/>
  <c r="AC598" i="1"/>
  <c r="AD598" i="1"/>
  <c r="AE598" i="1"/>
  <c r="AF598" i="1"/>
  <c r="AG598" i="1"/>
  <c r="AH598" i="1"/>
  <c r="AI598" i="1"/>
  <c r="AJ598" i="1"/>
  <c r="AQ598" i="1"/>
  <c r="AR598" i="1"/>
  <c r="AS598" i="1"/>
  <c r="L599" i="1"/>
  <c r="M599" i="1"/>
  <c r="N599" i="1"/>
  <c r="O599" i="1"/>
  <c r="P599" i="1"/>
  <c r="Q599" i="1"/>
  <c r="R599" i="1"/>
  <c r="S599" i="1"/>
  <c r="T599" i="1"/>
  <c r="U599" i="1"/>
  <c r="V599" i="1"/>
  <c r="W599" i="1"/>
  <c r="X599" i="1"/>
  <c r="Y599" i="1"/>
  <c r="Z599" i="1"/>
  <c r="AA599" i="1"/>
  <c r="AB599" i="1"/>
  <c r="AC599" i="1"/>
  <c r="AD599" i="1"/>
  <c r="AE599" i="1"/>
  <c r="AF599" i="1"/>
  <c r="AG599" i="1"/>
  <c r="AH599" i="1"/>
  <c r="AI599" i="1"/>
  <c r="AJ599" i="1"/>
  <c r="AQ599" i="1"/>
  <c r="AR599" i="1"/>
  <c r="AS599" i="1"/>
  <c r="L600" i="1"/>
  <c r="M600" i="1"/>
  <c r="N600" i="1"/>
  <c r="O600" i="1"/>
  <c r="P600" i="1"/>
  <c r="Q600" i="1"/>
  <c r="R600" i="1"/>
  <c r="S600" i="1"/>
  <c r="T600" i="1"/>
  <c r="U600" i="1"/>
  <c r="V600" i="1"/>
  <c r="W600" i="1"/>
  <c r="X600" i="1"/>
  <c r="Y600" i="1"/>
  <c r="Z600" i="1"/>
  <c r="AA600" i="1"/>
  <c r="AB600" i="1"/>
  <c r="AC600" i="1"/>
  <c r="AD600" i="1"/>
  <c r="AE600" i="1"/>
  <c r="AF600" i="1"/>
  <c r="AG600" i="1"/>
  <c r="AH600" i="1"/>
  <c r="AI600" i="1"/>
  <c r="AJ600" i="1"/>
  <c r="AQ600" i="1"/>
  <c r="AR600" i="1"/>
  <c r="AS600" i="1"/>
  <c r="L601" i="1"/>
  <c r="M601" i="1"/>
  <c r="N601" i="1"/>
  <c r="O601" i="1"/>
  <c r="P601" i="1"/>
  <c r="Q601" i="1"/>
  <c r="R601" i="1"/>
  <c r="S601" i="1"/>
  <c r="T601" i="1"/>
  <c r="U601" i="1"/>
  <c r="V601" i="1"/>
  <c r="W601" i="1"/>
  <c r="X601" i="1"/>
  <c r="Y601" i="1"/>
  <c r="Z601" i="1"/>
  <c r="AA601" i="1"/>
  <c r="AB601" i="1"/>
  <c r="AC601" i="1"/>
  <c r="AD601" i="1"/>
  <c r="AE601" i="1"/>
  <c r="AF601" i="1"/>
  <c r="AG601" i="1"/>
  <c r="AH601" i="1"/>
  <c r="AI601" i="1"/>
  <c r="AJ601" i="1"/>
  <c r="AQ601" i="1"/>
  <c r="AR601" i="1"/>
  <c r="AS601" i="1"/>
  <c r="L602" i="1"/>
  <c r="M602" i="1"/>
  <c r="N602" i="1"/>
  <c r="O602" i="1"/>
  <c r="P602" i="1"/>
  <c r="Q602" i="1"/>
  <c r="R602" i="1"/>
  <c r="S602" i="1"/>
  <c r="T602" i="1"/>
  <c r="U602" i="1"/>
  <c r="V602" i="1"/>
  <c r="W602" i="1"/>
  <c r="X602" i="1"/>
  <c r="Y602" i="1"/>
  <c r="Z602" i="1"/>
  <c r="AA602" i="1"/>
  <c r="AB602" i="1"/>
  <c r="AC602" i="1"/>
  <c r="AD602" i="1"/>
  <c r="AE602" i="1"/>
  <c r="AF602" i="1"/>
  <c r="AG602" i="1"/>
  <c r="AH602" i="1"/>
  <c r="AI602" i="1"/>
  <c r="AJ602" i="1"/>
  <c r="AQ602" i="1"/>
  <c r="AR602" i="1"/>
  <c r="AS602" i="1"/>
  <c r="L603" i="1"/>
  <c r="M603" i="1"/>
  <c r="N603" i="1"/>
  <c r="O603" i="1"/>
  <c r="P603" i="1"/>
  <c r="Q603" i="1"/>
  <c r="R603" i="1"/>
  <c r="S603" i="1"/>
  <c r="T603" i="1"/>
  <c r="U603" i="1"/>
  <c r="V603" i="1"/>
  <c r="W603" i="1"/>
  <c r="X603" i="1"/>
  <c r="Y603" i="1"/>
  <c r="Z603" i="1"/>
  <c r="AA603" i="1"/>
  <c r="AB603" i="1"/>
  <c r="AC603" i="1"/>
  <c r="AD603" i="1"/>
  <c r="AE603" i="1"/>
  <c r="AF603" i="1"/>
  <c r="AG603" i="1"/>
  <c r="AH603" i="1"/>
  <c r="AI603" i="1"/>
  <c r="AJ603" i="1"/>
  <c r="AQ603" i="1"/>
  <c r="AR603" i="1"/>
  <c r="AS603" i="1"/>
  <c r="L604" i="1"/>
  <c r="M604" i="1"/>
  <c r="N604" i="1"/>
  <c r="O604" i="1"/>
  <c r="P604" i="1"/>
  <c r="Q604" i="1"/>
  <c r="R604" i="1"/>
  <c r="S604" i="1"/>
  <c r="T604" i="1"/>
  <c r="U604" i="1"/>
  <c r="V604" i="1"/>
  <c r="W604" i="1"/>
  <c r="X604" i="1"/>
  <c r="Y604" i="1"/>
  <c r="Z604" i="1"/>
  <c r="AA604" i="1"/>
  <c r="AB604" i="1"/>
  <c r="AC604" i="1"/>
  <c r="AD604" i="1"/>
  <c r="AE604" i="1"/>
  <c r="AF604" i="1"/>
  <c r="AG604" i="1"/>
  <c r="AH604" i="1"/>
  <c r="AI604" i="1"/>
  <c r="AJ604" i="1"/>
  <c r="AQ604" i="1"/>
  <c r="AR604" i="1"/>
  <c r="AS604" i="1"/>
  <c r="L605" i="1"/>
  <c r="M605" i="1"/>
  <c r="N605" i="1"/>
  <c r="O605" i="1"/>
  <c r="P605" i="1"/>
  <c r="Q605" i="1"/>
  <c r="R605" i="1"/>
  <c r="S605" i="1"/>
  <c r="T605" i="1"/>
  <c r="U605" i="1"/>
  <c r="V605" i="1"/>
  <c r="W605" i="1"/>
  <c r="X605" i="1"/>
  <c r="Y605" i="1"/>
  <c r="Z605" i="1"/>
  <c r="AA605" i="1"/>
  <c r="AB605" i="1"/>
  <c r="AC605" i="1"/>
  <c r="AD605" i="1"/>
  <c r="AE605" i="1"/>
  <c r="AF605" i="1"/>
  <c r="AG605" i="1"/>
  <c r="AH605" i="1"/>
  <c r="AI605" i="1"/>
  <c r="AJ605" i="1"/>
  <c r="AQ605" i="1"/>
  <c r="AR605" i="1"/>
  <c r="AS605" i="1"/>
  <c r="L606" i="1"/>
  <c r="M606" i="1"/>
  <c r="N606" i="1"/>
  <c r="O606" i="1"/>
  <c r="P606" i="1"/>
  <c r="Q606" i="1"/>
  <c r="R606" i="1"/>
  <c r="S606" i="1"/>
  <c r="T606" i="1"/>
  <c r="U606" i="1"/>
  <c r="V606" i="1"/>
  <c r="W606" i="1"/>
  <c r="X606" i="1"/>
  <c r="Y606" i="1"/>
  <c r="Z606" i="1"/>
  <c r="AA606" i="1"/>
  <c r="AB606" i="1"/>
  <c r="AC606" i="1"/>
  <c r="AD606" i="1"/>
  <c r="AE606" i="1"/>
  <c r="AF606" i="1"/>
  <c r="AG606" i="1"/>
  <c r="AH606" i="1"/>
  <c r="AI606" i="1"/>
  <c r="AJ606" i="1"/>
  <c r="AQ606" i="1"/>
  <c r="AR606" i="1"/>
  <c r="AS606" i="1"/>
  <c r="L607" i="1"/>
  <c r="M607" i="1"/>
  <c r="N607" i="1"/>
  <c r="O607" i="1"/>
  <c r="P607" i="1"/>
  <c r="Q607" i="1"/>
  <c r="R607" i="1"/>
  <c r="S607" i="1"/>
  <c r="T607" i="1"/>
  <c r="U607" i="1"/>
  <c r="V607" i="1"/>
  <c r="W607" i="1"/>
  <c r="X607" i="1"/>
  <c r="Y607" i="1"/>
  <c r="Z607" i="1"/>
  <c r="AA607" i="1"/>
  <c r="AB607" i="1"/>
  <c r="AC607" i="1"/>
  <c r="AD607" i="1"/>
  <c r="AE607" i="1"/>
  <c r="AF607" i="1"/>
  <c r="AG607" i="1"/>
  <c r="AH607" i="1"/>
  <c r="AI607" i="1"/>
  <c r="AJ607" i="1"/>
  <c r="AQ607" i="1"/>
  <c r="AR607" i="1"/>
  <c r="AS607" i="1"/>
  <c r="L608" i="1"/>
  <c r="M608" i="1"/>
  <c r="N608" i="1"/>
  <c r="O608" i="1"/>
  <c r="P608" i="1"/>
  <c r="Q608" i="1"/>
  <c r="R608" i="1"/>
  <c r="S608" i="1"/>
  <c r="T608" i="1"/>
  <c r="U608" i="1"/>
  <c r="V608" i="1"/>
  <c r="W608" i="1"/>
  <c r="X608" i="1"/>
  <c r="Y608" i="1"/>
  <c r="Z608" i="1"/>
  <c r="AA608" i="1"/>
  <c r="AB608" i="1"/>
  <c r="AC608" i="1"/>
  <c r="AD608" i="1"/>
  <c r="AE608" i="1"/>
  <c r="AF608" i="1"/>
  <c r="AG608" i="1"/>
  <c r="AH608" i="1"/>
  <c r="AI608" i="1"/>
  <c r="AJ608" i="1"/>
  <c r="AQ608" i="1"/>
  <c r="AR608" i="1"/>
  <c r="AS608" i="1"/>
  <c r="L609" i="1"/>
  <c r="M609" i="1"/>
  <c r="N609" i="1"/>
  <c r="O609" i="1"/>
  <c r="P609" i="1"/>
  <c r="Q609" i="1"/>
  <c r="R609" i="1"/>
  <c r="S609" i="1"/>
  <c r="T609" i="1"/>
  <c r="U609" i="1"/>
  <c r="V609" i="1"/>
  <c r="W609" i="1"/>
  <c r="X609" i="1"/>
  <c r="Y609" i="1"/>
  <c r="Z609" i="1"/>
  <c r="AA609" i="1"/>
  <c r="AB609" i="1"/>
  <c r="AC609" i="1"/>
  <c r="AD609" i="1"/>
  <c r="AE609" i="1"/>
  <c r="AF609" i="1"/>
  <c r="AG609" i="1"/>
  <c r="AH609" i="1"/>
  <c r="AI609" i="1"/>
  <c r="AJ609" i="1"/>
  <c r="AQ609" i="1"/>
  <c r="AR609" i="1"/>
  <c r="AS609" i="1"/>
  <c r="L610" i="1"/>
  <c r="M610" i="1"/>
  <c r="N610" i="1"/>
  <c r="O610" i="1"/>
  <c r="P610" i="1"/>
  <c r="Q610" i="1"/>
  <c r="R610" i="1"/>
  <c r="S610" i="1"/>
  <c r="T610" i="1"/>
  <c r="U610" i="1"/>
  <c r="V610" i="1"/>
  <c r="W610" i="1"/>
  <c r="X610" i="1"/>
  <c r="Y610" i="1"/>
  <c r="Z610" i="1"/>
  <c r="AA610" i="1"/>
  <c r="AB610" i="1"/>
  <c r="AC610" i="1"/>
  <c r="AD610" i="1"/>
  <c r="AE610" i="1"/>
  <c r="AF610" i="1"/>
  <c r="AG610" i="1"/>
  <c r="AH610" i="1"/>
  <c r="AI610" i="1"/>
  <c r="AJ610" i="1"/>
  <c r="AQ610" i="1"/>
  <c r="AR610" i="1"/>
  <c r="AS610" i="1"/>
  <c r="L611" i="1"/>
  <c r="M611" i="1"/>
  <c r="N611" i="1"/>
  <c r="O611" i="1"/>
  <c r="P611" i="1"/>
  <c r="Q611" i="1"/>
  <c r="R611" i="1"/>
  <c r="S611" i="1"/>
  <c r="T611" i="1"/>
  <c r="U611" i="1"/>
  <c r="V611" i="1"/>
  <c r="W611" i="1"/>
  <c r="X611" i="1"/>
  <c r="Y611" i="1"/>
  <c r="Z611" i="1"/>
  <c r="AA611" i="1"/>
  <c r="AB611" i="1"/>
  <c r="AC611" i="1"/>
  <c r="AD611" i="1"/>
  <c r="AE611" i="1"/>
  <c r="AF611" i="1"/>
  <c r="AG611" i="1"/>
  <c r="AH611" i="1"/>
  <c r="AI611" i="1"/>
  <c r="AJ611" i="1"/>
  <c r="AQ611" i="1"/>
  <c r="AR611" i="1"/>
  <c r="AS611" i="1"/>
  <c r="L612" i="1"/>
  <c r="M612" i="1"/>
  <c r="N612" i="1"/>
  <c r="O612" i="1"/>
  <c r="P612" i="1"/>
  <c r="Q612" i="1"/>
  <c r="R612" i="1"/>
  <c r="S612" i="1"/>
  <c r="T612" i="1"/>
  <c r="U612" i="1"/>
  <c r="V612" i="1"/>
  <c r="W612" i="1"/>
  <c r="X612" i="1"/>
  <c r="Y612" i="1"/>
  <c r="Z612" i="1"/>
  <c r="AA612" i="1"/>
  <c r="AB612" i="1"/>
  <c r="AC612" i="1"/>
  <c r="AD612" i="1"/>
  <c r="AE612" i="1"/>
  <c r="AF612" i="1"/>
  <c r="AG612" i="1"/>
  <c r="AH612" i="1"/>
  <c r="AI612" i="1"/>
  <c r="AJ612" i="1"/>
  <c r="AQ612" i="1"/>
  <c r="AR612" i="1"/>
  <c r="AS612" i="1"/>
  <c r="L613" i="1"/>
  <c r="M613" i="1"/>
  <c r="N613" i="1"/>
  <c r="O613" i="1"/>
  <c r="P613" i="1"/>
  <c r="Q613" i="1"/>
  <c r="R613" i="1"/>
  <c r="S613" i="1"/>
  <c r="T613" i="1"/>
  <c r="U613" i="1"/>
  <c r="V613" i="1"/>
  <c r="W613" i="1"/>
  <c r="X613" i="1"/>
  <c r="Y613" i="1"/>
  <c r="Z613" i="1"/>
  <c r="AA613" i="1"/>
  <c r="AB613" i="1"/>
  <c r="AC613" i="1"/>
  <c r="AD613" i="1"/>
  <c r="AE613" i="1"/>
  <c r="AF613" i="1"/>
  <c r="AG613" i="1"/>
  <c r="AH613" i="1"/>
  <c r="AI613" i="1"/>
  <c r="AJ613" i="1"/>
  <c r="AQ613" i="1"/>
  <c r="AR613" i="1"/>
  <c r="AS613" i="1"/>
  <c r="L614" i="1"/>
  <c r="M614" i="1"/>
  <c r="N614" i="1"/>
  <c r="O614" i="1"/>
  <c r="P614" i="1"/>
  <c r="Q614" i="1"/>
  <c r="R614" i="1"/>
  <c r="S614" i="1"/>
  <c r="T614" i="1"/>
  <c r="U614" i="1"/>
  <c r="V614" i="1"/>
  <c r="W614" i="1"/>
  <c r="X614" i="1"/>
  <c r="Y614" i="1"/>
  <c r="Z614" i="1"/>
  <c r="AA614" i="1"/>
  <c r="AB614" i="1"/>
  <c r="AC614" i="1"/>
  <c r="AD614" i="1"/>
  <c r="AE614" i="1"/>
  <c r="AF614" i="1"/>
  <c r="AG614" i="1"/>
  <c r="AH614" i="1"/>
  <c r="AI614" i="1"/>
  <c r="AJ614" i="1"/>
  <c r="AQ614" i="1"/>
  <c r="AR614" i="1"/>
  <c r="AS614" i="1"/>
  <c r="L615" i="1"/>
  <c r="M615" i="1"/>
  <c r="N615" i="1"/>
  <c r="O615" i="1"/>
  <c r="P615" i="1"/>
  <c r="Q615" i="1"/>
  <c r="R615" i="1"/>
  <c r="S615" i="1"/>
  <c r="T615" i="1"/>
  <c r="U615" i="1"/>
  <c r="V615" i="1"/>
  <c r="W615" i="1"/>
  <c r="X615" i="1"/>
  <c r="Y615" i="1"/>
  <c r="Z615" i="1"/>
  <c r="AA615" i="1"/>
  <c r="AB615" i="1"/>
  <c r="AC615" i="1"/>
  <c r="AD615" i="1"/>
  <c r="AE615" i="1"/>
  <c r="AF615" i="1"/>
  <c r="AG615" i="1"/>
  <c r="AH615" i="1"/>
  <c r="AI615" i="1"/>
  <c r="AJ615" i="1"/>
  <c r="AQ615" i="1"/>
  <c r="AR615" i="1"/>
  <c r="AS615" i="1"/>
  <c r="L616" i="1"/>
  <c r="M616" i="1"/>
  <c r="N616" i="1"/>
  <c r="O616" i="1"/>
  <c r="P616" i="1"/>
  <c r="Q616" i="1"/>
  <c r="R616" i="1"/>
  <c r="S616" i="1"/>
  <c r="T616" i="1"/>
  <c r="U616" i="1"/>
  <c r="V616" i="1"/>
  <c r="W616" i="1"/>
  <c r="X616" i="1"/>
  <c r="Y616" i="1"/>
  <c r="Z616" i="1"/>
  <c r="AA616" i="1"/>
  <c r="AB616" i="1"/>
  <c r="AC616" i="1"/>
  <c r="AD616" i="1"/>
  <c r="AE616" i="1"/>
  <c r="AF616" i="1"/>
  <c r="AG616" i="1"/>
  <c r="AH616" i="1"/>
  <c r="AI616" i="1"/>
  <c r="AJ616" i="1"/>
  <c r="AQ616" i="1"/>
  <c r="AR616" i="1"/>
  <c r="AS616" i="1"/>
  <c r="L617" i="1"/>
  <c r="M617" i="1"/>
  <c r="N617" i="1"/>
  <c r="O617" i="1"/>
  <c r="P617" i="1"/>
  <c r="Q617" i="1"/>
  <c r="R617" i="1"/>
  <c r="S617" i="1"/>
  <c r="T617" i="1"/>
  <c r="U617" i="1"/>
  <c r="V617" i="1"/>
  <c r="W617" i="1"/>
  <c r="X617" i="1"/>
  <c r="Y617" i="1"/>
  <c r="Z617" i="1"/>
  <c r="AA617" i="1"/>
  <c r="AB617" i="1"/>
  <c r="AC617" i="1"/>
  <c r="AD617" i="1"/>
  <c r="AE617" i="1"/>
  <c r="AF617" i="1"/>
  <c r="AG617" i="1"/>
  <c r="AH617" i="1"/>
  <c r="AI617" i="1"/>
  <c r="AJ617" i="1"/>
  <c r="AQ617" i="1"/>
  <c r="AR617" i="1"/>
  <c r="AS617" i="1"/>
  <c r="L618" i="1"/>
  <c r="M618" i="1"/>
  <c r="N618" i="1"/>
  <c r="O618" i="1"/>
  <c r="P618" i="1"/>
  <c r="Q618" i="1"/>
  <c r="R618" i="1"/>
  <c r="S618" i="1"/>
  <c r="T618" i="1"/>
  <c r="U618" i="1"/>
  <c r="V618" i="1"/>
  <c r="W618" i="1"/>
  <c r="X618" i="1"/>
  <c r="Y618" i="1"/>
  <c r="Z618" i="1"/>
  <c r="AA618" i="1"/>
  <c r="AB618" i="1"/>
  <c r="AC618" i="1"/>
  <c r="AD618" i="1"/>
  <c r="AE618" i="1"/>
  <c r="AF618" i="1"/>
  <c r="AG618" i="1"/>
  <c r="AH618" i="1"/>
  <c r="AI618" i="1"/>
  <c r="AJ618" i="1"/>
  <c r="AQ618" i="1"/>
  <c r="AR618" i="1"/>
  <c r="AS618" i="1"/>
  <c r="L619" i="1"/>
  <c r="M619" i="1"/>
  <c r="N619" i="1"/>
  <c r="O619" i="1"/>
  <c r="P619" i="1"/>
  <c r="Q619" i="1"/>
  <c r="R619" i="1"/>
  <c r="S619" i="1"/>
  <c r="T619" i="1"/>
  <c r="U619" i="1"/>
  <c r="V619" i="1"/>
  <c r="W619" i="1"/>
  <c r="X619" i="1"/>
  <c r="Y619" i="1"/>
  <c r="Z619" i="1"/>
  <c r="AA619" i="1"/>
  <c r="AB619" i="1"/>
  <c r="AC619" i="1"/>
  <c r="AD619" i="1"/>
  <c r="AE619" i="1"/>
  <c r="AF619" i="1"/>
  <c r="AG619" i="1"/>
  <c r="AH619" i="1"/>
  <c r="AI619" i="1"/>
  <c r="AJ619" i="1"/>
  <c r="AQ619" i="1"/>
  <c r="AR619" i="1"/>
  <c r="AS619" i="1"/>
  <c r="L620" i="1"/>
  <c r="M620" i="1"/>
  <c r="N620" i="1"/>
  <c r="O620" i="1"/>
  <c r="P620" i="1"/>
  <c r="Q620" i="1"/>
  <c r="R620" i="1"/>
  <c r="S620" i="1"/>
  <c r="T620" i="1"/>
  <c r="U620" i="1"/>
  <c r="V620" i="1"/>
  <c r="W620" i="1"/>
  <c r="X620" i="1"/>
  <c r="Y620" i="1"/>
  <c r="Z620" i="1"/>
  <c r="AA620" i="1"/>
  <c r="AB620" i="1"/>
  <c r="AC620" i="1"/>
  <c r="AD620" i="1"/>
  <c r="AE620" i="1"/>
  <c r="AF620" i="1"/>
  <c r="AG620" i="1"/>
  <c r="AH620" i="1"/>
  <c r="AI620" i="1"/>
  <c r="AJ620" i="1"/>
  <c r="AQ620" i="1"/>
  <c r="AR620" i="1"/>
  <c r="AS620" i="1"/>
  <c r="L621" i="1"/>
  <c r="M621" i="1"/>
  <c r="N621" i="1"/>
  <c r="O621" i="1"/>
  <c r="P621" i="1"/>
  <c r="Q621" i="1"/>
  <c r="R621" i="1"/>
  <c r="S621" i="1"/>
  <c r="T621" i="1"/>
  <c r="U621" i="1"/>
  <c r="V621" i="1"/>
  <c r="W621" i="1"/>
  <c r="X621" i="1"/>
  <c r="Y621" i="1"/>
  <c r="Z621" i="1"/>
  <c r="AA621" i="1"/>
  <c r="AB621" i="1"/>
  <c r="AC621" i="1"/>
  <c r="AD621" i="1"/>
  <c r="AE621" i="1"/>
  <c r="AF621" i="1"/>
  <c r="AG621" i="1"/>
  <c r="AH621" i="1"/>
  <c r="AI621" i="1"/>
  <c r="AJ621" i="1"/>
  <c r="AQ621" i="1"/>
  <c r="AR621" i="1"/>
  <c r="AS621" i="1"/>
  <c r="L622" i="1"/>
  <c r="M622" i="1"/>
  <c r="N622" i="1"/>
  <c r="O622" i="1"/>
  <c r="P622" i="1"/>
  <c r="Q622" i="1"/>
  <c r="R622" i="1"/>
  <c r="S622" i="1"/>
  <c r="T622" i="1"/>
  <c r="U622" i="1"/>
  <c r="V622" i="1"/>
  <c r="W622" i="1"/>
  <c r="X622" i="1"/>
  <c r="Y622" i="1"/>
  <c r="Z622" i="1"/>
  <c r="AA622" i="1"/>
  <c r="AB622" i="1"/>
  <c r="AC622" i="1"/>
  <c r="AD622" i="1"/>
  <c r="AE622" i="1"/>
  <c r="AF622" i="1"/>
  <c r="AG622" i="1"/>
  <c r="AH622" i="1"/>
  <c r="AI622" i="1"/>
  <c r="AJ622" i="1"/>
  <c r="AQ622" i="1"/>
  <c r="AR622" i="1"/>
  <c r="AS622" i="1"/>
  <c r="L623" i="1"/>
  <c r="M623" i="1"/>
  <c r="N623" i="1"/>
  <c r="O623" i="1"/>
  <c r="P623" i="1"/>
  <c r="Q623" i="1"/>
  <c r="R623" i="1"/>
  <c r="S623" i="1"/>
  <c r="T623" i="1"/>
  <c r="U623" i="1"/>
  <c r="V623" i="1"/>
  <c r="W623" i="1"/>
  <c r="X623" i="1"/>
  <c r="Y623" i="1"/>
  <c r="Z623" i="1"/>
  <c r="AA623" i="1"/>
  <c r="AB623" i="1"/>
  <c r="AC623" i="1"/>
  <c r="AD623" i="1"/>
  <c r="AE623" i="1"/>
  <c r="AF623" i="1"/>
  <c r="AG623" i="1"/>
  <c r="AH623" i="1"/>
  <c r="AI623" i="1"/>
  <c r="AJ623" i="1"/>
  <c r="AQ623" i="1"/>
  <c r="AR623" i="1"/>
  <c r="AS623" i="1"/>
  <c r="L624" i="1"/>
  <c r="M624" i="1"/>
  <c r="N624" i="1"/>
  <c r="O624" i="1"/>
  <c r="P624" i="1"/>
  <c r="Q624" i="1"/>
  <c r="R624" i="1"/>
  <c r="S624" i="1"/>
  <c r="T624" i="1"/>
  <c r="U624" i="1"/>
  <c r="V624" i="1"/>
  <c r="W624" i="1"/>
  <c r="X624" i="1"/>
  <c r="Y624" i="1"/>
  <c r="Z624" i="1"/>
  <c r="AA624" i="1"/>
  <c r="AB624" i="1"/>
  <c r="AC624" i="1"/>
  <c r="AD624" i="1"/>
  <c r="AE624" i="1"/>
  <c r="AF624" i="1"/>
  <c r="AG624" i="1"/>
  <c r="AH624" i="1"/>
  <c r="AI624" i="1"/>
  <c r="AJ624" i="1"/>
  <c r="AQ624" i="1"/>
  <c r="AR624" i="1"/>
  <c r="AS624" i="1"/>
  <c r="L625" i="1"/>
  <c r="M625" i="1"/>
  <c r="N625" i="1"/>
  <c r="O625" i="1"/>
  <c r="P625" i="1"/>
  <c r="Q625" i="1"/>
  <c r="R625" i="1"/>
  <c r="S625" i="1"/>
  <c r="T625" i="1"/>
  <c r="U625" i="1"/>
  <c r="V625" i="1"/>
  <c r="W625" i="1"/>
  <c r="X625" i="1"/>
  <c r="Y625" i="1"/>
  <c r="Z625" i="1"/>
  <c r="AA625" i="1"/>
  <c r="AB625" i="1"/>
  <c r="AC625" i="1"/>
  <c r="AD625" i="1"/>
  <c r="AE625" i="1"/>
  <c r="AF625" i="1"/>
  <c r="AG625" i="1"/>
  <c r="AH625" i="1"/>
  <c r="AI625" i="1"/>
  <c r="AJ625" i="1"/>
  <c r="AQ625" i="1"/>
  <c r="AR625" i="1"/>
  <c r="AS625" i="1"/>
  <c r="L626" i="1"/>
  <c r="M626" i="1"/>
  <c r="N626" i="1"/>
  <c r="O626" i="1"/>
  <c r="P626" i="1"/>
  <c r="Q626" i="1"/>
  <c r="R626" i="1"/>
  <c r="S626" i="1"/>
  <c r="T626" i="1"/>
  <c r="U626" i="1"/>
  <c r="V626" i="1"/>
  <c r="W626" i="1"/>
  <c r="X626" i="1"/>
  <c r="Y626" i="1"/>
  <c r="Z626" i="1"/>
  <c r="AA626" i="1"/>
  <c r="AB626" i="1"/>
  <c r="AC626" i="1"/>
  <c r="AD626" i="1"/>
  <c r="AE626" i="1"/>
  <c r="AF626" i="1"/>
  <c r="AG626" i="1"/>
  <c r="AH626" i="1"/>
  <c r="AI626" i="1"/>
  <c r="AJ626" i="1"/>
  <c r="AQ626" i="1"/>
  <c r="AR626" i="1"/>
  <c r="AS626" i="1"/>
  <c r="L627" i="1"/>
  <c r="M627" i="1"/>
  <c r="N627" i="1"/>
  <c r="O627" i="1"/>
  <c r="P627" i="1"/>
  <c r="Q627" i="1"/>
  <c r="R627" i="1"/>
  <c r="S627" i="1"/>
  <c r="T627" i="1"/>
  <c r="U627" i="1"/>
  <c r="V627" i="1"/>
  <c r="W627" i="1"/>
  <c r="X627" i="1"/>
  <c r="Y627" i="1"/>
  <c r="Z627" i="1"/>
  <c r="AA627" i="1"/>
  <c r="AB627" i="1"/>
  <c r="AC627" i="1"/>
  <c r="AD627" i="1"/>
  <c r="AE627" i="1"/>
  <c r="AF627" i="1"/>
  <c r="AG627" i="1"/>
  <c r="AH627" i="1"/>
  <c r="AI627" i="1"/>
  <c r="AJ627" i="1"/>
  <c r="AQ627" i="1"/>
  <c r="AR627" i="1"/>
  <c r="AS627" i="1"/>
  <c r="L628" i="1"/>
  <c r="M628" i="1"/>
  <c r="N628" i="1"/>
  <c r="O628" i="1"/>
  <c r="P628" i="1"/>
  <c r="Q628" i="1"/>
  <c r="R628" i="1"/>
  <c r="S628" i="1"/>
  <c r="T628" i="1"/>
  <c r="U628" i="1"/>
  <c r="V628" i="1"/>
  <c r="W628" i="1"/>
  <c r="X628" i="1"/>
  <c r="Y628" i="1"/>
  <c r="Z628" i="1"/>
  <c r="AA628" i="1"/>
  <c r="AB628" i="1"/>
  <c r="AC628" i="1"/>
  <c r="AD628" i="1"/>
  <c r="AE628" i="1"/>
  <c r="AF628" i="1"/>
  <c r="AG628" i="1"/>
  <c r="AH628" i="1"/>
  <c r="AI628" i="1"/>
  <c r="AJ628" i="1"/>
  <c r="AQ628" i="1"/>
  <c r="AR628" i="1"/>
  <c r="AS628" i="1"/>
  <c r="L629" i="1"/>
  <c r="M629" i="1"/>
  <c r="N629" i="1"/>
  <c r="O629" i="1"/>
  <c r="P629" i="1"/>
  <c r="Q629" i="1"/>
  <c r="R629" i="1"/>
  <c r="S629" i="1"/>
  <c r="T629" i="1"/>
  <c r="U629" i="1"/>
  <c r="V629" i="1"/>
  <c r="W629" i="1"/>
  <c r="X629" i="1"/>
  <c r="Y629" i="1"/>
  <c r="Z629" i="1"/>
  <c r="AA629" i="1"/>
  <c r="AB629" i="1"/>
  <c r="AC629" i="1"/>
  <c r="AD629" i="1"/>
  <c r="AE629" i="1"/>
  <c r="AF629" i="1"/>
  <c r="AG629" i="1"/>
  <c r="AH629" i="1"/>
  <c r="AI629" i="1"/>
  <c r="AJ629" i="1"/>
  <c r="AQ629" i="1"/>
  <c r="AR629" i="1"/>
  <c r="AS629" i="1"/>
  <c r="L630" i="1"/>
  <c r="M630" i="1"/>
  <c r="N630" i="1"/>
  <c r="O630" i="1"/>
  <c r="P630" i="1"/>
  <c r="Q630" i="1"/>
  <c r="R630" i="1"/>
  <c r="S630" i="1"/>
  <c r="T630" i="1"/>
  <c r="U630" i="1"/>
  <c r="V630" i="1"/>
  <c r="W630" i="1"/>
  <c r="X630" i="1"/>
  <c r="Y630" i="1"/>
  <c r="Z630" i="1"/>
  <c r="AA630" i="1"/>
  <c r="AB630" i="1"/>
  <c r="AC630" i="1"/>
  <c r="AD630" i="1"/>
  <c r="AE630" i="1"/>
  <c r="AF630" i="1"/>
  <c r="AG630" i="1"/>
  <c r="AH630" i="1"/>
  <c r="AI630" i="1"/>
  <c r="AJ630" i="1"/>
  <c r="AQ630" i="1"/>
  <c r="AR630" i="1"/>
  <c r="AS630" i="1"/>
  <c r="L631" i="1"/>
  <c r="M631" i="1"/>
  <c r="N631" i="1"/>
  <c r="O631" i="1"/>
  <c r="P631" i="1"/>
  <c r="Q631" i="1"/>
  <c r="R631" i="1"/>
  <c r="S631" i="1"/>
  <c r="T631" i="1"/>
  <c r="U631" i="1"/>
  <c r="V631" i="1"/>
  <c r="W631" i="1"/>
  <c r="X631" i="1"/>
  <c r="Y631" i="1"/>
  <c r="Z631" i="1"/>
  <c r="AA631" i="1"/>
  <c r="AB631" i="1"/>
  <c r="AC631" i="1"/>
  <c r="AD631" i="1"/>
  <c r="AE631" i="1"/>
  <c r="AF631" i="1"/>
  <c r="AG631" i="1"/>
  <c r="AH631" i="1"/>
  <c r="AI631" i="1"/>
  <c r="AJ631" i="1"/>
  <c r="AQ631" i="1"/>
  <c r="AR631" i="1"/>
  <c r="AS631" i="1"/>
  <c r="L632" i="1"/>
  <c r="M632" i="1"/>
  <c r="N632" i="1"/>
  <c r="O632" i="1"/>
  <c r="P632" i="1"/>
  <c r="Q632" i="1"/>
  <c r="R632" i="1"/>
  <c r="S632" i="1"/>
  <c r="T632" i="1"/>
  <c r="U632" i="1"/>
  <c r="V632" i="1"/>
  <c r="W632" i="1"/>
  <c r="X632" i="1"/>
  <c r="Y632" i="1"/>
  <c r="Z632" i="1"/>
  <c r="AA632" i="1"/>
  <c r="AB632" i="1"/>
  <c r="AC632" i="1"/>
  <c r="AD632" i="1"/>
  <c r="AE632" i="1"/>
  <c r="AF632" i="1"/>
  <c r="AG632" i="1"/>
  <c r="AH632" i="1"/>
  <c r="AI632" i="1"/>
  <c r="AJ632" i="1"/>
  <c r="AQ632" i="1"/>
  <c r="AR632" i="1"/>
  <c r="AS632" i="1"/>
  <c r="L633" i="1"/>
  <c r="M633" i="1"/>
  <c r="N633" i="1"/>
  <c r="O633" i="1"/>
  <c r="P633" i="1"/>
  <c r="Q633" i="1"/>
  <c r="R633" i="1"/>
  <c r="S633" i="1"/>
  <c r="T633" i="1"/>
  <c r="U633" i="1"/>
  <c r="V633" i="1"/>
  <c r="W633" i="1"/>
  <c r="X633" i="1"/>
  <c r="Y633" i="1"/>
  <c r="Z633" i="1"/>
  <c r="AA633" i="1"/>
  <c r="AB633" i="1"/>
  <c r="AC633" i="1"/>
  <c r="AD633" i="1"/>
  <c r="AE633" i="1"/>
  <c r="AF633" i="1"/>
  <c r="AG633" i="1"/>
  <c r="AH633" i="1"/>
  <c r="AI633" i="1"/>
  <c r="AJ633" i="1"/>
  <c r="AQ633" i="1"/>
  <c r="AR633" i="1"/>
  <c r="AS633" i="1"/>
  <c r="L634" i="1"/>
  <c r="M634" i="1"/>
  <c r="N634" i="1"/>
  <c r="O634" i="1"/>
  <c r="P634" i="1"/>
  <c r="Q634" i="1"/>
  <c r="R634" i="1"/>
  <c r="S634" i="1"/>
  <c r="T634" i="1"/>
  <c r="U634" i="1"/>
  <c r="V634" i="1"/>
  <c r="W634" i="1"/>
  <c r="X634" i="1"/>
  <c r="Y634" i="1"/>
  <c r="Z634" i="1"/>
  <c r="AA634" i="1"/>
  <c r="AB634" i="1"/>
  <c r="AC634" i="1"/>
  <c r="AD634" i="1"/>
  <c r="AE634" i="1"/>
  <c r="AF634" i="1"/>
  <c r="AG634" i="1"/>
  <c r="AH634" i="1"/>
  <c r="AI634" i="1"/>
  <c r="AJ634" i="1"/>
  <c r="AQ634" i="1"/>
  <c r="AR634" i="1"/>
  <c r="AS634" i="1"/>
  <c r="L635" i="1"/>
  <c r="M635" i="1"/>
  <c r="N635" i="1"/>
  <c r="O635" i="1"/>
  <c r="P635" i="1"/>
  <c r="Q635" i="1"/>
  <c r="R635" i="1"/>
  <c r="S635" i="1"/>
  <c r="T635" i="1"/>
  <c r="U635" i="1"/>
  <c r="V635" i="1"/>
  <c r="W635" i="1"/>
  <c r="X635" i="1"/>
  <c r="Y635" i="1"/>
  <c r="Z635" i="1"/>
  <c r="AA635" i="1"/>
  <c r="AB635" i="1"/>
  <c r="AC635" i="1"/>
  <c r="AD635" i="1"/>
  <c r="AE635" i="1"/>
  <c r="AF635" i="1"/>
  <c r="AG635" i="1"/>
  <c r="AH635" i="1"/>
  <c r="AI635" i="1"/>
  <c r="AJ635" i="1"/>
  <c r="AQ635" i="1"/>
  <c r="AR635" i="1"/>
  <c r="AS635" i="1"/>
  <c r="L636" i="1"/>
  <c r="M636" i="1"/>
  <c r="N636" i="1"/>
  <c r="O636" i="1"/>
  <c r="P636" i="1"/>
  <c r="Q636" i="1"/>
  <c r="R636" i="1"/>
  <c r="S636" i="1"/>
  <c r="T636" i="1"/>
  <c r="U636" i="1"/>
  <c r="V636" i="1"/>
  <c r="W636" i="1"/>
  <c r="X636" i="1"/>
  <c r="Y636" i="1"/>
  <c r="Z636" i="1"/>
  <c r="AA636" i="1"/>
  <c r="AB636" i="1"/>
  <c r="AC636" i="1"/>
  <c r="AD636" i="1"/>
  <c r="AE636" i="1"/>
  <c r="AF636" i="1"/>
  <c r="AG636" i="1"/>
  <c r="AH636" i="1"/>
  <c r="AI636" i="1"/>
  <c r="AJ636" i="1"/>
  <c r="AQ636" i="1"/>
  <c r="AR636" i="1"/>
  <c r="AS636" i="1"/>
  <c r="L637" i="1"/>
  <c r="M637" i="1"/>
  <c r="N637" i="1"/>
  <c r="O637" i="1"/>
  <c r="P637" i="1"/>
  <c r="Q637" i="1"/>
  <c r="R637" i="1"/>
  <c r="S637" i="1"/>
  <c r="T637" i="1"/>
  <c r="U637" i="1"/>
  <c r="V637" i="1"/>
  <c r="W637" i="1"/>
  <c r="X637" i="1"/>
  <c r="Y637" i="1"/>
  <c r="Z637" i="1"/>
  <c r="AA637" i="1"/>
  <c r="AB637" i="1"/>
  <c r="AC637" i="1"/>
  <c r="AD637" i="1"/>
  <c r="AE637" i="1"/>
  <c r="AF637" i="1"/>
  <c r="AG637" i="1"/>
  <c r="AH637" i="1"/>
  <c r="AI637" i="1"/>
  <c r="AJ637" i="1"/>
  <c r="AQ637" i="1"/>
  <c r="AR637" i="1"/>
  <c r="AS637" i="1"/>
  <c r="L638" i="1"/>
  <c r="M638" i="1"/>
  <c r="N638" i="1"/>
  <c r="O638" i="1"/>
  <c r="P638" i="1"/>
  <c r="Q638" i="1"/>
  <c r="R638" i="1"/>
  <c r="S638" i="1"/>
  <c r="T638" i="1"/>
  <c r="U638" i="1"/>
  <c r="V638" i="1"/>
  <c r="W638" i="1"/>
  <c r="X638" i="1"/>
  <c r="Y638" i="1"/>
  <c r="Z638" i="1"/>
  <c r="AA638" i="1"/>
  <c r="AB638" i="1"/>
  <c r="AC638" i="1"/>
  <c r="AD638" i="1"/>
  <c r="AE638" i="1"/>
  <c r="AF638" i="1"/>
  <c r="AG638" i="1"/>
  <c r="AH638" i="1"/>
  <c r="AI638" i="1"/>
  <c r="AJ638" i="1"/>
  <c r="AQ638" i="1"/>
  <c r="AR638" i="1"/>
  <c r="AS638" i="1"/>
  <c r="L639" i="1"/>
  <c r="M639" i="1"/>
  <c r="N639" i="1"/>
  <c r="O639" i="1"/>
  <c r="P639" i="1"/>
  <c r="Q639" i="1"/>
  <c r="R639" i="1"/>
  <c r="S639" i="1"/>
  <c r="T639" i="1"/>
  <c r="U639" i="1"/>
  <c r="V639" i="1"/>
  <c r="W639" i="1"/>
  <c r="X639" i="1"/>
  <c r="Y639" i="1"/>
  <c r="Z639" i="1"/>
  <c r="AA639" i="1"/>
  <c r="AB639" i="1"/>
  <c r="AC639" i="1"/>
  <c r="AD639" i="1"/>
  <c r="AE639" i="1"/>
  <c r="AF639" i="1"/>
  <c r="AG639" i="1"/>
  <c r="AH639" i="1"/>
  <c r="AI639" i="1"/>
  <c r="AJ639" i="1"/>
  <c r="AQ639" i="1"/>
  <c r="AR639" i="1"/>
  <c r="AS639" i="1"/>
  <c r="L640" i="1"/>
  <c r="M640" i="1"/>
  <c r="N640" i="1"/>
  <c r="O640" i="1"/>
  <c r="P640" i="1"/>
  <c r="Q640" i="1"/>
  <c r="R640" i="1"/>
  <c r="S640" i="1"/>
  <c r="T640" i="1"/>
  <c r="U640" i="1"/>
  <c r="V640" i="1"/>
  <c r="W640" i="1"/>
  <c r="X640" i="1"/>
  <c r="Y640" i="1"/>
  <c r="Z640" i="1"/>
  <c r="AA640" i="1"/>
  <c r="AB640" i="1"/>
  <c r="AC640" i="1"/>
  <c r="AD640" i="1"/>
  <c r="AE640" i="1"/>
  <c r="AF640" i="1"/>
  <c r="AG640" i="1"/>
  <c r="AH640" i="1"/>
  <c r="AI640" i="1"/>
  <c r="AJ640" i="1"/>
  <c r="AQ640" i="1"/>
  <c r="AR640" i="1"/>
  <c r="AS640" i="1"/>
  <c r="L641" i="1"/>
  <c r="M641" i="1"/>
  <c r="N641" i="1"/>
  <c r="O641" i="1"/>
  <c r="P641" i="1"/>
  <c r="Q641" i="1"/>
  <c r="R641" i="1"/>
  <c r="S641" i="1"/>
  <c r="T641" i="1"/>
  <c r="U641" i="1"/>
  <c r="V641" i="1"/>
  <c r="W641" i="1"/>
  <c r="X641" i="1"/>
  <c r="Y641" i="1"/>
  <c r="Z641" i="1"/>
  <c r="AA641" i="1"/>
  <c r="AB641" i="1"/>
  <c r="AC641" i="1"/>
  <c r="AD641" i="1"/>
  <c r="AE641" i="1"/>
  <c r="AF641" i="1"/>
  <c r="AG641" i="1"/>
  <c r="AH641" i="1"/>
  <c r="AI641" i="1"/>
  <c r="AJ641" i="1"/>
  <c r="AQ641" i="1"/>
  <c r="AR641" i="1"/>
  <c r="AS641" i="1"/>
  <c r="L642" i="1"/>
  <c r="M642" i="1"/>
  <c r="N642" i="1"/>
  <c r="O642" i="1"/>
  <c r="P642" i="1"/>
  <c r="Q642" i="1"/>
  <c r="R642" i="1"/>
  <c r="S642" i="1"/>
  <c r="T642" i="1"/>
  <c r="U642" i="1"/>
  <c r="V642" i="1"/>
  <c r="W642" i="1"/>
  <c r="X642" i="1"/>
  <c r="Y642" i="1"/>
  <c r="Z642" i="1"/>
  <c r="AA642" i="1"/>
  <c r="AB642" i="1"/>
  <c r="AC642" i="1"/>
  <c r="AD642" i="1"/>
  <c r="AE642" i="1"/>
  <c r="AF642" i="1"/>
  <c r="AG642" i="1"/>
  <c r="AH642" i="1"/>
  <c r="AI642" i="1"/>
  <c r="AJ642" i="1"/>
  <c r="AQ642" i="1"/>
  <c r="AR642" i="1"/>
  <c r="AS642" i="1"/>
  <c r="L643" i="1"/>
  <c r="M643" i="1"/>
  <c r="N643" i="1"/>
  <c r="O643" i="1"/>
  <c r="P643" i="1"/>
  <c r="Q643" i="1"/>
  <c r="R643" i="1"/>
  <c r="S643" i="1"/>
  <c r="T643" i="1"/>
  <c r="U643" i="1"/>
  <c r="V643" i="1"/>
  <c r="W643" i="1"/>
  <c r="X643" i="1"/>
  <c r="Y643" i="1"/>
  <c r="Z643" i="1"/>
  <c r="AA643" i="1"/>
  <c r="AB643" i="1"/>
  <c r="AC643" i="1"/>
  <c r="AD643" i="1"/>
  <c r="AE643" i="1"/>
  <c r="AF643" i="1"/>
  <c r="AG643" i="1"/>
  <c r="AH643" i="1"/>
  <c r="AI643" i="1"/>
  <c r="AJ643" i="1"/>
  <c r="AQ643" i="1"/>
  <c r="AR643" i="1"/>
  <c r="AS643" i="1"/>
  <c r="L644" i="1"/>
  <c r="M644" i="1"/>
  <c r="N644" i="1"/>
  <c r="O644" i="1"/>
  <c r="P644" i="1"/>
  <c r="Q644" i="1"/>
  <c r="R644" i="1"/>
  <c r="S644" i="1"/>
  <c r="T644" i="1"/>
  <c r="U644" i="1"/>
  <c r="V644" i="1"/>
  <c r="W644" i="1"/>
  <c r="X644" i="1"/>
  <c r="Y644" i="1"/>
  <c r="Z644" i="1"/>
  <c r="AA644" i="1"/>
  <c r="AB644" i="1"/>
  <c r="AC644" i="1"/>
  <c r="AD644" i="1"/>
  <c r="AE644" i="1"/>
  <c r="AF644" i="1"/>
  <c r="AG644" i="1"/>
  <c r="AH644" i="1"/>
  <c r="AI644" i="1"/>
  <c r="AJ644" i="1"/>
  <c r="AQ644" i="1"/>
  <c r="AR644" i="1"/>
  <c r="AS644" i="1"/>
  <c r="L645" i="1"/>
  <c r="M645" i="1"/>
  <c r="N645" i="1"/>
  <c r="O645" i="1"/>
  <c r="P645" i="1"/>
  <c r="Q645" i="1"/>
  <c r="R645" i="1"/>
  <c r="S645" i="1"/>
  <c r="T645" i="1"/>
  <c r="U645" i="1"/>
  <c r="V645" i="1"/>
  <c r="W645" i="1"/>
  <c r="X645" i="1"/>
  <c r="Y645" i="1"/>
  <c r="Z645" i="1"/>
  <c r="AA645" i="1"/>
  <c r="AB645" i="1"/>
  <c r="AC645" i="1"/>
  <c r="AD645" i="1"/>
  <c r="AE645" i="1"/>
  <c r="AF645" i="1"/>
  <c r="AG645" i="1"/>
  <c r="AH645" i="1"/>
  <c r="AI645" i="1"/>
  <c r="AJ645" i="1"/>
  <c r="AQ645" i="1"/>
  <c r="AR645" i="1"/>
  <c r="AS645" i="1"/>
  <c r="L646" i="1"/>
  <c r="M646" i="1"/>
  <c r="N646" i="1"/>
  <c r="O646" i="1"/>
  <c r="P646" i="1"/>
  <c r="Q646" i="1"/>
  <c r="R646" i="1"/>
  <c r="S646" i="1"/>
  <c r="T646" i="1"/>
  <c r="U646" i="1"/>
  <c r="V646" i="1"/>
  <c r="W646" i="1"/>
  <c r="X646" i="1"/>
  <c r="Y646" i="1"/>
  <c r="Z646" i="1"/>
  <c r="AA646" i="1"/>
  <c r="AB646" i="1"/>
  <c r="AC646" i="1"/>
  <c r="AD646" i="1"/>
  <c r="AE646" i="1"/>
  <c r="AF646" i="1"/>
  <c r="AG646" i="1"/>
  <c r="AH646" i="1"/>
  <c r="AI646" i="1"/>
  <c r="AJ646" i="1"/>
  <c r="AQ646" i="1"/>
  <c r="AR646" i="1"/>
  <c r="AS646" i="1"/>
  <c r="L647" i="1"/>
  <c r="M647" i="1"/>
  <c r="N647" i="1"/>
  <c r="O647" i="1"/>
  <c r="P647" i="1"/>
  <c r="Q647" i="1"/>
  <c r="R647" i="1"/>
  <c r="S647" i="1"/>
  <c r="T647" i="1"/>
  <c r="U647" i="1"/>
  <c r="V647" i="1"/>
  <c r="W647" i="1"/>
  <c r="X647" i="1"/>
  <c r="Y647" i="1"/>
  <c r="Z647" i="1"/>
  <c r="AA647" i="1"/>
  <c r="AB647" i="1"/>
  <c r="AC647" i="1"/>
  <c r="AD647" i="1"/>
  <c r="AE647" i="1"/>
  <c r="AF647" i="1"/>
  <c r="AG647" i="1"/>
  <c r="AH647" i="1"/>
  <c r="AI647" i="1"/>
  <c r="AJ647" i="1"/>
  <c r="AQ647" i="1"/>
  <c r="AR647" i="1"/>
  <c r="AS647" i="1"/>
  <c r="L648" i="1"/>
  <c r="M648" i="1"/>
  <c r="N648" i="1"/>
  <c r="O648" i="1"/>
  <c r="P648" i="1"/>
  <c r="Q648" i="1"/>
  <c r="R648" i="1"/>
  <c r="S648" i="1"/>
  <c r="T648" i="1"/>
  <c r="U648" i="1"/>
  <c r="V648" i="1"/>
  <c r="W648" i="1"/>
  <c r="X648" i="1"/>
  <c r="Y648" i="1"/>
  <c r="Z648" i="1"/>
  <c r="AA648" i="1"/>
  <c r="AB648" i="1"/>
  <c r="AC648" i="1"/>
  <c r="AD648" i="1"/>
  <c r="AE648" i="1"/>
  <c r="AF648" i="1"/>
  <c r="AG648" i="1"/>
  <c r="AH648" i="1"/>
  <c r="AI648" i="1"/>
  <c r="AJ648" i="1"/>
  <c r="AQ648" i="1"/>
  <c r="AR648" i="1"/>
  <c r="AS648" i="1"/>
  <c r="L649" i="1"/>
  <c r="M649" i="1"/>
  <c r="N649" i="1"/>
  <c r="O649" i="1"/>
  <c r="P649" i="1"/>
  <c r="Q649" i="1"/>
  <c r="R649" i="1"/>
  <c r="S649" i="1"/>
  <c r="T649" i="1"/>
  <c r="U649" i="1"/>
  <c r="V649" i="1"/>
  <c r="W649" i="1"/>
  <c r="X649" i="1"/>
  <c r="Y649" i="1"/>
  <c r="Z649" i="1"/>
  <c r="AA649" i="1"/>
  <c r="AB649" i="1"/>
  <c r="AC649" i="1"/>
  <c r="AD649" i="1"/>
  <c r="AE649" i="1"/>
  <c r="AF649" i="1"/>
  <c r="AG649" i="1"/>
  <c r="AH649" i="1"/>
  <c r="AI649" i="1"/>
  <c r="AJ649" i="1"/>
  <c r="AQ649" i="1"/>
  <c r="AR649" i="1"/>
  <c r="AS649" i="1"/>
  <c r="L650" i="1"/>
  <c r="M650" i="1"/>
  <c r="N650" i="1"/>
  <c r="O650" i="1"/>
  <c r="P650" i="1"/>
  <c r="Q650" i="1"/>
  <c r="R650" i="1"/>
  <c r="S650" i="1"/>
  <c r="T650" i="1"/>
  <c r="U650" i="1"/>
  <c r="V650" i="1"/>
  <c r="W650" i="1"/>
  <c r="X650" i="1"/>
  <c r="Y650" i="1"/>
  <c r="Z650" i="1"/>
  <c r="AA650" i="1"/>
  <c r="AB650" i="1"/>
  <c r="AC650" i="1"/>
  <c r="AD650" i="1"/>
  <c r="AE650" i="1"/>
  <c r="AF650" i="1"/>
  <c r="AG650" i="1"/>
  <c r="AH650" i="1"/>
  <c r="AI650" i="1"/>
  <c r="AJ650" i="1"/>
  <c r="AQ650" i="1"/>
  <c r="AR650" i="1"/>
  <c r="AS650" i="1"/>
  <c r="L651" i="1"/>
  <c r="M651" i="1"/>
  <c r="N651" i="1"/>
  <c r="O651" i="1"/>
  <c r="P651" i="1"/>
  <c r="Q651" i="1"/>
  <c r="R651" i="1"/>
  <c r="S651" i="1"/>
  <c r="T651" i="1"/>
  <c r="U651" i="1"/>
  <c r="V651" i="1"/>
  <c r="W651" i="1"/>
  <c r="X651" i="1"/>
  <c r="Y651" i="1"/>
  <c r="Z651" i="1"/>
  <c r="AA651" i="1"/>
  <c r="AB651" i="1"/>
  <c r="AC651" i="1"/>
  <c r="AD651" i="1"/>
  <c r="AE651" i="1"/>
  <c r="AF651" i="1"/>
  <c r="AG651" i="1"/>
  <c r="AH651" i="1"/>
  <c r="AI651" i="1"/>
  <c r="AJ651" i="1"/>
  <c r="AQ651" i="1"/>
  <c r="AR651" i="1"/>
  <c r="AS651" i="1"/>
  <c r="L652" i="1"/>
  <c r="M652" i="1"/>
  <c r="N652" i="1"/>
  <c r="O652" i="1"/>
  <c r="P652" i="1"/>
  <c r="Q652" i="1"/>
  <c r="R652" i="1"/>
  <c r="S652" i="1"/>
  <c r="T652" i="1"/>
  <c r="U652" i="1"/>
  <c r="V652" i="1"/>
  <c r="W652" i="1"/>
  <c r="X652" i="1"/>
  <c r="Y652" i="1"/>
  <c r="Z652" i="1"/>
  <c r="AA652" i="1"/>
  <c r="AB652" i="1"/>
  <c r="AC652" i="1"/>
  <c r="AD652" i="1"/>
  <c r="AE652" i="1"/>
  <c r="AF652" i="1"/>
  <c r="AG652" i="1"/>
  <c r="AH652" i="1"/>
  <c r="AI652" i="1"/>
  <c r="AJ652" i="1"/>
  <c r="AQ652" i="1"/>
  <c r="AR652" i="1"/>
  <c r="AS652" i="1"/>
  <c r="L653" i="1"/>
  <c r="M653" i="1"/>
  <c r="N653" i="1"/>
  <c r="O653" i="1"/>
  <c r="P653" i="1"/>
  <c r="Q653" i="1"/>
  <c r="R653" i="1"/>
  <c r="S653" i="1"/>
  <c r="T653" i="1"/>
  <c r="U653" i="1"/>
  <c r="V653" i="1"/>
  <c r="W653" i="1"/>
  <c r="X653" i="1"/>
  <c r="Y653" i="1"/>
  <c r="Z653" i="1"/>
  <c r="AA653" i="1"/>
  <c r="AB653" i="1"/>
  <c r="AC653" i="1"/>
  <c r="AD653" i="1"/>
  <c r="AE653" i="1"/>
  <c r="AF653" i="1"/>
  <c r="AG653" i="1"/>
  <c r="AH653" i="1"/>
  <c r="AI653" i="1"/>
  <c r="AJ653" i="1"/>
  <c r="AQ653" i="1"/>
  <c r="AR653" i="1"/>
  <c r="AS653" i="1"/>
  <c r="L654" i="1"/>
  <c r="M654" i="1"/>
  <c r="N654" i="1"/>
  <c r="O654" i="1"/>
  <c r="P654" i="1"/>
  <c r="Q654" i="1"/>
  <c r="R654" i="1"/>
  <c r="S654" i="1"/>
  <c r="T654" i="1"/>
  <c r="U654" i="1"/>
  <c r="V654" i="1"/>
  <c r="W654" i="1"/>
  <c r="X654" i="1"/>
  <c r="Y654" i="1"/>
  <c r="Z654" i="1"/>
  <c r="AA654" i="1"/>
  <c r="AB654" i="1"/>
  <c r="AC654" i="1"/>
  <c r="AD654" i="1"/>
  <c r="AE654" i="1"/>
  <c r="AF654" i="1"/>
  <c r="AG654" i="1"/>
  <c r="AH654" i="1"/>
  <c r="AI654" i="1"/>
  <c r="AJ654" i="1"/>
  <c r="AQ654" i="1"/>
  <c r="AR654" i="1"/>
  <c r="AS654" i="1"/>
  <c r="L655" i="1"/>
  <c r="M655" i="1"/>
  <c r="N655" i="1"/>
  <c r="O655" i="1"/>
  <c r="P655" i="1"/>
  <c r="Q655" i="1"/>
  <c r="R655" i="1"/>
  <c r="S655" i="1"/>
  <c r="T655" i="1"/>
  <c r="U655" i="1"/>
  <c r="V655" i="1"/>
  <c r="W655" i="1"/>
  <c r="X655" i="1"/>
  <c r="Y655" i="1"/>
  <c r="Z655" i="1"/>
  <c r="AA655" i="1"/>
  <c r="AB655" i="1"/>
  <c r="AC655" i="1"/>
  <c r="AD655" i="1"/>
  <c r="AE655" i="1"/>
  <c r="AF655" i="1"/>
  <c r="AG655" i="1"/>
  <c r="AH655" i="1"/>
  <c r="AI655" i="1"/>
  <c r="AJ655" i="1"/>
  <c r="AQ655" i="1"/>
  <c r="AR655" i="1"/>
  <c r="AS655" i="1"/>
  <c r="L656" i="1"/>
  <c r="M656" i="1"/>
  <c r="N656" i="1"/>
  <c r="O656" i="1"/>
  <c r="P656" i="1"/>
  <c r="Q656" i="1"/>
  <c r="R656" i="1"/>
  <c r="S656" i="1"/>
  <c r="T656" i="1"/>
  <c r="U656" i="1"/>
  <c r="V656" i="1"/>
  <c r="W656" i="1"/>
  <c r="X656" i="1"/>
  <c r="Y656" i="1"/>
  <c r="Z656" i="1"/>
  <c r="AA656" i="1"/>
  <c r="AB656" i="1"/>
  <c r="AC656" i="1"/>
  <c r="AD656" i="1"/>
  <c r="AE656" i="1"/>
  <c r="AF656" i="1"/>
  <c r="AG656" i="1"/>
  <c r="AH656" i="1"/>
  <c r="AI656" i="1"/>
  <c r="AJ656" i="1"/>
  <c r="AQ656" i="1"/>
  <c r="AR656" i="1"/>
  <c r="AS656" i="1"/>
  <c r="L657" i="1"/>
  <c r="M657" i="1"/>
  <c r="N657" i="1"/>
  <c r="O657" i="1"/>
  <c r="P657" i="1"/>
  <c r="Q657" i="1"/>
  <c r="R657" i="1"/>
  <c r="S657" i="1"/>
  <c r="T657" i="1"/>
  <c r="U657" i="1"/>
  <c r="V657" i="1"/>
  <c r="W657" i="1"/>
  <c r="X657" i="1"/>
  <c r="Y657" i="1"/>
  <c r="Z657" i="1"/>
  <c r="AA657" i="1"/>
  <c r="AB657" i="1"/>
  <c r="AC657" i="1"/>
  <c r="AD657" i="1"/>
  <c r="AE657" i="1"/>
  <c r="AF657" i="1"/>
  <c r="AG657" i="1"/>
  <c r="AH657" i="1"/>
  <c r="AI657" i="1"/>
  <c r="AJ657" i="1"/>
  <c r="AQ657" i="1"/>
  <c r="AR657" i="1"/>
  <c r="AS657" i="1"/>
  <c r="L658" i="1"/>
  <c r="M658" i="1"/>
  <c r="N658" i="1"/>
  <c r="O658" i="1"/>
  <c r="P658" i="1"/>
  <c r="Q658" i="1"/>
  <c r="R658" i="1"/>
  <c r="S658" i="1"/>
  <c r="T658" i="1"/>
  <c r="U658" i="1"/>
  <c r="V658" i="1"/>
  <c r="W658" i="1"/>
  <c r="X658" i="1"/>
  <c r="Y658" i="1"/>
  <c r="Z658" i="1"/>
  <c r="AA658" i="1"/>
  <c r="AB658" i="1"/>
  <c r="AC658" i="1"/>
  <c r="AD658" i="1"/>
  <c r="AE658" i="1"/>
  <c r="AF658" i="1"/>
  <c r="AG658" i="1"/>
  <c r="AH658" i="1"/>
  <c r="AI658" i="1"/>
  <c r="AJ658" i="1"/>
  <c r="AQ658" i="1"/>
  <c r="AR658" i="1"/>
  <c r="AS658" i="1"/>
  <c r="L659" i="1"/>
  <c r="M659" i="1"/>
  <c r="N659" i="1"/>
  <c r="O659" i="1"/>
  <c r="P659" i="1"/>
  <c r="Q659" i="1"/>
  <c r="R659" i="1"/>
  <c r="S659" i="1"/>
  <c r="T659" i="1"/>
  <c r="U659" i="1"/>
  <c r="V659" i="1"/>
  <c r="W659" i="1"/>
  <c r="X659" i="1"/>
  <c r="Y659" i="1"/>
  <c r="Z659" i="1"/>
  <c r="AA659" i="1"/>
  <c r="AB659" i="1"/>
  <c r="AC659" i="1"/>
  <c r="AD659" i="1"/>
  <c r="AE659" i="1"/>
  <c r="AF659" i="1"/>
  <c r="AG659" i="1"/>
  <c r="AH659" i="1"/>
  <c r="AI659" i="1"/>
  <c r="AJ659" i="1"/>
  <c r="AQ659" i="1"/>
  <c r="AR659" i="1"/>
  <c r="AS659" i="1"/>
  <c r="L660" i="1"/>
  <c r="M660" i="1"/>
  <c r="N660" i="1"/>
  <c r="O660" i="1"/>
  <c r="P660" i="1"/>
  <c r="Q660" i="1"/>
  <c r="R660" i="1"/>
  <c r="S660" i="1"/>
  <c r="T660" i="1"/>
  <c r="U660" i="1"/>
  <c r="V660" i="1"/>
  <c r="W660" i="1"/>
  <c r="X660" i="1"/>
  <c r="Y660" i="1"/>
  <c r="Z660" i="1"/>
  <c r="AA660" i="1"/>
  <c r="AB660" i="1"/>
  <c r="AC660" i="1"/>
  <c r="AD660" i="1"/>
  <c r="AE660" i="1"/>
  <c r="AF660" i="1"/>
  <c r="AG660" i="1"/>
  <c r="AH660" i="1"/>
  <c r="AI660" i="1"/>
  <c r="AJ660" i="1"/>
  <c r="AQ660" i="1"/>
  <c r="AR660" i="1"/>
  <c r="AS660" i="1"/>
  <c r="L661" i="1"/>
  <c r="M661" i="1"/>
  <c r="N661" i="1"/>
  <c r="O661" i="1"/>
  <c r="P661" i="1"/>
  <c r="Q661" i="1"/>
  <c r="R661" i="1"/>
  <c r="S661" i="1"/>
  <c r="T661" i="1"/>
  <c r="U661" i="1"/>
  <c r="V661" i="1"/>
  <c r="W661" i="1"/>
  <c r="X661" i="1"/>
  <c r="Y661" i="1"/>
  <c r="Z661" i="1"/>
  <c r="AA661" i="1"/>
  <c r="AB661" i="1"/>
  <c r="AC661" i="1"/>
  <c r="AD661" i="1"/>
  <c r="AE661" i="1"/>
  <c r="AF661" i="1"/>
  <c r="AG661" i="1"/>
  <c r="AH661" i="1"/>
  <c r="AI661" i="1"/>
  <c r="AJ661" i="1"/>
  <c r="AQ661" i="1"/>
  <c r="AR661" i="1"/>
  <c r="AS661" i="1"/>
  <c r="L662" i="1"/>
  <c r="M662" i="1"/>
  <c r="N662" i="1"/>
  <c r="O662" i="1"/>
  <c r="P662" i="1"/>
  <c r="Q662" i="1"/>
  <c r="R662" i="1"/>
  <c r="S662" i="1"/>
  <c r="T662" i="1"/>
  <c r="U662" i="1"/>
  <c r="V662" i="1"/>
  <c r="W662" i="1"/>
  <c r="X662" i="1"/>
  <c r="Y662" i="1"/>
  <c r="Z662" i="1"/>
  <c r="AA662" i="1"/>
  <c r="AB662" i="1"/>
  <c r="AC662" i="1"/>
  <c r="AD662" i="1"/>
  <c r="AE662" i="1"/>
  <c r="AF662" i="1"/>
  <c r="AG662" i="1"/>
  <c r="AH662" i="1"/>
  <c r="AI662" i="1"/>
  <c r="AJ662" i="1"/>
  <c r="AQ662" i="1"/>
  <c r="AR662" i="1"/>
  <c r="AS662" i="1"/>
  <c r="L663" i="1"/>
  <c r="M663" i="1"/>
  <c r="N663" i="1"/>
  <c r="O663" i="1"/>
  <c r="P663" i="1"/>
  <c r="Q663" i="1"/>
  <c r="R663" i="1"/>
  <c r="S663" i="1"/>
  <c r="T663" i="1"/>
  <c r="U663" i="1"/>
  <c r="V663" i="1"/>
  <c r="W663" i="1"/>
  <c r="X663" i="1"/>
  <c r="Y663" i="1"/>
  <c r="Z663" i="1"/>
  <c r="AA663" i="1"/>
  <c r="AB663" i="1"/>
  <c r="AC663" i="1"/>
  <c r="AD663" i="1"/>
  <c r="AE663" i="1"/>
  <c r="AF663" i="1"/>
  <c r="AG663" i="1"/>
  <c r="AH663" i="1"/>
  <c r="AI663" i="1"/>
  <c r="AJ663" i="1"/>
  <c r="AQ663" i="1"/>
  <c r="AR663" i="1"/>
  <c r="AS663" i="1"/>
  <c r="L664" i="1"/>
  <c r="M664" i="1"/>
  <c r="N664" i="1"/>
  <c r="O664" i="1"/>
  <c r="P664" i="1"/>
  <c r="Q664" i="1"/>
  <c r="R664" i="1"/>
  <c r="S664" i="1"/>
  <c r="T664" i="1"/>
  <c r="U664" i="1"/>
  <c r="V664" i="1"/>
  <c r="W664" i="1"/>
  <c r="X664" i="1"/>
  <c r="Y664" i="1"/>
  <c r="Z664" i="1"/>
  <c r="AA664" i="1"/>
  <c r="AB664" i="1"/>
  <c r="AC664" i="1"/>
  <c r="AD664" i="1"/>
  <c r="AE664" i="1"/>
  <c r="AF664" i="1"/>
  <c r="AG664" i="1"/>
  <c r="AH664" i="1"/>
  <c r="AI664" i="1"/>
  <c r="AJ664" i="1"/>
  <c r="AQ664" i="1"/>
  <c r="AR664" i="1"/>
  <c r="AS664" i="1"/>
  <c r="L665" i="1"/>
  <c r="M665" i="1"/>
  <c r="N665" i="1"/>
  <c r="O665" i="1"/>
  <c r="P665" i="1"/>
  <c r="Q665" i="1"/>
  <c r="R665" i="1"/>
  <c r="S665" i="1"/>
  <c r="T665" i="1"/>
  <c r="U665" i="1"/>
  <c r="V665" i="1"/>
  <c r="W665" i="1"/>
  <c r="X665" i="1"/>
  <c r="Y665" i="1"/>
  <c r="Z665" i="1"/>
  <c r="AA665" i="1"/>
  <c r="AB665" i="1"/>
  <c r="AC665" i="1"/>
  <c r="AD665" i="1"/>
  <c r="AE665" i="1"/>
  <c r="AF665" i="1"/>
  <c r="AG665" i="1"/>
  <c r="AH665" i="1"/>
  <c r="AI665" i="1"/>
  <c r="AJ665" i="1"/>
  <c r="AQ665" i="1"/>
  <c r="AR665" i="1"/>
  <c r="AS665" i="1"/>
  <c r="L666" i="1"/>
  <c r="M666" i="1"/>
  <c r="N666" i="1"/>
  <c r="O666" i="1"/>
  <c r="P666" i="1"/>
  <c r="Q666" i="1"/>
  <c r="R666" i="1"/>
  <c r="S666" i="1"/>
  <c r="T666" i="1"/>
  <c r="U666" i="1"/>
  <c r="V666" i="1"/>
  <c r="W666" i="1"/>
  <c r="X666" i="1"/>
  <c r="Y666" i="1"/>
  <c r="Z666" i="1"/>
  <c r="AA666" i="1"/>
  <c r="AB666" i="1"/>
  <c r="AC666" i="1"/>
  <c r="AD666" i="1"/>
  <c r="AE666" i="1"/>
  <c r="AF666" i="1"/>
  <c r="AG666" i="1"/>
  <c r="AH666" i="1"/>
  <c r="AI666" i="1"/>
  <c r="AJ666" i="1"/>
  <c r="AQ666" i="1"/>
  <c r="AR666" i="1"/>
  <c r="AS666" i="1"/>
  <c r="L667" i="1"/>
  <c r="M667" i="1"/>
  <c r="N667" i="1"/>
  <c r="O667" i="1"/>
  <c r="P667" i="1"/>
  <c r="Q667" i="1"/>
  <c r="R667" i="1"/>
  <c r="S667" i="1"/>
  <c r="T667" i="1"/>
  <c r="U667" i="1"/>
  <c r="V667" i="1"/>
  <c r="W667" i="1"/>
  <c r="X667" i="1"/>
  <c r="Y667" i="1"/>
  <c r="Z667" i="1"/>
  <c r="AA667" i="1"/>
  <c r="AB667" i="1"/>
  <c r="AC667" i="1"/>
  <c r="AD667" i="1"/>
  <c r="AE667" i="1"/>
  <c r="AF667" i="1"/>
  <c r="AG667" i="1"/>
  <c r="AH667" i="1"/>
  <c r="AI667" i="1"/>
  <c r="AJ667" i="1"/>
  <c r="AQ667" i="1"/>
  <c r="AR667" i="1"/>
  <c r="AS667" i="1"/>
  <c r="L668" i="1"/>
  <c r="M668" i="1"/>
  <c r="N668" i="1"/>
  <c r="O668" i="1"/>
  <c r="P668" i="1"/>
  <c r="Q668" i="1"/>
  <c r="R668" i="1"/>
  <c r="S668" i="1"/>
  <c r="T668" i="1"/>
  <c r="U668" i="1"/>
  <c r="V668" i="1"/>
  <c r="W668" i="1"/>
  <c r="X668" i="1"/>
  <c r="Y668" i="1"/>
  <c r="Z668" i="1"/>
  <c r="AA668" i="1"/>
  <c r="AB668" i="1"/>
  <c r="AC668" i="1"/>
  <c r="AD668" i="1"/>
  <c r="AE668" i="1"/>
  <c r="AF668" i="1"/>
  <c r="AG668" i="1"/>
  <c r="AH668" i="1"/>
  <c r="AI668" i="1"/>
  <c r="AJ668" i="1"/>
  <c r="AQ668" i="1"/>
  <c r="AR668" i="1"/>
  <c r="AS668" i="1"/>
  <c r="L669" i="1"/>
  <c r="M669" i="1"/>
  <c r="N669" i="1"/>
  <c r="O669" i="1"/>
  <c r="P669" i="1"/>
  <c r="Q669" i="1"/>
  <c r="R669" i="1"/>
  <c r="S669" i="1"/>
  <c r="T669" i="1"/>
  <c r="U669" i="1"/>
  <c r="V669" i="1"/>
  <c r="W669" i="1"/>
  <c r="X669" i="1"/>
  <c r="Y669" i="1"/>
  <c r="Z669" i="1"/>
  <c r="AA669" i="1"/>
  <c r="AB669" i="1"/>
  <c r="AC669" i="1"/>
  <c r="AD669" i="1"/>
  <c r="AE669" i="1"/>
  <c r="AF669" i="1"/>
  <c r="AG669" i="1"/>
  <c r="AH669" i="1"/>
  <c r="AI669" i="1"/>
  <c r="AJ669" i="1"/>
  <c r="AQ669" i="1"/>
  <c r="AR669" i="1"/>
  <c r="AS669" i="1"/>
  <c r="L670" i="1"/>
  <c r="M670" i="1"/>
  <c r="N670" i="1"/>
  <c r="O670" i="1"/>
  <c r="P670" i="1"/>
  <c r="Q670" i="1"/>
  <c r="R670" i="1"/>
  <c r="S670" i="1"/>
  <c r="T670" i="1"/>
  <c r="U670" i="1"/>
  <c r="V670" i="1"/>
  <c r="W670" i="1"/>
  <c r="X670" i="1"/>
  <c r="Y670" i="1"/>
  <c r="Z670" i="1"/>
  <c r="AA670" i="1"/>
  <c r="AB670" i="1"/>
  <c r="AC670" i="1"/>
  <c r="AD670" i="1"/>
  <c r="AE670" i="1"/>
  <c r="AF670" i="1"/>
  <c r="AG670" i="1"/>
  <c r="AH670" i="1"/>
  <c r="AI670" i="1"/>
  <c r="AJ670" i="1"/>
  <c r="AQ670" i="1"/>
  <c r="AR670" i="1"/>
  <c r="AS670" i="1"/>
  <c r="L671" i="1"/>
  <c r="M671" i="1"/>
  <c r="N671" i="1"/>
  <c r="O671" i="1"/>
  <c r="P671" i="1"/>
  <c r="Q671" i="1"/>
  <c r="R671" i="1"/>
  <c r="S671" i="1"/>
  <c r="T671" i="1"/>
  <c r="U671" i="1"/>
  <c r="V671" i="1"/>
  <c r="W671" i="1"/>
  <c r="X671" i="1"/>
  <c r="Y671" i="1"/>
  <c r="Z671" i="1"/>
  <c r="AA671" i="1"/>
  <c r="AB671" i="1"/>
  <c r="AC671" i="1"/>
  <c r="AD671" i="1"/>
  <c r="AE671" i="1"/>
  <c r="AF671" i="1"/>
  <c r="AG671" i="1"/>
  <c r="AH671" i="1"/>
  <c r="AI671" i="1"/>
  <c r="AJ671" i="1"/>
  <c r="AQ671" i="1"/>
  <c r="AR671" i="1"/>
  <c r="AS671" i="1"/>
  <c r="L672" i="1"/>
  <c r="M672" i="1"/>
  <c r="N672" i="1"/>
  <c r="O672" i="1"/>
  <c r="P672" i="1"/>
  <c r="Q672" i="1"/>
  <c r="R672" i="1"/>
  <c r="S672" i="1"/>
  <c r="T672" i="1"/>
  <c r="U672" i="1"/>
  <c r="V672" i="1"/>
  <c r="W672" i="1"/>
  <c r="X672" i="1"/>
  <c r="Y672" i="1"/>
  <c r="Z672" i="1"/>
  <c r="AA672" i="1"/>
  <c r="AB672" i="1"/>
  <c r="AC672" i="1"/>
  <c r="AD672" i="1"/>
  <c r="AE672" i="1"/>
  <c r="AF672" i="1"/>
  <c r="AG672" i="1"/>
  <c r="AH672" i="1"/>
  <c r="AI672" i="1"/>
  <c r="AJ672" i="1"/>
  <c r="AQ672" i="1"/>
  <c r="AR672" i="1"/>
  <c r="AS672" i="1"/>
  <c r="L673" i="1"/>
  <c r="M673" i="1"/>
  <c r="N673" i="1"/>
  <c r="O673" i="1"/>
  <c r="P673" i="1"/>
  <c r="Q673" i="1"/>
  <c r="R673" i="1"/>
  <c r="S673" i="1"/>
  <c r="T673" i="1"/>
  <c r="U673" i="1"/>
  <c r="V673" i="1"/>
  <c r="W673" i="1"/>
  <c r="X673" i="1"/>
  <c r="Y673" i="1"/>
  <c r="Z673" i="1"/>
  <c r="AA673" i="1"/>
  <c r="AB673" i="1"/>
  <c r="AC673" i="1"/>
  <c r="AD673" i="1"/>
  <c r="AE673" i="1"/>
  <c r="AF673" i="1"/>
  <c r="AG673" i="1"/>
  <c r="AH673" i="1"/>
  <c r="AI673" i="1"/>
  <c r="AJ673" i="1"/>
  <c r="AQ673" i="1"/>
  <c r="AR673" i="1"/>
  <c r="AS673" i="1"/>
  <c r="L674" i="1"/>
  <c r="M674" i="1"/>
  <c r="N674" i="1"/>
  <c r="O674" i="1"/>
  <c r="P674" i="1"/>
  <c r="Q674" i="1"/>
  <c r="R674" i="1"/>
  <c r="S674" i="1"/>
  <c r="T674" i="1"/>
  <c r="U674" i="1"/>
  <c r="V674" i="1"/>
  <c r="W674" i="1"/>
  <c r="X674" i="1"/>
  <c r="Y674" i="1"/>
  <c r="Z674" i="1"/>
  <c r="AA674" i="1"/>
  <c r="AB674" i="1"/>
  <c r="AC674" i="1"/>
  <c r="AD674" i="1"/>
  <c r="AE674" i="1"/>
  <c r="AF674" i="1"/>
  <c r="AG674" i="1"/>
  <c r="AH674" i="1"/>
  <c r="AI674" i="1"/>
  <c r="AJ674" i="1"/>
  <c r="AQ674" i="1"/>
  <c r="AR674" i="1"/>
  <c r="AS674" i="1"/>
  <c r="L675" i="1"/>
  <c r="M675" i="1"/>
  <c r="N675" i="1"/>
  <c r="O675" i="1"/>
  <c r="P675" i="1"/>
  <c r="Q675" i="1"/>
  <c r="R675" i="1"/>
  <c r="S675" i="1"/>
  <c r="T675" i="1"/>
  <c r="U675" i="1"/>
  <c r="V675" i="1"/>
  <c r="W675" i="1"/>
  <c r="X675" i="1"/>
  <c r="Y675" i="1"/>
  <c r="Z675" i="1"/>
  <c r="AA675" i="1"/>
  <c r="AB675" i="1"/>
  <c r="AC675" i="1"/>
  <c r="AD675" i="1"/>
  <c r="AE675" i="1"/>
  <c r="AF675" i="1"/>
  <c r="AG675" i="1"/>
  <c r="AH675" i="1"/>
  <c r="AI675" i="1"/>
  <c r="AJ675" i="1"/>
  <c r="AQ675" i="1"/>
  <c r="AR675" i="1"/>
  <c r="AS675" i="1"/>
  <c r="L676" i="1"/>
  <c r="M676" i="1"/>
  <c r="N676" i="1"/>
  <c r="O676" i="1"/>
  <c r="P676" i="1"/>
  <c r="Q676" i="1"/>
  <c r="R676" i="1"/>
  <c r="S676" i="1"/>
  <c r="T676" i="1"/>
  <c r="U676" i="1"/>
  <c r="V676" i="1"/>
  <c r="W676" i="1"/>
  <c r="X676" i="1"/>
  <c r="Y676" i="1"/>
  <c r="Z676" i="1"/>
  <c r="AA676" i="1"/>
  <c r="AB676" i="1"/>
  <c r="AC676" i="1"/>
  <c r="AD676" i="1"/>
  <c r="AE676" i="1"/>
  <c r="AF676" i="1"/>
  <c r="AG676" i="1"/>
  <c r="AH676" i="1"/>
  <c r="AI676" i="1"/>
  <c r="AJ676" i="1"/>
  <c r="AQ676" i="1"/>
  <c r="AR676" i="1"/>
  <c r="AS676" i="1"/>
  <c r="L677" i="1"/>
  <c r="M677" i="1"/>
  <c r="N677" i="1"/>
  <c r="O677" i="1"/>
  <c r="P677" i="1"/>
  <c r="Q677" i="1"/>
  <c r="R677" i="1"/>
  <c r="S677" i="1"/>
  <c r="T677" i="1"/>
  <c r="U677" i="1"/>
  <c r="V677" i="1"/>
  <c r="W677" i="1"/>
  <c r="X677" i="1"/>
  <c r="Y677" i="1"/>
  <c r="Z677" i="1"/>
  <c r="AA677" i="1"/>
  <c r="AB677" i="1"/>
  <c r="AC677" i="1"/>
  <c r="AD677" i="1"/>
  <c r="AE677" i="1"/>
  <c r="AF677" i="1"/>
  <c r="AG677" i="1"/>
  <c r="AH677" i="1"/>
  <c r="AI677" i="1"/>
  <c r="AJ677" i="1"/>
  <c r="AQ677" i="1"/>
  <c r="AR677" i="1"/>
  <c r="AS677" i="1"/>
  <c r="L678" i="1"/>
  <c r="M678" i="1"/>
  <c r="N678" i="1"/>
  <c r="O678" i="1"/>
  <c r="P678" i="1"/>
  <c r="Q678" i="1"/>
  <c r="R678" i="1"/>
  <c r="S678" i="1"/>
  <c r="T678" i="1"/>
  <c r="U678" i="1"/>
  <c r="V678" i="1"/>
  <c r="W678" i="1"/>
  <c r="X678" i="1"/>
  <c r="Y678" i="1"/>
  <c r="Z678" i="1"/>
  <c r="AA678" i="1"/>
  <c r="AB678" i="1"/>
  <c r="AC678" i="1"/>
  <c r="AD678" i="1"/>
  <c r="AE678" i="1"/>
  <c r="AF678" i="1"/>
  <c r="AG678" i="1"/>
  <c r="AH678" i="1"/>
  <c r="AI678" i="1"/>
  <c r="AJ678" i="1"/>
  <c r="AQ678" i="1"/>
  <c r="AR678" i="1"/>
  <c r="AS678" i="1"/>
  <c r="L679" i="1"/>
  <c r="M679" i="1"/>
  <c r="N679" i="1"/>
  <c r="O679" i="1"/>
  <c r="P679" i="1"/>
  <c r="Q679" i="1"/>
  <c r="R679" i="1"/>
  <c r="S679" i="1"/>
  <c r="T679" i="1"/>
  <c r="U679" i="1"/>
  <c r="V679" i="1"/>
  <c r="W679" i="1"/>
  <c r="X679" i="1"/>
  <c r="Y679" i="1"/>
  <c r="Z679" i="1"/>
  <c r="AA679" i="1"/>
  <c r="AB679" i="1"/>
  <c r="AC679" i="1"/>
  <c r="AD679" i="1"/>
  <c r="AE679" i="1"/>
  <c r="AF679" i="1"/>
  <c r="AG679" i="1"/>
  <c r="AH679" i="1"/>
  <c r="AI679" i="1"/>
  <c r="AJ679" i="1"/>
  <c r="AQ679" i="1"/>
  <c r="AR679" i="1"/>
  <c r="AS679" i="1"/>
  <c r="L680" i="1"/>
  <c r="M680" i="1"/>
  <c r="N680" i="1"/>
  <c r="O680" i="1"/>
  <c r="P680" i="1"/>
  <c r="Q680" i="1"/>
  <c r="R680" i="1"/>
  <c r="S680" i="1"/>
  <c r="T680" i="1"/>
  <c r="U680" i="1"/>
  <c r="V680" i="1"/>
  <c r="W680" i="1"/>
  <c r="X680" i="1"/>
  <c r="Y680" i="1"/>
  <c r="Z680" i="1"/>
  <c r="AA680" i="1"/>
  <c r="AB680" i="1"/>
  <c r="AC680" i="1"/>
  <c r="AD680" i="1"/>
  <c r="AE680" i="1"/>
  <c r="AF680" i="1"/>
  <c r="AG680" i="1"/>
  <c r="AH680" i="1"/>
  <c r="AI680" i="1"/>
  <c r="AJ680" i="1"/>
  <c r="AQ680" i="1"/>
  <c r="AR680" i="1"/>
  <c r="AS680" i="1"/>
  <c r="L681" i="1"/>
  <c r="M681" i="1"/>
  <c r="N681" i="1"/>
  <c r="O681" i="1"/>
  <c r="P681" i="1"/>
  <c r="Q681" i="1"/>
  <c r="R681" i="1"/>
  <c r="S681" i="1"/>
  <c r="T681" i="1"/>
  <c r="U681" i="1"/>
  <c r="V681" i="1"/>
  <c r="W681" i="1"/>
  <c r="X681" i="1"/>
  <c r="Y681" i="1"/>
  <c r="Z681" i="1"/>
  <c r="AA681" i="1"/>
  <c r="AB681" i="1"/>
  <c r="AC681" i="1"/>
  <c r="AD681" i="1"/>
  <c r="AE681" i="1"/>
  <c r="AF681" i="1"/>
  <c r="AG681" i="1"/>
  <c r="AH681" i="1"/>
  <c r="AI681" i="1"/>
  <c r="AJ681" i="1"/>
  <c r="AQ681" i="1"/>
  <c r="AR681" i="1"/>
  <c r="AS681" i="1"/>
  <c r="L682" i="1"/>
  <c r="M682" i="1"/>
  <c r="N682" i="1"/>
  <c r="O682" i="1"/>
  <c r="P682" i="1"/>
  <c r="Q682" i="1"/>
  <c r="R682" i="1"/>
  <c r="S682" i="1"/>
  <c r="T682" i="1"/>
  <c r="U682" i="1"/>
  <c r="V682" i="1"/>
  <c r="W682" i="1"/>
  <c r="X682" i="1"/>
  <c r="Y682" i="1"/>
  <c r="Z682" i="1"/>
  <c r="AA682" i="1"/>
  <c r="AB682" i="1"/>
  <c r="AC682" i="1"/>
  <c r="AD682" i="1"/>
  <c r="AE682" i="1"/>
  <c r="AF682" i="1"/>
  <c r="AG682" i="1"/>
  <c r="AH682" i="1"/>
  <c r="AI682" i="1"/>
  <c r="AJ682" i="1"/>
  <c r="AQ682" i="1"/>
  <c r="AR682" i="1"/>
  <c r="AS682" i="1"/>
  <c r="L683" i="1"/>
  <c r="M683" i="1"/>
  <c r="N683" i="1"/>
  <c r="O683" i="1"/>
  <c r="P683" i="1"/>
  <c r="Q683" i="1"/>
  <c r="R683" i="1"/>
  <c r="S683" i="1"/>
  <c r="T683" i="1"/>
  <c r="U683" i="1"/>
  <c r="V683" i="1"/>
  <c r="W683" i="1"/>
  <c r="X683" i="1"/>
  <c r="Y683" i="1"/>
  <c r="Z683" i="1"/>
  <c r="AA683" i="1"/>
  <c r="AB683" i="1"/>
  <c r="AC683" i="1"/>
  <c r="AD683" i="1"/>
  <c r="AE683" i="1"/>
  <c r="AF683" i="1"/>
  <c r="AG683" i="1"/>
  <c r="AH683" i="1"/>
  <c r="AI683" i="1"/>
  <c r="AJ683" i="1"/>
  <c r="AQ683" i="1"/>
  <c r="AR683" i="1"/>
  <c r="AS683" i="1"/>
  <c r="L684" i="1"/>
  <c r="M684" i="1"/>
  <c r="N684" i="1"/>
  <c r="O684" i="1"/>
  <c r="P684" i="1"/>
  <c r="Q684" i="1"/>
  <c r="R684" i="1"/>
  <c r="S684" i="1"/>
  <c r="T684" i="1"/>
  <c r="U684" i="1"/>
  <c r="V684" i="1"/>
  <c r="W684" i="1"/>
  <c r="X684" i="1"/>
  <c r="Y684" i="1"/>
  <c r="Z684" i="1"/>
  <c r="AA684" i="1"/>
  <c r="AB684" i="1"/>
  <c r="AC684" i="1"/>
  <c r="AD684" i="1"/>
  <c r="AE684" i="1"/>
  <c r="AF684" i="1"/>
  <c r="AG684" i="1"/>
  <c r="AH684" i="1"/>
  <c r="AI684" i="1"/>
  <c r="AJ684" i="1"/>
  <c r="AQ684" i="1"/>
  <c r="AR684" i="1"/>
  <c r="AS684" i="1"/>
  <c r="L685" i="1"/>
  <c r="M685" i="1"/>
  <c r="N685" i="1"/>
  <c r="O685" i="1"/>
  <c r="P685" i="1"/>
  <c r="Q685" i="1"/>
  <c r="R685" i="1"/>
  <c r="S685" i="1"/>
  <c r="T685" i="1"/>
  <c r="U685" i="1"/>
  <c r="V685" i="1"/>
  <c r="W685" i="1"/>
  <c r="X685" i="1"/>
  <c r="Y685" i="1"/>
  <c r="Z685" i="1"/>
  <c r="AA685" i="1"/>
  <c r="AB685" i="1"/>
  <c r="AC685" i="1"/>
  <c r="AD685" i="1"/>
  <c r="AE685" i="1"/>
  <c r="AF685" i="1"/>
  <c r="AG685" i="1"/>
  <c r="AH685" i="1"/>
  <c r="AI685" i="1"/>
  <c r="AJ685" i="1"/>
  <c r="AQ685" i="1"/>
  <c r="AR685" i="1"/>
  <c r="AS685" i="1"/>
  <c r="L686" i="1"/>
  <c r="M686" i="1"/>
  <c r="N686" i="1"/>
  <c r="O686" i="1"/>
  <c r="P686" i="1"/>
  <c r="Q686" i="1"/>
  <c r="R686" i="1"/>
  <c r="S686" i="1"/>
  <c r="T686" i="1"/>
  <c r="U686" i="1"/>
  <c r="V686" i="1"/>
  <c r="W686" i="1"/>
  <c r="X686" i="1"/>
  <c r="Y686" i="1"/>
  <c r="Z686" i="1"/>
  <c r="AA686" i="1"/>
  <c r="AB686" i="1"/>
  <c r="AC686" i="1"/>
  <c r="AD686" i="1"/>
  <c r="AE686" i="1"/>
  <c r="AF686" i="1"/>
  <c r="AG686" i="1"/>
  <c r="AH686" i="1"/>
  <c r="AI686" i="1"/>
  <c r="AJ686" i="1"/>
  <c r="AQ686" i="1"/>
  <c r="AR686" i="1"/>
  <c r="AS686" i="1"/>
  <c r="L687" i="1"/>
  <c r="M687" i="1"/>
  <c r="N687" i="1"/>
  <c r="O687" i="1"/>
  <c r="P687" i="1"/>
  <c r="Q687" i="1"/>
  <c r="R687" i="1"/>
  <c r="S687" i="1"/>
  <c r="T687" i="1"/>
  <c r="U687" i="1"/>
  <c r="V687" i="1"/>
  <c r="W687" i="1"/>
  <c r="X687" i="1"/>
  <c r="Y687" i="1"/>
  <c r="Z687" i="1"/>
  <c r="AA687" i="1"/>
  <c r="AB687" i="1"/>
  <c r="AC687" i="1"/>
  <c r="AD687" i="1"/>
  <c r="AE687" i="1"/>
  <c r="AF687" i="1"/>
  <c r="AG687" i="1"/>
  <c r="AH687" i="1"/>
  <c r="AI687" i="1"/>
  <c r="AJ687" i="1"/>
  <c r="AQ687" i="1"/>
  <c r="AR687" i="1"/>
  <c r="AS687" i="1"/>
  <c r="L688" i="1"/>
  <c r="M688" i="1"/>
  <c r="N688" i="1"/>
  <c r="O688" i="1"/>
  <c r="P688" i="1"/>
  <c r="Q688" i="1"/>
  <c r="R688" i="1"/>
  <c r="S688" i="1"/>
  <c r="T688" i="1"/>
  <c r="U688" i="1"/>
  <c r="V688" i="1"/>
  <c r="W688" i="1"/>
  <c r="X688" i="1"/>
  <c r="Y688" i="1"/>
  <c r="Z688" i="1"/>
  <c r="AA688" i="1"/>
  <c r="AB688" i="1"/>
  <c r="AC688" i="1"/>
  <c r="AD688" i="1"/>
  <c r="AE688" i="1"/>
  <c r="AF688" i="1"/>
  <c r="AG688" i="1"/>
  <c r="AH688" i="1"/>
  <c r="AI688" i="1"/>
  <c r="AJ688" i="1"/>
  <c r="AQ688" i="1"/>
  <c r="AR688" i="1"/>
  <c r="AS688" i="1"/>
  <c r="L689" i="1"/>
  <c r="M689" i="1"/>
  <c r="N689" i="1"/>
  <c r="O689" i="1"/>
  <c r="P689" i="1"/>
  <c r="Q689" i="1"/>
  <c r="R689" i="1"/>
  <c r="S689" i="1"/>
  <c r="T689" i="1"/>
  <c r="U689" i="1"/>
  <c r="V689" i="1"/>
  <c r="W689" i="1"/>
  <c r="X689" i="1"/>
  <c r="Y689" i="1"/>
  <c r="Z689" i="1"/>
  <c r="AA689" i="1"/>
  <c r="AB689" i="1"/>
  <c r="AC689" i="1"/>
  <c r="AD689" i="1"/>
  <c r="AE689" i="1"/>
  <c r="AF689" i="1"/>
  <c r="AG689" i="1"/>
  <c r="AH689" i="1"/>
  <c r="AI689" i="1"/>
  <c r="AJ689" i="1"/>
  <c r="AQ689" i="1"/>
  <c r="AR689" i="1"/>
  <c r="AS689" i="1"/>
  <c r="L690" i="1"/>
  <c r="M690" i="1"/>
  <c r="N690" i="1"/>
  <c r="O690" i="1"/>
  <c r="P690" i="1"/>
  <c r="Q690" i="1"/>
  <c r="R690" i="1"/>
  <c r="S690" i="1"/>
  <c r="T690" i="1"/>
  <c r="U690" i="1"/>
  <c r="V690" i="1"/>
  <c r="W690" i="1"/>
  <c r="X690" i="1"/>
  <c r="Y690" i="1"/>
  <c r="Z690" i="1"/>
  <c r="AA690" i="1"/>
  <c r="AB690" i="1"/>
  <c r="AC690" i="1"/>
  <c r="AD690" i="1"/>
  <c r="AE690" i="1"/>
  <c r="AF690" i="1"/>
  <c r="AG690" i="1"/>
  <c r="AH690" i="1"/>
  <c r="AI690" i="1"/>
  <c r="AJ690" i="1"/>
  <c r="AQ690" i="1"/>
  <c r="AR690" i="1"/>
  <c r="AS690" i="1"/>
  <c r="L691" i="1"/>
  <c r="M691" i="1"/>
  <c r="N691" i="1"/>
  <c r="O691" i="1"/>
  <c r="P691" i="1"/>
  <c r="Q691" i="1"/>
  <c r="R691" i="1"/>
  <c r="S691" i="1"/>
  <c r="T691" i="1"/>
  <c r="U691" i="1"/>
  <c r="V691" i="1"/>
  <c r="W691" i="1"/>
  <c r="X691" i="1"/>
  <c r="Y691" i="1"/>
  <c r="Z691" i="1"/>
  <c r="AA691" i="1"/>
  <c r="AB691" i="1"/>
  <c r="AC691" i="1"/>
  <c r="AD691" i="1"/>
  <c r="AE691" i="1"/>
  <c r="AF691" i="1"/>
  <c r="AG691" i="1"/>
  <c r="AH691" i="1"/>
  <c r="AI691" i="1"/>
  <c r="AJ691" i="1"/>
  <c r="AQ691" i="1"/>
  <c r="AR691" i="1"/>
  <c r="AS691" i="1"/>
  <c r="L692" i="1"/>
  <c r="M692" i="1"/>
  <c r="N692" i="1"/>
  <c r="O692" i="1"/>
  <c r="P692" i="1"/>
  <c r="Q692" i="1"/>
  <c r="R692" i="1"/>
  <c r="S692" i="1"/>
  <c r="T692" i="1"/>
  <c r="U692" i="1"/>
  <c r="V692" i="1"/>
  <c r="W692" i="1"/>
  <c r="X692" i="1"/>
  <c r="Y692" i="1"/>
  <c r="Z692" i="1"/>
  <c r="AA692" i="1"/>
  <c r="AB692" i="1"/>
  <c r="AC692" i="1"/>
  <c r="AD692" i="1"/>
  <c r="AE692" i="1"/>
  <c r="AF692" i="1"/>
  <c r="AG692" i="1"/>
  <c r="AH692" i="1"/>
  <c r="AI692" i="1"/>
  <c r="AJ692" i="1"/>
  <c r="AQ692" i="1"/>
  <c r="AR692" i="1"/>
  <c r="AS692" i="1"/>
  <c r="L693" i="1"/>
  <c r="M693" i="1"/>
  <c r="N693" i="1"/>
  <c r="O693" i="1"/>
  <c r="P693" i="1"/>
  <c r="Q693" i="1"/>
  <c r="R693" i="1"/>
  <c r="S693" i="1"/>
  <c r="T693" i="1"/>
  <c r="U693" i="1"/>
  <c r="V693" i="1"/>
  <c r="W693" i="1"/>
  <c r="X693" i="1"/>
  <c r="Y693" i="1"/>
  <c r="Z693" i="1"/>
  <c r="AA693" i="1"/>
  <c r="AB693" i="1"/>
  <c r="AC693" i="1"/>
  <c r="AD693" i="1"/>
  <c r="AE693" i="1"/>
  <c r="AF693" i="1"/>
  <c r="AG693" i="1"/>
  <c r="AH693" i="1"/>
  <c r="AI693" i="1"/>
  <c r="AJ693" i="1"/>
  <c r="AQ693" i="1"/>
  <c r="AR693" i="1"/>
  <c r="AS693" i="1"/>
  <c r="L694" i="1"/>
  <c r="M694" i="1"/>
  <c r="N694" i="1"/>
  <c r="O694" i="1"/>
  <c r="P694" i="1"/>
  <c r="Q694" i="1"/>
  <c r="R694" i="1"/>
  <c r="S694" i="1"/>
  <c r="T694" i="1"/>
  <c r="U694" i="1"/>
  <c r="V694" i="1"/>
  <c r="W694" i="1"/>
  <c r="X694" i="1"/>
  <c r="Y694" i="1"/>
  <c r="Z694" i="1"/>
  <c r="AA694" i="1"/>
  <c r="AB694" i="1"/>
  <c r="AC694" i="1"/>
  <c r="AD694" i="1"/>
  <c r="AE694" i="1"/>
  <c r="AF694" i="1"/>
  <c r="AG694" i="1"/>
  <c r="AH694" i="1"/>
  <c r="AI694" i="1"/>
  <c r="AJ694" i="1"/>
  <c r="AQ694" i="1"/>
  <c r="AR694" i="1"/>
  <c r="AS694" i="1"/>
  <c r="L695" i="1"/>
  <c r="M695" i="1"/>
  <c r="N695" i="1"/>
  <c r="O695" i="1"/>
  <c r="P695" i="1"/>
  <c r="Q695" i="1"/>
  <c r="R695" i="1"/>
  <c r="S695" i="1"/>
  <c r="T695" i="1"/>
  <c r="U695" i="1"/>
  <c r="V695" i="1"/>
  <c r="W695" i="1"/>
  <c r="X695" i="1"/>
  <c r="Y695" i="1"/>
  <c r="Z695" i="1"/>
  <c r="AA695" i="1"/>
  <c r="AB695" i="1"/>
  <c r="AC695" i="1"/>
  <c r="AD695" i="1"/>
  <c r="AE695" i="1"/>
  <c r="AF695" i="1"/>
  <c r="AG695" i="1"/>
  <c r="AH695" i="1"/>
  <c r="AI695" i="1"/>
  <c r="AJ695" i="1"/>
  <c r="AQ695" i="1"/>
  <c r="AR695" i="1"/>
  <c r="AS695" i="1"/>
  <c r="L696" i="1"/>
  <c r="M696" i="1"/>
  <c r="N696" i="1"/>
  <c r="O696" i="1"/>
  <c r="P696" i="1"/>
  <c r="Q696" i="1"/>
  <c r="R696" i="1"/>
  <c r="S696" i="1"/>
  <c r="T696" i="1"/>
  <c r="U696" i="1"/>
  <c r="V696" i="1"/>
  <c r="W696" i="1"/>
  <c r="X696" i="1"/>
  <c r="Y696" i="1"/>
  <c r="Z696" i="1"/>
  <c r="AA696" i="1"/>
  <c r="AB696" i="1"/>
  <c r="AC696" i="1"/>
  <c r="AD696" i="1"/>
  <c r="AE696" i="1"/>
  <c r="AF696" i="1"/>
  <c r="AG696" i="1"/>
  <c r="AH696" i="1"/>
  <c r="AI696" i="1"/>
  <c r="AJ696" i="1"/>
  <c r="AQ696" i="1"/>
  <c r="AR696" i="1"/>
  <c r="AS696" i="1"/>
  <c r="L697" i="1"/>
  <c r="M697" i="1"/>
  <c r="N697" i="1"/>
  <c r="O697" i="1"/>
  <c r="P697" i="1"/>
  <c r="Q697" i="1"/>
  <c r="R697" i="1"/>
  <c r="S697" i="1"/>
  <c r="T697" i="1"/>
  <c r="U697" i="1"/>
  <c r="V697" i="1"/>
  <c r="W697" i="1"/>
  <c r="X697" i="1"/>
  <c r="Y697" i="1"/>
  <c r="Z697" i="1"/>
  <c r="AA697" i="1"/>
  <c r="AB697" i="1"/>
  <c r="AC697" i="1"/>
  <c r="AD697" i="1"/>
  <c r="AE697" i="1"/>
  <c r="AF697" i="1"/>
  <c r="AG697" i="1"/>
  <c r="AH697" i="1"/>
  <c r="AI697" i="1"/>
  <c r="AJ697" i="1"/>
  <c r="AQ697" i="1"/>
  <c r="AR697" i="1"/>
  <c r="AS697" i="1"/>
  <c r="L698" i="1"/>
  <c r="M698" i="1"/>
  <c r="N698" i="1"/>
  <c r="O698" i="1"/>
  <c r="P698" i="1"/>
  <c r="Q698" i="1"/>
  <c r="R698" i="1"/>
  <c r="S698" i="1"/>
  <c r="T698" i="1"/>
  <c r="U698" i="1"/>
  <c r="V698" i="1"/>
  <c r="W698" i="1"/>
  <c r="X698" i="1"/>
  <c r="Y698" i="1"/>
  <c r="Z698" i="1"/>
  <c r="AA698" i="1"/>
  <c r="AB698" i="1"/>
  <c r="AC698" i="1"/>
  <c r="AD698" i="1"/>
  <c r="AE698" i="1"/>
  <c r="AF698" i="1"/>
  <c r="AG698" i="1"/>
  <c r="AH698" i="1"/>
  <c r="AI698" i="1"/>
  <c r="AJ698" i="1"/>
  <c r="AQ698" i="1"/>
  <c r="AR698" i="1"/>
  <c r="AS698" i="1"/>
  <c r="L699" i="1"/>
  <c r="M699" i="1"/>
  <c r="N699" i="1"/>
  <c r="O699" i="1"/>
  <c r="P699" i="1"/>
  <c r="Q699" i="1"/>
  <c r="R699" i="1"/>
  <c r="S699" i="1"/>
  <c r="T699" i="1"/>
  <c r="U699" i="1"/>
  <c r="V699" i="1"/>
  <c r="W699" i="1"/>
  <c r="X699" i="1"/>
  <c r="Y699" i="1"/>
  <c r="Z699" i="1"/>
  <c r="AA699" i="1"/>
  <c r="AB699" i="1"/>
  <c r="AC699" i="1"/>
  <c r="AD699" i="1"/>
  <c r="AE699" i="1"/>
  <c r="AF699" i="1"/>
  <c r="AG699" i="1"/>
  <c r="AH699" i="1"/>
  <c r="AI699" i="1"/>
  <c r="AJ699" i="1"/>
  <c r="AQ699" i="1"/>
  <c r="AR699" i="1"/>
  <c r="AS699" i="1"/>
  <c r="L700" i="1"/>
  <c r="M700" i="1"/>
  <c r="N700" i="1"/>
  <c r="O700" i="1"/>
  <c r="P700" i="1"/>
  <c r="Q700" i="1"/>
  <c r="R700" i="1"/>
  <c r="S700" i="1"/>
  <c r="T700" i="1"/>
  <c r="U700" i="1"/>
  <c r="V700" i="1"/>
  <c r="W700" i="1"/>
  <c r="X700" i="1"/>
  <c r="Y700" i="1"/>
  <c r="Z700" i="1"/>
  <c r="AA700" i="1"/>
  <c r="AB700" i="1"/>
  <c r="AC700" i="1"/>
  <c r="AD700" i="1"/>
  <c r="AE700" i="1"/>
  <c r="AF700" i="1"/>
  <c r="AG700" i="1"/>
  <c r="AH700" i="1"/>
  <c r="AI700" i="1"/>
  <c r="AJ700" i="1"/>
  <c r="AQ700" i="1"/>
  <c r="AR700" i="1"/>
  <c r="AS700" i="1"/>
  <c r="L701" i="1"/>
  <c r="M701" i="1"/>
  <c r="N701" i="1"/>
  <c r="O701" i="1"/>
  <c r="P701" i="1"/>
  <c r="Q701" i="1"/>
  <c r="R701" i="1"/>
  <c r="S701" i="1"/>
  <c r="T701" i="1"/>
  <c r="U701" i="1"/>
  <c r="V701" i="1"/>
  <c r="W701" i="1"/>
  <c r="X701" i="1"/>
  <c r="Y701" i="1"/>
  <c r="Z701" i="1"/>
  <c r="AA701" i="1"/>
  <c r="AB701" i="1"/>
  <c r="AC701" i="1"/>
  <c r="AD701" i="1"/>
  <c r="AE701" i="1"/>
  <c r="AF701" i="1"/>
  <c r="AG701" i="1"/>
  <c r="AH701" i="1"/>
  <c r="AI701" i="1"/>
  <c r="AJ701" i="1"/>
  <c r="AQ701" i="1"/>
  <c r="AR701" i="1"/>
  <c r="AS701" i="1"/>
  <c r="L702" i="1"/>
  <c r="M702" i="1"/>
  <c r="N702" i="1"/>
  <c r="O702" i="1"/>
  <c r="P702" i="1"/>
  <c r="Q702" i="1"/>
  <c r="R702" i="1"/>
  <c r="S702" i="1"/>
  <c r="T702" i="1"/>
  <c r="U702" i="1"/>
  <c r="V702" i="1"/>
  <c r="W702" i="1"/>
  <c r="X702" i="1"/>
  <c r="Y702" i="1"/>
  <c r="Z702" i="1"/>
  <c r="AA702" i="1"/>
  <c r="AB702" i="1"/>
  <c r="AC702" i="1"/>
  <c r="AD702" i="1"/>
  <c r="AE702" i="1"/>
  <c r="AF702" i="1"/>
  <c r="AG702" i="1"/>
  <c r="AH702" i="1"/>
  <c r="AI702" i="1"/>
  <c r="AJ702" i="1"/>
  <c r="AQ702" i="1"/>
  <c r="AR702" i="1"/>
  <c r="AS702" i="1"/>
  <c r="L703" i="1"/>
  <c r="M703" i="1"/>
  <c r="N703" i="1"/>
  <c r="O703" i="1"/>
  <c r="P703" i="1"/>
  <c r="Q703" i="1"/>
  <c r="R703" i="1"/>
  <c r="S703" i="1"/>
  <c r="T703" i="1"/>
  <c r="U703" i="1"/>
  <c r="V703" i="1"/>
  <c r="W703" i="1"/>
  <c r="X703" i="1"/>
  <c r="Y703" i="1"/>
  <c r="Z703" i="1"/>
  <c r="AA703" i="1"/>
  <c r="AB703" i="1"/>
  <c r="AC703" i="1"/>
  <c r="AD703" i="1"/>
  <c r="AE703" i="1"/>
  <c r="AF703" i="1"/>
  <c r="AG703" i="1"/>
  <c r="AH703" i="1"/>
  <c r="AI703" i="1"/>
  <c r="AJ703" i="1"/>
  <c r="AQ703" i="1"/>
  <c r="AR703" i="1"/>
  <c r="AS703" i="1"/>
  <c r="L704" i="1"/>
  <c r="M704" i="1"/>
  <c r="N704" i="1"/>
  <c r="O704" i="1"/>
  <c r="P704" i="1"/>
  <c r="Q704" i="1"/>
  <c r="R704" i="1"/>
  <c r="S704" i="1"/>
  <c r="T704" i="1"/>
  <c r="U704" i="1"/>
  <c r="V704" i="1"/>
  <c r="W704" i="1"/>
  <c r="X704" i="1"/>
  <c r="Y704" i="1"/>
  <c r="Z704" i="1"/>
  <c r="AA704" i="1"/>
  <c r="AB704" i="1"/>
  <c r="AC704" i="1"/>
  <c r="AD704" i="1"/>
  <c r="AE704" i="1"/>
  <c r="AF704" i="1"/>
  <c r="AG704" i="1"/>
  <c r="AH704" i="1"/>
  <c r="AI704" i="1"/>
  <c r="AJ704" i="1"/>
  <c r="AQ704" i="1"/>
  <c r="AR704" i="1"/>
  <c r="AS704" i="1"/>
  <c r="L705" i="1"/>
  <c r="M705" i="1"/>
  <c r="N705" i="1"/>
  <c r="O705" i="1"/>
  <c r="P705" i="1"/>
  <c r="Q705" i="1"/>
  <c r="R705" i="1"/>
  <c r="S705" i="1"/>
  <c r="T705" i="1"/>
  <c r="U705" i="1"/>
  <c r="V705" i="1"/>
  <c r="W705" i="1"/>
  <c r="X705" i="1"/>
  <c r="Y705" i="1"/>
  <c r="Z705" i="1"/>
  <c r="AA705" i="1"/>
  <c r="AB705" i="1"/>
  <c r="AC705" i="1"/>
  <c r="AD705" i="1"/>
  <c r="AE705" i="1"/>
  <c r="AF705" i="1"/>
  <c r="AG705" i="1"/>
  <c r="AH705" i="1"/>
  <c r="AI705" i="1"/>
  <c r="AJ705" i="1"/>
  <c r="AQ705" i="1"/>
  <c r="AR705" i="1"/>
  <c r="AS705" i="1"/>
  <c r="L706" i="1"/>
  <c r="M706" i="1"/>
  <c r="N706" i="1"/>
  <c r="O706" i="1"/>
  <c r="P706" i="1"/>
  <c r="Q706" i="1"/>
  <c r="R706" i="1"/>
  <c r="S706" i="1"/>
  <c r="T706" i="1"/>
  <c r="U706" i="1"/>
  <c r="V706" i="1"/>
  <c r="W706" i="1"/>
  <c r="X706" i="1"/>
  <c r="Y706" i="1"/>
  <c r="Z706" i="1"/>
  <c r="AA706" i="1"/>
  <c r="AB706" i="1"/>
  <c r="AC706" i="1"/>
  <c r="AD706" i="1"/>
  <c r="AE706" i="1"/>
  <c r="AF706" i="1"/>
  <c r="AG706" i="1"/>
  <c r="AH706" i="1"/>
  <c r="AI706" i="1"/>
  <c r="AJ706" i="1"/>
  <c r="AQ706" i="1"/>
  <c r="AR706" i="1"/>
  <c r="AS706" i="1"/>
  <c r="L707" i="1"/>
  <c r="M707" i="1"/>
  <c r="N707" i="1"/>
  <c r="O707" i="1"/>
  <c r="P707" i="1"/>
  <c r="Q707" i="1"/>
  <c r="R707" i="1"/>
  <c r="S707" i="1"/>
  <c r="T707" i="1"/>
  <c r="U707" i="1"/>
  <c r="V707" i="1"/>
  <c r="W707" i="1"/>
  <c r="X707" i="1"/>
  <c r="Y707" i="1"/>
  <c r="Z707" i="1"/>
  <c r="AA707" i="1"/>
  <c r="AB707" i="1"/>
  <c r="AC707" i="1"/>
  <c r="AD707" i="1"/>
  <c r="AE707" i="1"/>
  <c r="AF707" i="1"/>
  <c r="AG707" i="1"/>
  <c r="AH707" i="1"/>
  <c r="AI707" i="1"/>
  <c r="AJ707" i="1"/>
  <c r="AQ707" i="1"/>
  <c r="AR707" i="1"/>
  <c r="AS707" i="1"/>
  <c r="L708" i="1"/>
  <c r="M708" i="1"/>
  <c r="N708" i="1"/>
  <c r="O708" i="1"/>
  <c r="P708" i="1"/>
  <c r="Q708" i="1"/>
  <c r="R708" i="1"/>
  <c r="S708" i="1"/>
  <c r="T708" i="1"/>
  <c r="U708" i="1"/>
  <c r="V708" i="1"/>
  <c r="W708" i="1"/>
  <c r="X708" i="1"/>
  <c r="Y708" i="1"/>
  <c r="Z708" i="1"/>
  <c r="AA708" i="1"/>
  <c r="AB708" i="1"/>
  <c r="AC708" i="1"/>
  <c r="AD708" i="1"/>
  <c r="AE708" i="1"/>
  <c r="AF708" i="1"/>
  <c r="AG708" i="1"/>
  <c r="AH708" i="1"/>
  <c r="AI708" i="1"/>
  <c r="AJ708" i="1"/>
  <c r="AQ708" i="1"/>
  <c r="AR708" i="1"/>
  <c r="AS708" i="1"/>
  <c r="L709" i="1"/>
  <c r="M709" i="1"/>
  <c r="N709" i="1"/>
  <c r="O709" i="1"/>
  <c r="P709" i="1"/>
  <c r="Q709" i="1"/>
  <c r="R709" i="1"/>
  <c r="S709" i="1"/>
  <c r="T709" i="1"/>
  <c r="U709" i="1"/>
  <c r="V709" i="1"/>
  <c r="W709" i="1"/>
  <c r="X709" i="1"/>
  <c r="Y709" i="1"/>
  <c r="Z709" i="1"/>
  <c r="AA709" i="1"/>
  <c r="AB709" i="1"/>
  <c r="AC709" i="1"/>
  <c r="AD709" i="1"/>
  <c r="AE709" i="1"/>
  <c r="AF709" i="1"/>
  <c r="AG709" i="1"/>
  <c r="AH709" i="1"/>
  <c r="AI709" i="1"/>
  <c r="AJ709" i="1"/>
  <c r="AQ709" i="1"/>
  <c r="AR709" i="1"/>
  <c r="AS709" i="1"/>
  <c r="L710" i="1"/>
  <c r="M710" i="1"/>
  <c r="N710" i="1"/>
  <c r="O710" i="1"/>
  <c r="P710" i="1"/>
  <c r="Q710" i="1"/>
  <c r="R710" i="1"/>
  <c r="S710" i="1"/>
  <c r="T710" i="1"/>
  <c r="U710" i="1"/>
  <c r="V710" i="1"/>
  <c r="W710" i="1"/>
  <c r="X710" i="1"/>
  <c r="Y710" i="1"/>
  <c r="Z710" i="1"/>
  <c r="AA710" i="1"/>
  <c r="AB710" i="1"/>
  <c r="AC710" i="1"/>
  <c r="AD710" i="1"/>
  <c r="AE710" i="1"/>
  <c r="AF710" i="1"/>
  <c r="AG710" i="1"/>
  <c r="AH710" i="1"/>
  <c r="AI710" i="1"/>
  <c r="AJ710" i="1"/>
  <c r="AQ710" i="1"/>
  <c r="AR710" i="1"/>
  <c r="AS710" i="1"/>
  <c r="L711" i="1"/>
  <c r="M711" i="1"/>
  <c r="N711" i="1"/>
  <c r="O711" i="1"/>
  <c r="P711" i="1"/>
  <c r="Q711" i="1"/>
  <c r="R711" i="1"/>
  <c r="S711" i="1"/>
  <c r="T711" i="1"/>
  <c r="U711" i="1"/>
  <c r="V711" i="1"/>
  <c r="W711" i="1"/>
  <c r="X711" i="1"/>
  <c r="Y711" i="1"/>
  <c r="Z711" i="1"/>
  <c r="AA711" i="1"/>
  <c r="AB711" i="1"/>
  <c r="AC711" i="1"/>
  <c r="AD711" i="1"/>
  <c r="AE711" i="1"/>
  <c r="AF711" i="1"/>
  <c r="AG711" i="1"/>
  <c r="AH711" i="1"/>
  <c r="AI711" i="1"/>
  <c r="AJ711" i="1"/>
  <c r="AQ711" i="1"/>
  <c r="AR711" i="1"/>
  <c r="AS711" i="1"/>
  <c r="L712" i="1"/>
  <c r="M712" i="1"/>
  <c r="N712" i="1"/>
  <c r="O712" i="1"/>
  <c r="P712" i="1"/>
  <c r="Q712" i="1"/>
  <c r="R712" i="1"/>
  <c r="S712" i="1"/>
  <c r="T712" i="1"/>
  <c r="U712" i="1"/>
  <c r="V712" i="1"/>
  <c r="W712" i="1"/>
  <c r="X712" i="1"/>
  <c r="Y712" i="1"/>
  <c r="Z712" i="1"/>
  <c r="AA712" i="1"/>
  <c r="AB712" i="1"/>
  <c r="AC712" i="1"/>
  <c r="AD712" i="1"/>
  <c r="AE712" i="1"/>
  <c r="AF712" i="1"/>
  <c r="AG712" i="1"/>
  <c r="AH712" i="1"/>
  <c r="AI712" i="1"/>
  <c r="AJ712" i="1"/>
  <c r="AQ712" i="1"/>
  <c r="AR712" i="1"/>
  <c r="AS712" i="1"/>
  <c r="L713" i="1"/>
  <c r="M713" i="1"/>
  <c r="N713" i="1"/>
  <c r="O713" i="1"/>
  <c r="P713" i="1"/>
  <c r="Q713" i="1"/>
  <c r="R713" i="1"/>
  <c r="S713" i="1"/>
  <c r="T713" i="1"/>
  <c r="U713" i="1"/>
  <c r="V713" i="1"/>
  <c r="W713" i="1"/>
  <c r="X713" i="1"/>
  <c r="Y713" i="1"/>
  <c r="Z713" i="1"/>
  <c r="AA713" i="1"/>
  <c r="AB713" i="1"/>
  <c r="AC713" i="1"/>
  <c r="AD713" i="1"/>
  <c r="AE713" i="1"/>
  <c r="AF713" i="1"/>
  <c r="AG713" i="1"/>
  <c r="AH713" i="1"/>
  <c r="AI713" i="1"/>
  <c r="AJ713" i="1"/>
  <c r="AQ713" i="1"/>
  <c r="AR713" i="1"/>
  <c r="AS713" i="1"/>
  <c r="L714" i="1"/>
  <c r="M714" i="1"/>
  <c r="N714" i="1"/>
  <c r="O714" i="1"/>
  <c r="P714" i="1"/>
  <c r="Q714" i="1"/>
  <c r="R714" i="1"/>
  <c r="S714" i="1"/>
  <c r="T714" i="1"/>
  <c r="U714" i="1"/>
  <c r="V714" i="1"/>
  <c r="W714" i="1"/>
  <c r="X714" i="1"/>
  <c r="Y714" i="1"/>
  <c r="Z714" i="1"/>
  <c r="AA714" i="1"/>
  <c r="AB714" i="1"/>
  <c r="AC714" i="1"/>
  <c r="AD714" i="1"/>
  <c r="AE714" i="1"/>
  <c r="AF714" i="1"/>
  <c r="AG714" i="1"/>
  <c r="AH714" i="1"/>
  <c r="AI714" i="1"/>
  <c r="AJ714" i="1"/>
  <c r="AQ714" i="1"/>
  <c r="AR714" i="1"/>
  <c r="AS714" i="1"/>
  <c r="L715" i="1"/>
  <c r="M715" i="1"/>
  <c r="N715" i="1"/>
  <c r="O715" i="1"/>
  <c r="P715" i="1"/>
  <c r="Q715" i="1"/>
  <c r="R715" i="1"/>
  <c r="S715" i="1"/>
  <c r="T715" i="1"/>
  <c r="U715" i="1"/>
  <c r="V715" i="1"/>
  <c r="W715" i="1"/>
  <c r="X715" i="1"/>
  <c r="Y715" i="1"/>
  <c r="Z715" i="1"/>
  <c r="AA715" i="1"/>
  <c r="AB715" i="1"/>
  <c r="AC715" i="1"/>
  <c r="AD715" i="1"/>
  <c r="AE715" i="1"/>
  <c r="AF715" i="1"/>
  <c r="AG715" i="1"/>
  <c r="AH715" i="1"/>
  <c r="AI715" i="1"/>
  <c r="AJ715" i="1"/>
  <c r="AQ715" i="1"/>
  <c r="AR715" i="1"/>
  <c r="AS715" i="1"/>
  <c r="L716" i="1"/>
  <c r="M716" i="1"/>
  <c r="N716" i="1"/>
  <c r="O716" i="1"/>
  <c r="P716" i="1"/>
  <c r="Q716" i="1"/>
  <c r="R716" i="1"/>
  <c r="S716" i="1"/>
  <c r="T716" i="1"/>
  <c r="U716" i="1"/>
  <c r="V716" i="1"/>
  <c r="W716" i="1"/>
  <c r="X716" i="1"/>
  <c r="Y716" i="1"/>
  <c r="Z716" i="1"/>
  <c r="AA716" i="1"/>
  <c r="AB716" i="1"/>
  <c r="AC716" i="1"/>
  <c r="AD716" i="1"/>
  <c r="AE716" i="1"/>
  <c r="AF716" i="1"/>
  <c r="AG716" i="1"/>
  <c r="AH716" i="1"/>
  <c r="AI716" i="1"/>
  <c r="AJ716" i="1"/>
  <c r="AQ716" i="1"/>
  <c r="AR716" i="1"/>
  <c r="AS716" i="1"/>
  <c r="L717" i="1"/>
  <c r="M717" i="1"/>
  <c r="N717" i="1"/>
  <c r="O717" i="1"/>
  <c r="P717" i="1"/>
  <c r="Q717" i="1"/>
  <c r="R717" i="1"/>
  <c r="S717" i="1"/>
  <c r="T717" i="1"/>
  <c r="U717" i="1"/>
  <c r="V717" i="1"/>
  <c r="W717" i="1"/>
  <c r="X717" i="1"/>
  <c r="Y717" i="1"/>
  <c r="Z717" i="1"/>
  <c r="AA717" i="1"/>
  <c r="AB717" i="1"/>
  <c r="AC717" i="1"/>
  <c r="AD717" i="1"/>
  <c r="AE717" i="1"/>
  <c r="AF717" i="1"/>
  <c r="AG717" i="1"/>
  <c r="AH717" i="1"/>
  <c r="AI717" i="1"/>
  <c r="AJ717" i="1"/>
  <c r="AQ717" i="1"/>
  <c r="AR717" i="1"/>
  <c r="AS717" i="1"/>
  <c r="L718" i="1"/>
  <c r="M718" i="1"/>
  <c r="N718" i="1"/>
  <c r="O718" i="1"/>
  <c r="P718" i="1"/>
  <c r="Q718" i="1"/>
  <c r="R718" i="1"/>
  <c r="S718" i="1"/>
  <c r="T718" i="1"/>
  <c r="U718" i="1"/>
  <c r="V718" i="1"/>
  <c r="W718" i="1"/>
  <c r="X718" i="1"/>
  <c r="Y718" i="1"/>
  <c r="Z718" i="1"/>
  <c r="AA718" i="1"/>
  <c r="AB718" i="1"/>
  <c r="AC718" i="1"/>
  <c r="AD718" i="1"/>
  <c r="AE718" i="1"/>
  <c r="AF718" i="1"/>
  <c r="AG718" i="1"/>
  <c r="AH718" i="1"/>
  <c r="AI718" i="1"/>
  <c r="AJ718" i="1"/>
  <c r="AQ718" i="1"/>
  <c r="AR718" i="1"/>
  <c r="AS718" i="1"/>
  <c r="L719" i="1"/>
  <c r="M719" i="1"/>
  <c r="N719" i="1"/>
  <c r="O719" i="1"/>
  <c r="P719" i="1"/>
  <c r="Q719" i="1"/>
  <c r="R719" i="1"/>
  <c r="S719" i="1"/>
  <c r="T719" i="1"/>
  <c r="U719" i="1"/>
  <c r="V719" i="1"/>
  <c r="W719" i="1"/>
  <c r="X719" i="1"/>
  <c r="Y719" i="1"/>
  <c r="Z719" i="1"/>
  <c r="AA719" i="1"/>
  <c r="AB719" i="1"/>
  <c r="AC719" i="1"/>
  <c r="AD719" i="1"/>
  <c r="AE719" i="1"/>
  <c r="AF719" i="1"/>
  <c r="AG719" i="1"/>
  <c r="AH719" i="1"/>
  <c r="AI719" i="1"/>
  <c r="AJ719" i="1"/>
  <c r="AQ719" i="1"/>
  <c r="AR719" i="1"/>
  <c r="AS719" i="1"/>
  <c r="L720" i="1"/>
  <c r="M720" i="1"/>
  <c r="N720" i="1"/>
  <c r="O720" i="1"/>
  <c r="P720" i="1"/>
  <c r="Q720" i="1"/>
  <c r="R720" i="1"/>
  <c r="S720" i="1"/>
  <c r="T720" i="1"/>
  <c r="U720" i="1"/>
  <c r="V720" i="1"/>
  <c r="W720" i="1"/>
  <c r="X720" i="1"/>
  <c r="Y720" i="1"/>
  <c r="Z720" i="1"/>
  <c r="AA720" i="1"/>
  <c r="AB720" i="1"/>
  <c r="AC720" i="1"/>
  <c r="AD720" i="1"/>
  <c r="AE720" i="1"/>
  <c r="AF720" i="1"/>
  <c r="AG720" i="1"/>
  <c r="AH720" i="1"/>
  <c r="AI720" i="1"/>
  <c r="AJ720" i="1"/>
  <c r="AQ720" i="1"/>
  <c r="AR720" i="1"/>
  <c r="AS720" i="1"/>
  <c r="L721" i="1"/>
  <c r="M721" i="1"/>
  <c r="N721" i="1"/>
  <c r="O721" i="1"/>
  <c r="P721" i="1"/>
  <c r="Q721" i="1"/>
  <c r="R721" i="1"/>
  <c r="S721" i="1"/>
  <c r="T721" i="1"/>
  <c r="U721" i="1"/>
  <c r="V721" i="1"/>
  <c r="W721" i="1"/>
  <c r="X721" i="1"/>
  <c r="Y721" i="1"/>
  <c r="Z721" i="1"/>
  <c r="AA721" i="1"/>
  <c r="AB721" i="1"/>
  <c r="AC721" i="1"/>
  <c r="AD721" i="1"/>
  <c r="AE721" i="1"/>
  <c r="AF721" i="1"/>
  <c r="AG721" i="1"/>
  <c r="AH721" i="1"/>
  <c r="AI721" i="1"/>
  <c r="AJ721" i="1"/>
  <c r="AQ721" i="1"/>
  <c r="AR721" i="1"/>
  <c r="AS721" i="1"/>
  <c r="L722" i="1"/>
  <c r="M722" i="1"/>
  <c r="N722" i="1"/>
  <c r="O722" i="1"/>
  <c r="P722" i="1"/>
  <c r="Q722" i="1"/>
  <c r="R722" i="1"/>
  <c r="S722" i="1"/>
  <c r="T722" i="1"/>
  <c r="U722" i="1"/>
  <c r="V722" i="1"/>
  <c r="W722" i="1"/>
  <c r="X722" i="1"/>
  <c r="Y722" i="1"/>
  <c r="Z722" i="1"/>
  <c r="AA722" i="1"/>
  <c r="AB722" i="1"/>
  <c r="AC722" i="1"/>
  <c r="AD722" i="1"/>
  <c r="AE722" i="1"/>
  <c r="AF722" i="1"/>
  <c r="AG722" i="1"/>
  <c r="AH722" i="1"/>
  <c r="AI722" i="1"/>
  <c r="AJ722" i="1"/>
  <c r="AQ722" i="1"/>
  <c r="AR722" i="1"/>
  <c r="AS722" i="1"/>
  <c r="L723" i="1"/>
  <c r="M723" i="1"/>
  <c r="N723" i="1"/>
  <c r="O723" i="1"/>
  <c r="P723" i="1"/>
  <c r="Q723" i="1"/>
  <c r="R723" i="1"/>
  <c r="S723" i="1"/>
  <c r="T723" i="1"/>
  <c r="U723" i="1"/>
  <c r="V723" i="1"/>
  <c r="W723" i="1"/>
  <c r="X723" i="1"/>
  <c r="Y723" i="1"/>
  <c r="Z723" i="1"/>
  <c r="AA723" i="1"/>
  <c r="AB723" i="1"/>
  <c r="AC723" i="1"/>
  <c r="AD723" i="1"/>
  <c r="AE723" i="1"/>
  <c r="AF723" i="1"/>
  <c r="AG723" i="1"/>
  <c r="AH723" i="1"/>
  <c r="AI723" i="1"/>
  <c r="AJ723" i="1"/>
  <c r="AQ723" i="1"/>
  <c r="AR723" i="1"/>
  <c r="AS723" i="1"/>
  <c r="L724" i="1"/>
  <c r="M724" i="1"/>
  <c r="N724" i="1"/>
  <c r="O724" i="1"/>
  <c r="P724" i="1"/>
  <c r="Q724" i="1"/>
  <c r="R724" i="1"/>
  <c r="S724" i="1"/>
  <c r="T724" i="1"/>
  <c r="U724" i="1"/>
  <c r="V724" i="1"/>
  <c r="W724" i="1"/>
  <c r="X724" i="1"/>
  <c r="Y724" i="1"/>
  <c r="Z724" i="1"/>
  <c r="AA724" i="1"/>
  <c r="AB724" i="1"/>
  <c r="AC724" i="1"/>
  <c r="AD724" i="1"/>
  <c r="AE724" i="1"/>
  <c r="AF724" i="1"/>
  <c r="AG724" i="1"/>
  <c r="AH724" i="1"/>
  <c r="AI724" i="1"/>
  <c r="AJ724" i="1"/>
  <c r="AQ724" i="1"/>
  <c r="AR724" i="1"/>
  <c r="AS724" i="1"/>
  <c r="L725" i="1"/>
  <c r="M725" i="1"/>
  <c r="N725" i="1"/>
  <c r="O725" i="1"/>
  <c r="P725" i="1"/>
  <c r="Q725" i="1"/>
  <c r="R725" i="1"/>
  <c r="S725" i="1"/>
  <c r="T725" i="1"/>
  <c r="U725" i="1"/>
  <c r="V725" i="1"/>
  <c r="W725" i="1"/>
  <c r="X725" i="1"/>
  <c r="Y725" i="1"/>
  <c r="Z725" i="1"/>
  <c r="AA725" i="1"/>
  <c r="AB725" i="1"/>
  <c r="AC725" i="1"/>
  <c r="AD725" i="1"/>
  <c r="AE725" i="1"/>
  <c r="AF725" i="1"/>
  <c r="AG725" i="1"/>
  <c r="AH725" i="1"/>
  <c r="AI725" i="1"/>
  <c r="AJ725" i="1"/>
  <c r="AQ725" i="1"/>
  <c r="AR725" i="1"/>
  <c r="AS725" i="1"/>
  <c r="L726" i="1"/>
  <c r="M726" i="1"/>
  <c r="N726" i="1"/>
  <c r="O726" i="1"/>
  <c r="P726" i="1"/>
  <c r="Q726" i="1"/>
  <c r="R726" i="1"/>
  <c r="S726" i="1"/>
  <c r="T726" i="1"/>
  <c r="U726" i="1"/>
  <c r="V726" i="1"/>
  <c r="W726" i="1"/>
  <c r="X726" i="1"/>
  <c r="Y726" i="1"/>
  <c r="Z726" i="1"/>
  <c r="AA726" i="1"/>
  <c r="AB726" i="1"/>
  <c r="AC726" i="1"/>
  <c r="AD726" i="1"/>
  <c r="AE726" i="1"/>
  <c r="AF726" i="1"/>
  <c r="AG726" i="1"/>
  <c r="AH726" i="1"/>
  <c r="AI726" i="1"/>
  <c r="AJ726" i="1"/>
  <c r="AQ726" i="1"/>
  <c r="AR726" i="1"/>
  <c r="AS726" i="1"/>
  <c r="L727" i="1"/>
  <c r="M727" i="1"/>
  <c r="N727" i="1"/>
  <c r="O727" i="1"/>
  <c r="P727" i="1"/>
  <c r="Q727" i="1"/>
  <c r="R727" i="1"/>
  <c r="S727" i="1"/>
  <c r="T727" i="1"/>
  <c r="U727" i="1"/>
  <c r="V727" i="1"/>
  <c r="W727" i="1"/>
  <c r="X727" i="1"/>
  <c r="Y727" i="1"/>
  <c r="Z727" i="1"/>
  <c r="AA727" i="1"/>
  <c r="AB727" i="1"/>
  <c r="AC727" i="1"/>
  <c r="AD727" i="1"/>
  <c r="AE727" i="1"/>
  <c r="AF727" i="1"/>
  <c r="AG727" i="1"/>
  <c r="AH727" i="1"/>
  <c r="AI727" i="1"/>
  <c r="AJ727" i="1"/>
  <c r="AQ727" i="1"/>
  <c r="AR727" i="1"/>
  <c r="AS727" i="1"/>
  <c r="L728" i="1"/>
  <c r="M728" i="1"/>
  <c r="N728" i="1"/>
  <c r="O728" i="1"/>
  <c r="P728" i="1"/>
  <c r="Q728" i="1"/>
  <c r="R728" i="1"/>
  <c r="S728" i="1"/>
  <c r="T728" i="1"/>
  <c r="U728" i="1"/>
  <c r="V728" i="1"/>
  <c r="W728" i="1"/>
  <c r="X728" i="1"/>
  <c r="Y728" i="1"/>
  <c r="Z728" i="1"/>
  <c r="AA728" i="1"/>
  <c r="AB728" i="1"/>
  <c r="AC728" i="1"/>
  <c r="AD728" i="1"/>
  <c r="AE728" i="1"/>
  <c r="AF728" i="1"/>
  <c r="AG728" i="1"/>
  <c r="AH728" i="1"/>
  <c r="AI728" i="1"/>
  <c r="AJ728" i="1"/>
  <c r="AQ728" i="1"/>
  <c r="AR728" i="1"/>
  <c r="AS728" i="1"/>
  <c r="L729" i="1"/>
  <c r="M729" i="1"/>
  <c r="N729" i="1"/>
  <c r="O729" i="1"/>
  <c r="P729" i="1"/>
  <c r="Q729" i="1"/>
  <c r="R729" i="1"/>
  <c r="S729" i="1"/>
  <c r="T729" i="1"/>
  <c r="U729" i="1"/>
  <c r="V729" i="1"/>
  <c r="W729" i="1"/>
  <c r="X729" i="1"/>
  <c r="Y729" i="1"/>
  <c r="Z729" i="1"/>
  <c r="AA729" i="1"/>
  <c r="AB729" i="1"/>
  <c r="AC729" i="1"/>
  <c r="AD729" i="1"/>
  <c r="AE729" i="1"/>
  <c r="AF729" i="1"/>
  <c r="AG729" i="1"/>
  <c r="AH729" i="1"/>
  <c r="AI729" i="1"/>
  <c r="AJ729" i="1"/>
  <c r="AQ729" i="1"/>
  <c r="AR729" i="1"/>
  <c r="AS729" i="1"/>
  <c r="L730" i="1"/>
  <c r="M730" i="1"/>
  <c r="N730" i="1"/>
  <c r="O730" i="1"/>
  <c r="P730" i="1"/>
  <c r="Q730" i="1"/>
  <c r="R730" i="1"/>
  <c r="S730" i="1"/>
  <c r="T730" i="1"/>
  <c r="U730" i="1"/>
  <c r="V730" i="1"/>
  <c r="W730" i="1"/>
  <c r="X730" i="1"/>
  <c r="Y730" i="1"/>
  <c r="Z730" i="1"/>
  <c r="AA730" i="1"/>
  <c r="AB730" i="1"/>
  <c r="AC730" i="1"/>
  <c r="AD730" i="1"/>
  <c r="AE730" i="1"/>
  <c r="AF730" i="1"/>
  <c r="AG730" i="1"/>
  <c r="AH730" i="1"/>
  <c r="AI730" i="1"/>
  <c r="AJ730" i="1"/>
  <c r="AQ730" i="1"/>
  <c r="AR730" i="1"/>
  <c r="AS730" i="1"/>
  <c r="L731" i="1"/>
  <c r="M731" i="1"/>
  <c r="N731" i="1"/>
  <c r="O731" i="1"/>
  <c r="P731" i="1"/>
  <c r="Q731" i="1"/>
  <c r="R731" i="1"/>
  <c r="S731" i="1"/>
  <c r="T731" i="1"/>
  <c r="U731" i="1"/>
  <c r="V731" i="1"/>
  <c r="W731" i="1"/>
  <c r="X731" i="1"/>
  <c r="Y731" i="1"/>
  <c r="Z731" i="1"/>
  <c r="AA731" i="1"/>
  <c r="AB731" i="1"/>
  <c r="AC731" i="1"/>
  <c r="AD731" i="1"/>
  <c r="AE731" i="1"/>
  <c r="AF731" i="1"/>
  <c r="AG731" i="1"/>
  <c r="AH731" i="1"/>
  <c r="AI731" i="1"/>
  <c r="AJ731" i="1"/>
  <c r="AQ731" i="1"/>
  <c r="AR731" i="1"/>
  <c r="AS731" i="1"/>
  <c r="L732" i="1"/>
  <c r="M732" i="1"/>
  <c r="N732" i="1"/>
  <c r="O732" i="1"/>
  <c r="P732" i="1"/>
  <c r="Q732" i="1"/>
  <c r="R732" i="1"/>
  <c r="S732" i="1"/>
  <c r="T732" i="1"/>
  <c r="U732" i="1"/>
  <c r="V732" i="1"/>
  <c r="W732" i="1"/>
  <c r="X732" i="1"/>
  <c r="Y732" i="1"/>
  <c r="Z732" i="1"/>
  <c r="AA732" i="1"/>
  <c r="AB732" i="1"/>
  <c r="AC732" i="1"/>
  <c r="AD732" i="1"/>
  <c r="AE732" i="1"/>
  <c r="AF732" i="1"/>
  <c r="AG732" i="1"/>
  <c r="AH732" i="1"/>
  <c r="AI732" i="1"/>
  <c r="AJ732" i="1"/>
  <c r="AQ732" i="1"/>
  <c r="AR732" i="1"/>
  <c r="AS732" i="1"/>
  <c r="L733" i="1"/>
  <c r="M733" i="1"/>
  <c r="N733" i="1"/>
  <c r="O733" i="1"/>
  <c r="P733" i="1"/>
  <c r="Q733" i="1"/>
  <c r="R733" i="1"/>
  <c r="S733" i="1"/>
  <c r="T733" i="1"/>
  <c r="U733" i="1"/>
  <c r="V733" i="1"/>
  <c r="W733" i="1"/>
  <c r="X733" i="1"/>
  <c r="Y733" i="1"/>
  <c r="Z733" i="1"/>
  <c r="AA733" i="1"/>
  <c r="AB733" i="1"/>
  <c r="AC733" i="1"/>
  <c r="AD733" i="1"/>
  <c r="AE733" i="1"/>
  <c r="AF733" i="1"/>
  <c r="AG733" i="1"/>
  <c r="AH733" i="1"/>
  <c r="AI733" i="1"/>
  <c r="AJ733" i="1"/>
  <c r="AQ733" i="1"/>
  <c r="AR733" i="1"/>
  <c r="AS733" i="1"/>
  <c r="L734" i="1"/>
  <c r="M734" i="1"/>
  <c r="N734" i="1"/>
  <c r="O734" i="1"/>
  <c r="P734" i="1"/>
  <c r="Q734" i="1"/>
  <c r="R734" i="1"/>
  <c r="S734" i="1"/>
  <c r="T734" i="1"/>
  <c r="U734" i="1"/>
  <c r="V734" i="1"/>
  <c r="W734" i="1"/>
  <c r="X734" i="1"/>
  <c r="Y734" i="1"/>
  <c r="Z734" i="1"/>
  <c r="AA734" i="1"/>
  <c r="AB734" i="1"/>
  <c r="AC734" i="1"/>
  <c r="AD734" i="1"/>
  <c r="AE734" i="1"/>
  <c r="AF734" i="1"/>
  <c r="AG734" i="1"/>
  <c r="AH734" i="1"/>
  <c r="AI734" i="1"/>
  <c r="AJ734" i="1"/>
  <c r="AQ734" i="1"/>
  <c r="AR734" i="1"/>
  <c r="AS734" i="1"/>
  <c r="L735" i="1"/>
  <c r="M735" i="1"/>
  <c r="N735" i="1"/>
  <c r="O735" i="1"/>
  <c r="P735" i="1"/>
  <c r="Q735" i="1"/>
  <c r="R735" i="1"/>
  <c r="S735" i="1"/>
  <c r="T735" i="1"/>
  <c r="U735" i="1"/>
  <c r="V735" i="1"/>
  <c r="W735" i="1"/>
  <c r="X735" i="1"/>
  <c r="Y735" i="1"/>
  <c r="Z735" i="1"/>
  <c r="AA735" i="1"/>
  <c r="AB735" i="1"/>
  <c r="AC735" i="1"/>
  <c r="AD735" i="1"/>
  <c r="AE735" i="1"/>
  <c r="AF735" i="1"/>
  <c r="AG735" i="1"/>
  <c r="AH735" i="1"/>
  <c r="AI735" i="1"/>
  <c r="AJ735" i="1"/>
  <c r="AQ735" i="1"/>
  <c r="AR735" i="1"/>
  <c r="AS735" i="1"/>
  <c r="L736" i="1"/>
  <c r="M736" i="1"/>
  <c r="N736" i="1"/>
  <c r="O736" i="1"/>
  <c r="P736" i="1"/>
  <c r="Q736" i="1"/>
  <c r="R736" i="1"/>
  <c r="S736" i="1"/>
  <c r="T736" i="1"/>
  <c r="U736" i="1"/>
  <c r="V736" i="1"/>
  <c r="W736" i="1"/>
  <c r="X736" i="1"/>
  <c r="Y736" i="1"/>
  <c r="Z736" i="1"/>
  <c r="AA736" i="1"/>
  <c r="AB736" i="1"/>
  <c r="AC736" i="1"/>
  <c r="AD736" i="1"/>
  <c r="AE736" i="1"/>
  <c r="AF736" i="1"/>
  <c r="AG736" i="1"/>
  <c r="AH736" i="1"/>
  <c r="AI736" i="1"/>
  <c r="AJ736" i="1"/>
  <c r="AQ736" i="1"/>
  <c r="AR736" i="1"/>
  <c r="AS736" i="1"/>
  <c r="L737" i="1"/>
  <c r="M737" i="1"/>
  <c r="N737" i="1"/>
  <c r="O737" i="1"/>
  <c r="P737" i="1"/>
  <c r="Q737" i="1"/>
  <c r="R737" i="1"/>
  <c r="S737" i="1"/>
  <c r="T737" i="1"/>
  <c r="U737" i="1"/>
  <c r="V737" i="1"/>
  <c r="W737" i="1"/>
  <c r="X737" i="1"/>
  <c r="Y737" i="1"/>
  <c r="Z737" i="1"/>
  <c r="AA737" i="1"/>
  <c r="AB737" i="1"/>
  <c r="AC737" i="1"/>
  <c r="AD737" i="1"/>
  <c r="AE737" i="1"/>
  <c r="AF737" i="1"/>
  <c r="AG737" i="1"/>
  <c r="AH737" i="1"/>
  <c r="AI737" i="1"/>
  <c r="AJ737" i="1"/>
  <c r="AQ737" i="1"/>
  <c r="AR737" i="1"/>
  <c r="AS737" i="1"/>
  <c r="L738" i="1"/>
  <c r="M738" i="1"/>
  <c r="N738" i="1"/>
  <c r="O738" i="1"/>
  <c r="P738" i="1"/>
  <c r="Q738" i="1"/>
  <c r="R738" i="1"/>
  <c r="S738" i="1"/>
  <c r="T738" i="1"/>
  <c r="U738" i="1"/>
  <c r="V738" i="1"/>
  <c r="W738" i="1"/>
  <c r="X738" i="1"/>
  <c r="Y738" i="1"/>
  <c r="Z738" i="1"/>
  <c r="AA738" i="1"/>
  <c r="AB738" i="1"/>
  <c r="AC738" i="1"/>
  <c r="AD738" i="1"/>
  <c r="AE738" i="1"/>
  <c r="AF738" i="1"/>
  <c r="AG738" i="1"/>
  <c r="AH738" i="1"/>
  <c r="AI738" i="1"/>
  <c r="AJ738" i="1"/>
  <c r="AQ738" i="1"/>
  <c r="AR738" i="1"/>
  <c r="AS738" i="1"/>
  <c r="L739" i="1"/>
  <c r="M739" i="1"/>
  <c r="N739" i="1"/>
  <c r="O739" i="1"/>
  <c r="P739" i="1"/>
  <c r="Q739" i="1"/>
  <c r="R739" i="1"/>
  <c r="S739" i="1"/>
  <c r="T739" i="1"/>
  <c r="U739" i="1"/>
  <c r="V739" i="1"/>
  <c r="W739" i="1"/>
  <c r="X739" i="1"/>
  <c r="Y739" i="1"/>
  <c r="Z739" i="1"/>
  <c r="AA739" i="1"/>
  <c r="AB739" i="1"/>
  <c r="AC739" i="1"/>
  <c r="AD739" i="1"/>
  <c r="AE739" i="1"/>
  <c r="AF739" i="1"/>
  <c r="AG739" i="1"/>
  <c r="AH739" i="1"/>
  <c r="AI739" i="1"/>
  <c r="AJ739" i="1"/>
  <c r="AQ739" i="1"/>
  <c r="AR739" i="1"/>
  <c r="AS739" i="1"/>
  <c r="L740" i="1"/>
  <c r="M740" i="1"/>
  <c r="N740" i="1"/>
  <c r="O740" i="1"/>
  <c r="P740" i="1"/>
  <c r="Q740" i="1"/>
  <c r="R740" i="1"/>
  <c r="S740" i="1"/>
  <c r="T740" i="1"/>
  <c r="U740" i="1"/>
  <c r="V740" i="1"/>
  <c r="W740" i="1"/>
  <c r="X740" i="1"/>
  <c r="Y740" i="1"/>
  <c r="Z740" i="1"/>
  <c r="AA740" i="1"/>
  <c r="AB740" i="1"/>
  <c r="AC740" i="1"/>
  <c r="AD740" i="1"/>
  <c r="AE740" i="1"/>
  <c r="AF740" i="1"/>
  <c r="AG740" i="1"/>
  <c r="AH740" i="1"/>
  <c r="AI740" i="1"/>
  <c r="AJ740" i="1"/>
  <c r="AQ740" i="1"/>
  <c r="AR740" i="1"/>
  <c r="AS740" i="1"/>
  <c r="L741" i="1"/>
  <c r="M741" i="1"/>
  <c r="N741" i="1"/>
  <c r="O741" i="1"/>
  <c r="P741" i="1"/>
  <c r="Q741" i="1"/>
  <c r="R741" i="1"/>
  <c r="S741" i="1"/>
  <c r="T741" i="1"/>
  <c r="U741" i="1"/>
  <c r="V741" i="1"/>
  <c r="W741" i="1"/>
  <c r="X741" i="1"/>
  <c r="Y741" i="1"/>
  <c r="Z741" i="1"/>
  <c r="AA741" i="1"/>
  <c r="AB741" i="1"/>
  <c r="AC741" i="1"/>
  <c r="AD741" i="1"/>
  <c r="AE741" i="1"/>
  <c r="AF741" i="1"/>
  <c r="AG741" i="1"/>
  <c r="AH741" i="1"/>
  <c r="AI741" i="1"/>
  <c r="AJ741" i="1"/>
  <c r="AQ741" i="1"/>
  <c r="AR741" i="1"/>
  <c r="AS741" i="1"/>
  <c r="L742" i="1"/>
  <c r="M742" i="1"/>
  <c r="N742" i="1"/>
  <c r="O742" i="1"/>
  <c r="P742" i="1"/>
  <c r="Q742" i="1"/>
  <c r="R742" i="1"/>
  <c r="S742" i="1"/>
  <c r="T742" i="1"/>
  <c r="U742" i="1"/>
  <c r="V742" i="1"/>
  <c r="W742" i="1"/>
  <c r="X742" i="1"/>
  <c r="Y742" i="1"/>
  <c r="Z742" i="1"/>
  <c r="AA742" i="1"/>
  <c r="AB742" i="1"/>
  <c r="AC742" i="1"/>
  <c r="AD742" i="1"/>
  <c r="AE742" i="1"/>
  <c r="AF742" i="1"/>
  <c r="AG742" i="1"/>
  <c r="AH742" i="1"/>
  <c r="AI742" i="1"/>
  <c r="AJ742" i="1"/>
  <c r="AQ742" i="1"/>
  <c r="AR742" i="1"/>
  <c r="AS742" i="1"/>
  <c r="L743" i="1"/>
  <c r="M743" i="1"/>
  <c r="N743" i="1"/>
  <c r="O743" i="1"/>
  <c r="P743" i="1"/>
  <c r="Q743" i="1"/>
  <c r="R743" i="1"/>
  <c r="S743" i="1"/>
  <c r="T743" i="1"/>
  <c r="U743" i="1"/>
  <c r="V743" i="1"/>
  <c r="W743" i="1"/>
  <c r="X743" i="1"/>
  <c r="Y743" i="1"/>
  <c r="Z743" i="1"/>
  <c r="AA743" i="1"/>
  <c r="AB743" i="1"/>
  <c r="AC743" i="1"/>
  <c r="AD743" i="1"/>
  <c r="AE743" i="1"/>
  <c r="AF743" i="1"/>
  <c r="AG743" i="1"/>
  <c r="AH743" i="1"/>
  <c r="AI743" i="1"/>
  <c r="AJ743" i="1"/>
  <c r="AQ743" i="1"/>
  <c r="AR743" i="1"/>
  <c r="AS743" i="1"/>
  <c r="L744" i="1"/>
  <c r="M744" i="1"/>
  <c r="N744" i="1"/>
  <c r="O744" i="1"/>
  <c r="P744" i="1"/>
  <c r="Q744" i="1"/>
  <c r="R744" i="1"/>
  <c r="S744" i="1"/>
  <c r="T744" i="1"/>
  <c r="U744" i="1"/>
  <c r="V744" i="1"/>
  <c r="W744" i="1"/>
  <c r="X744" i="1"/>
  <c r="Y744" i="1"/>
  <c r="Z744" i="1"/>
  <c r="AA744" i="1"/>
  <c r="AB744" i="1"/>
  <c r="AC744" i="1"/>
  <c r="AD744" i="1"/>
  <c r="AE744" i="1"/>
  <c r="AF744" i="1"/>
  <c r="AG744" i="1"/>
  <c r="AH744" i="1"/>
  <c r="AI744" i="1"/>
  <c r="AJ744" i="1"/>
  <c r="AQ744" i="1"/>
  <c r="AR744" i="1"/>
  <c r="AS744" i="1"/>
  <c r="L745" i="1"/>
  <c r="M745" i="1"/>
  <c r="N745" i="1"/>
  <c r="O745" i="1"/>
  <c r="P745" i="1"/>
  <c r="Q745" i="1"/>
  <c r="R745" i="1"/>
  <c r="S745" i="1"/>
  <c r="T745" i="1"/>
  <c r="U745" i="1"/>
  <c r="V745" i="1"/>
  <c r="W745" i="1"/>
  <c r="X745" i="1"/>
  <c r="Y745" i="1"/>
  <c r="Z745" i="1"/>
  <c r="AA745" i="1"/>
  <c r="AB745" i="1"/>
  <c r="AC745" i="1"/>
  <c r="AD745" i="1"/>
  <c r="AE745" i="1"/>
  <c r="AF745" i="1"/>
  <c r="AG745" i="1"/>
  <c r="AH745" i="1"/>
  <c r="AI745" i="1"/>
  <c r="AJ745" i="1"/>
  <c r="AQ745" i="1"/>
  <c r="AR745" i="1"/>
  <c r="AS745" i="1"/>
  <c r="L746" i="1"/>
  <c r="M746" i="1"/>
  <c r="N746" i="1"/>
  <c r="O746" i="1"/>
  <c r="P746" i="1"/>
  <c r="Q746" i="1"/>
  <c r="R746" i="1"/>
  <c r="S746" i="1"/>
  <c r="T746" i="1"/>
  <c r="U746" i="1"/>
  <c r="V746" i="1"/>
  <c r="W746" i="1"/>
  <c r="X746" i="1"/>
  <c r="Y746" i="1"/>
  <c r="Z746" i="1"/>
  <c r="AA746" i="1"/>
  <c r="AB746" i="1"/>
  <c r="AC746" i="1"/>
  <c r="AD746" i="1"/>
  <c r="AE746" i="1"/>
  <c r="AF746" i="1"/>
  <c r="AG746" i="1"/>
  <c r="AH746" i="1"/>
  <c r="AI746" i="1"/>
  <c r="AJ746" i="1"/>
  <c r="AQ746" i="1"/>
  <c r="AR746" i="1"/>
  <c r="AS746" i="1"/>
  <c r="L747" i="1"/>
  <c r="M747" i="1"/>
  <c r="N747" i="1"/>
  <c r="O747" i="1"/>
  <c r="P747" i="1"/>
  <c r="Q747" i="1"/>
  <c r="R747" i="1"/>
  <c r="S747" i="1"/>
  <c r="T747" i="1"/>
  <c r="U747" i="1"/>
  <c r="V747" i="1"/>
  <c r="W747" i="1"/>
  <c r="X747" i="1"/>
  <c r="Y747" i="1"/>
  <c r="Z747" i="1"/>
  <c r="AA747" i="1"/>
  <c r="AB747" i="1"/>
  <c r="AC747" i="1"/>
  <c r="AD747" i="1"/>
  <c r="AE747" i="1"/>
  <c r="AF747" i="1"/>
  <c r="AG747" i="1"/>
  <c r="AH747" i="1"/>
  <c r="AI747" i="1"/>
  <c r="AJ747" i="1"/>
  <c r="AQ747" i="1"/>
  <c r="AR747" i="1"/>
  <c r="AS747" i="1"/>
  <c r="L748" i="1"/>
  <c r="M748" i="1"/>
  <c r="N748" i="1"/>
  <c r="O748" i="1"/>
  <c r="P748" i="1"/>
  <c r="Q748" i="1"/>
  <c r="R748" i="1"/>
  <c r="S748" i="1"/>
  <c r="T748" i="1"/>
  <c r="U748" i="1"/>
  <c r="V748" i="1"/>
  <c r="W748" i="1"/>
  <c r="X748" i="1"/>
  <c r="Y748" i="1"/>
  <c r="Z748" i="1"/>
  <c r="AA748" i="1"/>
  <c r="AB748" i="1"/>
  <c r="AC748" i="1"/>
  <c r="AD748" i="1"/>
  <c r="AE748" i="1"/>
  <c r="AF748" i="1"/>
  <c r="AG748" i="1"/>
  <c r="AH748" i="1"/>
  <c r="AI748" i="1"/>
  <c r="AJ748" i="1"/>
  <c r="AQ748" i="1"/>
  <c r="AR748" i="1"/>
  <c r="AS748" i="1"/>
  <c r="L749" i="1"/>
  <c r="M749" i="1"/>
  <c r="N749" i="1"/>
  <c r="O749" i="1"/>
  <c r="P749" i="1"/>
  <c r="Q749" i="1"/>
  <c r="R749" i="1"/>
  <c r="S749" i="1"/>
  <c r="T749" i="1"/>
  <c r="U749" i="1"/>
  <c r="V749" i="1"/>
  <c r="W749" i="1"/>
  <c r="X749" i="1"/>
  <c r="Y749" i="1"/>
  <c r="Z749" i="1"/>
  <c r="AA749" i="1"/>
  <c r="AB749" i="1"/>
  <c r="AC749" i="1"/>
  <c r="AD749" i="1"/>
  <c r="AE749" i="1"/>
  <c r="AF749" i="1"/>
  <c r="AG749" i="1"/>
  <c r="AH749" i="1"/>
  <c r="AI749" i="1"/>
  <c r="AJ749" i="1"/>
  <c r="AQ749" i="1"/>
  <c r="AR749" i="1"/>
  <c r="AS749" i="1"/>
  <c r="L750" i="1"/>
  <c r="M750" i="1"/>
  <c r="N750" i="1"/>
  <c r="O750" i="1"/>
  <c r="P750" i="1"/>
  <c r="Q750" i="1"/>
  <c r="R750" i="1"/>
  <c r="S750" i="1"/>
  <c r="T750" i="1"/>
  <c r="U750" i="1"/>
  <c r="V750" i="1"/>
  <c r="W750" i="1"/>
  <c r="X750" i="1"/>
  <c r="Y750" i="1"/>
  <c r="Z750" i="1"/>
  <c r="AA750" i="1"/>
  <c r="AB750" i="1"/>
  <c r="AC750" i="1"/>
  <c r="AD750" i="1"/>
  <c r="AE750" i="1"/>
  <c r="AF750" i="1"/>
  <c r="AG750" i="1"/>
  <c r="AH750" i="1"/>
  <c r="AI750" i="1"/>
  <c r="AJ750" i="1"/>
  <c r="AQ750" i="1"/>
  <c r="AR750" i="1"/>
  <c r="AS750" i="1"/>
  <c r="L751" i="1"/>
  <c r="M751" i="1"/>
  <c r="N751" i="1"/>
  <c r="O751" i="1"/>
  <c r="P751" i="1"/>
  <c r="Q751" i="1"/>
  <c r="R751" i="1"/>
  <c r="S751" i="1"/>
  <c r="T751" i="1"/>
  <c r="U751" i="1"/>
  <c r="V751" i="1"/>
  <c r="W751" i="1"/>
  <c r="X751" i="1"/>
  <c r="Y751" i="1"/>
  <c r="Z751" i="1"/>
  <c r="AA751" i="1"/>
  <c r="AB751" i="1"/>
  <c r="AC751" i="1"/>
  <c r="AD751" i="1"/>
  <c r="AE751" i="1"/>
  <c r="AF751" i="1"/>
  <c r="AG751" i="1"/>
  <c r="AH751" i="1"/>
  <c r="AI751" i="1"/>
  <c r="AJ751" i="1"/>
  <c r="AQ751" i="1"/>
  <c r="AR751" i="1"/>
  <c r="AS751" i="1"/>
  <c r="L752" i="1"/>
  <c r="M752" i="1"/>
  <c r="N752" i="1"/>
  <c r="O752" i="1"/>
  <c r="P752" i="1"/>
  <c r="Q752" i="1"/>
  <c r="R752" i="1"/>
  <c r="S752" i="1"/>
  <c r="T752" i="1"/>
  <c r="U752" i="1"/>
  <c r="V752" i="1"/>
  <c r="W752" i="1"/>
  <c r="X752" i="1"/>
  <c r="Y752" i="1"/>
  <c r="Z752" i="1"/>
  <c r="AA752" i="1"/>
  <c r="AB752" i="1"/>
  <c r="AC752" i="1"/>
  <c r="AD752" i="1"/>
  <c r="AE752" i="1"/>
  <c r="AF752" i="1"/>
  <c r="AG752" i="1"/>
  <c r="AH752" i="1"/>
  <c r="AI752" i="1"/>
  <c r="AJ752" i="1"/>
  <c r="AQ752" i="1"/>
  <c r="AR752" i="1"/>
  <c r="AS752" i="1"/>
  <c r="L753" i="1"/>
  <c r="M753" i="1"/>
  <c r="N753" i="1"/>
  <c r="O753" i="1"/>
  <c r="P753" i="1"/>
  <c r="Q753" i="1"/>
  <c r="R753" i="1"/>
  <c r="S753" i="1"/>
  <c r="T753" i="1"/>
  <c r="U753" i="1"/>
  <c r="V753" i="1"/>
  <c r="W753" i="1"/>
  <c r="X753" i="1"/>
  <c r="Y753" i="1"/>
  <c r="Z753" i="1"/>
  <c r="AA753" i="1"/>
  <c r="AB753" i="1"/>
  <c r="AC753" i="1"/>
  <c r="AD753" i="1"/>
  <c r="AE753" i="1"/>
  <c r="AF753" i="1"/>
  <c r="AG753" i="1"/>
  <c r="AH753" i="1"/>
  <c r="AI753" i="1"/>
  <c r="AJ753" i="1"/>
  <c r="AQ753" i="1"/>
  <c r="AR753" i="1"/>
  <c r="AS753" i="1"/>
  <c r="L754" i="1"/>
  <c r="M754" i="1"/>
  <c r="N754" i="1"/>
  <c r="O754" i="1"/>
  <c r="P754" i="1"/>
  <c r="Q754" i="1"/>
  <c r="R754" i="1"/>
  <c r="S754" i="1"/>
  <c r="T754" i="1"/>
  <c r="U754" i="1"/>
  <c r="V754" i="1"/>
  <c r="W754" i="1"/>
  <c r="X754" i="1"/>
  <c r="Y754" i="1"/>
  <c r="Z754" i="1"/>
  <c r="AA754" i="1"/>
  <c r="AB754" i="1"/>
  <c r="AC754" i="1"/>
  <c r="AD754" i="1"/>
  <c r="AE754" i="1"/>
  <c r="AF754" i="1"/>
  <c r="AG754" i="1"/>
  <c r="AH754" i="1"/>
  <c r="AI754" i="1"/>
  <c r="AJ754" i="1"/>
  <c r="AQ754" i="1"/>
  <c r="AR754" i="1"/>
  <c r="AS754" i="1"/>
  <c r="L755" i="1"/>
  <c r="M755" i="1"/>
  <c r="N755" i="1"/>
  <c r="O755" i="1"/>
  <c r="P755" i="1"/>
  <c r="Q755" i="1"/>
  <c r="R755" i="1"/>
  <c r="S755" i="1"/>
  <c r="T755" i="1"/>
  <c r="U755" i="1"/>
  <c r="V755" i="1"/>
  <c r="W755" i="1"/>
  <c r="X755" i="1"/>
  <c r="Y755" i="1"/>
  <c r="Z755" i="1"/>
  <c r="AA755" i="1"/>
  <c r="AB755" i="1"/>
  <c r="AC755" i="1"/>
  <c r="AD755" i="1"/>
  <c r="AE755" i="1"/>
  <c r="AF755" i="1"/>
  <c r="AG755" i="1"/>
  <c r="AH755" i="1"/>
  <c r="AI755" i="1"/>
  <c r="AJ755" i="1"/>
  <c r="AQ755" i="1"/>
  <c r="AR755" i="1"/>
  <c r="AS755" i="1"/>
  <c r="L756" i="1"/>
  <c r="M756" i="1"/>
  <c r="N756" i="1"/>
  <c r="O756" i="1"/>
  <c r="P756" i="1"/>
  <c r="Q756" i="1"/>
  <c r="R756" i="1"/>
  <c r="S756" i="1"/>
  <c r="T756" i="1"/>
  <c r="U756" i="1"/>
  <c r="V756" i="1"/>
  <c r="W756" i="1"/>
  <c r="X756" i="1"/>
  <c r="Y756" i="1"/>
  <c r="Z756" i="1"/>
  <c r="AA756" i="1"/>
  <c r="AB756" i="1"/>
  <c r="AC756" i="1"/>
  <c r="AD756" i="1"/>
  <c r="AE756" i="1"/>
  <c r="AF756" i="1"/>
  <c r="AG756" i="1"/>
  <c r="AH756" i="1"/>
  <c r="AI756" i="1"/>
  <c r="AJ756" i="1"/>
  <c r="AQ756" i="1"/>
  <c r="AR756" i="1"/>
  <c r="AS756" i="1"/>
  <c r="L757" i="1"/>
  <c r="M757" i="1"/>
  <c r="N757" i="1"/>
  <c r="O757" i="1"/>
  <c r="P757" i="1"/>
  <c r="Q757" i="1"/>
  <c r="R757" i="1"/>
  <c r="S757" i="1"/>
  <c r="T757" i="1"/>
  <c r="U757" i="1"/>
  <c r="V757" i="1"/>
  <c r="W757" i="1"/>
  <c r="X757" i="1"/>
  <c r="Y757" i="1"/>
  <c r="Z757" i="1"/>
  <c r="AA757" i="1"/>
  <c r="AB757" i="1"/>
  <c r="AC757" i="1"/>
  <c r="AD757" i="1"/>
  <c r="AE757" i="1"/>
  <c r="AF757" i="1"/>
  <c r="AG757" i="1"/>
  <c r="AH757" i="1"/>
  <c r="AI757" i="1"/>
  <c r="AJ757" i="1"/>
  <c r="AQ757" i="1"/>
  <c r="AR757" i="1"/>
  <c r="AS757" i="1"/>
  <c r="L758" i="1"/>
  <c r="M758" i="1"/>
  <c r="N758" i="1"/>
  <c r="O758" i="1"/>
  <c r="P758" i="1"/>
  <c r="Q758" i="1"/>
  <c r="R758" i="1"/>
  <c r="S758" i="1"/>
  <c r="T758" i="1"/>
  <c r="U758" i="1"/>
  <c r="V758" i="1"/>
  <c r="W758" i="1"/>
  <c r="X758" i="1"/>
  <c r="Y758" i="1"/>
  <c r="Z758" i="1"/>
  <c r="AA758" i="1"/>
  <c r="AB758" i="1"/>
  <c r="AC758" i="1"/>
  <c r="AD758" i="1"/>
  <c r="AE758" i="1"/>
  <c r="AF758" i="1"/>
  <c r="AG758" i="1"/>
  <c r="AH758" i="1"/>
  <c r="AI758" i="1"/>
  <c r="AJ758" i="1"/>
  <c r="AQ758" i="1"/>
  <c r="AR758" i="1"/>
  <c r="AS758" i="1"/>
  <c r="L759" i="1"/>
  <c r="M759" i="1"/>
  <c r="N759" i="1"/>
  <c r="O759" i="1"/>
  <c r="P759" i="1"/>
  <c r="Q759" i="1"/>
  <c r="R759" i="1"/>
  <c r="S759" i="1"/>
  <c r="T759" i="1"/>
  <c r="U759" i="1"/>
  <c r="V759" i="1"/>
  <c r="W759" i="1"/>
  <c r="X759" i="1"/>
  <c r="Y759" i="1"/>
  <c r="Z759" i="1"/>
  <c r="AA759" i="1"/>
  <c r="AB759" i="1"/>
  <c r="AC759" i="1"/>
  <c r="AD759" i="1"/>
  <c r="AE759" i="1"/>
  <c r="AF759" i="1"/>
  <c r="AG759" i="1"/>
  <c r="AH759" i="1"/>
  <c r="AI759" i="1"/>
  <c r="AJ759" i="1"/>
  <c r="AQ759" i="1"/>
  <c r="AR759" i="1"/>
  <c r="AS759" i="1"/>
  <c r="L760" i="1"/>
  <c r="M760" i="1"/>
  <c r="N760" i="1"/>
  <c r="O760" i="1"/>
  <c r="P760" i="1"/>
  <c r="Q760" i="1"/>
  <c r="R760" i="1"/>
  <c r="S760" i="1"/>
  <c r="T760" i="1"/>
  <c r="U760" i="1"/>
  <c r="V760" i="1"/>
  <c r="W760" i="1"/>
  <c r="X760" i="1"/>
  <c r="Y760" i="1"/>
  <c r="Z760" i="1"/>
  <c r="AA760" i="1"/>
  <c r="AB760" i="1"/>
  <c r="AC760" i="1"/>
  <c r="AD760" i="1"/>
  <c r="AE760" i="1"/>
  <c r="AF760" i="1"/>
  <c r="AG760" i="1"/>
  <c r="AH760" i="1"/>
  <c r="AI760" i="1"/>
  <c r="AJ760" i="1"/>
  <c r="AQ760" i="1"/>
  <c r="AR760" i="1"/>
  <c r="AS760" i="1"/>
  <c r="L761" i="1"/>
  <c r="M761" i="1"/>
  <c r="N761" i="1"/>
  <c r="O761" i="1"/>
  <c r="P761" i="1"/>
  <c r="Q761" i="1"/>
  <c r="R761" i="1"/>
  <c r="S761" i="1"/>
  <c r="T761" i="1"/>
  <c r="U761" i="1"/>
  <c r="V761" i="1"/>
  <c r="W761" i="1"/>
  <c r="X761" i="1"/>
  <c r="Y761" i="1"/>
  <c r="Z761" i="1"/>
  <c r="AA761" i="1"/>
  <c r="AB761" i="1"/>
  <c r="AC761" i="1"/>
  <c r="AD761" i="1"/>
  <c r="AE761" i="1"/>
  <c r="AF761" i="1"/>
  <c r="AG761" i="1"/>
  <c r="AH761" i="1"/>
  <c r="AI761" i="1"/>
  <c r="AJ761" i="1"/>
  <c r="AQ761" i="1"/>
  <c r="AR761" i="1"/>
  <c r="AS761" i="1"/>
  <c r="L762" i="1"/>
  <c r="M762" i="1"/>
  <c r="N762" i="1"/>
  <c r="O762" i="1"/>
  <c r="P762" i="1"/>
  <c r="Q762" i="1"/>
  <c r="R762" i="1"/>
  <c r="S762" i="1"/>
  <c r="T762" i="1"/>
  <c r="U762" i="1"/>
  <c r="V762" i="1"/>
  <c r="W762" i="1"/>
  <c r="X762" i="1"/>
  <c r="Y762" i="1"/>
  <c r="Z762" i="1"/>
  <c r="AA762" i="1"/>
  <c r="AB762" i="1"/>
  <c r="AC762" i="1"/>
  <c r="AD762" i="1"/>
  <c r="AE762" i="1"/>
  <c r="AF762" i="1"/>
  <c r="AG762" i="1"/>
  <c r="AH762" i="1"/>
  <c r="AI762" i="1"/>
  <c r="AJ762" i="1"/>
  <c r="AQ762" i="1"/>
  <c r="AR762" i="1"/>
  <c r="AS762" i="1"/>
  <c r="L763" i="1"/>
  <c r="M763" i="1"/>
  <c r="N763" i="1"/>
  <c r="O763" i="1"/>
  <c r="P763" i="1"/>
  <c r="Q763" i="1"/>
  <c r="R763" i="1"/>
  <c r="S763" i="1"/>
  <c r="T763" i="1"/>
  <c r="U763" i="1"/>
  <c r="V763" i="1"/>
  <c r="W763" i="1"/>
  <c r="X763" i="1"/>
  <c r="Y763" i="1"/>
  <c r="Z763" i="1"/>
  <c r="AA763" i="1"/>
  <c r="AB763" i="1"/>
  <c r="AC763" i="1"/>
  <c r="AD763" i="1"/>
  <c r="AE763" i="1"/>
  <c r="AF763" i="1"/>
  <c r="AG763" i="1"/>
  <c r="AH763" i="1"/>
  <c r="AI763" i="1"/>
  <c r="AJ763" i="1"/>
  <c r="AQ763" i="1"/>
  <c r="AR763" i="1"/>
  <c r="AS763" i="1"/>
  <c r="L764" i="1"/>
  <c r="M764" i="1"/>
  <c r="N764" i="1"/>
  <c r="O764" i="1"/>
  <c r="P764" i="1"/>
  <c r="Q764" i="1"/>
  <c r="R764" i="1"/>
  <c r="S764" i="1"/>
  <c r="T764" i="1"/>
  <c r="U764" i="1"/>
  <c r="V764" i="1"/>
  <c r="W764" i="1"/>
  <c r="X764" i="1"/>
  <c r="Y764" i="1"/>
  <c r="Z764" i="1"/>
  <c r="AA764" i="1"/>
  <c r="AB764" i="1"/>
  <c r="AC764" i="1"/>
  <c r="AD764" i="1"/>
  <c r="AE764" i="1"/>
  <c r="AF764" i="1"/>
  <c r="AG764" i="1"/>
  <c r="AH764" i="1"/>
  <c r="AI764" i="1"/>
  <c r="AJ764" i="1"/>
  <c r="AQ764" i="1"/>
  <c r="AR764" i="1"/>
  <c r="AS764" i="1"/>
  <c r="L765" i="1"/>
  <c r="M765" i="1"/>
  <c r="N765" i="1"/>
  <c r="O765" i="1"/>
  <c r="P765" i="1"/>
  <c r="Q765" i="1"/>
  <c r="R765" i="1"/>
  <c r="S765" i="1"/>
  <c r="T765" i="1"/>
  <c r="U765" i="1"/>
  <c r="V765" i="1"/>
  <c r="W765" i="1"/>
  <c r="X765" i="1"/>
  <c r="Y765" i="1"/>
  <c r="Z765" i="1"/>
  <c r="AA765" i="1"/>
  <c r="AB765" i="1"/>
  <c r="AC765" i="1"/>
  <c r="AD765" i="1"/>
  <c r="AE765" i="1"/>
  <c r="AF765" i="1"/>
  <c r="AG765" i="1"/>
  <c r="AH765" i="1"/>
  <c r="AI765" i="1"/>
  <c r="AJ765" i="1"/>
  <c r="AQ765" i="1"/>
  <c r="AR765" i="1"/>
  <c r="AS765" i="1"/>
  <c r="L766" i="1"/>
  <c r="M766" i="1"/>
  <c r="N766" i="1"/>
  <c r="O766" i="1"/>
  <c r="P766" i="1"/>
  <c r="Q766" i="1"/>
  <c r="R766" i="1"/>
  <c r="S766" i="1"/>
  <c r="T766" i="1"/>
  <c r="U766" i="1"/>
  <c r="V766" i="1"/>
  <c r="W766" i="1"/>
  <c r="X766" i="1"/>
  <c r="Y766" i="1"/>
  <c r="Z766" i="1"/>
  <c r="AA766" i="1"/>
  <c r="AB766" i="1"/>
  <c r="AC766" i="1"/>
  <c r="AD766" i="1"/>
  <c r="AE766" i="1"/>
  <c r="AF766" i="1"/>
  <c r="AG766" i="1"/>
  <c r="AH766" i="1"/>
  <c r="AI766" i="1"/>
  <c r="AJ766" i="1"/>
  <c r="AQ766" i="1"/>
  <c r="AR766" i="1"/>
  <c r="AS766" i="1"/>
  <c r="L767" i="1"/>
  <c r="M767" i="1"/>
  <c r="N767" i="1"/>
  <c r="O767" i="1"/>
  <c r="P767" i="1"/>
  <c r="Q767" i="1"/>
  <c r="R767" i="1"/>
  <c r="S767" i="1"/>
  <c r="T767" i="1"/>
  <c r="U767" i="1"/>
  <c r="V767" i="1"/>
  <c r="W767" i="1"/>
  <c r="X767" i="1"/>
  <c r="Y767" i="1"/>
  <c r="Z767" i="1"/>
  <c r="AA767" i="1"/>
  <c r="AB767" i="1"/>
  <c r="AC767" i="1"/>
  <c r="AD767" i="1"/>
  <c r="AE767" i="1"/>
  <c r="AF767" i="1"/>
  <c r="AG767" i="1"/>
  <c r="AH767" i="1"/>
  <c r="AI767" i="1"/>
  <c r="AJ767" i="1"/>
  <c r="AQ767" i="1"/>
  <c r="AR767" i="1"/>
  <c r="AS767" i="1"/>
  <c r="L768" i="1"/>
  <c r="M768" i="1"/>
  <c r="N768" i="1"/>
  <c r="O768" i="1"/>
  <c r="P768" i="1"/>
  <c r="Q768" i="1"/>
  <c r="R768" i="1"/>
  <c r="S768" i="1"/>
  <c r="T768" i="1"/>
  <c r="U768" i="1"/>
  <c r="V768" i="1"/>
  <c r="W768" i="1"/>
  <c r="X768" i="1"/>
  <c r="Y768" i="1"/>
  <c r="Z768" i="1"/>
  <c r="AA768" i="1"/>
  <c r="AB768" i="1"/>
  <c r="AC768" i="1"/>
  <c r="AD768" i="1"/>
  <c r="AE768" i="1"/>
  <c r="AF768" i="1"/>
  <c r="AG768" i="1"/>
  <c r="AH768" i="1"/>
  <c r="AI768" i="1"/>
  <c r="AJ768" i="1"/>
  <c r="AQ768" i="1"/>
  <c r="AR768" i="1"/>
  <c r="AS768" i="1"/>
  <c r="L769" i="1"/>
  <c r="M769" i="1"/>
  <c r="N769" i="1"/>
  <c r="O769" i="1"/>
  <c r="P769" i="1"/>
  <c r="Q769" i="1"/>
  <c r="R769" i="1"/>
  <c r="S769" i="1"/>
  <c r="T769" i="1"/>
  <c r="U769" i="1"/>
  <c r="V769" i="1"/>
  <c r="W769" i="1"/>
  <c r="X769" i="1"/>
  <c r="Y769" i="1"/>
  <c r="Z769" i="1"/>
  <c r="AA769" i="1"/>
  <c r="AB769" i="1"/>
  <c r="AC769" i="1"/>
  <c r="AD769" i="1"/>
  <c r="AE769" i="1"/>
  <c r="AF769" i="1"/>
  <c r="AG769" i="1"/>
  <c r="AH769" i="1"/>
  <c r="AI769" i="1"/>
  <c r="AJ769" i="1"/>
  <c r="AQ769" i="1"/>
  <c r="AR769" i="1"/>
  <c r="AS769" i="1"/>
  <c r="L770" i="1"/>
  <c r="M770" i="1"/>
  <c r="N770" i="1"/>
  <c r="O770" i="1"/>
  <c r="P770" i="1"/>
  <c r="Q770" i="1"/>
  <c r="R770" i="1"/>
  <c r="S770" i="1"/>
  <c r="T770" i="1"/>
  <c r="U770" i="1"/>
  <c r="V770" i="1"/>
  <c r="W770" i="1"/>
  <c r="X770" i="1"/>
  <c r="Y770" i="1"/>
  <c r="Z770" i="1"/>
  <c r="AA770" i="1"/>
  <c r="AB770" i="1"/>
  <c r="AC770" i="1"/>
  <c r="AD770" i="1"/>
  <c r="AE770" i="1"/>
  <c r="AF770" i="1"/>
  <c r="AG770" i="1"/>
  <c r="AH770" i="1"/>
  <c r="AI770" i="1"/>
  <c r="AJ770" i="1"/>
  <c r="AQ770" i="1"/>
  <c r="AR770" i="1"/>
  <c r="AS770" i="1"/>
  <c r="L771" i="1"/>
  <c r="M771" i="1"/>
  <c r="N771" i="1"/>
  <c r="O771" i="1"/>
  <c r="P771" i="1"/>
  <c r="Q771" i="1"/>
  <c r="R771" i="1"/>
  <c r="S771" i="1"/>
  <c r="T771" i="1"/>
  <c r="U771" i="1"/>
  <c r="V771" i="1"/>
  <c r="W771" i="1"/>
  <c r="X771" i="1"/>
  <c r="Y771" i="1"/>
  <c r="Z771" i="1"/>
  <c r="AA771" i="1"/>
  <c r="AB771" i="1"/>
  <c r="AC771" i="1"/>
  <c r="AD771" i="1"/>
  <c r="AE771" i="1"/>
  <c r="AF771" i="1"/>
  <c r="AG771" i="1"/>
  <c r="AH771" i="1"/>
  <c r="AI771" i="1"/>
  <c r="AJ771" i="1"/>
  <c r="AQ771" i="1"/>
  <c r="AR771" i="1"/>
  <c r="AS771" i="1"/>
  <c r="L772" i="1"/>
  <c r="M772" i="1"/>
  <c r="N772" i="1"/>
  <c r="O772" i="1"/>
  <c r="P772" i="1"/>
  <c r="Q772" i="1"/>
  <c r="R772" i="1"/>
  <c r="S772" i="1"/>
  <c r="T772" i="1"/>
  <c r="U772" i="1"/>
  <c r="V772" i="1"/>
  <c r="W772" i="1"/>
  <c r="X772" i="1"/>
  <c r="Y772" i="1"/>
  <c r="Z772" i="1"/>
  <c r="AA772" i="1"/>
  <c r="AB772" i="1"/>
  <c r="AC772" i="1"/>
  <c r="AD772" i="1"/>
  <c r="AE772" i="1"/>
  <c r="AF772" i="1"/>
  <c r="AG772" i="1"/>
  <c r="AH772" i="1"/>
  <c r="AI772" i="1"/>
  <c r="AJ772" i="1"/>
  <c r="AQ772" i="1"/>
  <c r="AR772" i="1"/>
  <c r="AS772" i="1"/>
  <c r="L773" i="1"/>
  <c r="M773" i="1"/>
  <c r="N773" i="1"/>
  <c r="O773" i="1"/>
  <c r="P773" i="1"/>
  <c r="Q773" i="1"/>
  <c r="R773" i="1"/>
  <c r="S773" i="1"/>
  <c r="T773" i="1"/>
  <c r="U773" i="1"/>
  <c r="V773" i="1"/>
  <c r="W773" i="1"/>
  <c r="X773" i="1"/>
  <c r="Y773" i="1"/>
  <c r="Z773" i="1"/>
  <c r="AA773" i="1"/>
  <c r="AB773" i="1"/>
  <c r="AC773" i="1"/>
  <c r="AD773" i="1"/>
  <c r="AE773" i="1"/>
  <c r="AF773" i="1"/>
  <c r="AG773" i="1"/>
  <c r="AH773" i="1"/>
  <c r="AI773" i="1"/>
  <c r="AJ773" i="1"/>
  <c r="AQ773" i="1"/>
  <c r="AR773" i="1"/>
  <c r="AS773" i="1"/>
  <c r="L774" i="1"/>
  <c r="M774" i="1"/>
  <c r="N774" i="1"/>
  <c r="O774" i="1"/>
  <c r="P774" i="1"/>
  <c r="Q774" i="1"/>
  <c r="R774" i="1"/>
  <c r="S774" i="1"/>
  <c r="T774" i="1"/>
  <c r="U774" i="1"/>
  <c r="V774" i="1"/>
  <c r="W774" i="1"/>
  <c r="X774" i="1"/>
  <c r="Y774" i="1"/>
  <c r="Z774" i="1"/>
  <c r="AA774" i="1"/>
  <c r="AB774" i="1"/>
  <c r="AC774" i="1"/>
  <c r="AD774" i="1"/>
  <c r="AE774" i="1"/>
  <c r="AF774" i="1"/>
  <c r="AG774" i="1"/>
  <c r="AH774" i="1"/>
  <c r="AI774" i="1"/>
  <c r="AJ774" i="1"/>
  <c r="AQ774" i="1"/>
  <c r="AR774" i="1"/>
  <c r="AS774" i="1"/>
  <c r="L775" i="1"/>
  <c r="M775" i="1"/>
  <c r="N775" i="1"/>
  <c r="O775" i="1"/>
  <c r="P775" i="1"/>
  <c r="Q775" i="1"/>
  <c r="R775" i="1"/>
  <c r="S775" i="1"/>
  <c r="T775" i="1"/>
  <c r="U775" i="1"/>
  <c r="V775" i="1"/>
  <c r="W775" i="1"/>
  <c r="X775" i="1"/>
  <c r="Y775" i="1"/>
  <c r="Z775" i="1"/>
  <c r="AA775" i="1"/>
  <c r="AB775" i="1"/>
  <c r="AC775" i="1"/>
  <c r="AD775" i="1"/>
  <c r="AE775" i="1"/>
  <c r="AF775" i="1"/>
  <c r="AG775" i="1"/>
  <c r="AH775" i="1"/>
  <c r="AI775" i="1"/>
  <c r="AJ775" i="1"/>
  <c r="AQ775" i="1"/>
  <c r="AR775" i="1"/>
  <c r="AS775" i="1"/>
  <c r="L776" i="1"/>
  <c r="M776" i="1"/>
  <c r="N776" i="1"/>
  <c r="O776" i="1"/>
  <c r="P776" i="1"/>
  <c r="Q776" i="1"/>
  <c r="R776" i="1"/>
  <c r="S776" i="1"/>
  <c r="T776" i="1"/>
  <c r="U776" i="1"/>
  <c r="V776" i="1"/>
  <c r="W776" i="1"/>
  <c r="X776" i="1"/>
  <c r="Y776" i="1"/>
  <c r="Z776" i="1"/>
  <c r="AA776" i="1"/>
  <c r="AB776" i="1"/>
  <c r="AC776" i="1"/>
  <c r="AD776" i="1"/>
  <c r="AE776" i="1"/>
  <c r="AF776" i="1"/>
  <c r="AG776" i="1"/>
  <c r="AH776" i="1"/>
  <c r="AI776" i="1"/>
  <c r="AJ776" i="1"/>
  <c r="AQ776" i="1"/>
  <c r="AR776" i="1"/>
  <c r="AS776" i="1"/>
  <c r="L777" i="1"/>
  <c r="M777" i="1"/>
  <c r="N777" i="1"/>
  <c r="O777" i="1"/>
  <c r="P777" i="1"/>
  <c r="Q777" i="1"/>
  <c r="R777" i="1"/>
  <c r="S777" i="1"/>
  <c r="T777" i="1"/>
  <c r="U777" i="1"/>
  <c r="V777" i="1"/>
  <c r="W777" i="1"/>
  <c r="X777" i="1"/>
  <c r="Y777" i="1"/>
  <c r="Z777" i="1"/>
  <c r="AA777" i="1"/>
  <c r="AB777" i="1"/>
  <c r="AC777" i="1"/>
  <c r="AD777" i="1"/>
  <c r="AE777" i="1"/>
  <c r="AF777" i="1"/>
  <c r="AG777" i="1"/>
  <c r="AH777" i="1"/>
  <c r="AI777" i="1"/>
  <c r="AJ777" i="1"/>
  <c r="AQ777" i="1"/>
  <c r="AR777" i="1"/>
  <c r="AS777" i="1"/>
  <c r="L778" i="1"/>
  <c r="M778" i="1"/>
  <c r="N778" i="1"/>
  <c r="O778" i="1"/>
  <c r="P778" i="1"/>
  <c r="Q778" i="1"/>
  <c r="R778" i="1"/>
  <c r="S778" i="1"/>
  <c r="T778" i="1"/>
  <c r="U778" i="1"/>
  <c r="V778" i="1"/>
  <c r="W778" i="1"/>
  <c r="X778" i="1"/>
  <c r="Y778" i="1"/>
  <c r="Z778" i="1"/>
  <c r="AA778" i="1"/>
  <c r="AB778" i="1"/>
  <c r="AC778" i="1"/>
  <c r="AD778" i="1"/>
  <c r="AE778" i="1"/>
  <c r="AF778" i="1"/>
  <c r="AG778" i="1"/>
  <c r="AH778" i="1"/>
  <c r="AI778" i="1"/>
  <c r="AJ778" i="1"/>
  <c r="AQ778" i="1"/>
  <c r="AR778" i="1"/>
  <c r="AS778" i="1"/>
  <c r="L779" i="1"/>
  <c r="M779" i="1"/>
  <c r="N779" i="1"/>
  <c r="O779" i="1"/>
  <c r="P779" i="1"/>
  <c r="Q779" i="1"/>
  <c r="R779" i="1"/>
  <c r="S779" i="1"/>
  <c r="T779" i="1"/>
  <c r="U779" i="1"/>
  <c r="V779" i="1"/>
  <c r="W779" i="1"/>
  <c r="X779" i="1"/>
  <c r="Y779" i="1"/>
  <c r="Z779" i="1"/>
  <c r="AA779" i="1"/>
  <c r="AB779" i="1"/>
  <c r="AC779" i="1"/>
  <c r="AD779" i="1"/>
  <c r="AE779" i="1"/>
  <c r="AF779" i="1"/>
  <c r="AG779" i="1"/>
  <c r="AH779" i="1"/>
  <c r="AI779" i="1"/>
  <c r="AJ779" i="1"/>
  <c r="AQ779" i="1"/>
  <c r="AR779" i="1"/>
  <c r="AS779" i="1"/>
  <c r="L780" i="1"/>
  <c r="M780" i="1"/>
  <c r="N780" i="1"/>
  <c r="O780" i="1"/>
  <c r="P780" i="1"/>
  <c r="Q780" i="1"/>
  <c r="R780" i="1"/>
  <c r="S780" i="1"/>
  <c r="T780" i="1"/>
  <c r="U780" i="1"/>
  <c r="V780" i="1"/>
  <c r="W780" i="1"/>
  <c r="X780" i="1"/>
  <c r="Y780" i="1"/>
  <c r="Z780" i="1"/>
  <c r="AA780" i="1"/>
  <c r="AB780" i="1"/>
  <c r="AC780" i="1"/>
  <c r="AD780" i="1"/>
  <c r="AE780" i="1"/>
  <c r="AF780" i="1"/>
  <c r="AG780" i="1"/>
  <c r="AH780" i="1"/>
  <c r="AI780" i="1"/>
  <c r="AJ780" i="1"/>
  <c r="AQ780" i="1"/>
  <c r="AR780" i="1"/>
  <c r="AS780" i="1"/>
  <c r="L781" i="1"/>
  <c r="M781" i="1"/>
  <c r="N781" i="1"/>
  <c r="O781" i="1"/>
  <c r="P781" i="1"/>
  <c r="Q781" i="1"/>
  <c r="R781" i="1"/>
  <c r="S781" i="1"/>
  <c r="T781" i="1"/>
  <c r="U781" i="1"/>
  <c r="V781" i="1"/>
  <c r="W781" i="1"/>
  <c r="X781" i="1"/>
  <c r="Y781" i="1"/>
  <c r="Z781" i="1"/>
  <c r="AA781" i="1"/>
  <c r="AB781" i="1"/>
  <c r="AC781" i="1"/>
  <c r="AD781" i="1"/>
  <c r="AE781" i="1"/>
  <c r="AF781" i="1"/>
  <c r="AG781" i="1"/>
  <c r="AH781" i="1"/>
  <c r="AI781" i="1"/>
  <c r="AJ781" i="1"/>
  <c r="AQ781" i="1"/>
  <c r="AR781" i="1"/>
  <c r="AS781" i="1"/>
  <c r="L782" i="1"/>
  <c r="M782" i="1"/>
  <c r="N782" i="1"/>
  <c r="O782" i="1"/>
  <c r="P782" i="1"/>
  <c r="Q782" i="1"/>
  <c r="R782" i="1"/>
  <c r="S782" i="1"/>
  <c r="T782" i="1"/>
  <c r="U782" i="1"/>
  <c r="V782" i="1"/>
  <c r="W782" i="1"/>
  <c r="X782" i="1"/>
  <c r="Y782" i="1"/>
  <c r="Z782" i="1"/>
  <c r="AA782" i="1"/>
  <c r="AB782" i="1"/>
  <c r="AC782" i="1"/>
  <c r="AD782" i="1"/>
  <c r="AE782" i="1"/>
  <c r="AF782" i="1"/>
  <c r="AG782" i="1"/>
  <c r="AH782" i="1"/>
  <c r="AI782" i="1"/>
  <c r="AJ782" i="1"/>
  <c r="AQ782" i="1"/>
  <c r="AR782" i="1"/>
  <c r="AS782" i="1"/>
  <c r="L783" i="1"/>
  <c r="M783" i="1"/>
  <c r="N783" i="1"/>
  <c r="O783" i="1"/>
  <c r="P783" i="1"/>
  <c r="Q783" i="1"/>
  <c r="R783" i="1"/>
  <c r="S783" i="1"/>
  <c r="T783" i="1"/>
  <c r="U783" i="1"/>
  <c r="V783" i="1"/>
  <c r="W783" i="1"/>
  <c r="X783" i="1"/>
  <c r="Y783" i="1"/>
  <c r="Z783" i="1"/>
  <c r="AA783" i="1"/>
  <c r="AB783" i="1"/>
  <c r="AC783" i="1"/>
  <c r="AD783" i="1"/>
  <c r="AE783" i="1"/>
  <c r="AF783" i="1"/>
  <c r="AG783" i="1"/>
  <c r="AH783" i="1"/>
  <c r="AI783" i="1"/>
  <c r="AJ783" i="1"/>
  <c r="AQ783" i="1"/>
  <c r="AR783" i="1"/>
  <c r="AS783" i="1"/>
  <c r="L784" i="1"/>
  <c r="M784" i="1"/>
  <c r="N784" i="1"/>
  <c r="O784" i="1"/>
  <c r="P784" i="1"/>
  <c r="Q784" i="1"/>
  <c r="R784" i="1"/>
  <c r="S784" i="1"/>
  <c r="T784" i="1"/>
  <c r="U784" i="1"/>
  <c r="V784" i="1"/>
  <c r="W784" i="1"/>
  <c r="X784" i="1"/>
  <c r="Y784" i="1"/>
  <c r="Z784" i="1"/>
  <c r="AA784" i="1"/>
  <c r="AB784" i="1"/>
  <c r="AC784" i="1"/>
  <c r="AD784" i="1"/>
  <c r="AE784" i="1"/>
  <c r="AF784" i="1"/>
  <c r="AG784" i="1"/>
  <c r="AH784" i="1"/>
  <c r="AI784" i="1"/>
  <c r="AJ784" i="1"/>
  <c r="AQ784" i="1"/>
  <c r="AR784" i="1"/>
  <c r="AS784" i="1"/>
  <c r="L785" i="1"/>
  <c r="M785" i="1"/>
  <c r="N785" i="1"/>
  <c r="O785" i="1"/>
  <c r="P785" i="1"/>
  <c r="Q785" i="1"/>
  <c r="R785" i="1"/>
  <c r="S785" i="1"/>
  <c r="T785" i="1"/>
  <c r="U785" i="1"/>
  <c r="V785" i="1"/>
  <c r="W785" i="1"/>
  <c r="X785" i="1"/>
  <c r="Y785" i="1"/>
  <c r="Z785" i="1"/>
  <c r="AA785" i="1"/>
  <c r="AB785" i="1"/>
  <c r="AC785" i="1"/>
  <c r="AD785" i="1"/>
  <c r="AE785" i="1"/>
  <c r="AF785" i="1"/>
  <c r="AG785" i="1"/>
  <c r="AH785" i="1"/>
  <c r="AI785" i="1"/>
  <c r="AJ785" i="1"/>
  <c r="AQ785" i="1"/>
  <c r="AR785" i="1"/>
  <c r="AS785" i="1"/>
  <c r="L786" i="1"/>
  <c r="M786" i="1"/>
  <c r="N786" i="1"/>
  <c r="O786" i="1"/>
  <c r="P786" i="1"/>
  <c r="Q786" i="1"/>
  <c r="R786" i="1"/>
  <c r="S786" i="1"/>
  <c r="T786" i="1"/>
  <c r="U786" i="1"/>
  <c r="V786" i="1"/>
  <c r="W786" i="1"/>
  <c r="X786" i="1"/>
  <c r="Y786" i="1"/>
  <c r="Z786" i="1"/>
  <c r="AA786" i="1"/>
  <c r="AB786" i="1"/>
  <c r="AC786" i="1"/>
  <c r="AD786" i="1"/>
  <c r="AE786" i="1"/>
  <c r="AF786" i="1"/>
  <c r="AG786" i="1"/>
  <c r="AH786" i="1"/>
  <c r="AI786" i="1"/>
  <c r="AJ786" i="1"/>
  <c r="AQ786" i="1"/>
  <c r="AR786" i="1"/>
  <c r="AS786" i="1"/>
  <c r="L787" i="1"/>
  <c r="M787" i="1"/>
  <c r="N787" i="1"/>
  <c r="O787" i="1"/>
  <c r="P787" i="1"/>
  <c r="Q787" i="1"/>
  <c r="R787" i="1"/>
  <c r="S787" i="1"/>
  <c r="T787" i="1"/>
  <c r="U787" i="1"/>
  <c r="V787" i="1"/>
  <c r="W787" i="1"/>
  <c r="X787" i="1"/>
  <c r="Y787" i="1"/>
  <c r="Z787" i="1"/>
  <c r="AA787" i="1"/>
  <c r="AB787" i="1"/>
  <c r="AC787" i="1"/>
  <c r="AD787" i="1"/>
  <c r="AE787" i="1"/>
  <c r="AF787" i="1"/>
  <c r="AG787" i="1"/>
  <c r="AH787" i="1"/>
  <c r="AI787" i="1"/>
  <c r="AJ787" i="1"/>
  <c r="AQ787" i="1"/>
  <c r="AR787" i="1"/>
  <c r="AS787" i="1"/>
  <c r="L788" i="1"/>
  <c r="M788" i="1"/>
  <c r="N788" i="1"/>
  <c r="O788" i="1"/>
  <c r="P788" i="1"/>
  <c r="Q788" i="1"/>
  <c r="R788" i="1"/>
  <c r="S788" i="1"/>
  <c r="T788" i="1"/>
  <c r="U788" i="1"/>
  <c r="V788" i="1"/>
  <c r="W788" i="1"/>
  <c r="X788" i="1"/>
  <c r="Y788" i="1"/>
  <c r="Z788" i="1"/>
  <c r="AA788" i="1"/>
  <c r="AB788" i="1"/>
  <c r="AC788" i="1"/>
  <c r="AD788" i="1"/>
  <c r="AE788" i="1"/>
  <c r="AF788" i="1"/>
  <c r="AG788" i="1"/>
  <c r="AH788" i="1"/>
  <c r="AI788" i="1"/>
  <c r="AJ788" i="1"/>
  <c r="AQ788" i="1"/>
  <c r="AR788" i="1"/>
  <c r="AS788" i="1"/>
  <c r="L789" i="1"/>
  <c r="M789" i="1"/>
  <c r="N789" i="1"/>
  <c r="O789" i="1"/>
  <c r="P789" i="1"/>
  <c r="Q789" i="1"/>
  <c r="R789" i="1"/>
  <c r="S789" i="1"/>
  <c r="T789" i="1"/>
  <c r="U789" i="1"/>
  <c r="V789" i="1"/>
  <c r="W789" i="1"/>
  <c r="X789" i="1"/>
  <c r="Y789" i="1"/>
  <c r="Z789" i="1"/>
  <c r="AA789" i="1"/>
  <c r="AB789" i="1"/>
  <c r="AC789" i="1"/>
  <c r="AD789" i="1"/>
  <c r="AE789" i="1"/>
  <c r="AF789" i="1"/>
  <c r="AG789" i="1"/>
  <c r="AH789" i="1"/>
  <c r="AI789" i="1"/>
  <c r="AJ789" i="1"/>
  <c r="AQ789" i="1"/>
  <c r="AR789" i="1"/>
  <c r="AS789" i="1"/>
  <c r="L790" i="1"/>
  <c r="M790" i="1"/>
  <c r="N790" i="1"/>
  <c r="O790" i="1"/>
  <c r="P790" i="1"/>
  <c r="Q790" i="1"/>
  <c r="R790" i="1"/>
  <c r="S790" i="1"/>
  <c r="T790" i="1"/>
  <c r="U790" i="1"/>
  <c r="V790" i="1"/>
  <c r="W790" i="1"/>
  <c r="X790" i="1"/>
  <c r="Y790" i="1"/>
  <c r="Z790" i="1"/>
  <c r="AA790" i="1"/>
  <c r="AB790" i="1"/>
  <c r="AC790" i="1"/>
  <c r="AD790" i="1"/>
  <c r="AE790" i="1"/>
  <c r="AF790" i="1"/>
  <c r="AG790" i="1"/>
  <c r="AH790" i="1"/>
  <c r="AI790" i="1"/>
  <c r="AJ790" i="1"/>
  <c r="AQ790" i="1"/>
  <c r="AR790" i="1"/>
  <c r="AS790" i="1"/>
  <c r="L791" i="1"/>
  <c r="M791" i="1"/>
  <c r="N791" i="1"/>
  <c r="O791" i="1"/>
  <c r="P791" i="1"/>
  <c r="Q791" i="1"/>
  <c r="R791" i="1"/>
  <c r="S791" i="1"/>
  <c r="T791" i="1"/>
  <c r="U791" i="1"/>
  <c r="V791" i="1"/>
  <c r="W791" i="1"/>
  <c r="X791" i="1"/>
  <c r="Y791" i="1"/>
  <c r="Z791" i="1"/>
  <c r="AA791" i="1"/>
  <c r="AB791" i="1"/>
  <c r="AC791" i="1"/>
  <c r="AD791" i="1"/>
  <c r="AE791" i="1"/>
  <c r="AF791" i="1"/>
  <c r="AG791" i="1"/>
  <c r="AH791" i="1"/>
  <c r="AI791" i="1"/>
  <c r="AJ791" i="1"/>
  <c r="AQ791" i="1"/>
  <c r="AR791" i="1"/>
  <c r="AS791" i="1"/>
  <c r="L792" i="1"/>
  <c r="M792" i="1"/>
  <c r="N792" i="1"/>
  <c r="O792" i="1"/>
  <c r="P792" i="1"/>
  <c r="Q792" i="1"/>
  <c r="R792" i="1"/>
  <c r="S792" i="1"/>
  <c r="T792" i="1"/>
  <c r="U792" i="1"/>
  <c r="V792" i="1"/>
  <c r="W792" i="1"/>
  <c r="X792" i="1"/>
  <c r="Y792" i="1"/>
  <c r="Z792" i="1"/>
  <c r="AA792" i="1"/>
  <c r="AB792" i="1"/>
  <c r="AC792" i="1"/>
  <c r="AD792" i="1"/>
  <c r="AE792" i="1"/>
  <c r="AF792" i="1"/>
  <c r="AG792" i="1"/>
  <c r="AH792" i="1"/>
  <c r="AI792" i="1"/>
  <c r="AJ792" i="1"/>
  <c r="AQ792" i="1"/>
  <c r="AR792" i="1"/>
  <c r="AS792" i="1"/>
  <c r="L793" i="1"/>
  <c r="M793" i="1"/>
  <c r="N793" i="1"/>
  <c r="O793" i="1"/>
  <c r="P793" i="1"/>
  <c r="Q793" i="1"/>
  <c r="R793" i="1"/>
  <c r="S793" i="1"/>
  <c r="T793" i="1"/>
  <c r="U793" i="1"/>
  <c r="V793" i="1"/>
  <c r="W793" i="1"/>
  <c r="X793" i="1"/>
  <c r="Y793" i="1"/>
  <c r="Z793" i="1"/>
  <c r="AA793" i="1"/>
  <c r="AB793" i="1"/>
  <c r="AC793" i="1"/>
  <c r="AD793" i="1"/>
  <c r="AE793" i="1"/>
  <c r="AF793" i="1"/>
  <c r="AG793" i="1"/>
  <c r="AH793" i="1"/>
  <c r="AI793" i="1"/>
  <c r="AJ793" i="1"/>
  <c r="AQ793" i="1"/>
  <c r="AR793" i="1"/>
  <c r="AS793" i="1"/>
  <c r="L794" i="1"/>
  <c r="M794" i="1"/>
  <c r="N794" i="1"/>
  <c r="O794" i="1"/>
  <c r="P794" i="1"/>
  <c r="Q794" i="1"/>
  <c r="R794" i="1"/>
  <c r="S794" i="1"/>
  <c r="T794" i="1"/>
  <c r="U794" i="1"/>
  <c r="V794" i="1"/>
  <c r="W794" i="1"/>
  <c r="X794" i="1"/>
  <c r="Y794" i="1"/>
  <c r="Z794" i="1"/>
  <c r="AA794" i="1"/>
  <c r="AB794" i="1"/>
  <c r="AC794" i="1"/>
  <c r="AD794" i="1"/>
  <c r="AE794" i="1"/>
  <c r="AF794" i="1"/>
  <c r="AG794" i="1"/>
  <c r="AH794" i="1"/>
  <c r="AI794" i="1"/>
  <c r="AJ794" i="1"/>
  <c r="AQ794" i="1"/>
  <c r="AR794" i="1"/>
  <c r="AS794" i="1"/>
  <c r="L795" i="1"/>
  <c r="M795" i="1"/>
  <c r="N795" i="1"/>
  <c r="O795" i="1"/>
  <c r="P795" i="1"/>
  <c r="Q795" i="1"/>
  <c r="R795" i="1"/>
  <c r="S795" i="1"/>
  <c r="T795" i="1"/>
  <c r="U795" i="1"/>
  <c r="V795" i="1"/>
  <c r="W795" i="1"/>
  <c r="X795" i="1"/>
  <c r="Y795" i="1"/>
  <c r="Z795" i="1"/>
  <c r="AA795" i="1"/>
  <c r="AB795" i="1"/>
  <c r="AC795" i="1"/>
  <c r="AD795" i="1"/>
  <c r="AE795" i="1"/>
  <c r="AF795" i="1"/>
  <c r="AG795" i="1"/>
  <c r="AH795" i="1"/>
  <c r="AI795" i="1"/>
  <c r="AJ795" i="1"/>
  <c r="AQ795" i="1"/>
  <c r="AR795" i="1"/>
  <c r="AS795" i="1"/>
  <c r="L796" i="1"/>
  <c r="M796" i="1"/>
  <c r="N796" i="1"/>
  <c r="O796" i="1"/>
  <c r="P796" i="1"/>
  <c r="Q796" i="1"/>
  <c r="R796" i="1"/>
  <c r="S796" i="1"/>
  <c r="T796" i="1"/>
  <c r="U796" i="1"/>
  <c r="V796" i="1"/>
  <c r="W796" i="1"/>
  <c r="X796" i="1"/>
  <c r="Y796" i="1"/>
  <c r="Z796" i="1"/>
  <c r="AA796" i="1"/>
  <c r="AB796" i="1"/>
  <c r="AC796" i="1"/>
  <c r="AD796" i="1"/>
  <c r="AE796" i="1"/>
  <c r="AF796" i="1"/>
  <c r="AG796" i="1"/>
  <c r="AH796" i="1"/>
  <c r="AI796" i="1"/>
  <c r="AJ796" i="1"/>
  <c r="AQ796" i="1"/>
  <c r="AR796" i="1"/>
  <c r="AS796" i="1"/>
  <c r="L797" i="1"/>
  <c r="M797" i="1"/>
  <c r="N797" i="1"/>
  <c r="O797" i="1"/>
  <c r="P797" i="1"/>
  <c r="Q797" i="1"/>
  <c r="R797" i="1"/>
  <c r="S797" i="1"/>
  <c r="T797" i="1"/>
  <c r="U797" i="1"/>
  <c r="V797" i="1"/>
  <c r="W797" i="1"/>
  <c r="X797" i="1"/>
  <c r="Y797" i="1"/>
  <c r="Z797" i="1"/>
  <c r="AA797" i="1"/>
  <c r="AB797" i="1"/>
  <c r="AC797" i="1"/>
  <c r="AD797" i="1"/>
  <c r="AE797" i="1"/>
  <c r="AF797" i="1"/>
  <c r="AG797" i="1"/>
  <c r="AH797" i="1"/>
  <c r="AI797" i="1"/>
  <c r="AJ797" i="1"/>
  <c r="AQ797" i="1"/>
  <c r="AR797" i="1"/>
  <c r="AS797" i="1"/>
  <c r="L798" i="1"/>
  <c r="M798" i="1"/>
  <c r="N798" i="1"/>
  <c r="O798" i="1"/>
  <c r="P798" i="1"/>
  <c r="Q798" i="1"/>
  <c r="R798" i="1"/>
  <c r="S798" i="1"/>
  <c r="T798" i="1"/>
  <c r="U798" i="1"/>
  <c r="V798" i="1"/>
  <c r="W798" i="1"/>
  <c r="X798" i="1"/>
  <c r="Y798" i="1"/>
  <c r="Z798" i="1"/>
  <c r="AA798" i="1"/>
  <c r="AB798" i="1"/>
  <c r="AC798" i="1"/>
  <c r="AD798" i="1"/>
  <c r="AE798" i="1"/>
  <c r="AF798" i="1"/>
  <c r="AG798" i="1"/>
  <c r="AH798" i="1"/>
  <c r="AI798" i="1"/>
  <c r="AJ798" i="1"/>
  <c r="AQ798" i="1"/>
  <c r="AR798" i="1"/>
  <c r="AS798" i="1"/>
  <c r="L799" i="1"/>
  <c r="M799" i="1"/>
  <c r="N799" i="1"/>
  <c r="O799" i="1"/>
  <c r="P799" i="1"/>
  <c r="Q799" i="1"/>
  <c r="R799" i="1"/>
  <c r="S799" i="1"/>
  <c r="T799" i="1"/>
  <c r="U799" i="1"/>
  <c r="V799" i="1"/>
  <c r="W799" i="1"/>
  <c r="X799" i="1"/>
  <c r="Y799" i="1"/>
  <c r="Z799" i="1"/>
  <c r="AA799" i="1"/>
  <c r="AB799" i="1"/>
  <c r="AC799" i="1"/>
  <c r="AD799" i="1"/>
  <c r="AE799" i="1"/>
  <c r="AF799" i="1"/>
  <c r="AG799" i="1"/>
  <c r="AH799" i="1"/>
  <c r="AI799" i="1"/>
  <c r="AJ799" i="1"/>
  <c r="AQ799" i="1"/>
  <c r="AR799" i="1"/>
  <c r="AS799" i="1"/>
  <c r="L800" i="1"/>
  <c r="M800" i="1"/>
  <c r="N800" i="1"/>
  <c r="O800" i="1"/>
  <c r="P800" i="1"/>
  <c r="Q800" i="1"/>
  <c r="R800" i="1"/>
  <c r="S800" i="1"/>
  <c r="T800" i="1"/>
  <c r="U800" i="1"/>
  <c r="V800" i="1"/>
  <c r="W800" i="1"/>
  <c r="X800" i="1"/>
  <c r="Y800" i="1"/>
  <c r="Z800" i="1"/>
  <c r="AA800" i="1"/>
  <c r="AB800" i="1"/>
  <c r="AC800" i="1"/>
  <c r="AD800" i="1"/>
  <c r="AE800" i="1"/>
  <c r="AF800" i="1"/>
  <c r="AG800" i="1"/>
  <c r="AH800" i="1"/>
  <c r="AI800" i="1"/>
  <c r="AJ800" i="1"/>
  <c r="AQ800" i="1"/>
  <c r="AR800" i="1"/>
  <c r="AS800" i="1"/>
  <c r="L801" i="1"/>
  <c r="M801" i="1"/>
  <c r="N801" i="1"/>
  <c r="O801" i="1"/>
  <c r="P801" i="1"/>
  <c r="Q801" i="1"/>
  <c r="R801" i="1"/>
  <c r="S801" i="1"/>
  <c r="T801" i="1"/>
  <c r="U801" i="1"/>
  <c r="V801" i="1"/>
  <c r="W801" i="1"/>
  <c r="X801" i="1"/>
  <c r="Y801" i="1"/>
  <c r="Z801" i="1"/>
  <c r="AA801" i="1"/>
  <c r="AB801" i="1"/>
  <c r="AC801" i="1"/>
  <c r="AD801" i="1"/>
  <c r="AE801" i="1"/>
  <c r="AF801" i="1"/>
  <c r="AG801" i="1"/>
  <c r="AH801" i="1"/>
  <c r="AI801" i="1"/>
  <c r="AJ801" i="1"/>
  <c r="AQ801" i="1"/>
  <c r="AR801" i="1"/>
  <c r="AS801" i="1"/>
  <c r="L802" i="1"/>
  <c r="M802" i="1"/>
  <c r="N802" i="1"/>
  <c r="O802" i="1"/>
  <c r="P802" i="1"/>
  <c r="Q802" i="1"/>
  <c r="R802" i="1"/>
  <c r="S802" i="1"/>
  <c r="T802" i="1"/>
  <c r="U802" i="1"/>
  <c r="V802" i="1"/>
  <c r="W802" i="1"/>
  <c r="X802" i="1"/>
  <c r="Y802" i="1"/>
  <c r="Z802" i="1"/>
  <c r="AA802" i="1"/>
  <c r="AB802" i="1"/>
  <c r="AC802" i="1"/>
  <c r="AD802" i="1"/>
  <c r="AE802" i="1"/>
  <c r="AF802" i="1"/>
  <c r="AG802" i="1"/>
  <c r="AH802" i="1"/>
  <c r="AI802" i="1"/>
  <c r="AJ802" i="1"/>
  <c r="AQ802" i="1"/>
  <c r="AR802" i="1"/>
  <c r="AS802" i="1"/>
  <c r="L803" i="1"/>
  <c r="M803" i="1"/>
  <c r="N803" i="1"/>
  <c r="O803" i="1"/>
  <c r="P803" i="1"/>
  <c r="Q803" i="1"/>
  <c r="R803" i="1"/>
  <c r="S803" i="1"/>
  <c r="T803" i="1"/>
  <c r="U803" i="1"/>
  <c r="V803" i="1"/>
  <c r="W803" i="1"/>
  <c r="X803" i="1"/>
  <c r="Y803" i="1"/>
  <c r="Z803" i="1"/>
  <c r="AA803" i="1"/>
  <c r="AB803" i="1"/>
  <c r="AC803" i="1"/>
  <c r="AD803" i="1"/>
  <c r="AE803" i="1"/>
  <c r="AF803" i="1"/>
  <c r="AG803" i="1"/>
  <c r="AH803" i="1"/>
  <c r="AI803" i="1"/>
  <c r="AJ803" i="1"/>
  <c r="AQ803" i="1"/>
  <c r="AR803" i="1"/>
  <c r="AS803" i="1"/>
  <c r="L804" i="1"/>
  <c r="M804" i="1"/>
  <c r="N804" i="1"/>
  <c r="O804" i="1"/>
  <c r="P804" i="1"/>
  <c r="Q804" i="1"/>
  <c r="R804" i="1"/>
  <c r="S804" i="1"/>
  <c r="T804" i="1"/>
  <c r="U804" i="1"/>
  <c r="V804" i="1"/>
  <c r="W804" i="1"/>
  <c r="X804" i="1"/>
  <c r="Y804" i="1"/>
  <c r="Z804" i="1"/>
  <c r="AA804" i="1"/>
  <c r="AB804" i="1"/>
  <c r="AC804" i="1"/>
  <c r="AD804" i="1"/>
  <c r="AE804" i="1"/>
  <c r="AF804" i="1"/>
  <c r="AG804" i="1"/>
  <c r="AH804" i="1"/>
  <c r="AI804" i="1"/>
  <c r="AJ804" i="1"/>
  <c r="AQ804" i="1"/>
  <c r="AR804" i="1"/>
  <c r="AS804" i="1"/>
  <c r="L805" i="1"/>
  <c r="M805" i="1"/>
  <c r="N805" i="1"/>
  <c r="O805" i="1"/>
  <c r="P805" i="1"/>
  <c r="Q805" i="1"/>
  <c r="R805" i="1"/>
  <c r="S805" i="1"/>
  <c r="T805" i="1"/>
  <c r="U805" i="1"/>
  <c r="V805" i="1"/>
  <c r="W805" i="1"/>
  <c r="X805" i="1"/>
  <c r="Y805" i="1"/>
  <c r="Z805" i="1"/>
  <c r="AA805" i="1"/>
  <c r="AB805" i="1"/>
  <c r="AC805" i="1"/>
  <c r="AD805" i="1"/>
  <c r="AE805" i="1"/>
  <c r="AF805" i="1"/>
  <c r="AG805" i="1"/>
  <c r="AH805" i="1"/>
  <c r="AI805" i="1"/>
  <c r="AJ805" i="1"/>
  <c r="AQ805" i="1"/>
  <c r="AR805" i="1"/>
  <c r="AS805" i="1"/>
  <c r="L806" i="1"/>
  <c r="M806" i="1"/>
  <c r="N806" i="1"/>
  <c r="O806" i="1"/>
  <c r="P806" i="1"/>
  <c r="Q806" i="1"/>
  <c r="R806" i="1"/>
  <c r="S806" i="1"/>
  <c r="T806" i="1"/>
  <c r="U806" i="1"/>
  <c r="V806" i="1"/>
  <c r="W806" i="1"/>
  <c r="X806" i="1"/>
  <c r="Y806" i="1"/>
  <c r="Z806" i="1"/>
  <c r="AA806" i="1"/>
  <c r="AB806" i="1"/>
  <c r="AC806" i="1"/>
  <c r="AD806" i="1"/>
  <c r="AE806" i="1"/>
  <c r="AF806" i="1"/>
  <c r="AG806" i="1"/>
  <c r="AH806" i="1"/>
  <c r="AI806" i="1"/>
  <c r="AJ806" i="1"/>
  <c r="AQ806" i="1"/>
  <c r="AR806" i="1"/>
  <c r="AS806" i="1"/>
  <c r="L807" i="1"/>
  <c r="M807" i="1"/>
  <c r="N807" i="1"/>
  <c r="O807" i="1"/>
  <c r="P807" i="1"/>
  <c r="Q807" i="1"/>
  <c r="R807" i="1"/>
  <c r="S807" i="1"/>
  <c r="T807" i="1"/>
  <c r="U807" i="1"/>
  <c r="V807" i="1"/>
  <c r="W807" i="1"/>
  <c r="X807" i="1"/>
  <c r="Y807" i="1"/>
  <c r="Z807" i="1"/>
  <c r="AA807" i="1"/>
  <c r="AB807" i="1"/>
  <c r="AC807" i="1"/>
  <c r="AD807" i="1"/>
  <c r="AE807" i="1"/>
  <c r="AF807" i="1"/>
  <c r="AG807" i="1"/>
  <c r="AH807" i="1"/>
  <c r="AI807" i="1"/>
  <c r="AJ807" i="1"/>
  <c r="AQ807" i="1"/>
  <c r="AR807" i="1"/>
  <c r="AS807" i="1"/>
  <c r="L808" i="1"/>
  <c r="M808" i="1"/>
  <c r="N808" i="1"/>
  <c r="O808" i="1"/>
  <c r="P808" i="1"/>
  <c r="Q808" i="1"/>
  <c r="R808" i="1"/>
  <c r="S808" i="1"/>
  <c r="T808" i="1"/>
  <c r="U808" i="1"/>
  <c r="V808" i="1"/>
  <c r="W808" i="1"/>
  <c r="X808" i="1"/>
  <c r="Y808" i="1"/>
  <c r="Z808" i="1"/>
  <c r="AA808" i="1"/>
  <c r="AB808" i="1"/>
  <c r="AC808" i="1"/>
  <c r="AD808" i="1"/>
  <c r="AE808" i="1"/>
  <c r="AF808" i="1"/>
  <c r="AG808" i="1"/>
  <c r="AH808" i="1"/>
  <c r="AI808" i="1"/>
  <c r="AJ808" i="1"/>
  <c r="AQ808" i="1"/>
  <c r="AR808" i="1"/>
  <c r="AS808" i="1"/>
  <c r="L809" i="1"/>
  <c r="M809" i="1"/>
  <c r="N809" i="1"/>
  <c r="O809" i="1"/>
  <c r="P809" i="1"/>
  <c r="Q809" i="1"/>
  <c r="R809" i="1"/>
  <c r="S809" i="1"/>
  <c r="T809" i="1"/>
  <c r="U809" i="1"/>
  <c r="V809" i="1"/>
  <c r="W809" i="1"/>
  <c r="X809" i="1"/>
  <c r="Y809" i="1"/>
  <c r="Z809" i="1"/>
  <c r="AA809" i="1"/>
  <c r="AB809" i="1"/>
  <c r="AC809" i="1"/>
  <c r="AD809" i="1"/>
  <c r="AE809" i="1"/>
  <c r="AF809" i="1"/>
  <c r="AG809" i="1"/>
  <c r="AH809" i="1"/>
  <c r="AI809" i="1"/>
  <c r="AJ809" i="1"/>
  <c r="AQ809" i="1"/>
  <c r="AR809" i="1"/>
  <c r="AS809" i="1"/>
  <c r="L810" i="1"/>
  <c r="M810" i="1"/>
  <c r="N810" i="1"/>
  <c r="O810" i="1"/>
  <c r="P810" i="1"/>
  <c r="Q810" i="1"/>
  <c r="R810" i="1"/>
  <c r="S810" i="1"/>
  <c r="T810" i="1"/>
  <c r="U810" i="1"/>
  <c r="V810" i="1"/>
  <c r="W810" i="1"/>
  <c r="X810" i="1"/>
  <c r="Y810" i="1"/>
  <c r="Z810" i="1"/>
  <c r="AA810" i="1"/>
  <c r="AB810" i="1"/>
  <c r="AC810" i="1"/>
  <c r="AD810" i="1"/>
  <c r="AE810" i="1"/>
  <c r="AF810" i="1"/>
  <c r="AG810" i="1"/>
  <c r="AH810" i="1"/>
  <c r="AI810" i="1"/>
  <c r="AJ810" i="1"/>
  <c r="AQ810" i="1"/>
  <c r="AR810" i="1"/>
  <c r="AS810" i="1"/>
  <c r="L811" i="1"/>
  <c r="M811" i="1"/>
  <c r="N811" i="1"/>
  <c r="O811" i="1"/>
  <c r="P811" i="1"/>
  <c r="Q811" i="1"/>
  <c r="R811" i="1"/>
  <c r="S811" i="1"/>
  <c r="T811" i="1"/>
  <c r="U811" i="1"/>
  <c r="V811" i="1"/>
  <c r="W811" i="1"/>
  <c r="X811" i="1"/>
  <c r="Y811" i="1"/>
  <c r="Z811" i="1"/>
  <c r="AA811" i="1"/>
  <c r="AB811" i="1"/>
  <c r="AC811" i="1"/>
  <c r="AD811" i="1"/>
  <c r="AE811" i="1"/>
  <c r="AF811" i="1"/>
  <c r="AG811" i="1"/>
  <c r="AH811" i="1"/>
  <c r="AI811" i="1"/>
  <c r="AJ811" i="1"/>
  <c r="AQ811" i="1"/>
  <c r="AR811" i="1"/>
  <c r="AS811" i="1"/>
  <c r="L812" i="1"/>
  <c r="M812" i="1"/>
  <c r="N812" i="1"/>
  <c r="O812" i="1"/>
  <c r="P812" i="1"/>
  <c r="Q812" i="1"/>
  <c r="R812" i="1"/>
  <c r="S812" i="1"/>
  <c r="T812" i="1"/>
  <c r="U812" i="1"/>
  <c r="V812" i="1"/>
  <c r="W812" i="1"/>
  <c r="X812" i="1"/>
  <c r="Y812" i="1"/>
  <c r="Z812" i="1"/>
  <c r="AA812" i="1"/>
  <c r="AB812" i="1"/>
  <c r="AC812" i="1"/>
  <c r="AD812" i="1"/>
  <c r="AE812" i="1"/>
  <c r="AF812" i="1"/>
  <c r="AG812" i="1"/>
  <c r="AH812" i="1"/>
  <c r="AI812" i="1"/>
  <c r="AJ812" i="1"/>
  <c r="AQ812" i="1"/>
  <c r="AR812" i="1"/>
  <c r="AS812" i="1"/>
  <c r="L813" i="1"/>
  <c r="M813" i="1"/>
  <c r="N813" i="1"/>
  <c r="O813" i="1"/>
  <c r="P813" i="1"/>
  <c r="Q813" i="1"/>
  <c r="R813" i="1"/>
  <c r="S813" i="1"/>
  <c r="T813" i="1"/>
  <c r="U813" i="1"/>
  <c r="V813" i="1"/>
  <c r="W813" i="1"/>
  <c r="X813" i="1"/>
  <c r="Y813" i="1"/>
  <c r="Z813" i="1"/>
  <c r="AA813" i="1"/>
  <c r="AB813" i="1"/>
  <c r="AC813" i="1"/>
  <c r="AD813" i="1"/>
  <c r="AE813" i="1"/>
  <c r="AF813" i="1"/>
  <c r="AG813" i="1"/>
  <c r="AH813" i="1"/>
  <c r="AI813" i="1"/>
  <c r="AJ813" i="1"/>
  <c r="AQ813" i="1"/>
  <c r="AR813" i="1"/>
  <c r="AS813" i="1"/>
  <c r="L814" i="1"/>
  <c r="M814" i="1"/>
  <c r="N814" i="1"/>
  <c r="O814" i="1"/>
  <c r="P814" i="1"/>
  <c r="Q814" i="1"/>
  <c r="R814" i="1"/>
  <c r="S814" i="1"/>
  <c r="T814" i="1"/>
  <c r="U814" i="1"/>
  <c r="V814" i="1"/>
  <c r="W814" i="1"/>
  <c r="X814" i="1"/>
  <c r="Y814" i="1"/>
  <c r="Z814" i="1"/>
  <c r="AA814" i="1"/>
  <c r="AB814" i="1"/>
  <c r="AC814" i="1"/>
  <c r="AD814" i="1"/>
  <c r="AE814" i="1"/>
  <c r="AF814" i="1"/>
  <c r="AG814" i="1"/>
  <c r="AH814" i="1"/>
  <c r="AI814" i="1"/>
  <c r="AJ814" i="1"/>
  <c r="AQ814" i="1"/>
  <c r="AR814" i="1"/>
  <c r="AS814" i="1"/>
  <c r="L815" i="1"/>
  <c r="M815" i="1"/>
  <c r="N815" i="1"/>
  <c r="O815" i="1"/>
  <c r="P815" i="1"/>
  <c r="Q815" i="1"/>
  <c r="R815" i="1"/>
  <c r="S815" i="1"/>
  <c r="T815" i="1"/>
  <c r="U815" i="1"/>
  <c r="V815" i="1"/>
  <c r="W815" i="1"/>
  <c r="X815" i="1"/>
  <c r="Y815" i="1"/>
  <c r="Z815" i="1"/>
  <c r="AA815" i="1"/>
  <c r="AB815" i="1"/>
  <c r="AC815" i="1"/>
  <c r="AD815" i="1"/>
  <c r="AE815" i="1"/>
  <c r="AF815" i="1"/>
  <c r="AG815" i="1"/>
  <c r="AH815" i="1"/>
  <c r="AI815" i="1"/>
  <c r="AJ815" i="1"/>
  <c r="AQ815" i="1"/>
  <c r="AR815" i="1"/>
  <c r="AS815" i="1"/>
  <c r="L816" i="1"/>
  <c r="M816" i="1"/>
  <c r="N816" i="1"/>
  <c r="O816" i="1"/>
  <c r="P816" i="1"/>
  <c r="Q816" i="1"/>
  <c r="R816" i="1"/>
  <c r="S816" i="1"/>
  <c r="T816" i="1"/>
  <c r="U816" i="1"/>
  <c r="V816" i="1"/>
  <c r="W816" i="1"/>
  <c r="X816" i="1"/>
  <c r="Y816" i="1"/>
  <c r="Z816" i="1"/>
  <c r="AA816" i="1"/>
  <c r="AB816" i="1"/>
  <c r="AC816" i="1"/>
  <c r="AD816" i="1"/>
  <c r="AE816" i="1"/>
  <c r="AF816" i="1"/>
  <c r="AG816" i="1"/>
  <c r="AH816" i="1"/>
  <c r="AI816" i="1"/>
  <c r="AJ816" i="1"/>
  <c r="AQ816" i="1"/>
  <c r="AR816" i="1"/>
  <c r="AS816" i="1"/>
  <c r="L817" i="1"/>
  <c r="M817" i="1"/>
  <c r="N817" i="1"/>
  <c r="O817" i="1"/>
  <c r="P817" i="1"/>
  <c r="Q817" i="1"/>
  <c r="R817" i="1"/>
  <c r="S817" i="1"/>
  <c r="T817" i="1"/>
  <c r="U817" i="1"/>
  <c r="V817" i="1"/>
  <c r="W817" i="1"/>
  <c r="X817" i="1"/>
  <c r="Y817" i="1"/>
  <c r="Z817" i="1"/>
  <c r="AA817" i="1"/>
  <c r="AB817" i="1"/>
  <c r="AC817" i="1"/>
  <c r="AD817" i="1"/>
  <c r="AE817" i="1"/>
  <c r="AF817" i="1"/>
  <c r="AG817" i="1"/>
  <c r="AH817" i="1"/>
  <c r="AI817" i="1"/>
  <c r="AJ817" i="1"/>
  <c r="AQ817" i="1"/>
  <c r="AR817" i="1"/>
  <c r="AS817" i="1"/>
  <c r="L818" i="1"/>
  <c r="M818" i="1"/>
  <c r="N818" i="1"/>
  <c r="O818" i="1"/>
  <c r="P818" i="1"/>
  <c r="Q818" i="1"/>
  <c r="R818" i="1"/>
  <c r="S818" i="1"/>
  <c r="T818" i="1"/>
  <c r="U818" i="1"/>
  <c r="V818" i="1"/>
  <c r="W818" i="1"/>
  <c r="X818" i="1"/>
  <c r="Y818" i="1"/>
  <c r="Z818" i="1"/>
  <c r="AA818" i="1"/>
  <c r="AB818" i="1"/>
  <c r="AC818" i="1"/>
  <c r="AD818" i="1"/>
  <c r="AE818" i="1"/>
  <c r="AF818" i="1"/>
  <c r="AG818" i="1"/>
  <c r="AH818" i="1"/>
  <c r="AI818" i="1"/>
  <c r="AJ818" i="1"/>
  <c r="AQ818" i="1"/>
  <c r="AR818" i="1"/>
  <c r="AS818" i="1"/>
  <c r="L819" i="1"/>
  <c r="M819" i="1"/>
  <c r="N819" i="1"/>
  <c r="O819" i="1"/>
  <c r="P819" i="1"/>
  <c r="Q819" i="1"/>
  <c r="R819" i="1"/>
  <c r="S819" i="1"/>
  <c r="T819" i="1"/>
  <c r="U819" i="1"/>
  <c r="V819" i="1"/>
  <c r="W819" i="1"/>
  <c r="X819" i="1"/>
  <c r="Y819" i="1"/>
  <c r="Z819" i="1"/>
  <c r="AA819" i="1"/>
  <c r="AB819" i="1"/>
  <c r="AC819" i="1"/>
  <c r="AD819" i="1"/>
  <c r="AE819" i="1"/>
  <c r="AF819" i="1"/>
  <c r="AG819" i="1"/>
  <c r="AH819" i="1"/>
  <c r="AI819" i="1"/>
  <c r="AJ819" i="1"/>
  <c r="AQ819" i="1"/>
  <c r="AR819" i="1"/>
  <c r="AS819" i="1"/>
  <c r="L820" i="1"/>
  <c r="M820" i="1"/>
  <c r="N820" i="1"/>
  <c r="O820" i="1"/>
  <c r="P820" i="1"/>
  <c r="Q820" i="1"/>
  <c r="R820" i="1"/>
  <c r="S820" i="1"/>
  <c r="T820" i="1"/>
  <c r="U820" i="1"/>
  <c r="V820" i="1"/>
  <c r="W820" i="1"/>
  <c r="X820" i="1"/>
  <c r="Y820" i="1"/>
  <c r="Z820" i="1"/>
  <c r="AA820" i="1"/>
  <c r="AB820" i="1"/>
  <c r="AC820" i="1"/>
  <c r="AD820" i="1"/>
  <c r="AE820" i="1"/>
  <c r="AF820" i="1"/>
  <c r="AG820" i="1"/>
  <c r="AH820" i="1"/>
  <c r="AI820" i="1"/>
  <c r="AJ820" i="1"/>
  <c r="AQ820" i="1"/>
  <c r="AR820" i="1"/>
  <c r="AS820" i="1"/>
  <c r="L821" i="1"/>
  <c r="M821" i="1"/>
  <c r="N821" i="1"/>
  <c r="O821" i="1"/>
  <c r="P821" i="1"/>
  <c r="Q821" i="1"/>
  <c r="R821" i="1"/>
  <c r="S821" i="1"/>
  <c r="T821" i="1"/>
  <c r="U821" i="1"/>
  <c r="V821" i="1"/>
  <c r="W821" i="1"/>
  <c r="X821" i="1"/>
  <c r="Y821" i="1"/>
  <c r="Z821" i="1"/>
  <c r="AA821" i="1"/>
  <c r="AB821" i="1"/>
  <c r="AC821" i="1"/>
  <c r="AD821" i="1"/>
  <c r="AE821" i="1"/>
  <c r="AF821" i="1"/>
  <c r="AG821" i="1"/>
  <c r="AH821" i="1"/>
  <c r="AI821" i="1"/>
  <c r="AJ821" i="1"/>
  <c r="AQ821" i="1"/>
  <c r="AR821" i="1"/>
  <c r="AS821" i="1"/>
  <c r="L822" i="1"/>
  <c r="M822" i="1"/>
  <c r="N822" i="1"/>
  <c r="O822" i="1"/>
  <c r="P822" i="1"/>
  <c r="Q822" i="1"/>
  <c r="R822" i="1"/>
  <c r="S822" i="1"/>
  <c r="T822" i="1"/>
  <c r="U822" i="1"/>
  <c r="V822" i="1"/>
  <c r="W822" i="1"/>
  <c r="X822" i="1"/>
  <c r="Y822" i="1"/>
  <c r="Z822" i="1"/>
  <c r="AA822" i="1"/>
  <c r="AB822" i="1"/>
  <c r="AC822" i="1"/>
  <c r="AD822" i="1"/>
  <c r="AE822" i="1"/>
  <c r="AF822" i="1"/>
  <c r="AG822" i="1"/>
  <c r="AH822" i="1"/>
  <c r="AI822" i="1"/>
  <c r="AJ822" i="1"/>
  <c r="AQ822" i="1"/>
  <c r="AR822" i="1"/>
  <c r="AS822" i="1"/>
  <c r="L823" i="1"/>
  <c r="M823" i="1"/>
  <c r="N823" i="1"/>
  <c r="O823" i="1"/>
  <c r="P823" i="1"/>
  <c r="Q823" i="1"/>
  <c r="R823" i="1"/>
  <c r="S823" i="1"/>
  <c r="T823" i="1"/>
  <c r="U823" i="1"/>
  <c r="V823" i="1"/>
  <c r="W823" i="1"/>
  <c r="X823" i="1"/>
  <c r="Y823" i="1"/>
  <c r="Z823" i="1"/>
  <c r="AA823" i="1"/>
  <c r="AB823" i="1"/>
  <c r="AC823" i="1"/>
  <c r="AD823" i="1"/>
  <c r="AE823" i="1"/>
  <c r="AF823" i="1"/>
  <c r="AG823" i="1"/>
  <c r="AH823" i="1"/>
  <c r="AI823" i="1"/>
  <c r="AJ823" i="1"/>
  <c r="AQ823" i="1"/>
  <c r="AR823" i="1"/>
  <c r="AS823" i="1"/>
  <c r="L824" i="1"/>
  <c r="M824" i="1"/>
  <c r="N824" i="1"/>
  <c r="O824" i="1"/>
  <c r="P824" i="1"/>
  <c r="Q824" i="1"/>
  <c r="R824" i="1"/>
  <c r="S824" i="1"/>
  <c r="T824" i="1"/>
  <c r="U824" i="1"/>
  <c r="V824" i="1"/>
  <c r="W824" i="1"/>
  <c r="X824" i="1"/>
  <c r="Y824" i="1"/>
  <c r="Z824" i="1"/>
  <c r="AA824" i="1"/>
  <c r="AB824" i="1"/>
  <c r="AC824" i="1"/>
  <c r="AD824" i="1"/>
  <c r="AE824" i="1"/>
  <c r="AF824" i="1"/>
  <c r="AG824" i="1"/>
  <c r="AH824" i="1"/>
  <c r="AI824" i="1"/>
  <c r="AJ824" i="1"/>
  <c r="AQ824" i="1"/>
  <c r="AR824" i="1"/>
  <c r="AS824" i="1"/>
  <c r="L825" i="1"/>
  <c r="M825" i="1"/>
  <c r="N825" i="1"/>
  <c r="O825" i="1"/>
  <c r="P825" i="1"/>
  <c r="Q825" i="1"/>
  <c r="R825" i="1"/>
  <c r="S825" i="1"/>
  <c r="T825" i="1"/>
  <c r="U825" i="1"/>
  <c r="V825" i="1"/>
  <c r="W825" i="1"/>
  <c r="X825" i="1"/>
  <c r="Y825" i="1"/>
  <c r="Z825" i="1"/>
  <c r="AA825" i="1"/>
  <c r="AB825" i="1"/>
  <c r="AC825" i="1"/>
  <c r="AD825" i="1"/>
  <c r="AE825" i="1"/>
  <c r="AF825" i="1"/>
  <c r="AG825" i="1"/>
  <c r="AH825" i="1"/>
  <c r="AI825" i="1"/>
  <c r="AJ825" i="1"/>
  <c r="AQ825" i="1"/>
  <c r="AR825" i="1"/>
  <c r="AS825" i="1"/>
  <c r="L826" i="1"/>
  <c r="M826" i="1"/>
  <c r="N826" i="1"/>
  <c r="O826" i="1"/>
  <c r="P826" i="1"/>
  <c r="Q826" i="1"/>
  <c r="R826" i="1"/>
  <c r="S826" i="1"/>
  <c r="T826" i="1"/>
  <c r="U826" i="1"/>
  <c r="V826" i="1"/>
  <c r="W826" i="1"/>
  <c r="X826" i="1"/>
  <c r="Y826" i="1"/>
  <c r="Z826" i="1"/>
  <c r="AA826" i="1"/>
  <c r="AB826" i="1"/>
  <c r="AC826" i="1"/>
  <c r="AD826" i="1"/>
  <c r="AE826" i="1"/>
  <c r="AF826" i="1"/>
  <c r="AG826" i="1"/>
  <c r="AH826" i="1"/>
  <c r="AI826" i="1"/>
  <c r="AJ826" i="1"/>
  <c r="AQ826" i="1"/>
  <c r="AR826" i="1"/>
  <c r="AS826" i="1"/>
  <c r="L827" i="1"/>
  <c r="M827" i="1"/>
  <c r="N827" i="1"/>
  <c r="O827" i="1"/>
  <c r="P827" i="1"/>
  <c r="Q827" i="1"/>
  <c r="R827" i="1"/>
  <c r="S827" i="1"/>
  <c r="T827" i="1"/>
  <c r="U827" i="1"/>
  <c r="V827" i="1"/>
  <c r="W827" i="1"/>
  <c r="X827" i="1"/>
  <c r="Y827" i="1"/>
  <c r="Z827" i="1"/>
  <c r="AA827" i="1"/>
  <c r="AB827" i="1"/>
  <c r="AC827" i="1"/>
  <c r="AD827" i="1"/>
  <c r="AE827" i="1"/>
  <c r="AF827" i="1"/>
  <c r="AG827" i="1"/>
  <c r="AH827" i="1"/>
  <c r="AI827" i="1"/>
  <c r="AJ827" i="1"/>
  <c r="AQ827" i="1"/>
  <c r="AR827" i="1"/>
  <c r="AS827" i="1"/>
  <c r="L828" i="1"/>
  <c r="M828" i="1"/>
  <c r="N828" i="1"/>
  <c r="O828" i="1"/>
  <c r="P828" i="1"/>
  <c r="Q828" i="1"/>
  <c r="R828" i="1"/>
  <c r="S828" i="1"/>
  <c r="T828" i="1"/>
  <c r="U828" i="1"/>
  <c r="V828" i="1"/>
  <c r="W828" i="1"/>
  <c r="X828" i="1"/>
  <c r="Y828" i="1"/>
  <c r="Z828" i="1"/>
  <c r="AA828" i="1"/>
  <c r="AB828" i="1"/>
  <c r="AC828" i="1"/>
  <c r="AD828" i="1"/>
  <c r="AE828" i="1"/>
  <c r="AF828" i="1"/>
  <c r="AG828" i="1"/>
  <c r="AH828" i="1"/>
  <c r="AI828" i="1"/>
  <c r="AJ828" i="1"/>
  <c r="AQ828" i="1"/>
  <c r="AR828" i="1"/>
  <c r="AS828" i="1"/>
  <c r="L829" i="1"/>
  <c r="M829" i="1"/>
  <c r="N829" i="1"/>
  <c r="O829" i="1"/>
  <c r="P829" i="1"/>
  <c r="Q829" i="1"/>
  <c r="R829" i="1"/>
  <c r="S829" i="1"/>
  <c r="T829" i="1"/>
  <c r="U829" i="1"/>
  <c r="V829" i="1"/>
  <c r="W829" i="1"/>
  <c r="X829" i="1"/>
  <c r="Y829" i="1"/>
  <c r="Z829" i="1"/>
  <c r="AA829" i="1"/>
  <c r="AB829" i="1"/>
  <c r="AC829" i="1"/>
  <c r="AD829" i="1"/>
  <c r="AE829" i="1"/>
  <c r="AF829" i="1"/>
  <c r="AG829" i="1"/>
  <c r="AH829" i="1"/>
  <c r="AI829" i="1"/>
  <c r="AJ829" i="1"/>
  <c r="AQ829" i="1"/>
  <c r="AR829" i="1"/>
  <c r="AS829" i="1"/>
  <c r="L830" i="1"/>
  <c r="M830" i="1"/>
  <c r="N830" i="1"/>
  <c r="O830" i="1"/>
  <c r="P830" i="1"/>
  <c r="Q830" i="1"/>
  <c r="R830" i="1"/>
  <c r="S830" i="1"/>
  <c r="T830" i="1"/>
  <c r="U830" i="1"/>
  <c r="V830" i="1"/>
  <c r="W830" i="1"/>
  <c r="X830" i="1"/>
  <c r="Y830" i="1"/>
  <c r="Z830" i="1"/>
  <c r="AA830" i="1"/>
  <c r="AB830" i="1"/>
  <c r="AC830" i="1"/>
  <c r="AD830" i="1"/>
  <c r="AE830" i="1"/>
  <c r="AF830" i="1"/>
  <c r="AG830" i="1"/>
  <c r="AH830" i="1"/>
  <c r="AI830" i="1"/>
  <c r="AJ830" i="1"/>
  <c r="AQ830" i="1"/>
  <c r="AR830" i="1"/>
  <c r="AS830" i="1"/>
  <c r="L831" i="1"/>
  <c r="M831" i="1"/>
  <c r="N831" i="1"/>
  <c r="O831" i="1"/>
  <c r="P831" i="1"/>
  <c r="Q831" i="1"/>
  <c r="R831" i="1"/>
  <c r="S831" i="1"/>
  <c r="T831" i="1"/>
  <c r="U831" i="1"/>
  <c r="V831" i="1"/>
  <c r="W831" i="1"/>
  <c r="X831" i="1"/>
  <c r="Y831" i="1"/>
  <c r="Z831" i="1"/>
  <c r="AA831" i="1"/>
  <c r="AB831" i="1"/>
  <c r="AC831" i="1"/>
  <c r="AD831" i="1"/>
  <c r="AE831" i="1"/>
  <c r="AF831" i="1"/>
  <c r="AG831" i="1"/>
  <c r="AH831" i="1"/>
  <c r="AI831" i="1"/>
  <c r="AJ831" i="1"/>
  <c r="AQ831" i="1"/>
  <c r="AR831" i="1"/>
  <c r="AS831" i="1"/>
  <c r="L832" i="1"/>
  <c r="M832" i="1"/>
  <c r="N832" i="1"/>
  <c r="O832" i="1"/>
  <c r="P832" i="1"/>
  <c r="Q832" i="1"/>
  <c r="R832" i="1"/>
  <c r="S832" i="1"/>
  <c r="T832" i="1"/>
  <c r="U832" i="1"/>
  <c r="V832" i="1"/>
  <c r="W832" i="1"/>
  <c r="X832" i="1"/>
  <c r="Y832" i="1"/>
  <c r="Z832" i="1"/>
  <c r="AA832" i="1"/>
  <c r="AB832" i="1"/>
  <c r="AC832" i="1"/>
  <c r="AD832" i="1"/>
  <c r="AE832" i="1"/>
  <c r="AF832" i="1"/>
  <c r="AG832" i="1"/>
  <c r="AH832" i="1"/>
  <c r="AI832" i="1"/>
  <c r="AJ832" i="1"/>
  <c r="AQ832" i="1"/>
  <c r="AR832" i="1"/>
  <c r="AS832" i="1"/>
  <c r="L833" i="1"/>
  <c r="M833" i="1"/>
  <c r="N833" i="1"/>
  <c r="O833" i="1"/>
  <c r="P833" i="1"/>
  <c r="Q833" i="1"/>
  <c r="R833" i="1"/>
  <c r="S833" i="1"/>
  <c r="T833" i="1"/>
  <c r="U833" i="1"/>
  <c r="V833" i="1"/>
  <c r="W833" i="1"/>
  <c r="X833" i="1"/>
  <c r="Y833" i="1"/>
  <c r="Z833" i="1"/>
  <c r="AA833" i="1"/>
  <c r="AB833" i="1"/>
  <c r="AC833" i="1"/>
  <c r="AD833" i="1"/>
  <c r="AE833" i="1"/>
  <c r="AF833" i="1"/>
  <c r="AG833" i="1"/>
  <c r="AH833" i="1"/>
  <c r="AI833" i="1"/>
  <c r="AJ833" i="1"/>
  <c r="AQ833" i="1"/>
  <c r="AR833" i="1"/>
  <c r="AS833" i="1"/>
  <c r="L834" i="1"/>
  <c r="M834" i="1"/>
  <c r="N834" i="1"/>
  <c r="O834" i="1"/>
  <c r="P834" i="1"/>
  <c r="Q834" i="1"/>
  <c r="R834" i="1"/>
  <c r="S834" i="1"/>
  <c r="T834" i="1"/>
  <c r="U834" i="1"/>
  <c r="V834" i="1"/>
  <c r="W834" i="1"/>
  <c r="X834" i="1"/>
  <c r="Y834" i="1"/>
  <c r="Z834" i="1"/>
  <c r="AA834" i="1"/>
  <c r="AB834" i="1"/>
  <c r="AC834" i="1"/>
  <c r="AD834" i="1"/>
  <c r="AE834" i="1"/>
  <c r="AF834" i="1"/>
  <c r="AG834" i="1"/>
  <c r="AH834" i="1"/>
  <c r="AI834" i="1"/>
  <c r="AJ834" i="1"/>
  <c r="AQ834" i="1"/>
  <c r="AR834" i="1"/>
  <c r="AS834" i="1"/>
  <c r="L835" i="1"/>
  <c r="M835" i="1"/>
  <c r="N835" i="1"/>
  <c r="O835" i="1"/>
  <c r="P835" i="1"/>
  <c r="Q835" i="1"/>
  <c r="R835" i="1"/>
  <c r="S835" i="1"/>
  <c r="T835" i="1"/>
  <c r="U835" i="1"/>
  <c r="V835" i="1"/>
  <c r="W835" i="1"/>
  <c r="X835" i="1"/>
  <c r="Y835" i="1"/>
  <c r="Z835" i="1"/>
  <c r="AA835" i="1"/>
  <c r="AB835" i="1"/>
  <c r="AC835" i="1"/>
  <c r="AD835" i="1"/>
  <c r="AE835" i="1"/>
  <c r="AF835" i="1"/>
  <c r="AG835" i="1"/>
  <c r="AH835" i="1"/>
  <c r="AI835" i="1"/>
  <c r="AJ835" i="1"/>
  <c r="AQ835" i="1"/>
  <c r="AR835" i="1"/>
  <c r="AS835" i="1"/>
  <c r="L836" i="1"/>
  <c r="M836" i="1"/>
  <c r="N836" i="1"/>
  <c r="O836" i="1"/>
  <c r="P836" i="1"/>
  <c r="Q836" i="1"/>
  <c r="R836" i="1"/>
  <c r="S836" i="1"/>
  <c r="T836" i="1"/>
  <c r="U836" i="1"/>
  <c r="V836" i="1"/>
  <c r="W836" i="1"/>
  <c r="X836" i="1"/>
  <c r="Y836" i="1"/>
  <c r="Z836" i="1"/>
  <c r="AA836" i="1"/>
  <c r="AB836" i="1"/>
  <c r="AC836" i="1"/>
  <c r="AD836" i="1"/>
  <c r="AE836" i="1"/>
  <c r="AF836" i="1"/>
  <c r="AG836" i="1"/>
  <c r="AH836" i="1"/>
  <c r="AI836" i="1"/>
  <c r="AJ836" i="1"/>
  <c r="AQ836" i="1"/>
  <c r="AR836" i="1"/>
  <c r="AS836" i="1"/>
  <c r="L837" i="1"/>
  <c r="M837" i="1"/>
  <c r="N837" i="1"/>
  <c r="O837" i="1"/>
  <c r="P837" i="1"/>
  <c r="Q837" i="1"/>
  <c r="R837" i="1"/>
  <c r="S837" i="1"/>
  <c r="T837" i="1"/>
  <c r="U837" i="1"/>
  <c r="V837" i="1"/>
  <c r="W837" i="1"/>
  <c r="X837" i="1"/>
  <c r="Y837" i="1"/>
  <c r="Z837" i="1"/>
  <c r="AA837" i="1"/>
  <c r="AB837" i="1"/>
  <c r="AC837" i="1"/>
  <c r="AD837" i="1"/>
  <c r="AE837" i="1"/>
  <c r="AF837" i="1"/>
  <c r="AG837" i="1"/>
  <c r="AH837" i="1"/>
  <c r="AI837" i="1"/>
  <c r="AJ837" i="1"/>
  <c r="AQ837" i="1"/>
  <c r="AR837" i="1"/>
  <c r="AS837" i="1"/>
  <c r="L838" i="1"/>
  <c r="M838" i="1"/>
  <c r="N838" i="1"/>
  <c r="O838" i="1"/>
  <c r="P838" i="1"/>
  <c r="Q838" i="1"/>
  <c r="R838" i="1"/>
  <c r="S838" i="1"/>
  <c r="T838" i="1"/>
  <c r="U838" i="1"/>
  <c r="V838" i="1"/>
  <c r="W838" i="1"/>
  <c r="X838" i="1"/>
  <c r="Y838" i="1"/>
  <c r="Z838" i="1"/>
  <c r="AA838" i="1"/>
  <c r="AB838" i="1"/>
  <c r="AC838" i="1"/>
  <c r="AD838" i="1"/>
  <c r="AE838" i="1"/>
  <c r="AF838" i="1"/>
  <c r="AG838" i="1"/>
  <c r="AH838" i="1"/>
  <c r="AI838" i="1"/>
  <c r="AJ838" i="1"/>
  <c r="AQ838" i="1"/>
  <c r="AR838" i="1"/>
  <c r="AS838" i="1"/>
  <c r="L839" i="1"/>
  <c r="M839" i="1"/>
  <c r="N839" i="1"/>
  <c r="O839" i="1"/>
  <c r="P839" i="1"/>
  <c r="Q839" i="1"/>
  <c r="R839" i="1"/>
  <c r="S839" i="1"/>
  <c r="T839" i="1"/>
  <c r="U839" i="1"/>
  <c r="V839" i="1"/>
  <c r="W839" i="1"/>
  <c r="X839" i="1"/>
  <c r="Y839" i="1"/>
  <c r="Z839" i="1"/>
  <c r="AA839" i="1"/>
  <c r="AB839" i="1"/>
  <c r="AC839" i="1"/>
  <c r="AD839" i="1"/>
  <c r="AE839" i="1"/>
  <c r="AF839" i="1"/>
  <c r="AG839" i="1"/>
  <c r="AH839" i="1"/>
  <c r="AI839" i="1"/>
  <c r="AJ839" i="1"/>
  <c r="AQ839" i="1"/>
  <c r="AR839" i="1"/>
  <c r="AS839" i="1"/>
  <c r="L840" i="1"/>
  <c r="M840" i="1"/>
  <c r="N840" i="1"/>
  <c r="O840" i="1"/>
  <c r="P840" i="1"/>
  <c r="Q840" i="1"/>
  <c r="R840" i="1"/>
  <c r="S840" i="1"/>
  <c r="T840" i="1"/>
  <c r="U840" i="1"/>
  <c r="V840" i="1"/>
  <c r="W840" i="1"/>
  <c r="X840" i="1"/>
  <c r="Y840" i="1"/>
  <c r="Z840" i="1"/>
  <c r="AA840" i="1"/>
  <c r="AB840" i="1"/>
  <c r="AC840" i="1"/>
  <c r="AD840" i="1"/>
  <c r="AE840" i="1"/>
  <c r="AF840" i="1"/>
  <c r="AG840" i="1"/>
  <c r="AH840" i="1"/>
  <c r="AI840" i="1"/>
  <c r="AJ840" i="1"/>
  <c r="AQ840" i="1"/>
  <c r="AR840" i="1"/>
  <c r="AS840" i="1"/>
  <c r="L841" i="1"/>
  <c r="M841" i="1"/>
  <c r="N841" i="1"/>
  <c r="O841" i="1"/>
  <c r="P841" i="1"/>
  <c r="Q841" i="1"/>
  <c r="R841" i="1"/>
  <c r="S841" i="1"/>
  <c r="T841" i="1"/>
  <c r="U841" i="1"/>
  <c r="V841" i="1"/>
  <c r="W841" i="1"/>
  <c r="X841" i="1"/>
  <c r="Y841" i="1"/>
  <c r="Z841" i="1"/>
  <c r="AA841" i="1"/>
  <c r="AB841" i="1"/>
  <c r="AC841" i="1"/>
  <c r="AD841" i="1"/>
  <c r="AE841" i="1"/>
  <c r="AF841" i="1"/>
  <c r="AG841" i="1"/>
  <c r="AH841" i="1"/>
  <c r="AI841" i="1"/>
  <c r="AJ841" i="1"/>
  <c r="AQ841" i="1"/>
  <c r="AR841" i="1"/>
  <c r="AS841" i="1"/>
  <c r="L842" i="1"/>
  <c r="M842" i="1"/>
  <c r="N842" i="1"/>
  <c r="O842" i="1"/>
  <c r="P842" i="1"/>
  <c r="Q842" i="1"/>
  <c r="R842" i="1"/>
  <c r="S842" i="1"/>
  <c r="T842" i="1"/>
  <c r="U842" i="1"/>
  <c r="V842" i="1"/>
  <c r="W842" i="1"/>
  <c r="X842" i="1"/>
  <c r="Y842" i="1"/>
  <c r="Z842" i="1"/>
  <c r="AA842" i="1"/>
  <c r="AB842" i="1"/>
  <c r="AC842" i="1"/>
  <c r="AD842" i="1"/>
  <c r="AE842" i="1"/>
  <c r="AF842" i="1"/>
  <c r="AG842" i="1"/>
  <c r="AH842" i="1"/>
  <c r="AI842" i="1"/>
  <c r="AJ842" i="1"/>
  <c r="AQ842" i="1"/>
  <c r="AR842" i="1"/>
  <c r="AS842" i="1"/>
  <c r="L843" i="1"/>
  <c r="M843" i="1"/>
  <c r="N843" i="1"/>
  <c r="O843" i="1"/>
  <c r="P843" i="1"/>
  <c r="Q843" i="1"/>
  <c r="R843" i="1"/>
  <c r="S843" i="1"/>
  <c r="T843" i="1"/>
  <c r="U843" i="1"/>
  <c r="V843" i="1"/>
  <c r="W843" i="1"/>
  <c r="X843" i="1"/>
  <c r="Y843" i="1"/>
  <c r="Z843" i="1"/>
  <c r="AA843" i="1"/>
  <c r="AB843" i="1"/>
  <c r="AC843" i="1"/>
  <c r="AD843" i="1"/>
  <c r="AE843" i="1"/>
  <c r="AF843" i="1"/>
  <c r="AG843" i="1"/>
  <c r="AH843" i="1"/>
  <c r="AI843" i="1"/>
  <c r="AJ843" i="1"/>
  <c r="AQ843" i="1"/>
  <c r="AR843" i="1"/>
  <c r="AS843" i="1"/>
  <c r="L844" i="1"/>
  <c r="M844" i="1"/>
  <c r="N844" i="1"/>
  <c r="O844" i="1"/>
  <c r="P844" i="1"/>
  <c r="Q844" i="1"/>
  <c r="R844" i="1"/>
  <c r="S844" i="1"/>
  <c r="T844" i="1"/>
  <c r="U844" i="1"/>
  <c r="V844" i="1"/>
  <c r="W844" i="1"/>
  <c r="X844" i="1"/>
  <c r="Y844" i="1"/>
  <c r="Z844" i="1"/>
  <c r="AA844" i="1"/>
  <c r="AB844" i="1"/>
  <c r="AC844" i="1"/>
  <c r="AD844" i="1"/>
  <c r="AE844" i="1"/>
  <c r="AF844" i="1"/>
  <c r="AG844" i="1"/>
  <c r="AH844" i="1"/>
  <c r="AI844" i="1"/>
  <c r="AJ844" i="1"/>
  <c r="AQ844" i="1"/>
  <c r="AR844" i="1"/>
  <c r="AS844" i="1"/>
  <c r="L845" i="1"/>
  <c r="M845" i="1"/>
  <c r="N845" i="1"/>
  <c r="O845" i="1"/>
  <c r="P845" i="1"/>
  <c r="Q845" i="1"/>
  <c r="R845" i="1"/>
  <c r="S845" i="1"/>
  <c r="T845" i="1"/>
  <c r="U845" i="1"/>
  <c r="V845" i="1"/>
  <c r="W845" i="1"/>
  <c r="X845" i="1"/>
  <c r="Y845" i="1"/>
  <c r="Z845" i="1"/>
  <c r="AA845" i="1"/>
  <c r="AB845" i="1"/>
  <c r="AC845" i="1"/>
  <c r="AD845" i="1"/>
  <c r="AE845" i="1"/>
  <c r="AF845" i="1"/>
  <c r="AG845" i="1"/>
  <c r="AH845" i="1"/>
  <c r="AI845" i="1"/>
  <c r="AJ845" i="1"/>
  <c r="AQ845" i="1"/>
  <c r="AR845" i="1"/>
  <c r="AS845" i="1"/>
  <c r="L846" i="1"/>
  <c r="M846" i="1"/>
  <c r="N846" i="1"/>
  <c r="O846" i="1"/>
  <c r="P846" i="1"/>
  <c r="Q846" i="1"/>
  <c r="R846" i="1"/>
  <c r="S846" i="1"/>
  <c r="T846" i="1"/>
  <c r="U846" i="1"/>
  <c r="V846" i="1"/>
  <c r="W846" i="1"/>
  <c r="X846" i="1"/>
  <c r="Y846" i="1"/>
  <c r="Z846" i="1"/>
  <c r="AA846" i="1"/>
  <c r="AB846" i="1"/>
  <c r="AC846" i="1"/>
  <c r="AD846" i="1"/>
  <c r="AE846" i="1"/>
  <c r="AF846" i="1"/>
  <c r="AG846" i="1"/>
  <c r="AH846" i="1"/>
  <c r="AI846" i="1"/>
  <c r="AJ846" i="1"/>
  <c r="AQ846" i="1"/>
  <c r="AR846" i="1"/>
  <c r="AS846" i="1"/>
  <c r="L847" i="1"/>
  <c r="M847" i="1"/>
  <c r="N847" i="1"/>
  <c r="O847" i="1"/>
  <c r="P847" i="1"/>
  <c r="Q847" i="1"/>
  <c r="R847" i="1"/>
  <c r="S847" i="1"/>
  <c r="T847" i="1"/>
  <c r="U847" i="1"/>
  <c r="V847" i="1"/>
  <c r="W847" i="1"/>
  <c r="X847" i="1"/>
  <c r="Y847" i="1"/>
  <c r="Z847" i="1"/>
  <c r="AA847" i="1"/>
  <c r="AB847" i="1"/>
  <c r="AC847" i="1"/>
  <c r="AD847" i="1"/>
  <c r="AE847" i="1"/>
  <c r="AF847" i="1"/>
  <c r="AG847" i="1"/>
  <c r="AH847" i="1"/>
  <c r="AI847" i="1"/>
  <c r="AJ847" i="1"/>
  <c r="AQ847" i="1"/>
  <c r="AR847" i="1"/>
  <c r="AS847" i="1"/>
  <c r="L848" i="1"/>
  <c r="M848" i="1"/>
  <c r="N848" i="1"/>
  <c r="O848" i="1"/>
  <c r="P848" i="1"/>
  <c r="Q848" i="1"/>
  <c r="R848" i="1"/>
  <c r="S848" i="1"/>
  <c r="T848" i="1"/>
  <c r="U848" i="1"/>
  <c r="V848" i="1"/>
  <c r="W848" i="1"/>
  <c r="X848" i="1"/>
  <c r="Y848" i="1"/>
  <c r="Z848" i="1"/>
  <c r="AA848" i="1"/>
  <c r="AB848" i="1"/>
  <c r="AC848" i="1"/>
  <c r="AD848" i="1"/>
  <c r="AE848" i="1"/>
  <c r="AF848" i="1"/>
  <c r="AG848" i="1"/>
  <c r="AH848" i="1"/>
  <c r="AI848" i="1"/>
  <c r="AJ848" i="1"/>
  <c r="AQ848" i="1"/>
  <c r="AR848" i="1"/>
  <c r="AS848" i="1"/>
  <c r="L849" i="1"/>
  <c r="M849" i="1"/>
  <c r="N849" i="1"/>
  <c r="O849" i="1"/>
  <c r="P849" i="1"/>
  <c r="Q849" i="1"/>
  <c r="R849" i="1"/>
  <c r="S849" i="1"/>
  <c r="T849" i="1"/>
  <c r="U849" i="1"/>
  <c r="V849" i="1"/>
  <c r="W849" i="1"/>
  <c r="X849" i="1"/>
  <c r="Y849" i="1"/>
  <c r="Z849" i="1"/>
  <c r="AA849" i="1"/>
  <c r="AB849" i="1"/>
  <c r="AC849" i="1"/>
  <c r="AD849" i="1"/>
  <c r="AE849" i="1"/>
  <c r="AF849" i="1"/>
  <c r="AG849" i="1"/>
  <c r="AH849" i="1"/>
  <c r="AI849" i="1"/>
  <c r="AJ849" i="1"/>
  <c r="AQ849" i="1"/>
  <c r="AR849" i="1"/>
  <c r="AS849" i="1"/>
  <c r="L850" i="1"/>
  <c r="M850" i="1"/>
  <c r="N850" i="1"/>
  <c r="O850" i="1"/>
  <c r="P850" i="1"/>
  <c r="Q850" i="1"/>
  <c r="R850" i="1"/>
  <c r="S850" i="1"/>
  <c r="T850" i="1"/>
  <c r="U850" i="1"/>
  <c r="V850" i="1"/>
  <c r="W850" i="1"/>
  <c r="X850" i="1"/>
  <c r="Y850" i="1"/>
  <c r="Z850" i="1"/>
  <c r="AA850" i="1"/>
  <c r="AB850" i="1"/>
  <c r="AC850" i="1"/>
  <c r="AD850" i="1"/>
  <c r="AE850" i="1"/>
  <c r="AF850" i="1"/>
  <c r="AG850" i="1"/>
  <c r="AH850" i="1"/>
  <c r="AI850" i="1"/>
  <c r="AJ850" i="1"/>
  <c r="AQ850" i="1"/>
  <c r="AR850" i="1"/>
  <c r="AS850" i="1"/>
  <c r="L851" i="1"/>
  <c r="M851" i="1"/>
  <c r="N851" i="1"/>
  <c r="O851" i="1"/>
  <c r="P851" i="1"/>
  <c r="Q851" i="1"/>
  <c r="R851" i="1"/>
  <c r="S851" i="1"/>
  <c r="T851" i="1"/>
  <c r="U851" i="1"/>
  <c r="V851" i="1"/>
  <c r="W851" i="1"/>
  <c r="X851" i="1"/>
  <c r="Y851" i="1"/>
  <c r="Z851" i="1"/>
  <c r="AA851" i="1"/>
  <c r="AB851" i="1"/>
  <c r="AC851" i="1"/>
  <c r="AD851" i="1"/>
  <c r="AE851" i="1"/>
  <c r="AF851" i="1"/>
  <c r="AG851" i="1"/>
  <c r="AH851" i="1"/>
  <c r="AI851" i="1"/>
  <c r="AJ851" i="1"/>
  <c r="AQ851" i="1"/>
  <c r="AR851" i="1"/>
  <c r="AS851" i="1"/>
  <c r="L852" i="1"/>
  <c r="M852" i="1"/>
  <c r="N852" i="1"/>
  <c r="O852" i="1"/>
  <c r="P852" i="1"/>
  <c r="Q852" i="1"/>
  <c r="R852" i="1"/>
  <c r="S852" i="1"/>
  <c r="T852" i="1"/>
  <c r="U852" i="1"/>
  <c r="V852" i="1"/>
  <c r="W852" i="1"/>
  <c r="X852" i="1"/>
  <c r="Y852" i="1"/>
  <c r="Z852" i="1"/>
  <c r="AA852" i="1"/>
  <c r="AB852" i="1"/>
  <c r="AC852" i="1"/>
  <c r="AD852" i="1"/>
  <c r="AE852" i="1"/>
  <c r="AF852" i="1"/>
  <c r="AG852" i="1"/>
  <c r="AH852" i="1"/>
  <c r="AI852" i="1"/>
  <c r="AJ852" i="1"/>
  <c r="AQ852" i="1"/>
  <c r="AR852" i="1"/>
  <c r="AS852" i="1"/>
  <c r="L853" i="1"/>
  <c r="M853" i="1"/>
  <c r="N853" i="1"/>
  <c r="O853" i="1"/>
  <c r="P853" i="1"/>
  <c r="Q853" i="1"/>
  <c r="R853" i="1"/>
  <c r="S853" i="1"/>
  <c r="T853" i="1"/>
  <c r="U853" i="1"/>
  <c r="V853" i="1"/>
  <c r="W853" i="1"/>
  <c r="X853" i="1"/>
  <c r="Y853" i="1"/>
  <c r="Z853" i="1"/>
  <c r="AA853" i="1"/>
  <c r="AB853" i="1"/>
  <c r="AC853" i="1"/>
  <c r="AD853" i="1"/>
  <c r="AE853" i="1"/>
  <c r="AF853" i="1"/>
  <c r="AG853" i="1"/>
  <c r="AH853" i="1"/>
  <c r="AI853" i="1"/>
  <c r="AJ853" i="1"/>
  <c r="AQ853" i="1"/>
  <c r="AR853" i="1"/>
  <c r="AS853" i="1"/>
  <c r="L854" i="1"/>
  <c r="M854" i="1"/>
  <c r="N854" i="1"/>
  <c r="O854" i="1"/>
  <c r="P854" i="1"/>
  <c r="Q854" i="1"/>
  <c r="R854" i="1"/>
  <c r="S854" i="1"/>
  <c r="T854" i="1"/>
  <c r="U854" i="1"/>
  <c r="V854" i="1"/>
  <c r="W854" i="1"/>
  <c r="X854" i="1"/>
  <c r="Y854" i="1"/>
  <c r="Z854" i="1"/>
  <c r="AA854" i="1"/>
  <c r="AB854" i="1"/>
  <c r="AC854" i="1"/>
  <c r="AD854" i="1"/>
  <c r="AE854" i="1"/>
  <c r="AF854" i="1"/>
  <c r="AG854" i="1"/>
  <c r="AH854" i="1"/>
  <c r="AI854" i="1"/>
  <c r="AJ854" i="1"/>
  <c r="AQ854" i="1"/>
  <c r="AR854" i="1"/>
  <c r="AS854" i="1"/>
  <c r="L855" i="1"/>
  <c r="M855" i="1"/>
  <c r="N855" i="1"/>
  <c r="O855" i="1"/>
  <c r="P855" i="1"/>
  <c r="Q855" i="1"/>
  <c r="R855" i="1"/>
  <c r="S855" i="1"/>
  <c r="T855" i="1"/>
  <c r="U855" i="1"/>
  <c r="V855" i="1"/>
  <c r="W855" i="1"/>
  <c r="X855" i="1"/>
  <c r="Y855" i="1"/>
  <c r="Z855" i="1"/>
  <c r="AA855" i="1"/>
  <c r="AB855" i="1"/>
  <c r="AC855" i="1"/>
  <c r="AD855" i="1"/>
  <c r="AE855" i="1"/>
  <c r="AF855" i="1"/>
  <c r="AG855" i="1"/>
  <c r="AH855" i="1"/>
  <c r="AI855" i="1"/>
  <c r="AJ855" i="1"/>
  <c r="AQ855" i="1"/>
  <c r="AR855" i="1"/>
  <c r="AS855" i="1"/>
  <c r="L856" i="1"/>
  <c r="M856" i="1"/>
  <c r="N856" i="1"/>
  <c r="O856" i="1"/>
  <c r="P856" i="1"/>
  <c r="Q856" i="1"/>
  <c r="R856" i="1"/>
  <c r="S856" i="1"/>
  <c r="T856" i="1"/>
  <c r="U856" i="1"/>
  <c r="V856" i="1"/>
  <c r="W856" i="1"/>
  <c r="X856" i="1"/>
  <c r="Y856" i="1"/>
  <c r="Z856" i="1"/>
  <c r="AA856" i="1"/>
  <c r="AB856" i="1"/>
  <c r="AC856" i="1"/>
  <c r="AD856" i="1"/>
  <c r="AE856" i="1"/>
  <c r="AF856" i="1"/>
  <c r="AG856" i="1"/>
  <c r="AH856" i="1"/>
  <c r="AI856" i="1"/>
  <c r="AJ856" i="1"/>
  <c r="AQ856" i="1"/>
  <c r="AR856" i="1"/>
  <c r="AS856" i="1"/>
  <c r="L857" i="1"/>
  <c r="M857" i="1"/>
  <c r="N857" i="1"/>
  <c r="O857" i="1"/>
  <c r="P857" i="1"/>
  <c r="Q857" i="1"/>
  <c r="R857" i="1"/>
  <c r="S857" i="1"/>
  <c r="T857" i="1"/>
  <c r="U857" i="1"/>
  <c r="V857" i="1"/>
  <c r="W857" i="1"/>
  <c r="X857" i="1"/>
  <c r="Y857" i="1"/>
  <c r="Z857" i="1"/>
  <c r="AA857" i="1"/>
  <c r="AB857" i="1"/>
  <c r="AC857" i="1"/>
  <c r="AD857" i="1"/>
  <c r="AE857" i="1"/>
  <c r="AF857" i="1"/>
  <c r="AG857" i="1"/>
  <c r="AH857" i="1"/>
  <c r="AI857" i="1"/>
  <c r="AJ857" i="1"/>
  <c r="AQ857" i="1"/>
  <c r="AR857" i="1"/>
  <c r="AS857" i="1"/>
  <c r="L858" i="1"/>
  <c r="M858" i="1"/>
  <c r="N858" i="1"/>
  <c r="O858" i="1"/>
  <c r="P858" i="1"/>
  <c r="Q858" i="1"/>
  <c r="R858" i="1"/>
  <c r="S858" i="1"/>
  <c r="T858" i="1"/>
  <c r="U858" i="1"/>
  <c r="V858" i="1"/>
  <c r="W858" i="1"/>
  <c r="X858" i="1"/>
  <c r="Y858" i="1"/>
  <c r="Z858" i="1"/>
  <c r="AA858" i="1"/>
  <c r="AB858" i="1"/>
  <c r="AC858" i="1"/>
  <c r="AD858" i="1"/>
  <c r="AE858" i="1"/>
  <c r="AF858" i="1"/>
  <c r="AG858" i="1"/>
  <c r="AH858" i="1"/>
  <c r="AI858" i="1"/>
  <c r="AJ858" i="1"/>
  <c r="AQ858" i="1"/>
  <c r="AR858" i="1"/>
  <c r="AS858" i="1"/>
  <c r="L859" i="1"/>
  <c r="M859" i="1"/>
  <c r="N859" i="1"/>
  <c r="O859" i="1"/>
  <c r="P859" i="1"/>
  <c r="Q859" i="1"/>
  <c r="R859" i="1"/>
  <c r="S859" i="1"/>
  <c r="T859" i="1"/>
  <c r="U859" i="1"/>
  <c r="V859" i="1"/>
  <c r="W859" i="1"/>
  <c r="X859" i="1"/>
  <c r="Y859" i="1"/>
  <c r="Z859" i="1"/>
  <c r="AA859" i="1"/>
  <c r="AB859" i="1"/>
  <c r="AC859" i="1"/>
  <c r="AD859" i="1"/>
  <c r="AE859" i="1"/>
  <c r="AF859" i="1"/>
  <c r="AG859" i="1"/>
  <c r="AH859" i="1"/>
  <c r="AI859" i="1"/>
  <c r="AJ859" i="1"/>
  <c r="AQ859" i="1"/>
  <c r="AR859" i="1"/>
  <c r="AS859" i="1"/>
  <c r="L860" i="1"/>
  <c r="M860" i="1"/>
  <c r="N860" i="1"/>
  <c r="O860" i="1"/>
  <c r="P860" i="1"/>
  <c r="Q860" i="1"/>
  <c r="R860" i="1"/>
  <c r="S860" i="1"/>
  <c r="T860" i="1"/>
  <c r="U860" i="1"/>
  <c r="V860" i="1"/>
  <c r="W860" i="1"/>
  <c r="X860" i="1"/>
  <c r="Y860" i="1"/>
  <c r="Z860" i="1"/>
  <c r="AA860" i="1"/>
  <c r="AB860" i="1"/>
  <c r="AC860" i="1"/>
  <c r="AD860" i="1"/>
  <c r="AE860" i="1"/>
  <c r="AF860" i="1"/>
  <c r="AG860" i="1"/>
  <c r="AH860" i="1"/>
  <c r="AI860" i="1"/>
  <c r="AJ860" i="1"/>
  <c r="AQ860" i="1"/>
  <c r="AR860" i="1"/>
  <c r="AS860" i="1"/>
  <c r="L861" i="1"/>
  <c r="M861" i="1"/>
  <c r="N861" i="1"/>
  <c r="O861" i="1"/>
  <c r="P861" i="1"/>
  <c r="Q861" i="1"/>
  <c r="R861" i="1"/>
  <c r="S861" i="1"/>
  <c r="T861" i="1"/>
  <c r="U861" i="1"/>
  <c r="V861" i="1"/>
  <c r="W861" i="1"/>
  <c r="X861" i="1"/>
  <c r="Y861" i="1"/>
  <c r="Z861" i="1"/>
  <c r="AA861" i="1"/>
  <c r="AB861" i="1"/>
  <c r="AC861" i="1"/>
  <c r="AD861" i="1"/>
  <c r="AE861" i="1"/>
  <c r="AF861" i="1"/>
  <c r="AG861" i="1"/>
  <c r="AH861" i="1"/>
  <c r="AI861" i="1"/>
  <c r="AJ861" i="1"/>
  <c r="AQ861" i="1"/>
  <c r="AR861" i="1"/>
  <c r="AS861" i="1"/>
  <c r="L862" i="1"/>
  <c r="M862" i="1"/>
  <c r="N862" i="1"/>
  <c r="O862" i="1"/>
  <c r="P862" i="1"/>
  <c r="Q862" i="1"/>
  <c r="R862" i="1"/>
  <c r="S862" i="1"/>
  <c r="T862" i="1"/>
  <c r="U862" i="1"/>
  <c r="V862" i="1"/>
  <c r="W862" i="1"/>
  <c r="X862" i="1"/>
  <c r="Y862" i="1"/>
  <c r="Z862" i="1"/>
  <c r="AA862" i="1"/>
  <c r="AB862" i="1"/>
  <c r="AC862" i="1"/>
  <c r="AD862" i="1"/>
  <c r="AE862" i="1"/>
  <c r="AF862" i="1"/>
  <c r="AG862" i="1"/>
  <c r="AH862" i="1"/>
  <c r="AI862" i="1"/>
  <c r="AJ862" i="1"/>
  <c r="AQ862" i="1"/>
  <c r="AR862" i="1"/>
  <c r="AS862" i="1"/>
  <c r="L863" i="1"/>
  <c r="M863" i="1"/>
  <c r="N863" i="1"/>
  <c r="O863" i="1"/>
  <c r="P863" i="1"/>
  <c r="Q863" i="1"/>
  <c r="R863" i="1"/>
  <c r="S863" i="1"/>
  <c r="T863" i="1"/>
  <c r="U863" i="1"/>
  <c r="V863" i="1"/>
  <c r="W863" i="1"/>
  <c r="X863" i="1"/>
  <c r="Y863" i="1"/>
  <c r="Z863" i="1"/>
  <c r="AA863" i="1"/>
  <c r="AB863" i="1"/>
  <c r="AC863" i="1"/>
  <c r="AD863" i="1"/>
  <c r="AE863" i="1"/>
  <c r="AF863" i="1"/>
  <c r="AG863" i="1"/>
  <c r="AH863" i="1"/>
  <c r="AI863" i="1"/>
  <c r="AJ863" i="1"/>
  <c r="AQ863" i="1"/>
  <c r="AR863" i="1"/>
  <c r="AS863" i="1"/>
  <c r="L864" i="1"/>
  <c r="M864" i="1"/>
  <c r="N864" i="1"/>
  <c r="O864" i="1"/>
  <c r="P864" i="1"/>
  <c r="Q864" i="1"/>
  <c r="R864" i="1"/>
  <c r="S864" i="1"/>
  <c r="T864" i="1"/>
  <c r="U864" i="1"/>
  <c r="V864" i="1"/>
  <c r="W864" i="1"/>
  <c r="X864" i="1"/>
  <c r="Y864" i="1"/>
  <c r="Z864" i="1"/>
  <c r="AA864" i="1"/>
  <c r="AB864" i="1"/>
  <c r="AC864" i="1"/>
  <c r="AD864" i="1"/>
  <c r="AE864" i="1"/>
  <c r="AF864" i="1"/>
  <c r="AG864" i="1"/>
  <c r="AH864" i="1"/>
  <c r="AI864" i="1"/>
  <c r="AJ864" i="1"/>
  <c r="AQ864" i="1"/>
  <c r="AR864" i="1"/>
  <c r="AS864" i="1"/>
  <c r="L865" i="1"/>
  <c r="M865" i="1"/>
  <c r="N865" i="1"/>
  <c r="O865" i="1"/>
  <c r="P865" i="1"/>
  <c r="Q865" i="1"/>
  <c r="R865" i="1"/>
  <c r="S865" i="1"/>
  <c r="T865" i="1"/>
  <c r="U865" i="1"/>
  <c r="V865" i="1"/>
  <c r="W865" i="1"/>
  <c r="X865" i="1"/>
  <c r="Y865" i="1"/>
  <c r="Z865" i="1"/>
  <c r="AA865" i="1"/>
  <c r="AB865" i="1"/>
  <c r="AC865" i="1"/>
  <c r="AD865" i="1"/>
  <c r="AE865" i="1"/>
  <c r="AF865" i="1"/>
  <c r="AG865" i="1"/>
  <c r="AH865" i="1"/>
  <c r="AI865" i="1"/>
  <c r="AJ865" i="1"/>
  <c r="AQ865" i="1"/>
  <c r="AR865" i="1"/>
  <c r="AS865" i="1"/>
  <c r="L866" i="1"/>
  <c r="M866" i="1"/>
  <c r="N866" i="1"/>
  <c r="O866" i="1"/>
  <c r="P866" i="1"/>
  <c r="Q866" i="1"/>
  <c r="R866" i="1"/>
  <c r="S866" i="1"/>
  <c r="T866" i="1"/>
  <c r="U866" i="1"/>
  <c r="V866" i="1"/>
  <c r="W866" i="1"/>
  <c r="X866" i="1"/>
  <c r="Y866" i="1"/>
  <c r="Z866" i="1"/>
  <c r="AA866" i="1"/>
  <c r="AB866" i="1"/>
  <c r="AC866" i="1"/>
  <c r="AD866" i="1"/>
  <c r="AE866" i="1"/>
  <c r="AF866" i="1"/>
  <c r="AG866" i="1"/>
  <c r="AH866" i="1"/>
  <c r="AI866" i="1"/>
  <c r="AJ866" i="1"/>
  <c r="AQ866" i="1"/>
  <c r="AR866" i="1"/>
  <c r="AS866" i="1"/>
  <c r="L867" i="1"/>
  <c r="M867" i="1"/>
  <c r="N867" i="1"/>
  <c r="O867" i="1"/>
  <c r="P867" i="1"/>
  <c r="Q867" i="1"/>
  <c r="R867" i="1"/>
  <c r="S867" i="1"/>
  <c r="T867" i="1"/>
  <c r="U867" i="1"/>
  <c r="V867" i="1"/>
  <c r="W867" i="1"/>
  <c r="X867" i="1"/>
  <c r="Y867" i="1"/>
  <c r="Z867" i="1"/>
  <c r="AA867" i="1"/>
  <c r="AB867" i="1"/>
  <c r="AC867" i="1"/>
  <c r="AD867" i="1"/>
  <c r="AE867" i="1"/>
  <c r="AF867" i="1"/>
  <c r="AG867" i="1"/>
  <c r="AH867" i="1"/>
  <c r="AI867" i="1"/>
  <c r="AJ867" i="1"/>
  <c r="AQ867" i="1"/>
  <c r="AR867" i="1"/>
  <c r="AS867" i="1"/>
  <c r="L868" i="1"/>
  <c r="M868" i="1"/>
  <c r="N868" i="1"/>
  <c r="O868" i="1"/>
  <c r="P868" i="1"/>
  <c r="Q868" i="1"/>
  <c r="R868" i="1"/>
  <c r="S868" i="1"/>
  <c r="T868" i="1"/>
  <c r="U868" i="1"/>
  <c r="V868" i="1"/>
  <c r="W868" i="1"/>
  <c r="X868" i="1"/>
  <c r="Y868" i="1"/>
  <c r="Z868" i="1"/>
  <c r="AA868" i="1"/>
  <c r="AB868" i="1"/>
  <c r="AC868" i="1"/>
  <c r="AD868" i="1"/>
  <c r="AE868" i="1"/>
  <c r="AF868" i="1"/>
  <c r="AG868" i="1"/>
  <c r="AH868" i="1"/>
  <c r="AI868" i="1"/>
  <c r="AJ868" i="1"/>
  <c r="AQ868" i="1"/>
  <c r="AR868" i="1"/>
  <c r="AS868" i="1"/>
  <c r="L869" i="1"/>
  <c r="M869" i="1"/>
  <c r="N869" i="1"/>
  <c r="O869" i="1"/>
  <c r="P869" i="1"/>
  <c r="Q869" i="1"/>
  <c r="R869" i="1"/>
  <c r="S869" i="1"/>
  <c r="T869" i="1"/>
  <c r="U869" i="1"/>
  <c r="V869" i="1"/>
  <c r="W869" i="1"/>
  <c r="X869" i="1"/>
  <c r="Y869" i="1"/>
  <c r="Z869" i="1"/>
  <c r="AA869" i="1"/>
  <c r="AB869" i="1"/>
  <c r="AC869" i="1"/>
  <c r="AD869" i="1"/>
  <c r="AE869" i="1"/>
  <c r="AF869" i="1"/>
  <c r="AG869" i="1"/>
  <c r="AH869" i="1"/>
  <c r="AI869" i="1"/>
  <c r="AJ869" i="1"/>
  <c r="AQ869" i="1"/>
  <c r="AR869" i="1"/>
  <c r="AS869" i="1"/>
  <c r="L870" i="1"/>
  <c r="M870" i="1"/>
  <c r="N870" i="1"/>
  <c r="O870" i="1"/>
  <c r="P870" i="1"/>
  <c r="Q870" i="1"/>
  <c r="R870" i="1"/>
  <c r="S870" i="1"/>
  <c r="T870" i="1"/>
  <c r="U870" i="1"/>
  <c r="V870" i="1"/>
  <c r="W870" i="1"/>
  <c r="X870" i="1"/>
  <c r="Y870" i="1"/>
  <c r="Z870" i="1"/>
  <c r="AA870" i="1"/>
  <c r="AB870" i="1"/>
  <c r="AC870" i="1"/>
  <c r="AD870" i="1"/>
  <c r="AE870" i="1"/>
  <c r="AF870" i="1"/>
  <c r="AG870" i="1"/>
  <c r="AH870" i="1"/>
  <c r="AI870" i="1"/>
  <c r="AJ870" i="1"/>
  <c r="AQ870" i="1"/>
  <c r="AR870" i="1"/>
  <c r="AS870" i="1"/>
  <c r="L871" i="1"/>
  <c r="M871" i="1"/>
  <c r="N871" i="1"/>
  <c r="O871" i="1"/>
  <c r="P871" i="1"/>
  <c r="Q871" i="1"/>
  <c r="R871" i="1"/>
  <c r="S871" i="1"/>
  <c r="T871" i="1"/>
  <c r="U871" i="1"/>
  <c r="V871" i="1"/>
  <c r="W871" i="1"/>
  <c r="X871" i="1"/>
  <c r="Y871" i="1"/>
  <c r="Z871" i="1"/>
  <c r="AA871" i="1"/>
  <c r="AB871" i="1"/>
  <c r="AC871" i="1"/>
  <c r="AD871" i="1"/>
  <c r="AE871" i="1"/>
  <c r="AF871" i="1"/>
  <c r="AG871" i="1"/>
  <c r="AH871" i="1"/>
  <c r="AI871" i="1"/>
  <c r="AJ871" i="1"/>
  <c r="AQ871" i="1"/>
  <c r="AR871" i="1"/>
  <c r="AS871" i="1"/>
  <c r="L872" i="1"/>
  <c r="M872" i="1"/>
  <c r="N872" i="1"/>
  <c r="O872" i="1"/>
  <c r="P872" i="1"/>
  <c r="Q872" i="1"/>
  <c r="R872" i="1"/>
  <c r="S872" i="1"/>
  <c r="T872" i="1"/>
  <c r="U872" i="1"/>
  <c r="V872" i="1"/>
  <c r="W872" i="1"/>
  <c r="X872" i="1"/>
  <c r="Y872" i="1"/>
  <c r="Z872" i="1"/>
  <c r="AA872" i="1"/>
  <c r="AB872" i="1"/>
  <c r="AC872" i="1"/>
  <c r="AD872" i="1"/>
  <c r="AE872" i="1"/>
  <c r="AF872" i="1"/>
  <c r="AG872" i="1"/>
  <c r="AH872" i="1"/>
  <c r="AI872" i="1"/>
  <c r="AJ872" i="1"/>
  <c r="AQ872" i="1"/>
  <c r="AR872" i="1"/>
  <c r="AS872" i="1"/>
  <c r="L873" i="1"/>
  <c r="M873" i="1"/>
  <c r="N873" i="1"/>
  <c r="O873" i="1"/>
  <c r="P873" i="1"/>
  <c r="Q873" i="1"/>
  <c r="R873" i="1"/>
  <c r="S873" i="1"/>
  <c r="T873" i="1"/>
  <c r="U873" i="1"/>
  <c r="V873" i="1"/>
  <c r="W873" i="1"/>
  <c r="X873" i="1"/>
  <c r="Y873" i="1"/>
  <c r="Z873" i="1"/>
  <c r="AA873" i="1"/>
  <c r="AB873" i="1"/>
  <c r="AC873" i="1"/>
  <c r="AD873" i="1"/>
  <c r="AE873" i="1"/>
  <c r="AF873" i="1"/>
  <c r="AG873" i="1"/>
  <c r="AH873" i="1"/>
  <c r="AI873" i="1"/>
  <c r="AJ873" i="1"/>
  <c r="AQ873" i="1"/>
  <c r="AR873" i="1"/>
  <c r="AS873" i="1"/>
  <c r="L874" i="1"/>
  <c r="M874" i="1"/>
  <c r="N874" i="1"/>
  <c r="O874" i="1"/>
  <c r="P874" i="1"/>
  <c r="Q874" i="1"/>
  <c r="R874" i="1"/>
  <c r="S874" i="1"/>
  <c r="T874" i="1"/>
  <c r="U874" i="1"/>
  <c r="V874" i="1"/>
  <c r="W874" i="1"/>
  <c r="X874" i="1"/>
  <c r="Y874" i="1"/>
  <c r="Z874" i="1"/>
  <c r="AA874" i="1"/>
  <c r="AB874" i="1"/>
  <c r="AC874" i="1"/>
  <c r="AD874" i="1"/>
  <c r="AE874" i="1"/>
  <c r="AF874" i="1"/>
  <c r="AG874" i="1"/>
  <c r="AH874" i="1"/>
  <c r="AI874" i="1"/>
  <c r="AJ874" i="1"/>
  <c r="AQ874" i="1"/>
  <c r="AR874" i="1"/>
  <c r="AS874" i="1"/>
  <c r="L875" i="1"/>
  <c r="M875" i="1"/>
  <c r="N875" i="1"/>
  <c r="O875" i="1"/>
  <c r="P875" i="1"/>
  <c r="Q875" i="1"/>
  <c r="R875" i="1"/>
  <c r="S875" i="1"/>
  <c r="T875" i="1"/>
  <c r="U875" i="1"/>
  <c r="V875" i="1"/>
  <c r="W875" i="1"/>
  <c r="X875" i="1"/>
  <c r="Y875" i="1"/>
  <c r="Z875" i="1"/>
  <c r="AA875" i="1"/>
  <c r="AB875" i="1"/>
  <c r="AC875" i="1"/>
  <c r="AD875" i="1"/>
  <c r="AE875" i="1"/>
  <c r="AF875" i="1"/>
  <c r="AG875" i="1"/>
  <c r="AH875" i="1"/>
  <c r="AI875" i="1"/>
  <c r="AJ875" i="1"/>
  <c r="AQ875" i="1"/>
  <c r="AR875" i="1"/>
  <c r="AS875" i="1"/>
  <c r="L876" i="1"/>
  <c r="M876" i="1"/>
  <c r="N876" i="1"/>
  <c r="O876" i="1"/>
  <c r="P876" i="1"/>
  <c r="Q876" i="1"/>
  <c r="R876" i="1"/>
  <c r="S876" i="1"/>
  <c r="T876" i="1"/>
  <c r="U876" i="1"/>
  <c r="V876" i="1"/>
  <c r="W876" i="1"/>
  <c r="X876" i="1"/>
  <c r="Y876" i="1"/>
  <c r="Z876" i="1"/>
  <c r="AA876" i="1"/>
  <c r="AB876" i="1"/>
  <c r="AC876" i="1"/>
  <c r="AD876" i="1"/>
  <c r="AE876" i="1"/>
  <c r="AF876" i="1"/>
  <c r="AG876" i="1"/>
  <c r="AH876" i="1"/>
  <c r="AI876" i="1"/>
  <c r="AJ876" i="1"/>
  <c r="AQ876" i="1"/>
  <c r="AR876" i="1"/>
  <c r="AS876" i="1"/>
  <c r="L877" i="1"/>
  <c r="M877" i="1"/>
  <c r="N877" i="1"/>
  <c r="O877" i="1"/>
  <c r="P877" i="1"/>
  <c r="Q877" i="1"/>
  <c r="R877" i="1"/>
  <c r="S877" i="1"/>
  <c r="T877" i="1"/>
  <c r="U877" i="1"/>
  <c r="V877" i="1"/>
  <c r="W877" i="1"/>
  <c r="X877" i="1"/>
  <c r="Y877" i="1"/>
  <c r="Z877" i="1"/>
  <c r="AA877" i="1"/>
  <c r="AB877" i="1"/>
  <c r="AC877" i="1"/>
  <c r="AD877" i="1"/>
  <c r="AE877" i="1"/>
  <c r="AF877" i="1"/>
  <c r="AG877" i="1"/>
  <c r="AH877" i="1"/>
  <c r="AI877" i="1"/>
  <c r="AJ877" i="1"/>
  <c r="AQ877" i="1"/>
  <c r="AR877" i="1"/>
  <c r="AS877" i="1"/>
  <c r="L878" i="1"/>
  <c r="M878" i="1"/>
  <c r="N878" i="1"/>
  <c r="O878" i="1"/>
  <c r="P878" i="1"/>
  <c r="Q878" i="1"/>
  <c r="R878" i="1"/>
  <c r="S878" i="1"/>
  <c r="T878" i="1"/>
  <c r="U878" i="1"/>
  <c r="V878" i="1"/>
  <c r="W878" i="1"/>
  <c r="X878" i="1"/>
  <c r="Y878" i="1"/>
  <c r="Z878" i="1"/>
  <c r="AA878" i="1"/>
  <c r="AB878" i="1"/>
  <c r="AC878" i="1"/>
  <c r="AD878" i="1"/>
  <c r="AE878" i="1"/>
  <c r="AF878" i="1"/>
  <c r="AG878" i="1"/>
  <c r="AH878" i="1"/>
  <c r="AI878" i="1"/>
  <c r="AJ878" i="1"/>
  <c r="AQ878" i="1"/>
  <c r="AR878" i="1"/>
  <c r="AS878" i="1"/>
  <c r="L879" i="1"/>
  <c r="M879" i="1"/>
  <c r="N879" i="1"/>
  <c r="O879" i="1"/>
  <c r="P879" i="1"/>
  <c r="Q879" i="1"/>
  <c r="R879" i="1"/>
  <c r="S879" i="1"/>
  <c r="T879" i="1"/>
  <c r="U879" i="1"/>
  <c r="V879" i="1"/>
  <c r="W879" i="1"/>
  <c r="X879" i="1"/>
  <c r="Y879" i="1"/>
  <c r="Z879" i="1"/>
  <c r="AA879" i="1"/>
  <c r="AB879" i="1"/>
  <c r="AC879" i="1"/>
  <c r="AD879" i="1"/>
  <c r="AE879" i="1"/>
  <c r="AF879" i="1"/>
  <c r="AG879" i="1"/>
  <c r="AH879" i="1"/>
  <c r="AI879" i="1"/>
  <c r="AJ879" i="1"/>
  <c r="AQ879" i="1"/>
  <c r="AR879" i="1"/>
  <c r="AS879" i="1"/>
  <c r="L880" i="1"/>
  <c r="M880" i="1"/>
  <c r="N880" i="1"/>
  <c r="O880" i="1"/>
  <c r="P880" i="1"/>
  <c r="Q880" i="1"/>
  <c r="R880" i="1"/>
  <c r="S880" i="1"/>
  <c r="T880" i="1"/>
  <c r="U880" i="1"/>
  <c r="V880" i="1"/>
  <c r="W880" i="1"/>
  <c r="X880" i="1"/>
  <c r="Y880" i="1"/>
  <c r="Z880" i="1"/>
  <c r="AA880" i="1"/>
  <c r="AB880" i="1"/>
  <c r="AC880" i="1"/>
  <c r="AD880" i="1"/>
  <c r="AE880" i="1"/>
  <c r="AF880" i="1"/>
  <c r="AG880" i="1"/>
  <c r="AH880" i="1"/>
  <c r="AI880" i="1"/>
  <c r="AJ880" i="1"/>
  <c r="AQ880" i="1"/>
  <c r="AR880" i="1"/>
  <c r="AS880" i="1"/>
  <c r="L881" i="1"/>
  <c r="M881" i="1"/>
  <c r="N881" i="1"/>
  <c r="O881" i="1"/>
  <c r="P881" i="1"/>
  <c r="Q881" i="1"/>
  <c r="R881" i="1"/>
  <c r="S881" i="1"/>
  <c r="T881" i="1"/>
  <c r="U881" i="1"/>
  <c r="V881" i="1"/>
  <c r="W881" i="1"/>
  <c r="X881" i="1"/>
  <c r="Y881" i="1"/>
  <c r="Z881" i="1"/>
  <c r="AA881" i="1"/>
  <c r="AB881" i="1"/>
  <c r="AC881" i="1"/>
  <c r="AD881" i="1"/>
  <c r="AE881" i="1"/>
  <c r="AF881" i="1"/>
  <c r="AG881" i="1"/>
  <c r="AH881" i="1"/>
  <c r="AI881" i="1"/>
  <c r="AJ881" i="1"/>
  <c r="AQ881" i="1"/>
  <c r="AR881" i="1"/>
  <c r="AS881" i="1"/>
  <c r="L882" i="1"/>
  <c r="M882" i="1"/>
  <c r="N882" i="1"/>
  <c r="O882" i="1"/>
  <c r="P882" i="1"/>
  <c r="Q882" i="1"/>
  <c r="R882" i="1"/>
  <c r="S882" i="1"/>
  <c r="T882" i="1"/>
  <c r="U882" i="1"/>
  <c r="V882" i="1"/>
  <c r="W882" i="1"/>
  <c r="X882" i="1"/>
  <c r="Y882" i="1"/>
  <c r="Z882" i="1"/>
  <c r="AA882" i="1"/>
  <c r="AB882" i="1"/>
  <c r="AC882" i="1"/>
  <c r="AD882" i="1"/>
  <c r="AE882" i="1"/>
  <c r="AF882" i="1"/>
  <c r="AG882" i="1"/>
  <c r="AH882" i="1"/>
  <c r="AI882" i="1"/>
  <c r="AJ882" i="1"/>
  <c r="AQ882" i="1"/>
  <c r="AR882" i="1"/>
  <c r="AS882" i="1"/>
  <c r="L883" i="1"/>
  <c r="M883" i="1"/>
  <c r="N883" i="1"/>
  <c r="O883" i="1"/>
  <c r="P883" i="1"/>
  <c r="Q883" i="1"/>
  <c r="R883" i="1"/>
  <c r="S883" i="1"/>
  <c r="T883" i="1"/>
  <c r="U883" i="1"/>
  <c r="V883" i="1"/>
  <c r="W883" i="1"/>
  <c r="X883" i="1"/>
  <c r="Y883" i="1"/>
  <c r="Z883" i="1"/>
  <c r="AA883" i="1"/>
  <c r="AB883" i="1"/>
  <c r="AC883" i="1"/>
  <c r="AD883" i="1"/>
  <c r="AE883" i="1"/>
  <c r="AF883" i="1"/>
  <c r="AG883" i="1"/>
  <c r="AH883" i="1"/>
  <c r="AI883" i="1"/>
  <c r="AJ883" i="1"/>
  <c r="AQ883" i="1"/>
  <c r="AR883" i="1"/>
  <c r="AS883" i="1"/>
  <c r="L884" i="1"/>
  <c r="M884" i="1"/>
  <c r="N884" i="1"/>
  <c r="O884" i="1"/>
  <c r="P884" i="1"/>
  <c r="Q884" i="1"/>
  <c r="R884" i="1"/>
  <c r="S884" i="1"/>
  <c r="T884" i="1"/>
  <c r="U884" i="1"/>
  <c r="V884" i="1"/>
  <c r="W884" i="1"/>
  <c r="X884" i="1"/>
  <c r="Y884" i="1"/>
  <c r="Z884" i="1"/>
  <c r="AA884" i="1"/>
  <c r="AB884" i="1"/>
  <c r="AC884" i="1"/>
  <c r="AD884" i="1"/>
  <c r="AE884" i="1"/>
  <c r="AF884" i="1"/>
  <c r="AG884" i="1"/>
  <c r="AH884" i="1"/>
  <c r="AI884" i="1"/>
  <c r="AJ884" i="1"/>
  <c r="AQ884" i="1"/>
  <c r="AR884" i="1"/>
  <c r="AS884" i="1"/>
  <c r="L885" i="1"/>
  <c r="M885" i="1"/>
  <c r="N885" i="1"/>
  <c r="O885" i="1"/>
  <c r="P885" i="1"/>
  <c r="Q885" i="1"/>
  <c r="R885" i="1"/>
  <c r="S885" i="1"/>
  <c r="T885" i="1"/>
  <c r="U885" i="1"/>
  <c r="V885" i="1"/>
  <c r="W885" i="1"/>
  <c r="X885" i="1"/>
  <c r="Y885" i="1"/>
  <c r="Z885" i="1"/>
  <c r="AA885" i="1"/>
  <c r="AB885" i="1"/>
  <c r="AC885" i="1"/>
  <c r="AD885" i="1"/>
  <c r="AE885" i="1"/>
  <c r="AF885" i="1"/>
  <c r="AG885" i="1"/>
  <c r="AH885" i="1"/>
  <c r="AI885" i="1"/>
  <c r="AJ885" i="1"/>
  <c r="AQ885" i="1"/>
  <c r="AR885" i="1"/>
  <c r="AS885" i="1"/>
  <c r="L886" i="1"/>
  <c r="M886" i="1"/>
  <c r="N886" i="1"/>
  <c r="O886" i="1"/>
  <c r="P886" i="1"/>
  <c r="Q886" i="1"/>
  <c r="R886" i="1"/>
  <c r="S886" i="1"/>
  <c r="T886" i="1"/>
  <c r="U886" i="1"/>
  <c r="V886" i="1"/>
  <c r="W886" i="1"/>
  <c r="X886" i="1"/>
  <c r="Y886" i="1"/>
  <c r="Z886" i="1"/>
  <c r="AA886" i="1"/>
  <c r="AB886" i="1"/>
  <c r="AC886" i="1"/>
  <c r="AD886" i="1"/>
  <c r="AE886" i="1"/>
  <c r="AF886" i="1"/>
  <c r="AG886" i="1"/>
  <c r="AH886" i="1"/>
  <c r="AI886" i="1"/>
  <c r="AJ886" i="1"/>
  <c r="AQ886" i="1"/>
  <c r="AR886" i="1"/>
  <c r="AS886" i="1"/>
  <c r="L887" i="1"/>
  <c r="M887" i="1"/>
  <c r="N887" i="1"/>
  <c r="O887" i="1"/>
  <c r="P887" i="1"/>
  <c r="Q887" i="1"/>
  <c r="R887" i="1"/>
  <c r="S887" i="1"/>
  <c r="T887" i="1"/>
  <c r="U887" i="1"/>
  <c r="V887" i="1"/>
  <c r="W887" i="1"/>
  <c r="X887" i="1"/>
  <c r="Y887" i="1"/>
  <c r="Z887" i="1"/>
  <c r="AA887" i="1"/>
  <c r="AB887" i="1"/>
  <c r="AC887" i="1"/>
  <c r="AD887" i="1"/>
  <c r="AE887" i="1"/>
  <c r="AF887" i="1"/>
  <c r="AG887" i="1"/>
  <c r="AH887" i="1"/>
  <c r="AI887" i="1"/>
  <c r="AJ887" i="1"/>
  <c r="AQ887" i="1"/>
  <c r="AR887" i="1"/>
  <c r="AS887" i="1"/>
  <c r="L888" i="1"/>
  <c r="M888" i="1"/>
  <c r="N888" i="1"/>
  <c r="O888" i="1"/>
  <c r="P888" i="1"/>
  <c r="Q888" i="1"/>
  <c r="R888" i="1"/>
  <c r="S888" i="1"/>
  <c r="T888" i="1"/>
  <c r="U888" i="1"/>
  <c r="V888" i="1"/>
  <c r="W888" i="1"/>
  <c r="X888" i="1"/>
  <c r="Y888" i="1"/>
  <c r="Z888" i="1"/>
  <c r="AA888" i="1"/>
  <c r="AB888" i="1"/>
  <c r="AC888" i="1"/>
  <c r="AD888" i="1"/>
  <c r="AE888" i="1"/>
  <c r="AF888" i="1"/>
  <c r="AG888" i="1"/>
  <c r="AH888" i="1"/>
  <c r="AI888" i="1"/>
  <c r="AJ888" i="1"/>
  <c r="AQ888" i="1"/>
  <c r="AR888" i="1"/>
  <c r="AS888" i="1"/>
  <c r="L889" i="1"/>
  <c r="M889" i="1"/>
  <c r="N889" i="1"/>
  <c r="O889" i="1"/>
  <c r="P889" i="1"/>
  <c r="Q889" i="1"/>
  <c r="R889" i="1"/>
  <c r="S889" i="1"/>
  <c r="T889" i="1"/>
  <c r="U889" i="1"/>
  <c r="V889" i="1"/>
  <c r="W889" i="1"/>
  <c r="X889" i="1"/>
  <c r="Y889" i="1"/>
  <c r="Z889" i="1"/>
  <c r="AA889" i="1"/>
  <c r="AB889" i="1"/>
  <c r="AC889" i="1"/>
  <c r="AD889" i="1"/>
  <c r="AE889" i="1"/>
  <c r="AF889" i="1"/>
  <c r="AG889" i="1"/>
  <c r="AH889" i="1"/>
  <c r="AI889" i="1"/>
  <c r="AJ889" i="1"/>
  <c r="AQ889" i="1"/>
  <c r="AR889" i="1"/>
  <c r="AS889" i="1"/>
  <c r="L890" i="1"/>
  <c r="M890" i="1"/>
  <c r="N890" i="1"/>
  <c r="O890" i="1"/>
  <c r="P890" i="1"/>
  <c r="Q890" i="1"/>
  <c r="R890" i="1"/>
  <c r="S890" i="1"/>
  <c r="T890" i="1"/>
  <c r="U890" i="1"/>
  <c r="V890" i="1"/>
  <c r="W890" i="1"/>
  <c r="X890" i="1"/>
  <c r="Y890" i="1"/>
  <c r="Z890" i="1"/>
  <c r="AA890" i="1"/>
  <c r="AB890" i="1"/>
  <c r="AC890" i="1"/>
  <c r="AD890" i="1"/>
  <c r="AE890" i="1"/>
  <c r="AF890" i="1"/>
  <c r="AG890" i="1"/>
  <c r="AH890" i="1"/>
  <c r="AI890" i="1"/>
  <c r="AJ890" i="1"/>
  <c r="AQ890" i="1"/>
  <c r="AR890" i="1"/>
  <c r="AS890" i="1"/>
  <c r="L891" i="1"/>
  <c r="M891" i="1"/>
  <c r="N891" i="1"/>
  <c r="O891" i="1"/>
  <c r="P891" i="1"/>
  <c r="Q891" i="1"/>
  <c r="R891" i="1"/>
  <c r="S891" i="1"/>
  <c r="T891" i="1"/>
  <c r="U891" i="1"/>
  <c r="V891" i="1"/>
  <c r="W891" i="1"/>
  <c r="X891" i="1"/>
  <c r="Y891" i="1"/>
  <c r="Z891" i="1"/>
  <c r="AA891" i="1"/>
  <c r="AB891" i="1"/>
  <c r="AC891" i="1"/>
  <c r="AD891" i="1"/>
  <c r="AE891" i="1"/>
  <c r="AF891" i="1"/>
  <c r="AG891" i="1"/>
  <c r="AH891" i="1"/>
  <c r="AI891" i="1"/>
  <c r="AJ891" i="1"/>
  <c r="AQ891" i="1"/>
  <c r="AR891" i="1"/>
  <c r="AS891" i="1"/>
  <c r="L892" i="1"/>
  <c r="M892" i="1"/>
  <c r="N892" i="1"/>
  <c r="O892" i="1"/>
  <c r="P892" i="1"/>
  <c r="Q892" i="1"/>
  <c r="R892" i="1"/>
  <c r="S892" i="1"/>
  <c r="T892" i="1"/>
  <c r="U892" i="1"/>
  <c r="V892" i="1"/>
  <c r="W892" i="1"/>
  <c r="X892" i="1"/>
  <c r="Y892" i="1"/>
  <c r="Z892" i="1"/>
  <c r="AA892" i="1"/>
  <c r="AB892" i="1"/>
  <c r="AC892" i="1"/>
  <c r="AD892" i="1"/>
  <c r="AE892" i="1"/>
  <c r="AF892" i="1"/>
  <c r="AG892" i="1"/>
  <c r="AH892" i="1"/>
  <c r="AI892" i="1"/>
  <c r="AJ892" i="1"/>
  <c r="AQ892" i="1"/>
  <c r="AR892" i="1"/>
  <c r="AS892" i="1"/>
  <c r="L893" i="1"/>
  <c r="M893" i="1"/>
  <c r="N893" i="1"/>
  <c r="O893" i="1"/>
  <c r="P893" i="1"/>
  <c r="Q893" i="1"/>
  <c r="R893" i="1"/>
  <c r="S893" i="1"/>
  <c r="T893" i="1"/>
  <c r="U893" i="1"/>
  <c r="V893" i="1"/>
  <c r="W893" i="1"/>
  <c r="X893" i="1"/>
  <c r="Y893" i="1"/>
  <c r="Z893" i="1"/>
  <c r="AA893" i="1"/>
  <c r="AB893" i="1"/>
  <c r="AC893" i="1"/>
  <c r="AD893" i="1"/>
  <c r="AE893" i="1"/>
  <c r="AF893" i="1"/>
  <c r="AG893" i="1"/>
  <c r="AH893" i="1"/>
  <c r="AI893" i="1"/>
  <c r="AJ893" i="1"/>
  <c r="AQ893" i="1"/>
  <c r="AR893" i="1"/>
  <c r="AS893" i="1"/>
  <c r="L894" i="1"/>
  <c r="M894" i="1"/>
  <c r="N894" i="1"/>
  <c r="O894" i="1"/>
  <c r="P894" i="1"/>
  <c r="Q894" i="1"/>
  <c r="R894" i="1"/>
  <c r="S894" i="1"/>
  <c r="T894" i="1"/>
  <c r="U894" i="1"/>
  <c r="V894" i="1"/>
  <c r="W894" i="1"/>
  <c r="X894" i="1"/>
  <c r="Y894" i="1"/>
  <c r="Z894" i="1"/>
  <c r="AA894" i="1"/>
  <c r="AB894" i="1"/>
  <c r="AC894" i="1"/>
  <c r="AD894" i="1"/>
  <c r="AE894" i="1"/>
  <c r="AF894" i="1"/>
  <c r="AG894" i="1"/>
  <c r="AH894" i="1"/>
  <c r="AI894" i="1"/>
  <c r="AJ894" i="1"/>
  <c r="AQ894" i="1"/>
  <c r="AR894" i="1"/>
  <c r="AS894" i="1"/>
  <c r="L895" i="1"/>
  <c r="M895" i="1"/>
  <c r="N895" i="1"/>
  <c r="O895" i="1"/>
  <c r="P895" i="1"/>
  <c r="Q895" i="1"/>
  <c r="R895" i="1"/>
  <c r="S895" i="1"/>
  <c r="T895" i="1"/>
  <c r="U895" i="1"/>
  <c r="V895" i="1"/>
  <c r="W895" i="1"/>
  <c r="X895" i="1"/>
  <c r="Y895" i="1"/>
  <c r="Z895" i="1"/>
  <c r="AA895" i="1"/>
  <c r="AB895" i="1"/>
  <c r="AC895" i="1"/>
  <c r="AD895" i="1"/>
  <c r="AE895" i="1"/>
  <c r="AF895" i="1"/>
  <c r="AG895" i="1"/>
  <c r="AH895" i="1"/>
  <c r="AI895" i="1"/>
  <c r="AJ895" i="1"/>
  <c r="AQ895" i="1"/>
  <c r="AR895" i="1"/>
  <c r="AS895" i="1"/>
  <c r="L896" i="1"/>
  <c r="M896" i="1"/>
  <c r="N896" i="1"/>
  <c r="O896" i="1"/>
  <c r="P896" i="1"/>
  <c r="Q896" i="1"/>
  <c r="R896" i="1"/>
  <c r="S896" i="1"/>
  <c r="T896" i="1"/>
  <c r="U896" i="1"/>
  <c r="V896" i="1"/>
  <c r="W896" i="1"/>
  <c r="X896" i="1"/>
  <c r="Y896" i="1"/>
  <c r="Z896" i="1"/>
  <c r="AA896" i="1"/>
  <c r="AB896" i="1"/>
  <c r="AC896" i="1"/>
  <c r="AD896" i="1"/>
  <c r="AE896" i="1"/>
  <c r="AF896" i="1"/>
  <c r="AG896" i="1"/>
  <c r="AH896" i="1"/>
  <c r="AI896" i="1"/>
  <c r="AJ896" i="1"/>
  <c r="AQ896" i="1"/>
  <c r="AR896" i="1"/>
  <c r="AS896" i="1"/>
  <c r="L897" i="1"/>
  <c r="M897" i="1"/>
  <c r="N897" i="1"/>
  <c r="O897" i="1"/>
  <c r="P897" i="1"/>
  <c r="Q897" i="1"/>
  <c r="R897" i="1"/>
  <c r="S897" i="1"/>
  <c r="T897" i="1"/>
  <c r="U897" i="1"/>
  <c r="V897" i="1"/>
  <c r="W897" i="1"/>
  <c r="X897" i="1"/>
  <c r="Y897" i="1"/>
  <c r="Z897" i="1"/>
  <c r="AA897" i="1"/>
  <c r="AB897" i="1"/>
  <c r="AC897" i="1"/>
  <c r="AD897" i="1"/>
  <c r="AE897" i="1"/>
  <c r="AF897" i="1"/>
  <c r="AG897" i="1"/>
  <c r="AH897" i="1"/>
  <c r="AI897" i="1"/>
  <c r="AJ897" i="1"/>
  <c r="AQ897" i="1"/>
  <c r="AR897" i="1"/>
  <c r="AS897" i="1"/>
  <c r="L898" i="1"/>
  <c r="M898" i="1"/>
  <c r="N898" i="1"/>
  <c r="O898" i="1"/>
  <c r="P898" i="1"/>
  <c r="Q898" i="1"/>
  <c r="R898" i="1"/>
  <c r="S898" i="1"/>
  <c r="T898" i="1"/>
  <c r="U898" i="1"/>
  <c r="V898" i="1"/>
  <c r="W898" i="1"/>
  <c r="X898" i="1"/>
  <c r="Y898" i="1"/>
  <c r="Z898" i="1"/>
  <c r="AA898" i="1"/>
  <c r="AB898" i="1"/>
  <c r="AC898" i="1"/>
  <c r="AD898" i="1"/>
  <c r="AE898" i="1"/>
  <c r="AF898" i="1"/>
  <c r="AG898" i="1"/>
  <c r="AH898" i="1"/>
  <c r="AI898" i="1"/>
  <c r="AJ898" i="1"/>
  <c r="AQ898" i="1"/>
  <c r="AR898" i="1"/>
  <c r="AS898" i="1"/>
  <c r="L899" i="1"/>
  <c r="M899" i="1"/>
  <c r="N899" i="1"/>
  <c r="O899" i="1"/>
  <c r="P899" i="1"/>
  <c r="Q899" i="1"/>
  <c r="R899" i="1"/>
  <c r="S899" i="1"/>
  <c r="T899" i="1"/>
  <c r="U899" i="1"/>
  <c r="V899" i="1"/>
  <c r="W899" i="1"/>
  <c r="X899" i="1"/>
  <c r="Y899" i="1"/>
  <c r="Z899" i="1"/>
  <c r="AA899" i="1"/>
  <c r="AB899" i="1"/>
  <c r="AC899" i="1"/>
  <c r="AD899" i="1"/>
  <c r="AE899" i="1"/>
  <c r="AF899" i="1"/>
  <c r="AG899" i="1"/>
  <c r="AH899" i="1"/>
  <c r="AI899" i="1"/>
  <c r="AJ899" i="1"/>
  <c r="AQ899" i="1"/>
  <c r="AR899" i="1"/>
  <c r="AS899" i="1"/>
  <c r="L900" i="1"/>
  <c r="M900" i="1"/>
  <c r="N900" i="1"/>
  <c r="O900" i="1"/>
  <c r="P900" i="1"/>
  <c r="Q900" i="1"/>
  <c r="R900" i="1"/>
  <c r="S900" i="1"/>
  <c r="T900" i="1"/>
  <c r="U900" i="1"/>
  <c r="V900" i="1"/>
  <c r="W900" i="1"/>
  <c r="X900" i="1"/>
  <c r="Y900" i="1"/>
  <c r="Z900" i="1"/>
  <c r="AA900" i="1"/>
  <c r="AB900" i="1"/>
  <c r="AC900" i="1"/>
  <c r="AD900" i="1"/>
  <c r="AE900" i="1"/>
  <c r="AF900" i="1"/>
  <c r="AG900" i="1"/>
  <c r="AH900" i="1"/>
  <c r="AI900" i="1"/>
  <c r="AJ900" i="1"/>
  <c r="AQ900" i="1"/>
  <c r="AR900" i="1"/>
  <c r="AS900" i="1"/>
  <c r="L901" i="1"/>
  <c r="M901" i="1"/>
  <c r="N901" i="1"/>
  <c r="O901" i="1"/>
  <c r="P901" i="1"/>
  <c r="Q901" i="1"/>
  <c r="R901" i="1"/>
  <c r="S901" i="1"/>
  <c r="T901" i="1"/>
  <c r="U901" i="1"/>
  <c r="V901" i="1"/>
  <c r="W901" i="1"/>
  <c r="X901" i="1"/>
  <c r="Y901" i="1"/>
  <c r="Z901" i="1"/>
  <c r="AA901" i="1"/>
  <c r="AB901" i="1"/>
  <c r="AC901" i="1"/>
  <c r="AD901" i="1"/>
  <c r="AE901" i="1"/>
  <c r="AF901" i="1"/>
  <c r="AG901" i="1"/>
  <c r="AH901" i="1"/>
  <c r="AI901" i="1"/>
  <c r="AJ901" i="1"/>
  <c r="AQ901" i="1"/>
  <c r="AR901" i="1"/>
  <c r="AS901" i="1"/>
  <c r="L902" i="1"/>
  <c r="M902" i="1"/>
  <c r="N902" i="1"/>
  <c r="O902" i="1"/>
  <c r="P902" i="1"/>
  <c r="Q902" i="1"/>
  <c r="R902" i="1"/>
  <c r="S902" i="1"/>
  <c r="T902" i="1"/>
  <c r="U902" i="1"/>
  <c r="V902" i="1"/>
  <c r="W902" i="1"/>
  <c r="X902" i="1"/>
  <c r="Y902" i="1"/>
  <c r="Z902" i="1"/>
  <c r="AA902" i="1"/>
  <c r="AB902" i="1"/>
  <c r="AC902" i="1"/>
  <c r="AD902" i="1"/>
  <c r="AE902" i="1"/>
  <c r="AF902" i="1"/>
  <c r="AG902" i="1"/>
  <c r="AH902" i="1"/>
  <c r="AI902" i="1"/>
  <c r="AJ902" i="1"/>
  <c r="AQ902" i="1"/>
  <c r="AR902" i="1"/>
  <c r="AS902" i="1"/>
  <c r="L903" i="1"/>
  <c r="M903" i="1"/>
  <c r="N903" i="1"/>
  <c r="O903" i="1"/>
  <c r="P903" i="1"/>
  <c r="Q903" i="1"/>
  <c r="R903" i="1"/>
  <c r="S903" i="1"/>
  <c r="T903" i="1"/>
  <c r="U903" i="1"/>
  <c r="V903" i="1"/>
  <c r="W903" i="1"/>
  <c r="X903" i="1"/>
  <c r="Y903" i="1"/>
  <c r="Z903" i="1"/>
  <c r="AA903" i="1"/>
  <c r="AB903" i="1"/>
  <c r="AC903" i="1"/>
  <c r="AD903" i="1"/>
  <c r="AE903" i="1"/>
  <c r="AF903" i="1"/>
  <c r="AG903" i="1"/>
  <c r="AH903" i="1"/>
  <c r="AI903" i="1"/>
  <c r="AJ903" i="1"/>
  <c r="AQ903" i="1"/>
  <c r="AR903" i="1"/>
  <c r="AS903" i="1"/>
  <c r="L904" i="1"/>
  <c r="M904" i="1"/>
  <c r="N904" i="1"/>
  <c r="O904" i="1"/>
  <c r="P904" i="1"/>
  <c r="Q904" i="1"/>
  <c r="R904" i="1"/>
  <c r="S904" i="1"/>
  <c r="T904" i="1"/>
  <c r="U904" i="1"/>
  <c r="V904" i="1"/>
  <c r="W904" i="1"/>
  <c r="X904" i="1"/>
  <c r="Y904" i="1"/>
  <c r="Z904" i="1"/>
  <c r="AA904" i="1"/>
  <c r="AB904" i="1"/>
  <c r="AC904" i="1"/>
  <c r="AD904" i="1"/>
  <c r="AE904" i="1"/>
  <c r="AF904" i="1"/>
  <c r="AG904" i="1"/>
  <c r="AH904" i="1"/>
  <c r="AI904" i="1"/>
  <c r="AJ904" i="1"/>
  <c r="AQ904" i="1"/>
  <c r="AR904" i="1"/>
  <c r="AS904" i="1"/>
  <c r="L905" i="1"/>
  <c r="M905" i="1"/>
  <c r="N905" i="1"/>
  <c r="O905" i="1"/>
  <c r="P905" i="1"/>
  <c r="Q905" i="1"/>
  <c r="R905" i="1"/>
  <c r="S905" i="1"/>
  <c r="T905" i="1"/>
  <c r="U905" i="1"/>
  <c r="V905" i="1"/>
  <c r="W905" i="1"/>
  <c r="X905" i="1"/>
  <c r="Y905" i="1"/>
  <c r="Z905" i="1"/>
  <c r="AA905" i="1"/>
  <c r="AB905" i="1"/>
  <c r="AC905" i="1"/>
  <c r="AD905" i="1"/>
  <c r="AE905" i="1"/>
  <c r="AF905" i="1"/>
  <c r="AG905" i="1"/>
  <c r="AH905" i="1"/>
  <c r="AI905" i="1"/>
  <c r="AJ905" i="1"/>
  <c r="AQ905" i="1"/>
  <c r="AR905" i="1"/>
  <c r="AS905" i="1"/>
  <c r="L906" i="1"/>
  <c r="M906" i="1"/>
  <c r="N906" i="1"/>
  <c r="O906" i="1"/>
  <c r="P906" i="1"/>
  <c r="Q906" i="1"/>
  <c r="R906" i="1"/>
  <c r="S906" i="1"/>
  <c r="T906" i="1"/>
  <c r="U906" i="1"/>
  <c r="V906" i="1"/>
  <c r="W906" i="1"/>
  <c r="X906" i="1"/>
  <c r="Y906" i="1"/>
  <c r="Z906" i="1"/>
  <c r="AA906" i="1"/>
  <c r="AB906" i="1"/>
  <c r="AC906" i="1"/>
  <c r="AD906" i="1"/>
  <c r="AE906" i="1"/>
  <c r="AF906" i="1"/>
  <c r="AG906" i="1"/>
  <c r="AH906" i="1"/>
  <c r="AI906" i="1"/>
  <c r="AJ906" i="1"/>
  <c r="AQ906" i="1"/>
  <c r="AR906" i="1"/>
  <c r="AS906" i="1"/>
  <c r="L907" i="1"/>
  <c r="M907" i="1"/>
  <c r="N907" i="1"/>
  <c r="O907" i="1"/>
  <c r="P907" i="1"/>
  <c r="Q907" i="1"/>
  <c r="R907" i="1"/>
  <c r="S907" i="1"/>
  <c r="T907" i="1"/>
  <c r="U907" i="1"/>
  <c r="V907" i="1"/>
  <c r="W907" i="1"/>
  <c r="X907" i="1"/>
  <c r="Y907" i="1"/>
  <c r="Z907" i="1"/>
  <c r="AA907" i="1"/>
  <c r="AB907" i="1"/>
  <c r="AC907" i="1"/>
  <c r="AD907" i="1"/>
  <c r="AE907" i="1"/>
  <c r="AF907" i="1"/>
  <c r="AG907" i="1"/>
  <c r="AH907" i="1"/>
  <c r="AI907" i="1"/>
  <c r="AJ907" i="1"/>
  <c r="AQ907" i="1"/>
  <c r="AR907" i="1"/>
  <c r="AS907" i="1"/>
  <c r="L908" i="1"/>
  <c r="M908" i="1"/>
  <c r="N908" i="1"/>
  <c r="O908" i="1"/>
  <c r="P908" i="1"/>
  <c r="Q908" i="1"/>
  <c r="R908" i="1"/>
  <c r="S908" i="1"/>
  <c r="T908" i="1"/>
  <c r="U908" i="1"/>
  <c r="V908" i="1"/>
  <c r="W908" i="1"/>
  <c r="X908" i="1"/>
  <c r="Y908" i="1"/>
  <c r="Z908" i="1"/>
  <c r="AA908" i="1"/>
  <c r="AB908" i="1"/>
  <c r="AC908" i="1"/>
  <c r="AD908" i="1"/>
  <c r="AE908" i="1"/>
  <c r="AF908" i="1"/>
  <c r="AG908" i="1"/>
  <c r="AH908" i="1"/>
  <c r="AI908" i="1"/>
  <c r="AJ908" i="1"/>
  <c r="AQ908" i="1"/>
  <c r="AR908" i="1"/>
  <c r="AS908" i="1"/>
  <c r="L909" i="1"/>
  <c r="M909" i="1"/>
  <c r="N909" i="1"/>
  <c r="O909" i="1"/>
  <c r="P909" i="1"/>
  <c r="Q909" i="1"/>
  <c r="R909" i="1"/>
  <c r="S909" i="1"/>
  <c r="T909" i="1"/>
  <c r="U909" i="1"/>
  <c r="V909" i="1"/>
  <c r="W909" i="1"/>
  <c r="X909" i="1"/>
  <c r="Y909" i="1"/>
  <c r="Z909" i="1"/>
  <c r="AA909" i="1"/>
  <c r="AB909" i="1"/>
  <c r="AC909" i="1"/>
  <c r="AD909" i="1"/>
  <c r="AE909" i="1"/>
  <c r="AF909" i="1"/>
  <c r="AG909" i="1"/>
  <c r="AH909" i="1"/>
  <c r="AI909" i="1"/>
  <c r="AJ909" i="1"/>
  <c r="AQ909" i="1"/>
  <c r="AR909" i="1"/>
  <c r="AS909" i="1"/>
  <c r="L910" i="1"/>
  <c r="M910" i="1"/>
  <c r="N910" i="1"/>
  <c r="O910" i="1"/>
  <c r="P910" i="1"/>
  <c r="Q910" i="1"/>
  <c r="R910" i="1"/>
  <c r="S910" i="1"/>
  <c r="T910" i="1"/>
  <c r="U910" i="1"/>
  <c r="V910" i="1"/>
  <c r="W910" i="1"/>
  <c r="X910" i="1"/>
  <c r="Y910" i="1"/>
  <c r="Z910" i="1"/>
  <c r="AA910" i="1"/>
  <c r="AB910" i="1"/>
  <c r="AC910" i="1"/>
  <c r="AD910" i="1"/>
  <c r="AE910" i="1"/>
  <c r="AF910" i="1"/>
  <c r="AG910" i="1"/>
  <c r="AH910" i="1"/>
  <c r="AI910" i="1"/>
  <c r="AJ910" i="1"/>
  <c r="AQ910" i="1"/>
  <c r="AR910" i="1"/>
  <c r="AS910" i="1"/>
  <c r="L911" i="1"/>
  <c r="M911" i="1"/>
  <c r="N911" i="1"/>
  <c r="O911" i="1"/>
  <c r="P911" i="1"/>
  <c r="Q911" i="1"/>
  <c r="R911" i="1"/>
  <c r="S911" i="1"/>
  <c r="T911" i="1"/>
  <c r="U911" i="1"/>
  <c r="V911" i="1"/>
  <c r="W911" i="1"/>
  <c r="X911" i="1"/>
  <c r="Y911" i="1"/>
  <c r="Z911" i="1"/>
  <c r="AA911" i="1"/>
  <c r="AB911" i="1"/>
  <c r="AC911" i="1"/>
  <c r="AD911" i="1"/>
  <c r="AE911" i="1"/>
  <c r="AF911" i="1"/>
  <c r="AG911" i="1"/>
  <c r="AH911" i="1"/>
  <c r="AI911" i="1"/>
  <c r="AJ911" i="1"/>
  <c r="AQ911" i="1"/>
  <c r="AR911" i="1"/>
  <c r="AS911" i="1"/>
  <c r="L912" i="1"/>
  <c r="M912" i="1"/>
  <c r="N912" i="1"/>
  <c r="O912" i="1"/>
  <c r="P912" i="1"/>
  <c r="Q912" i="1"/>
  <c r="R912" i="1"/>
  <c r="S912" i="1"/>
  <c r="T912" i="1"/>
  <c r="U912" i="1"/>
  <c r="V912" i="1"/>
  <c r="W912" i="1"/>
  <c r="X912" i="1"/>
  <c r="Y912" i="1"/>
  <c r="Z912" i="1"/>
  <c r="AA912" i="1"/>
  <c r="AB912" i="1"/>
  <c r="AC912" i="1"/>
  <c r="AD912" i="1"/>
  <c r="AE912" i="1"/>
  <c r="AF912" i="1"/>
  <c r="AG912" i="1"/>
  <c r="AH912" i="1"/>
  <c r="AI912" i="1"/>
  <c r="AJ912" i="1"/>
  <c r="AQ912" i="1"/>
  <c r="AR912" i="1"/>
  <c r="AS912" i="1"/>
  <c r="L913" i="1"/>
  <c r="M913" i="1"/>
  <c r="N913" i="1"/>
  <c r="O913" i="1"/>
  <c r="P913" i="1"/>
  <c r="Q913" i="1"/>
  <c r="R913" i="1"/>
  <c r="S913" i="1"/>
  <c r="T913" i="1"/>
  <c r="U913" i="1"/>
  <c r="V913" i="1"/>
  <c r="W913" i="1"/>
  <c r="X913" i="1"/>
  <c r="Y913" i="1"/>
  <c r="Z913" i="1"/>
  <c r="AA913" i="1"/>
  <c r="AB913" i="1"/>
  <c r="AC913" i="1"/>
  <c r="AD913" i="1"/>
  <c r="AE913" i="1"/>
  <c r="AF913" i="1"/>
  <c r="AG913" i="1"/>
  <c r="AH913" i="1"/>
  <c r="AI913" i="1"/>
  <c r="AJ913" i="1"/>
  <c r="AQ913" i="1"/>
  <c r="AR913" i="1"/>
  <c r="AS913" i="1"/>
  <c r="L914" i="1"/>
  <c r="M914" i="1"/>
  <c r="N914" i="1"/>
  <c r="O914" i="1"/>
  <c r="P914" i="1"/>
  <c r="Q914" i="1"/>
  <c r="R914" i="1"/>
  <c r="S914" i="1"/>
  <c r="T914" i="1"/>
  <c r="U914" i="1"/>
  <c r="V914" i="1"/>
  <c r="W914" i="1"/>
  <c r="X914" i="1"/>
  <c r="Y914" i="1"/>
  <c r="Z914" i="1"/>
  <c r="AA914" i="1"/>
  <c r="AB914" i="1"/>
  <c r="AC914" i="1"/>
  <c r="AD914" i="1"/>
  <c r="AE914" i="1"/>
  <c r="AF914" i="1"/>
  <c r="AG914" i="1"/>
  <c r="AH914" i="1"/>
  <c r="AI914" i="1"/>
  <c r="AJ914" i="1"/>
  <c r="AQ914" i="1"/>
  <c r="AR914" i="1"/>
  <c r="AS914" i="1"/>
  <c r="L915" i="1"/>
  <c r="M915" i="1"/>
  <c r="N915" i="1"/>
  <c r="O915" i="1"/>
  <c r="P915" i="1"/>
  <c r="Q915" i="1"/>
  <c r="R915" i="1"/>
  <c r="S915" i="1"/>
  <c r="T915" i="1"/>
  <c r="U915" i="1"/>
  <c r="V915" i="1"/>
  <c r="W915" i="1"/>
  <c r="X915" i="1"/>
  <c r="Y915" i="1"/>
  <c r="Z915" i="1"/>
  <c r="AA915" i="1"/>
  <c r="AB915" i="1"/>
  <c r="AC915" i="1"/>
  <c r="AD915" i="1"/>
  <c r="AE915" i="1"/>
  <c r="AF915" i="1"/>
  <c r="AG915" i="1"/>
  <c r="AH915" i="1"/>
  <c r="AI915" i="1"/>
  <c r="AJ915" i="1"/>
  <c r="AQ915" i="1"/>
  <c r="AR915" i="1"/>
  <c r="AS915" i="1"/>
  <c r="L916" i="1"/>
  <c r="M916" i="1"/>
  <c r="N916" i="1"/>
  <c r="O916" i="1"/>
  <c r="P916" i="1"/>
  <c r="Q916" i="1"/>
  <c r="R916" i="1"/>
  <c r="S916" i="1"/>
  <c r="T916" i="1"/>
  <c r="U916" i="1"/>
  <c r="V916" i="1"/>
  <c r="W916" i="1"/>
  <c r="X916" i="1"/>
  <c r="Y916" i="1"/>
  <c r="Z916" i="1"/>
  <c r="AA916" i="1"/>
  <c r="AB916" i="1"/>
  <c r="AC916" i="1"/>
  <c r="AD916" i="1"/>
  <c r="AE916" i="1"/>
  <c r="AF916" i="1"/>
  <c r="AG916" i="1"/>
  <c r="AH916" i="1"/>
  <c r="AI916" i="1"/>
  <c r="AJ916" i="1"/>
  <c r="AQ916" i="1"/>
  <c r="AR916" i="1"/>
  <c r="AS916" i="1"/>
  <c r="L917" i="1"/>
  <c r="M917" i="1"/>
  <c r="N917" i="1"/>
  <c r="O917" i="1"/>
  <c r="P917" i="1"/>
  <c r="Q917" i="1"/>
  <c r="R917" i="1"/>
  <c r="S917" i="1"/>
  <c r="T917" i="1"/>
  <c r="U917" i="1"/>
  <c r="V917" i="1"/>
  <c r="W917" i="1"/>
  <c r="X917" i="1"/>
  <c r="Y917" i="1"/>
  <c r="Z917" i="1"/>
  <c r="AA917" i="1"/>
  <c r="AB917" i="1"/>
  <c r="AC917" i="1"/>
  <c r="AD917" i="1"/>
  <c r="AE917" i="1"/>
  <c r="AF917" i="1"/>
  <c r="AG917" i="1"/>
  <c r="AH917" i="1"/>
  <c r="AI917" i="1"/>
  <c r="AJ917" i="1"/>
  <c r="AQ917" i="1"/>
  <c r="AR917" i="1"/>
  <c r="AS917" i="1"/>
  <c r="L918" i="1"/>
  <c r="M918" i="1"/>
  <c r="N918" i="1"/>
  <c r="O918" i="1"/>
  <c r="P918" i="1"/>
  <c r="Q918" i="1"/>
  <c r="R918" i="1"/>
  <c r="S918" i="1"/>
  <c r="T918" i="1"/>
  <c r="U918" i="1"/>
  <c r="V918" i="1"/>
  <c r="W918" i="1"/>
  <c r="X918" i="1"/>
  <c r="Y918" i="1"/>
  <c r="Z918" i="1"/>
  <c r="AA918" i="1"/>
  <c r="AB918" i="1"/>
  <c r="AC918" i="1"/>
  <c r="AD918" i="1"/>
  <c r="AE918" i="1"/>
  <c r="AF918" i="1"/>
  <c r="AG918" i="1"/>
  <c r="AH918" i="1"/>
  <c r="AI918" i="1"/>
  <c r="AJ918" i="1"/>
  <c r="AQ918" i="1"/>
  <c r="AR918" i="1"/>
  <c r="AS918" i="1"/>
  <c r="L919" i="1"/>
  <c r="M919" i="1"/>
  <c r="N919" i="1"/>
  <c r="O919" i="1"/>
  <c r="P919" i="1"/>
  <c r="Q919" i="1"/>
  <c r="R919" i="1"/>
  <c r="S919" i="1"/>
  <c r="T919" i="1"/>
  <c r="U919" i="1"/>
  <c r="V919" i="1"/>
  <c r="W919" i="1"/>
  <c r="X919" i="1"/>
  <c r="Y919" i="1"/>
  <c r="Z919" i="1"/>
  <c r="AA919" i="1"/>
  <c r="AB919" i="1"/>
  <c r="AC919" i="1"/>
  <c r="AD919" i="1"/>
  <c r="AE919" i="1"/>
  <c r="AF919" i="1"/>
  <c r="AG919" i="1"/>
  <c r="AH919" i="1"/>
  <c r="AI919" i="1"/>
  <c r="AJ919" i="1"/>
  <c r="AQ919" i="1"/>
  <c r="AR919" i="1"/>
  <c r="AS919" i="1"/>
  <c r="L920" i="1"/>
  <c r="M920" i="1"/>
  <c r="N920" i="1"/>
  <c r="O920" i="1"/>
  <c r="P920" i="1"/>
  <c r="Q920" i="1"/>
  <c r="R920" i="1"/>
  <c r="S920" i="1"/>
  <c r="T920" i="1"/>
  <c r="U920" i="1"/>
  <c r="V920" i="1"/>
  <c r="W920" i="1"/>
  <c r="X920" i="1"/>
  <c r="Y920" i="1"/>
  <c r="Z920" i="1"/>
  <c r="AA920" i="1"/>
  <c r="AB920" i="1"/>
  <c r="AC920" i="1"/>
  <c r="AD920" i="1"/>
  <c r="AE920" i="1"/>
  <c r="AF920" i="1"/>
  <c r="AG920" i="1"/>
  <c r="AH920" i="1"/>
  <c r="AI920" i="1"/>
  <c r="AJ920" i="1"/>
  <c r="AQ920" i="1"/>
  <c r="AR920" i="1"/>
  <c r="AS920" i="1"/>
  <c r="L921" i="1"/>
  <c r="M921" i="1"/>
  <c r="N921" i="1"/>
  <c r="O921" i="1"/>
  <c r="P921" i="1"/>
  <c r="Q921" i="1"/>
  <c r="R921" i="1"/>
  <c r="S921" i="1"/>
  <c r="T921" i="1"/>
  <c r="U921" i="1"/>
  <c r="V921" i="1"/>
  <c r="W921" i="1"/>
  <c r="X921" i="1"/>
  <c r="Y921" i="1"/>
  <c r="Z921" i="1"/>
  <c r="AA921" i="1"/>
  <c r="AB921" i="1"/>
  <c r="AC921" i="1"/>
  <c r="AD921" i="1"/>
  <c r="AE921" i="1"/>
  <c r="AF921" i="1"/>
  <c r="AG921" i="1"/>
  <c r="AH921" i="1"/>
  <c r="AI921" i="1"/>
  <c r="AJ921" i="1"/>
  <c r="AQ921" i="1"/>
  <c r="AR921" i="1"/>
  <c r="AS921" i="1"/>
  <c r="L922" i="1"/>
  <c r="M922" i="1"/>
  <c r="N922" i="1"/>
  <c r="O922" i="1"/>
  <c r="P922" i="1"/>
  <c r="Q922" i="1"/>
  <c r="R922" i="1"/>
  <c r="S922" i="1"/>
  <c r="T922" i="1"/>
  <c r="U922" i="1"/>
  <c r="V922" i="1"/>
  <c r="W922" i="1"/>
  <c r="X922" i="1"/>
  <c r="Y922" i="1"/>
  <c r="Z922" i="1"/>
  <c r="AA922" i="1"/>
  <c r="AB922" i="1"/>
  <c r="AC922" i="1"/>
  <c r="AD922" i="1"/>
  <c r="AE922" i="1"/>
  <c r="AF922" i="1"/>
  <c r="AG922" i="1"/>
  <c r="AH922" i="1"/>
  <c r="AI922" i="1"/>
  <c r="AJ922" i="1"/>
  <c r="AQ922" i="1"/>
  <c r="AR922" i="1"/>
  <c r="AS922" i="1"/>
  <c r="L923" i="1"/>
  <c r="M923" i="1"/>
  <c r="N923" i="1"/>
  <c r="O923" i="1"/>
  <c r="P923" i="1"/>
  <c r="Q923" i="1"/>
  <c r="R923" i="1"/>
  <c r="S923" i="1"/>
  <c r="T923" i="1"/>
  <c r="U923" i="1"/>
  <c r="V923" i="1"/>
  <c r="W923" i="1"/>
  <c r="X923" i="1"/>
  <c r="Y923" i="1"/>
  <c r="Z923" i="1"/>
  <c r="AA923" i="1"/>
  <c r="AB923" i="1"/>
  <c r="AC923" i="1"/>
  <c r="AD923" i="1"/>
  <c r="AE923" i="1"/>
  <c r="AF923" i="1"/>
  <c r="AG923" i="1"/>
  <c r="AH923" i="1"/>
  <c r="AI923" i="1"/>
  <c r="AJ923" i="1"/>
  <c r="AQ923" i="1"/>
  <c r="AR923" i="1"/>
  <c r="AS923" i="1"/>
  <c r="L924" i="1"/>
  <c r="M924" i="1"/>
  <c r="N924" i="1"/>
  <c r="O924" i="1"/>
  <c r="P924" i="1"/>
  <c r="Q924" i="1"/>
  <c r="R924" i="1"/>
  <c r="S924" i="1"/>
  <c r="T924" i="1"/>
  <c r="U924" i="1"/>
  <c r="V924" i="1"/>
  <c r="W924" i="1"/>
  <c r="X924" i="1"/>
  <c r="Y924" i="1"/>
  <c r="Z924" i="1"/>
  <c r="AA924" i="1"/>
  <c r="AB924" i="1"/>
  <c r="AC924" i="1"/>
  <c r="AD924" i="1"/>
  <c r="AE924" i="1"/>
  <c r="AF924" i="1"/>
  <c r="AG924" i="1"/>
  <c r="AH924" i="1"/>
  <c r="AI924" i="1"/>
  <c r="AJ924" i="1"/>
  <c r="AQ924" i="1"/>
  <c r="AR924" i="1"/>
  <c r="AS924" i="1"/>
  <c r="L925" i="1"/>
  <c r="M925" i="1"/>
  <c r="N925" i="1"/>
  <c r="O925" i="1"/>
  <c r="P925" i="1"/>
  <c r="Q925" i="1"/>
  <c r="R925" i="1"/>
  <c r="S925" i="1"/>
  <c r="T925" i="1"/>
  <c r="U925" i="1"/>
  <c r="V925" i="1"/>
  <c r="W925" i="1"/>
  <c r="X925" i="1"/>
  <c r="Y925" i="1"/>
  <c r="Z925" i="1"/>
  <c r="AA925" i="1"/>
  <c r="AB925" i="1"/>
  <c r="AC925" i="1"/>
  <c r="AD925" i="1"/>
  <c r="AE925" i="1"/>
  <c r="AF925" i="1"/>
  <c r="AG925" i="1"/>
  <c r="AH925" i="1"/>
  <c r="AI925" i="1"/>
  <c r="AJ925" i="1"/>
  <c r="AQ925" i="1"/>
  <c r="AR925" i="1"/>
  <c r="AS925" i="1"/>
  <c r="L926" i="1"/>
  <c r="M926" i="1"/>
  <c r="N926" i="1"/>
  <c r="O926" i="1"/>
  <c r="P926" i="1"/>
  <c r="Q926" i="1"/>
  <c r="R926" i="1"/>
  <c r="S926" i="1"/>
  <c r="T926" i="1"/>
  <c r="U926" i="1"/>
  <c r="V926" i="1"/>
  <c r="W926" i="1"/>
  <c r="X926" i="1"/>
  <c r="Y926" i="1"/>
  <c r="Z926" i="1"/>
  <c r="AA926" i="1"/>
  <c r="AB926" i="1"/>
  <c r="AC926" i="1"/>
  <c r="AD926" i="1"/>
  <c r="AE926" i="1"/>
  <c r="AF926" i="1"/>
  <c r="AG926" i="1"/>
  <c r="AH926" i="1"/>
  <c r="AI926" i="1"/>
  <c r="AJ926" i="1"/>
  <c r="AQ926" i="1"/>
  <c r="AR926" i="1"/>
  <c r="AS926" i="1"/>
  <c r="L927" i="1"/>
  <c r="M927" i="1"/>
  <c r="N927" i="1"/>
  <c r="O927" i="1"/>
  <c r="P927" i="1"/>
  <c r="Q927" i="1"/>
  <c r="R927" i="1"/>
  <c r="S927" i="1"/>
  <c r="T927" i="1"/>
  <c r="U927" i="1"/>
  <c r="V927" i="1"/>
  <c r="W927" i="1"/>
  <c r="X927" i="1"/>
  <c r="Y927" i="1"/>
  <c r="Z927" i="1"/>
  <c r="AA927" i="1"/>
  <c r="AB927" i="1"/>
  <c r="AC927" i="1"/>
  <c r="AD927" i="1"/>
  <c r="AE927" i="1"/>
  <c r="AF927" i="1"/>
  <c r="AG927" i="1"/>
  <c r="AH927" i="1"/>
  <c r="AI927" i="1"/>
  <c r="AJ927" i="1"/>
  <c r="AQ927" i="1"/>
  <c r="AR927" i="1"/>
  <c r="AS927" i="1"/>
  <c r="L928" i="1"/>
  <c r="M928" i="1"/>
  <c r="N928" i="1"/>
  <c r="O928" i="1"/>
  <c r="P928" i="1"/>
  <c r="Q928" i="1"/>
  <c r="R928" i="1"/>
  <c r="S928" i="1"/>
  <c r="T928" i="1"/>
  <c r="U928" i="1"/>
  <c r="V928" i="1"/>
  <c r="W928" i="1"/>
  <c r="X928" i="1"/>
  <c r="Y928" i="1"/>
  <c r="Z928" i="1"/>
  <c r="AA928" i="1"/>
  <c r="AB928" i="1"/>
  <c r="AC928" i="1"/>
  <c r="AD928" i="1"/>
  <c r="AE928" i="1"/>
  <c r="AF928" i="1"/>
  <c r="AG928" i="1"/>
  <c r="AH928" i="1"/>
  <c r="AI928" i="1"/>
  <c r="AJ928" i="1"/>
  <c r="AQ928" i="1"/>
  <c r="AR928" i="1"/>
  <c r="AS928" i="1"/>
  <c r="L929" i="1"/>
  <c r="M929" i="1"/>
  <c r="N929" i="1"/>
  <c r="O929" i="1"/>
  <c r="P929" i="1"/>
  <c r="Q929" i="1"/>
  <c r="R929" i="1"/>
  <c r="S929" i="1"/>
  <c r="T929" i="1"/>
  <c r="U929" i="1"/>
  <c r="V929" i="1"/>
  <c r="W929" i="1"/>
  <c r="X929" i="1"/>
  <c r="Y929" i="1"/>
  <c r="Z929" i="1"/>
  <c r="AA929" i="1"/>
  <c r="AB929" i="1"/>
  <c r="AC929" i="1"/>
  <c r="AD929" i="1"/>
  <c r="AE929" i="1"/>
  <c r="AF929" i="1"/>
  <c r="AG929" i="1"/>
  <c r="AH929" i="1"/>
  <c r="AI929" i="1"/>
  <c r="AJ929" i="1"/>
  <c r="AQ929" i="1"/>
  <c r="AR929" i="1"/>
  <c r="AS929" i="1"/>
  <c r="L930" i="1"/>
  <c r="M930" i="1"/>
  <c r="N930" i="1"/>
  <c r="O930" i="1"/>
  <c r="P930" i="1"/>
  <c r="Q930" i="1"/>
  <c r="R930" i="1"/>
  <c r="S930" i="1"/>
  <c r="T930" i="1"/>
  <c r="U930" i="1"/>
  <c r="V930" i="1"/>
  <c r="W930" i="1"/>
  <c r="X930" i="1"/>
  <c r="Y930" i="1"/>
  <c r="Z930" i="1"/>
  <c r="AA930" i="1"/>
  <c r="AB930" i="1"/>
  <c r="AC930" i="1"/>
  <c r="AD930" i="1"/>
  <c r="AE930" i="1"/>
  <c r="AF930" i="1"/>
  <c r="AG930" i="1"/>
  <c r="AH930" i="1"/>
  <c r="AI930" i="1"/>
  <c r="AJ930" i="1"/>
  <c r="AQ930" i="1"/>
  <c r="AR930" i="1"/>
  <c r="AS930" i="1"/>
  <c r="L931" i="1"/>
  <c r="M931" i="1"/>
  <c r="N931" i="1"/>
  <c r="O931" i="1"/>
  <c r="P931" i="1"/>
  <c r="Q931" i="1"/>
  <c r="R931" i="1"/>
  <c r="S931" i="1"/>
  <c r="T931" i="1"/>
  <c r="U931" i="1"/>
  <c r="V931" i="1"/>
  <c r="W931" i="1"/>
  <c r="X931" i="1"/>
  <c r="Y931" i="1"/>
  <c r="Z931" i="1"/>
  <c r="AA931" i="1"/>
  <c r="AB931" i="1"/>
  <c r="AC931" i="1"/>
  <c r="AD931" i="1"/>
  <c r="AE931" i="1"/>
  <c r="AF931" i="1"/>
  <c r="AG931" i="1"/>
  <c r="AH931" i="1"/>
  <c r="AI931" i="1"/>
  <c r="AJ931" i="1"/>
  <c r="AQ931" i="1"/>
  <c r="AR931" i="1"/>
  <c r="AS931" i="1"/>
  <c r="L932" i="1"/>
  <c r="M932" i="1"/>
  <c r="N932" i="1"/>
  <c r="O932" i="1"/>
  <c r="P932" i="1"/>
  <c r="Q932" i="1"/>
  <c r="R932" i="1"/>
  <c r="S932" i="1"/>
  <c r="T932" i="1"/>
  <c r="U932" i="1"/>
  <c r="V932" i="1"/>
  <c r="W932" i="1"/>
  <c r="X932" i="1"/>
  <c r="Y932" i="1"/>
  <c r="Z932" i="1"/>
  <c r="AA932" i="1"/>
  <c r="AB932" i="1"/>
  <c r="AC932" i="1"/>
  <c r="AD932" i="1"/>
  <c r="AE932" i="1"/>
  <c r="AF932" i="1"/>
  <c r="AG932" i="1"/>
  <c r="AH932" i="1"/>
  <c r="AI932" i="1"/>
  <c r="AJ932" i="1"/>
  <c r="AQ932" i="1"/>
  <c r="AR932" i="1"/>
  <c r="AS932" i="1"/>
  <c r="L933" i="1"/>
  <c r="M933" i="1"/>
  <c r="N933" i="1"/>
  <c r="O933" i="1"/>
  <c r="P933" i="1"/>
  <c r="Q933" i="1"/>
  <c r="R933" i="1"/>
  <c r="S933" i="1"/>
  <c r="T933" i="1"/>
  <c r="U933" i="1"/>
  <c r="V933" i="1"/>
  <c r="W933" i="1"/>
  <c r="X933" i="1"/>
  <c r="Y933" i="1"/>
  <c r="Z933" i="1"/>
  <c r="AA933" i="1"/>
  <c r="AB933" i="1"/>
  <c r="AC933" i="1"/>
  <c r="AD933" i="1"/>
  <c r="AE933" i="1"/>
  <c r="AF933" i="1"/>
  <c r="AG933" i="1"/>
  <c r="AH933" i="1"/>
  <c r="AI933" i="1"/>
  <c r="AJ933" i="1"/>
  <c r="AQ933" i="1"/>
  <c r="AR933" i="1"/>
  <c r="AS933" i="1"/>
  <c r="L934" i="1"/>
  <c r="M934" i="1"/>
  <c r="N934" i="1"/>
  <c r="O934" i="1"/>
  <c r="P934" i="1"/>
  <c r="Q934" i="1"/>
  <c r="R934" i="1"/>
  <c r="S934" i="1"/>
  <c r="T934" i="1"/>
  <c r="U934" i="1"/>
  <c r="V934" i="1"/>
  <c r="W934" i="1"/>
  <c r="X934" i="1"/>
  <c r="Y934" i="1"/>
  <c r="Z934" i="1"/>
  <c r="AA934" i="1"/>
  <c r="AB934" i="1"/>
  <c r="AC934" i="1"/>
  <c r="AD934" i="1"/>
  <c r="AE934" i="1"/>
  <c r="AF934" i="1"/>
  <c r="AG934" i="1"/>
  <c r="AH934" i="1"/>
  <c r="AI934" i="1"/>
  <c r="AJ934" i="1"/>
  <c r="AQ934" i="1"/>
  <c r="AR934" i="1"/>
  <c r="AS934" i="1"/>
  <c r="L935" i="1"/>
  <c r="M935" i="1"/>
  <c r="N935" i="1"/>
  <c r="O935" i="1"/>
  <c r="P935" i="1"/>
  <c r="Q935" i="1"/>
  <c r="R935" i="1"/>
  <c r="S935" i="1"/>
  <c r="T935" i="1"/>
  <c r="U935" i="1"/>
  <c r="V935" i="1"/>
  <c r="W935" i="1"/>
  <c r="X935" i="1"/>
  <c r="Y935" i="1"/>
  <c r="Z935" i="1"/>
  <c r="AA935" i="1"/>
  <c r="AB935" i="1"/>
  <c r="AC935" i="1"/>
  <c r="AD935" i="1"/>
  <c r="AE935" i="1"/>
  <c r="AF935" i="1"/>
  <c r="AG935" i="1"/>
  <c r="AH935" i="1"/>
  <c r="AI935" i="1"/>
  <c r="AJ935" i="1"/>
  <c r="AQ935" i="1"/>
  <c r="AR935" i="1"/>
  <c r="AS935" i="1"/>
  <c r="L936" i="1"/>
  <c r="M936" i="1"/>
  <c r="N936" i="1"/>
  <c r="O936" i="1"/>
  <c r="P936" i="1"/>
  <c r="Q936" i="1"/>
  <c r="R936" i="1"/>
  <c r="S936" i="1"/>
  <c r="T936" i="1"/>
  <c r="U936" i="1"/>
  <c r="V936" i="1"/>
  <c r="W936" i="1"/>
  <c r="X936" i="1"/>
  <c r="Y936" i="1"/>
  <c r="Z936" i="1"/>
  <c r="AA936" i="1"/>
  <c r="AB936" i="1"/>
  <c r="AC936" i="1"/>
  <c r="AD936" i="1"/>
  <c r="AE936" i="1"/>
  <c r="AF936" i="1"/>
  <c r="AG936" i="1"/>
  <c r="AH936" i="1"/>
  <c r="AI936" i="1"/>
  <c r="AJ936" i="1"/>
  <c r="AQ936" i="1"/>
  <c r="AR936" i="1"/>
  <c r="AS936" i="1"/>
  <c r="L937" i="1"/>
  <c r="M937" i="1"/>
  <c r="N937" i="1"/>
  <c r="O937" i="1"/>
  <c r="P937" i="1"/>
  <c r="Q937" i="1"/>
  <c r="R937" i="1"/>
  <c r="S937" i="1"/>
  <c r="T937" i="1"/>
  <c r="U937" i="1"/>
  <c r="V937" i="1"/>
  <c r="W937" i="1"/>
  <c r="X937" i="1"/>
  <c r="Y937" i="1"/>
  <c r="Z937" i="1"/>
  <c r="AA937" i="1"/>
  <c r="AB937" i="1"/>
  <c r="AC937" i="1"/>
  <c r="AD937" i="1"/>
  <c r="AE937" i="1"/>
  <c r="AF937" i="1"/>
  <c r="AG937" i="1"/>
  <c r="AH937" i="1"/>
  <c r="AI937" i="1"/>
  <c r="AJ937" i="1"/>
  <c r="AQ937" i="1"/>
  <c r="AR937" i="1"/>
  <c r="AS937" i="1"/>
  <c r="L938" i="1"/>
  <c r="M938" i="1"/>
  <c r="N938" i="1"/>
  <c r="O938" i="1"/>
  <c r="P938" i="1"/>
  <c r="Q938" i="1"/>
  <c r="R938" i="1"/>
  <c r="S938" i="1"/>
  <c r="T938" i="1"/>
  <c r="U938" i="1"/>
  <c r="V938" i="1"/>
  <c r="W938" i="1"/>
  <c r="X938" i="1"/>
  <c r="Y938" i="1"/>
  <c r="Z938" i="1"/>
  <c r="AA938" i="1"/>
  <c r="AB938" i="1"/>
  <c r="AC938" i="1"/>
  <c r="AD938" i="1"/>
  <c r="AE938" i="1"/>
  <c r="AF938" i="1"/>
  <c r="AG938" i="1"/>
  <c r="AH938" i="1"/>
  <c r="AI938" i="1"/>
  <c r="AJ938" i="1"/>
  <c r="AQ938" i="1"/>
  <c r="AR938" i="1"/>
  <c r="AS938" i="1"/>
  <c r="L939" i="1"/>
  <c r="M939" i="1"/>
  <c r="N939" i="1"/>
  <c r="O939" i="1"/>
  <c r="P939" i="1"/>
  <c r="Q939" i="1"/>
  <c r="R939" i="1"/>
  <c r="S939" i="1"/>
  <c r="T939" i="1"/>
  <c r="U939" i="1"/>
  <c r="V939" i="1"/>
  <c r="W939" i="1"/>
  <c r="X939" i="1"/>
  <c r="Y939" i="1"/>
  <c r="Z939" i="1"/>
  <c r="AA939" i="1"/>
  <c r="AB939" i="1"/>
  <c r="AC939" i="1"/>
  <c r="AD939" i="1"/>
  <c r="AE939" i="1"/>
  <c r="AF939" i="1"/>
  <c r="AG939" i="1"/>
  <c r="AH939" i="1"/>
  <c r="AI939" i="1"/>
  <c r="AJ939" i="1"/>
  <c r="AQ939" i="1"/>
  <c r="AR939" i="1"/>
  <c r="AS939" i="1"/>
  <c r="L940" i="1"/>
  <c r="M940" i="1"/>
  <c r="N940" i="1"/>
  <c r="O940" i="1"/>
  <c r="P940" i="1"/>
  <c r="Q940" i="1"/>
  <c r="R940" i="1"/>
  <c r="S940" i="1"/>
  <c r="T940" i="1"/>
  <c r="U940" i="1"/>
  <c r="V940" i="1"/>
  <c r="W940" i="1"/>
  <c r="X940" i="1"/>
  <c r="Y940" i="1"/>
  <c r="Z940" i="1"/>
  <c r="AA940" i="1"/>
  <c r="AB940" i="1"/>
  <c r="AC940" i="1"/>
  <c r="AD940" i="1"/>
  <c r="AE940" i="1"/>
  <c r="AF940" i="1"/>
  <c r="AG940" i="1"/>
  <c r="AH940" i="1"/>
  <c r="AI940" i="1"/>
  <c r="AJ940" i="1"/>
  <c r="AQ940" i="1"/>
  <c r="AR940" i="1"/>
  <c r="AS940" i="1"/>
  <c r="L941" i="1"/>
  <c r="M941" i="1"/>
  <c r="N941" i="1"/>
  <c r="O941" i="1"/>
  <c r="P941" i="1"/>
  <c r="Q941" i="1"/>
  <c r="R941" i="1"/>
  <c r="S941" i="1"/>
  <c r="T941" i="1"/>
  <c r="U941" i="1"/>
  <c r="V941" i="1"/>
  <c r="W941" i="1"/>
  <c r="X941" i="1"/>
  <c r="Y941" i="1"/>
  <c r="Z941" i="1"/>
  <c r="AA941" i="1"/>
  <c r="AB941" i="1"/>
  <c r="AC941" i="1"/>
  <c r="AD941" i="1"/>
  <c r="AE941" i="1"/>
  <c r="AF941" i="1"/>
  <c r="AG941" i="1"/>
  <c r="AH941" i="1"/>
  <c r="AI941" i="1"/>
  <c r="AJ941" i="1"/>
  <c r="AQ941" i="1"/>
  <c r="AR941" i="1"/>
  <c r="AS941" i="1"/>
  <c r="L942" i="1"/>
  <c r="M942" i="1"/>
  <c r="N942" i="1"/>
  <c r="O942" i="1"/>
  <c r="P942" i="1"/>
  <c r="Q942" i="1"/>
  <c r="R942" i="1"/>
  <c r="S942" i="1"/>
  <c r="T942" i="1"/>
  <c r="U942" i="1"/>
  <c r="V942" i="1"/>
  <c r="W942" i="1"/>
  <c r="X942" i="1"/>
  <c r="Y942" i="1"/>
  <c r="Z942" i="1"/>
  <c r="AA942" i="1"/>
  <c r="AB942" i="1"/>
  <c r="AC942" i="1"/>
  <c r="AD942" i="1"/>
  <c r="AE942" i="1"/>
  <c r="AF942" i="1"/>
  <c r="AG942" i="1"/>
  <c r="AH942" i="1"/>
  <c r="AI942" i="1"/>
  <c r="AJ942" i="1"/>
  <c r="AQ942" i="1"/>
  <c r="AR942" i="1"/>
  <c r="AS942" i="1"/>
  <c r="L943" i="1"/>
  <c r="M943" i="1"/>
  <c r="N943" i="1"/>
  <c r="O943" i="1"/>
  <c r="P943" i="1"/>
  <c r="Q943" i="1"/>
  <c r="R943" i="1"/>
  <c r="S943" i="1"/>
  <c r="T943" i="1"/>
  <c r="U943" i="1"/>
  <c r="V943" i="1"/>
  <c r="W943" i="1"/>
  <c r="X943" i="1"/>
  <c r="Y943" i="1"/>
  <c r="Z943" i="1"/>
  <c r="AA943" i="1"/>
  <c r="AB943" i="1"/>
  <c r="AC943" i="1"/>
  <c r="AD943" i="1"/>
  <c r="AE943" i="1"/>
  <c r="AF943" i="1"/>
  <c r="AG943" i="1"/>
  <c r="AH943" i="1"/>
  <c r="AI943" i="1"/>
  <c r="AJ943" i="1"/>
  <c r="AQ943" i="1"/>
  <c r="AR943" i="1"/>
  <c r="AS943" i="1"/>
  <c r="L944" i="1"/>
  <c r="M944" i="1"/>
  <c r="N944" i="1"/>
  <c r="O944" i="1"/>
  <c r="P944" i="1"/>
  <c r="Q944" i="1"/>
  <c r="R944" i="1"/>
  <c r="S944" i="1"/>
  <c r="T944" i="1"/>
  <c r="U944" i="1"/>
  <c r="V944" i="1"/>
  <c r="W944" i="1"/>
  <c r="X944" i="1"/>
  <c r="Y944" i="1"/>
  <c r="Z944" i="1"/>
  <c r="AA944" i="1"/>
  <c r="AB944" i="1"/>
  <c r="AC944" i="1"/>
  <c r="AD944" i="1"/>
  <c r="AE944" i="1"/>
  <c r="AF944" i="1"/>
  <c r="AG944" i="1"/>
  <c r="AH944" i="1"/>
  <c r="AI944" i="1"/>
  <c r="AJ944" i="1"/>
  <c r="AQ944" i="1"/>
  <c r="AR944" i="1"/>
  <c r="AS944" i="1"/>
  <c r="L945" i="1"/>
  <c r="M945" i="1"/>
  <c r="N945" i="1"/>
  <c r="O945" i="1"/>
  <c r="P945" i="1"/>
  <c r="Q945" i="1"/>
  <c r="R945" i="1"/>
  <c r="S945" i="1"/>
  <c r="T945" i="1"/>
  <c r="U945" i="1"/>
  <c r="V945" i="1"/>
  <c r="W945" i="1"/>
  <c r="X945" i="1"/>
  <c r="Y945" i="1"/>
  <c r="Z945" i="1"/>
  <c r="AA945" i="1"/>
  <c r="AB945" i="1"/>
  <c r="AC945" i="1"/>
  <c r="AD945" i="1"/>
  <c r="AE945" i="1"/>
  <c r="AF945" i="1"/>
  <c r="AG945" i="1"/>
  <c r="AH945" i="1"/>
  <c r="AI945" i="1"/>
  <c r="AJ945" i="1"/>
  <c r="AQ945" i="1"/>
  <c r="AR945" i="1"/>
  <c r="AS945" i="1"/>
  <c r="L946" i="1"/>
  <c r="M946" i="1"/>
  <c r="N946" i="1"/>
  <c r="O946" i="1"/>
  <c r="P946" i="1"/>
  <c r="Q946" i="1"/>
  <c r="R946" i="1"/>
  <c r="S946" i="1"/>
  <c r="T946" i="1"/>
  <c r="U946" i="1"/>
  <c r="V946" i="1"/>
  <c r="W946" i="1"/>
  <c r="X946" i="1"/>
  <c r="Y946" i="1"/>
  <c r="Z946" i="1"/>
  <c r="AA946" i="1"/>
  <c r="AB946" i="1"/>
  <c r="AC946" i="1"/>
  <c r="AD946" i="1"/>
  <c r="AE946" i="1"/>
  <c r="AF946" i="1"/>
  <c r="AG946" i="1"/>
  <c r="AH946" i="1"/>
  <c r="AI946" i="1"/>
  <c r="AJ946" i="1"/>
  <c r="AQ946" i="1"/>
  <c r="AR946" i="1"/>
  <c r="AS946" i="1"/>
  <c r="L947" i="1"/>
  <c r="M947" i="1"/>
  <c r="N947" i="1"/>
  <c r="O947" i="1"/>
  <c r="P947" i="1"/>
  <c r="Q947" i="1"/>
  <c r="R947" i="1"/>
  <c r="S947" i="1"/>
  <c r="T947" i="1"/>
  <c r="U947" i="1"/>
  <c r="V947" i="1"/>
  <c r="W947" i="1"/>
  <c r="X947" i="1"/>
  <c r="Y947" i="1"/>
  <c r="Z947" i="1"/>
  <c r="AA947" i="1"/>
  <c r="AB947" i="1"/>
  <c r="AC947" i="1"/>
  <c r="AD947" i="1"/>
  <c r="AE947" i="1"/>
  <c r="AF947" i="1"/>
  <c r="AG947" i="1"/>
  <c r="AH947" i="1"/>
  <c r="AI947" i="1"/>
  <c r="AJ947" i="1"/>
  <c r="AQ947" i="1"/>
  <c r="AR947" i="1"/>
  <c r="AS947" i="1"/>
  <c r="L948" i="1"/>
  <c r="M948" i="1"/>
  <c r="N948" i="1"/>
  <c r="O948" i="1"/>
  <c r="P948" i="1"/>
  <c r="Q948" i="1"/>
  <c r="R948" i="1"/>
  <c r="S948" i="1"/>
  <c r="T948" i="1"/>
  <c r="U948" i="1"/>
  <c r="V948" i="1"/>
  <c r="W948" i="1"/>
  <c r="X948" i="1"/>
  <c r="Y948" i="1"/>
  <c r="Z948" i="1"/>
  <c r="AA948" i="1"/>
  <c r="AB948" i="1"/>
  <c r="AC948" i="1"/>
  <c r="AD948" i="1"/>
  <c r="AE948" i="1"/>
  <c r="AF948" i="1"/>
  <c r="AG948" i="1"/>
  <c r="AH948" i="1"/>
  <c r="AI948" i="1"/>
  <c r="AJ948" i="1"/>
  <c r="AQ948" i="1"/>
  <c r="AR948" i="1"/>
  <c r="AS948" i="1"/>
  <c r="L949" i="1"/>
  <c r="M949" i="1"/>
  <c r="N949" i="1"/>
  <c r="O949" i="1"/>
  <c r="P949" i="1"/>
  <c r="Q949" i="1"/>
  <c r="R949" i="1"/>
  <c r="S949" i="1"/>
  <c r="T949" i="1"/>
  <c r="U949" i="1"/>
  <c r="V949" i="1"/>
  <c r="W949" i="1"/>
  <c r="X949" i="1"/>
  <c r="Y949" i="1"/>
  <c r="Z949" i="1"/>
  <c r="AA949" i="1"/>
  <c r="AB949" i="1"/>
  <c r="AC949" i="1"/>
  <c r="AD949" i="1"/>
  <c r="AE949" i="1"/>
  <c r="AF949" i="1"/>
  <c r="AG949" i="1"/>
  <c r="AH949" i="1"/>
  <c r="AI949" i="1"/>
  <c r="AJ949" i="1"/>
  <c r="AQ949" i="1"/>
  <c r="AR949" i="1"/>
  <c r="AS949" i="1"/>
  <c r="L950" i="1"/>
  <c r="M950" i="1"/>
  <c r="N950" i="1"/>
  <c r="O950" i="1"/>
  <c r="P950" i="1"/>
  <c r="Q950" i="1"/>
  <c r="R950" i="1"/>
  <c r="S950" i="1"/>
  <c r="T950" i="1"/>
  <c r="U950" i="1"/>
  <c r="V950" i="1"/>
  <c r="W950" i="1"/>
  <c r="X950" i="1"/>
  <c r="Y950" i="1"/>
  <c r="Z950" i="1"/>
  <c r="AA950" i="1"/>
  <c r="AB950" i="1"/>
  <c r="AC950" i="1"/>
  <c r="AD950" i="1"/>
  <c r="AE950" i="1"/>
  <c r="AF950" i="1"/>
  <c r="AG950" i="1"/>
  <c r="AH950" i="1"/>
  <c r="AI950" i="1"/>
  <c r="AJ950" i="1"/>
  <c r="AQ950" i="1"/>
  <c r="AR950" i="1"/>
  <c r="AS950" i="1"/>
  <c r="L951" i="1"/>
  <c r="M951" i="1"/>
  <c r="N951" i="1"/>
  <c r="O951" i="1"/>
  <c r="P951" i="1"/>
  <c r="Q951" i="1"/>
  <c r="R951" i="1"/>
  <c r="S951" i="1"/>
  <c r="T951" i="1"/>
  <c r="U951" i="1"/>
  <c r="V951" i="1"/>
  <c r="W951" i="1"/>
  <c r="X951" i="1"/>
  <c r="Y951" i="1"/>
  <c r="Z951" i="1"/>
  <c r="AA951" i="1"/>
  <c r="AB951" i="1"/>
  <c r="AC951" i="1"/>
  <c r="AD951" i="1"/>
  <c r="AE951" i="1"/>
  <c r="AF951" i="1"/>
  <c r="AG951" i="1"/>
  <c r="AH951" i="1"/>
  <c r="AI951" i="1"/>
  <c r="AJ951" i="1"/>
  <c r="AQ951" i="1"/>
  <c r="AR951" i="1"/>
  <c r="AS951" i="1"/>
  <c r="L952" i="1"/>
  <c r="M952" i="1"/>
  <c r="N952" i="1"/>
  <c r="O952" i="1"/>
  <c r="P952" i="1"/>
  <c r="Q952" i="1"/>
  <c r="R952" i="1"/>
  <c r="S952" i="1"/>
  <c r="T952" i="1"/>
  <c r="U952" i="1"/>
  <c r="V952" i="1"/>
  <c r="W952" i="1"/>
  <c r="X952" i="1"/>
  <c r="Y952" i="1"/>
  <c r="Z952" i="1"/>
  <c r="AA952" i="1"/>
  <c r="AB952" i="1"/>
  <c r="AC952" i="1"/>
  <c r="AD952" i="1"/>
  <c r="AE952" i="1"/>
  <c r="AF952" i="1"/>
  <c r="AG952" i="1"/>
  <c r="AH952" i="1"/>
  <c r="AI952" i="1"/>
  <c r="AJ952" i="1"/>
  <c r="AQ952" i="1"/>
  <c r="AR952" i="1"/>
  <c r="AS952" i="1"/>
  <c r="L953" i="1"/>
  <c r="M953" i="1"/>
  <c r="N953" i="1"/>
  <c r="O953" i="1"/>
  <c r="P953" i="1"/>
  <c r="Q953" i="1"/>
  <c r="R953" i="1"/>
  <c r="S953" i="1"/>
  <c r="T953" i="1"/>
  <c r="U953" i="1"/>
  <c r="V953" i="1"/>
  <c r="W953" i="1"/>
  <c r="X953" i="1"/>
  <c r="Y953" i="1"/>
  <c r="Z953" i="1"/>
  <c r="AA953" i="1"/>
  <c r="AB953" i="1"/>
  <c r="AC953" i="1"/>
  <c r="AD953" i="1"/>
  <c r="AE953" i="1"/>
  <c r="AF953" i="1"/>
  <c r="AG953" i="1"/>
  <c r="AH953" i="1"/>
  <c r="AI953" i="1"/>
  <c r="AJ953" i="1"/>
  <c r="AQ953" i="1"/>
  <c r="AR953" i="1"/>
  <c r="AS953" i="1"/>
  <c r="L954" i="1"/>
  <c r="M954" i="1"/>
  <c r="N954" i="1"/>
  <c r="O954" i="1"/>
  <c r="P954" i="1"/>
  <c r="Q954" i="1"/>
  <c r="R954" i="1"/>
  <c r="S954" i="1"/>
  <c r="T954" i="1"/>
  <c r="U954" i="1"/>
  <c r="V954" i="1"/>
  <c r="W954" i="1"/>
  <c r="X954" i="1"/>
  <c r="Y954" i="1"/>
  <c r="Z954" i="1"/>
  <c r="AA954" i="1"/>
  <c r="AB954" i="1"/>
  <c r="AC954" i="1"/>
  <c r="AD954" i="1"/>
  <c r="AE954" i="1"/>
  <c r="AF954" i="1"/>
  <c r="AG954" i="1"/>
  <c r="AH954" i="1"/>
  <c r="AI954" i="1"/>
  <c r="AJ954" i="1"/>
  <c r="AQ954" i="1"/>
  <c r="AR954" i="1"/>
  <c r="AS954" i="1"/>
  <c r="L955" i="1"/>
  <c r="M955" i="1"/>
  <c r="N955" i="1"/>
  <c r="O955" i="1"/>
  <c r="P955" i="1"/>
  <c r="Q955" i="1"/>
  <c r="R955" i="1"/>
  <c r="S955" i="1"/>
  <c r="T955" i="1"/>
  <c r="U955" i="1"/>
  <c r="V955" i="1"/>
  <c r="W955" i="1"/>
  <c r="X955" i="1"/>
  <c r="Y955" i="1"/>
  <c r="Z955" i="1"/>
  <c r="AA955" i="1"/>
  <c r="AB955" i="1"/>
  <c r="AC955" i="1"/>
  <c r="AD955" i="1"/>
  <c r="AE955" i="1"/>
  <c r="AF955" i="1"/>
  <c r="AG955" i="1"/>
  <c r="AH955" i="1"/>
  <c r="AI955" i="1"/>
  <c r="AJ955" i="1"/>
  <c r="AQ955" i="1"/>
  <c r="AR955" i="1"/>
  <c r="AS955" i="1"/>
  <c r="L956" i="1"/>
  <c r="M956" i="1"/>
  <c r="N956" i="1"/>
  <c r="O956" i="1"/>
  <c r="P956" i="1"/>
  <c r="Q956" i="1"/>
  <c r="R956" i="1"/>
  <c r="S956" i="1"/>
  <c r="T956" i="1"/>
  <c r="U956" i="1"/>
  <c r="V956" i="1"/>
  <c r="W956" i="1"/>
  <c r="X956" i="1"/>
  <c r="Y956" i="1"/>
  <c r="Z956" i="1"/>
  <c r="AA956" i="1"/>
  <c r="AB956" i="1"/>
  <c r="AC956" i="1"/>
  <c r="AD956" i="1"/>
  <c r="AE956" i="1"/>
  <c r="AF956" i="1"/>
  <c r="AG956" i="1"/>
  <c r="AH956" i="1"/>
  <c r="AI956" i="1"/>
  <c r="AJ956" i="1"/>
  <c r="AQ956" i="1"/>
  <c r="AR956" i="1"/>
  <c r="AS956" i="1"/>
  <c r="L957" i="1"/>
  <c r="M957" i="1"/>
  <c r="N957" i="1"/>
  <c r="O957" i="1"/>
  <c r="P957" i="1"/>
  <c r="Q957" i="1"/>
  <c r="R957" i="1"/>
  <c r="S957" i="1"/>
  <c r="T957" i="1"/>
  <c r="U957" i="1"/>
  <c r="V957" i="1"/>
  <c r="W957" i="1"/>
  <c r="X957" i="1"/>
  <c r="Y957" i="1"/>
  <c r="Z957" i="1"/>
  <c r="AA957" i="1"/>
  <c r="AB957" i="1"/>
  <c r="AC957" i="1"/>
  <c r="AD957" i="1"/>
  <c r="AE957" i="1"/>
  <c r="AF957" i="1"/>
  <c r="AG957" i="1"/>
  <c r="AH957" i="1"/>
  <c r="AI957" i="1"/>
  <c r="AJ957" i="1"/>
  <c r="AQ957" i="1"/>
  <c r="AR957" i="1"/>
  <c r="AS957" i="1"/>
  <c r="L958" i="1"/>
  <c r="M958" i="1"/>
  <c r="N958" i="1"/>
  <c r="O958" i="1"/>
  <c r="P958" i="1"/>
  <c r="Q958" i="1"/>
  <c r="R958" i="1"/>
  <c r="S958" i="1"/>
  <c r="T958" i="1"/>
  <c r="U958" i="1"/>
  <c r="V958" i="1"/>
  <c r="W958" i="1"/>
  <c r="X958" i="1"/>
  <c r="Y958" i="1"/>
  <c r="Z958" i="1"/>
  <c r="AA958" i="1"/>
  <c r="AB958" i="1"/>
  <c r="AC958" i="1"/>
  <c r="AD958" i="1"/>
  <c r="AE958" i="1"/>
  <c r="AF958" i="1"/>
  <c r="AG958" i="1"/>
  <c r="AH958" i="1"/>
  <c r="AI958" i="1"/>
  <c r="AJ958" i="1"/>
  <c r="AQ958" i="1"/>
  <c r="AR958" i="1"/>
  <c r="AS958" i="1"/>
  <c r="L959" i="1"/>
  <c r="M959" i="1"/>
  <c r="N959" i="1"/>
  <c r="O959" i="1"/>
  <c r="P959" i="1"/>
  <c r="Q959" i="1"/>
  <c r="R959" i="1"/>
  <c r="S959" i="1"/>
  <c r="T959" i="1"/>
  <c r="U959" i="1"/>
  <c r="V959" i="1"/>
  <c r="W959" i="1"/>
  <c r="X959" i="1"/>
  <c r="Y959" i="1"/>
  <c r="Z959" i="1"/>
  <c r="AA959" i="1"/>
  <c r="AB959" i="1"/>
  <c r="AC959" i="1"/>
  <c r="AD959" i="1"/>
  <c r="AE959" i="1"/>
  <c r="AF959" i="1"/>
  <c r="AG959" i="1"/>
  <c r="AH959" i="1"/>
  <c r="AI959" i="1"/>
  <c r="AJ959" i="1"/>
  <c r="AQ959" i="1"/>
  <c r="AR959" i="1"/>
  <c r="AS959" i="1"/>
  <c r="L960" i="1"/>
  <c r="M960" i="1"/>
  <c r="N960" i="1"/>
  <c r="O960" i="1"/>
  <c r="P960" i="1"/>
  <c r="Q960" i="1"/>
  <c r="R960" i="1"/>
  <c r="S960" i="1"/>
  <c r="T960" i="1"/>
  <c r="U960" i="1"/>
  <c r="V960" i="1"/>
  <c r="W960" i="1"/>
  <c r="X960" i="1"/>
  <c r="Y960" i="1"/>
  <c r="Z960" i="1"/>
  <c r="AA960" i="1"/>
  <c r="AB960" i="1"/>
  <c r="AC960" i="1"/>
  <c r="AD960" i="1"/>
  <c r="AE960" i="1"/>
  <c r="AF960" i="1"/>
  <c r="AG960" i="1"/>
  <c r="AH960" i="1"/>
  <c r="AI960" i="1"/>
  <c r="AJ960" i="1"/>
  <c r="AQ960" i="1"/>
  <c r="AR960" i="1"/>
  <c r="AS960" i="1"/>
  <c r="L961" i="1"/>
  <c r="M961" i="1"/>
  <c r="N961" i="1"/>
  <c r="O961" i="1"/>
  <c r="P961" i="1"/>
  <c r="Q961" i="1"/>
  <c r="R961" i="1"/>
  <c r="S961" i="1"/>
  <c r="T961" i="1"/>
  <c r="U961" i="1"/>
  <c r="V961" i="1"/>
  <c r="W961" i="1"/>
  <c r="X961" i="1"/>
  <c r="Y961" i="1"/>
  <c r="Z961" i="1"/>
  <c r="AA961" i="1"/>
  <c r="AB961" i="1"/>
  <c r="AC961" i="1"/>
  <c r="AD961" i="1"/>
  <c r="AE961" i="1"/>
  <c r="AF961" i="1"/>
  <c r="AG961" i="1"/>
  <c r="AH961" i="1"/>
  <c r="AI961" i="1"/>
  <c r="AJ961" i="1"/>
  <c r="AQ961" i="1"/>
  <c r="AR961" i="1"/>
  <c r="AS961" i="1"/>
  <c r="L962" i="1"/>
  <c r="M962" i="1"/>
  <c r="N962" i="1"/>
  <c r="O962" i="1"/>
  <c r="P962" i="1"/>
  <c r="Q962" i="1"/>
  <c r="R962" i="1"/>
  <c r="S962" i="1"/>
  <c r="T962" i="1"/>
  <c r="U962" i="1"/>
  <c r="V962" i="1"/>
  <c r="W962" i="1"/>
  <c r="X962" i="1"/>
  <c r="Y962" i="1"/>
  <c r="Z962" i="1"/>
  <c r="AA962" i="1"/>
  <c r="AB962" i="1"/>
  <c r="AC962" i="1"/>
  <c r="AD962" i="1"/>
  <c r="AE962" i="1"/>
  <c r="AF962" i="1"/>
  <c r="AG962" i="1"/>
  <c r="AH962" i="1"/>
  <c r="AI962" i="1"/>
  <c r="AJ962" i="1"/>
  <c r="AQ962" i="1"/>
  <c r="AR962" i="1"/>
  <c r="AS962" i="1"/>
  <c r="L963" i="1"/>
  <c r="M963" i="1"/>
  <c r="N963" i="1"/>
  <c r="O963" i="1"/>
  <c r="P963" i="1"/>
  <c r="Q963" i="1"/>
  <c r="R963" i="1"/>
  <c r="S963" i="1"/>
  <c r="T963" i="1"/>
  <c r="U963" i="1"/>
  <c r="V963" i="1"/>
  <c r="W963" i="1"/>
  <c r="X963" i="1"/>
  <c r="Y963" i="1"/>
  <c r="Z963" i="1"/>
  <c r="AA963" i="1"/>
  <c r="AB963" i="1"/>
  <c r="AC963" i="1"/>
  <c r="AD963" i="1"/>
  <c r="AE963" i="1"/>
  <c r="AF963" i="1"/>
  <c r="AG963" i="1"/>
  <c r="AH963" i="1"/>
  <c r="AI963" i="1"/>
  <c r="AJ963" i="1"/>
  <c r="AQ963" i="1"/>
  <c r="AR963" i="1"/>
  <c r="AS963" i="1"/>
  <c r="L964" i="1"/>
  <c r="M964" i="1"/>
  <c r="N964" i="1"/>
  <c r="O964" i="1"/>
  <c r="P964" i="1"/>
  <c r="Q964" i="1"/>
  <c r="R964" i="1"/>
  <c r="S964" i="1"/>
  <c r="T964" i="1"/>
  <c r="U964" i="1"/>
  <c r="V964" i="1"/>
  <c r="W964" i="1"/>
  <c r="X964" i="1"/>
  <c r="Y964" i="1"/>
  <c r="Z964" i="1"/>
  <c r="AA964" i="1"/>
  <c r="AB964" i="1"/>
  <c r="AC964" i="1"/>
  <c r="AD964" i="1"/>
  <c r="AE964" i="1"/>
  <c r="AF964" i="1"/>
  <c r="AG964" i="1"/>
  <c r="AH964" i="1"/>
  <c r="AI964" i="1"/>
  <c r="AJ964" i="1"/>
  <c r="AQ964" i="1"/>
  <c r="AR964" i="1"/>
  <c r="AS964" i="1"/>
  <c r="L965" i="1"/>
  <c r="M965" i="1"/>
  <c r="N965" i="1"/>
  <c r="O965" i="1"/>
  <c r="P965" i="1"/>
  <c r="Q965" i="1"/>
  <c r="R965" i="1"/>
  <c r="S965" i="1"/>
  <c r="T965" i="1"/>
  <c r="U965" i="1"/>
  <c r="V965" i="1"/>
  <c r="W965" i="1"/>
  <c r="X965" i="1"/>
  <c r="Y965" i="1"/>
  <c r="Z965" i="1"/>
  <c r="AA965" i="1"/>
  <c r="AB965" i="1"/>
  <c r="AC965" i="1"/>
  <c r="AD965" i="1"/>
  <c r="AE965" i="1"/>
  <c r="AF965" i="1"/>
  <c r="AG965" i="1"/>
  <c r="AH965" i="1"/>
  <c r="AI965" i="1"/>
  <c r="AJ965" i="1"/>
  <c r="AQ965" i="1"/>
  <c r="AR965" i="1"/>
  <c r="AS965" i="1"/>
  <c r="L966" i="1"/>
  <c r="M966" i="1"/>
  <c r="N966" i="1"/>
  <c r="O966" i="1"/>
  <c r="P966" i="1"/>
  <c r="Q966" i="1"/>
  <c r="R966" i="1"/>
  <c r="S966" i="1"/>
  <c r="T966" i="1"/>
  <c r="U966" i="1"/>
  <c r="V966" i="1"/>
  <c r="W966" i="1"/>
  <c r="X966" i="1"/>
  <c r="Y966" i="1"/>
  <c r="Z966" i="1"/>
  <c r="AA966" i="1"/>
  <c r="AB966" i="1"/>
  <c r="AC966" i="1"/>
  <c r="AD966" i="1"/>
  <c r="AE966" i="1"/>
  <c r="AF966" i="1"/>
  <c r="AG966" i="1"/>
  <c r="AH966" i="1"/>
  <c r="AI966" i="1"/>
  <c r="AJ966" i="1"/>
  <c r="AQ966" i="1"/>
  <c r="AR966" i="1"/>
  <c r="AS966" i="1"/>
  <c r="L967" i="1"/>
  <c r="M967" i="1"/>
  <c r="N967" i="1"/>
  <c r="O967" i="1"/>
  <c r="P967" i="1"/>
  <c r="Q967" i="1"/>
  <c r="R967" i="1"/>
  <c r="S967" i="1"/>
  <c r="T967" i="1"/>
  <c r="U967" i="1"/>
  <c r="V967" i="1"/>
  <c r="W967" i="1"/>
  <c r="X967" i="1"/>
  <c r="Y967" i="1"/>
  <c r="Z967" i="1"/>
  <c r="AA967" i="1"/>
  <c r="AB967" i="1"/>
  <c r="AC967" i="1"/>
  <c r="AD967" i="1"/>
  <c r="AE967" i="1"/>
  <c r="AF967" i="1"/>
  <c r="AG967" i="1"/>
  <c r="AH967" i="1"/>
  <c r="AI967" i="1"/>
  <c r="AJ967" i="1"/>
  <c r="AQ967" i="1"/>
  <c r="AR967" i="1"/>
  <c r="AS967" i="1"/>
  <c r="L968" i="1"/>
  <c r="M968" i="1"/>
  <c r="N968" i="1"/>
  <c r="O968" i="1"/>
  <c r="P968" i="1"/>
  <c r="Q968" i="1"/>
  <c r="R968" i="1"/>
  <c r="S968" i="1"/>
  <c r="T968" i="1"/>
  <c r="U968" i="1"/>
  <c r="V968" i="1"/>
  <c r="W968" i="1"/>
  <c r="X968" i="1"/>
  <c r="Y968" i="1"/>
  <c r="Z968" i="1"/>
  <c r="AA968" i="1"/>
  <c r="AB968" i="1"/>
  <c r="AC968" i="1"/>
  <c r="AD968" i="1"/>
  <c r="AE968" i="1"/>
  <c r="AF968" i="1"/>
  <c r="AG968" i="1"/>
  <c r="AH968" i="1"/>
  <c r="AI968" i="1"/>
  <c r="AJ968" i="1"/>
  <c r="AQ968" i="1"/>
  <c r="AR968" i="1"/>
  <c r="AS968" i="1"/>
  <c r="L969" i="1"/>
  <c r="M969" i="1"/>
  <c r="N969" i="1"/>
  <c r="O969" i="1"/>
  <c r="P969" i="1"/>
  <c r="Q969" i="1"/>
  <c r="R969" i="1"/>
  <c r="S969" i="1"/>
  <c r="T969" i="1"/>
  <c r="U969" i="1"/>
  <c r="V969" i="1"/>
  <c r="W969" i="1"/>
  <c r="X969" i="1"/>
  <c r="Y969" i="1"/>
  <c r="Z969" i="1"/>
  <c r="AA969" i="1"/>
  <c r="AB969" i="1"/>
  <c r="AC969" i="1"/>
  <c r="AD969" i="1"/>
  <c r="AE969" i="1"/>
  <c r="AF969" i="1"/>
  <c r="AG969" i="1"/>
  <c r="AH969" i="1"/>
  <c r="AI969" i="1"/>
  <c r="AJ969" i="1"/>
  <c r="AQ969" i="1"/>
  <c r="AR969" i="1"/>
  <c r="AS969" i="1"/>
  <c r="L970" i="1"/>
  <c r="M970" i="1"/>
  <c r="N970" i="1"/>
  <c r="O970" i="1"/>
  <c r="P970" i="1"/>
  <c r="Q970" i="1"/>
  <c r="R970" i="1"/>
  <c r="S970" i="1"/>
  <c r="T970" i="1"/>
  <c r="U970" i="1"/>
  <c r="V970" i="1"/>
  <c r="W970" i="1"/>
  <c r="X970" i="1"/>
  <c r="Y970" i="1"/>
  <c r="Z970" i="1"/>
  <c r="AA970" i="1"/>
  <c r="AB970" i="1"/>
  <c r="AC970" i="1"/>
  <c r="AD970" i="1"/>
  <c r="AE970" i="1"/>
  <c r="AF970" i="1"/>
  <c r="AG970" i="1"/>
  <c r="AH970" i="1"/>
  <c r="AI970" i="1"/>
  <c r="AJ970" i="1"/>
  <c r="AQ970" i="1"/>
  <c r="AR970" i="1"/>
  <c r="AS970" i="1"/>
  <c r="L971" i="1"/>
  <c r="M971" i="1"/>
  <c r="N971" i="1"/>
  <c r="O971" i="1"/>
  <c r="P971" i="1"/>
  <c r="Q971" i="1"/>
  <c r="R971" i="1"/>
  <c r="S971" i="1"/>
  <c r="T971" i="1"/>
  <c r="U971" i="1"/>
  <c r="V971" i="1"/>
  <c r="W971" i="1"/>
  <c r="X971" i="1"/>
  <c r="Y971" i="1"/>
  <c r="Z971" i="1"/>
  <c r="AA971" i="1"/>
  <c r="AB971" i="1"/>
  <c r="AC971" i="1"/>
  <c r="AD971" i="1"/>
  <c r="AE971" i="1"/>
  <c r="AF971" i="1"/>
  <c r="AG971" i="1"/>
  <c r="AH971" i="1"/>
  <c r="AI971" i="1"/>
  <c r="AJ971" i="1"/>
  <c r="AQ971" i="1"/>
  <c r="AR971" i="1"/>
  <c r="AS971" i="1"/>
  <c r="L972" i="1"/>
  <c r="M972" i="1"/>
  <c r="N972" i="1"/>
  <c r="O972" i="1"/>
  <c r="P972" i="1"/>
  <c r="Q972" i="1"/>
  <c r="R972" i="1"/>
  <c r="S972" i="1"/>
  <c r="T972" i="1"/>
  <c r="U972" i="1"/>
  <c r="V972" i="1"/>
  <c r="W972" i="1"/>
  <c r="X972" i="1"/>
  <c r="Y972" i="1"/>
  <c r="Z972" i="1"/>
  <c r="AA972" i="1"/>
  <c r="AB972" i="1"/>
  <c r="AC972" i="1"/>
  <c r="AD972" i="1"/>
  <c r="AE972" i="1"/>
  <c r="AF972" i="1"/>
  <c r="AG972" i="1"/>
  <c r="AH972" i="1"/>
  <c r="AI972" i="1"/>
  <c r="AJ972" i="1"/>
  <c r="AQ972" i="1"/>
  <c r="AR972" i="1"/>
  <c r="AS972" i="1"/>
  <c r="L973" i="1"/>
  <c r="M973" i="1"/>
  <c r="N973" i="1"/>
  <c r="O973" i="1"/>
  <c r="P973" i="1"/>
  <c r="Q973" i="1"/>
  <c r="R973" i="1"/>
  <c r="S973" i="1"/>
  <c r="T973" i="1"/>
  <c r="U973" i="1"/>
  <c r="V973" i="1"/>
  <c r="W973" i="1"/>
  <c r="X973" i="1"/>
  <c r="Y973" i="1"/>
  <c r="Z973" i="1"/>
  <c r="AA973" i="1"/>
  <c r="AB973" i="1"/>
  <c r="AC973" i="1"/>
  <c r="AD973" i="1"/>
  <c r="AE973" i="1"/>
  <c r="AF973" i="1"/>
  <c r="AG973" i="1"/>
  <c r="AH973" i="1"/>
  <c r="AI973" i="1"/>
  <c r="AJ973" i="1"/>
  <c r="AQ973" i="1"/>
  <c r="AR973" i="1"/>
  <c r="AS973" i="1"/>
  <c r="L974" i="1"/>
  <c r="M974" i="1"/>
  <c r="N974" i="1"/>
  <c r="O974" i="1"/>
  <c r="P974" i="1"/>
  <c r="Q974" i="1"/>
  <c r="R974" i="1"/>
  <c r="S974" i="1"/>
  <c r="T974" i="1"/>
  <c r="U974" i="1"/>
  <c r="V974" i="1"/>
  <c r="W974" i="1"/>
  <c r="X974" i="1"/>
  <c r="Y974" i="1"/>
  <c r="Z974" i="1"/>
  <c r="AA974" i="1"/>
  <c r="AB974" i="1"/>
  <c r="AC974" i="1"/>
  <c r="AD974" i="1"/>
  <c r="AE974" i="1"/>
  <c r="AF974" i="1"/>
  <c r="AG974" i="1"/>
  <c r="AH974" i="1"/>
  <c r="AI974" i="1"/>
  <c r="AJ974" i="1"/>
  <c r="AQ974" i="1"/>
  <c r="AR974" i="1"/>
  <c r="AS974" i="1"/>
  <c r="L975" i="1"/>
  <c r="M975" i="1"/>
  <c r="N975" i="1"/>
  <c r="O975" i="1"/>
  <c r="P975" i="1"/>
  <c r="Q975" i="1"/>
  <c r="R975" i="1"/>
  <c r="S975" i="1"/>
  <c r="T975" i="1"/>
  <c r="U975" i="1"/>
  <c r="V975" i="1"/>
  <c r="W975" i="1"/>
  <c r="X975" i="1"/>
  <c r="Y975" i="1"/>
  <c r="Z975" i="1"/>
  <c r="AA975" i="1"/>
  <c r="AB975" i="1"/>
  <c r="AC975" i="1"/>
  <c r="AD975" i="1"/>
  <c r="AE975" i="1"/>
  <c r="AF975" i="1"/>
  <c r="AG975" i="1"/>
  <c r="AH975" i="1"/>
  <c r="AI975" i="1"/>
  <c r="AJ975" i="1"/>
  <c r="AQ975" i="1"/>
  <c r="AR975" i="1"/>
  <c r="AS975" i="1"/>
  <c r="L976" i="1"/>
  <c r="M976" i="1"/>
  <c r="N976" i="1"/>
  <c r="O976" i="1"/>
  <c r="P976" i="1"/>
  <c r="Q976" i="1"/>
  <c r="R976" i="1"/>
  <c r="S976" i="1"/>
  <c r="T976" i="1"/>
  <c r="U976" i="1"/>
  <c r="V976" i="1"/>
  <c r="W976" i="1"/>
  <c r="X976" i="1"/>
  <c r="Y976" i="1"/>
  <c r="Z976" i="1"/>
  <c r="AA976" i="1"/>
  <c r="AB976" i="1"/>
  <c r="AC976" i="1"/>
  <c r="AD976" i="1"/>
  <c r="AE976" i="1"/>
  <c r="AF976" i="1"/>
  <c r="AG976" i="1"/>
  <c r="AH976" i="1"/>
  <c r="AI976" i="1"/>
  <c r="AJ976" i="1"/>
  <c r="AQ976" i="1"/>
  <c r="AR976" i="1"/>
  <c r="AS976" i="1"/>
  <c r="L977" i="1"/>
  <c r="M977" i="1"/>
  <c r="N977" i="1"/>
  <c r="O977" i="1"/>
  <c r="P977" i="1"/>
  <c r="Q977" i="1"/>
  <c r="R977" i="1"/>
  <c r="S977" i="1"/>
  <c r="T977" i="1"/>
  <c r="U977" i="1"/>
  <c r="V977" i="1"/>
  <c r="W977" i="1"/>
  <c r="X977" i="1"/>
  <c r="Y977" i="1"/>
  <c r="Z977" i="1"/>
  <c r="AA977" i="1"/>
  <c r="AB977" i="1"/>
  <c r="AC977" i="1"/>
  <c r="AD977" i="1"/>
  <c r="AE977" i="1"/>
  <c r="AF977" i="1"/>
  <c r="AG977" i="1"/>
  <c r="AH977" i="1"/>
  <c r="AI977" i="1"/>
  <c r="AJ977" i="1"/>
  <c r="AQ977" i="1"/>
  <c r="AR977" i="1"/>
  <c r="AS977" i="1"/>
  <c r="L978" i="1"/>
  <c r="M978" i="1"/>
  <c r="N978" i="1"/>
  <c r="O978" i="1"/>
  <c r="P978" i="1"/>
  <c r="Q978" i="1"/>
  <c r="R978" i="1"/>
  <c r="S978" i="1"/>
  <c r="T978" i="1"/>
  <c r="U978" i="1"/>
  <c r="V978" i="1"/>
  <c r="W978" i="1"/>
  <c r="X978" i="1"/>
  <c r="Y978" i="1"/>
  <c r="Z978" i="1"/>
  <c r="AA978" i="1"/>
  <c r="AB978" i="1"/>
  <c r="AC978" i="1"/>
  <c r="AD978" i="1"/>
  <c r="AE978" i="1"/>
  <c r="AF978" i="1"/>
  <c r="AG978" i="1"/>
  <c r="AH978" i="1"/>
  <c r="AI978" i="1"/>
  <c r="AJ978" i="1"/>
  <c r="AQ978" i="1"/>
  <c r="AR978" i="1"/>
  <c r="AS978" i="1"/>
  <c r="L979" i="1"/>
  <c r="M979" i="1"/>
  <c r="N979" i="1"/>
  <c r="O979" i="1"/>
  <c r="P979" i="1"/>
  <c r="Q979" i="1"/>
  <c r="R979" i="1"/>
  <c r="S979" i="1"/>
  <c r="T979" i="1"/>
  <c r="U979" i="1"/>
  <c r="V979" i="1"/>
  <c r="W979" i="1"/>
  <c r="X979" i="1"/>
  <c r="Y979" i="1"/>
  <c r="Z979" i="1"/>
  <c r="AA979" i="1"/>
  <c r="AB979" i="1"/>
  <c r="AC979" i="1"/>
  <c r="AD979" i="1"/>
  <c r="AE979" i="1"/>
  <c r="AF979" i="1"/>
  <c r="AG979" i="1"/>
  <c r="AH979" i="1"/>
  <c r="AI979" i="1"/>
  <c r="AJ979" i="1"/>
  <c r="AQ979" i="1"/>
  <c r="AR979" i="1"/>
  <c r="AS979" i="1"/>
  <c r="L980" i="1"/>
  <c r="M980" i="1"/>
  <c r="N980" i="1"/>
  <c r="O980" i="1"/>
  <c r="P980" i="1"/>
  <c r="Q980" i="1"/>
  <c r="R980" i="1"/>
  <c r="S980" i="1"/>
  <c r="T980" i="1"/>
  <c r="U980" i="1"/>
  <c r="V980" i="1"/>
  <c r="W980" i="1"/>
  <c r="X980" i="1"/>
  <c r="Y980" i="1"/>
  <c r="Z980" i="1"/>
  <c r="AA980" i="1"/>
  <c r="AB980" i="1"/>
  <c r="AC980" i="1"/>
  <c r="AD980" i="1"/>
  <c r="AE980" i="1"/>
  <c r="AF980" i="1"/>
  <c r="AG980" i="1"/>
  <c r="AH980" i="1"/>
  <c r="AI980" i="1"/>
  <c r="AJ980" i="1"/>
  <c r="AQ980" i="1"/>
  <c r="AR980" i="1"/>
  <c r="AS980" i="1"/>
  <c r="L981" i="1"/>
  <c r="M981" i="1"/>
  <c r="N981" i="1"/>
  <c r="O981" i="1"/>
  <c r="P981" i="1"/>
  <c r="Q981" i="1"/>
  <c r="R981" i="1"/>
  <c r="S981" i="1"/>
  <c r="T981" i="1"/>
  <c r="U981" i="1"/>
  <c r="V981" i="1"/>
  <c r="W981" i="1"/>
  <c r="X981" i="1"/>
  <c r="Y981" i="1"/>
  <c r="Z981" i="1"/>
  <c r="AA981" i="1"/>
  <c r="AB981" i="1"/>
  <c r="AC981" i="1"/>
  <c r="AD981" i="1"/>
  <c r="AE981" i="1"/>
  <c r="AF981" i="1"/>
  <c r="AG981" i="1"/>
  <c r="AH981" i="1"/>
  <c r="AI981" i="1"/>
  <c r="AJ981" i="1"/>
  <c r="AQ981" i="1"/>
  <c r="AR981" i="1"/>
  <c r="AS981" i="1"/>
  <c r="L982" i="1"/>
  <c r="M982" i="1"/>
  <c r="N982" i="1"/>
  <c r="O982" i="1"/>
  <c r="P982" i="1"/>
  <c r="Q982" i="1"/>
  <c r="R982" i="1"/>
  <c r="S982" i="1"/>
  <c r="T982" i="1"/>
  <c r="U982" i="1"/>
  <c r="V982" i="1"/>
  <c r="W982" i="1"/>
  <c r="X982" i="1"/>
  <c r="Y982" i="1"/>
  <c r="Z982" i="1"/>
  <c r="AA982" i="1"/>
  <c r="AB982" i="1"/>
  <c r="AC982" i="1"/>
  <c r="AD982" i="1"/>
  <c r="AE982" i="1"/>
  <c r="AF982" i="1"/>
  <c r="AG982" i="1"/>
  <c r="AH982" i="1"/>
  <c r="AI982" i="1"/>
  <c r="AJ982" i="1"/>
  <c r="AQ982" i="1"/>
  <c r="AR982" i="1"/>
  <c r="AS982" i="1"/>
  <c r="L983" i="1"/>
  <c r="M983" i="1"/>
  <c r="N983" i="1"/>
  <c r="O983" i="1"/>
  <c r="P983" i="1"/>
  <c r="Q983" i="1"/>
  <c r="R983" i="1"/>
  <c r="S983" i="1"/>
  <c r="T983" i="1"/>
  <c r="U983" i="1"/>
  <c r="V983" i="1"/>
  <c r="W983" i="1"/>
  <c r="X983" i="1"/>
  <c r="Y983" i="1"/>
  <c r="Z983" i="1"/>
  <c r="AA983" i="1"/>
  <c r="AB983" i="1"/>
  <c r="AC983" i="1"/>
  <c r="AD983" i="1"/>
  <c r="AE983" i="1"/>
  <c r="AF983" i="1"/>
  <c r="AG983" i="1"/>
  <c r="AH983" i="1"/>
  <c r="AI983" i="1"/>
  <c r="AJ983" i="1"/>
  <c r="AQ983" i="1"/>
  <c r="AR983" i="1"/>
  <c r="AS983" i="1"/>
  <c r="L984" i="1"/>
  <c r="M984" i="1"/>
  <c r="N984" i="1"/>
  <c r="O984" i="1"/>
  <c r="P984" i="1"/>
  <c r="Q984" i="1"/>
  <c r="R984" i="1"/>
  <c r="S984" i="1"/>
  <c r="T984" i="1"/>
  <c r="U984" i="1"/>
  <c r="V984" i="1"/>
  <c r="W984" i="1"/>
  <c r="X984" i="1"/>
  <c r="Y984" i="1"/>
  <c r="Z984" i="1"/>
  <c r="AA984" i="1"/>
  <c r="AB984" i="1"/>
  <c r="AC984" i="1"/>
  <c r="AD984" i="1"/>
  <c r="AE984" i="1"/>
  <c r="AF984" i="1"/>
  <c r="AG984" i="1"/>
  <c r="AH984" i="1"/>
  <c r="AI984" i="1"/>
  <c r="AJ984" i="1"/>
  <c r="AQ984" i="1"/>
  <c r="AR984" i="1"/>
  <c r="AS984" i="1"/>
  <c r="L985" i="1"/>
  <c r="M985" i="1"/>
  <c r="N985" i="1"/>
  <c r="O985" i="1"/>
  <c r="P985" i="1"/>
  <c r="Q985" i="1"/>
  <c r="R985" i="1"/>
  <c r="S985" i="1"/>
  <c r="T985" i="1"/>
  <c r="U985" i="1"/>
  <c r="V985" i="1"/>
  <c r="W985" i="1"/>
  <c r="X985" i="1"/>
  <c r="Y985" i="1"/>
  <c r="Z985" i="1"/>
  <c r="AA985" i="1"/>
  <c r="AB985" i="1"/>
  <c r="AC985" i="1"/>
  <c r="AD985" i="1"/>
  <c r="AE985" i="1"/>
  <c r="AF985" i="1"/>
  <c r="AG985" i="1"/>
  <c r="AH985" i="1"/>
  <c r="AI985" i="1"/>
  <c r="AJ985" i="1"/>
  <c r="AQ985" i="1"/>
  <c r="AR985" i="1"/>
  <c r="AS985" i="1"/>
  <c r="L986" i="1"/>
  <c r="M986" i="1"/>
  <c r="N986" i="1"/>
  <c r="O986" i="1"/>
  <c r="P986" i="1"/>
  <c r="Q986" i="1"/>
  <c r="R986" i="1"/>
  <c r="S986" i="1"/>
  <c r="T986" i="1"/>
  <c r="U986" i="1"/>
  <c r="V986" i="1"/>
  <c r="W986" i="1"/>
  <c r="X986" i="1"/>
  <c r="Y986" i="1"/>
  <c r="Z986" i="1"/>
  <c r="AA986" i="1"/>
  <c r="AB986" i="1"/>
  <c r="AC986" i="1"/>
  <c r="AD986" i="1"/>
  <c r="AE986" i="1"/>
  <c r="AF986" i="1"/>
  <c r="AG986" i="1"/>
  <c r="AH986" i="1"/>
  <c r="AI986" i="1"/>
  <c r="AJ986" i="1"/>
  <c r="AQ986" i="1"/>
  <c r="AR986" i="1"/>
  <c r="AS986" i="1"/>
  <c r="L987" i="1"/>
  <c r="M987" i="1"/>
  <c r="N987" i="1"/>
  <c r="O987" i="1"/>
  <c r="P987" i="1"/>
  <c r="Q987" i="1"/>
  <c r="R987" i="1"/>
  <c r="S987" i="1"/>
  <c r="T987" i="1"/>
  <c r="U987" i="1"/>
  <c r="V987" i="1"/>
  <c r="W987" i="1"/>
  <c r="X987" i="1"/>
  <c r="Y987" i="1"/>
  <c r="Z987" i="1"/>
  <c r="AA987" i="1"/>
  <c r="AB987" i="1"/>
  <c r="AC987" i="1"/>
  <c r="AD987" i="1"/>
  <c r="AE987" i="1"/>
  <c r="AF987" i="1"/>
  <c r="AG987" i="1"/>
  <c r="AH987" i="1"/>
  <c r="AI987" i="1"/>
  <c r="AJ987" i="1"/>
  <c r="AQ987" i="1"/>
  <c r="AR987" i="1"/>
  <c r="AS987" i="1"/>
  <c r="L988" i="1"/>
  <c r="M988" i="1"/>
  <c r="N988" i="1"/>
  <c r="O988" i="1"/>
  <c r="P988" i="1"/>
  <c r="Q988" i="1"/>
  <c r="R988" i="1"/>
  <c r="S988" i="1"/>
  <c r="T988" i="1"/>
  <c r="U988" i="1"/>
  <c r="V988" i="1"/>
  <c r="W988" i="1"/>
  <c r="X988" i="1"/>
  <c r="Y988" i="1"/>
  <c r="Z988" i="1"/>
  <c r="AA988" i="1"/>
  <c r="AB988" i="1"/>
  <c r="AC988" i="1"/>
  <c r="AD988" i="1"/>
  <c r="AE988" i="1"/>
  <c r="AF988" i="1"/>
  <c r="AG988" i="1"/>
  <c r="AH988" i="1"/>
  <c r="AI988" i="1"/>
  <c r="AJ988" i="1"/>
  <c r="AQ988" i="1"/>
  <c r="AR988" i="1"/>
  <c r="AS988" i="1"/>
  <c r="L989" i="1"/>
  <c r="M989" i="1"/>
  <c r="N989" i="1"/>
  <c r="O989" i="1"/>
  <c r="P989" i="1"/>
  <c r="Q989" i="1"/>
  <c r="R989" i="1"/>
  <c r="S989" i="1"/>
  <c r="T989" i="1"/>
  <c r="U989" i="1"/>
  <c r="V989" i="1"/>
  <c r="W989" i="1"/>
  <c r="X989" i="1"/>
  <c r="Y989" i="1"/>
  <c r="Z989" i="1"/>
  <c r="AA989" i="1"/>
  <c r="AB989" i="1"/>
  <c r="AC989" i="1"/>
  <c r="AD989" i="1"/>
  <c r="AE989" i="1"/>
  <c r="AF989" i="1"/>
  <c r="AG989" i="1"/>
  <c r="AH989" i="1"/>
  <c r="AI989" i="1"/>
  <c r="AJ989" i="1"/>
  <c r="AQ989" i="1"/>
  <c r="AR989" i="1"/>
  <c r="AS989" i="1"/>
  <c r="L990" i="1"/>
  <c r="M990" i="1"/>
  <c r="N990" i="1"/>
  <c r="O990" i="1"/>
  <c r="P990" i="1"/>
  <c r="Q990" i="1"/>
  <c r="R990" i="1"/>
  <c r="S990" i="1"/>
  <c r="T990" i="1"/>
  <c r="U990" i="1"/>
  <c r="V990" i="1"/>
  <c r="W990" i="1"/>
  <c r="X990" i="1"/>
  <c r="Y990" i="1"/>
  <c r="Z990" i="1"/>
  <c r="AA990" i="1"/>
  <c r="AB990" i="1"/>
  <c r="AC990" i="1"/>
  <c r="AD990" i="1"/>
  <c r="AE990" i="1"/>
  <c r="AF990" i="1"/>
  <c r="AG990" i="1"/>
  <c r="AH990" i="1"/>
  <c r="AI990" i="1"/>
  <c r="AJ990" i="1"/>
  <c r="AQ990" i="1"/>
  <c r="AR990" i="1"/>
  <c r="AS990" i="1"/>
  <c r="L991" i="1"/>
  <c r="M991" i="1"/>
  <c r="N991" i="1"/>
  <c r="O991" i="1"/>
  <c r="P991" i="1"/>
  <c r="Q991" i="1"/>
  <c r="R991" i="1"/>
  <c r="S991" i="1"/>
  <c r="T991" i="1"/>
  <c r="U991" i="1"/>
  <c r="V991" i="1"/>
  <c r="W991" i="1"/>
  <c r="X991" i="1"/>
  <c r="Y991" i="1"/>
  <c r="Z991" i="1"/>
  <c r="AA991" i="1"/>
  <c r="AB991" i="1"/>
  <c r="AC991" i="1"/>
  <c r="AD991" i="1"/>
  <c r="AE991" i="1"/>
  <c r="AF991" i="1"/>
  <c r="AG991" i="1"/>
  <c r="AH991" i="1"/>
  <c r="AI991" i="1"/>
  <c r="AJ991" i="1"/>
  <c r="AQ991" i="1"/>
  <c r="AR991" i="1"/>
  <c r="AS991" i="1"/>
  <c r="L992" i="1"/>
  <c r="M992" i="1"/>
  <c r="N992" i="1"/>
  <c r="O992" i="1"/>
  <c r="P992" i="1"/>
  <c r="Q992" i="1"/>
  <c r="R992" i="1"/>
  <c r="S992" i="1"/>
  <c r="T992" i="1"/>
  <c r="U992" i="1"/>
  <c r="V992" i="1"/>
  <c r="W992" i="1"/>
  <c r="X992" i="1"/>
  <c r="Y992" i="1"/>
  <c r="Z992" i="1"/>
  <c r="AA992" i="1"/>
  <c r="AB992" i="1"/>
  <c r="AC992" i="1"/>
  <c r="AD992" i="1"/>
  <c r="AE992" i="1"/>
  <c r="AF992" i="1"/>
  <c r="AG992" i="1"/>
  <c r="AH992" i="1"/>
  <c r="AI992" i="1"/>
  <c r="AJ992" i="1"/>
  <c r="AQ992" i="1"/>
  <c r="AR992" i="1"/>
  <c r="AS992" i="1"/>
  <c r="L993" i="1"/>
  <c r="M993" i="1"/>
  <c r="N993" i="1"/>
  <c r="O993" i="1"/>
  <c r="P993" i="1"/>
  <c r="Q993" i="1"/>
  <c r="R993" i="1"/>
  <c r="S993" i="1"/>
  <c r="T993" i="1"/>
  <c r="U993" i="1"/>
  <c r="V993" i="1"/>
  <c r="W993" i="1"/>
  <c r="X993" i="1"/>
  <c r="Y993" i="1"/>
  <c r="Z993" i="1"/>
  <c r="AA993" i="1"/>
  <c r="AB993" i="1"/>
  <c r="AC993" i="1"/>
  <c r="AD993" i="1"/>
  <c r="AE993" i="1"/>
  <c r="AF993" i="1"/>
  <c r="AG993" i="1"/>
  <c r="AH993" i="1"/>
  <c r="AI993" i="1"/>
  <c r="AJ993" i="1"/>
  <c r="AQ993" i="1"/>
  <c r="AR993" i="1"/>
  <c r="AS993" i="1"/>
  <c r="L994" i="1"/>
  <c r="M994" i="1"/>
  <c r="N994" i="1"/>
  <c r="O994" i="1"/>
  <c r="P994" i="1"/>
  <c r="Q994" i="1"/>
  <c r="R994" i="1"/>
  <c r="S994" i="1"/>
  <c r="T994" i="1"/>
  <c r="U994" i="1"/>
  <c r="V994" i="1"/>
  <c r="W994" i="1"/>
  <c r="X994" i="1"/>
  <c r="Y994" i="1"/>
  <c r="Z994" i="1"/>
  <c r="AA994" i="1"/>
  <c r="AB994" i="1"/>
  <c r="AC994" i="1"/>
  <c r="AD994" i="1"/>
  <c r="AE994" i="1"/>
  <c r="AF994" i="1"/>
  <c r="AG994" i="1"/>
  <c r="AH994" i="1"/>
  <c r="AI994" i="1"/>
  <c r="AJ994" i="1"/>
  <c r="AQ994" i="1"/>
  <c r="AR994" i="1"/>
  <c r="AS994" i="1"/>
  <c r="L995" i="1"/>
  <c r="M995" i="1"/>
  <c r="N995" i="1"/>
  <c r="O995" i="1"/>
  <c r="P995" i="1"/>
  <c r="Q995" i="1"/>
  <c r="R995" i="1"/>
  <c r="S995" i="1"/>
  <c r="T995" i="1"/>
  <c r="U995" i="1"/>
  <c r="V995" i="1"/>
  <c r="W995" i="1"/>
  <c r="X995" i="1"/>
  <c r="Y995" i="1"/>
  <c r="Z995" i="1"/>
  <c r="AA995" i="1"/>
  <c r="AB995" i="1"/>
  <c r="AC995" i="1"/>
  <c r="AD995" i="1"/>
  <c r="AE995" i="1"/>
  <c r="AF995" i="1"/>
  <c r="AG995" i="1"/>
  <c r="AH995" i="1"/>
  <c r="AI995" i="1"/>
  <c r="AJ995" i="1"/>
  <c r="AQ995" i="1"/>
  <c r="AR995" i="1"/>
  <c r="AS995" i="1"/>
  <c r="L996" i="1"/>
  <c r="M996" i="1"/>
  <c r="N996" i="1"/>
  <c r="O996" i="1"/>
  <c r="P996" i="1"/>
  <c r="Q996" i="1"/>
  <c r="R996" i="1"/>
  <c r="S996" i="1"/>
  <c r="T996" i="1"/>
  <c r="U996" i="1"/>
  <c r="V996" i="1"/>
  <c r="W996" i="1"/>
  <c r="X996" i="1"/>
  <c r="Y996" i="1"/>
  <c r="Z996" i="1"/>
  <c r="AA996" i="1"/>
  <c r="AB996" i="1"/>
  <c r="AC996" i="1"/>
  <c r="AD996" i="1"/>
  <c r="AE996" i="1"/>
  <c r="AF996" i="1"/>
  <c r="AG996" i="1"/>
  <c r="AH996" i="1"/>
  <c r="AI996" i="1"/>
  <c r="AJ996" i="1"/>
  <c r="AQ996" i="1"/>
  <c r="AR996" i="1"/>
  <c r="AS996" i="1"/>
  <c r="L997" i="1"/>
  <c r="M997" i="1"/>
  <c r="N997" i="1"/>
  <c r="O997" i="1"/>
  <c r="P997" i="1"/>
  <c r="Q997" i="1"/>
  <c r="R997" i="1"/>
  <c r="S997" i="1"/>
  <c r="T997" i="1"/>
  <c r="U997" i="1"/>
  <c r="V997" i="1"/>
  <c r="W997" i="1"/>
  <c r="X997" i="1"/>
  <c r="Y997" i="1"/>
  <c r="Z997" i="1"/>
  <c r="AA997" i="1"/>
  <c r="AB997" i="1"/>
  <c r="AC997" i="1"/>
  <c r="AD997" i="1"/>
  <c r="AE997" i="1"/>
  <c r="AF997" i="1"/>
  <c r="AG997" i="1"/>
  <c r="AH997" i="1"/>
  <c r="AI997" i="1"/>
  <c r="AJ997" i="1"/>
  <c r="AQ997" i="1"/>
  <c r="AR997" i="1"/>
  <c r="AS997" i="1"/>
  <c r="L998" i="1"/>
  <c r="M998" i="1"/>
  <c r="N998" i="1"/>
  <c r="O998" i="1"/>
  <c r="P998" i="1"/>
  <c r="Q998" i="1"/>
  <c r="R998" i="1"/>
  <c r="S998" i="1"/>
  <c r="T998" i="1"/>
  <c r="U998" i="1"/>
  <c r="V998" i="1"/>
  <c r="W998" i="1"/>
  <c r="X998" i="1"/>
  <c r="Y998" i="1"/>
  <c r="Z998" i="1"/>
  <c r="AA998" i="1"/>
  <c r="AB998" i="1"/>
  <c r="AC998" i="1"/>
  <c r="AD998" i="1"/>
  <c r="AE998" i="1"/>
  <c r="AF998" i="1"/>
  <c r="AG998" i="1"/>
  <c r="AH998" i="1"/>
  <c r="AI998" i="1"/>
  <c r="AJ998" i="1"/>
  <c r="AQ998" i="1"/>
  <c r="AR998" i="1"/>
  <c r="AS998" i="1"/>
  <c r="L999" i="1"/>
  <c r="M999" i="1"/>
  <c r="N999" i="1"/>
  <c r="O999" i="1"/>
  <c r="P999" i="1"/>
  <c r="Q999" i="1"/>
  <c r="R999" i="1"/>
  <c r="S999" i="1"/>
  <c r="T999" i="1"/>
  <c r="U999" i="1"/>
  <c r="V999" i="1"/>
  <c r="W999" i="1"/>
  <c r="X999" i="1"/>
  <c r="Y999" i="1"/>
  <c r="Z999" i="1"/>
  <c r="AA999" i="1"/>
  <c r="AB999" i="1"/>
  <c r="AC999" i="1"/>
  <c r="AD999" i="1"/>
  <c r="AE999" i="1"/>
  <c r="AF999" i="1"/>
  <c r="AG999" i="1"/>
  <c r="AH999" i="1"/>
  <c r="AI999" i="1"/>
  <c r="AJ999" i="1"/>
  <c r="AQ999" i="1"/>
  <c r="AR999" i="1"/>
  <c r="AS999" i="1"/>
  <c r="L1000" i="1"/>
  <c r="M1000" i="1"/>
  <c r="N1000" i="1"/>
  <c r="O1000" i="1"/>
  <c r="P1000" i="1"/>
  <c r="Q1000" i="1"/>
  <c r="R1000" i="1"/>
  <c r="S1000" i="1"/>
  <c r="T1000" i="1"/>
  <c r="U1000" i="1"/>
  <c r="V1000" i="1"/>
  <c r="W1000" i="1"/>
  <c r="X1000" i="1"/>
  <c r="Y1000" i="1"/>
  <c r="Z1000" i="1"/>
  <c r="AA1000" i="1"/>
  <c r="AB1000" i="1"/>
  <c r="AC1000" i="1"/>
  <c r="AD1000" i="1"/>
  <c r="AE1000" i="1"/>
  <c r="AF1000" i="1"/>
  <c r="AG1000" i="1"/>
  <c r="AH1000" i="1"/>
  <c r="AI1000" i="1"/>
  <c r="AJ1000" i="1"/>
  <c r="AQ1000" i="1"/>
  <c r="AR1000" i="1"/>
  <c r="AS1000" i="1"/>
  <c r="L1001" i="1"/>
  <c r="M1001" i="1"/>
  <c r="N1001" i="1"/>
  <c r="O1001" i="1"/>
  <c r="P1001" i="1"/>
  <c r="Q1001" i="1"/>
  <c r="R1001" i="1"/>
  <c r="S1001" i="1"/>
  <c r="T1001" i="1"/>
  <c r="U1001" i="1"/>
  <c r="V1001" i="1"/>
  <c r="W1001" i="1"/>
  <c r="X1001" i="1"/>
  <c r="Y1001" i="1"/>
  <c r="Z1001" i="1"/>
  <c r="AA1001" i="1"/>
  <c r="AB1001" i="1"/>
  <c r="AC1001" i="1"/>
  <c r="AD1001" i="1"/>
  <c r="AE1001" i="1"/>
  <c r="AF1001" i="1"/>
  <c r="AG1001" i="1"/>
  <c r="AH1001" i="1"/>
  <c r="AI1001" i="1"/>
  <c r="AJ1001" i="1"/>
  <c r="AQ1001" i="1"/>
  <c r="AR1001" i="1"/>
  <c r="AS1001" i="1"/>
  <c r="L1002" i="1"/>
  <c r="M1002" i="1"/>
  <c r="N1002" i="1"/>
  <c r="O1002" i="1"/>
  <c r="P1002" i="1"/>
  <c r="Q1002" i="1"/>
  <c r="R1002" i="1"/>
  <c r="S1002" i="1"/>
  <c r="T1002" i="1"/>
  <c r="U1002" i="1"/>
  <c r="V1002" i="1"/>
  <c r="W1002" i="1"/>
  <c r="X1002" i="1"/>
  <c r="Y1002" i="1"/>
  <c r="Z1002" i="1"/>
  <c r="AA1002" i="1"/>
  <c r="AB1002" i="1"/>
  <c r="AC1002" i="1"/>
  <c r="AD1002" i="1"/>
  <c r="AE1002" i="1"/>
  <c r="AF1002" i="1"/>
  <c r="AG1002" i="1"/>
  <c r="AH1002" i="1"/>
  <c r="AI1002" i="1"/>
  <c r="AJ1002" i="1"/>
  <c r="AQ1002" i="1"/>
  <c r="AR1002" i="1"/>
  <c r="AS1002" i="1"/>
  <c r="L1003" i="1"/>
  <c r="M1003" i="1"/>
  <c r="N1003" i="1"/>
  <c r="O1003" i="1"/>
  <c r="P1003" i="1"/>
  <c r="Q1003" i="1"/>
  <c r="R1003" i="1"/>
  <c r="S1003" i="1"/>
  <c r="T1003" i="1"/>
  <c r="U1003" i="1"/>
  <c r="V1003" i="1"/>
  <c r="W1003" i="1"/>
  <c r="X1003" i="1"/>
  <c r="Y1003" i="1"/>
  <c r="Z1003" i="1"/>
  <c r="AA1003" i="1"/>
  <c r="AB1003" i="1"/>
  <c r="AC1003" i="1"/>
  <c r="AD1003" i="1"/>
  <c r="AE1003" i="1"/>
  <c r="AF1003" i="1"/>
  <c r="AG1003" i="1"/>
  <c r="AH1003" i="1"/>
  <c r="AI1003" i="1"/>
  <c r="AJ1003" i="1"/>
  <c r="AQ1003" i="1"/>
  <c r="AR1003" i="1"/>
  <c r="AS1003" i="1"/>
  <c r="L1004" i="1"/>
  <c r="M1004" i="1"/>
  <c r="N1004" i="1"/>
  <c r="O1004" i="1"/>
  <c r="P1004" i="1"/>
  <c r="Q1004" i="1"/>
  <c r="R1004" i="1"/>
  <c r="S1004" i="1"/>
  <c r="T1004" i="1"/>
  <c r="U1004" i="1"/>
  <c r="V1004" i="1"/>
  <c r="W1004" i="1"/>
  <c r="X1004" i="1"/>
  <c r="Y1004" i="1"/>
  <c r="Z1004" i="1"/>
  <c r="AA1004" i="1"/>
  <c r="AB1004" i="1"/>
  <c r="AC1004" i="1"/>
  <c r="AD1004" i="1"/>
  <c r="AE1004" i="1"/>
  <c r="AF1004" i="1"/>
  <c r="AG1004" i="1"/>
  <c r="AH1004" i="1"/>
  <c r="AI1004" i="1"/>
  <c r="AJ1004" i="1"/>
  <c r="AQ1004" i="1"/>
  <c r="AR1004" i="1"/>
  <c r="AS1004" i="1"/>
  <c r="L1005" i="1"/>
  <c r="M1005" i="1"/>
  <c r="N1005" i="1"/>
  <c r="O1005" i="1"/>
  <c r="P1005" i="1"/>
  <c r="Q1005" i="1"/>
  <c r="R1005" i="1"/>
  <c r="S1005" i="1"/>
  <c r="T1005" i="1"/>
  <c r="U1005" i="1"/>
  <c r="V1005" i="1"/>
  <c r="W1005" i="1"/>
  <c r="X1005" i="1"/>
  <c r="Y1005" i="1"/>
  <c r="Z1005" i="1"/>
  <c r="AA1005" i="1"/>
  <c r="AB1005" i="1"/>
  <c r="AC1005" i="1"/>
  <c r="AD1005" i="1"/>
  <c r="AE1005" i="1"/>
  <c r="AF1005" i="1"/>
  <c r="AG1005" i="1"/>
  <c r="AH1005" i="1"/>
  <c r="AI1005" i="1"/>
  <c r="AJ1005" i="1"/>
  <c r="AQ1005" i="1"/>
  <c r="AR1005" i="1"/>
  <c r="AS1005" i="1"/>
  <c r="L1006" i="1"/>
  <c r="M1006" i="1"/>
  <c r="N1006" i="1"/>
  <c r="O1006" i="1"/>
  <c r="P1006" i="1"/>
  <c r="Q1006" i="1"/>
  <c r="R1006" i="1"/>
  <c r="S1006" i="1"/>
  <c r="T1006" i="1"/>
  <c r="U1006" i="1"/>
  <c r="V1006" i="1"/>
  <c r="W1006" i="1"/>
  <c r="X1006" i="1"/>
  <c r="Y1006" i="1"/>
  <c r="Z1006" i="1"/>
  <c r="AA1006" i="1"/>
  <c r="AB1006" i="1"/>
  <c r="AC1006" i="1"/>
  <c r="AD1006" i="1"/>
  <c r="AE1006" i="1"/>
  <c r="AF1006" i="1"/>
  <c r="AG1006" i="1"/>
  <c r="AH1006" i="1"/>
  <c r="AI1006" i="1"/>
  <c r="AJ1006" i="1"/>
  <c r="AQ1006" i="1"/>
  <c r="AR1006" i="1"/>
  <c r="AS1006" i="1"/>
  <c r="L1007" i="1"/>
  <c r="M1007" i="1"/>
  <c r="N1007" i="1"/>
  <c r="O1007" i="1"/>
  <c r="P1007" i="1"/>
  <c r="Q1007" i="1"/>
  <c r="R1007" i="1"/>
  <c r="S1007" i="1"/>
  <c r="T1007" i="1"/>
  <c r="U1007" i="1"/>
  <c r="V1007" i="1"/>
  <c r="W1007" i="1"/>
  <c r="X1007" i="1"/>
  <c r="Y1007" i="1"/>
  <c r="Z1007" i="1"/>
  <c r="AA1007" i="1"/>
  <c r="AB1007" i="1"/>
  <c r="AC1007" i="1"/>
  <c r="AD1007" i="1"/>
  <c r="AE1007" i="1"/>
  <c r="AF1007" i="1"/>
  <c r="AG1007" i="1"/>
  <c r="AH1007" i="1"/>
  <c r="AI1007" i="1"/>
  <c r="AJ1007" i="1"/>
  <c r="AQ1007" i="1"/>
  <c r="AR1007" i="1"/>
  <c r="AS1007" i="1"/>
  <c r="L1008" i="1"/>
  <c r="M1008" i="1"/>
  <c r="N1008" i="1"/>
  <c r="O1008" i="1"/>
  <c r="P1008" i="1"/>
  <c r="Q1008" i="1"/>
  <c r="R1008" i="1"/>
  <c r="S1008" i="1"/>
  <c r="T1008" i="1"/>
  <c r="U1008" i="1"/>
  <c r="V1008" i="1"/>
  <c r="W1008" i="1"/>
  <c r="X1008" i="1"/>
  <c r="Y1008" i="1"/>
  <c r="Z1008" i="1"/>
  <c r="AA1008" i="1"/>
  <c r="AB1008" i="1"/>
  <c r="AC1008" i="1"/>
  <c r="AD1008" i="1"/>
  <c r="AE1008" i="1"/>
  <c r="AF1008" i="1"/>
  <c r="AG1008" i="1"/>
  <c r="AH1008" i="1"/>
  <c r="AI1008" i="1"/>
  <c r="AJ1008" i="1"/>
  <c r="AQ1008" i="1"/>
  <c r="AR1008" i="1"/>
  <c r="AS1008" i="1"/>
  <c r="L1009" i="1"/>
  <c r="M1009" i="1"/>
  <c r="N1009" i="1"/>
  <c r="O1009" i="1"/>
  <c r="P1009" i="1"/>
  <c r="Q1009" i="1"/>
  <c r="R1009" i="1"/>
  <c r="S1009" i="1"/>
  <c r="T1009" i="1"/>
  <c r="U1009" i="1"/>
  <c r="V1009" i="1"/>
  <c r="W1009" i="1"/>
  <c r="X1009" i="1"/>
  <c r="Y1009" i="1"/>
  <c r="Z1009" i="1"/>
  <c r="AA1009" i="1"/>
  <c r="AB1009" i="1"/>
  <c r="AC1009" i="1"/>
  <c r="AD1009" i="1"/>
  <c r="AE1009" i="1"/>
  <c r="AF1009" i="1"/>
  <c r="AG1009" i="1"/>
  <c r="AH1009" i="1"/>
  <c r="AI1009" i="1"/>
  <c r="AJ1009" i="1"/>
  <c r="AQ1009" i="1"/>
  <c r="AR1009" i="1"/>
  <c r="AS1009" i="1"/>
  <c r="L1010" i="1"/>
  <c r="M1010" i="1"/>
  <c r="N1010" i="1"/>
  <c r="O1010" i="1"/>
  <c r="P1010" i="1"/>
  <c r="Q1010" i="1"/>
  <c r="R1010" i="1"/>
  <c r="S1010" i="1"/>
  <c r="T1010" i="1"/>
  <c r="U1010" i="1"/>
  <c r="V1010" i="1"/>
  <c r="W1010" i="1"/>
  <c r="X1010" i="1"/>
  <c r="Y1010" i="1"/>
  <c r="Z1010" i="1"/>
  <c r="AA1010" i="1"/>
  <c r="AB1010" i="1"/>
  <c r="AC1010" i="1"/>
  <c r="AD1010" i="1"/>
  <c r="AE1010" i="1"/>
  <c r="AF1010" i="1"/>
  <c r="AG1010" i="1"/>
  <c r="AH1010" i="1"/>
  <c r="AI1010" i="1"/>
  <c r="AJ1010" i="1"/>
  <c r="AQ1010" i="1"/>
  <c r="AR1010" i="1"/>
  <c r="AS1010" i="1"/>
  <c r="L1011" i="1"/>
  <c r="M1011" i="1"/>
  <c r="N1011" i="1"/>
  <c r="O1011" i="1"/>
  <c r="P1011" i="1"/>
  <c r="Q1011" i="1"/>
  <c r="R1011" i="1"/>
  <c r="S1011" i="1"/>
  <c r="T1011" i="1"/>
  <c r="U1011" i="1"/>
  <c r="V1011" i="1"/>
  <c r="W1011" i="1"/>
  <c r="X1011" i="1"/>
  <c r="Y1011" i="1"/>
  <c r="Z1011" i="1"/>
  <c r="AA1011" i="1"/>
  <c r="AB1011" i="1"/>
  <c r="AC1011" i="1"/>
  <c r="AD1011" i="1"/>
  <c r="AE1011" i="1"/>
  <c r="AF1011" i="1"/>
  <c r="AG1011" i="1"/>
  <c r="AH1011" i="1"/>
  <c r="AI1011" i="1"/>
  <c r="AJ1011" i="1"/>
  <c r="AQ1011" i="1"/>
  <c r="AR1011" i="1"/>
  <c r="AS1011" i="1"/>
  <c r="L1012" i="1"/>
  <c r="M1012" i="1"/>
  <c r="N1012" i="1"/>
  <c r="O1012" i="1"/>
  <c r="P1012" i="1"/>
  <c r="Q1012" i="1"/>
  <c r="R1012" i="1"/>
  <c r="S1012" i="1"/>
  <c r="T1012" i="1"/>
  <c r="U1012" i="1"/>
  <c r="V1012" i="1"/>
  <c r="W1012" i="1"/>
  <c r="X1012" i="1"/>
  <c r="Y1012" i="1"/>
  <c r="Z1012" i="1"/>
  <c r="AA1012" i="1"/>
  <c r="AB1012" i="1"/>
  <c r="AC1012" i="1"/>
  <c r="AD1012" i="1"/>
  <c r="AE1012" i="1"/>
  <c r="AF1012" i="1"/>
  <c r="AG1012" i="1"/>
  <c r="AH1012" i="1"/>
  <c r="AI1012" i="1"/>
  <c r="AJ1012" i="1"/>
  <c r="AQ1012" i="1"/>
  <c r="AR1012" i="1"/>
  <c r="AS1012" i="1"/>
  <c r="L1013" i="1"/>
  <c r="M1013" i="1"/>
  <c r="N1013" i="1"/>
  <c r="O1013" i="1"/>
  <c r="P1013" i="1"/>
  <c r="Q1013" i="1"/>
  <c r="R1013" i="1"/>
  <c r="S1013" i="1"/>
  <c r="T1013" i="1"/>
  <c r="U1013" i="1"/>
  <c r="V1013" i="1"/>
  <c r="W1013" i="1"/>
  <c r="X1013" i="1"/>
  <c r="Y1013" i="1"/>
  <c r="Z1013" i="1"/>
  <c r="AA1013" i="1"/>
  <c r="AB1013" i="1"/>
  <c r="AC1013" i="1"/>
  <c r="AD1013" i="1"/>
  <c r="AE1013" i="1"/>
  <c r="AF1013" i="1"/>
  <c r="AG1013" i="1"/>
  <c r="AH1013" i="1"/>
  <c r="AI1013" i="1"/>
  <c r="AJ1013" i="1"/>
  <c r="AQ1013" i="1"/>
  <c r="AR1013" i="1"/>
  <c r="AS1013" i="1"/>
  <c r="L1014" i="1"/>
  <c r="M1014" i="1"/>
  <c r="N1014" i="1"/>
  <c r="O1014" i="1"/>
  <c r="P1014" i="1"/>
  <c r="Q1014" i="1"/>
  <c r="R1014" i="1"/>
  <c r="S1014" i="1"/>
  <c r="T1014" i="1"/>
  <c r="U1014" i="1"/>
  <c r="V1014" i="1"/>
  <c r="W1014" i="1"/>
  <c r="X1014" i="1"/>
  <c r="Y1014" i="1"/>
  <c r="Z1014" i="1"/>
  <c r="AA1014" i="1"/>
  <c r="AB1014" i="1"/>
  <c r="AC1014" i="1"/>
  <c r="AD1014" i="1"/>
  <c r="AE1014" i="1"/>
  <c r="AF1014" i="1"/>
  <c r="AG1014" i="1"/>
  <c r="AH1014" i="1"/>
  <c r="AI1014" i="1"/>
  <c r="AJ1014" i="1"/>
  <c r="AQ1014" i="1"/>
  <c r="AR1014" i="1"/>
  <c r="AS1014" i="1"/>
  <c r="L1015" i="1"/>
  <c r="M1015" i="1"/>
  <c r="N1015" i="1"/>
  <c r="O1015" i="1"/>
  <c r="P1015" i="1"/>
  <c r="Q1015" i="1"/>
  <c r="R1015" i="1"/>
  <c r="S1015" i="1"/>
  <c r="T1015" i="1"/>
  <c r="U1015" i="1"/>
  <c r="V1015" i="1"/>
  <c r="W1015" i="1"/>
  <c r="X1015" i="1"/>
  <c r="Y1015" i="1"/>
  <c r="Z1015" i="1"/>
  <c r="AA1015" i="1"/>
  <c r="AB1015" i="1"/>
  <c r="AC1015" i="1"/>
  <c r="AD1015" i="1"/>
  <c r="AE1015" i="1"/>
  <c r="AF1015" i="1"/>
  <c r="AG1015" i="1"/>
  <c r="AH1015" i="1"/>
  <c r="AI1015" i="1"/>
  <c r="AJ1015" i="1"/>
  <c r="AQ1015" i="1"/>
  <c r="AR1015" i="1"/>
  <c r="AS1015" i="1"/>
  <c r="L1016" i="1"/>
  <c r="M1016" i="1"/>
  <c r="N1016" i="1"/>
  <c r="O1016" i="1"/>
  <c r="P1016" i="1"/>
  <c r="Q1016" i="1"/>
  <c r="R1016" i="1"/>
  <c r="S1016" i="1"/>
  <c r="T1016" i="1"/>
  <c r="U1016" i="1"/>
  <c r="V1016" i="1"/>
  <c r="W1016" i="1"/>
  <c r="X1016" i="1"/>
  <c r="Y1016" i="1"/>
  <c r="Z1016" i="1"/>
  <c r="AA1016" i="1"/>
  <c r="AB1016" i="1"/>
  <c r="AC1016" i="1"/>
  <c r="AD1016" i="1"/>
  <c r="AE1016" i="1"/>
  <c r="AF1016" i="1"/>
  <c r="AG1016" i="1"/>
  <c r="AH1016" i="1"/>
  <c r="AI1016" i="1"/>
  <c r="AJ1016" i="1"/>
  <c r="AQ1016" i="1"/>
  <c r="AR1016" i="1"/>
  <c r="AS1016" i="1"/>
  <c r="L1017" i="1"/>
  <c r="M1017" i="1"/>
  <c r="N1017" i="1"/>
  <c r="O1017" i="1"/>
  <c r="P1017" i="1"/>
  <c r="Q1017" i="1"/>
  <c r="R1017" i="1"/>
  <c r="S1017" i="1"/>
  <c r="T1017" i="1"/>
  <c r="U1017" i="1"/>
  <c r="V1017" i="1"/>
  <c r="W1017" i="1"/>
  <c r="X1017" i="1"/>
  <c r="Y1017" i="1"/>
  <c r="Z1017" i="1"/>
  <c r="AA1017" i="1"/>
  <c r="AB1017" i="1"/>
  <c r="AC1017" i="1"/>
  <c r="AD1017" i="1"/>
  <c r="AE1017" i="1"/>
  <c r="AF1017" i="1"/>
  <c r="AG1017" i="1"/>
  <c r="AH1017" i="1"/>
  <c r="AI1017" i="1"/>
  <c r="AJ1017" i="1"/>
  <c r="AQ1017" i="1"/>
  <c r="AR1017" i="1"/>
  <c r="AS1017" i="1"/>
  <c r="L1018" i="1"/>
  <c r="M1018" i="1"/>
  <c r="N1018" i="1"/>
  <c r="O1018" i="1"/>
  <c r="P1018" i="1"/>
  <c r="Q1018" i="1"/>
  <c r="R1018" i="1"/>
  <c r="S1018" i="1"/>
  <c r="T1018" i="1"/>
  <c r="U1018" i="1"/>
  <c r="V1018" i="1"/>
  <c r="W1018" i="1"/>
  <c r="X1018" i="1"/>
  <c r="Y1018" i="1"/>
  <c r="Z1018" i="1"/>
  <c r="AA1018" i="1"/>
  <c r="AB1018" i="1"/>
  <c r="AC1018" i="1"/>
  <c r="AD1018" i="1"/>
  <c r="AE1018" i="1"/>
  <c r="AF1018" i="1"/>
  <c r="AG1018" i="1"/>
  <c r="AH1018" i="1"/>
  <c r="AI1018" i="1"/>
  <c r="AJ1018" i="1"/>
  <c r="AQ1018" i="1"/>
  <c r="AR1018" i="1"/>
  <c r="AS1018" i="1"/>
  <c r="L1019" i="1"/>
  <c r="M1019" i="1"/>
  <c r="N1019" i="1"/>
  <c r="O1019" i="1"/>
  <c r="P1019" i="1"/>
  <c r="Q1019" i="1"/>
  <c r="R1019" i="1"/>
  <c r="S1019" i="1"/>
  <c r="T1019" i="1"/>
  <c r="U1019" i="1"/>
  <c r="V1019" i="1"/>
  <c r="W1019" i="1"/>
  <c r="X1019" i="1"/>
  <c r="Y1019" i="1"/>
  <c r="Z1019" i="1"/>
  <c r="AA1019" i="1"/>
  <c r="AB1019" i="1"/>
  <c r="AC1019" i="1"/>
  <c r="AD1019" i="1"/>
  <c r="AE1019" i="1"/>
  <c r="AF1019" i="1"/>
  <c r="AG1019" i="1"/>
  <c r="AH1019" i="1"/>
  <c r="AI1019" i="1"/>
  <c r="AJ1019" i="1"/>
  <c r="AQ1019" i="1"/>
  <c r="AR1019" i="1"/>
  <c r="AS1019" i="1"/>
  <c r="L1020" i="1"/>
  <c r="M1020" i="1"/>
  <c r="N1020" i="1"/>
  <c r="O1020" i="1"/>
  <c r="P1020" i="1"/>
  <c r="Q1020" i="1"/>
  <c r="R1020" i="1"/>
  <c r="S1020" i="1"/>
  <c r="T1020" i="1"/>
  <c r="U1020" i="1"/>
  <c r="V1020" i="1"/>
  <c r="W1020" i="1"/>
  <c r="X1020" i="1"/>
  <c r="Y1020" i="1"/>
  <c r="Z1020" i="1"/>
  <c r="AA1020" i="1"/>
  <c r="AB1020" i="1"/>
  <c r="AC1020" i="1"/>
  <c r="AD1020" i="1"/>
  <c r="AE1020" i="1"/>
  <c r="AF1020" i="1"/>
  <c r="AG1020" i="1"/>
  <c r="AH1020" i="1"/>
  <c r="AI1020" i="1"/>
  <c r="AJ1020" i="1"/>
  <c r="AQ1020" i="1"/>
  <c r="AR1020" i="1"/>
  <c r="AS1020" i="1"/>
  <c r="L1021" i="1"/>
  <c r="M1021" i="1"/>
  <c r="N1021" i="1"/>
  <c r="O1021" i="1"/>
  <c r="P1021" i="1"/>
  <c r="Q1021" i="1"/>
  <c r="R1021" i="1"/>
  <c r="S1021" i="1"/>
  <c r="T1021" i="1"/>
  <c r="U1021" i="1"/>
  <c r="V1021" i="1"/>
  <c r="W1021" i="1"/>
  <c r="X1021" i="1"/>
  <c r="Y1021" i="1"/>
  <c r="Z1021" i="1"/>
  <c r="AA1021" i="1"/>
  <c r="AB1021" i="1"/>
  <c r="AC1021" i="1"/>
  <c r="AD1021" i="1"/>
  <c r="AE1021" i="1"/>
  <c r="AF1021" i="1"/>
  <c r="AG1021" i="1"/>
  <c r="AH1021" i="1"/>
  <c r="AI1021" i="1"/>
  <c r="AJ1021" i="1"/>
  <c r="AQ1021" i="1"/>
  <c r="AR1021" i="1"/>
  <c r="AS1021" i="1"/>
  <c r="L1022" i="1"/>
  <c r="M1022" i="1"/>
  <c r="N1022" i="1"/>
  <c r="O1022" i="1"/>
  <c r="P1022" i="1"/>
  <c r="Q1022" i="1"/>
  <c r="R1022" i="1"/>
  <c r="S1022" i="1"/>
  <c r="T1022" i="1"/>
  <c r="U1022" i="1"/>
  <c r="V1022" i="1"/>
  <c r="W1022" i="1"/>
  <c r="X1022" i="1"/>
  <c r="Y1022" i="1"/>
  <c r="Z1022" i="1"/>
  <c r="AA1022" i="1"/>
  <c r="AB1022" i="1"/>
  <c r="AC1022" i="1"/>
  <c r="AD1022" i="1"/>
  <c r="AE1022" i="1"/>
  <c r="AF1022" i="1"/>
  <c r="AG1022" i="1"/>
  <c r="AH1022" i="1"/>
  <c r="AI1022" i="1"/>
  <c r="AJ1022" i="1"/>
  <c r="AQ1022" i="1"/>
  <c r="AR1022" i="1"/>
  <c r="AS1022" i="1"/>
  <c r="L1023" i="1"/>
  <c r="M1023" i="1"/>
  <c r="N1023" i="1"/>
  <c r="O1023" i="1"/>
  <c r="P1023" i="1"/>
  <c r="Q1023" i="1"/>
  <c r="R1023" i="1"/>
  <c r="S1023" i="1"/>
  <c r="T1023" i="1"/>
  <c r="U1023" i="1"/>
  <c r="V1023" i="1"/>
  <c r="W1023" i="1"/>
  <c r="X1023" i="1"/>
  <c r="Y1023" i="1"/>
  <c r="Z1023" i="1"/>
  <c r="AA1023" i="1"/>
  <c r="AB1023" i="1"/>
  <c r="AC1023" i="1"/>
  <c r="AD1023" i="1"/>
  <c r="AE1023" i="1"/>
  <c r="AF1023" i="1"/>
  <c r="AG1023" i="1"/>
  <c r="AH1023" i="1"/>
  <c r="AI1023" i="1"/>
  <c r="AJ1023" i="1"/>
  <c r="AQ1023" i="1"/>
  <c r="AR1023" i="1"/>
  <c r="AS1023" i="1"/>
  <c r="L1024" i="1"/>
  <c r="M1024" i="1"/>
  <c r="N1024" i="1"/>
  <c r="O1024" i="1"/>
  <c r="P1024" i="1"/>
  <c r="Q1024" i="1"/>
  <c r="R1024" i="1"/>
  <c r="S1024" i="1"/>
  <c r="T1024" i="1"/>
  <c r="U1024" i="1"/>
  <c r="V1024" i="1"/>
  <c r="W1024" i="1"/>
  <c r="X1024" i="1"/>
  <c r="Y1024" i="1"/>
  <c r="Z1024" i="1"/>
  <c r="AA1024" i="1"/>
  <c r="AB1024" i="1"/>
  <c r="AC1024" i="1"/>
  <c r="AD1024" i="1"/>
  <c r="AE1024" i="1"/>
  <c r="AF1024" i="1"/>
  <c r="AG1024" i="1"/>
  <c r="AH1024" i="1"/>
  <c r="AI1024" i="1"/>
  <c r="AJ1024" i="1"/>
  <c r="AQ1024" i="1"/>
  <c r="AR1024" i="1"/>
  <c r="AS1024" i="1"/>
  <c r="L1025" i="1"/>
  <c r="M1025" i="1"/>
  <c r="N1025" i="1"/>
  <c r="O1025" i="1"/>
  <c r="P1025" i="1"/>
  <c r="Q1025" i="1"/>
  <c r="R1025" i="1"/>
  <c r="S1025" i="1"/>
  <c r="T1025" i="1"/>
  <c r="U1025" i="1"/>
  <c r="V1025" i="1"/>
  <c r="W1025" i="1"/>
  <c r="X1025" i="1"/>
  <c r="Y1025" i="1"/>
  <c r="Z1025" i="1"/>
  <c r="AA1025" i="1"/>
  <c r="AB1025" i="1"/>
  <c r="AC1025" i="1"/>
  <c r="AD1025" i="1"/>
  <c r="AE1025" i="1"/>
  <c r="AF1025" i="1"/>
  <c r="AG1025" i="1"/>
  <c r="AH1025" i="1"/>
  <c r="AI1025" i="1"/>
  <c r="AJ1025" i="1"/>
  <c r="AQ1025" i="1"/>
  <c r="AR1025" i="1"/>
  <c r="AS1025" i="1"/>
  <c r="L1026" i="1"/>
  <c r="M1026" i="1"/>
  <c r="N1026" i="1"/>
  <c r="O1026" i="1"/>
  <c r="P1026" i="1"/>
  <c r="Q1026" i="1"/>
  <c r="R1026" i="1"/>
  <c r="S1026" i="1"/>
  <c r="T1026" i="1"/>
  <c r="U1026" i="1"/>
  <c r="V1026" i="1"/>
  <c r="W1026" i="1"/>
  <c r="X1026" i="1"/>
  <c r="Y1026" i="1"/>
  <c r="Z1026" i="1"/>
  <c r="AA1026" i="1"/>
  <c r="AB1026" i="1"/>
  <c r="AC1026" i="1"/>
  <c r="AD1026" i="1"/>
  <c r="AE1026" i="1"/>
  <c r="AF1026" i="1"/>
  <c r="AG1026" i="1"/>
  <c r="AH1026" i="1"/>
  <c r="AI1026" i="1"/>
  <c r="AJ1026" i="1"/>
  <c r="AQ1026" i="1"/>
  <c r="AR1026" i="1"/>
  <c r="AS1026" i="1"/>
  <c r="L1027" i="1"/>
  <c r="M1027" i="1"/>
  <c r="N1027" i="1"/>
  <c r="O1027" i="1"/>
  <c r="P1027" i="1"/>
  <c r="Q1027" i="1"/>
  <c r="R1027" i="1"/>
  <c r="S1027" i="1"/>
  <c r="T1027" i="1"/>
  <c r="U1027" i="1"/>
  <c r="V1027" i="1"/>
  <c r="W1027" i="1"/>
  <c r="X1027" i="1"/>
  <c r="Y1027" i="1"/>
  <c r="Z1027" i="1"/>
  <c r="AA1027" i="1"/>
  <c r="AB1027" i="1"/>
  <c r="AC1027" i="1"/>
  <c r="AD1027" i="1"/>
  <c r="AE1027" i="1"/>
  <c r="AF1027" i="1"/>
  <c r="AG1027" i="1"/>
  <c r="AH1027" i="1"/>
  <c r="AI1027" i="1"/>
  <c r="AJ1027" i="1"/>
  <c r="AQ1027" i="1"/>
  <c r="AR1027" i="1"/>
  <c r="AS1027" i="1"/>
  <c r="L1028" i="1"/>
  <c r="M1028" i="1"/>
  <c r="N1028" i="1"/>
  <c r="O1028" i="1"/>
  <c r="P1028" i="1"/>
  <c r="Q1028" i="1"/>
  <c r="R1028" i="1"/>
  <c r="S1028" i="1"/>
  <c r="T1028" i="1"/>
  <c r="U1028" i="1"/>
  <c r="V1028" i="1"/>
  <c r="W1028" i="1"/>
  <c r="X1028" i="1"/>
  <c r="Y1028" i="1"/>
  <c r="Z1028" i="1"/>
  <c r="AA1028" i="1"/>
  <c r="AB1028" i="1"/>
  <c r="AC1028" i="1"/>
  <c r="AD1028" i="1"/>
  <c r="AE1028" i="1"/>
  <c r="AF1028" i="1"/>
  <c r="AG1028" i="1"/>
  <c r="AH1028" i="1"/>
  <c r="AI1028" i="1"/>
  <c r="AJ1028" i="1"/>
  <c r="AQ1028" i="1"/>
  <c r="AR1028" i="1"/>
  <c r="AS1028" i="1"/>
  <c r="L1029" i="1"/>
  <c r="M1029" i="1"/>
  <c r="N1029" i="1"/>
  <c r="O1029" i="1"/>
  <c r="P1029" i="1"/>
  <c r="Q1029" i="1"/>
  <c r="R1029" i="1"/>
  <c r="S1029" i="1"/>
  <c r="T1029" i="1"/>
  <c r="U1029" i="1"/>
  <c r="V1029" i="1"/>
  <c r="W1029" i="1"/>
  <c r="X1029" i="1"/>
  <c r="Y1029" i="1"/>
  <c r="Z1029" i="1"/>
  <c r="AA1029" i="1"/>
  <c r="AB1029" i="1"/>
  <c r="AC1029" i="1"/>
  <c r="AD1029" i="1"/>
  <c r="AE1029" i="1"/>
  <c r="AF1029" i="1"/>
  <c r="AG1029" i="1"/>
  <c r="AH1029" i="1"/>
  <c r="AI1029" i="1"/>
  <c r="AJ1029" i="1"/>
  <c r="AQ1029" i="1"/>
  <c r="AR1029" i="1"/>
  <c r="AS1029" i="1"/>
  <c r="L1030" i="1"/>
  <c r="M1030" i="1"/>
  <c r="N1030" i="1"/>
  <c r="O1030" i="1"/>
  <c r="P1030" i="1"/>
  <c r="Q1030" i="1"/>
  <c r="R1030" i="1"/>
  <c r="S1030" i="1"/>
  <c r="T1030" i="1"/>
  <c r="U1030" i="1"/>
  <c r="V1030" i="1"/>
  <c r="W1030" i="1"/>
  <c r="X1030" i="1"/>
  <c r="Y1030" i="1"/>
  <c r="Z1030" i="1"/>
  <c r="AA1030" i="1"/>
  <c r="AB1030" i="1"/>
  <c r="AC1030" i="1"/>
  <c r="AD1030" i="1"/>
  <c r="AE1030" i="1"/>
  <c r="AF1030" i="1"/>
  <c r="AG1030" i="1"/>
  <c r="AH1030" i="1"/>
  <c r="AI1030" i="1"/>
  <c r="AJ1030" i="1"/>
  <c r="AQ1030" i="1"/>
  <c r="AR1030" i="1"/>
  <c r="AS1030" i="1"/>
  <c r="L1031" i="1"/>
  <c r="M1031" i="1"/>
  <c r="N1031" i="1"/>
  <c r="O1031" i="1"/>
  <c r="P1031" i="1"/>
  <c r="Q1031" i="1"/>
  <c r="R1031" i="1"/>
  <c r="S1031" i="1"/>
  <c r="T1031" i="1"/>
  <c r="U1031" i="1"/>
  <c r="V1031" i="1"/>
  <c r="W1031" i="1"/>
  <c r="X1031" i="1"/>
  <c r="Y1031" i="1"/>
  <c r="Z1031" i="1"/>
  <c r="AA1031" i="1"/>
  <c r="AB1031" i="1"/>
  <c r="AC1031" i="1"/>
  <c r="AD1031" i="1"/>
  <c r="AE1031" i="1"/>
  <c r="AF1031" i="1"/>
  <c r="AG1031" i="1"/>
  <c r="AH1031" i="1"/>
  <c r="AI1031" i="1"/>
  <c r="AJ1031" i="1"/>
  <c r="AQ1031" i="1"/>
  <c r="AR1031" i="1"/>
  <c r="AS1031" i="1"/>
  <c r="L1032" i="1"/>
  <c r="M1032" i="1"/>
  <c r="N1032" i="1"/>
  <c r="O1032" i="1"/>
  <c r="P1032" i="1"/>
  <c r="Q1032" i="1"/>
  <c r="R1032" i="1"/>
  <c r="S1032" i="1"/>
  <c r="T1032" i="1"/>
  <c r="U1032" i="1"/>
  <c r="V1032" i="1"/>
  <c r="W1032" i="1"/>
  <c r="X1032" i="1"/>
  <c r="Y1032" i="1"/>
  <c r="Z1032" i="1"/>
  <c r="AA1032" i="1"/>
  <c r="AB1032" i="1"/>
  <c r="AC1032" i="1"/>
  <c r="AD1032" i="1"/>
  <c r="AE1032" i="1"/>
  <c r="AF1032" i="1"/>
  <c r="AG1032" i="1"/>
  <c r="AH1032" i="1"/>
  <c r="AI1032" i="1"/>
  <c r="AJ1032" i="1"/>
  <c r="AQ1032" i="1"/>
  <c r="AR1032" i="1"/>
  <c r="AS1032" i="1"/>
  <c r="L1033" i="1"/>
  <c r="M1033" i="1"/>
  <c r="N1033" i="1"/>
  <c r="O1033" i="1"/>
  <c r="P1033" i="1"/>
  <c r="Q1033" i="1"/>
  <c r="R1033" i="1"/>
  <c r="S1033" i="1"/>
  <c r="T1033" i="1"/>
  <c r="U1033" i="1"/>
  <c r="V1033" i="1"/>
  <c r="W1033" i="1"/>
  <c r="X1033" i="1"/>
  <c r="Y1033" i="1"/>
  <c r="Z1033" i="1"/>
  <c r="AA1033" i="1"/>
  <c r="AB1033" i="1"/>
  <c r="AC1033" i="1"/>
  <c r="AD1033" i="1"/>
  <c r="AE1033" i="1"/>
  <c r="AF1033" i="1"/>
  <c r="AG1033" i="1"/>
  <c r="AH1033" i="1"/>
  <c r="AI1033" i="1"/>
  <c r="AJ1033" i="1"/>
  <c r="AQ1033" i="1"/>
  <c r="AR1033" i="1"/>
  <c r="AS1033" i="1"/>
  <c r="L1034" i="1"/>
  <c r="M1034" i="1"/>
  <c r="N1034" i="1"/>
  <c r="O1034" i="1"/>
  <c r="P1034" i="1"/>
  <c r="Q1034" i="1"/>
  <c r="R1034" i="1"/>
  <c r="S1034" i="1"/>
  <c r="T1034" i="1"/>
  <c r="U1034" i="1"/>
  <c r="V1034" i="1"/>
  <c r="W1034" i="1"/>
  <c r="X1034" i="1"/>
  <c r="Y1034" i="1"/>
  <c r="Z1034" i="1"/>
  <c r="AA1034" i="1"/>
  <c r="AB1034" i="1"/>
  <c r="AC1034" i="1"/>
  <c r="AD1034" i="1"/>
  <c r="AE1034" i="1"/>
  <c r="AF1034" i="1"/>
  <c r="AG1034" i="1"/>
  <c r="AH1034" i="1"/>
  <c r="AI1034" i="1"/>
  <c r="AJ1034" i="1"/>
  <c r="AQ1034" i="1"/>
  <c r="AR1034" i="1"/>
  <c r="AS1034" i="1"/>
  <c r="L1035" i="1"/>
  <c r="M1035" i="1"/>
  <c r="N1035" i="1"/>
  <c r="O1035" i="1"/>
  <c r="P1035" i="1"/>
  <c r="Q1035" i="1"/>
  <c r="R1035" i="1"/>
  <c r="S1035" i="1"/>
  <c r="T1035" i="1"/>
  <c r="U1035" i="1"/>
  <c r="V1035" i="1"/>
  <c r="W1035" i="1"/>
  <c r="X1035" i="1"/>
  <c r="Y1035" i="1"/>
  <c r="Z1035" i="1"/>
  <c r="AA1035" i="1"/>
  <c r="AB1035" i="1"/>
  <c r="AC1035" i="1"/>
  <c r="AD1035" i="1"/>
  <c r="AE1035" i="1"/>
  <c r="AF1035" i="1"/>
  <c r="AG1035" i="1"/>
  <c r="AH1035" i="1"/>
  <c r="AI1035" i="1"/>
  <c r="AJ1035" i="1"/>
  <c r="AQ1035" i="1"/>
  <c r="AR1035" i="1"/>
  <c r="AS1035" i="1"/>
  <c r="L1036" i="1"/>
  <c r="M1036" i="1"/>
  <c r="N1036" i="1"/>
  <c r="O1036" i="1"/>
  <c r="P1036" i="1"/>
  <c r="Q1036" i="1"/>
  <c r="R1036" i="1"/>
  <c r="S1036" i="1"/>
  <c r="T1036" i="1"/>
  <c r="U1036" i="1"/>
  <c r="V1036" i="1"/>
  <c r="W1036" i="1"/>
  <c r="X1036" i="1"/>
  <c r="Y1036" i="1"/>
  <c r="Z1036" i="1"/>
  <c r="AA1036" i="1"/>
  <c r="AB1036" i="1"/>
  <c r="AC1036" i="1"/>
  <c r="AD1036" i="1"/>
  <c r="AE1036" i="1"/>
  <c r="AF1036" i="1"/>
  <c r="AG1036" i="1"/>
  <c r="AH1036" i="1"/>
  <c r="AI1036" i="1"/>
  <c r="AJ1036" i="1"/>
  <c r="AQ1036" i="1"/>
  <c r="AR1036" i="1"/>
  <c r="AS1036" i="1"/>
  <c r="L1037" i="1"/>
  <c r="M1037" i="1"/>
  <c r="N1037" i="1"/>
  <c r="O1037" i="1"/>
  <c r="P1037" i="1"/>
  <c r="Q1037" i="1"/>
  <c r="R1037" i="1"/>
  <c r="S1037" i="1"/>
  <c r="T1037" i="1"/>
  <c r="U1037" i="1"/>
  <c r="V1037" i="1"/>
  <c r="W1037" i="1"/>
  <c r="X1037" i="1"/>
  <c r="Y1037" i="1"/>
  <c r="Z1037" i="1"/>
  <c r="AA1037" i="1"/>
  <c r="AB1037" i="1"/>
  <c r="AC1037" i="1"/>
  <c r="AD1037" i="1"/>
  <c r="AE1037" i="1"/>
  <c r="AF1037" i="1"/>
  <c r="AG1037" i="1"/>
  <c r="AH1037" i="1"/>
  <c r="AI1037" i="1"/>
  <c r="AJ1037" i="1"/>
  <c r="AQ1037" i="1"/>
  <c r="AR1037" i="1"/>
  <c r="AS1037" i="1"/>
  <c r="L1038" i="1"/>
  <c r="M1038" i="1"/>
  <c r="N1038" i="1"/>
  <c r="O1038" i="1"/>
  <c r="P1038" i="1"/>
  <c r="Q1038" i="1"/>
  <c r="R1038" i="1"/>
  <c r="S1038" i="1"/>
  <c r="T1038" i="1"/>
  <c r="U1038" i="1"/>
  <c r="V1038" i="1"/>
  <c r="W1038" i="1"/>
  <c r="X1038" i="1"/>
  <c r="Y1038" i="1"/>
  <c r="Z1038" i="1"/>
  <c r="AA1038" i="1"/>
  <c r="AB1038" i="1"/>
  <c r="AC1038" i="1"/>
  <c r="AD1038" i="1"/>
  <c r="AE1038" i="1"/>
  <c r="AF1038" i="1"/>
  <c r="AG1038" i="1"/>
  <c r="AH1038" i="1"/>
  <c r="AI1038" i="1"/>
  <c r="AJ1038" i="1"/>
  <c r="AQ1038" i="1"/>
  <c r="AR1038" i="1"/>
  <c r="AS1038" i="1"/>
  <c r="L1039" i="1"/>
  <c r="M1039" i="1"/>
  <c r="N1039" i="1"/>
  <c r="O1039" i="1"/>
  <c r="P1039" i="1"/>
  <c r="Q1039" i="1"/>
  <c r="R1039" i="1"/>
  <c r="S1039" i="1"/>
  <c r="T1039" i="1"/>
  <c r="U1039" i="1"/>
  <c r="V1039" i="1"/>
  <c r="W1039" i="1"/>
  <c r="X1039" i="1"/>
  <c r="Y1039" i="1"/>
  <c r="Z1039" i="1"/>
  <c r="AA1039" i="1"/>
  <c r="AB1039" i="1"/>
  <c r="AC1039" i="1"/>
  <c r="AD1039" i="1"/>
  <c r="AE1039" i="1"/>
  <c r="AF1039" i="1"/>
  <c r="AG1039" i="1"/>
  <c r="AH1039" i="1"/>
  <c r="AI1039" i="1"/>
  <c r="AJ1039" i="1"/>
  <c r="AQ1039" i="1"/>
  <c r="AR1039" i="1"/>
  <c r="AS1039" i="1"/>
  <c r="L1040" i="1"/>
  <c r="M1040" i="1"/>
  <c r="N1040" i="1"/>
  <c r="O1040" i="1"/>
  <c r="P1040" i="1"/>
  <c r="Q1040" i="1"/>
  <c r="R1040" i="1"/>
  <c r="S1040" i="1"/>
  <c r="T1040" i="1"/>
  <c r="U1040" i="1"/>
  <c r="V1040" i="1"/>
  <c r="W1040" i="1"/>
  <c r="X1040" i="1"/>
  <c r="Y1040" i="1"/>
  <c r="Z1040" i="1"/>
  <c r="AA1040" i="1"/>
  <c r="AB1040" i="1"/>
  <c r="AC1040" i="1"/>
  <c r="AD1040" i="1"/>
  <c r="AE1040" i="1"/>
  <c r="AF1040" i="1"/>
  <c r="AG1040" i="1"/>
  <c r="AH1040" i="1"/>
  <c r="AI1040" i="1"/>
  <c r="AJ1040" i="1"/>
  <c r="AQ1040" i="1"/>
  <c r="AR1040" i="1"/>
  <c r="AS1040" i="1"/>
  <c r="L1041" i="1"/>
  <c r="M1041" i="1"/>
  <c r="N1041" i="1"/>
  <c r="O1041" i="1"/>
  <c r="P1041" i="1"/>
  <c r="Q1041" i="1"/>
  <c r="R1041" i="1"/>
  <c r="S1041" i="1"/>
  <c r="T1041" i="1"/>
  <c r="U1041" i="1"/>
  <c r="V1041" i="1"/>
  <c r="W1041" i="1"/>
  <c r="X1041" i="1"/>
  <c r="Y1041" i="1"/>
  <c r="Z1041" i="1"/>
  <c r="AA1041" i="1"/>
  <c r="AB1041" i="1"/>
  <c r="AC1041" i="1"/>
  <c r="AD1041" i="1"/>
  <c r="AE1041" i="1"/>
  <c r="AF1041" i="1"/>
  <c r="AG1041" i="1"/>
  <c r="AH1041" i="1"/>
  <c r="AI1041" i="1"/>
  <c r="AJ1041" i="1"/>
  <c r="AQ1041" i="1"/>
  <c r="AR1041" i="1"/>
  <c r="AS1041" i="1"/>
  <c r="L1042" i="1"/>
  <c r="M1042" i="1"/>
  <c r="N1042" i="1"/>
  <c r="O1042" i="1"/>
  <c r="P1042" i="1"/>
  <c r="Q1042" i="1"/>
  <c r="R1042" i="1"/>
  <c r="S1042" i="1"/>
  <c r="T1042" i="1"/>
  <c r="U1042" i="1"/>
  <c r="V1042" i="1"/>
  <c r="W1042" i="1"/>
  <c r="X1042" i="1"/>
  <c r="Y1042" i="1"/>
  <c r="Z1042" i="1"/>
  <c r="AA1042" i="1"/>
  <c r="AB1042" i="1"/>
  <c r="AC1042" i="1"/>
  <c r="AD1042" i="1"/>
  <c r="AE1042" i="1"/>
  <c r="AF1042" i="1"/>
  <c r="AG1042" i="1"/>
  <c r="AH1042" i="1"/>
  <c r="AI1042" i="1"/>
  <c r="AJ1042" i="1"/>
  <c r="AQ1042" i="1"/>
  <c r="AR1042" i="1"/>
  <c r="AS1042" i="1"/>
  <c r="L1043" i="1"/>
  <c r="M1043" i="1"/>
  <c r="N1043" i="1"/>
  <c r="O1043" i="1"/>
  <c r="P1043" i="1"/>
  <c r="Q1043" i="1"/>
  <c r="R1043" i="1"/>
  <c r="S1043" i="1"/>
  <c r="T1043" i="1"/>
  <c r="U1043" i="1"/>
  <c r="V1043" i="1"/>
  <c r="W1043" i="1"/>
  <c r="X1043" i="1"/>
  <c r="Y1043" i="1"/>
  <c r="Z1043" i="1"/>
  <c r="AA1043" i="1"/>
  <c r="AB1043" i="1"/>
  <c r="AC1043" i="1"/>
  <c r="AD1043" i="1"/>
  <c r="AE1043" i="1"/>
  <c r="AF1043" i="1"/>
  <c r="AG1043" i="1"/>
  <c r="AH1043" i="1"/>
  <c r="AI1043" i="1"/>
  <c r="AJ1043" i="1"/>
  <c r="AQ1043" i="1"/>
  <c r="AR1043" i="1"/>
  <c r="AS1043" i="1"/>
  <c r="L1044" i="1"/>
  <c r="M1044" i="1"/>
  <c r="N1044" i="1"/>
  <c r="O1044" i="1"/>
  <c r="P1044" i="1"/>
  <c r="Q1044" i="1"/>
  <c r="R1044" i="1"/>
  <c r="S1044" i="1"/>
  <c r="T1044" i="1"/>
  <c r="U1044" i="1"/>
  <c r="V1044" i="1"/>
  <c r="W1044" i="1"/>
  <c r="X1044" i="1"/>
  <c r="Y1044" i="1"/>
  <c r="Z1044" i="1"/>
  <c r="AA1044" i="1"/>
  <c r="AB1044" i="1"/>
  <c r="AC1044" i="1"/>
  <c r="AD1044" i="1"/>
  <c r="AE1044" i="1"/>
  <c r="AF1044" i="1"/>
  <c r="AG1044" i="1"/>
  <c r="AH1044" i="1"/>
  <c r="AI1044" i="1"/>
  <c r="AJ1044" i="1"/>
  <c r="AQ1044" i="1"/>
  <c r="AR1044" i="1"/>
  <c r="AS1044" i="1"/>
  <c r="L1045" i="1"/>
  <c r="M1045" i="1"/>
  <c r="N1045" i="1"/>
  <c r="O1045" i="1"/>
  <c r="P1045" i="1"/>
  <c r="Q1045" i="1"/>
  <c r="R1045" i="1"/>
  <c r="S1045" i="1"/>
  <c r="T1045" i="1"/>
  <c r="U1045" i="1"/>
  <c r="V1045" i="1"/>
  <c r="W1045" i="1"/>
  <c r="X1045" i="1"/>
  <c r="Y1045" i="1"/>
  <c r="Z1045" i="1"/>
  <c r="AA1045" i="1"/>
  <c r="AB1045" i="1"/>
  <c r="AC1045" i="1"/>
  <c r="AD1045" i="1"/>
  <c r="AE1045" i="1"/>
  <c r="AF1045" i="1"/>
  <c r="AG1045" i="1"/>
  <c r="AH1045" i="1"/>
  <c r="AI1045" i="1"/>
  <c r="AJ1045" i="1"/>
  <c r="AQ1045" i="1"/>
  <c r="AR1045" i="1"/>
  <c r="AS1045" i="1"/>
  <c r="L1046" i="1"/>
  <c r="M1046" i="1"/>
  <c r="N1046" i="1"/>
  <c r="O1046" i="1"/>
  <c r="P1046" i="1"/>
  <c r="Q1046" i="1"/>
  <c r="R1046" i="1"/>
  <c r="S1046" i="1"/>
  <c r="T1046" i="1"/>
  <c r="U1046" i="1"/>
  <c r="V1046" i="1"/>
  <c r="W1046" i="1"/>
  <c r="X1046" i="1"/>
  <c r="Y1046" i="1"/>
  <c r="Z1046" i="1"/>
  <c r="AA1046" i="1"/>
  <c r="AB1046" i="1"/>
  <c r="AC1046" i="1"/>
  <c r="AD1046" i="1"/>
  <c r="AE1046" i="1"/>
  <c r="AF1046" i="1"/>
  <c r="AG1046" i="1"/>
  <c r="AH1046" i="1"/>
  <c r="AI1046" i="1"/>
  <c r="AJ1046" i="1"/>
  <c r="AQ1046" i="1"/>
  <c r="AR1046" i="1"/>
  <c r="AS1046" i="1"/>
  <c r="L1047" i="1"/>
  <c r="M1047" i="1"/>
  <c r="N1047" i="1"/>
  <c r="O1047" i="1"/>
  <c r="P1047" i="1"/>
  <c r="Q1047" i="1"/>
  <c r="R1047" i="1"/>
  <c r="S1047" i="1"/>
  <c r="T1047" i="1"/>
  <c r="U1047" i="1"/>
  <c r="V1047" i="1"/>
  <c r="W1047" i="1"/>
  <c r="X1047" i="1"/>
  <c r="Y1047" i="1"/>
  <c r="Z1047" i="1"/>
  <c r="AA1047" i="1"/>
  <c r="AB1047" i="1"/>
  <c r="AC1047" i="1"/>
  <c r="AD1047" i="1"/>
  <c r="AE1047" i="1"/>
  <c r="AF1047" i="1"/>
  <c r="AG1047" i="1"/>
  <c r="AH1047" i="1"/>
  <c r="AI1047" i="1"/>
  <c r="AJ1047" i="1"/>
  <c r="AQ1047" i="1"/>
  <c r="AR1047" i="1"/>
  <c r="AS1047" i="1"/>
  <c r="L1048" i="1"/>
  <c r="M1048" i="1"/>
  <c r="N1048" i="1"/>
  <c r="O1048" i="1"/>
  <c r="P1048" i="1"/>
  <c r="Q1048" i="1"/>
  <c r="R1048" i="1"/>
  <c r="S1048" i="1"/>
  <c r="T1048" i="1"/>
  <c r="U1048" i="1"/>
  <c r="V1048" i="1"/>
  <c r="W1048" i="1"/>
  <c r="X1048" i="1"/>
  <c r="Y1048" i="1"/>
  <c r="Z1048" i="1"/>
  <c r="AA1048" i="1"/>
  <c r="AB1048" i="1"/>
  <c r="AC1048" i="1"/>
  <c r="AD1048" i="1"/>
  <c r="AE1048" i="1"/>
  <c r="AF1048" i="1"/>
  <c r="AG1048" i="1"/>
  <c r="AH1048" i="1"/>
  <c r="AI1048" i="1"/>
  <c r="AJ1048" i="1"/>
  <c r="AQ1048" i="1"/>
  <c r="AR1048" i="1"/>
  <c r="AS1048" i="1"/>
  <c r="L1049" i="1"/>
  <c r="M1049" i="1"/>
  <c r="N1049" i="1"/>
  <c r="O1049" i="1"/>
  <c r="P1049" i="1"/>
  <c r="Q1049" i="1"/>
  <c r="R1049" i="1"/>
  <c r="S1049" i="1"/>
  <c r="T1049" i="1"/>
  <c r="U1049" i="1"/>
  <c r="V1049" i="1"/>
  <c r="W1049" i="1"/>
  <c r="X1049" i="1"/>
  <c r="Y1049" i="1"/>
  <c r="Z1049" i="1"/>
  <c r="AA1049" i="1"/>
  <c r="AB1049" i="1"/>
  <c r="AC1049" i="1"/>
  <c r="AD1049" i="1"/>
  <c r="AE1049" i="1"/>
  <c r="AF1049" i="1"/>
  <c r="AG1049" i="1"/>
  <c r="AH1049" i="1"/>
  <c r="AI1049" i="1"/>
  <c r="AJ1049" i="1"/>
  <c r="AQ1049" i="1"/>
  <c r="AR1049" i="1"/>
  <c r="AS1049" i="1"/>
  <c r="L1050" i="1"/>
  <c r="M1050" i="1"/>
  <c r="N1050" i="1"/>
  <c r="O1050" i="1"/>
  <c r="P1050" i="1"/>
  <c r="Q1050" i="1"/>
  <c r="R1050" i="1"/>
  <c r="S1050" i="1"/>
  <c r="T1050" i="1"/>
  <c r="U1050" i="1"/>
  <c r="V1050" i="1"/>
  <c r="W1050" i="1"/>
  <c r="X1050" i="1"/>
  <c r="Y1050" i="1"/>
  <c r="Z1050" i="1"/>
  <c r="AA1050" i="1"/>
  <c r="AB1050" i="1"/>
  <c r="AC1050" i="1"/>
  <c r="AD1050" i="1"/>
  <c r="AE1050" i="1"/>
  <c r="AF1050" i="1"/>
  <c r="AG1050" i="1"/>
  <c r="AH1050" i="1"/>
  <c r="AI1050" i="1"/>
  <c r="AJ1050" i="1"/>
  <c r="AQ1050" i="1"/>
  <c r="AR1050" i="1"/>
  <c r="AS1050" i="1"/>
  <c r="L1051" i="1"/>
  <c r="M1051" i="1"/>
  <c r="N1051" i="1"/>
  <c r="O1051" i="1"/>
  <c r="P1051" i="1"/>
  <c r="Q1051" i="1"/>
  <c r="R1051" i="1"/>
  <c r="S1051" i="1"/>
  <c r="T1051" i="1"/>
  <c r="U1051" i="1"/>
  <c r="V1051" i="1"/>
  <c r="W1051" i="1"/>
  <c r="X1051" i="1"/>
  <c r="Y1051" i="1"/>
  <c r="Z1051" i="1"/>
  <c r="AA1051" i="1"/>
  <c r="AB1051" i="1"/>
  <c r="AC1051" i="1"/>
  <c r="AD1051" i="1"/>
  <c r="AE1051" i="1"/>
  <c r="AF1051" i="1"/>
  <c r="AG1051" i="1"/>
  <c r="AH1051" i="1"/>
  <c r="AI1051" i="1"/>
  <c r="AJ1051" i="1"/>
  <c r="AQ1051" i="1"/>
  <c r="AR1051" i="1"/>
  <c r="AS1051" i="1"/>
  <c r="L1052" i="1"/>
  <c r="M1052" i="1"/>
  <c r="N1052" i="1"/>
  <c r="O1052" i="1"/>
  <c r="P1052" i="1"/>
  <c r="Q1052" i="1"/>
  <c r="R1052" i="1"/>
  <c r="S1052" i="1"/>
  <c r="T1052" i="1"/>
  <c r="U1052" i="1"/>
  <c r="V1052" i="1"/>
  <c r="W1052" i="1"/>
  <c r="X1052" i="1"/>
  <c r="Y1052" i="1"/>
  <c r="Z1052" i="1"/>
  <c r="AA1052" i="1"/>
  <c r="AB1052" i="1"/>
  <c r="AC1052" i="1"/>
  <c r="AD1052" i="1"/>
  <c r="AE1052" i="1"/>
  <c r="AF1052" i="1"/>
  <c r="AG1052" i="1"/>
  <c r="AH1052" i="1"/>
  <c r="AI1052" i="1"/>
  <c r="AJ1052" i="1"/>
  <c r="AQ1052" i="1"/>
  <c r="AR1052" i="1"/>
  <c r="AS1052" i="1"/>
  <c r="L1053" i="1"/>
  <c r="M1053" i="1"/>
  <c r="N1053" i="1"/>
  <c r="O1053" i="1"/>
  <c r="P1053" i="1"/>
  <c r="Q1053" i="1"/>
  <c r="R1053" i="1"/>
  <c r="S1053" i="1"/>
  <c r="T1053" i="1"/>
  <c r="U1053" i="1"/>
  <c r="V1053" i="1"/>
  <c r="W1053" i="1"/>
  <c r="X1053" i="1"/>
  <c r="Y1053" i="1"/>
  <c r="Z1053" i="1"/>
  <c r="AA1053" i="1"/>
  <c r="AB1053" i="1"/>
  <c r="AC1053" i="1"/>
  <c r="AD1053" i="1"/>
  <c r="AE1053" i="1"/>
  <c r="AF1053" i="1"/>
  <c r="AG1053" i="1"/>
  <c r="AH1053" i="1"/>
  <c r="AI1053" i="1"/>
  <c r="AJ1053" i="1"/>
  <c r="AQ1053" i="1"/>
  <c r="AR1053" i="1"/>
  <c r="AS1053" i="1"/>
  <c r="L1054" i="1"/>
  <c r="M1054" i="1"/>
  <c r="N1054" i="1"/>
  <c r="O1054" i="1"/>
  <c r="P1054" i="1"/>
  <c r="Q1054" i="1"/>
  <c r="R1054" i="1"/>
  <c r="S1054" i="1"/>
  <c r="T1054" i="1"/>
  <c r="U1054" i="1"/>
  <c r="V1054" i="1"/>
  <c r="W1054" i="1"/>
  <c r="X1054" i="1"/>
  <c r="Y1054" i="1"/>
  <c r="Z1054" i="1"/>
  <c r="AA1054" i="1"/>
  <c r="AB1054" i="1"/>
  <c r="AC1054" i="1"/>
  <c r="AD1054" i="1"/>
  <c r="AE1054" i="1"/>
  <c r="AF1054" i="1"/>
  <c r="AG1054" i="1"/>
  <c r="AH1054" i="1"/>
  <c r="AI1054" i="1"/>
  <c r="AJ1054" i="1"/>
  <c r="AQ1054" i="1"/>
  <c r="AR1054" i="1"/>
  <c r="AS1054" i="1"/>
  <c r="L1055" i="1"/>
  <c r="M1055" i="1"/>
  <c r="N1055" i="1"/>
  <c r="O1055" i="1"/>
  <c r="P1055" i="1"/>
  <c r="Q1055" i="1"/>
  <c r="R1055" i="1"/>
  <c r="S1055" i="1"/>
  <c r="T1055" i="1"/>
  <c r="U1055" i="1"/>
  <c r="V1055" i="1"/>
  <c r="W1055" i="1"/>
  <c r="X1055" i="1"/>
  <c r="Y1055" i="1"/>
  <c r="Z1055" i="1"/>
  <c r="AA1055" i="1"/>
  <c r="AB1055" i="1"/>
  <c r="AC1055" i="1"/>
  <c r="AD1055" i="1"/>
  <c r="AE1055" i="1"/>
  <c r="AF1055" i="1"/>
  <c r="AG1055" i="1"/>
  <c r="AH1055" i="1"/>
  <c r="AI1055" i="1"/>
  <c r="AJ1055" i="1"/>
  <c r="AQ1055" i="1"/>
  <c r="AR1055" i="1"/>
  <c r="AS1055" i="1"/>
  <c r="L1056" i="1"/>
  <c r="M1056" i="1"/>
  <c r="N1056" i="1"/>
  <c r="O1056" i="1"/>
  <c r="P1056" i="1"/>
  <c r="Q1056" i="1"/>
  <c r="R1056" i="1"/>
  <c r="S1056" i="1"/>
  <c r="T1056" i="1"/>
  <c r="U1056" i="1"/>
  <c r="V1056" i="1"/>
  <c r="W1056" i="1"/>
  <c r="X1056" i="1"/>
  <c r="Y1056" i="1"/>
  <c r="Z1056" i="1"/>
  <c r="AA1056" i="1"/>
  <c r="AB1056" i="1"/>
  <c r="AC1056" i="1"/>
  <c r="AD1056" i="1"/>
  <c r="AE1056" i="1"/>
  <c r="AF1056" i="1"/>
  <c r="AG1056" i="1"/>
  <c r="AH1056" i="1"/>
  <c r="AI1056" i="1"/>
  <c r="AJ1056" i="1"/>
  <c r="AQ1056" i="1"/>
  <c r="AR1056" i="1"/>
  <c r="AS1056" i="1"/>
  <c r="L1057" i="1"/>
  <c r="M1057" i="1"/>
  <c r="N1057" i="1"/>
  <c r="O1057" i="1"/>
  <c r="P1057" i="1"/>
  <c r="Q1057" i="1"/>
  <c r="R1057" i="1"/>
  <c r="S1057" i="1"/>
  <c r="T1057" i="1"/>
  <c r="U1057" i="1"/>
  <c r="V1057" i="1"/>
  <c r="W1057" i="1"/>
  <c r="X1057" i="1"/>
  <c r="Y1057" i="1"/>
  <c r="Z1057" i="1"/>
  <c r="AA1057" i="1"/>
  <c r="AB1057" i="1"/>
  <c r="AC1057" i="1"/>
  <c r="AD1057" i="1"/>
  <c r="AE1057" i="1"/>
  <c r="AF1057" i="1"/>
  <c r="AG1057" i="1"/>
  <c r="AH1057" i="1"/>
  <c r="AI1057" i="1"/>
  <c r="AJ1057" i="1"/>
  <c r="AQ1057" i="1"/>
  <c r="AR1057" i="1"/>
  <c r="AS1057" i="1"/>
  <c r="L1058" i="1"/>
  <c r="M1058" i="1"/>
  <c r="N1058" i="1"/>
  <c r="O1058" i="1"/>
  <c r="P1058" i="1"/>
  <c r="Q1058" i="1"/>
  <c r="R1058" i="1"/>
  <c r="S1058" i="1"/>
  <c r="T1058" i="1"/>
  <c r="U1058" i="1"/>
  <c r="V1058" i="1"/>
  <c r="W1058" i="1"/>
  <c r="X1058" i="1"/>
  <c r="Y1058" i="1"/>
  <c r="Z1058" i="1"/>
  <c r="AA1058" i="1"/>
  <c r="AB1058" i="1"/>
  <c r="AC1058" i="1"/>
  <c r="AD1058" i="1"/>
  <c r="AE1058" i="1"/>
  <c r="AF1058" i="1"/>
  <c r="AG1058" i="1"/>
  <c r="AH1058" i="1"/>
  <c r="AI1058" i="1"/>
  <c r="AJ1058" i="1"/>
  <c r="AQ1058" i="1"/>
  <c r="AR1058" i="1"/>
  <c r="AS1058" i="1"/>
  <c r="L1059" i="1"/>
  <c r="M1059" i="1"/>
  <c r="N1059" i="1"/>
  <c r="O1059" i="1"/>
  <c r="P1059" i="1"/>
  <c r="Q1059" i="1"/>
  <c r="R1059" i="1"/>
  <c r="S1059" i="1"/>
  <c r="T1059" i="1"/>
  <c r="U1059" i="1"/>
  <c r="V1059" i="1"/>
  <c r="W1059" i="1"/>
  <c r="X1059" i="1"/>
  <c r="Y1059" i="1"/>
  <c r="Z1059" i="1"/>
  <c r="AA1059" i="1"/>
  <c r="AB1059" i="1"/>
  <c r="AC1059" i="1"/>
  <c r="AD1059" i="1"/>
  <c r="AE1059" i="1"/>
  <c r="AF1059" i="1"/>
  <c r="AG1059" i="1"/>
  <c r="AH1059" i="1"/>
  <c r="AI1059" i="1"/>
  <c r="AJ1059" i="1"/>
  <c r="AQ1059" i="1"/>
  <c r="AR1059" i="1"/>
  <c r="AS1059" i="1"/>
  <c r="L1060" i="1"/>
  <c r="M1060" i="1"/>
  <c r="N1060" i="1"/>
  <c r="O1060" i="1"/>
  <c r="P1060" i="1"/>
  <c r="Q1060" i="1"/>
  <c r="R1060" i="1"/>
  <c r="S1060" i="1"/>
  <c r="T1060" i="1"/>
  <c r="U1060" i="1"/>
  <c r="V1060" i="1"/>
  <c r="W1060" i="1"/>
  <c r="X1060" i="1"/>
  <c r="Y1060" i="1"/>
  <c r="Z1060" i="1"/>
  <c r="AA1060" i="1"/>
  <c r="AB1060" i="1"/>
  <c r="AC1060" i="1"/>
  <c r="AD1060" i="1"/>
  <c r="AE1060" i="1"/>
  <c r="AF1060" i="1"/>
  <c r="AG1060" i="1"/>
  <c r="AH1060" i="1"/>
  <c r="AI1060" i="1"/>
  <c r="AJ1060" i="1"/>
  <c r="AQ1060" i="1"/>
  <c r="AR1060" i="1"/>
  <c r="AS1060" i="1"/>
  <c r="L1061" i="1"/>
  <c r="M1061" i="1"/>
  <c r="N1061" i="1"/>
  <c r="O1061" i="1"/>
  <c r="P1061" i="1"/>
  <c r="Q1061" i="1"/>
  <c r="R1061" i="1"/>
  <c r="S1061" i="1"/>
  <c r="T1061" i="1"/>
  <c r="U1061" i="1"/>
  <c r="V1061" i="1"/>
  <c r="W1061" i="1"/>
  <c r="X1061" i="1"/>
  <c r="Y1061" i="1"/>
  <c r="Z1061" i="1"/>
  <c r="AA1061" i="1"/>
  <c r="AB1061" i="1"/>
  <c r="AC1061" i="1"/>
  <c r="AD1061" i="1"/>
  <c r="AE1061" i="1"/>
  <c r="AF1061" i="1"/>
  <c r="AG1061" i="1"/>
  <c r="AH1061" i="1"/>
  <c r="AI1061" i="1"/>
  <c r="AJ1061" i="1"/>
  <c r="AQ1061" i="1"/>
  <c r="AR1061" i="1"/>
  <c r="AS1061" i="1"/>
  <c r="L1062" i="1"/>
  <c r="M1062" i="1"/>
  <c r="N1062" i="1"/>
  <c r="O1062" i="1"/>
  <c r="P1062" i="1"/>
  <c r="Q1062" i="1"/>
  <c r="R1062" i="1"/>
  <c r="S1062" i="1"/>
  <c r="T1062" i="1"/>
  <c r="U1062" i="1"/>
  <c r="V1062" i="1"/>
  <c r="W1062" i="1"/>
  <c r="X1062" i="1"/>
  <c r="Y1062" i="1"/>
  <c r="Z1062" i="1"/>
  <c r="AA1062" i="1"/>
  <c r="AB1062" i="1"/>
  <c r="AC1062" i="1"/>
  <c r="AD1062" i="1"/>
  <c r="AE1062" i="1"/>
  <c r="AF1062" i="1"/>
  <c r="AG1062" i="1"/>
  <c r="AH1062" i="1"/>
  <c r="AI1062" i="1"/>
  <c r="AJ1062" i="1"/>
  <c r="AQ1062" i="1"/>
  <c r="AR1062" i="1"/>
  <c r="AS1062" i="1"/>
  <c r="L1063" i="1"/>
  <c r="M1063" i="1"/>
  <c r="N1063" i="1"/>
  <c r="O1063" i="1"/>
  <c r="P1063" i="1"/>
  <c r="Q1063" i="1"/>
  <c r="R1063" i="1"/>
  <c r="S1063" i="1"/>
  <c r="T1063" i="1"/>
  <c r="U1063" i="1"/>
  <c r="V1063" i="1"/>
  <c r="W1063" i="1"/>
  <c r="X1063" i="1"/>
  <c r="Y1063" i="1"/>
  <c r="Z1063" i="1"/>
  <c r="AA1063" i="1"/>
  <c r="AB1063" i="1"/>
  <c r="AC1063" i="1"/>
  <c r="AD1063" i="1"/>
  <c r="AE1063" i="1"/>
  <c r="AF1063" i="1"/>
  <c r="AG1063" i="1"/>
  <c r="AH1063" i="1"/>
  <c r="AI1063" i="1"/>
  <c r="AJ1063" i="1"/>
  <c r="AQ1063" i="1"/>
  <c r="AR1063" i="1"/>
  <c r="AS1063" i="1"/>
  <c r="L1064" i="1"/>
  <c r="M1064" i="1"/>
  <c r="N1064" i="1"/>
  <c r="O1064" i="1"/>
  <c r="P1064" i="1"/>
  <c r="Q1064" i="1"/>
  <c r="R1064" i="1"/>
  <c r="S1064" i="1"/>
  <c r="T1064" i="1"/>
  <c r="U1064" i="1"/>
  <c r="V1064" i="1"/>
  <c r="W1064" i="1"/>
  <c r="X1064" i="1"/>
  <c r="Y1064" i="1"/>
  <c r="Z1064" i="1"/>
  <c r="AA1064" i="1"/>
  <c r="AB1064" i="1"/>
  <c r="AC1064" i="1"/>
  <c r="AD1064" i="1"/>
  <c r="AE1064" i="1"/>
  <c r="AF1064" i="1"/>
  <c r="AG1064" i="1"/>
  <c r="AH1064" i="1"/>
  <c r="AI1064" i="1"/>
  <c r="AJ1064" i="1"/>
  <c r="AQ1064" i="1"/>
  <c r="AR1064" i="1"/>
  <c r="AS1064" i="1"/>
  <c r="L1065" i="1"/>
  <c r="M1065" i="1"/>
  <c r="N1065" i="1"/>
  <c r="O1065" i="1"/>
  <c r="P1065" i="1"/>
  <c r="Q1065" i="1"/>
  <c r="R1065" i="1"/>
  <c r="S1065" i="1"/>
  <c r="T1065" i="1"/>
  <c r="U1065" i="1"/>
  <c r="V1065" i="1"/>
  <c r="W1065" i="1"/>
  <c r="X1065" i="1"/>
  <c r="Y1065" i="1"/>
  <c r="Z1065" i="1"/>
  <c r="AA1065" i="1"/>
  <c r="AB1065" i="1"/>
  <c r="AC1065" i="1"/>
  <c r="AD1065" i="1"/>
  <c r="AE1065" i="1"/>
  <c r="AF1065" i="1"/>
  <c r="AG1065" i="1"/>
  <c r="AH1065" i="1"/>
  <c r="AI1065" i="1"/>
  <c r="AJ1065" i="1"/>
  <c r="AQ1065" i="1"/>
  <c r="AR1065" i="1"/>
  <c r="AS1065" i="1"/>
  <c r="L1066" i="1"/>
  <c r="M1066" i="1"/>
  <c r="N1066" i="1"/>
  <c r="O1066" i="1"/>
  <c r="P1066" i="1"/>
  <c r="Q1066" i="1"/>
  <c r="R1066" i="1"/>
  <c r="S1066" i="1"/>
  <c r="T1066" i="1"/>
  <c r="U1066" i="1"/>
  <c r="V1066" i="1"/>
  <c r="W1066" i="1"/>
  <c r="X1066" i="1"/>
  <c r="Y1066" i="1"/>
  <c r="Z1066" i="1"/>
  <c r="AA1066" i="1"/>
  <c r="AB1066" i="1"/>
  <c r="AC1066" i="1"/>
  <c r="AD1066" i="1"/>
  <c r="AE1066" i="1"/>
  <c r="AF1066" i="1"/>
  <c r="AG1066" i="1"/>
  <c r="AH1066" i="1"/>
  <c r="AI1066" i="1"/>
  <c r="AJ1066" i="1"/>
  <c r="AQ1066" i="1"/>
  <c r="AR1066" i="1"/>
  <c r="AS1066" i="1"/>
  <c r="L1067" i="1"/>
  <c r="M1067" i="1"/>
  <c r="N1067" i="1"/>
  <c r="O1067" i="1"/>
  <c r="P1067" i="1"/>
  <c r="Q1067" i="1"/>
  <c r="R1067" i="1"/>
  <c r="S1067" i="1"/>
  <c r="T1067" i="1"/>
  <c r="U1067" i="1"/>
  <c r="V1067" i="1"/>
  <c r="W1067" i="1"/>
  <c r="X1067" i="1"/>
  <c r="Y1067" i="1"/>
  <c r="Z1067" i="1"/>
  <c r="AA1067" i="1"/>
  <c r="AB1067" i="1"/>
  <c r="AC1067" i="1"/>
  <c r="AD1067" i="1"/>
  <c r="AE1067" i="1"/>
  <c r="AF1067" i="1"/>
  <c r="AG1067" i="1"/>
  <c r="AH1067" i="1"/>
  <c r="AI1067" i="1"/>
  <c r="AJ1067" i="1"/>
  <c r="AQ1067" i="1"/>
  <c r="AR1067" i="1"/>
  <c r="AS1067" i="1"/>
  <c r="L1068" i="1"/>
  <c r="M1068" i="1"/>
  <c r="N1068" i="1"/>
  <c r="O1068" i="1"/>
  <c r="P1068" i="1"/>
  <c r="Q1068" i="1"/>
  <c r="R1068" i="1"/>
  <c r="S1068" i="1"/>
  <c r="T1068" i="1"/>
  <c r="U1068" i="1"/>
  <c r="V1068" i="1"/>
  <c r="W1068" i="1"/>
  <c r="X1068" i="1"/>
  <c r="Y1068" i="1"/>
  <c r="Z1068" i="1"/>
  <c r="AA1068" i="1"/>
  <c r="AB1068" i="1"/>
  <c r="AC1068" i="1"/>
  <c r="AD1068" i="1"/>
  <c r="AE1068" i="1"/>
  <c r="AF1068" i="1"/>
  <c r="AG1068" i="1"/>
  <c r="AH1068" i="1"/>
  <c r="AI1068" i="1"/>
  <c r="AJ1068" i="1"/>
  <c r="AQ1068" i="1"/>
  <c r="AR1068" i="1"/>
  <c r="AS1068" i="1"/>
  <c r="L1069" i="1"/>
  <c r="M1069" i="1"/>
  <c r="N1069" i="1"/>
  <c r="O1069" i="1"/>
  <c r="P1069" i="1"/>
  <c r="Q1069" i="1"/>
  <c r="R1069" i="1"/>
  <c r="S1069" i="1"/>
  <c r="T1069" i="1"/>
  <c r="U1069" i="1"/>
  <c r="V1069" i="1"/>
  <c r="W1069" i="1"/>
  <c r="X1069" i="1"/>
  <c r="Y1069" i="1"/>
  <c r="Z1069" i="1"/>
  <c r="AA1069" i="1"/>
  <c r="AB1069" i="1"/>
  <c r="AC1069" i="1"/>
  <c r="AD1069" i="1"/>
  <c r="AE1069" i="1"/>
  <c r="AF1069" i="1"/>
  <c r="AG1069" i="1"/>
  <c r="AH1069" i="1"/>
  <c r="AI1069" i="1"/>
  <c r="AJ1069" i="1"/>
  <c r="AQ1069" i="1"/>
  <c r="AR1069" i="1"/>
  <c r="AS1069" i="1"/>
  <c r="L1070" i="1"/>
  <c r="M1070" i="1"/>
  <c r="N1070" i="1"/>
  <c r="O1070" i="1"/>
  <c r="P1070" i="1"/>
  <c r="Q1070" i="1"/>
  <c r="R1070" i="1"/>
  <c r="S1070" i="1"/>
  <c r="T1070" i="1"/>
  <c r="U1070" i="1"/>
  <c r="V1070" i="1"/>
  <c r="W1070" i="1"/>
  <c r="X1070" i="1"/>
  <c r="Y1070" i="1"/>
  <c r="Z1070" i="1"/>
  <c r="AA1070" i="1"/>
  <c r="AB1070" i="1"/>
  <c r="AC1070" i="1"/>
  <c r="AD1070" i="1"/>
  <c r="AE1070" i="1"/>
  <c r="AF1070" i="1"/>
  <c r="AG1070" i="1"/>
  <c r="AH1070" i="1"/>
  <c r="AI1070" i="1"/>
  <c r="AJ1070" i="1"/>
  <c r="AQ1070" i="1"/>
  <c r="AR1070" i="1"/>
  <c r="AS1070" i="1"/>
  <c r="L1071" i="1"/>
  <c r="M1071" i="1"/>
  <c r="N1071" i="1"/>
  <c r="O1071" i="1"/>
  <c r="P1071" i="1"/>
  <c r="Q1071" i="1"/>
  <c r="R1071" i="1"/>
  <c r="S1071" i="1"/>
  <c r="T1071" i="1"/>
  <c r="U1071" i="1"/>
  <c r="V1071" i="1"/>
  <c r="W1071" i="1"/>
  <c r="X1071" i="1"/>
  <c r="Y1071" i="1"/>
  <c r="Z1071" i="1"/>
  <c r="AA1071" i="1"/>
  <c r="AB1071" i="1"/>
  <c r="AC1071" i="1"/>
  <c r="AD1071" i="1"/>
  <c r="AE1071" i="1"/>
  <c r="AF1071" i="1"/>
  <c r="AG1071" i="1"/>
  <c r="AH1071" i="1"/>
  <c r="AI1071" i="1"/>
  <c r="AJ1071" i="1"/>
  <c r="AQ1071" i="1"/>
  <c r="AR1071" i="1"/>
  <c r="AS1071" i="1"/>
  <c r="L1072" i="1"/>
  <c r="M1072" i="1"/>
  <c r="N1072" i="1"/>
  <c r="O1072" i="1"/>
  <c r="P1072" i="1"/>
  <c r="Q1072" i="1"/>
  <c r="R1072" i="1"/>
  <c r="S1072" i="1"/>
  <c r="T1072" i="1"/>
  <c r="U1072" i="1"/>
  <c r="V1072" i="1"/>
  <c r="W1072" i="1"/>
  <c r="X1072" i="1"/>
  <c r="Y1072" i="1"/>
  <c r="Z1072" i="1"/>
  <c r="AA1072" i="1"/>
  <c r="AB1072" i="1"/>
  <c r="AC1072" i="1"/>
  <c r="AD1072" i="1"/>
  <c r="AE1072" i="1"/>
  <c r="AF1072" i="1"/>
  <c r="AG1072" i="1"/>
  <c r="AH1072" i="1"/>
  <c r="AI1072" i="1"/>
  <c r="AJ1072" i="1"/>
  <c r="AQ1072" i="1"/>
  <c r="AR1072" i="1"/>
  <c r="AS1072" i="1"/>
  <c r="L1073" i="1"/>
  <c r="M1073" i="1"/>
  <c r="N1073" i="1"/>
  <c r="O1073" i="1"/>
  <c r="P1073" i="1"/>
  <c r="Q1073" i="1"/>
  <c r="R1073" i="1"/>
  <c r="S1073" i="1"/>
  <c r="T1073" i="1"/>
  <c r="U1073" i="1"/>
  <c r="V1073" i="1"/>
  <c r="W1073" i="1"/>
  <c r="X1073" i="1"/>
  <c r="Y1073" i="1"/>
  <c r="Z1073" i="1"/>
  <c r="AA1073" i="1"/>
  <c r="AB1073" i="1"/>
  <c r="AC1073" i="1"/>
  <c r="AD1073" i="1"/>
  <c r="AE1073" i="1"/>
  <c r="AF1073" i="1"/>
  <c r="AG1073" i="1"/>
  <c r="AH1073" i="1"/>
  <c r="AI1073" i="1"/>
  <c r="AJ1073" i="1"/>
  <c r="AQ1073" i="1"/>
  <c r="AR1073" i="1"/>
  <c r="AS1073" i="1"/>
  <c r="L1074" i="1"/>
  <c r="M1074" i="1"/>
  <c r="N1074" i="1"/>
  <c r="O1074" i="1"/>
  <c r="P1074" i="1"/>
  <c r="Q1074" i="1"/>
  <c r="R1074" i="1"/>
  <c r="S1074" i="1"/>
  <c r="T1074" i="1"/>
  <c r="U1074" i="1"/>
  <c r="V1074" i="1"/>
  <c r="W1074" i="1"/>
  <c r="X1074" i="1"/>
  <c r="Y1074" i="1"/>
  <c r="Z1074" i="1"/>
  <c r="AA1074" i="1"/>
  <c r="AB1074" i="1"/>
  <c r="AC1074" i="1"/>
  <c r="AD1074" i="1"/>
  <c r="AE1074" i="1"/>
  <c r="AF1074" i="1"/>
  <c r="AG1074" i="1"/>
  <c r="AH1074" i="1"/>
  <c r="AI1074" i="1"/>
  <c r="AJ1074" i="1"/>
  <c r="AQ1074" i="1"/>
  <c r="AR1074" i="1"/>
  <c r="AS1074" i="1"/>
  <c r="L1075" i="1"/>
  <c r="M1075" i="1"/>
  <c r="N1075" i="1"/>
  <c r="O1075" i="1"/>
  <c r="P1075" i="1"/>
  <c r="Q1075" i="1"/>
  <c r="R1075" i="1"/>
  <c r="S1075" i="1"/>
  <c r="T1075" i="1"/>
  <c r="U1075" i="1"/>
  <c r="V1075" i="1"/>
  <c r="W1075" i="1"/>
  <c r="X1075" i="1"/>
  <c r="Y1075" i="1"/>
  <c r="Z1075" i="1"/>
  <c r="AA1075" i="1"/>
  <c r="AB1075" i="1"/>
  <c r="AC1075" i="1"/>
  <c r="AD1075" i="1"/>
  <c r="AE1075" i="1"/>
  <c r="AF1075" i="1"/>
  <c r="AG1075" i="1"/>
  <c r="AH1075" i="1"/>
  <c r="AI1075" i="1"/>
  <c r="AJ1075" i="1"/>
  <c r="AQ1075" i="1"/>
  <c r="AR1075" i="1"/>
  <c r="AS1075" i="1"/>
  <c r="L1076" i="1"/>
  <c r="M1076" i="1"/>
  <c r="N1076" i="1"/>
  <c r="O1076" i="1"/>
  <c r="P1076" i="1"/>
  <c r="Q1076" i="1"/>
  <c r="R1076" i="1"/>
  <c r="S1076" i="1"/>
  <c r="T1076" i="1"/>
  <c r="U1076" i="1"/>
  <c r="V1076" i="1"/>
  <c r="W1076" i="1"/>
  <c r="X1076" i="1"/>
  <c r="Y1076" i="1"/>
  <c r="Z1076" i="1"/>
  <c r="AA1076" i="1"/>
  <c r="AB1076" i="1"/>
  <c r="AC1076" i="1"/>
  <c r="AD1076" i="1"/>
  <c r="AE1076" i="1"/>
  <c r="AF1076" i="1"/>
  <c r="AG1076" i="1"/>
  <c r="AH1076" i="1"/>
  <c r="AI1076" i="1"/>
  <c r="AJ1076" i="1"/>
  <c r="AQ1076" i="1"/>
  <c r="AR1076" i="1"/>
  <c r="AS1076" i="1"/>
  <c r="L1077" i="1"/>
  <c r="M1077" i="1"/>
  <c r="N1077" i="1"/>
  <c r="O1077" i="1"/>
  <c r="P1077" i="1"/>
  <c r="Q1077" i="1"/>
  <c r="R1077" i="1"/>
  <c r="S1077" i="1"/>
  <c r="T1077" i="1"/>
  <c r="U1077" i="1"/>
  <c r="V1077" i="1"/>
  <c r="W1077" i="1"/>
  <c r="X1077" i="1"/>
  <c r="Y1077" i="1"/>
  <c r="Z1077" i="1"/>
  <c r="AA1077" i="1"/>
  <c r="AB1077" i="1"/>
  <c r="AC1077" i="1"/>
  <c r="AD1077" i="1"/>
  <c r="AE1077" i="1"/>
  <c r="AF1077" i="1"/>
  <c r="AG1077" i="1"/>
  <c r="AH1077" i="1"/>
  <c r="AI1077" i="1"/>
  <c r="AJ1077" i="1"/>
  <c r="AQ1077" i="1"/>
  <c r="AR1077" i="1"/>
  <c r="AS1077" i="1"/>
  <c r="L1078" i="1"/>
  <c r="M1078" i="1"/>
  <c r="N1078" i="1"/>
  <c r="O1078" i="1"/>
  <c r="P1078" i="1"/>
  <c r="Q1078" i="1"/>
  <c r="R1078" i="1"/>
  <c r="S1078" i="1"/>
  <c r="T1078" i="1"/>
  <c r="U1078" i="1"/>
  <c r="V1078" i="1"/>
  <c r="W1078" i="1"/>
  <c r="X1078" i="1"/>
  <c r="Y1078" i="1"/>
  <c r="Z1078" i="1"/>
  <c r="AA1078" i="1"/>
  <c r="AB1078" i="1"/>
  <c r="AC1078" i="1"/>
  <c r="AD1078" i="1"/>
  <c r="AE1078" i="1"/>
  <c r="AF1078" i="1"/>
  <c r="AG1078" i="1"/>
  <c r="AH1078" i="1"/>
  <c r="AI1078" i="1"/>
  <c r="AJ1078" i="1"/>
  <c r="AQ1078" i="1"/>
  <c r="AR1078" i="1"/>
  <c r="AS1078" i="1"/>
  <c r="L1079" i="1"/>
  <c r="M1079" i="1"/>
  <c r="N1079" i="1"/>
  <c r="O1079" i="1"/>
  <c r="P1079" i="1"/>
  <c r="Q1079" i="1"/>
  <c r="R1079" i="1"/>
  <c r="S1079" i="1"/>
  <c r="T1079" i="1"/>
  <c r="U1079" i="1"/>
  <c r="V1079" i="1"/>
  <c r="W1079" i="1"/>
  <c r="X1079" i="1"/>
  <c r="Y1079" i="1"/>
  <c r="Z1079" i="1"/>
  <c r="AA1079" i="1"/>
  <c r="AB1079" i="1"/>
  <c r="AC1079" i="1"/>
  <c r="AD1079" i="1"/>
  <c r="AE1079" i="1"/>
  <c r="AF1079" i="1"/>
  <c r="AG1079" i="1"/>
  <c r="AH1079" i="1"/>
  <c r="AI1079" i="1"/>
  <c r="AJ1079" i="1"/>
  <c r="AQ1079" i="1"/>
  <c r="AR1079" i="1"/>
  <c r="AS1079" i="1"/>
  <c r="L1080" i="1"/>
  <c r="M1080" i="1"/>
  <c r="N1080" i="1"/>
  <c r="O1080" i="1"/>
  <c r="P1080" i="1"/>
  <c r="Q1080" i="1"/>
  <c r="R1080" i="1"/>
  <c r="S1080" i="1"/>
  <c r="T1080" i="1"/>
  <c r="U1080" i="1"/>
  <c r="V1080" i="1"/>
  <c r="W1080" i="1"/>
  <c r="X1080" i="1"/>
  <c r="Y1080" i="1"/>
  <c r="Z1080" i="1"/>
  <c r="AA1080" i="1"/>
  <c r="AB1080" i="1"/>
  <c r="AC1080" i="1"/>
  <c r="AD1080" i="1"/>
  <c r="AE1080" i="1"/>
  <c r="AF1080" i="1"/>
  <c r="AG1080" i="1"/>
  <c r="AH1080" i="1"/>
  <c r="AI1080" i="1"/>
  <c r="AJ1080" i="1"/>
  <c r="AQ1080" i="1"/>
  <c r="AR1080" i="1"/>
  <c r="AS1080" i="1"/>
  <c r="L1081" i="1"/>
  <c r="M1081" i="1"/>
  <c r="N1081" i="1"/>
  <c r="O1081" i="1"/>
  <c r="P1081" i="1"/>
  <c r="Q1081" i="1"/>
  <c r="R1081" i="1"/>
  <c r="S1081" i="1"/>
  <c r="T1081" i="1"/>
  <c r="U1081" i="1"/>
  <c r="V1081" i="1"/>
  <c r="W1081" i="1"/>
  <c r="X1081" i="1"/>
  <c r="Y1081" i="1"/>
  <c r="Z1081" i="1"/>
  <c r="AA1081" i="1"/>
  <c r="AB1081" i="1"/>
  <c r="AC1081" i="1"/>
  <c r="AD1081" i="1"/>
  <c r="AE1081" i="1"/>
  <c r="AF1081" i="1"/>
  <c r="AG1081" i="1"/>
  <c r="AH1081" i="1"/>
  <c r="AI1081" i="1"/>
  <c r="AJ1081" i="1"/>
  <c r="AQ1081" i="1"/>
  <c r="AR1081" i="1"/>
  <c r="AS1081" i="1"/>
  <c r="L1082" i="1"/>
  <c r="M1082" i="1"/>
  <c r="N1082" i="1"/>
  <c r="O1082" i="1"/>
  <c r="P1082" i="1"/>
  <c r="Q1082" i="1"/>
  <c r="R1082" i="1"/>
  <c r="S1082" i="1"/>
  <c r="T1082" i="1"/>
  <c r="U1082" i="1"/>
  <c r="V1082" i="1"/>
  <c r="W1082" i="1"/>
  <c r="X1082" i="1"/>
  <c r="Y1082" i="1"/>
  <c r="Z1082" i="1"/>
  <c r="AA1082" i="1"/>
  <c r="AB1082" i="1"/>
  <c r="AC1082" i="1"/>
  <c r="AD1082" i="1"/>
  <c r="AE1082" i="1"/>
  <c r="AF1082" i="1"/>
  <c r="AG1082" i="1"/>
  <c r="AH1082" i="1"/>
  <c r="AI1082" i="1"/>
  <c r="AJ1082" i="1"/>
  <c r="AQ1082" i="1"/>
  <c r="AR1082" i="1"/>
  <c r="AS1082" i="1"/>
  <c r="L1083" i="1"/>
  <c r="M1083" i="1"/>
  <c r="N1083" i="1"/>
  <c r="O1083" i="1"/>
  <c r="P1083" i="1"/>
  <c r="Q1083" i="1"/>
  <c r="R1083" i="1"/>
  <c r="S1083" i="1"/>
  <c r="T1083" i="1"/>
  <c r="U1083" i="1"/>
  <c r="V1083" i="1"/>
  <c r="W1083" i="1"/>
  <c r="X1083" i="1"/>
  <c r="Y1083" i="1"/>
  <c r="Z1083" i="1"/>
  <c r="AA1083" i="1"/>
  <c r="AB1083" i="1"/>
  <c r="AC1083" i="1"/>
  <c r="AD1083" i="1"/>
  <c r="AE1083" i="1"/>
  <c r="AF1083" i="1"/>
  <c r="AG1083" i="1"/>
  <c r="AH1083" i="1"/>
  <c r="AI1083" i="1"/>
  <c r="AJ1083" i="1"/>
  <c r="AQ1083" i="1"/>
  <c r="AR1083" i="1"/>
  <c r="AS1083" i="1"/>
  <c r="L1084" i="1"/>
  <c r="M1084" i="1"/>
  <c r="N1084" i="1"/>
  <c r="O1084" i="1"/>
  <c r="P1084" i="1"/>
  <c r="Q1084" i="1"/>
  <c r="R1084" i="1"/>
  <c r="S1084" i="1"/>
  <c r="T1084" i="1"/>
  <c r="U1084" i="1"/>
  <c r="V1084" i="1"/>
  <c r="W1084" i="1"/>
  <c r="X1084" i="1"/>
  <c r="Y1084" i="1"/>
  <c r="Z1084" i="1"/>
  <c r="AA1084" i="1"/>
  <c r="AB1084" i="1"/>
  <c r="AC1084" i="1"/>
  <c r="AD1084" i="1"/>
  <c r="AE1084" i="1"/>
  <c r="AF1084" i="1"/>
  <c r="AG1084" i="1"/>
  <c r="AH1084" i="1"/>
  <c r="AI1084" i="1"/>
  <c r="AJ1084" i="1"/>
  <c r="AQ1084" i="1"/>
  <c r="AR1084" i="1"/>
  <c r="AS1084" i="1"/>
  <c r="L1085" i="1"/>
  <c r="M1085" i="1"/>
  <c r="N1085" i="1"/>
  <c r="O1085" i="1"/>
  <c r="P1085" i="1"/>
  <c r="Q1085" i="1"/>
  <c r="R1085" i="1"/>
  <c r="S1085" i="1"/>
  <c r="T1085" i="1"/>
  <c r="U1085" i="1"/>
  <c r="V1085" i="1"/>
  <c r="W1085" i="1"/>
  <c r="X1085" i="1"/>
  <c r="Y1085" i="1"/>
  <c r="Z1085" i="1"/>
  <c r="AA1085" i="1"/>
  <c r="AB1085" i="1"/>
  <c r="AC1085" i="1"/>
  <c r="AD1085" i="1"/>
  <c r="AE1085" i="1"/>
  <c r="AF1085" i="1"/>
  <c r="AG1085" i="1"/>
  <c r="AH1085" i="1"/>
  <c r="AI1085" i="1"/>
  <c r="AJ1085" i="1"/>
  <c r="AQ1085" i="1"/>
  <c r="AR1085" i="1"/>
  <c r="AS1085" i="1"/>
  <c r="L1086" i="1"/>
  <c r="M1086" i="1"/>
  <c r="N1086" i="1"/>
  <c r="O1086" i="1"/>
  <c r="P1086" i="1"/>
  <c r="Q1086" i="1"/>
  <c r="R1086" i="1"/>
  <c r="S1086" i="1"/>
  <c r="T1086" i="1"/>
  <c r="U1086" i="1"/>
  <c r="V1086" i="1"/>
  <c r="W1086" i="1"/>
  <c r="X1086" i="1"/>
  <c r="Y1086" i="1"/>
  <c r="Z1086" i="1"/>
  <c r="AA1086" i="1"/>
  <c r="AB1086" i="1"/>
  <c r="AC1086" i="1"/>
  <c r="AD1086" i="1"/>
  <c r="AE1086" i="1"/>
  <c r="AF1086" i="1"/>
  <c r="AG1086" i="1"/>
  <c r="AH1086" i="1"/>
  <c r="AI1086" i="1"/>
  <c r="AJ1086" i="1"/>
  <c r="AQ1086" i="1"/>
  <c r="AR1086" i="1"/>
  <c r="AS1086" i="1"/>
  <c r="L1087" i="1"/>
  <c r="M1087" i="1"/>
  <c r="N1087" i="1"/>
  <c r="O1087" i="1"/>
  <c r="P1087" i="1"/>
  <c r="Q1087" i="1"/>
  <c r="R1087" i="1"/>
  <c r="S1087" i="1"/>
  <c r="T1087" i="1"/>
  <c r="U1087" i="1"/>
  <c r="V1087" i="1"/>
  <c r="W1087" i="1"/>
  <c r="X1087" i="1"/>
  <c r="Y1087" i="1"/>
  <c r="Z1087" i="1"/>
  <c r="AA1087" i="1"/>
  <c r="AB1087" i="1"/>
  <c r="AC1087" i="1"/>
  <c r="AD1087" i="1"/>
  <c r="AE1087" i="1"/>
  <c r="AF1087" i="1"/>
  <c r="AG1087" i="1"/>
  <c r="AH1087" i="1"/>
  <c r="AI1087" i="1"/>
  <c r="AJ1087" i="1"/>
  <c r="AQ1087" i="1"/>
  <c r="AR1087" i="1"/>
  <c r="AS1087" i="1"/>
  <c r="L1088" i="1"/>
  <c r="M1088" i="1"/>
  <c r="N1088" i="1"/>
  <c r="O1088" i="1"/>
  <c r="P1088" i="1"/>
  <c r="Q1088" i="1"/>
  <c r="R1088" i="1"/>
  <c r="S1088" i="1"/>
  <c r="T1088" i="1"/>
  <c r="U1088" i="1"/>
  <c r="V1088" i="1"/>
  <c r="W1088" i="1"/>
  <c r="X1088" i="1"/>
  <c r="Y1088" i="1"/>
  <c r="Z1088" i="1"/>
  <c r="AA1088" i="1"/>
  <c r="AB1088" i="1"/>
  <c r="AC1088" i="1"/>
  <c r="AD1088" i="1"/>
  <c r="AE1088" i="1"/>
  <c r="AF1088" i="1"/>
  <c r="AG1088" i="1"/>
  <c r="AH1088" i="1"/>
  <c r="AI1088" i="1"/>
  <c r="AJ1088" i="1"/>
  <c r="AQ1088" i="1"/>
  <c r="AR1088" i="1"/>
  <c r="AS1088" i="1"/>
  <c r="L1089" i="1"/>
  <c r="M1089" i="1"/>
  <c r="N1089" i="1"/>
  <c r="O1089" i="1"/>
  <c r="P1089" i="1"/>
  <c r="Q1089" i="1"/>
  <c r="R1089" i="1"/>
  <c r="S1089" i="1"/>
  <c r="T1089" i="1"/>
  <c r="U1089" i="1"/>
  <c r="V1089" i="1"/>
  <c r="W1089" i="1"/>
  <c r="X1089" i="1"/>
  <c r="Y1089" i="1"/>
  <c r="Z1089" i="1"/>
  <c r="AA1089" i="1"/>
  <c r="AB1089" i="1"/>
  <c r="AC1089" i="1"/>
  <c r="AD1089" i="1"/>
  <c r="AE1089" i="1"/>
  <c r="AF1089" i="1"/>
  <c r="AG1089" i="1"/>
  <c r="AH1089" i="1"/>
  <c r="AI1089" i="1"/>
  <c r="AJ1089" i="1"/>
  <c r="AQ1089" i="1"/>
  <c r="AR1089" i="1"/>
  <c r="AS1089" i="1"/>
  <c r="L1090" i="1"/>
  <c r="M1090" i="1"/>
  <c r="N1090" i="1"/>
  <c r="O1090" i="1"/>
  <c r="P1090" i="1"/>
  <c r="Q1090" i="1"/>
  <c r="R1090" i="1"/>
  <c r="S1090" i="1"/>
  <c r="T1090" i="1"/>
  <c r="U1090" i="1"/>
  <c r="V1090" i="1"/>
  <c r="W1090" i="1"/>
  <c r="X1090" i="1"/>
  <c r="Y1090" i="1"/>
  <c r="Z1090" i="1"/>
  <c r="AA1090" i="1"/>
  <c r="AB1090" i="1"/>
  <c r="AC1090" i="1"/>
  <c r="AD1090" i="1"/>
  <c r="AE1090" i="1"/>
  <c r="AF1090" i="1"/>
  <c r="AG1090" i="1"/>
  <c r="AH1090" i="1"/>
  <c r="AI1090" i="1"/>
  <c r="AJ1090" i="1"/>
  <c r="AQ1090" i="1"/>
  <c r="AR1090" i="1"/>
  <c r="AS1090" i="1"/>
  <c r="L1091" i="1"/>
  <c r="M1091" i="1"/>
  <c r="N1091" i="1"/>
  <c r="O1091" i="1"/>
  <c r="P1091" i="1"/>
  <c r="Q1091" i="1"/>
  <c r="R1091" i="1"/>
  <c r="S1091" i="1"/>
  <c r="T1091" i="1"/>
  <c r="U1091" i="1"/>
  <c r="V1091" i="1"/>
  <c r="W1091" i="1"/>
  <c r="X1091" i="1"/>
  <c r="Y1091" i="1"/>
  <c r="Z1091" i="1"/>
  <c r="AA1091" i="1"/>
  <c r="AB1091" i="1"/>
  <c r="AC1091" i="1"/>
  <c r="AD1091" i="1"/>
  <c r="AE1091" i="1"/>
  <c r="AF1091" i="1"/>
  <c r="AG1091" i="1"/>
  <c r="AH1091" i="1"/>
  <c r="AI1091" i="1"/>
  <c r="AJ1091" i="1"/>
  <c r="AQ1091" i="1"/>
  <c r="AR1091" i="1"/>
  <c r="AS1091" i="1"/>
  <c r="L1092" i="1"/>
  <c r="M1092" i="1"/>
  <c r="N1092" i="1"/>
  <c r="O1092" i="1"/>
  <c r="P1092" i="1"/>
  <c r="Q1092" i="1"/>
  <c r="R1092" i="1"/>
  <c r="S1092" i="1"/>
  <c r="T1092" i="1"/>
  <c r="U1092" i="1"/>
  <c r="V1092" i="1"/>
  <c r="W1092" i="1"/>
  <c r="X1092" i="1"/>
  <c r="Y1092" i="1"/>
  <c r="Z1092" i="1"/>
  <c r="AA1092" i="1"/>
  <c r="AB1092" i="1"/>
  <c r="AC1092" i="1"/>
  <c r="AD1092" i="1"/>
  <c r="AE1092" i="1"/>
  <c r="AF1092" i="1"/>
  <c r="AG1092" i="1"/>
  <c r="AH1092" i="1"/>
  <c r="AI1092" i="1"/>
  <c r="AJ1092" i="1"/>
  <c r="AQ1092" i="1"/>
  <c r="AR1092" i="1"/>
  <c r="AS1092" i="1"/>
  <c r="L1093" i="1"/>
  <c r="M1093" i="1"/>
  <c r="N1093" i="1"/>
  <c r="O1093" i="1"/>
  <c r="P1093" i="1"/>
  <c r="Q1093" i="1"/>
  <c r="R1093" i="1"/>
  <c r="S1093" i="1"/>
  <c r="T1093" i="1"/>
  <c r="U1093" i="1"/>
  <c r="V1093" i="1"/>
  <c r="W1093" i="1"/>
  <c r="X1093" i="1"/>
  <c r="Y1093" i="1"/>
  <c r="Z1093" i="1"/>
  <c r="AA1093" i="1"/>
  <c r="AB1093" i="1"/>
  <c r="AC1093" i="1"/>
  <c r="AD1093" i="1"/>
  <c r="AE1093" i="1"/>
  <c r="AF1093" i="1"/>
  <c r="AG1093" i="1"/>
  <c r="AH1093" i="1"/>
  <c r="AI1093" i="1"/>
  <c r="AJ1093" i="1"/>
  <c r="AQ1093" i="1"/>
  <c r="AR1093" i="1"/>
  <c r="AS1093" i="1"/>
  <c r="L1094" i="1"/>
  <c r="M1094" i="1"/>
  <c r="N1094" i="1"/>
  <c r="O1094" i="1"/>
  <c r="P1094" i="1"/>
  <c r="Q1094" i="1"/>
  <c r="R1094" i="1"/>
  <c r="S1094" i="1"/>
  <c r="T1094" i="1"/>
  <c r="U1094" i="1"/>
  <c r="V1094" i="1"/>
  <c r="W1094" i="1"/>
  <c r="X1094" i="1"/>
  <c r="Y1094" i="1"/>
  <c r="Z1094" i="1"/>
  <c r="AA1094" i="1"/>
  <c r="AB1094" i="1"/>
  <c r="AC1094" i="1"/>
  <c r="AD1094" i="1"/>
  <c r="AE1094" i="1"/>
  <c r="AF1094" i="1"/>
  <c r="AG1094" i="1"/>
  <c r="AH1094" i="1"/>
  <c r="AI1094" i="1"/>
  <c r="AJ1094" i="1"/>
  <c r="AQ1094" i="1"/>
  <c r="AR1094" i="1"/>
  <c r="AS1094" i="1"/>
  <c r="L1095" i="1"/>
  <c r="M1095" i="1"/>
  <c r="N1095" i="1"/>
  <c r="O1095" i="1"/>
  <c r="P1095" i="1"/>
  <c r="Q1095" i="1"/>
  <c r="R1095" i="1"/>
  <c r="S1095" i="1"/>
  <c r="T1095" i="1"/>
  <c r="U1095" i="1"/>
  <c r="V1095" i="1"/>
  <c r="W1095" i="1"/>
  <c r="X1095" i="1"/>
  <c r="Y1095" i="1"/>
  <c r="Z1095" i="1"/>
  <c r="AA1095" i="1"/>
  <c r="AB1095" i="1"/>
  <c r="AC1095" i="1"/>
  <c r="AD1095" i="1"/>
  <c r="AE1095" i="1"/>
  <c r="AF1095" i="1"/>
  <c r="AG1095" i="1"/>
  <c r="AH1095" i="1"/>
  <c r="AI1095" i="1"/>
  <c r="AJ1095" i="1"/>
  <c r="AQ1095" i="1"/>
  <c r="AR1095" i="1"/>
  <c r="AS1095" i="1"/>
  <c r="L1096" i="1"/>
  <c r="M1096" i="1"/>
  <c r="N1096" i="1"/>
  <c r="O1096" i="1"/>
  <c r="P1096" i="1"/>
  <c r="Q1096" i="1"/>
  <c r="R1096" i="1"/>
  <c r="S1096" i="1"/>
  <c r="T1096" i="1"/>
  <c r="U1096" i="1"/>
  <c r="V1096" i="1"/>
  <c r="W1096" i="1"/>
  <c r="X1096" i="1"/>
  <c r="Y1096" i="1"/>
  <c r="Z1096" i="1"/>
  <c r="AA1096" i="1"/>
  <c r="AB1096" i="1"/>
  <c r="AC1096" i="1"/>
  <c r="AD1096" i="1"/>
  <c r="AE1096" i="1"/>
  <c r="AF1096" i="1"/>
  <c r="AG1096" i="1"/>
  <c r="AH1096" i="1"/>
  <c r="AI1096" i="1"/>
  <c r="AJ1096" i="1"/>
  <c r="AQ1096" i="1"/>
  <c r="AR1096" i="1"/>
  <c r="AS1096" i="1"/>
  <c r="L1097" i="1"/>
  <c r="M1097" i="1"/>
  <c r="N1097" i="1"/>
  <c r="O1097" i="1"/>
  <c r="P1097" i="1"/>
  <c r="Q1097" i="1"/>
  <c r="R1097" i="1"/>
  <c r="S1097" i="1"/>
  <c r="T1097" i="1"/>
  <c r="U1097" i="1"/>
  <c r="V1097" i="1"/>
  <c r="W1097" i="1"/>
  <c r="X1097" i="1"/>
  <c r="Y1097" i="1"/>
  <c r="Z1097" i="1"/>
  <c r="AA1097" i="1"/>
  <c r="AB1097" i="1"/>
  <c r="AC1097" i="1"/>
  <c r="AD1097" i="1"/>
  <c r="AE1097" i="1"/>
  <c r="AF1097" i="1"/>
  <c r="AG1097" i="1"/>
  <c r="AH1097" i="1"/>
  <c r="AI1097" i="1"/>
  <c r="AJ1097" i="1"/>
  <c r="AQ1097" i="1"/>
  <c r="AR1097" i="1"/>
  <c r="AS1097" i="1"/>
  <c r="L1098" i="1"/>
  <c r="M1098" i="1"/>
  <c r="N1098" i="1"/>
  <c r="O1098" i="1"/>
  <c r="P1098" i="1"/>
  <c r="Q1098" i="1"/>
  <c r="R1098" i="1"/>
  <c r="S1098" i="1"/>
  <c r="T1098" i="1"/>
  <c r="U1098" i="1"/>
  <c r="V1098" i="1"/>
  <c r="W1098" i="1"/>
  <c r="X1098" i="1"/>
  <c r="Y1098" i="1"/>
  <c r="Z1098" i="1"/>
  <c r="AA1098" i="1"/>
  <c r="AB1098" i="1"/>
  <c r="AC1098" i="1"/>
  <c r="AD1098" i="1"/>
  <c r="AE1098" i="1"/>
  <c r="AF1098" i="1"/>
  <c r="AG1098" i="1"/>
  <c r="AH1098" i="1"/>
  <c r="AI1098" i="1"/>
  <c r="AJ1098" i="1"/>
  <c r="AQ1098" i="1"/>
  <c r="AR1098" i="1"/>
  <c r="AS1098" i="1"/>
  <c r="L1099" i="1"/>
  <c r="M1099" i="1"/>
  <c r="N1099" i="1"/>
  <c r="O1099" i="1"/>
  <c r="P1099" i="1"/>
  <c r="Q1099" i="1"/>
  <c r="R1099" i="1"/>
  <c r="S1099" i="1"/>
  <c r="T1099" i="1"/>
  <c r="U1099" i="1"/>
  <c r="V1099" i="1"/>
  <c r="W1099" i="1"/>
  <c r="X1099" i="1"/>
  <c r="Y1099" i="1"/>
  <c r="Z1099" i="1"/>
  <c r="AA1099" i="1"/>
  <c r="AB1099" i="1"/>
  <c r="AC1099" i="1"/>
  <c r="AD1099" i="1"/>
  <c r="AE1099" i="1"/>
  <c r="AF1099" i="1"/>
  <c r="AG1099" i="1"/>
  <c r="AH1099" i="1"/>
  <c r="AI1099" i="1"/>
  <c r="AJ1099" i="1"/>
  <c r="AQ1099" i="1"/>
  <c r="AR1099" i="1"/>
  <c r="AS1099" i="1"/>
  <c r="L1100" i="1"/>
  <c r="M1100" i="1"/>
  <c r="N1100" i="1"/>
  <c r="O1100" i="1"/>
  <c r="P1100" i="1"/>
  <c r="Q1100" i="1"/>
  <c r="R1100" i="1"/>
  <c r="S1100" i="1"/>
  <c r="T1100" i="1"/>
  <c r="U1100" i="1"/>
  <c r="V1100" i="1"/>
  <c r="W1100" i="1"/>
  <c r="X1100" i="1"/>
  <c r="Y1100" i="1"/>
  <c r="Z1100" i="1"/>
  <c r="AA1100" i="1"/>
  <c r="AB1100" i="1"/>
  <c r="AC1100" i="1"/>
  <c r="AD1100" i="1"/>
  <c r="AE1100" i="1"/>
  <c r="AF1100" i="1"/>
  <c r="AG1100" i="1"/>
  <c r="AH1100" i="1"/>
  <c r="AI1100" i="1"/>
  <c r="AJ1100" i="1"/>
  <c r="AQ1100" i="1"/>
  <c r="AR1100" i="1"/>
  <c r="AS1100" i="1"/>
  <c r="L1101" i="1"/>
  <c r="M1101" i="1"/>
  <c r="N1101" i="1"/>
  <c r="O1101" i="1"/>
  <c r="P1101" i="1"/>
  <c r="Q1101" i="1"/>
  <c r="R1101" i="1"/>
  <c r="S1101" i="1"/>
  <c r="T1101" i="1"/>
  <c r="U1101" i="1"/>
  <c r="V1101" i="1"/>
  <c r="W1101" i="1"/>
  <c r="X1101" i="1"/>
  <c r="Y1101" i="1"/>
  <c r="Z1101" i="1"/>
  <c r="AA1101" i="1"/>
  <c r="AB1101" i="1"/>
  <c r="AC1101" i="1"/>
  <c r="AD1101" i="1"/>
  <c r="AE1101" i="1"/>
  <c r="AF1101" i="1"/>
  <c r="AG1101" i="1"/>
  <c r="AH1101" i="1"/>
  <c r="AI1101" i="1"/>
  <c r="AJ1101" i="1"/>
  <c r="AQ1101" i="1"/>
  <c r="AR1101" i="1"/>
  <c r="AS1101" i="1"/>
  <c r="L1102" i="1"/>
  <c r="M1102" i="1"/>
  <c r="N1102" i="1"/>
  <c r="O1102" i="1"/>
  <c r="P1102" i="1"/>
  <c r="Q1102" i="1"/>
  <c r="R1102" i="1"/>
  <c r="S1102" i="1"/>
  <c r="T1102" i="1"/>
  <c r="U1102" i="1"/>
  <c r="V1102" i="1"/>
  <c r="W1102" i="1"/>
  <c r="X1102" i="1"/>
  <c r="Y1102" i="1"/>
  <c r="Z1102" i="1"/>
  <c r="AA1102" i="1"/>
  <c r="AB1102" i="1"/>
  <c r="AC1102" i="1"/>
  <c r="AD1102" i="1"/>
  <c r="AE1102" i="1"/>
  <c r="AF1102" i="1"/>
  <c r="AG1102" i="1"/>
  <c r="AH1102" i="1"/>
  <c r="AI1102" i="1"/>
  <c r="AJ1102" i="1"/>
  <c r="AQ1102" i="1"/>
  <c r="AR1102" i="1"/>
  <c r="AS1102" i="1"/>
  <c r="L1103" i="1"/>
  <c r="M1103" i="1"/>
  <c r="N1103" i="1"/>
  <c r="O1103" i="1"/>
  <c r="P1103" i="1"/>
  <c r="Q1103" i="1"/>
  <c r="R1103" i="1"/>
  <c r="S1103" i="1"/>
  <c r="T1103" i="1"/>
  <c r="U1103" i="1"/>
  <c r="V1103" i="1"/>
  <c r="W1103" i="1"/>
  <c r="X1103" i="1"/>
  <c r="Y1103" i="1"/>
  <c r="Z1103" i="1"/>
  <c r="AA1103" i="1"/>
  <c r="AB1103" i="1"/>
  <c r="AC1103" i="1"/>
  <c r="AD1103" i="1"/>
  <c r="AE1103" i="1"/>
  <c r="AF1103" i="1"/>
  <c r="AG1103" i="1"/>
  <c r="AH1103" i="1"/>
  <c r="AI1103" i="1"/>
  <c r="AJ1103" i="1"/>
  <c r="AQ1103" i="1"/>
  <c r="AR1103" i="1"/>
  <c r="AS1103" i="1"/>
  <c r="L1104" i="1"/>
  <c r="M1104" i="1"/>
  <c r="N1104" i="1"/>
  <c r="O1104" i="1"/>
  <c r="P1104" i="1"/>
  <c r="Q1104" i="1"/>
  <c r="R1104" i="1"/>
  <c r="S1104" i="1"/>
  <c r="T1104" i="1"/>
  <c r="U1104" i="1"/>
  <c r="V1104" i="1"/>
  <c r="W1104" i="1"/>
  <c r="X1104" i="1"/>
  <c r="Y1104" i="1"/>
  <c r="Z1104" i="1"/>
  <c r="AA1104" i="1"/>
  <c r="AB1104" i="1"/>
  <c r="AC1104" i="1"/>
  <c r="AD1104" i="1"/>
  <c r="AE1104" i="1"/>
  <c r="AF1104" i="1"/>
  <c r="AG1104" i="1"/>
  <c r="AH1104" i="1"/>
  <c r="AI1104" i="1"/>
  <c r="AJ1104" i="1"/>
  <c r="AQ1104" i="1"/>
  <c r="AR1104" i="1"/>
  <c r="AS1104" i="1"/>
  <c r="L1105" i="1"/>
  <c r="M1105" i="1"/>
  <c r="N1105" i="1"/>
  <c r="O1105" i="1"/>
  <c r="P1105" i="1"/>
  <c r="Q1105" i="1"/>
  <c r="R1105" i="1"/>
  <c r="S1105" i="1"/>
  <c r="T1105" i="1"/>
  <c r="U1105" i="1"/>
  <c r="V1105" i="1"/>
  <c r="W1105" i="1"/>
  <c r="X1105" i="1"/>
  <c r="Y1105" i="1"/>
  <c r="Z1105" i="1"/>
  <c r="AA1105" i="1"/>
  <c r="AB1105" i="1"/>
  <c r="AC1105" i="1"/>
  <c r="AD1105" i="1"/>
  <c r="AE1105" i="1"/>
  <c r="AF1105" i="1"/>
  <c r="AG1105" i="1"/>
  <c r="AH1105" i="1"/>
  <c r="AI1105" i="1"/>
  <c r="AJ1105" i="1"/>
  <c r="AQ1105" i="1"/>
  <c r="AR1105" i="1"/>
  <c r="AS1105" i="1"/>
  <c r="L1106" i="1"/>
  <c r="M1106" i="1"/>
  <c r="N1106" i="1"/>
  <c r="O1106" i="1"/>
  <c r="P1106" i="1"/>
  <c r="Q1106" i="1"/>
  <c r="R1106" i="1"/>
  <c r="S1106" i="1"/>
  <c r="T1106" i="1"/>
  <c r="U1106" i="1"/>
  <c r="V1106" i="1"/>
  <c r="W1106" i="1"/>
  <c r="X1106" i="1"/>
  <c r="Y1106" i="1"/>
  <c r="Z1106" i="1"/>
  <c r="AA1106" i="1"/>
  <c r="AB1106" i="1"/>
  <c r="AC1106" i="1"/>
  <c r="AD1106" i="1"/>
  <c r="AE1106" i="1"/>
  <c r="AF1106" i="1"/>
  <c r="AG1106" i="1"/>
  <c r="AH1106" i="1"/>
  <c r="AI1106" i="1"/>
  <c r="AJ1106" i="1"/>
  <c r="AQ1106" i="1"/>
  <c r="AR1106" i="1"/>
  <c r="AS1106" i="1"/>
  <c r="L1107" i="1"/>
  <c r="M1107" i="1"/>
  <c r="N1107" i="1"/>
  <c r="O1107" i="1"/>
  <c r="P1107" i="1"/>
  <c r="Q1107" i="1"/>
  <c r="R1107" i="1"/>
  <c r="S1107" i="1"/>
  <c r="T1107" i="1"/>
  <c r="U1107" i="1"/>
  <c r="V1107" i="1"/>
  <c r="W1107" i="1"/>
  <c r="X1107" i="1"/>
  <c r="Y1107" i="1"/>
  <c r="Z1107" i="1"/>
  <c r="AA1107" i="1"/>
  <c r="AB1107" i="1"/>
  <c r="AC1107" i="1"/>
  <c r="AD1107" i="1"/>
  <c r="AE1107" i="1"/>
  <c r="AF1107" i="1"/>
  <c r="AG1107" i="1"/>
  <c r="AH1107" i="1"/>
  <c r="AI1107" i="1"/>
  <c r="AJ1107" i="1"/>
  <c r="AQ1107" i="1"/>
  <c r="AR1107" i="1"/>
  <c r="AS1107" i="1"/>
  <c r="L1108" i="1"/>
  <c r="M1108" i="1"/>
  <c r="N1108" i="1"/>
  <c r="O1108" i="1"/>
  <c r="P1108" i="1"/>
  <c r="Q1108" i="1"/>
  <c r="R1108" i="1"/>
  <c r="S1108" i="1"/>
  <c r="T1108" i="1"/>
  <c r="U1108" i="1"/>
  <c r="V1108" i="1"/>
  <c r="W1108" i="1"/>
  <c r="X1108" i="1"/>
  <c r="Y1108" i="1"/>
  <c r="Z1108" i="1"/>
  <c r="AA1108" i="1"/>
  <c r="AB1108" i="1"/>
  <c r="AC1108" i="1"/>
  <c r="AD1108" i="1"/>
  <c r="AE1108" i="1"/>
  <c r="AF1108" i="1"/>
  <c r="AG1108" i="1"/>
  <c r="AH1108" i="1"/>
  <c r="AI1108" i="1"/>
  <c r="AJ1108" i="1"/>
  <c r="AQ1108" i="1"/>
  <c r="AR1108" i="1"/>
  <c r="AS1108" i="1"/>
  <c r="L1109" i="1"/>
  <c r="M1109" i="1"/>
  <c r="N1109" i="1"/>
  <c r="O1109" i="1"/>
  <c r="P1109" i="1"/>
  <c r="Q1109" i="1"/>
  <c r="R1109" i="1"/>
  <c r="S1109" i="1"/>
  <c r="T1109" i="1"/>
  <c r="U1109" i="1"/>
  <c r="V1109" i="1"/>
  <c r="W1109" i="1"/>
  <c r="X1109" i="1"/>
  <c r="Y1109" i="1"/>
  <c r="Z1109" i="1"/>
  <c r="AA1109" i="1"/>
  <c r="AB1109" i="1"/>
  <c r="AC1109" i="1"/>
  <c r="AD1109" i="1"/>
  <c r="AE1109" i="1"/>
  <c r="AF1109" i="1"/>
  <c r="AG1109" i="1"/>
  <c r="AH1109" i="1"/>
  <c r="AI1109" i="1"/>
  <c r="AJ1109" i="1"/>
  <c r="AQ1109" i="1"/>
  <c r="AR1109" i="1"/>
  <c r="AS1109" i="1"/>
  <c r="L1110" i="1"/>
  <c r="M1110" i="1"/>
  <c r="N1110" i="1"/>
  <c r="O1110" i="1"/>
  <c r="P1110" i="1"/>
  <c r="Q1110" i="1"/>
  <c r="R1110" i="1"/>
  <c r="S1110" i="1"/>
  <c r="T1110" i="1"/>
  <c r="U1110" i="1"/>
  <c r="V1110" i="1"/>
  <c r="W1110" i="1"/>
  <c r="X1110" i="1"/>
  <c r="Y1110" i="1"/>
  <c r="Z1110" i="1"/>
  <c r="AA1110" i="1"/>
  <c r="AB1110" i="1"/>
  <c r="AC1110" i="1"/>
  <c r="AD1110" i="1"/>
  <c r="AE1110" i="1"/>
  <c r="AF1110" i="1"/>
  <c r="AG1110" i="1"/>
  <c r="AH1110" i="1"/>
  <c r="AI1110" i="1"/>
  <c r="AJ1110" i="1"/>
  <c r="AQ1110" i="1"/>
  <c r="AR1110" i="1"/>
  <c r="AS1110" i="1"/>
  <c r="L1111" i="1"/>
  <c r="M1111" i="1"/>
  <c r="N1111" i="1"/>
  <c r="O1111" i="1"/>
  <c r="P1111" i="1"/>
  <c r="Q1111" i="1"/>
  <c r="R1111" i="1"/>
  <c r="S1111" i="1"/>
  <c r="T1111" i="1"/>
  <c r="U1111" i="1"/>
  <c r="V1111" i="1"/>
  <c r="W1111" i="1"/>
  <c r="X1111" i="1"/>
  <c r="Y1111" i="1"/>
  <c r="Z1111" i="1"/>
  <c r="AA1111" i="1"/>
  <c r="AB1111" i="1"/>
  <c r="AC1111" i="1"/>
  <c r="AD1111" i="1"/>
  <c r="AE1111" i="1"/>
  <c r="AF1111" i="1"/>
  <c r="AG1111" i="1"/>
  <c r="AH1111" i="1"/>
  <c r="AI1111" i="1"/>
  <c r="AJ1111" i="1"/>
  <c r="AQ1111" i="1"/>
  <c r="AR1111" i="1"/>
  <c r="AS1111" i="1"/>
  <c r="L1112" i="1"/>
  <c r="M1112" i="1"/>
  <c r="N1112" i="1"/>
  <c r="O1112" i="1"/>
  <c r="P1112" i="1"/>
  <c r="Q1112" i="1"/>
  <c r="R1112" i="1"/>
  <c r="S1112" i="1"/>
  <c r="T1112" i="1"/>
  <c r="U1112" i="1"/>
  <c r="V1112" i="1"/>
  <c r="W1112" i="1"/>
  <c r="X1112" i="1"/>
  <c r="Y1112" i="1"/>
  <c r="Z1112" i="1"/>
  <c r="AA1112" i="1"/>
  <c r="AB1112" i="1"/>
  <c r="AC1112" i="1"/>
  <c r="AD1112" i="1"/>
  <c r="AE1112" i="1"/>
  <c r="AF1112" i="1"/>
  <c r="AG1112" i="1"/>
  <c r="AH1112" i="1"/>
  <c r="AI1112" i="1"/>
  <c r="AJ1112" i="1"/>
  <c r="AQ1112" i="1"/>
  <c r="AR1112" i="1"/>
  <c r="AS1112" i="1"/>
  <c r="L1113" i="1"/>
  <c r="M1113" i="1"/>
  <c r="N1113" i="1"/>
  <c r="O1113" i="1"/>
  <c r="P1113" i="1"/>
  <c r="Q1113" i="1"/>
  <c r="R1113" i="1"/>
  <c r="S1113" i="1"/>
  <c r="T1113" i="1"/>
  <c r="U1113" i="1"/>
  <c r="V1113" i="1"/>
  <c r="W1113" i="1"/>
  <c r="X1113" i="1"/>
  <c r="Y1113" i="1"/>
  <c r="Z1113" i="1"/>
  <c r="AA1113" i="1"/>
  <c r="AB1113" i="1"/>
  <c r="AC1113" i="1"/>
  <c r="AD1113" i="1"/>
  <c r="AE1113" i="1"/>
  <c r="AF1113" i="1"/>
  <c r="AG1113" i="1"/>
  <c r="AH1113" i="1"/>
  <c r="AI1113" i="1"/>
  <c r="AJ1113" i="1"/>
  <c r="AQ1113" i="1"/>
  <c r="AR1113" i="1"/>
  <c r="AS1113" i="1"/>
  <c r="L1114" i="1"/>
  <c r="M1114" i="1"/>
  <c r="N1114" i="1"/>
  <c r="O1114" i="1"/>
  <c r="P1114" i="1"/>
  <c r="Q1114" i="1"/>
  <c r="R1114" i="1"/>
  <c r="S1114" i="1"/>
  <c r="T1114" i="1"/>
  <c r="U1114" i="1"/>
  <c r="V1114" i="1"/>
  <c r="W1114" i="1"/>
  <c r="X1114" i="1"/>
  <c r="Y1114" i="1"/>
  <c r="Z1114" i="1"/>
  <c r="AA1114" i="1"/>
  <c r="AB1114" i="1"/>
  <c r="AC1114" i="1"/>
  <c r="AD1114" i="1"/>
  <c r="AE1114" i="1"/>
  <c r="AF1114" i="1"/>
  <c r="AG1114" i="1"/>
  <c r="AH1114" i="1"/>
  <c r="AI1114" i="1"/>
  <c r="AJ1114" i="1"/>
  <c r="AQ1114" i="1"/>
  <c r="AR1114" i="1"/>
  <c r="AS1114" i="1"/>
  <c r="L1115" i="1"/>
  <c r="M1115" i="1"/>
  <c r="N1115" i="1"/>
  <c r="O1115" i="1"/>
  <c r="P1115" i="1"/>
  <c r="Q1115" i="1"/>
  <c r="R1115" i="1"/>
  <c r="S1115" i="1"/>
  <c r="T1115" i="1"/>
  <c r="U1115" i="1"/>
  <c r="V1115" i="1"/>
  <c r="W1115" i="1"/>
  <c r="X1115" i="1"/>
  <c r="Y1115" i="1"/>
  <c r="Z1115" i="1"/>
  <c r="AA1115" i="1"/>
  <c r="AB1115" i="1"/>
  <c r="AC1115" i="1"/>
  <c r="AD1115" i="1"/>
  <c r="AE1115" i="1"/>
  <c r="AF1115" i="1"/>
  <c r="AG1115" i="1"/>
  <c r="AH1115" i="1"/>
  <c r="AI1115" i="1"/>
  <c r="AJ1115" i="1"/>
  <c r="AQ1115" i="1"/>
  <c r="AR1115" i="1"/>
  <c r="AS1115" i="1"/>
  <c r="L1116" i="1"/>
  <c r="M1116" i="1"/>
  <c r="N1116" i="1"/>
  <c r="O1116" i="1"/>
  <c r="P1116" i="1"/>
  <c r="Q1116" i="1"/>
  <c r="R1116" i="1"/>
  <c r="S1116" i="1"/>
  <c r="T1116" i="1"/>
  <c r="U1116" i="1"/>
  <c r="V1116" i="1"/>
  <c r="W1116" i="1"/>
  <c r="X1116" i="1"/>
  <c r="Y1116" i="1"/>
  <c r="Z1116" i="1"/>
  <c r="AA1116" i="1"/>
  <c r="AB1116" i="1"/>
  <c r="AC1116" i="1"/>
  <c r="AD1116" i="1"/>
  <c r="AE1116" i="1"/>
  <c r="AF1116" i="1"/>
  <c r="AG1116" i="1"/>
  <c r="AH1116" i="1"/>
  <c r="AI1116" i="1"/>
  <c r="AJ1116" i="1"/>
  <c r="AQ1116" i="1"/>
  <c r="AR1116" i="1"/>
  <c r="AS1116" i="1"/>
  <c r="L1117" i="1"/>
  <c r="M1117" i="1"/>
  <c r="N1117" i="1"/>
  <c r="O1117" i="1"/>
  <c r="P1117" i="1"/>
  <c r="Q1117" i="1"/>
  <c r="R1117" i="1"/>
  <c r="S1117" i="1"/>
  <c r="T1117" i="1"/>
  <c r="U1117" i="1"/>
  <c r="V1117" i="1"/>
  <c r="W1117" i="1"/>
  <c r="X1117" i="1"/>
  <c r="Y1117" i="1"/>
  <c r="Z1117" i="1"/>
  <c r="AA1117" i="1"/>
  <c r="AB1117" i="1"/>
  <c r="AC1117" i="1"/>
  <c r="AD1117" i="1"/>
  <c r="AE1117" i="1"/>
  <c r="AF1117" i="1"/>
  <c r="AG1117" i="1"/>
  <c r="AH1117" i="1"/>
  <c r="AI1117" i="1"/>
  <c r="AJ1117" i="1"/>
  <c r="AQ1117" i="1"/>
  <c r="AR1117" i="1"/>
  <c r="AS1117" i="1"/>
  <c r="L1118" i="1"/>
  <c r="M1118" i="1"/>
  <c r="N1118" i="1"/>
  <c r="O1118" i="1"/>
  <c r="P1118" i="1"/>
  <c r="Q1118" i="1"/>
  <c r="R1118" i="1"/>
  <c r="S1118" i="1"/>
  <c r="T1118" i="1"/>
  <c r="U1118" i="1"/>
  <c r="V1118" i="1"/>
  <c r="W1118" i="1"/>
  <c r="X1118" i="1"/>
  <c r="Y1118" i="1"/>
  <c r="Z1118" i="1"/>
  <c r="AA1118" i="1"/>
  <c r="AB1118" i="1"/>
  <c r="AC1118" i="1"/>
  <c r="AD1118" i="1"/>
  <c r="AE1118" i="1"/>
  <c r="AF1118" i="1"/>
  <c r="AG1118" i="1"/>
  <c r="AH1118" i="1"/>
  <c r="AI1118" i="1"/>
  <c r="AJ1118" i="1"/>
  <c r="AQ1118" i="1"/>
  <c r="AR1118" i="1"/>
  <c r="AS1118" i="1"/>
  <c r="L1119" i="1"/>
  <c r="M1119" i="1"/>
  <c r="N1119" i="1"/>
  <c r="O1119" i="1"/>
  <c r="P1119" i="1"/>
  <c r="Q1119" i="1"/>
  <c r="R1119" i="1"/>
  <c r="S1119" i="1"/>
  <c r="T1119" i="1"/>
  <c r="U1119" i="1"/>
  <c r="V1119" i="1"/>
  <c r="W1119" i="1"/>
  <c r="X1119" i="1"/>
  <c r="Y1119" i="1"/>
  <c r="Z1119" i="1"/>
  <c r="AA1119" i="1"/>
  <c r="AB1119" i="1"/>
  <c r="AC1119" i="1"/>
  <c r="AD1119" i="1"/>
  <c r="AE1119" i="1"/>
  <c r="AF1119" i="1"/>
  <c r="AG1119" i="1"/>
  <c r="AH1119" i="1"/>
  <c r="AI1119" i="1"/>
  <c r="AJ1119" i="1"/>
  <c r="AQ1119" i="1"/>
  <c r="AR1119" i="1"/>
  <c r="AS1119" i="1"/>
  <c r="L1120" i="1"/>
  <c r="M1120" i="1"/>
  <c r="N1120" i="1"/>
  <c r="O1120" i="1"/>
  <c r="P1120" i="1"/>
  <c r="Q1120" i="1"/>
  <c r="R1120" i="1"/>
  <c r="S1120" i="1"/>
  <c r="T1120" i="1"/>
  <c r="U1120" i="1"/>
  <c r="V1120" i="1"/>
  <c r="W1120" i="1"/>
  <c r="X1120" i="1"/>
  <c r="Y1120" i="1"/>
  <c r="Z1120" i="1"/>
  <c r="AA1120" i="1"/>
  <c r="AB1120" i="1"/>
  <c r="AC1120" i="1"/>
  <c r="AD1120" i="1"/>
  <c r="AE1120" i="1"/>
  <c r="AF1120" i="1"/>
  <c r="AG1120" i="1"/>
  <c r="AH1120" i="1"/>
  <c r="AI1120" i="1"/>
  <c r="AJ1120" i="1"/>
  <c r="AQ1120" i="1"/>
  <c r="AR1120" i="1"/>
  <c r="AS1120" i="1"/>
  <c r="L1121" i="1"/>
  <c r="M1121" i="1"/>
  <c r="N1121" i="1"/>
  <c r="O1121" i="1"/>
  <c r="P1121" i="1"/>
  <c r="Q1121" i="1"/>
  <c r="R1121" i="1"/>
  <c r="S1121" i="1"/>
  <c r="T1121" i="1"/>
  <c r="U1121" i="1"/>
  <c r="V1121" i="1"/>
  <c r="W1121" i="1"/>
  <c r="X1121" i="1"/>
  <c r="Y1121" i="1"/>
  <c r="Z1121" i="1"/>
  <c r="AA1121" i="1"/>
  <c r="AB1121" i="1"/>
  <c r="AC1121" i="1"/>
  <c r="AD1121" i="1"/>
  <c r="AE1121" i="1"/>
  <c r="AF1121" i="1"/>
  <c r="AG1121" i="1"/>
  <c r="AH1121" i="1"/>
  <c r="AI1121" i="1"/>
  <c r="AJ1121" i="1"/>
  <c r="AQ1121" i="1"/>
  <c r="AR1121" i="1"/>
  <c r="AS1121" i="1"/>
  <c r="L1122" i="1"/>
  <c r="M1122" i="1"/>
  <c r="N1122" i="1"/>
  <c r="O1122" i="1"/>
  <c r="P1122" i="1"/>
  <c r="Q1122" i="1"/>
  <c r="R1122" i="1"/>
  <c r="S1122" i="1"/>
  <c r="T1122" i="1"/>
  <c r="U1122" i="1"/>
  <c r="V1122" i="1"/>
  <c r="W1122" i="1"/>
  <c r="X1122" i="1"/>
  <c r="Y1122" i="1"/>
  <c r="Z1122" i="1"/>
  <c r="AA1122" i="1"/>
  <c r="AB1122" i="1"/>
  <c r="AC1122" i="1"/>
  <c r="AD1122" i="1"/>
  <c r="AE1122" i="1"/>
  <c r="AF1122" i="1"/>
  <c r="AG1122" i="1"/>
  <c r="AH1122" i="1"/>
  <c r="AI1122" i="1"/>
  <c r="AJ1122" i="1"/>
  <c r="AQ1122" i="1"/>
  <c r="AR1122" i="1"/>
  <c r="AS1122" i="1"/>
  <c r="L1123" i="1"/>
  <c r="M1123" i="1"/>
  <c r="N1123" i="1"/>
  <c r="O1123" i="1"/>
  <c r="P1123" i="1"/>
  <c r="Q1123" i="1"/>
  <c r="R1123" i="1"/>
  <c r="S1123" i="1"/>
  <c r="T1123" i="1"/>
  <c r="U1123" i="1"/>
  <c r="V1123" i="1"/>
  <c r="W1123" i="1"/>
  <c r="X1123" i="1"/>
  <c r="Y1123" i="1"/>
  <c r="Z1123" i="1"/>
  <c r="AA1123" i="1"/>
  <c r="AB1123" i="1"/>
  <c r="AC1123" i="1"/>
  <c r="AD1123" i="1"/>
  <c r="AE1123" i="1"/>
  <c r="AF1123" i="1"/>
  <c r="AG1123" i="1"/>
  <c r="AH1123" i="1"/>
  <c r="AI1123" i="1"/>
  <c r="AJ1123" i="1"/>
  <c r="AQ1123" i="1"/>
  <c r="AR1123" i="1"/>
  <c r="AS1123" i="1"/>
  <c r="L1124" i="1"/>
  <c r="M1124" i="1"/>
  <c r="N1124" i="1"/>
  <c r="O1124" i="1"/>
  <c r="P1124" i="1"/>
  <c r="Q1124" i="1"/>
  <c r="R1124" i="1"/>
  <c r="S1124" i="1"/>
  <c r="T1124" i="1"/>
  <c r="U1124" i="1"/>
  <c r="V1124" i="1"/>
  <c r="W1124" i="1"/>
  <c r="X1124" i="1"/>
  <c r="Y1124" i="1"/>
  <c r="Z1124" i="1"/>
  <c r="AA1124" i="1"/>
  <c r="AB1124" i="1"/>
  <c r="AC1124" i="1"/>
  <c r="AD1124" i="1"/>
  <c r="AE1124" i="1"/>
  <c r="AF1124" i="1"/>
  <c r="AG1124" i="1"/>
  <c r="AH1124" i="1"/>
  <c r="AI1124" i="1"/>
  <c r="AJ1124" i="1"/>
  <c r="AQ1124" i="1"/>
  <c r="AR1124" i="1"/>
  <c r="AS1124" i="1"/>
  <c r="L1125" i="1"/>
  <c r="M1125" i="1"/>
  <c r="N1125" i="1"/>
  <c r="O1125" i="1"/>
  <c r="P1125" i="1"/>
  <c r="Q1125" i="1"/>
  <c r="R1125" i="1"/>
  <c r="S1125" i="1"/>
  <c r="T1125" i="1"/>
  <c r="U1125" i="1"/>
  <c r="V1125" i="1"/>
  <c r="W1125" i="1"/>
  <c r="X1125" i="1"/>
  <c r="Y1125" i="1"/>
  <c r="Z1125" i="1"/>
  <c r="AA1125" i="1"/>
  <c r="AB1125" i="1"/>
  <c r="AC1125" i="1"/>
  <c r="AD1125" i="1"/>
  <c r="AE1125" i="1"/>
  <c r="AF1125" i="1"/>
  <c r="AG1125" i="1"/>
  <c r="AH1125" i="1"/>
  <c r="AI1125" i="1"/>
  <c r="AJ1125" i="1"/>
  <c r="AQ1125" i="1"/>
  <c r="AR1125" i="1"/>
  <c r="AS1125" i="1"/>
  <c r="L1126" i="1"/>
  <c r="M1126" i="1"/>
  <c r="N1126" i="1"/>
  <c r="O1126" i="1"/>
  <c r="P1126" i="1"/>
  <c r="Q1126" i="1"/>
  <c r="R1126" i="1"/>
  <c r="S1126" i="1"/>
  <c r="T1126" i="1"/>
  <c r="U1126" i="1"/>
  <c r="V1126" i="1"/>
  <c r="W1126" i="1"/>
  <c r="X1126" i="1"/>
  <c r="Y1126" i="1"/>
  <c r="Z1126" i="1"/>
  <c r="AA1126" i="1"/>
  <c r="AB1126" i="1"/>
  <c r="AC1126" i="1"/>
  <c r="AD1126" i="1"/>
  <c r="AE1126" i="1"/>
  <c r="AF1126" i="1"/>
  <c r="AG1126" i="1"/>
  <c r="AH1126" i="1"/>
  <c r="AI1126" i="1"/>
  <c r="AJ1126" i="1"/>
  <c r="AQ1126" i="1"/>
  <c r="AR1126" i="1"/>
  <c r="AS1126" i="1"/>
  <c r="L1127" i="1"/>
  <c r="M1127" i="1"/>
  <c r="N1127" i="1"/>
  <c r="O1127" i="1"/>
  <c r="P1127" i="1"/>
  <c r="Q1127" i="1"/>
  <c r="R1127" i="1"/>
  <c r="S1127" i="1"/>
  <c r="T1127" i="1"/>
  <c r="U1127" i="1"/>
  <c r="V1127" i="1"/>
  <c r="W1127" i="1"/>
  <c r="X1127" i="1"/>
  <c r="Y1127" i="1"/>
  <c r="Z1127" i="1"/>
  <c r="AA1127" i="1"/>
  <c r="AB1127" i="1"/>
  <c r="AC1127" i="1"/>
  <c r="AD1127" i="1"/>
  <c r="AE1127" i="1"/>
  <c r="AF1127" i="1"/>
  <c r="AG1127" i="1"/>
  <c r="AH1127" i="1"/>
  <c r="AI1127" i="1"/>
  <c r="AJ1127" i="1"/>
  <c r="AQ1127" i="1"/>
  <c r="AR1127" i="1"/>
  <c r="AS1127" i="1"/>
  <c r="L1128" i="1"/>
  <c r="M1128" i="1"/>
  <c r="N1128" i="1"/>
  <c r="O1128" i="1"/>
  <c r="P1128" i="1"/>
  <c r="Q1128" i="1"/>
  <c r="R1128" i="1"/>
  <c r="S1128" i="1"/>
  <c r="T1128" i="1"/>
  <c r="U1128" i="1"/>
  <c r="V1128" i="1"/>
  <c r="W1128" i="1"/>
  <c r="X1128" i="1"/>
  <c r="Y1128" i="1"/>
  <c r="Z1128" i="1"/>
  <c r="AA1128" i="1"/>
  <c r="AB1128" i="1"/>
  <c r="AC1128" i="1"/>
  <c r="AD1128" i="1"/>
  <c r="AE1128" i="1"/>
  <c r="AF1128" i="1"/>
  <c r="AG1128" i="1"/>
  <c r="AH1128" i="1"/>
  <c r="AI1128" i="1"/>
  <c r="AJ1128" i="1"/>
  <c r="AQ1128" i="1"/>
  <c r="AR1128" i="1"/>
  <c r="AS1128" i="1"/>
  <c r="L1129" i="1"/>
  <c r="M1129" i="1"/>
  <c r="N1129" i="1"/>
  <c r="O1129" i="1"/>
  <c r="P1129" i="1"/>
  <c r="Q1129" i="1"/>
  <c r="R1129" i="1"/>
  <c r="S1129" i="1"/>
  <c r="T1129" i="1"/>
  <c r="U1129" i="1"/>
  <c r="V1129" i="1"/>
  <c r="W1129" i="1"/>
  <c r="X1129" i="1"/>
  <c r="Y1129" i="1"/>
  <c r="Z1129" i="1"/>
  <c r="AA1129" i="1"/>
  <c r="AB1129" i="1"/>
  <c r="AC1129" i="1"/>
  <c r="AD1129" i="1"/>
  <c r="AE1129" i="1"/>
  <c r="AF1129" i="1"/>
  <c r="AG1129" i="1"/>
  <c r="AH1129" i="1"/>
  <c r="AI1129" i="1"/>
  <c r="AJ1129" i="1"/>
  <c r="AQ1129" i="1"/>
  <c r="AR1129" i="1"/>
  <c r="AS1129" i="1"/>
  <c r="L1130" i="1"/>
  <c r="M1130" i="1"/>
  <c r="N1130" i="1"/>
  <c r="O1130" i="1"/>
  <c r="P1130" i="1"/>
  <c r="Q1130" i="1"/>
  <c r="R1130" i="1"/>
  <c r="S1130" i="1"/>
  <c r="T1130" i="1"/>
  <c r="U1130" i="1"/>
  <c r="V1130" i="1"/>
  <c r="W1130" i="1"/>
  <c r="X1130" i="1"/>
  <c r="Y1130" i="1"/>
  <c r="Z1130" i="1"/>
  <c r="AA1130" i="1"/>
  <c r="AB1130" i="1"/>
  <c r="AC1130" i="1"/>
  <c r="AD1130" i="1"/>
  <c r="AE1130" i="1"/>
  <c r="AF1130" i="1"/>
  <c r="AG1130" i="1"/>
  <c r="AH1130" i="1"/>
  <c r="AI1130" i="1"/>
  <c r="AJ1130" i="1"/>
  <c r="AQ1130" i="1"/>
  <c r="AR1130" i="1"/>
  <c r="AS1130" i="1"/>
  <c r="L1131" i="1"/>
  <c r="M1131" i="1"/>
  <c r="N1131" i="1"/>
  <c r="O1131" i="1"/>
  <c r="P1131" i="1"/>
  <c r="Q1131" i="1"/>
  <c r="R1131" i="1"/>
  <c r="S1131" i="1"/>
  <c r="T1131" i="1"/>
  <c r="U1131" i="1"/>
  <c r="V1131" i="1"/>
  <c r="W1131" i="1"/>
  <c r="X1131" i="1"/>
  <c r="Y1131" i="1"/>
  <c r="Z1131" i="1"/>
  <c r="AA1131" i="1"/>
  <c r="AB1131" i="1"/>
  <c r="AC1131" i="1"/>
  <c r="AD1131" i="1"/>
  <c r="AE1131" i="1"/>
  <c r="AF1131" i="1"/>
  <c r="AG1131" i="1"/>
  <c r="AH1131" i="1"/>
  <c r="AI1131" i="1"/>
  <c r="AJ1131" i="1"/>
  <c r="AQ1131" i="1"/>
  <c r="AR1131" i="1"/>
  <c r="AS1131" i="1"/>
  <c r="L1132" i="1"/>
  <c r="M1132" i="1"/>
  <c r="N1132" i="1"/>
  <c r="O1132" i="1"/>
  <c r="P1132" i="1"/>
  <c r="Q1132" i="1"/>
  <c r="R1132" i="1"/>
  <c r="S1132" i="1"/>
  <c r="T1132" i="1"/>
  <c r="U1132" i="1"/>
  <c r="V1132" i="1"/>
  <c r="W1132" i="1"/>
  <c r="X1132" i="1"/>
  <c r="Y1132" i="1"/>
  <c r="Z1132" i="1"/>
  <c r="AA1132" i="1"/>
  <c r="AB1132" i="1"/>
  <c r="AC1132" i="1"/>
  <c r="AD1132" i="1"/>
  <c r="AE1132" i="1"/>
  <c r="AF1132" i="1"/>
  <c r="AG1132" i="1"/>
  <c r="AH1132" i="1"/>
  <c r="AI1132" i="1"/>
  <c r="AJ1132" i="1"/>
  <c r="AQ1132" i="1"/>
  <c r="AR1132" i="1"/>
  <c r="AS1132" i="1"/>
  <c r="L1133" i="1"/>
  <c r="M1133" i="1"/>
  <c r="N1133" i="1"/>
  <c r="O1133" i="1"/>
  <c r="P1133" i="1"/>
  <c r="Q1133" i="1"/>
  <c r="R1133" i="1"/>
  <c r="S1133" i="1"/>
  <c r="T1133" i="1"/>
  <c r="U1133" i="1"/>
  <c r="V1133" i="1"/>
  <c r="W1133" i="1"/>
  <c r="X1133" i="1"/>
  <c r="Y1133" i="1"/>
  <c r="Z1133" i="1"/>
  <c r="AA1133" i="1"/>
  <c r="AB1133" i="1"/>
  <c r="AC1133" i="1"/>
  <c r="AD1133" i="1"/>
  <c r="AE1133" i="1"/>
  <c r="AF1133" i="1"/>
  <c r="AG1133" i="1"/>
  <c r="AH1133" i="1"/>
  <c r="AI1133" i="1"/>
  <c r="AJ1133" i="1"/>
  <c r="AQ1133" i="1"/>
  <c r="AR1133" i="1"/>
  <c r="AS1133" i="1"/>
  <c r="L1134" i="1"/>
  <c r="M1134" i="1"/>
  <c r="N1134" i="1"/>
  <c r="O1134" i="1"/>
  <c r="P1134" i="1"/>
  <c r="Q1134" i="1"/>
  <c r="R1134" i="1"/>
  <c r="S1134" i="1"/>
  <c r="T1134" i="1"/>
  <c r="U1134" i="1"/>
  <c r="V1134" i="1"/>
  <c r="W1134" i="1"/>
  <c r="X1134" i="1"/>
  <c r="Y1134" i="1"/>
  <c r="Z1134" i="1"/>
  <c r="AA1134" i="1"/>
  <c r="AB1134" i="1"/>
  <c r="AC1134" i="1"/>
  <c r="AD1134" i="1"/>
  <c r="AE1134" i="1"/>
  <c r="AF1134" i="1"/>
  <c r="AG1134" i="1"/>
  <c r="AH1134" i="1"/>
  <c r="AI1134" i="1"/>
  <c r="AJ1134" i="1"/>
  <c r="AQ1134" i="1"/>
  <c r="AR1134" i="1"/>
  <c r="AS1134" i="1"/>
  <c r="L1135" i="1"/>
  <c r="M1135" i="1"/>
  <c r="N1135" i="1"/>
  <c r="O1135" i="1"/>
  <c r="P1135" i="1"/>
  <c r="Q1135" i="1"/>
  <c r="R1135" i="1"/>
  <c r="S1135" i="1"/>
  <c r="T1135" i="1"/>
  <c r="U1135" i="1"/>
  <c r="V1135" i="1"/>
  <c r="W1135" i="1"/>
  <c r="X1135" i="1"/>
  <c r="Y1135" i="1"/>
  <c r="Z1135" i="1"/>
  <c r="AA1135" i="1"/>
  <c r="AB1135" i="1"/>
  <c r="AC1135" i="1"/>
  <c r="AD1135" i="1"/>
  <c r="AE1135" i="1"/>
  <c r="AF1135" i="1"/>
  <c r="AG1135" i="1"/>
  <c r="AH1135" i="1"/>
  <c r="AI1135" i="1"/>
  <c r="AJ1135" i="1"/>
  <c r="AQ1135" i="1"/>
  <c r="AR1135" i="1"/>
  <c r="AS1135" i="1"/>
  <c r="L1136" i="1"/>
  <c r="M1136" i="1"/>
  <c r="N1136" i="1"/>
  <c r="O1136" i="1"/>
  <c r="P1136" i="1"/>
  <c r="Q1136" i="1"/>
  <c r="R1136" i="1"/>
  <c r="S1136" i="1"/>
  <c r="T1136" i="1"/>
  <c r="U1136" i="1"/>
  <c r="V1136" i="1"/>
  <c r="W1136" i="1"/>
  <c r="X1136" i="1"/>
  <c r="Y1136" i="1"/>
  <c r="Z1136" i="1"/>
  <c r="AA1136" i="1"/>
  <c r="AB1136" i="1"/>
  <c r="AC1136" i="1"/>
  <c r="AD1136" i="1"/>
  <c r="AE1136" i="1"/>
  <c r="AF1136" i="1"/>
  <c r="AG1136" i="1"/>
  <c r="AH1136" i="1"/>
  <c r="AI1136" i="1"/>
  <c r="AJ1136" i="1"/>
  <c r="AQ1136" i="1"/>
  <c r="AR1136" i="1"/>
  <c r="AS1136" i="1"/>
  <c r="L1137" i="1"/>
  <c r="M1137" i="1"/>
  <c r="N1137" i="1"/>
  <c r="O1137" i="1"/>
  <c r="P1137" i="1"/>
  <c r="Q1137" i="1"/>
  <c r="R1137" i="1"/>
  <c r="S1137" i="1"/>
  <c r="T1137" i="1"/>
  <c r="U1137" i="1"/>
  <c r="V1137" i="1"/>
  <c r="W1137" i="1"/>
  <c r="X1137" i="1"/>
  <c r="Y1137" i="1"/>
  <c r="Z1137" i="1"/>
  <c r="AA1137" i="1"/>
  <c r="AB1137" i="1"/>
  <c r="AC1137" i="1"/>
  <c r="AD1137" i="1"/>
  <c r="AE1137" i="1"/>
  <c r="AF1137" i="1"/>
  <c r="AG1137" i="1"/>
  <c r="AH1137" i="1"/>
  <c r="AI1137" i="1"/>
  <c r="AJ1137" i="1"/>
  <c r="AQ1137" i="1"/>
  <c r="AR1137" i="1"/>
  <c r="AS1137" i="1"/>
  <c r="L1138" i="1"/>
  <c r="M1138" i="1"/>
  <c r="N1138" i="1"/>
  <c r="O1138" i="1"/>
  <c r="P1138" i="1"/>
  <c r="Q1138" i="1"/>
  <c r="R1138" i="1"/>
  <c r="S1138" i="1"/>
  <c r="T1138" i="1"/>
  <c r="U1138" i="1"/>
  <c r="V1138" i="1"/>
  <c r="W1138" i="1"/>
  <c r="X1138" i="1"/>
  <c r="Y1138" i="1"/>
  <c r="Z1138" i="1"/>
  <c r="AA1138" i="1"/>
  <c r="AB1138" i="1"/>
  <c r="AC1138" i="1"/>
  <c r="AD1138" i="1"/>
  <c r="AE1138" i="1"/>
  <c r="AF1138" i="1"/>
  <c r="AG1138" i="1"/>
  <c r="AH1138" i="1"/>
  <c r="AI1138" i="1"/>
  <c r="AJ1138" i="1"/>
  <c r="AQ1138" i="1"/>
  <c r="AR1138" i="1"/>
  <c r="AS1138" i="1"/>
  <c r="L1139" i="1"/>
  <c r="M1139" i="1"/>
  <c r="N1139" i="1"/>
  <c r="O1139" i="1"/>
  <c r="P1139" i="1"/>
  <c r="Q1139" i="1"/>
  <c r="R1139" i="1"/>
  <c r="S1139" i="1"/>
  <c r="T1139" i="1"/>
  <c r="U1139" i="1"/>
  <c r="V1139" i="1"/>
  <c r="W1139" i="1"/>
  <c r="X1139" i="1"/>
  <c r="Y1139" i="1"/>
  <c r="Z1139" i="1"/>
  <c r="AA1139" i="1"/>
  <c r="AB1139" i="1"/>
  <c r="AC1139" i="1"/>
  <c r="AD1139" i="1"/>
  <c r="AE1139" i="1"/>
  <c r="AF1139" i="1"/>
  <c r="AG1139" i="1"/>
  <c r="AH1139" i="1"/>
  <c r="AI1139" i="1"/>
  <c r="AJ1139" i="1"/>
  <c r="AQ1139" i="1"/>
  <c r="AR1139" i="1"/>
  <c r="AS1139" i="1"/>
  <c r="L1140" i="1"/>
  <c r="M1140" i="1"/>
  <c r="N1140" i="1"/>
  <c r="O1140" i="1"/>
  <c r="P1140" i="1"/>
  <c r="Q1140" i="1"/>
  <c r="R1140" i="1"/>
  <c r="S1140" i="1"/>
  <c r="T1140" i="1"/>
  <c r="U1140" i="1"/>
  <c r="V1140" i="1"/>
  <c r="W1140" i="1"/>
  <c r="X1140" i="1"/>
  <c r="Y1140" i="1"/>
  <c r="Z1140" i="1"/>
  <c r="AA1140" i="1"/>
  <c r="AB1140" i="1"/>
  <c r="AC1140" i="1"/>
  <c r="AD1140" i="1"/>
  <c r="AE1140" i="1"/>
  <c r="AF1140" i="1"/>
  <c r="AG1140" i="1"/>
  <c r="AH1140" i="1"/>
  <c r="AI1140" i="1"/>
  <c r="AJ1140" i="1"/>
  <c r="AQ1140" i="1"/>
  <c r="AR1140" i="1"/>
  <c r="AS1140"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Q1141" i="1"/>
  <c r="AR1141" i="1"/>
  <c r="AS1141" i="1"/>
  <c r="L1142" i="1"/>
  <c r="M1142" i="1"/>
  <c r="N1142" i="1"/>
  <c r="O1142" i="1"/>
  <c r="P1142" i="1"/>
  <c r="Q1142" i="1"/>
  <c r="R1142" i="1"/>
  <c r="S1142" i="1"/>
  <c r="T1142" i="1"/>
  <c r="U1142" i="1"/>
  <c r="V1142" i="1"/>
  <c r="W1142" i="1"/>
  <c r="X1142" i="1"/>
  <c r="Y1142" i="1"/>
  <c r="Z1142" i="1"/>
  <c r="AA1142" i="1"/>
  <c r="AB1142" i="1"/>
  <c r="AC1142" i="1"/>
  <c r="AD1142" i="1"/>
  <c r="AE1142" i="1"/>
  <c r="AF1142" i="1"/>
  <c r="AG1142" i="1"/>
  <c r="AH1142" i="1"/>
  <c r="AI1142" i="1"/>
  <c r="AJ1142" i="1"/>
  <c r="AQ1142" i="1"/>
  <c r="AR1142" i="1"/>
  <c r="AS1142"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Q1143" i="1"/>
  <c r="AR1143" i="1"/>
  <c r="AS1143" i="1"/>
  <c r="L1144" i="1"/>
  <c r="M1144" i="1"/>
  <c r="N1144" i="1"/>
  <c r="O1144" i="1"/>
  <c r="P1144" i="1"/>
  <c r="Q1144" i="1"/>
  <c r="R1144" i="1"/>
  <c r="S1144" i="1"/>
  <c r="T1144" i="1"/>
  <c r="U1144" i="1"/>
  <c r="V1144" i="1"/>
  <c r="W1144" i="1"/>
  <c r="X1144" i="1"/>
  <c r="Y1144" i="1"/>
  <c r="Z1144" i="1"/>
  <c r="AA1144" i="1"/>
  <c r="AB1144" i="1"/>
  <c r="AC1144" i="1"/>
  <c r="AD1144" i="1"/>
  <c r="AE1144" i="1"/>
  <c r="AF1144" i="1"/>
  <c r="AG1144" i="1"/>
  <c r="AH1144" i="1"/>
  <c r="AI1144" i="1"/>
  <c r="AJ1144" i="1"/>
  <c r="AQ1144" i="1"/>
  <c r="AR1144" i="1"/>
  <c r="AS1144" i="1"/>
  <c r="L1145" i="1"/>
  <c r="M1145" i="1"/>
  <c r="N1145" i="1"/>
  <c r="O1145" i="1"/>
  <c r="P1145" i="1"/>
  <c r="Q1145" i="1"/>
  <c r="R1145" i="1"/>
  <c r="S1145" i="1"/>
  <c r="T1145" i="1"/>
  <c r="U1145" i="1"/>
  <c r="V1145" i="1"/>
  <c r="W1145" i="1"/>
  <c r="X1145" i="1"/>
  <c r="Y1145" i="1"/>
  <c r="Z1145" i="1"/>
  <c r="AA1145" i="1"/>
  <c r="AB1145" i="1"/>
  <c r="AC1145" i="1"/>
  <c r="AD1145" i="1"/>
  <c r="AE1145" i="1"/>
  <c r="AF1145" i="1"/>
  <c r="AG1145" i="1"/>
  <c r="AH1145" i="1"/>
  <c r="AI1145" i="1"/>
  <c r="AJ1145" i="1"/>
  <c r="AQ1145" i="1"/>
  <c r="AR1145" i="1"/>
  <c r="AS1145" i="1"/>
  <c r="L1146" i="1"/>
  <c r="M1146" i="1"/>
  <c r="N1146" i="1"/>
  <c r="O1146" i="1"/>
  <c r="P1146" i="1"/>
  <c r="Q1146" i="1"/>
  <c r="R1146" i="1"/>
  <c r="S1146" i="1"/>
  <c r="T1146" i="1"/>
  <c r="U1146" i="1"/>
  <c r="V1146" i="1"/>
  <c r="W1146" i="1"/>
  <c r="X1146" i="1"/>
  <c r="Y1146" i="1"/>
  <c r="Z1146" i="1"/>
  <c r="AA1146" i="1"/>
  <c r="AB1146" i="1"/>
  <c r="AC1146" i="1"/>
  <c r="AD1146" i="1"/>
  <c r="AE1146" i="1"/>
  <c r="AF1146" i="1"/>
  <c r="AG1146" i="1"/>
  <c r="AH1146" i="1"/>
  <c r="AI1146" i="1"/>
  <c r="AJ1146" i="1"/>
  <c r="AQ1146" i="1"/>
  <c r="AR1146" i="1"/>
  <c r="AS1146" i="1"/>
  <c r="L1147" i="1"/>
  <c r="M1147" i="1"/>
  <c r="N1147" i="1"/>
  <c r="O1147" i="1"/>
  <c r="P1147" i="1"/>
  <c r="Q1147" i="1"/>
  <c r="R1147" i="1"/>
  <c r="S1147" i="1"/>
  <c r="T1147" i="1"/>
  <c r="U1147" i="1"/>
  <c r="V1147" i="1"/>
  <c r="W1147" i="1"/>
  <c r="X1147" i="1"/>
  <c r="Y1147" i="1"/>
  <c r="Z1147" i="1"/>
  <c r="AA1147" i="1"/>
  <c r="AB1147" i="1"/>
  <c r="AC1147" i="1"/>
  <c r="AD1147" i="1"/>
  <c r="AE1147" i="1"/>
  <c r="AF1147" i="1"/>
  <c r="AG1147" i="1"/>
  <c r="AH1147" i="1"/>
  <c r="AI1147" i="1"/>
  <c r="AJ1147" i="1"/>
  <c r="AQ1147" i="1"/>
  <c r="AR1147" i="1"/>
  <c r="AS1147" i="1"/>
  <c r="L1148" i="1"/>
  <c r="M1148" i="1"/>
  <c r="N1148" i="1"/>
  <c r="O1148" i="1"/>
  <c r="P1148" i="1"/>
  <c r="Q1148" i="1"/>
  <c r="R1148" i="1"/>
  <c r="S1148" i="1"/>
  <c r="T1148" i="1"/>
  <c r="U1148" i="1"/>
  <c r="V1148" i="1"/>
  <c r="W1148" i="1"/>
  <c r="X1148" i="1"/>
  <c r="Y1148" i="1"/>
  <c r="Z1148" i="1"/>
  <c r="AA1148" i="1"/>
  <c r="AB1148" i="1"/>
  <c r="AC1148" i="1"/>
  <c r="AD1148" i="1"/>
  <c r="AE1148" i="1"/>
  <c r="AF1148" i="1"/>
  <c r="AG1148" i="1"/>
  <c r="AH1148" i="1"/>
  <c r="AI1148" i="1"/>
  <c r="AJ1148" i="1"/>
  <c r="AQ1148" i="1"/>
  <c r="AR1148" i="1"/>
  <c r="AS1148" i="1"/>
  <c r="L1149" i="1"/>
  <c r="M1149" i="1"/>
  <c r="N1149" i="1"/>
  <c r="O1149" i="1"/>
  <c r="P1149" i="1"/>
  <c r="Q1149" i="1"/>
  <c r="R1149" i="1"/>
  <c r="S1149" i="1"/>
  <c r="T1149" i="1"/>
  <c r="U1149" i="1"/>
  <c r="V1149" i="1"/>
  <c r="W1149" i="1"/>
  <c r="X1149" i="1"/>
  <c r="Y1149" i="1"/>
  <c r="Z1149" i="1"/>
  <c r="AA1149" i="1"/>
  <c r="AB1149" i="1"/>
  <c r="AC1149" i="1"/>
  <c r="AD1149" i="1"/>
  <c r="AE1149" i="1"/>
  <c r="AF1149" i="1"/>
  <c r="AG1149" i="1"/>
  <c r="AH1149" i="1"/>
  <c r="AI1149" i="1"/>
  <c r="AJ1149" i="1"/>
  <c r="AQ1149" i="1"/>
  <c r="AR1149" i="1"/>
  <c r="AS1149"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Q1150" i="1"/>
  <c r="AR1150" i="1"/>
  <c r="AS1150" i="1"/>
  <c r="L1151" i="1"/>
  <c r="M1151" i="1"/>
  <c r="N1151" i="1"/>
  <c r="O1151" i="1"/>
  <c r="P1151" i="1"/>
  <c r="Q1151" i="1"/>
  <c r="R1151" i="1"/>
  <c r="S1151" i="1"/>
  <c r="T1151" i="1"/>
  <c r="U1151" i="1"/>
  <c r="V1151" i="1"/>
  <c r="W1151" i="1"/>
  <c r="X1151" i="1"/>
  <c r="Y1151" i="1"/>
  <c r="Z1151" i="1"/>
  <c r="AA1151" i="1"/>
  <c r="AB1151" i="1"/>
  <c r="AC1151" i="1"/>
  <c r="AD1151" i="1"/>
  <c r="AE1151" i="1"/>
  <c r="AF1151" i="1"/>
  <c r="AG1151" i="1"/>
  <c r="AH1151" i="1"/>
  <c r="AI1151" i="1"/>
  <c r="AJ1151" i="1"/>
  <c r="AQ1151" i="1"/>
  <c r="AR1151" i="1"/>
  <c r="AS1151" i="1"/>
  <c r="L1152" i="1"/>
  <c r="M1152" i="1"/>
  <c r="N1152" i="1"/>
  <c r="O1152" i="1"/>
  <c r="P1152" i="1"/>
  <c r="Q1152" i="1"/>
  <c r="R1152" i="1"/>
  <c r="S1152" i="1"/>
  <c r="T1152" i="1"/>
  <c r="U1152" i="1"/>
  <c r="V1152" i="1"/>
  <c r="W1152" i="1"/>
  <c r="X1152" i="1"/>
  <c r="Y1152" i="1"/>
  <c r="Z1152" i="1"/>
  <c r="AA1152" i="1"/>
  <c r="AB1152" i="1"/>
  <c r="AC1152" i="1"/>
  <c r="AD1152" i="1"/>
  <c r="AE1152" i="1"/>
  <c r="AF1152" i="1"/>
  <c r="AG1152" i="1"/>
  <c r="AH1152" i="1"/>
  <c r="AI1152" i="1"/>
  <c r="AJ1152" i="1"/>
  <c r="AQ1152" i="1"/>
  <c r="AR1152" i="1"/>
  <c r="AS1152" i="1"/>
  <c r="L1153" i="1"/>
  <c r="M1153" i="1"/>
  <c r="N1153" i="1"/>
  <c r="O1153" i="1"/>
  <c r="P1153" i="1"/>
  <c r="Q1153" i="1"/>
  <c r="R1153" i="1"/>
  <c r="S1153" i="1"/>
  <c r="T1153" i="1"/>
  <c r="U1153" i="1"/>
  <c r="V1153" i="1"/>
  <c r="W1153" i="1"/>
  <c r="X1153" i="1"/>
  <c r="Y1153" i="1"/>
  <c r="Z1153" i="1"/>
  <c r="AA1153" i="1"/>
  <c r="AB1153" i="1"/>
  <c r="AC1153" i="1"/>
  <c r="AD1153" i="1"/>
  <c r="AE1153" i="1"/>
  <c r="AF1153" i="1"/>
  <c r="AG1153" i="1"/>
  <c r="AH1153" i="1"/>
  <c r="AI1153" i="1"/>
  <c r="AJ1153" i="1"/>
  <c r="AQ1153" i="1"/>
  <c r="AR1153" i="1"/>
  <c r="AS1153" i="1"/>
  <c r="L1154" i="1"/>
  <c r="M1154" i="1"/>
  <c r="N1154" i="1"/>
  <c r="O1154" i="1"/>
  <c r="P1154" i="1"/>
  <c r="Q1154" i="1"/>
  <c r="R1154" i="1"/>
  <c r="S1154" i="1"/>
  <c r="T1154" i="1"/>
  <c r="U1154" i="1"/>
  <c r="V1154" i="1"/>
  <c r="W1154" i="1"/>
  <c r="X1154" i="1"/>
  <c r="Y1154" i="1"/>
  <c r="Z1154" i="1"/>
  <c r="AA1154" i="1"/>
  <c r="AB1154" i="1"/>
  <c r="AC1154" i="1"/>
  <c r="AD1154" i="1"/>
  <c r="AE1154" i="1"/>
  <c r="AF1154" i="1"/>
  <c r="AG1154" i="1"/>
  <c r="AH1154" i="1"/>
  <c r="AI1154" i="1"/>
  <c r="AJ1154" i="1"/>
  <c r="AQ1154" i="1"/>
  <c r="AR1154" i="1"/>
  <c r="AS1154" i="1"/>
  <c r="L1155" i="1"/>
  <c r="M1155" i="1"/>
  <c r="N1155" i="1"/>
  <c r="O1155" i="1"/>
  <c r="P1155" i="1"/>
  <c r="Q1155" i="1"/>
  <c r="R1155" i="1"/>
  <c r="S1155" i="1"/>
  <c r="T1155" i="1"/>
  <c r="U1155" i="1"/>
  <c r="V1155" i="1"/>
  <c r="W1155" i="1"/>
  <c r="X1155" i="1"/>
  <c r="Y1155" i="1"/>
  <c r="Z1155" i="1"/>
  <c r="AA1155" i="1"/>
  <c r="AB1155" i="1"/>
  <c r="AC1155" i="1"/>
  <c r="AD1155" i="1"/>
  <c r="AE1155" i="1"/>
  <c r="AF1155" i="1"/>
  <c r="AG1155" i="1"/>
  <c r="AH1155" i="1"/>
  <c r="AI1155" i="1"/>
  <c r="AJ1155" i="1"/>
  <c r="AQ1155" i="1"/>
  <c r="AR1155" i="1"/>
  <c r="AS1155" i="1"/>
  <c r="L1156" i="1"/>
  <c r="M1156" i="1"/>
  <c r="N1156" i="1"/>
  <c r="O1156" i="1"/>
  <c r="P1156" i="1"/>
  <c r="Q1156" i="1"/>
  <c r="R1156" i="1"/>
  <c r="S1156" i="1"/>
  <c r="T1156" i="1"/>
  <c r="U1156" i="1"/>
  <c r="V1156" i="1"/>
  <c r="W1156" i="1"/>
  <c r="X1156" i="1"/>
  <c r="Y1156" i="1"/>
  <c r="Z1156" i="1"/>
  <c r="AA1156" i="1"/>
  <c r="AB1156" i="1"/>
  <c r="AC1156" i="1"/>
  <c r="AD1156" i="1"/>
  <c r="AE1156" i="1"/>
  <c r="AF1156" i="1"/>
  <c r="AG1156" i="1"/>
  <c r="AH1156" i="1"/>
  <c r="AI1156" i="1"/>
  <c r="AJ1156" i="1"/>
  <c r="AQ1156" i="1"/>
  <c r="AR1156" i="1"/>
  <c r="AS1156"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Q1157" i="1"/>
  <c r="AR1157" i="1"/>
  <c r="AS1157" i="1"/>
  <c r="L1158" i="1"/>
  <c r="M1158" i="1"/>
  <c r="N1158" i="1"/>
  <c r="O1158" i="1"/>
  <c r="P1158" i="1"/>
  <c r="Q1158" i="1"/>
  <c r="R1158" i="1"/>
  <c r="S1158" i="1"/>
  <c r="T1158" i="1"/>
  <c r="U1158" i="1"/>
  <c r="V1158" i="1"/>
  <c r="W1158" i="1"/>
  <c r="X1158" i="1"/>
  <c r="Y1158" i="1"/>
  <c r="Z1158" i="1"/>
  <c r="AA1158" i="1"/>
  <c r="AB1158" i="1"/>
  <c r="AC1158" i="1"/>
  <c r="AD1158" i="1"/>
  <c r="AE1158" i="1"/>
  <c r="AF1158" i="1"/>
  <c r="AG1158" i="1"/>
  <c r="AH1158" i="1"/>
  <c r="AI1158" i="1"/>
  <c r="AJ1158" i="1"/>
  <c r="AQ1158" i="1"/>
  <c r="AR1158" i="1"/>
  <c r="AS1158" i="1"/>
  <c r="L1159" i="1"/>
  <c r="M1159" i="1"/>
  <c r="N1159" i="1"/>
  <c r="O1159" i="1"/>
  <c r="P1159" i="1"/>
  <c r="Q1159" i="1"/>
  <c r="R1159" i="1"/>
  <c r="S1159" i="1"/>
  <c r="T1159" i="1"/>
  <c r="U1159" i="1"/>
  <c r="V1159" i="1"/>
  <c r="W1159" i="1"/>
  <c r="X1159" i="1"/>
  <c r="Y1159" i="1"/>
  <c r="Z1159" i="1"/>
  <c r="AA1159" i="1"/>
  <c r="AB1159" i="1"/>
  <c r="AC1159" i="1"/>
  <c r="AD1159" i="1"/>
  <c r="AE1159" i="1"/>
  <c r="AF1159" i="1"/>
  <c r="AG1159" i="1"/>
  <c r="AH1159" i="1"/>
  <c r="AI1159" i="1"/>
  <c r="AJ1159" i="1"/>
  <c r="AQ1159" i="1"/>
  <c r="AR1159" i="1"/>
  <c r="AS1159" i="1"/>
  <c r="L1160" i="1"/>
  <c r="M1160" i="1"/>
  <c r="N1160" i="1"/>
  <c r="O1160" i="1"/>
  <c r="P1160" i="1"/>
  <c r="Q1160" i="1"/>
  <c r="R1160" i="1"/>
  <c r="S1160" i="1"/>
  <c r="T1160" i="1"/>
  <c r="U1160" i="1"/>
  <c r="V1160" i="1"/>
  <c r="W1160" i="1"/>
  <c r="X1160" i="1"/>
  <c r="Y1160" i="1"/>
  <c r="Z1160" i="1"/>
  <c r="AA1160" i="1"/>
  <c r="AB1160" i="1"/>
  <c r="AC1160" i="1"/>
  <c r="AD1160" i="1"/>
  <c r="AE1160" i="1"/>
  <c r="AF1160" i="1"/>
  <c r="AG1160" i="1"/>
  <c r="AH1160" i="1"/>
  <c r="AI1160" i="1"/>
  <c r="AJ1160" i="1"/>
  <c r="AQ1160" i="1"/>
  <c r="AR1160" i="1"/>
  <c r="AS1160" i="1"/>
  <c r="L1161" i="1"/>
  <c r="M1161" i="1"/>
  <c r="N1161" i="1"/>
  <c r="O1161" i="1"/>
  <c r="P1161" i="1"/>
  <c r="Q1161" i="1"/>
  <c r="R1161" i="1"/>
  <c r="S1161" i="1"/>
  <c r="T1161" i="1"/>
  <c r="U1161" i="1"/>
  <c r="V1161" i="1"/>
  <c r="W1161" i="1"/>
  <c r="X1161" i="1"/>
  <c r="Y1161" i="1"/>
  <c r="Z1161" i="1"/>
  <c r="AA1161" i="1"/>
  <c r="AB1161" i="1"/>
  <c r="AC1161" i="1"/>
  <c r="AD1161" i="1"/>
  <c r="AE1161" i="1"/>
  <c r="AF1161" i="1"/>
  <c r="AG1161" i="1"/>
  <c r="AH1161" i="1"/>
  <c r="AI1161" i="1"/>
  <c r="AJ1161" i="1"/>
  <c r="AQ1161" i="1"/>
  <c r="AR1161" i="1"/>
  <c r="AS1161" i="1"/>
  <c r="L1162" i="1"/>
  <c r="M1162" i="1"/>
  <c r="N1162" i="1"/>
  <c r="O1162" i="1"/>
  <c r="P1162" i="1"/>
  <c r="Q1162" i="1"/>
  <c r="R1162" i="1"/>
  <c r="S1162" i="1"/>
  <c r="T1162" i="1"/>
  <c r="U1162" i="1"/>
  <c r="V1162" i="1"/>
  <c r="W1162" i="1"/>
  <c r="X1162" i="1"/>
  <c r="Y1162" i="1"/>
  <c r="Z1162" i="1"/>
  <c r="AA1162" i="1"/>
  <c r="AB1162" i="1"/>
  <c r="AC1162" i="1"/>
  <c r="AD1162" i="1"/>
  <c r="AE1162" i="1"/>
  <c r="AF1162" i="1"/>
  <c r="AG1162" i="1"/>
  <c r="AH1162" i="1"/>
  <c r="AI1162" i="1"/>
  <c r="AJ1162" i="1"/>
  <c r="AQ1162" i="1"/>
  <c r="AR1162" i="1"/>
  <c r="AS1162" i="1"/>
  <c r="L1163" i="1"/>
  <c r="M1163" i="1"/>
  <c r="N1163" i="1"/>
  <c r="O1163" i="1"/>
  <c r="P1163" i="1"/>
  <c r="Q1163" i="1"/>
  <c r="R1163" i="1"/>
  <c r="S1163" i="1"/>
  <c r="T1163" i="1"/>
  <c r="U1163" i="1"/>
  <c r="V1163" i="1"/>
  <c r="W1163" i="1"/>
  <c r="X1163" i="1"/>
  <c r="Y1163" i="1"/>
  <c r="Z1163" i="1"/>
  <c r="AA1163" i="1"/>
  <c r="AB1163" i="1"/>
  <c r="AC1163" i="1"/>
  <c r="AD1163" i="1"/>
  <c r="AE1163" i="1"/>
  <c r="AF1163" i="1"/>
  <c r="AG1163" i="1"/>
  <c r="AH1163" i="1"/>
  <c r="AI1163" i="1"/>
  <c r="AJ1163" i="1"/>
  <c r="AQ1163" i="1"/>
  <c r="AR1163" i="1"/>
  <c r="AS1163" i="1"/>
  <c r="L1164" i="1"/>
  <c r="M1164" i="1"/>
  <c r="N1164" i="1"/>
  <c r="O1164" i="1"/>
  <c r="P1164" i="1"/>
  <c r="Q1164" i="1"/>
  <c r="R1164" i="1"/>
  <c r="S1164" i="1"/>
  <c r="T1164" i="1"/>
  <c r="U1164" i="1"/>
  <c r="V1164" i="1"/>
  <c r="W1164" i="1"/>
  <c r="X1164" i="1"/>
  <c r="Y1164" i="1"/>
  <c r="Z1164" i="1"/>
  <c r="AA1164" i="1"/>
  <c r="AB1164" i="1"/>
  <c r="AC1164" i="1"/>
  <c r="AD1164" i="1"/>
  <c r="AE1164" i="1"/>
  <c r="AF1164" i="1"/>
  <c r="AG1164" i="1"/>
  <c r="AH1164" i="1"/>
  <c r="AI1164" i="1"/>
  <c r="AJ1164" i="1"/>
  <c r="AQ1164" i="1"/>
  <c r="AR1164" i="1"/>
  <c r="AS1164" i="1"/>
  <c r="L1165" i="1"/>
  <c r="M1165" i="1"/>
  <c r="N1165" i="1"/>
  <c r="O1165" i="1"/>
  <c r="P1165" i="1"/>
  <c r="Q1165" i="1"/>
  <c r="R1165" i="1"/>
  <c r="S1165" i="1"/>
  <c r="T1165" i="1"/>
  <c r="U1165" i="1"/>
  <c r="V1165" i="1"/>
  <c r="W1165" i="1"/>
  <c r="X1165" i="1"/>
  <c r="Y1165" i="1"/>
  <c r="Z1165" i="1"/>
  <c r="AA1165" i="1"/>
  <c r="AB1165" i="1"/>
  <c r="AC1165" i="1"/>
  <c r="AD1165" i="1"/>
  <c r="AE1165" i="1"/>
  <c r="AF1165" i="1"/>
  <c r="AG1165" i="1"/>
  <c r="AH1165" i="1"/>
  <c r="AI1165" i="1"/>
  <c r="AJ1165" i="1"/>
  <c r="AQ1165" i="1"/>
  <c r="AR1165" i="1"/>
  <c r="AS1165" i="1"/>
  <c r="L1166" i="1"/>
  <c r="M1166" i="1"/>
  <c r="N1166" i="1"/>
  <c r="O1166" i="1"/>
  <c r="P1166" i="1"/>
  <c r="Q1166" i="1"/>
  <c r="R1166" i="1"/>
  <c r="S1166" i="1"/>
  <c r="T1166" i="1"/>
  <c r="U1166" i="1"/>
  <c r="V1166" i="1"/>
  <c r="W1166" i="1"/>
  <c r="X1166" i="1"/>
  <c r="Y1166" i="1"/>
  <c r="Z1166" i="1"/>
  <c r="AA1166" i="1"/>
  <c r="AB1166" i="1"/>
  <c r="AC1166" i="1"/>
  <c r="AD1166" i="1"/>
  <c r="AE1166" i="1"/>
  <c r="AF1166" i="1"/>
  <c r="AG1166" i="1"/>
  <c r="AH1166" i="1"/>
  <c r="AI1166" i="1"/>
  <c r="AJ1166" i="1"/>
  <c r="AQ1166" i="1"/>
  <c r="AR1166" i="1"/>
  <c r="AS1166" i="1"/>
  <c r="L1167" i="1"/>
  <c r="M1167" i="1"/>
  <c r="N1167" i="1"/>
  <c r="O1167" i="1"/>
  <c r="P1167" i="1"/>
  <c r="Q1167" i="1"/>
  <c r="R1167" i="1"/>
  <c r="S1167" i="1"/>
  <c r="T1167" i="1"/>
  <c r="U1167" i="1"/>
  <c r="V1167" i="1"/>
  <c r="W1167" i="1"/>
  <c r="X1167" i="1"/>
  <c r="Y1167" i="1"/>
  <c r="Z1167" i="1"/>
  <c r="AA1167" i="1"/>
  <c r="AB1167" i="1"/>
  <c r="AC1167" i="1"/>
  <c r="AD1167" i="1"/>
  <c r="AE1167" i="1"/>
  <c r="AF1167" i="1"/>
  <c r="AG1167" i="1"/>
  <c r="AH1167" i="1"/>
  <c r="AI1167" i="1"/>
  <c r="AJ1167" i="1"/>
  <c r="AQ1167" i="1"/>
  <c r="AR1167" i="1"/>
  <c r="AS1167"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Q1168" i="1"/>
  <c r="AR1168" i="1"/>
  <c r="AS1168" i="1"/>
  <c r="L1169" i="1"/>
  <c r="M1169" i="1"/>
  <c r="N1169" i="1"/>
  <c r="O1169" i="1"/>
  <c r="P1169" i="1"/>
  <c r="Q1169" i="1"/>
  <c r="R1169" i="1"/>
  <c r="S1169" i="1"/>
  <c r="T1169" i="1"/>
  <c r="U1169" i="1"/>
  <c r="V1169" i="1"/>
  <c r="W1169" i="1"/>
  <c r="X1169" i="1"/>
  <c r="Y1169" i="1"/>
  <c r="Z1169" i="1"/>
  <c r="AA1169" i="1"/>
  <c r="AB1169" i="1"/>
  <c r="AC1169" i="1"/>
  <c r="AD1169" i="1"/>
  <c r="AE1169" i="1"/>
  <c r="AF1169" i="1"/>
  <c r="AG1169" i="1"/>
  <c r="AH1169" i="1"/>
  <c r="AI1169" i="1"/>
  <c r="AJ1169" i="1"/>
  <c r="AQ1169" i="1"/>
  <c r="AR1169" i="1"/>
  <c r="AS1169" i="1"/>
  <c r="L1170" i="1"/>
  <c r="M1170" i="1"/>
  <c r="N1170" i="1"/>
  <c r="O1170" i="1"/>
  <c r="P1170" i="1"/>
  <c r="Q1170" i="1"/>
  <c r="R1170" i="1"/>
  <c r="S1170" i="1"/>
  <c r="T1170" i="1"/>
  <c r="U1170" i="1"/>
  <c r="V1170" i="1"/>
  <c r="W1170" i="1"/>
  <c r="X1170" i="1"/>
  <c r="Y1170" i="1"/>
  <c r="Z1170" i="1"/>
  <c r="AA1170" i="1"/>
  <c r="AB1170" i="1"/>
  <c r="AC1170" i="1"/>
  <c r="AD1170" i="1"/>
  <c r="AE1170" i="1"/>
  <c r="AF1170" i="1"/>
  <c r="AG1170" i="1"/>
  <c r="AH1170" i="1"/>
  <c r="AI1170" i="1"/>
  <c r="AJ1170" i="1"/>
  <c r="AQ1170" i="1"/>
  <c r="AR1170" i="1"/>
  <c r="AS1170"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Q1171" i="1"/>
  <c r="AR1171" i="1"/>
  <c r="AS1171" i="1"/>
  <c r="L1172" i="1"/>
  <c r="M1172" i="1"/>
  <c r="N1172" i="1"/>
  <c r="O1172" i="1"/>
  <c r="P1172" i="1"/>
  <c r="Q1172" i="1"/>
  <c r="R1172" i="1"/>
  <c r="S1172" i="1"/>
  <c r="T1172" i="1"/>
  <c r="U1172" i="1"/>
  <c r="V1172" i="1"/>
  <c r="W1172" i="1"/>
  <c r="X1172" i="1"/>
  <c r="Y1172" i="1"/>
  <c r="Z1172" i="1"/>
  <c r="AA1172" i="1"/>
  <c r="AB1172" i="1"/>
  <c r="AC1172" i="1"/>
  <c r="AD1172" i="1"/>
  <c r="AE1172" i="1"/>
  <c r="AF1172" i="1"/>
  <c r="AG1172" i="1"/>
  <c r="AH1172" i="1"/>
  <c r="AI1172" i="1"/>
  <c r="AJ1172" i="1"/>
  <c r="AQ1172" i="1"/>
  <c r="AR1172" i="1"/>
  <c r="AS1172" i="1"/>
  <c r="L1173" i="1"/>
  <c r="M1173" i="1"/>
  <c r="N1173" i="1"/>
  <c r="O1173" i="1"/>
  <c r="P1173" i="1"/>
  <c r="Q1173" i="1"/>
  <c r="R1173" i="1"/>
  <c r="S1173" i="1"/>
  <c r="T1173" i="1"/>
  <c r="U1173" i="1"/>
  <c r="V1173" i="1"/>
  <c r="W1173" i="1"/>
  <c r="X1173" i="1"/>
  <c r="Y1173" i="1"/>
  <c r="Z1173" i="1"/>
  <c r="AA1173" i="1"/>
  <c r="AB1173" i="1"/>
  <c r="AC1173" i="1"/>
  <c r="AD1173" i="1"/>
  <c r="AE1173" i="1"/>
  <c r="AF1173" i="1"/>
  <c r="AG1173" i="1"/>
  <c r="AH1173" i="1"/>
  <c r="AI1173" i="1"/>
  <c r="AJ1173" i="1"/>
  <c r="AQ1173" i="1"/>
  <c r="AR1173" i="1"/>
  <c r="AS1173" i="1"/>
  <c r="L1174" i="1"/>
  <c r="M1174" i="1"/>
  <c r="N1174" i="1"/>
  <c r="O1174" i="1"/>
  <c r="P1174" i="1"/>
  <c r="Q1174" i="1"/>
  <c r="R1174" i="1"/>
  <c r="S1174" i="1"/>
  <c r="T1174" i="1"/>
  <c r="U1174" i="1"/>
  <c r="V1174" i="1"/>
  <c r="W1174" i="1"/>
  <c r="X1174" i="1"/>
  <c r="Y1174" i="1"/>
  <c r="Z1174" i="1"/>
  <c r="AA1174" i="1"/>
  <c r="AB1174" i="1"/>
  <c r="AC1174" i="1"/>
  <c r="AD1174" i="1"/>
  <c r="AE1174" i="1"/>
  <c r="AF1174" i="1"/>
  <c r="AG1174" i="1"/>
  <c r="AH1174" i="1"/>
  <c r="AI1174" i="1"/>
  <c r="AJ1174" i="1"/>
  <c r="AQ1174" i="1"/>
  <c r="AR1174" i="1"/>
  <c r="AS1174" i="1"/>
  <c r="L1175" i="1"/>
  <c r="M1175" i="1"/>
  <c r="N1175" i="1"/>
  <c r="O1175" i="1"/>
  <c r="P1175" i="1"/>
  <c r="Q1175" i="1"/>
  <c r="R1175" i="1"/>
  <c r="S1175" i="1"/>
  <c r="T1175" i="1"/>
  <c r="U1175" i="1"/>
  <c r="V1175" i="1"/>
  <c r="W1175" i="1"/>
  <c r="X1175" i="1"/>
  <c r="Y1175" i="1"/>
  <c r="Z1175" i="1"/>
  <c r="AA1175" i="1"/>
  <c r="AB1175" i="1"/>
  <c r="AC1175" i="1"/>
  <c r="AD1175" i="1"/>
  <c r="AE1175" i="1"/>
  <c r="AF1175" i="1"/>
  <c r="AG1175" i="1"/>
  <c r="AH1175" i="1"/>
  <c r="AI1175" i="1"/>
  <c r="AJ1175" i="1"/>
  <c r="AQ1175" i="1"/>
  <c r="AR1175" i="1"/>
  <c r="AS1175" i="1"/>
  <c r="L1176" i="1"/>
  <c r="M1176" i="1"/>
  <c r="N1176" i="1"/>
  <c r="O1176" i="1"/>
  <c r="P1176" i="1"/>
  <c r="Q1176" i="1"/>
  <c r="R1176" i="1"/>
  <c r="S1176" i="1"/>
  <c r="T1176" i="1"/>
  <c r="U1176" i="1"/>
  <c r="V1176" i="1"/>
  <c r="W1176" i="1"/>
  <c r="X1176" i="1"/>
  <c r="Y1176" i="1"/>
  <c r="Z1176" i="1"/>
  <c r="AA1176" i="1"/>
  <c r="AB1176" i="1"/>
  <c r="AC1176" i="1"/>
  <c r="AD1176" i="1"/>
  <c r="AE1176" i="1"/>
  <c r="AF1176" i="1"/>
  <c r="AG1176" i="1"/>
  <c r="AH1176" i="1"/>
  <c r="AI1176" i="1"/>
  <c r="AJ1176" i="1"/>
  <c r="AQ1176" i="1"/>
  <c r="AR1176" i="1"/>
  <c r="AS1176" i="1"/>
  <c r="L1177" i="1"/>
  <c r="M1177" i="1"/>
  <c r="N1177" i="1"/>
  <c r="O1177" i="1"/>
  <c r="P1177" i="1"/>
  <c r="Q1177" i="1"/>
  <c r="R1177" i="1"/>
  <c r="S1177" i="1"/>
  <c r="T1177" i="1"/>
  <c r="U1177" i="1"/>
  <c r="V1177" i="1"/>
  <c r="W1177" i="1"/>
  <c r="X1177" i="1"/>
  <c r="Y1177" i="1"/>
  <c r="Z1177" i="1"/>
  <c r="AA1177" i="1"/>
  <c r="AB1177" i="1"/>
  <c r="AC1177" i="1"/>
  <c r="AD1177" i="1"/>
  <c r="AE1177" i="1"/>
  <c r="AF1177" i="1"/>
  <c r="AG1177" i="1"/>
  <c r="AH1177" i="1"/>
  <c r="AI1177" i="1"/>
  <c r="AJ1177" i="1"/>
  <c r="AQ1177" i="1"/>
  <c r="AR1177" i="1"/>
  <c r="AS1177" i="1"/>
  <c r="L1178" i="1"/>
  <c r="M1178" i="1"/>
  <c r="N1178" i="1"/>
  <c r="O1178" i="1"/>
  <c r="P1178" i="1"/>
  <c r="Q1178" i="1"/>
  <c r="R1178" i="1"/>
  <c r="S1178" i="1"/>
  <c r="T1178" i="1"/>
  <c r="U1178" i="1"/>
  <c r="V1178" i="1"/>
  <c r="W1178" i="1"/>
  <c r="X1178" i="1"/>
  <c r="Y1178" i="1"/>
  <c r="Z1178" i="1"/>
  <c r="AA1178" i="1"/>
  <c r="AB1178" i="1"/>
  <c r="AC1178" i="1"/>
  <c r="AD1178" i="1"/>
  <c r="AE1178" i="1"/>
  <c r="AF1178" i="1"/>
  <c r="AG1178" i="1"/>
  <c r="AH1178" i="1"/>
  <c r="AI1178" i="1"/>
  <c r="AJ1178" i="1"/>
  <c r="AQ1178" i="1"/>
  <c r="AR1178" i="1"/>
  <c r="AS1178" i="1"/>
  <c r="L1179" i="1"/>
  <c r="M1179" i="1"/>
  <c r="N1179" i="1"/>
  <c r="O1179" i="1"/>
  <c r="P1179" i="1"/>
  <c r="Q1179" i="1"/>
  <c r="R1179" i="1"/>
  <c r="S1179" i="1"/>
  <c r="T1179" i="1"/>
  <c r="U1179" i="1"/>
  <c r="V1179" i="1"/>
  <c r="W1179" i="1"/>
  <c r="X1179" i="1"/>
  <c r="Y1179" i="1"/>
  <c r="Z1179" i="1"/>
  <c r="AA1179" i="1"/>
  <c r="AB1179" i="1"/>
  <c r="AC1179" i="1"/>
  <c r="AD1179" i="1"/>
  <c r="AE1179" i="1"/>
  <c r="AF1179" i="1"/>
  <c r="AG1179" i="1"/>
  <c r="AH1179" i="1"/>
  <c r="AI1179" i="1"/>
  <c r="AJ1179" i="1"/>
  <c r="AQ1179" i="1"/>
  <c r="AR1179" i="1"/>
  <c r="AS1179" i="1"/>
  <c r="L1180" i="1"/>
  <c r="M1180" i="1"/>
  <c r="N1180" i="1"/>
  <c r="O1180" i="1"/>
  <c r="P1180" i="1"/>
  <c r="Q1180" i="1"/>
  <c r="R1180" i="1"/>
  <c r="S1180" i="1"/>
  <c r="T1180" i="1"/>
  <c r="U1180" i="1"/>
  <c r="V1180" i="1"/>
  <c r="W1180" i="1"/>
  <c r="X1180" i="1"/>
  <c r="Y1180" i="1"/>
  <c r="Z1180" i="1"/>
  <c r="AA1180" i="1"/>
  <c r="AB1180" i="1"/>
  <c r="AC1180" i="1"/>
  <c r="AD1180" i="1"/>
  <c r="AE1180" i="1"/>
  <c r="AF1180" i="1"/>
  <c r="AG1180" i="1"/>
  <c r="AH1180" i="1"/>
  <c r="AI1180" i="1"/>
  <c r="AJ1180" i="1"/>
  <c r="AQ1180" i="1"/>
  <c r="AR1180" i="1"/>
  <c r="AS1180" i="1"/>
  <c r="L1181" i="1"/>
  <c r="M1181" i="1"/>
  <c r="N1181" i="1"/>
  <c r="O1181" i="1"/>
  <c r="P1181" i="1"/>
  <c r="Q1181" i="1"/>
  <c r="R1181" i="1"/>
  <c r="S1181" i="1"/>
  <c r="T1181" i="1"/>
  <c r="U1181" i="1"/>
  <c r="V1181" i="1"/>
  <c r="W1181" i="1"/>
  <c r="X1181" i="1"/>
  <c r="Y1181" i="1"/>
  <c r="Z1181" i="1"/>
  <c r="AA1181" i="1"/>
  <c r="AB1181" i="1"/>
  <c r="AC1181" i="1"/>
  <c r="AD1181" i="1"/>
  <c r="AE1181" i="1"/>
  <c r="AF1181" i="1"/>
  <c r="AG1181" i="1"/>
  <c r="AH1181" i="1"/>
  <c r="AI1181" i="1"/>
  <c r="AJ1181" i="1"/>
  <c r="AQ1181" i="1"/>
  <c r="AR1181" i="1"/>
  <c r="AS1181" i="1"/>
  <c r="L1182" i="1"/>
  <c r="M1182" i="1"/>
  <c r="N1182" i="1"/>
  <c r="O1182" i="1"/>
  <c r="P1182" i="1"/>
  <c r="Q1182" i="1"/>
  <c r="R1182" i="1"/>
  <c r="S1182" i="1"/>
  <c r="T1182" i="1"/>
  <c r="U1182" i="1"/>
  <c r="V1182" i="1"/>
  <c r="W1182" i="1"/>
  <c r="X1182" i="1"/>
  <c r="Y1182" i="1"/>
  <c r="Z1182" i="1"/>
  <c r="AA1182" i="1"/>
  <c r="AB1182" i="1"/>
  <c r="AC1182" i="1"/>
  <c r="AD1182" i="1"/>
  <c r="AE1182" i="1"/>
  <c r="AF1182" i="1"/>
  <c r="AG1182" i="1"/>
  <c r="AH1182" i="1"/>
  <c r="AI1182" i="1"/>
  <c r="AJ1182" i="1"/>
  <c r="AQ1182" i="1"/>
  <c r="AR1182" i="1"/>
  <c r="AS1182" i="1"/>
  <c r="L1183" i="1"/>
  <c r="M1183" i="1"/>
  <c r="N1183" i="1"/>
  <c r="O1183" i="1"/>
  <c r="P1183" i="1"/>
  <c r="Q1183" i="1"/>
  <c r="R1183" i="1"/>
  <c r="S1183" i="1"/>
  <c r="T1183" i="1"/>
  <c r="U1183" i="1"/>
  <c r="V1183" i="1"/>
  <c r="W1183" i="1"/>
  <c r="X1183" i="1"/>
  <c r="Y1183" i="1"/>
  <c r="Z1183" i="1"/>
  <c r="AA1183" i="1"/>
  <c r="AB1183" i="1"/>
  <c r="AC1183" i="1"/>
  <c r="AD1183" i="1"/>
  <c r="AE1183" i="1"/>
  <c r="AF1183" i="1"/>
  <c r="AG1183" i="1"/>
  <c r="AH1183" i="1"/>
  <c r="AI1183" i="1"/>
  <c r="AJ1183" i="1"/>
  <c r="AQ1183" i="1"/>
  <c r="AR1183" i="1"/>
  <c r="AS1183" i="1"/>
  <c r="L1184" i="1"/>
  <c r="M1184" i="1"/>
  <c r="N1184" i="1"/>
  <c r="O1184" i="1"/>
  <c r="P1184" i="1"/>
  <c r="Q1184" i="1"/>
  <c r="R1184" i="1"/>
  <c r="S1184" i="1"/>
  <c r="T1184" i="1"/>
  <c r="U1184" i="1"/>
  <c r="V1184" i="1"/>
  <c r="W1184" i="1"/>
  <c r="X1184" i="1"/>
  <c r="Y1184" i="1"/>
  <c r="Z1184" i="1"/>
  <c r="AA1184" i="1"/>
  <c r="AB1184" i="1"/>
  <c r="AC1184" i="1"/>
  <c r="AD1184" i="1"/>
  <c r="AE1184" i="1"/>
  <c r="AF1184" i="1"/>
  <c r="AG1184" i="1"/>
  <c r="AH1184" i="1"/>
  <c r="AI1184" i="1"/>
  <c r="AJ1184" i="1"/>
  <c r="AQ1184" i="1"/>
  <c r="AR1184" i="1"/>
  <c r="AS1184" i="1"/>
  <c r="L1185" i="1"/>
  <c r="M1185" i="1"/>
  <c r="N1185" i="1"/>
  <c r="O1185" i="1"/>
  <c r="P1185" i="1"/>
  <c r="Q1185" i="1"/>
  <c r="R1185" i="1"/>
  <c r="S1185" i="1"/>
  <c r="T1185" i="1"/>
  <c r="U1185" i="1"/>
  <c r="V1185" i="1"/>
  <c r="W1185" i="1"/>
  <c r="X1185" i="1"/>
  <c r="Y1185" i="1"/>
  <c r="Z1185" i="1"/>
  <c r="AA1185" i="1"/>
  <c r="AB1185" i="1"/>
  <c r="AC1185" i="1"/>
  <c r="AD1185" i="1"/>
  <c r="AE1185" i="1"/>
  <c r="AF1185" i="1"/>
  <c r="AG1185" i="1"/>
  <c r="AH1185" i="1"/>
  <c r="AI1185" i="1"/>
  <c r="AJ1185" i="1"/>
  <c r="AQ1185" i="1"/>
  <c r="AR1185" i="1"/>
  <c r="AS1185" i="1"/>
  <c r="L1186" i="1"/>
  <c r="M1186" i="1"/>
  <c r="N1186" i="1"/>
  <c r="O1186" i="1"/>
  <c r="P1186" i="1"/>
  <c r="Q1186" i="1"/>
  <c r="R1186" i="1"/>
  <c r="S1186" i="1"/>
  <c r="T1186" i="1"/>
  <c r="U1186" i="1"/>
  <c r="V1186" i="1"/>
  <c r="W1186" i="1"/>
  <c r="X1186" i="1"/>
  <c r="Y1186" i="1"/>
  <c r="Z1186" i="1"/>
  <c r="AA1186" i="1"/>
  <c r="AB1186" i="1"/>
  <c r="AC1186" i="1"/>
  <c r="AD1186" i="1"/>
  <c r="AE1186" i="1"/>
  <c r="AF1186" i="1"/>
  <c r="AG1186" i="1"/>
  <c r="AH1186" i="1"/>
  <c r="AI1186" i="1"/>
  <c r="AJ1186" i="1"/>
  <c r="AQ1186" i="1"/>
  <c r="AR1186" i="1"/>
  <c r="AS1186" i="1"/>
  <c r="L1187" i="1"/>
  <c r="M1187" i="1"/>
  <c r="N1187" i="1"/>
  <c r="O1187" i="1"/>
  <c r="P1187" i="1"/>
  <c r="Q1187" i="1"/>
  <c r="R1187" i="1"/>
  <c r="S1187" i="1"/>
  <c r="T1187" i="1"/>
  <c r="U1187" i="1"/>
  <c r="V1187" i="1"/>
  <c r="W1187" i="1"/>
  <c r="X1187" i="1"/>
  <c r="Y1187" i="1"/>
  <c r="Z1187" i="1"/>
  <c r="AA1187" i="1"/>
  <c r="AB1187" i="1"/>
  <c r="AC1187" i="1"/>
  <c r="AD1187" i="1"/>
  <c r="AE1187" i="1"/>
  <c r="AF1187" i="1"/>
  <c r="AG1187" i="1"/>
  <c r="AH1187" i="1"/>
  <c r="AI1187" i="1"/>
  <c r="AJ1187" i="1"/>
  <c r="AQ1187" i="1"/>
  <c r="AR1187" i="1"/>
  <c r="AS1187" i="1"/>
  <c r="L1188" i="1"/>
  <c r="M1188" i="1"/>
  <c r="N1188" i="1"/>
  <c r="O1188" i="1"/>
  <c r="P1188" i="1"/>
  <c r="Q1188" i="1"/>
  <c r="R1188" i="1"/>
  <c r="S1188" i="1"/>
  <c r="T1188" i="1"/>
  <c r="U1188" i="1"/>
  <c r="V1188" i="1"/>
  <c r="W1188" i="1"/>
  <c r="X1188" i="1"/>
  <c r="Y1188" i="1"/>
  <c r="Z1188" i="1"/>
  <c r="AA1188" i="1"/>
  <c r="AB1188" i="1"/>
  <c r="AC1188" i="1"/>
  <c r="AD1188" i="1"/>
  <c r="AE1188" i="1"/>
  <c r="AF1188" i="1"/>
  <c r="AG1188" i="1"/>
  <c r="AH1188" i="1"/>
  <c r="AI1188" i="1"/>
  <c r="AJ1188" i="1"/>
  <c r="AQ1188" i="1"/>
  <c r="AR1188" i="1"/>
  <c r="AS1188" i="1"/>
  <c r="L1189" i="1"/>
  <c r="M1189" i="1"/>
  <c r="N1189" i="1"/>
  <c r="O1189" i="1"/>
  <c r="P1189" i="1"/>
  <c r="Q1189" i="1"/>
  <c r="R1189" i="1"/>
  <c r="S1189" i="1"/>
  <c r="T1189" i="1"/>
  <c r="U1189" i="1"/>
  <c r="V1189" i="1"/>
  <c r="W1189" i="1"/>
  <c r="X1189" i="1"/>
  <c r="Y1189" i="1"/>
  <c r="Z1189" i="1"/>
  <c r="AA1189" i="1"/>
  <c r="AB1189" i="1"/>
  <c r="AC1189" i="1"/>
  <c r="AD1189" i="1"/>
  <c r="AE1189" i="1"/>
  <c r="AF1189" i="1"/>
  <c r="AG1189" i="1"/>
  <c r="AH1189" i="1"/>
  <c r="AI1189" i="1"/>
  <c r="AJ1189" i="1"/>
  <c r="AQ1189" i="1"/>
  <c r="AR1189" i="1"/>
  <c r="AS1189" i="1"/>
  <c r="L1190" i="1"/>
  <c r="M1190" i="1"/>
  <c r="N1190" i="1"/>
  <c r="O1190" i="1"/>
  <c r="P1190" i="1"/>
  <c r="Q1190" i="1"/>
  <c r="R1190" i="1"/>
  <c r="S1190" i="1"/>
  <c r="T1190" i="1"/>
  <c r="U1190" i="1"/>
  <c r="V1190" i="1"/>
  <c r="W1190" i="1"/>
  <c r="X1190" i="1"/>
  <c r="Y1190" i="1"/>
  <c r="Z1190" i="1"/>
  <c r="AA1190" i="1"/>
  <c r="AB1190" i="1"/>
  <c r="AC1190" i="1"/>
  <c r="AD1190" i="1"/>
  <c r="AE1190" i="1"/>
  <c r="AF1190" i="1"/>
  <c r="AG1190" i="1"/>
  <c r="AH1190" i="1"/>
  <c r="AI1190" i="1"/>
  <c r="AJ1190" i="1"/>
  <c r="AQ1190" i="1"/>
  <c r="AR1190" i="1"/>
  <c r="AS1190" i="1"/>
  <c r="L1191" i="1"/>
  <c r="M1191" i="1"/>
  <c r="N1191" i="1"/>
  <c r="O1191" i="1"/>
  <c r="P1191" i="1"/>
  <c r="Q1191" i="1"/>
  <c r="R1191" i="1"/>
  <c r="S1191" i="1"/>
  <c r="T1191" i="1"/>
  <c r="U1191" i="1"/>
  <c r="V1191" i="1"/>
  <c r="W1191" i="1"/>
  <c r="X1191" i="1"/>
  <c r="Y1191" i="1"/>
  <c r="Z1191" i="1"/>
  <c r="AA1191" i="1"/>
  <c r="AB1191" i="1"/>
  <c r="AC1191" i="1"/>
  <c r="AD1191" i="1"/>
  <c r="AE1191" i="1"/>
  <c r="AF1191" i="1"/>
  <c r="AG1191" i="1"/>
  <c r="AH1191" i="1"/>
  <c r="AI1191" i="1"/>
  <c r="AJ1191" i="1"/>
  <c r="AQ1191" i="1"/>
  <c r="AR1191" i="1"/>
  <c r="AS1191" i="1"/>
  <c r="L1192" i="1"/>
  <c r="M1192" i="1"/>
  <c r="N1192" i="1"/>
  <c r="O1192" i="1"/>
  <c r="P1192" i="1"/>
  <c r="Q1192" i="1"/>
  <c r="R1192" i="1"/>
  <c r="S1192" i="1"/>
  <c r="T1192" i="1"/>
  <c r="U1192" i="1"/>
  <c r="V1192" i="1"/>
  <c r="W1192" i="1"/>
  <c r="X1192" i="1"/>
  <c r="Y1192" i="1"/>
  <c r="Z1192" i="1"/>
  <c r="AA1192" i="1"/>
  <c r="AB1192" i="1"/>
  <c r="AC1192" i="1"/>
  <c r="AD1192" i="1"/>
  <c r="AE1192" i="1"/>
  <c r="AF1192" i="1"/>
  <c r="AG1192" i="1"/>
  <c r="AH1192" i="1"/>
  <c r="AI1192" i="1"/>
  <c r="AJ1192" i="1"/>
  <c r="AQ1192" i="1"/>
  <c r="AR1192" i="1"/>
  <c r="AS1192" i="1"/>
  <c r="L1193" i="1"/>
  <c r="M1193" i="1"/>
  <c r="N1193" i="1"/>
  <c r="O1193" i="1"/>
  <c r="P1193" i="1"/>
  <c r="Q1193" i="1"/>
  <c r="R1193" i="1"/>
  <c r="S1193" i="1"/>
  <c r="T1193" i="1"/>
  <c r="U1193" i="1"/>
  <c r="V1193" i="1"/>
  <c r="W1193" i="1"/>
  <c r="X1193" i="1"/>
  <c r="Y1193" i="1"/>
  <c r="Z1193" i="1"/>
  <c r="AA1193" i="1"/>
  <c r="AB1193" i="1"/>
  <c r="AC1193" i="1"/>
  <c r="AD1193" i="1"/>
  <c r="AE1193" i="1"/>
  <c r="AF1193" i="1"/>
  <c r="AG1193" i="1"/>
  <c r="AH1193" i="1"/>
  <c r="AI1193" i="1"/>
  <c r="AJ1193" i="1"/>
  <c r="AQ1193" i="1"/>
  <c r="AR1193" i="1"/>
  <c r="AS1193" i="1"/>
  <c r="L1194" i="1"/>
  <c r="M1194" i="1"/>
  <c r="N1194" i="1"/>
  <c r="O1194" i="1"/>
  <c r="P1194" i="1"/>
  <c r="Q1194" i="1"/>
  <c r="R1194" i="1"/>
  <c r="S1194" i="1"/>
  <c r="T1194" i="1"/>
  <c r="U1194" i="1"/>
  <c r="V1194" i="1"/>
  <c r="W1194" i="1"/>
  <c r="X1194" i="1"/>
  <c r="Y1194" i="1"/>
  <c r="Z1194" i="1"/>
  <c r="AA1194" i="1"/>
  <c r="AB1194" i="1"/>
  <c r="AC1194" i="1"/>
  <c r="AD1194" i="1"/>
  <c r="AE1194" i="1"/>
  <c r="AF1194" i="1"/>
  <c r="AG1194" i="1"/>
  <c r="AH1194" i="1"/>
  <c r="AI1194" i="1"/>
  <c r="AJ1194" i="1"/>
  <c r="AQ1194" i="1"/>
  <c r="AR1194" i="1"/>
  <c r="AS1194" i="1"/>
  <c r="L1195" i="1"/>
  <c r="M1195" i="1"/>
  <c r="N1195" i="1"/>
  <c r="O1195" i="1"/>
  <c r="P1195" i="1"/>
  <c r="Q1195" i="1"/>
  <c r="R1195" i="1"/>
  <c r="S1195" i="1"/>
  <c r="T1195" i="1"/>
  <c r="U1195" i="1"/>
  <c r="V1195" i="1"/>
  <c r="W1195" i="1"/>
  <c r="X1195" i="1"/>
  <c r="Y1195" i="1"/>
  <c r="Z1195" i="1"/>
  <c r="AA1195" i="1"/>
  <c r="AB1195" i="1"/>
  <c r="AC1195" i="1"/>
  <c r="AD1195" i="1"/>
  <c r="AE1195" i="1"/>
  <c r="AF1195" i="1"/>
  <c r="AG1195" i="1"/>
  <c r="AH1195" i="1"/>
  <c r="AI1195" i="1"/>
  <c r="AJ1195" i="1"/>
  <c r="AQ1195" i="1"/>
  <c r="AR1195" i="1"/>
  <c r="AS1195" i="1"/>
  <c r="L1196" i="1"/>
  <c r="M1196" i="1"/>
  <c r="N1196" i="1"/>
  <c r="O1196" i="1"/>
  <c r="P1196" i="1"/>
  <c r="Q1196" i="1"/>
  <c r="R1196" i="1"/>
  <c r="S1196" i="1"/>
  <c r="T1196" i="1"/>
  <c r="U1196" i="1"/>
  <c r="V1196" i="1"/>
  <c r="W1196" i="1"/>
  <c r="X1196" i="1"/>
  <c r="Y1196" i="1"/>
  <c r="Z1196" i="1"/>
  <c r="AA1196" i="1"/>
  <c r="AB1196" i="1"/>
  <c r="AC1196" i="1"/>
  <c r="AD1196" i="1"/>
  <c r="AE1196" i="1"/>
  <c r="AF1196" i="1"/>
  <c r="AG1196" i="1"/>
  <c r="AH1196" i="1"/>
  <c r="AI1196" i="1"/>
  <c r="AJ1196" i="1"/>
  <c r="AQ1196" i="1"/>
  <c r="AR1196" i="1"/>
  <c r="AS1196" i="1"/>
  <c r="L1197" i="1"/>
  <c r="M1197" i="1"/>
  <c r="N1197" i="1"/>
  <c r="O1197" i="1"/>
  <c r="P1197" i="1"/>
  <c r="Q1197" i="1"/>
  <c r="R1197" i="1"/>
  <c r="S1197" i="1"/>
  <c r="T1197" i="1"/>
  <c r="U1197" i="1"/>
  <c r="V1197" i="1"/>
  <c r="W1197" i="1"/>
  <c r="X1197" i="1"/>
  <c r="Y1197" i="1"/>
  <c r="Z1197" i="1"/>
  <c r="AA1197" i="1"/>
  <c r="AB1197" i="1"/>
  <c r="AC1197" i="1"/>
  <c r="AD1197" i="1"/>
  <c r="AE1197" i="1"/>
  <c r="AF1197" i="1"/>
  <c r="AG1197" i="1"/>
  <c r="AH1197" i="1"/>
  <c r="AI1197" i="1"/>
  <c r="AJ1197" i="1"/>
  <c r="AQ1197" i="1"/>
  <c r="AR1197" i="1"/>
  <c r="AS1197" i="1"/>
  <c r="L1198" i="1"/>
  <c r="M1198" i="1"/>
  <c r="N1198" i="1"/>
  <c r="O1198" i="1"/>
  <c r="P1198" i="1"/>
  <c r="Q1198" i="1"/>
  <c r="R1198" i="1"/>
  <c r="S1198" i="1"/>
  <c r="T1198" i="1"/>
  <c r="U1198" i="1"/>
  <c r="V1198" i="1"/>
  <c r="W1198" i="1"/>
  <c r="X1198" i="1"/>
  <c r="Y1198" i="1"/>
  <c r="Z1198" i="1"/>
  <c r="AA1198" i="1"/>
  <c r="AB1198" i="1"/>
  <c r="AC1198" i="1"/>
  <c r="AD1198" i="1"/>
  <c r="AE1198" i="1"/>
  <c r="AF1198" i="1"/>
  <c r="AG1198" i="1"/>
  <c r="AH1198" i="1"/>
  <c r="AI1198" i="1"/>
  <c r="AJ1198" i="1"/>
  <c r="AQ1198" i="1"/>
  <c r="AR1198" i="1"/>
  <c r="AS1198" i="1"/>
  <c r="L1199" i="1"/>
  <c r="M1199" i="1"/>
  <c r="N1199" i="1"/>
  <c r="O1199" i="1"/>
  <c r="P1199" i="1"/>
  <c r="Q1199" i="1"/>
  <c r="R1199" i="1"/>
  <c r="S1199" i="1"/>
  <c r="T1199" i="1"/>
  <c r="U1199" i="1"/>
  <c r="V1199" i="1"/>
  <c r="W1199" i="1"/>
  <c r="X1199" i="1"/>
  <c r="Y1199" i="1"/>
  <c r="Z1199" i="1"/>
  <c r="AA1199" i="1"/>
  <c r="AB1199" i="1"/>
  <c r="AC1199" i="1"/>
  <c r="AD1199" i="1"/>
  <c r="AE1199" i="1"/>
  <c r="AF1199" i="1"/>
  <c r="AG1199" i="1"/>
  <c r="AH1199" i="1"/>
  <c r="AI1199" i="1"/>
  <c r="AJ1199" i="1"/>
  <c r="AQ1199" i="1"/>
  <c r="AR1199" i="1"/>
  <c r="AS1199" i="1"/>
  <c r="L1200" i="1"/>
  <c r="M1200" i="1"/>
  <c r="N1200" i="1"/>
  <c r="O1200" i="1"/>
  <c r="P1200" i="1"/>
  <c r="Q1200" i="1"/>
  <c r="R1200" i="1"/>
  <c r="S1200" i="1"/>
  <c r="T1200" i="1"/>
  <c r="U1200" i="1"/>
  <c r="V1200" i="1"/>
  <c r="W1200" i="1"/>
  <c r="X1200" i="1"/>
  <c r="Y1200" i="1"/>
  <c r="Z1200" i="1"/>
  <c r="AA1200" i="1"/>
  <c r="AB1200" i="1"/>
  <c r="AC1200" i="1"/>
  <c r="AD1200" i="1"/>
  <c r="AE1200" i="1"/>
  <c r="AF1200" i="1"/>
  <c r="AG1200" i="1"/>
  <c r="AH1200" i="1"/>
  <c r="AI1200" i="1"/>
  <c r="AJ1200" i="1"/>
  <c r="AQ1200" i="1"/>
  <c r="AR1200" i="1"/>
  <c r="AS1200" i="1"/>
  <c r="L1201" i="1"/>
  <c r="M1201" i="1"/>
  <c r="N1201" i="1"/>
  <c r="O1201" i="1"/>
  <c r="P1201" i="1"/>
  <c r="Q1201" i="1"/>
  <c r="R1201" i="1"/>
  <c r="S1201" i="1"/>
  <c r="T1201" i="1"/>
  <c r="U1201" i="1"/>
  <c r="V1201" i="1"/>
  <c r="W1201" i="1"/>
  <c r="X1201" i="1"/>
  <c r="Y1201" i="1"/>
  <c r="Z1201" i="1"/>
  <c r="AA1201" i="1"/>
  <c r="AB1201" i="1"/>
  <c r="AC1201" i="1"/>
  <c r="AD1201" i="1"/>
  <c r="AE1201" i="1"/>
  <c r="AF1201" i="1"/>
  <c r="AG1201" i="1"/>
  <c r="AH1201" i="1"/>
  <c r="AI1201" i="1"/>
  <c r="AJ1201" i="1"/>
  <c r="AQ1201" i="1"/>
  <c r="AR1201" i="1"/>
  <c r="AS1201" i="1"/>
  <c r="L1202" i="1"/>
  <c r="M1202" i="1"/>
  <c r="N1202" i="1"/>
  <c r="O1202" i="1"/>
  <c r="P1202" i="1"/>
  <c r="Q1202" i="1"/>
  <c r="R1202" i="1"/>
  <c r="S1202" i="1"/>
  <c r="T1202" i="1"/>
  <c r="U1202" i="1"/>
  <c r="V1202" i="1"/>
  <c r="W1202" i="1"/>
  <c r="X1202" i="1"/>
  <c r="Y1202" i="1"/>
  <c r="Z1202" i="1"/>
  <c r="AA1202" i="1"/>
  <c r="AB1202" i="1"/>
  <c r="AC1202" i="1"/>
  <c r="AD1202" i="1"/>
  <c r="AE1202" i="1"/>
  <c r="AF1202" i="1"/>
  <c r="AG1202" i="1"/>
  <c r="AH1202" i="1"/>
  <c r="AI1202" i="1"/>
  <c r="AJ1202" i="1"/>
  <c r="AQ1202" i="1"/>
  <c r="AR1202" i="1"/>
  <c r="AS1202" i="1"/>
  <c r="L1203" i="1"/>
  <c r="M1203" i="1"/>
  <c r="N1203" i="1"/>
  <c r="O1203" i="1"/>
  <c r="P1203" i="1"/>
  <c r="Q1203" i="1"/>
  <c r="R1203" i="1"/>
  <c r="S1203" i="1"/>
  <c r="T1203" i="1"/>
  <c r="U1203" i="1"/>
  <c r="V1203" i="1"/>
  <c r="W1203" i="1"/>
  <c r="X1203" i="1"/>
  <c r="Y1203" i="1"/>
  <c r="Z1203" i="1"/>
  <c r="AA1203" i="1"/>
  <c r="AB1203" i="1"/>
  <c r="AC1203" i="1"/>
  <c r="AD1203" i="1"/>
  <c r="AE1203" i="1"/>
  <c r="AF1203" i="1"/>
  <c r="AG1203" i="1"/>
  <c r="AH1203" i="1"/>
  <c r="AI1203" i="1"/>
  <c r="AJ1203" i="1"/>
  <c r="AQ1203" i="1"/>
  <c r="AR1203" i="1"/>
  <c r="AS1203" i="1"/>
  <c r="L1204" i="1"/>
  <c r="M1204" i="1"/>
  <c r="N1204" i="1"/>
  <c r="O1204" i="1"/>
  <c r="P1204" i="1"/>
  <c r="Q1204" i="1"/>
  <c r="R1204" i="1"/>
  <c r="S1204" i="1"/>
  <c r="T1204" i="1"/>
  <c r="U1204" i="1"/>
  <c r="V1204" i="1"/>
  <c r="W1204" i="1"/>
  <c r="X1204" i="1"/>
  <c r="Y1204" i="1"/>
  <c r="Z1204" i="1"/>
  <c r="AA1204" i="1"/>
  <c r="AB1204" i="1"/>
  <c r="AC1204" i="1"/>
  <c r="AD1204" i="1"/>
  <c r="AE1204" i="1"/>
  <c r="AF1204" i="1"/>
  <c r="AG1204" i="1"/>
  <c r="AH1204" i="1"/>
  <c r="AI1204" i="1"/>
  <c r="AJ1204" i="1"/>
  <c r="AQ1204" i="1"/>
  <c r="AR1204" i="1"/>
  <c r="AS1204" i="1"/>
  <c r="L1205" i="1"/>
  <c r="M1205" i="1"/>
  <c r="N1205" i="1"/>
  <c r="O1205" i="1"/>
  <c r="P1205" i="1"/>
  <c r="Q1205" i="1"/>
  <c r="R1205" i="1"/>
  <c r="S1205" i="1"/>
  <c r="T1205" i="1"/>
  <c r="U1205" i="1"/>
  <c r="V1205" i="1"/>
  <c r="W1205" i="1"/>
  <c r="X1205" i="1"/>
  <c r="Y1205" i="1"/>
  <c r="Z1205" i="1"/>
  <c r="AA1205" i="1"/>
  <c r="AB1205" i="1"/>
  <c r="AC1205" i="1"/>
  <c r="AD1205" i="1"/>
  <c r="AE1205" i="1"/>
  <c r="AF1205" i="1"/>
  <c r="AG1205" i="1"/>
  <c r="AH1205" i="1"/>
  <c r="AI1205" i="1"/>
  <c r="AJ1205" i="1"/>
  <c r="AQ1205" i="1"/>
  <c r="AR1205" i="1"/>
  <c r="AS1205" i="1"/>
  <c r="L1206" i="1"/>
  <c r="M1206" i="1"/>
  <c r="N1206" i="1"/>
  <c r="O1206" i="1"/>
  <c r="P1206" i="1"/>
  <c r="Q1206" i="1"/>
  <c r="R1206" i="1"/>
  <c r="S1206" i="1"/>
  <c r="T1206" i="1"/>
  <c r="U1206" i="1"/>
  <c r="V1206" i="1"/>
  <c r="W1206" i="1"/>
  <c r="X1206" i="1"/>
  <c r="Y1206" i="1"/>
  <c r="Z1206" i="1"/>
  <c r="AA1206" i="1"/>
  <c r="AB1206" i="1"/>
  <c r="AC1206" i="1"/>
  <c r="AD1206" i="1"/>
  <c r="AE1206" i="1"/>
  <c r="AF1206" i="1"/>
  <c r="AG1206" i="1"/>
  <c r="AH1206" i="1"/>
  <c r="AI1206" i="1"/>
  <c r="AJ1206" i="1"/>
  <c r="AQ1206" i="1"/>
  <c r="AR1206" i="1"/>
  <c r="AS1206" i="1"/>
  <c r="L1207" i="1"/>
  <c r="M1207" i="1"/>
  <c r="N1207" i="1"/>
  <c r="O1207" i="1"/>
  <c r="P1207" i="1"/>
  <c r="Q1207" i="1"/>
  <c r="R1207" i="1"/>
  <c r="S1207" i="1"/>
  <c r="T1207" i="1"/>
  <c r="U1207" i="1"/>
  <c r="V1207" i="1"/>
  <c r="W1207" i="1"/>
  <c r="X1207" i="1"/>
  <c r="Y1207" i="1"/>
  <c r="Z1207" i="1"/>
  <c r="AA1207" i="1"/>
  <c r="AB1207" i="1"/>
  <c r="AC1207" i="1"/>
  <c r="AD1207" i="1"/>
  <c r="AE1207" i="1"/>
  <c r="AF1207" i="1"/>
  <c r="AG1207" i="1"/>
  <c r="AH1207" i="1"/>
  <c r="AI1207" i="1"/>
  <c r="AJ1207" i="1"/>
  <c r="AQ1207" i="1"/>
  <c r="AR1207" i="1"/>
  <c r="AS1207" i="1"/>
  <c r="L1208" i="1"/>
  <c r="M1208" i="1"/>
  <c r="N1208" i="1"/>
  <c r="O1208" i="1"/>
  <c r="P1208" i="1"/>
  <c r="Q1208" i="1"/>
  <c r="R1208" i="1"/>
  <c r="S1208" i="1"/>
  <c r="T1208" i="1"/>
  <c r="U1208" i="1"/>
  <c r="V1208" i="1"/>
  <c r="W1208" i="1"/>
  <c r="X1208" i="1"/>
  <c r="Y1208" i="1"/>
  <c r="Z1208" i="1"/>
  <c r="AA1208" i="1"/>
  <c r="AB1208" i="1"/>
  <c r="AC1208" i="1"/>
  <c r="AD1208" i="1"/>
  <c r="AE1208" i="1"/>
  <c r="AF1208" i="1"/>
  <c r="AG1208" i="1"/>
  <c r="AH1208" i="1"/>
  <c r="AI1208" i="1"/>
  <c r="AJ1208" i="1"/>
  <c r="AQ1208" i="1"/>
  <c r="AR1208" i="1"/>
  <c r="AS1208" i="1"/>
  <c r="L1209" i="1"/>
  <c r="M1209" i="1"/>
  <c r="N1209" i="1"/>
  <c r="O1209" i="1"/>
  <c r="P1209" i="1"/>
  <c r="Q1209" i="1"/>
  <c r="R1209" i="1"/>
  <c r="S1209" i="1"/>
  <c r="T1209" i="1"/>
  <c r="U1209" i="1"/>
  <c r="V1209" i="1"/>
  <c r="W1209" i="1"/>
  <c r="X1209" i="1"/>
  <c r="Y1209" i="1"/>
  <c r="Z1209" i="1"/>
  <c r="AA1209" i="1"/>
  <c r="AB1209" i="1"/>
  <c r="AC1209" i="1"/>
  <c r="AD1209" i="1"/>
  <c r="AE1209" i="1"/>
  <c r="AF1209" i="1"/>
  <c r="AG1209" i="1"/>
  <c r="AH1209" i="1"/>
  <c r="AI1209" i="1"/>
  <c r="AJ1209" i="1"/>
  <c r="AQ1209" i="1"/>
  <c r="AR1209" i="1"/>
  <c r="AS1209" i="1"/>
  <c r="L1210" i="1"/>
  <c r="M1210" i="1"/>
  <c r="N1210" i="1"/>
  <c r="O1210" i="1"/>
  <c r="P1210" i="1"/>
  <c r="Q1210" i="1"/>
  <c r="R1210" i="1"/>
  <c r="S1210" i="1"/>
  <c r="T1210" i="1"/>
  <c r="U1210" i="1"/>
  <c r="V1210" i="1"/>
  <c r="W1210" i="1"/>
  <c r="X1210" i="1"/>
  <c r="Y1210" i="1"/>
  <c r="Z1210" i="1"/>
  <c r="AA1210" i="1"/>
  <c r="AB1210" i="1"/>
  <c r="AC1210" i="1"/>
  <c r="AD1210" i="1"/>
  <c r="AE1210" i="1"/>
  <c r="AF1210" i="1"/>
  <c r="AG1210" i="1"/>
  <c r="AH1210" i="1"/>
  <c r="AI1210" i="1"/>
  <c r="AJ1210" i="1"/>
  <c r="AQ1210" i="1"/>
  <c r="AR1210" i="1"/>
  <c r="AS1210" i="1"/>
  <c r="L1211" i="1"/>
  <c r="M1211" i="1"/>
  <c r="N1211" i="1"/>
  <c r="O1211" i="1"/>
  <c r="P1211" i="1"/>
  <c r="Q1211" i="1"/>
  <c r="R1211" i="1"/>
  <c r="S1211" i="1"/>
  <c r="T1211" i="1"/>
  <c r="U1211" i="1"/>
  <c r="V1211" i="1"/>
  <c r="W1211" i="1"/>
  <c r="X1211" i="1"/>
  <c r="Y1211" i="1"/>
  <c r="Z1211" i="1"/>
  <c r="AA1211" i="1"/>
  <c r="AB1211" i="1"/>
  <c r="AC1211" i="1"/>
  <c r="AD1211" i="1"/>
  <c r="AE1211" i="1"/>
  <c r="AF1211" i="1"/>
  <c r="AG1211" i="1"/>
  <c r="AH1211" i="1"/>
  <c r="AI1211" i="1"/>
  <c r="AJ1211" i="1"/>
  <c r="AQ1211" i="1"/>
  <c r="AR1211" i="1"/>
  <c r="AS1211" i="1"/>
  <c r="L1212" i="1"/>
  <c r="M1212" i="1"/>
  <c r="N1212" i="1"/>
  <c r="O1212" i="1"/>
  <c r="P1212" i="1"/>
  <c r="Q1212" i="1"/>
  <c r="R1212" i="1"/>
  <c r="S1212" i="1"/>
  <c r="T1212" i="1"/>
  <c r="U1212" i="1"/>
  <c r="V1212" i="1"/>
  <c r="W1212" i="1"/>
  <c r="X1212" i="1"/>
  <c r="Y1212" i="1"/>
  <c r="Z1212" i="1"/>
  <c r="AA1212" i="1"/>
  <c r="AB1212" i="1"/>
  <c r="AC1212" i="1"/>
  <c r="AD1212" i="1"/>
  <c r="AE1212" i="1"/>
  <c r="AF1212" i="1"/>
  <c r="AG1212" i="1"/>
  <c r="AH1212" i="1"/>
  <c r="AI1212" i="1"/>
  <c r="AJ1212" i="1"/>
  <c r="AQ1212" i="1"/>
  <c r="AR1212" i="1"/>
  <c r="AS1212" i="1"/>
  <c r="L1213" i="1"/>
  <c r="M1213" i="1"/>
  <c r="N1213" i="1"/>
  <c r="O1213" i="1"/>
  <c r="P1213" i="1"/>
  <c r="Q1213" i="1"/>
  <c r="R1213" i="1"/>
  <c r="S1213" i="1"/>
  <c r="T1213" i="1"/>
  <c r="U1213" i="1"/>
  <c r="V1213" i="1"/>
  <c r="W1213" i="1"/>
  <c r="X1213" i="1"/>
  <c r="Y1213" i="1"/>
  <c r="Z1213" i="1"/>
  <c r="AA1213" i="1"/>
  <c r="AB1213" i="1"/>
  <c r="AC1213" i="1"/>
  <c r="AD1213" i="1"/>
  <c r="AE1213" i="1"/>
  <c r="AF1213" i="1"/>
  <c r="AG1213" i="1"/>
  <c r="AH1213" i="1"/>
  <c r="AI1213" i="1"/>
  <c r="AJ1213" i="1"/>
  <c r="AQ1213" i="1"/>
  <c r="AR1213" i="1"/>
  <c r="AS1213" i="1"/>
  <c r="L1214" i="1"/>
  <c r="M1214" i="1"/>
  <c r="N1214" i="1"/>
  <c r="O1214" i="1"/>
  <c r="P1214" i="1"/>
  <c r="Q1214" i="1"/>
  <c r="R1214" i="1"/>
  <c r="S1214" i="1"/>
  <c r="T1214" i="1"/>
  <c r="U1214" i="1"/>
  <c r="V1214" i="1"/>
  <c r="W1214" i="1"/>
  <c r="X1214" i="1"/>
  <c r="Y1214" i="1"/>
  <c r="Z1214" i="1"/>
  <c r="AA1214" i="1"/>
  <c r="AB1214" i="1"/>
  <c r="AC1214" i="1"/>
  <c r="AD1214" i="1"/>
  <c r="AE1214" i="1"/>
  <c r="AF1214" i="1"/>
  <c r="AG1214" i="1"/>
  <c r="AH1214" i="1"/>
  <c r="AI1214" i="1"/>
  <c r="AJ1214" i="1"/>
  <c r="AQ1214" i="1"/>
  <c r="AR1214" i="1"/>
  <c r="AS1214" i="1"/>
  <c r="L1215" i="1"/>
  <c r="M1215" i="1"/>
  <c r="N1215" i="1"/>
  <c r="O1215" i="1"/>
  <c r="P1215" i="1"/>
  <c r="Q1215" i="1"/>
  <c r="R1215" i="1"/>
  <c r="S1215" i="1"/>
  <c r="T1215" i="1"/>
  <c r="U1215" i="1"/>
  <c r="V1215" i="1"/>
  <c r="W1215" i="1"/>
  <c r="X1215" i="1"/>
  <c r="Y1215" i="1"/>
  <c r="Z1215" i="1"/>
  <c r="AA1215" i="1"/>
  <c r="AB1215" i="1"/>
  <c r="AC1215" i="1"/>
  <c r="AD1215" i="1"/>
  <c r="AE1215" i="1"/>
  <c r="AF1215" i="1"/>
  <c r="AG1215" i="1"/>
  <c r="AH1215" i="1"/>
  <c r="AI1215" i="1"/>
  <c r="AJ1215" i="1"/>
  <c r="AQ1215" i="1"/>
  <c r="AR1215" i="1"/>
  <c r="AS1215" i="1"/>
  <c r="L1216" i="1"/>
  <c r="M1216" i="1"/>
  <c r="N1216" i="1"/>
  <c r="O1216" i="1"/>
  <c r="P1216" i="1"/>
  <c r="Q1216" i="1"/>
  <c r="R1216" i="1"/>
  <c r="S1216" i="1"/>
  <c r="T1216" i="1"/>
  <c r="U1216" i="1"/>
  <c r="V1216" i="1"/>
  <c r="W1216" i="1"/>
  <c r="X1216" i="1"/>
  <c r="Y1216" i="1"/>
  <c r="Z1216" i="1"/>
  <c r="AA1216" i="1"/>
  <c r="AB1216" i="1"/>
  <c r="AC1216" i="1"/>
  <c r="AD1216" i="1"/>
  <c r="AE1216" i="1"/>
  <c r="AF1216" i="1"/>
  <c r="AG1216" i="1"/>
  <c r="AH1216" i="1"/>
  <c r="AI1216" i="1"/>
  <c r="AJ1216" i="1"/>
  <c r="AQ1216" i="1"/>
  <c r="AR1216" i="1"/>
  <c r="AS1216" i="1"/>
  <c r="L1217" i="1"/>
  <c r="M1217" i="1"/>
  <c r="N1217" i="1"/>
  <c r="O1217" i="1"/>
  <c r="P1217" i="1"/>
  <c r="Q1217" i="1"/>
  <c r="R1217" i="1"/>
  <c r="S1217" i="1"/>
  <c r="T1217" i="1"/>
  <c r="U1217" i="1"/>
  <c r="V1217" i="1"/>
  <c r="W1217" i="1"/>
  <c r="X1217" i="1"/>
  <c r="Y1217" i="1"/>
  <c r="Z1217" i="1"/>
  <c r="AA1217" i="1"/>
  <c r="AB1217" i="1"/>
  <c r="AC1217" i="1"/>
  <c r="AD1217" i="1"/>
  <c r="AE1217" i="1"/>
  <c r="AF1217" i="1"/>
  <c r="AG1217" i="1"/>
  <c r="AH1217" i="1"/>
  <c r="AI1217" i="1"/>
  <c r="AJ1217" i="1"/>
  <c r="AQ1217" i="1"/>
  <c r="AR1217" i="1"/>
  <c r="AS1217" i="1"/>
  <c r="L1218" i="1"/>
  <c r="M1218" i="1"/>
  <c r="N1218" i="1"/>
  <c r="O1218" i="1"/>
  <c r="P1218" i="1"/>
  <c r="Q1218" i="1"/>
  <c r="R1218" i="1"/>
  <c r="S1218" i="1"/>
  <c r="T1218" i="1"/>
  <c r="U1218" i="1"/>
  <c r="V1218" i="1"/>
  <c r="W1218" i="1"/>
  <c r="X1218" i="1"/>
  <c r="Y1218" i="1"/>
  <c r="Z1218" i="1"/>
  <c r="AA1218" i="1"/>
  <c r="AB1218" i="1"/>
  <c r="AC1218" i="1"/>
  <c r="AD1218" i="1"/>
  <c r="AE1218" i="1"/>
  <c r="AF1218" i="1"/>
  <c r="AG1218" i="1"/>
  <c r="AH1218" i="1"/>
  <c r="AI1218" i="1"/>
  <c r="AJ1218" i="1"/>
  <c r="AQ1218" i="1"/>
  <c r="AR1218" i="1"/>
  <c r="AS1218" i="1"/>
  <c r="L1219" i="1"/>
  <c r="M1219" i="1"/>
  <c r="N1219" i="1"/>
  <c r="O1219" i="1"/>
  <c r="P1219" i="1"/>
  <c r="Q1219" i="1"/>
  <c r="R1219" i="1"/>
  <c r="S1219" i="1"/>
  <c r="T1219" i="1"/>
  <c r="U1219" i="1"/>
  <c r="V1219" i="1"/>
  <c r="W1219" i="1"/>
  <c r="X1219" i="1"/>
  <c r="Y1219" i="1"/>
  <c r="Z1219" i="1"/>
  <c r="AA1219" i="1"/>
  <c r="AB1219" i="1"/>
  <c r="AC1219" i="1"/>
  <c r="AD1219" i="1"/>
  <c r="AE1219" i="1"/>
  <c r="AF1219" i="1"/>
  <c r="AG1219" i="1"/>
  <c r="AH1219" i="1"/>
  <c r="AI1219" i="1"/>
  <c r="AJ1219" i="1"/>
  <c r="AQ1219" i="1"/>
  <c r="AR1219" i="1"/>
  <c r="AS1219" i="1"/>
  <c r="L1220" i="1"/>
  <c r="M1220" i="1"/>
  <c r="N1220" i="1"/>
  <c r="O1220" i="1"/>
  <c r="P1220" i="1"/>
  <c r="Q1220" i="1"/>
  <c r="R1220" i="1"/>
  <c r="S1220" i="1"/>
  <c r="T1220" i="1"/>
  <c r="U1220" i="1"/>
  <c r="V1220" i="1"/>
  <c r="W1220" i="1"/>
  <c r="X1220" i="1"/>
  <c r="Y1220" i="1"/>
  <c r="Z1220" i="1"/>
  <c r="AA1220" i="1"/>
  <c r="AB1220" i="1"/>
  <c r="AC1220" i="1"/>
  <c r="AD1220" i="1"/>
  <c r="AE1220" i="1"/>
  <c r="AF1220" i="1"/>
  <c r="AG1220" i="1"/>
  <c r="AH1220" i="1"/>
  <c r="AI1220" i="1"/>
  <c r="AJ1220" i="1"/>
  <c r="AQ1220" i="1"/>
  <c r="AR1220" i="1"/>
  <c r="AS1220" i="1"/>
  <c r="L1221" i="1"/>
  <c r="M1221" i="1"/>
  <c r="N1221" i="1"/>
  <c r="O1221" i="1"/>
  <c r="P1221" i="1"/>
  <c r="Q1221" i="1"/>
  <c r="R1221" i="1"/>
  <c r="S1221" i="1"/>
  <c r="T1221" i="1"/>
  <c r="U1221" i="1"/>
  <c r="V1221" i="1"/>
  <c r="W1221" i="1"/>
  <c r="X1221" i="1"/>
  <c r="Y1221" i="1"/>
  <c r="Z1221" i="1"/>
  <c r="AA1221" i="1"/>
  <c r="AB1221" i="1"/>
  <c r="AC1221" i="1"/>
  <c r="AD1221" i="1"/>
  <c r="AE1221" i="1"/>
  <c r="AF1221" i="1"/>
  <c r="AG1221" i="1"/>
  <c r="AH1221" i="1"/>
  <c r="AI1221" i="1"/>
  <c r="AJ1221" i="1"/>
  <c r="AQ1221" i="1"/>
  <c r="AR1221" i="1"/>
  <c r="AS1221" i="1"/>
  <c r="L1222" i="1"/>
  <c r="M1222" i="1"/>
  <c r="N1222" i="1"/>
  <c r="O1222" i="1"/>
  <c r="P1222" i="1"/>
  <c r="Q1222" i="1"/>
  <c r="R1222" i="1"/>
  <c r="S1222" i="1"/>
  <c r="T1222" i="1"/>
  <c r="U1222" i="1"/>
  <c r="V1222" i="1"/>
  <c r="W1222" i="1"/>
  <c r="X1222" i="1"/>
  <c r="Y1222" i="1"/>
  <c r="Z1222" i="1"/>
  <c r="AA1222" i="1"/>
  <c r="AB1222" i="1"/>
  <c r="AC1222" i="1"/>
  <c r="AD1222" i="1"/>
  <c r="AE1222" i="1"/>
  <c r="AF1222" i="1"/>
  <c r="AG1222" i="1"/>
  <c r="AH1222" i="1"/>
  <c r="AI1222" i="1"/>
  <c r="AJ1222" i="1"/>
  <c r="AQ1222" i="1"/>
  <c r="AR1222" i="1"/>
  <c r="AS1222" i="1"/>
  <c r="L1223" i="1"/>
  <c r="M1223" i="1"/>
  <c r="N1223" i="1"/>
  <c r="O1223" i="1"/>
  <c r="P1223" i="1"/>
  <c r="Q1223" i="1"/>
  <c r="R1223" i="1"/>
  <c r="S1223" i="1"/>
  <c r="T1223" i="1"/>
  <c r="U1223" i="1"/>
  <c r="V1223" i="1"/>
  <c r="W1223" i="1"/>
  <c r="X1223" i="1"/>
  <c r="Y1223" i="1"/>
  <c r="Z1223" i="1"/>
  <c r="AA1223" i="1"/>
  <c r="AB1223" i="1"/>
  <c r="AC1223" i="1"/>
  <c r="AD1223" i="1"/>
  <c r="AE1223" i="1"/>
  <c r="AF1223" i="1"/>
  <c r="AG1223" i="1"/>
  <c r="AH1223" i="1"/>
  <c r="AI1223" i="1"/>
  <c r="AJ1223" i="1"/>
  <c r="AQ1223" i="1"/>
  <c r="AR1223" i="1"/>
  <c r="AS1223" i="1"/>
  <c r="L1224" i="1"/>
  <c r="M1224" i="1"/>
  <c r="N1224" i="1"/>
  <c r="O1224" i="1"/>
  <c r="P1224" i="1"/>
  <c r="Q1224" i="1"/>
  <c r="R1224" i="1"/>
  <c r="S1224" i="1"/>
  <c r="T1224" i="1"/>
  <c r="U1224" i="1"/>
  <c r="V1224" i="1"/>
  <c r="W1224" i="1"/>
  <c r="X1224" i="1"/>
  <c r="Y1224" i="1"/>
  <c r="Z1224" i="1"/>
  <c r="AA1224" i="1"/>
  <c r="AB1224" i="1"/>
  <c r="AC1224" i="1"/>
  <c r="AD1224" i="1"/>
  <c r="AE1224" i="1"/>
  <c r="AF1224" i="1"/>
  <c r="AG1224" i="1"/>
  <c r="AH1224" i="1"/>
  <c r="AI1224" i="1"/>
  <c r="AJ1224" i="1"/>
  <c r="AQ1224" i="1"/>
  <c r="AR1224" i="1"/>
  <c r="AS1224" i="1"/>
  <c r="L1225" i="1"/>
  <c r="M1225" i="1"/>
  <c r="N1225" i="1"/>
  <c r="O1225" i="1"/>
  <c r="P1225" i="1"/>
  <c r="Q1225" i="1"/>
  <c r="R1225" i="1"/>
  <c r="S1225" i="1"/>
  <c r="T1225" i="1"/>
  <c r="U1225" i="1"/>
  <c r="V1225" i="1"/>
  <c r="W1225" i="1"/>
  <c r="X1225" i="1"/>
  <c r="Y1225" i="1"/>
  <c r="Z1225" i="1"/>
  <c r="AA1225" i="1"/>
  <c r="AB1225" i="1"/>
  <c r="AC1225" i="1"/>
  <c r="AD1225" i="1"/>
  <c r="AE1225" i="1"/>
  <c r="AF1225" i="1"/>
  <c r="AG1225" i="1"/>
  <c r="AH1225" i="1"/>
  <c r="AI1225" i="1"/>
  <c r="AJ1225" i="1"/>
  <c r="AQ1225" i="1"/>
  <c r="AR1225" i="1"/>
  <c r="AS1225" i="1"/>
  <c r="L1226" i="1"/>
  <c r="M1226" i="1"/>
  <c r="N1226" i="1"/>
  <c r="O1226" i="1"/>
  <c r="P1226" i="1"/>
  <c r="Q1226" i="1"/>
  <c r="R1226" i="1"/>
  <c r="S1226" i="1"/>
  <c r="T1226" i="1"/>
  <c r="U1226" i="1"/>
  <c r="V1226" i="1"/>
  <c r="W1226" i="1"/>
  <c r="X1226" i="1"/>
  <c r="Y1226" i="1"/>
  <c r="Z1226" i="1"/>
  <c r="AA1226" i="1"/>
  <c r="AB1226" i="1"/>
  <c r="AC1226" i="1"/>
  <c r="AD1226" i="1"/>
  <c r="AE1226" i="1"/>
  <c r="AF1226" i="1"/>
  <c r="AG1226" i="1"/>
  <c r="AH1226" i="1"/>
  <c r="AI1226" i="1"/>
  <c r="AJ1226" i="1"/>
  <c r="AQ1226" i="1"/>
  <c r="AR1226" i="1"/>
  <c r="AS1226" i="1"/>
  <c r="L1227" i="1"/>
  <c r="M1227" i="1"/>
  <c r="N1227" i="1"/>
  <c r="O1227" i="1"/>
  <c r="P1227" i="1"/>
  <c r="Q1227" i="1"/>
  <c r="R1227" i="1"/>
  <c r="S1227" i="1"/>
  <c r="T1227" i="1"/>
  <c r="U1227" i="1"/>
  <c r="V1227" i="1"/>
  <c r="W1227" i="1"/>
  <c r="X1227" i="1"/>
  <c r="Y1227" i="1"/>
  <c r="Z1227" i="1"/>
  <c r="AA1227" i="1"/>
  <c r="AB1227" i="1"/>
  <c r="AC1227" i="1"/>
  <c r="AD1227" i="1"/>
  <c r="AE1227" i="1"/>
  <c r="AF1227" i="1"/>
  <c r="AG1227" i="1"/>
  <c r="AH1227" i="1"/>
  <c r="AI1227" i="1"/>
  <c r="AJ1227" i="1"/>
  <c r="AQ1227" i="1"/>
  <c r="AR1227" i="1"/>
  <c r="AS1227" i="1"/>
  <c r="L1228" i="1"/>
  <c r="M1228" i="1"/>
  <c r="N1228" i="1"/>
  <c r="O1228" i="1"/>
  <c r="P1228" i="1"/>
  <c r="Q1228" i="1"/>
  <c r="R1228" i="1"/>
  <c r="S1228" i="1"/>
  <c r="T1228" i="1"/>
  <c r="U1228" i="1"/>
  <c r="V1228" i="1"/>
  <c r="W1228" i="1"/>
  <c r="X1228" i="1"/>
  <c r="Y1228" i="1"/>
  <c r="Z1228" i="1"/>
  <c r="AA1228" i="1"/>
  <c r="AB1228" i="1"/>
  <c r="AC1228" i="1"/>
  <c r="AD1228" i="1"/>
  <c r="AE1228" i="1"/>
  <c r="AF1228" i="1"/>
  <c r="AG1228" i="1"/>
  <c r="AH1228" i="1"/>
  <c r="AI1228" i="1"/>
  <c r="AJ1228" i="1"/>
  <c r="AQ1228" i="1"/>
  <c r="AR1228" i="1"/>
  <c r="AS1228" i="1"/>
  <c r="L1229" i="1"/>
  <c r="M1229" i="1"/>
  <c r="N1229" i="1"/>
  <c r="O1229" i="1"/>
  <c r="P1229" i="1"/>
  <c r="Q1229" i="1"/>
  <c r="R1229" i="1"/>
  <c r="S1229" i="1"/>
  <c r="T1229" i="1"/>
  <c r="U1229" i="1"/>
  <c r="V1229" i="1"/>
  <c r="W1229" i="1"/>
  <c r="X1229" i="1"/>
  <c r="Y1229" i="1"/>
  <c r="Z1229" i="1"/>
  <c r="AA1229" i="1"/>
  <c r="AB1229" i="1"/>
  <c r="AC1229" i="1"/>
  <c r="AD1229" i="1"/>
  <c r="AE1229" i="1"/>
  <c r="AF1229" i="1"/>
  <c r="AG1229" i="1"/>
  <c r="AH1229" i="1"/>
  <c r="AI1229" i="1"/>
  <c r="AJ1229" i="1"/>
  <c r="AQ1229" i="1"/>
  <c r="AR1229" i="1"/>
  <c r="AS1229" i="1"/>
  <c r="L1230" i="1"/>
  <c r="M1230" i="1"/>
  <c r="N1230" i="1"/>
  <c r="O1230" i="1"/>
  <c r="P1230" i="1"/>
  <c r="Q1230" i="1"/>
  <c r="R1230" i="1"/>
  <c r="S1230" i="1"/>
  <c r="T1230" i="1"/>
  <c r="U1230" i="1"/>
  <c r="V1230" i="1"/>
  <c r="W1230" i="1"/>
  <c r="X1230" i="1"/>
  <c r="Y1230" i="1"/>
  <c r="Z1230" i="1"/>
  <c r="AA1230" i="1"/>
  <c r="AB1230" i="1"/>
  <c r="AC1230" i="1"/>
  <c r="AD1230" i="1"/>
  <c r="AE1230" i="1"/>
  <c r="AF1230" i="1"/>
  <c r="AG1230" i="1"/>
  <c r="AH1230" i="1"/>
  <c r="AI1230" i="1"/>
  <c r="AJ1230" i="1"/>
  <c r="AQ1230" i="1"/>
  <c r="AR1230" i="1"/>
  <c r="AS1230" i="1"/>
  <c r="L1231" i="1"/>
  <c r="M1231" i="1"/>
  <c r="N1231" i="1"/>
  <c r="O1231" i="1"/>
  <c r="P1231" i="1"/>
  <c r="Q1231" i="1"/>
  <c r="R1231" i="1"/>
  <c r="S1231" i="1"/>
  <c r="T1231" i="1"/>
  <c r="U1231" i="1"/>
  <c r="V1231" i="1"/>
  <c r="W1231" i="1"/>
  <c r="X1231" i="1"/>
  <c r="Y1231" i="1"/>
  <c r="Z1231" i="1"/>
  <c r="AA1231" i="1"/>
  <c r="AB1231" i="1"/>
  <c r="AC1231" i="1"/>
  <c r="AD1231" i="1"/>
  <c r="AE1231" i="1"/>
  <c r="AF1231" i="1"/>
  <c r="AG1231" i="1"/>
  <c r="AH1231" i="1"/>
  <c r="AI1231" i="1"/>
  <c r="AJ1231" i="1"/>
  <c r="AQ1231" i="1"/>
  <c r="AR1231" i="1"/>
  <c r="AS1231" i="1"/>
  <c r="L1232" i="1"/>
  <c r="M1232" i="1"/>
  <c r="N1232" i="1"/>
  <c r="O1232" i="1"/>
  <c r="P1232" i="1"/>
  <c r="Q1232" i="1"/>
  <c r="R1232" i="1"/>
  <c r="S1232" i="1"/>
  <c r="T1232" i="1"/>
  <c r="U1232" i="1"/>
  <c r="V1232" i="1"/>
  <c r="W1232" i="1"/>
  <c r="X1232" i="1"/>
  <c r="Y1232" i="1"/>
  <c r="Z1232" i="1"/>
  <c r="AA1232" i="1"/>
  <c r="AB1232" i="1"/>
  <c r="AC1232" i="1"/>
  <c r="AD1232" i="1"/>
  <c r="AE1232" i="1"/>
  <c r="AF1232" i="1"/>
  <c r="AG1232" i="1"/>
  <c r="AH1232" i="1"/>
  <c r="AI1232" i="1"/>
  <c r="AJ1232" i="1"/>
  <c r="AQ1232" i="1"/>
  <c r="AR1232" i="1"/>
  <c r="AS1232" i="1"/>
  <c r="L1233" i="1"/>
  <c r="M1233" i="1"/>
  <c r="N1233" i="1"/>
  <c r="O1233" i="1"/>
  <c r="P1233" i="1"/>
  <c r="Q1233" i="1"/>
  <c r="R1233" i="1"/>
  <c r="S1233" i="1"/>
  <c r="T1233" i="1"/>
  <c r="U1233" i="1"/>
  <c r="V1233" i="1"/>
  <c r="W1233" i="1"/>
  <c r="X1233" i="1"/>
  <c r="Y1233" i="1"/>
  <c r="Z1233" i="1"/>
  <c r="AA1233" i="1"/>
  <c r="AB1233" i="1"/>
  <c r="AC1233" i="1"/>
  <c r="AD1233" i="1"/>
  <c r="AE1233" i="1"/>
  <c r="AF1233" i="1"/>
  <c r="AG1233" i="1"/>
  <c r="AH1233" i="1"/>
  <c r="AI1233" i="1"/>
  <c r="AJ1233" i="1"/>
  <c r="AQ1233" i="1"/>
  <c r="AR1233" i="1"/>
  <c r="AS1233" i="1"/>
  <c r="L1234" i="1"/>
  <c r="M1234" i="1"/>
  <c r="N1234" i="1"/>
  <c r="O1234" i="1"/>
  <c r="P1234" i="1"/>
  <c r="Q1234" i="1"/>
  <c r="R1234" i="1"/>
  <c r="S1234" i="1"/>
  <c r="T1234" i="1"/>
  <c r="U1234" i="1"/>
  <c r="V1234" i="1"/>
  <c r="W1234" i="1"/>
  <c r="X1234" i="1"/>
  <c r="Y1234" i="1"/>
  <c r="Z1234" i="1"/>
  <c r="AA1234" i="1"/>
  <c r="AB1234" i="1"/>
  <c r="AC1234" i="1"/>
  <c r="AD1234" i="1"/>
  <c r="AE1234" i="1"/>
  <c r="AF1234" i="1"/>
  <c r="AG1234" i="1"/>
  <c r="AH1234" i="1"/>
  <c r="AI1234" i="1"/>
  <c r="AJ1234" i="1"/>
  <c r="AQ1234" i="1"/>
  <c r="AR1234" i="1"/>
  <c r="AS1234" i="1"/>
  <c r="L1235" i="1"/>
  <c r="M1235" i="1"/>
  <c r="N1235" i="1"/>
  <c r="O1235" i="1"/>
  <c r="P1235" i="1"/>
  <c r="Q1235" i="1"/>
  <c r="R1235" i="1"/>
  <c r="S1235" i="1"/>
  <c r="T1235" i="1"/>
  <c r="U1235" i="1"/>
  <c r="V1235" i="1"/>
  <c r="W1235" i="1"/>
  <c r="X1235" i="1"/>
  <c r="Y1235" i="1"/>
  <c r="Z1235" i="1"/>
  <c r="AA1235" i="1"/>
  <c r="AB1235" i="1"/>
  <c r="AC1235" i="1"/>
  <c r="AD1235" i="1"/>
  <c r="AE1235" i="1"/>
  <c r="AF1235" i="1"/>
  <c r="AG1235" i="1"/>
  <c r="AH1235" i="1"/>
  <c r="AI1235" i="1"/>
  <c r="AJ1235" i="1"/>
  <c r="AQ1235" i="1"/>
  <c r="AR1235" i="1"/>
  <c r="AS1235" i="1"/>
  <c r="L1236" i="1"/>
  <c r="M1236" i="1"/>
  <c r="N1236" i="1"/>
  <c r="O1236" i="1"/>
  <c r="P1236" i="1"/>
  <c r="Q1236" i="1"/>
  <c r="R1236" i="1"/>
  <c r="S1236" i="1"/>
  <c r="T1236" i="1"/>
  <c r="U1236" i="1"/>
  <c r="V1236" i="1"/>
  <c r="W1236" i="1"/>
  <c r="X1236" i="1"/>
  <c r="Y1236" i="1"/>
  <c r="Z1236" i="1"/>
  <c r="AA1236" i="1"/>
  <c r="AB1236" i="1"/>
  <c r="AC1236" i="1"/>
  <c r="AD1236" i="1"/>
  <c r="AE1236" i="1"/>
  <c r="AF1236" i="1"/>
  <c r="AG1236" i="1"/>
  <c r="AH1236" i="1"/>
  <c r="AI1236" i="1"/>
  <c r="AJ1236" i="1"/>
  <c r="AQ1236" i="1"/>
  <c r="AR1236" i="1"/>
  <c r="AS1236" i="1"/>
  <c r="L1237" i="1"/>
  <c r="M1237" i="1"/>
  <c r="N1237" i="1"/>
  <c r="O1237" i="1"/>
  <c r="P1237" i="1"/>
  <c r="Q1237" i="1"/>
  <c r="R1237" i="1"/>
  <c r="S1237" i="1"/>
  <c r="T1237" i="1"/>
  <c r="U1237" i="1"/>
  <c r="V1237" i="1"/>
  <c r="W1237" i="1"/>
  <c r="X1237" i="1"/>
  <c r="Y1237" i="1"/>
  <c r="Z1237" i="1"/>
  <c r="AA1237" i="1"/>
  <c r="AB1237" i="1"/>
  <c r="AC1237" i="1"/>
  <c r="AD1237" i="1"/>
  <c r="AE1237" i="1"/>
  <c r="AF1237" i="1"/>
  <c r="AG1237" i="1"/>
  <c r="AH1237" i="1"/>
  <c r="AI1237" i="1"/>
  <c r="AJ1237" i="1"/>
  <c r="AQ1237" i="1"/>
  <c r="AR1237" i="1"/>
  <c r="AS1237" i="1"/>
  <c r="L1238" i="1"/>
  <c r="M1238" i="1"/>
  <c r="N1238" i="1"/>
  <c r="O1238" i="1"/>
  <c r="P1238" i="1"/>
  <c r="Q1238" i="1"/>
  <c r="R1238" i="1"/>
  <c r="S1238" i="1"/>
  <c r="T1238" i="1"/>
  <c r="U1238" i="1"/>
  <c r="V1238" i="1"/>
  <c r="W1238" i="1"/>
  <c r="X1238" i="1"/>
  <c r="Y1238" i="1"/>
  <c r="Z1238" i="1"/>
  <c r="AA1238" i="1"/>
  <c r="AB1238" i="1"/>
  <c r="AC1238" i="1"/>
  <c r="AD1238" i="1"/>
  <c r="AE1238" i="1"/>
  <c r="AF1238" i="1"/>
  <c r="AG1238" i="1"/>
  <c r="AH1238" i="1"/>
  <c r="AI1238" i="1"/>
  <c r="AJ1238" i="1"/>
  <c r="AQ1238" i="1"/>
  <c r="AR1238" i="1"/>
  <c r="AS1238" i="1"/>
  <c r="L1239" i="1"/>
  <c r="M1239" i="1"/>
  <c r="N1239" i="1"/>
  <c r="O1239" i="1"/>
  <c r="P1239" i="1"/>
  <c r="Q1239" i="1"/>
  <c r="R1239" i="1"/>
  <c r="S1239" i="1"/>
  <c r="T1239" i="1"/>
  <c r="U1239" i="1"/>
  <c r="V1239" i="1"/>
  <c r="W1239" i="1"/>
  <c r="X1239" i="1"/>
  <c r="Y1239" i="1"/>
  <c r="Z1239" i="1"/>
  <c r="AA1239" i="1"/>
  <c r="AB1239" i="1"/>
  <c r="AC1239" i="1"/>
  <c r="AD1239" i="1"/>
  <c r="AE1239" i="1"/>
  <c r="AF1239" i="1"/>
  <c r="AG1239" i="1"/>
  <c r="AH1239" i="1"/>
  <c r="AI1239" i="1"/>
  <c r="AJ1239" i="1"/>
  <c r="AQ1239" i="1"/>
  <c r="AR1239" i="1"/>
  <c r="AS1239" i="1"/>
  <c r="L1240" i="1"/>
  <c r="M1240" i="1"/>
  <c r="N1240" i="1"/>
  <c r="O1240" i="1"/>
  <c r="P1240" i="1"/>
  <c r="Q1240" i="1"/>
  <c r="R1240" i="1"/>
  <c r="S1240" i="1"/>
  <c r="T1240" i="1"/>
  <c r="U1240" i="1"/>
  <c r="V1240" i="1"/>
  <c r="W1240" i="1"/>
  <c r="X1240" i="1"/>
  <c r="Y1240" i="1"/>
  <c r="Z1240" i="1"/>
  <c r="AA1240" i="1"/>
  <c r="AB1240" i="1"/>
  <c r="AC1240" i="1"/>
  <c r="AD1240" i="1"/>
  <c r="AE1240" i="1"/>
  <c r="AF1240" i="1"/>
  <c r="AG1240" i="1"/>
  <c r="AH1240" i="1"/>
  <c r="AI1240" i="1"/>
  <c r="AJ1240" i="1"/>
  <c r="AQ1240" i="1"/>
  <c r="AR1240" i="1"/>
  <c r="AS1240" i="1"/>
  <c r="L1241" i="1"/>
  <c r="M1241" i="1"/>
  <c r="N1241" i="1"/>
  <c r="O1241" i="1"/>
  <c r="P1241" i="1"/>
  <c r="Q1241" i="1"/>
  <c r="R1241" i="1"/>
  <c r="S1241" i="1"/>
  <c r="T1241" i="1"/>
  <c r="U1241" i="1"/>
  <c r="V1241" i="1"/>
  <c r="W1241" i="1"/>
  <c r="X1241" i="1"/>
  <c r="Y1241" i="1"/>
  <c r="Z1241" i="1"/>
  <c r="AA1241" i="1"/>
  <c r="AB1241" i="1"/>
  <c r="AC1241" i="1"/>
  <c r="AD1241" i="1"/>
  <c r="AE1241" i="1"/>
  <c r="AF1241" i="1"/>
  <c r="AG1241" i="1"/>
  <c r="AH1241" i="1"/>
  <c r="AI1241" i="1"/>
  <c r="AJ1241" i="1"/>
  <c r="AQ1241" i="1"/>
  <c r="AR1241" i="1"/>
  <c r="AS1241" i="1"/>
  <c r="L1242" i="1"/>
  <c r="M1242" i="1"/>
  <c r="N1242" i="1"/>
  <c r="O1242" i="1"/>
  <c r="P1242" i="1"/>
  <c r="Q1242" i="1"/>
  <c r="R1242" i="1"/>
  <c r="S1242" i="1"/>
  <c r="T1242" i="1"/>
  <c r="U1242" i="1"/>
  <c r="V1242" i="1"/>
  <c r="W1242" i="1"/>
  <c r="X1242" i="1"/>
  <c r="Y1242" i="1"/>
  <c r="Z1242" i="1"/>
  <c r="AA1242" i="1"/>
  <c r="AB1242" i="1"/>
  <c r="AC1242" i="1"/>
  <c r="AD1242" i="1"/>
  <c r="AE1242" i="1"/>
  <c r="AF1242" i="1"/>
  <c r="AG1242" i="1"/>
  <c r="AH1242" i="1"/>
  <c r="AI1242" i="1"/>
  <c r="AJ1242" i="1"/>
  <c r="AQ1242" i="1"/>
  <c r="AR1242" i="1"/>
  <c r="AS1242" i="1"/>
  <c r="L1243" i="1"/>
  <c r="M1243" i="1"/>
  <c r="N1243" i="1"/>
  <c r="O1243" i="1"/>
  <c r="P1243" i="1"/>
  <c r="Q1243" i="1"/>
  <c r="R1243" i="1"/>
  <c r="S1243" i="1"/>
  <c r="T1243" i="1"/>
  <c r="U1243" i="1"/>
  <c r="V1243" i="1"/>
  <c r="W1243" i="1"/>
  <c r="X1243" i="1"/>
  <c r="Y1243" i="1"/>
  <c r="Z1243" i="1"/>
  <c r="AA1243" i="1"/>
  <c r="AB1243" i="1"/>
  <c r="AC1243" i="1"/>
  <c r="AD1243" i="1"/>
  <c r="AE1243" i="1"/>
  <c r="AF1243" i="1"/>
  <c r="AG1243" i="1"/>
  <c r="AH1243" i="1"/>
  <c r="AI1243" i="1"/>
  <c r="AJ1243" i="1"/>
  <c r="AQ1243" i="1"/>
  <c r="AR1243" i="1"/>
  <c r="AS1243" i="1"/>
  <c r="L1244" i="1"/>
  <c r="M1244" i="1"/>
  <c r="N1244" i="1"/>
  <c r="O1244" i="1"/>
  <c r="P1244" i="1"/>
  <c r="Q1244" i="1"/>
  <c r="R1244" i="1"/>
  <c r="S1244" i="1"/>
  <c r="T1244" i="1"/>
  <c r="U1244" i="1"/>
  <c r="V1244" i="1"/>
  <c r="W1244" i="1"/>
  <c r="X1244" i="1"/>
  <c r="Y1244" i="1"/>
  <c r="Z1244" i="1"/>
  <c r="AA1244" i="1"/>
  <c r="AB1244" i="1"/>
  <c r="AC1244" i="1"/>
  <c r="AD1244" i="1"/>
  <c r="AE1244" i="1"/>
  <c r="AF1244" i="1"/>
  <c r="AG1244" i="1"/>
  <c r="AH1244" i="1"/>
  <c r="AI1244" i="1"/>
  <c r="AJ1244" i="1"/>
  <c r="AQ1244" i="1"/>
  <c r="AR1244" i="1"/>
  <c r="AS1244" i="1"/>
  <c r="L1245" i="1"/>
  <c r="M1245" i="1"/>
  <c r="N1245" i="1"/>
  <c r="O1245" i="1"/>
  <c r="P1245" i="1"/>
  <c r="Q1245" i="1"/>
  <c r="R1245" i="1"/>
  <c r="S1245" i="1"/>
  <c r="T1245" i="1"/>
  <c r="U1245" i="1"/>
  <c r="V1245" i="1"/>
  <c r="W1245" i="1"/>
  <c r="X1245" i="1"/>
  <c r="Y1245" i="1"/>
  <c r="Z1245" i="1"/>
  <c r="AA1245" i="1"/>
  <c r="AB1245" i="1"/>
  <c r="AC1245" i="1"/>
  <c r="AD1245" i="1"/>
  <c r="AE1245" i="1"/>
  <c r="AF1245" i="1"/>
  <c r="AG1245" i="1"/>
  <c r="AH1245" i="1"/>
  <c r="AI1245" i="1"/>
  <c r="AJ1245" i="1"/>
  <c r="AQ1245" i="1"/>
  <c r="AR1245" i="1"/>
  <c r="AS1245" i="1"/>
  <c r="L1246" i="1"/>
  <c r="M1246" i="1"/>
  <c r="N1246" i="1"/>
  <c r="O1246" i="1"/>
  <c r="P1246" i="1"/>
  <c r="Q1246" i="1"/>
  <c r="R1246" i="1"/>
  <c r="S1246" i="1"/>
  <c r="T1246" i="1"/>
  <c r="U1246" i="1"/>
  <c r="V1246" i="1"/>
  <c r="W1246" i="1"/>
  <c r="X1246" i="1"/>
  <c r="Y1246" i="1"/>
  <c r="Z1246" i="1"/>
  <c r="AA1246" i="1"/>
  <c r="AB1246" i="1"/>
  <c r="AC1246" i="1"/>
  <c r="AD1246" i="1"/>
  <c r="AE1246" i="1"/>
  <c r="AF1246" i="1"/>
  <c r="AG1246" i="1"/>
  <c r="AH1246" i="1"/>
  <c r="AI1246" i="1"/>
  <c r="AJ1246" i="1"/>
  <c r="AQ1246" i="1"/>
  <c r="AR1246" i="1"/>
  <c r="AS1246" i="1"/>
  <c r="L1247" i="1"/>
  <c r="M1247" i="1"/>
  <c r="N1247" i="1"/>
  <c r="O1247" i="1"/>
  <c r="P1247" i="1"/>
  <c r="Q1247" i="1"/>
  <c r="R1247" i="1"/>
  <c r="S1247" i="1"/>
  <c r="T1247" i="1"/>
  <c r="U1247" i="1"/>
  <c r="V1247" i="1"/>
  <c r="W1247" i="1"/>
  <c r="X1247" i="1"/>
  <c r="Y1247" i="1"/>
  <c r="Z1247" i="1"/>
  <c r="AA1247" i="1"/>
  <c r="AB1247" i="1"/>
  <c r="AC1247" i="1"/>
  <c r="AD1247" i="1"/>
  <c r="AE1247" i="1"/>
  <c r="AF1247" i="1"/>
  <c r="AG1247" i="1"/>
  <c r="AH1247" i="1"/>
  <c r="AI1247" i="1"/>
  <c r="AJ1247" i="1"/>
  <c r="AQ1247" i="1"/>
  <c r="AR1247" i="1"/>
  <c r="AS1247" i="1"/>
  <c r="L1248" i="1"/>
  <c r="M1248" i="1"/>
  <c r="N1248" i="1"/>
  <c r="O1248" i="1"/>
  <c r="P1248" i="1"/>
  <c r="Q1248" i="1"/>
  <c r="R1248" i="1"/>
  <c r="S1248" i="1"/>
  <c r="T1248" i="1"/>
  <c r="U1248" i="1"/>
  <c r="V1248" i="1"/>
  <c r="W1248" i="1"/>
  <c r="X1248" i="1"/>
  <c r="Y1248" i="1"/>
  <c r="Z1248" i="1"/>
  <c r="AA1248" i="1"/>
  <c r="AB1248" i="1"/>
  <c r="AC1248" i="1"/>
  <c r="AD1248" i="1"/>
  <c r="AE1248" i="1"/>
  <c r="AF1248" i="1"/>
  <c r="AG1248" i="1"/>
  <c r="AH1248" i="1"/>
  <c r="AI1248" i="1"/>
  <c r="AJ1248" i="1"/>
  <c r="AQ1248" i="1"/>
  <c r="AR1248" i="1"/>
  <c r="AS1248" i="1"/>
  <c r="L1249" i="1"/>
  <c r="M1249" i="1"/>
  <c r="N1249" i="1"/>
  <c r="O1249" i="1"/>
  <c r="P1249" i="1"/>
  <c r="Q1249" i="1"/>
  <c r="R1249" i="1"/>
  <c r="S1249" i="1"/>
  <c r="T1249" i="1"/>
  <c r="U1249" i="1"/>
  <c r="V1249" i="1"/>
  <c r="W1249" i="1"/>
  <c r="X1249" i="1"/>
  <c r="Y1249" i="1"/>
  <c r="Z1249" i="1"/>
  <c r="AA1249" i="1"/>
  <c r="AB1249" i="1"/>
  <c r="AC1249" i="1"/>
  <c r="AD1249" i="1"/>
  <c r="AE1249" i="1"/>
  <c r="AF1249" i="1"/>
  <c r="AG1249" i="1"/>
  <c r="AH1249" i="1"/>
  <c r="AI1249" i="1"/>
  <c r="AJ1249" i="1"/>
  <c r="AQ1249" i="1"/>
  <c r="AR1249" i="1"/>
  <c r="AS1249" i="1"/>
  <c r="L1250" i="1"/>
  <c r="M1250" i="1"/>
  <c r="N1250" i="1"/>
  <c r="O1250" i="1"/>
  <c r="P1250" i="1"/>
  <c r="Q1250" i="1"/>
  <c r="R1250" i="1"/>
  <c r="S1250" i="1"/>
  <c r="T1250" i="1"/>
  <c r="U1250" i="1"/>
  <c r="V1250" i="1"/>
  <c r="W1250" i="1"/>
  <c r="X1250" i="1"/>
  <c r="Y1250" i="1"/>
  <c r="Z1250" i="1"/>
  <c r="AA1250" i="1"/>
  <c r="AB1250" i="1"/>
  <c r="AC1250" i="1"/>
  <c r="AD1250" i="1"/>
  <c r="AE1250" i="1"/>
  <c r="AF1250" i="1"/>
  <c r="AG1250" i="1"/>
  <c r="AH1250" i="1"/>
  <c r="AI1250" i="1"/>
  <c r="AJ1250" i="1"/>
  <c r="AQ1250" i="1"/>
  <c r="AR1250" i="1"/>
  <c r="AS1250" i="1"/>
  <c r="L1251" i="1"/>
  <c r="M1251" i="1"/>
  <c r="N1251" i="1"/>
  <c r="O1251" i="1"/>
  <c r="P1251" i="1"/>
  <c r="Q1251" i="1"/>
  <c r="R1251" i="1"/>
  <c r="S1251" i="1"/>
  <c r="T1251" i="1"/>
  <c r="U1251" i="1"/>
  <c r="V1251" i="1"/>
  <c r="W1251" i="1"/>
  <c r="X1251" i="1"/>
  <c r="Y1251" i="1"/>
  <c r="Z1251" i="1"/>
  <c r="AA1251" i="1"/>
  <c r="AB1251" i="1"/>
  <c r="AC1251" i="1"/>
  <c r="AD1251" i="1"/>
  <c r="AE1251" i="1"/>
  <c r="AF1251" i="1"/>
  <c r="AG1251" i="1"/>
  <c r="AH1251" i="1"/>
  <c r="AI1251" i="1"/>
  <c r="AJ1251" i="1"/>
  <c r="AQ1251" i="1"/>
  <c r="AR1251" i="1"/>
  <c r="AS1251" i="1"/>
  <c r="L1252" i="1"/>
  <c r="M1252" i="1"/>
  <c r="N1252" i="1"/>
  <c r="O1252" i="1"/>
  <c r="P1252" i="1"/>
  <c r="Q1252" i="1"/>
  <c r="R1252" i="1"/>
  <c r="S1252" i="1"/>
  <c r="T1252" i="1"/>
  <c r="U1252" i="1"/>
  <c r="V1252" i="1"/>
  <c r="W1252" i="1"/>
  <c r="X1252" i="1"/>
  <c r="Y1252" i="1"/>
  <c r="Z1252" i="1"/>
  <c r="AA1252" i="1"/>
  <c r="AB1252" i="1"/>
  <c r="AC1252" i="1"/>
  <c r="AD1252" i="1"/>
  <c r="AE1252" i="1"/>
  <c r="AF1252" i="1"/>
  <c r="AG1252" i="1"/>
  <c r="AH1252" i="1"/>
  <c r="AI1252" i="1"/>
  <c r="AJ1252" i="1"/>
  <c r="AQ1252" i="1"/>
  <c r="AR1252" i="1"/>
  <c r="AS1252" i="1"/>
  <c r="L1253" i="1"/>
  <c r="M1253" i="1"/>
  <c r="N1253" i="1"/>
  <c r="O1253" i="1"/>
  <c r="P1253" i="1"/>
  <c r="Q1253" i="1"/>
  <c r="R1253" i="1"/>
  <c r="S1253" i="1"/>
  <c r="T1253" i="1"/>
  <c r="U1253" i="1"/>
  <c r="V1253" i="1"/>
  <c r="W1253" i="1"/>
  <c r="X1253" i="1"/>
  <c r="Y1253" i="1"/>
  <c r="Z1253" i="1"/>
  <c r="AA1253" i="1"/>
  <c r="AB1253" i="1"/>
  <c r="AC1253" i="1"/>
  <c r="AD1253" i="1"/>
  <c r="AE1253" i="1"/>
  <c r="AF1253" i="1"/>
  <c r="AG1253" i="1"/>
  <c r="AH1253" i="1"/>
  <c r="AI1253" i="1"/>
  <c r="AJ1253" i="1"/>
  <c r="AQ1253" i="1"/>
  <c r="AR1253" i="1"/>
  <c r="AS1253" i="1"/>
  <c r="L1254" i="1"/>
  <c r="M1254" i="1"/>
  <c r="N1254" i="1"/>
  <c r="O1254" i="1"/>
  <c r="P1254" i="1"/>
  <c r="Q1254" i="1"/>
  <c r="R1254" i="1"/>
  <c r="S1254" i="1"/>
  <c r="T1254" i="1"/>
  <c r="U1254" i="1"/>
  <c r="V1254" i="1"/>
  <c r="W1254" i="1"/>
  <c r="X1254" i="1"/>
  <c r="Y1254" i="1"/>
  <c r="Z1254" i="1"/>
  <c r="AA1254" i="1"/>
  <c r="AB1254" i="1"/>
  <c r="AC1254" i="1"/>
  <c r="AD1254" i="1"/>
  <c r="AE1254" i="1"/>
  <c r="AF1254" i="1"/>
  <c r="AG1254" i="1"/>
  <c r="AH1254" i="1"/>
  <c r="AI1254" i="1"/>
  <c r="AJ1254" i="1"/>
  <c r="AQ1254" i="1"/>
  <c r="AR1254" i="1"/>
  <c r="AS1254" i="1"/>
  <c r="L1255" i="1"/>
  <c r="M1255" i="1"/>
  <c r="N1255" i="1"/>
  <c r="O1255" i="1"/>
  <c r="P1255" i="1"/>
  <c r="Q1255" i="1"/>
  <c r="R1255" i="1"/>
  <c r="S1255" i="1"/>
  <c r="T1255" i="1"/>
  <c r="U1255" i="1"/>
  <c r="V1255" i="1"/>
  <c r="W1255" i="1"/>
  <c r="X1255" i="1"/>
  <c r="Y1255" i="1"/>
  <c r="Z1255" i="1"/>
  <c r="AA1255" i="1"/>
  <c r="AB1255" i="1"/>
  <c r="AC1255" i="1"/>
  <c r="AD1255" i="1"/>
  <c r="AE1255" i="1"/>
  <c r="AF1255" i="1"/>
  <c r="AG1255" i="1"/>
  <c r="AH1255" i="1"/>
  <c r="AI1255" i="1"/>
  <c r="AJ1255" i="1"/>
  <c r="AQ1255" i="1"/>
  <c r="AR1255" i="1"/>
  <c r="AS1255" i="1"/>
  <c r="L1256" i="1"/>
  <c r="M1256" i="1"/>
  <c r="N1256" i="1"/>
  <c r="O1256" i="1"/>
  <c r="P1256" i="1"/>
  <c r="Q1256" i="1"/>
  <c r="R1256" i="1"/>
  <c r="S1256" i="1"/>
  <c r="T1256" i="1"/>
  <c r="U1256" i="1"/>
  <c r="V1256" i="1"/>
  <c r="W1256" i="1"/>
  <c r="X1256" i="1"/>
  <c r="Y1256" i="1"/>
  <c r="Z1256" i="1"/>
  <c r="AA1256" i="1"/>
  <c r="AB1256" i="1"/>
  <c r="AC1256" i="1"/>
  <c r="AD1256" i="1"/>
  <c r="AE1256" i="1"/>
  <c r="AF1256" i="1"/>
  <c r="AG1256" i="1"/>
  <c r="AH1256" i="1"/>
  <c r="AI1256" i="1"/>
  <c r="AJ1256" i="1"/>
  <c r="AQ1256" i="1"/>
  <c r="AR1256" i="1"/>
  <c r="AS1256" i="1"/>
  <c r="L1257" i="1"/>
  <c r="M1257" i="1"/>
  <c r="N1257" i="1"/>
  <c r="O1257" i="1"/>
  <c r="P1257" i="1"/>
  <c r="Q1257" i="1"/>
  <c r="R1257" i="1"/>
  <c r="S1257" i="1"/>
  <c r="T1257" i="1"/>
  <c r="U1257" i="1"/>
  <c r="V1257" i="1"/>
  <c r="W1257" i="1"/>
  <c r="X1257" i="1"/>
  <c r="Y1257" i="1"/>
  <c r="Z1257" i="1"/>
  <c r="AA1257" i="1"/>
  <c r="AB1257" i="1"/>
  <c r="AC1257" i="1"/>
  <c r="AD1257" i="1"/>
  <c r="AE1257" i="1"/>
  <c r="AF1257" i="1"/>
  <c r="AG1257" i="1"/>
  <c r="AH1257" i="1"/>
  <c r="AI1257" i="1"/>
  <c r="AJ1257" i="1"/>
  <c r="AQ1257" i="1"/>
  <c r="AR1257" i="1"/>
  <c r="AS1257" i="1"/>
  <c r="L1258" i="1"/>
  <c r="M1258" i="1"/>
  <c r="N1258" i="1"/>
  <c r="O1258" i="1"/>
  <c r="P1258" i="1"/>
  <c r="Q1258" i="1"/>
  <c r="R1258" i="1"/>
  <c r="S1258" i="1"/>
  <c r="T1258" i="1"/>
  <c r="U1258" i="1"/>
  <c r="V1258" i="1"/>
  <c r="W1258" i="1"/>
  <c r="X1258" i="1"/>
  <c r="Y1258" i="1"/>
  <c r="Z1258" i="1"/>
  <c r="AA1258" i="1"/>
  <c r="AB1258" i="1"/>
  <c r="AC1258" i="1"/>
  <c r="AD1258" i="1"/>
  <c r="AE1258" i="1"/>
  <c r="AF1258" i="1"/>
  <c r="AG1258" i="1"/>
  <c r="AH1258" i="1"/>
  <c r="AI1258" i="1"/>
  <c r="AJ1258" i="1"/>
  <c r="AQ1258" i="1"/>
  <c r="AR1258" i="1"/>
  <c r="AS1258" i="1"/>
  <c r="L1259" i="1"/>
  <c r="M1259" i="1"/>
  <c r="N1259" i="1"/>
  <c r="O1259" i="1"/>
  <c r="P1259" i="1"/>
  <c r="Q1259" i="1"/>
  <c r="R1259" i="1"/>
  <c r="S1259" i="1"/>
  <c r="T1259" i="1"/>
  <c r="U1259" i="1"/>
  <c r="V1259" i="1"/>
  <c r="W1259" i="1"/>
  <c r="X1259" i="1"/>
  <c r="Y1259" i="1"/>
  <c r="Z1259" i="1"/>
  <c r="AA1259" i="1"/>
  <c r="AB1259" i="1"/>
  <c r="AC1259" i="1"/>
  <c r="AD1259" i="1"/>
  <c r="AE1259" i="1"/>
  <c r="AF1259" i="1"/>
  <c r="AG1259" i="1"/>
  <c r="AH1259" i="1"/>
  <c r="AI1259" i="1"/>
  <c r="AJ1259" i="1"/>
  <c r="AQ1259" i="1"/>
  <c r="AR1259" i="1"/>
  <c r="AS1259" i="1"/>
  <c r="L1260" i="1"/>
  <c r="M1260" i="1"/>
  <c r="N1260" i="1"/>
  <c r="O1260" i="1"/>
  <c r="P1260" i="1"/>
  <c r="Q1260" i="1"/>
  <c r="R1260" i="1"/>
  <c r="S1260" i="1"/>
  <c r="T1260" i="1"/>
  <c r="U1260" i="1"/>
  <c r="V1260" i="1"/>
  <c r="W1260" i="1"/>
  <c r="X1260" i="1"/>
  <c r="Y1260" i="1"/>
  <c r="Z1260" i="1"/>
  <c r="AA1260" i="1"/>
  <c r="AB1260" i="1"/>
  <c r="AC1260" i="1"/>
  <c r="AD1260" i="1"/>
  <c r="AE1260" i="1"/>
  <c r="AF1260" i="1"/>
  <c r="AG1260" i="1"/>
  <c r="AH1260" i="1"/>
  <c r="AI1260" i="1"/>
  <c r="AJ1260" i="1"/>
  <c r="AQ1260" i="1"/>
  <c r="AR1260" i="1"/>
  <c r="AS1260" i="1"/>
  <c r="L1261" i="1"/>
  <c r="M1261" i="1"/>
  <c r="N1261" i="1"/>
  <c r="O1261" i="1"/>
  <c r="P1261" i="1"/>
  <c r="Q1261" i="1"/>
  <c r="R1261" i="1"/>
  <c r="S1261" i="1"/>
  <c r="T1261" i="1"/>
  <c r="U1261" i="1"/>
  <c r="V1261" i="1"/>
  <c r="W1261" i="1"/>
  <c r="X1261" i="1"/>
  <c r="Y1261" i="1"/>
  <c r="Z1261" i="1"/>
  <c r="AA1261" i="1"/>
  <c r="AB1261" i="1"/>
  <c r="AC1261" i="1"/>
  <c r="AD1261" i="1"/>
  <c r="AE1261" i="1"/>
  <c r="AF1261" i="1"/>
  <c r="AG1261" i="1"/>
  <c r="AH1261" i="1"/>
  <c r="AI1261" i="1"/>
  <c r="AJ1261" i="1"/>
  <c r="AQ1261" i="1"/>
  <c r="AR1261" i="1"/>
  <c r="AS1261" i="1"/>
  <c r="L1262" i="1"/>
  <c r="M1262" i="1"/>
  <c r="N1262" i="1"/>
  <c r="O1262" i="1"/>
  <c r="P1262" i="1"/>
  <c r="Q1262" i="1"/>
  <c r="R1262" i="1"/>
  <c r="S1262" i="1"/>
  <c r="T1262" i="1"/>
  <c r="U1262" i="1"/>
  <c r="V1262" i="1"/>
  <c r="W1262" i="1"/>
  <c r="X1262" i="1"/>
  <c r="Y1262" i="1"/>
  <c r="Z1262" i="1"/>
  <c r="AA1262" i="1"/>
  <c r="AB1262" i="1"/>
  <c r="AC1262" i="1"/>
  <c r="AD1262" i="1"/>
  <c r="AE1262" i="1"/>
  <c r="AF1262" i="1"/>
  <c r="AG1262" i="1"/>
  <c r="AH1262" i="1"/>
  <c r="AI1262" i="1"/>
  <c r="AJ1262" i="1"/>
  <c r="AQ1262" i="1"/>
  <c r="AR1262" i="1"/>
  <c r="AS1262" i="1"/>
  <c r="L1263" i="1"/>
  <c r="M1263" i="1"/>
  <c r="N1263" i="1"/>
  <c r="O1263" i="1"/>
  <c r="P1263" i="1"/>
  <c r="Q1263" i="1"/>
  <c r="R1263" i="1"/>
  <c r="S1263" i="1"/>
  <c r="T1263" i="1"/>
  <c r="U1263" i="1"/>
  <c r="V1263" i="1"/>
  <c r="W1263" i="1"/>
  <c r="X1263" i="1"/>
  <c r="Y1263" i="1"/>
  <c r="Z1263" i="1"/>
  <c r="AA1263" i="1"/>
  <c r="AB1263" i="1"/>
  <c r="AC1263" i="1"/>
  <c r="AD1263" i="1"/>
  <c r="AE1263" i="1"/>
  <c r="AF1263" i="1"/>
  <c r="AG1263" i="1"/>
  <c r="AH1263" i="1"/>
  <c r="AI1263" i="1"/>
  <c r="AJ1263" i="1"/>
  <c r="AQ1263" i="1"/>
  <c r="AR1263" i="1"/>
  <c r="AS1263" i="1"/>
  <c r="L1264" i="1"/>
  <c r="M1264" i="1"/>
  <c r="N1264" i="1"/>
  <c r="O1264" i="1"/>
  <c r="P1264" i="1"/>
  <c r="Q1264" i="1"/>
  <c r="R1264" i="1"/>
  <c r="S1264" i="1"/>
  <c r="T1264" i="1"/>
  <c r="U1264" i="1"/>
  <c r="V1264" i="1"/>
  <c r="W1264" i="1"/>
  <c r="X1264" i="1"/>
  <c r="Y1264" i="1"/>
  <c r="Z1264" i="1"/>
  <c r="AA1264" i="1"/>
  <c r="AB1264" i="1"/>
  <c r="AC1264" i="1"/>
  <c r="AD1264" i="1"/>
  <c r="AE1264" i="1"/>
  <c r="AF1264" i="1"/>
  <c r="AG1264" i="1"/>
  <c r="AH1264" i="1"/>
  <c r="AI1264" i="1"/>
  <c r="AJ1264" i="1"/>
  <c r="AQ1264" i="1"/>
  <c r="AR1264" i="1"/>
  <c r="AS1264" i="1"/>
  <c r="L1265" i="1"/>
  <c r="M1265" i="1"/>
  <c r="N1265" i="1"/>
  <c r="O1265" i="1"/>
  <c r="P1265" i="1"/>
  <c r="Q1265" i="1"/>
  <c r="R1265" i="1"/>
  <c r="S1265" i="1"/>
  <c r="T1265" i="1"/>
  <c r="U1265" i="1"/>
  <c r="V1265" i="1"/>
  <c r="W1265" i="1"/>
  <c r="X1265" i="1"/>
  <c r="Y1265" i="1"/>
  <c r="Z1265" i="1"/>
  <c r="AA1265" i="1"/>
  <c r="AB1265" i="1"/>
  <c r="AC1265" i="1"/>
  <c r="AD1265" i="1"/>
  <c r="AE1265" i="1"/>
  <c r="AF1265" i="1"/>
  <c r="AG1265" i="1"/>
  <c r="AH1265" i="1"/>
  <c r="AI1265" i="1"/>
  <c r="AJ1265" i="1"/>
  <c r="AQ1265" i="1"/>
  <c r="AR1265" i="1"/>
  <c r="AS1265" i="1"/>
  <c r="L1266" i="1"/>
  <c r="M1266" i="1"/>
  <c r="N1266" i="1"/>
  <c r="O1266" i="1"/>
  <c r="P1266" i="1"/>
  <c r="Q1266" i="1"/>
  <c r="R1266" i="1"/>
  <c r="S1266" i="1"/>
  <c r="T1266" i="1"/>
  <c r="U1266" i="1"/>
  <c r="V1266" i="1"/>
  <c r="W1266" i="1"/>
  <c r="X1266" i="1"/>
  <c r="Y1266" i="1"/>
  <c r="Z1266" i="1"/>
  <c r="AA1266" i="1"/>
  <c r="AB1266" i="1"/>
  <c r="AC1266" i="1"/>
  <c r="AD1266" i="1"/>
  <c r="AE1266" i="1"/>
  <c r="AF1266" i="1"/>
  <c r="AG1266" i="1"/>
  <c r="AH1266" i="1"/>
  <c r="AI1266" i="1"/>
  <c r="AJ1266" i="1"/>
  <c r="AQ1266" i="1"/>
  <c r="AR1266" i="1"/>
  <c r="AS1266" i="1"/>
  <c r="L1267" i="1"/>
  <c r="M1267" i="1"/>
  <c r="N1267" i="1"/>
  <c r="O1267" i="1"/>
  <c r="P1267" i="1"/>
  <c r="Q1267" i="1"/>
  <c r="R1267" i="1"/>
  <c r="S1267" i="1"/>
  <c r="T1267" i="1"/>
  <c r="U1267" i="1"/>
  <c r="V1267" i="1"/>
  <c r="W1267" i="1"/>
  <c r="X1267" i="1"/>
  <c r="Y1267" i="1"/>
  <c r="Z1267" i="1"/>
  <c r="AA1267" i="1"/>
  <c r="AB1267" i="1"/>
  <c r="AC1267" i="1"/>
  <c r="AD1267" i="1"/>
  <c r="AE1267" i="1"/>
  <c r="AF1267" i="1"/>
  <c r="AG1267" i="1"/>
  <c r="AH1267" i="1"/>
  <c r="AI1267" i="1"/>
  <c r="AJ1267" i="1"/>
  <c r="AQ1267" i="1"/>
  <c r="AR1267" i="1"/>
  <c r="AS1267" i="1"/>
  <c r="L1268" i="1"/>
  <c r="M1268" i="1"/>
  <c r="N1268" i="1"/>
  <c r="O1268" i="1"/>
  <c r="P1268" i="1"/>
  <c r="Q1268" i="1"/>
  <c r="R1268" i="1"/>
  <c r="S1268" i="1"/>
  <c r="T1268" i="1"/>
  <c r="U1268" i="1"/>
  <c r="V1268" i="1"/>
  <c r="W1268" i="1"/>
  <c r="X1268" i="1"/>
  <c r="Y1268" i="1"/>
  <c r="Z1268" i="1"/>
  <c r="AA1268" i="1"/>
  <c r="AB1268" i="1"/>
  <c r="AC1268" i="1"/>
  <c r="AD1268" i="1"/>
  <c r="AE1268" i="1"/>
  <c r="AF1268" i="1"/>
  <c r="AG1268" i="1"/>
  <c r="AH1268" i="1"/>
  <c r="AI1268" i="1"/>
  <c r="AJ1268" i="1"/>
  <c r="AQ1268" i="1"/>
  <c r="AR1268" i="1"/>
  <c r="AS1268" i="1"/>
  <c r="L1269" i="1"/>
  <c r="M1269" i="1"/>
  <c r="N1269" i="1"/>
  <c r="O1269" i="1"/>
  <c r="P1269" i="1"/>
  <c r="Q1269" i="1"/>
  <c r="R1269" i="1"/>
  <c r="S1269" i="1"/>
  <c r="T1269" i="1"/>
  <c r="U1269" i="1"/>
  <c r="V1269" i="1"/>
  <c r="W1269" i="1"/>
  <c r="X1269" i="1"/>
  <c r="Y1269" i="1"/>
  <c r="Z1269" i="1"/>
  <c r="AA1269" i="1"/>
  <c r="AB1269" i="1"/>
  <c r="AC1269" i="1"/>
  <c r="AD1269" i="1"/>
  <c r="AE1269" i="1"/>
  <c r="AF1269" i="1"/>
  <c r="AG1269" i="1"/>
  <c r="AH1269" i="1"/>
  <c r="AI1269" i="1"/>
  <c r="AJ1269" i="1"/>
  <c r="AQ1269" i="1"/>
  <c r="AR1269" i="1"/>
  <c r="AS1269" i="1"/>
  <c r="L1270" i="1"/>
  <c r="M1270" i="1"/>
  <c r="N1270" i="1"/>
  <c r="O1270" i="1"/>
  <c r="P1270" i="1"/>
  <c r="Q1270" i="1"/>
  <c r="R1270" i="1"/>
  <c r="S1270" i="1"/>
  <c r="T1270" i="1"/>
  <c r="U1270" i="1"/>
  <c r="V1270" i="1"/>
  <c r="W1270" i="1"/>
  <c r="X1270" i="1"/>
  <c r="Y1270" i="1"/>
  <c r="Z1270" i="1"/>
  <c r="AA1270" i="1"/>
  <c r="AB1270" i="1"/>
  <c r="AC1270" i="1"/>
  <c r="AD1270" i="1"/>
  <c r="AE1270" i="1"/>
  <c r="AF1270" i="1"/>
  <c r="AG1270" i="1"/>
  <c r="AH1270" i="1"/>
  <c r="AI1270" i="1"/>
  <c r="AJ1270" i="1"/>
  <c r="AQ1270" i="1"/>
  <c r="AR1270" i="1"/>
  <c r="AS1270" i="1"/>
  <c r="L1271" i="1"/>
  <c r="M1271" i="1"/>
  <c r="N1271" i="1"/>
  <c r="O1271" i="1"/>
  <c r="P1271" i="1"/>
  <c r="Q1271" i="1"/>
  <c r="R1271" i="1"/>
  <c r="S1271" i="1"/>
  <c r="T1271" i="1"/>
  <c r="U1271" i="1"/>
  <c r="V1271" i="1"/>
  <c r="W1271" i="1"/>
  <c r="X1271" i="1"/>
  <c r="Y1271" i="1"/>
  <c r="Z1271" i="1"/>
  <c r="AA1271" i="1"/>
  <c r="AB1271" i="1"/>
  <c r="AC1271" i="1"/>
  <c r="AD1271" i="1"/>
  <c r="AE1271" i="1"/>
  <c r="AF1271" i="1"/>
  <c r="AG1271" i="1"/>
  <c r="AH1271" i="1"/>
  <c r="AI1271" i="1"/>
  <c r="AJ1271" i="1"/>
  <c r="AQ1271" i="1"/>
  <c r="AR1271" i="1"/>
  <c r="AS1271" i="1"/>
  <c r="L1272" i="1"/>
  <c r="M1272" i="1"/>
  <c r="N1272" i="1"/>
  <c r="O1272" i="1"/>
  <c r="P1272" i="1"/>
  <c r="Q1272" i="1"/>
  <c r="R1272" i="1"/>
  <c r="S1272" i="1"/>
  <c r="T1272" i="1"/>
  <c r="U1272" i="1"/>
  <c r="V1272" i="1"/>
  <c r="W1272" i="1"/>
  <c r="X1272" i="1"/>
  <c r="Y1272" i="1"/>
  <c r="Z1272" i="1"/>
  <c r="AA1272" i="1"/>
  <c r="AB1272" i="1"/>
  <c r="AC1272" i="1"/>
  <c r="AD1272" i="1"/>
  <c r="AE1272" i="1"/>
  <c r="AF1272" i="1"/>
  <c r="AG1272" i="1"/>
  <c r="AH1272" i="1"/>
  <c r="AI1272" i="1"/>
  <c r="AJ1272" i="1"/>
  <c r="AQ1272" i="1"/>
  <c r="AR1272" i="1"/>
  <c r="AS1272" i="1"/>
  <c r="L1273" i="1"/>
  <c r="M1273" i="1"/>
  <c r="N1273" i="1"/>
  <c r="O1273" i="1"/>
  <c r="P1273" i="1"/>
  <c r="Q1273" i="1"/>
  <c r="R1273" i="1"/>
  <c r="S1273" i="1"/>
  <c r="T1273" i="1"/>
  <c r="U1273" i="1"/>
  <c r="V1273" i="1"/>
  <c r="W1273" i="1"/>
  <c r="X1273" i="1"/>
  <c r="Y1273" i="1"/>
  <c r="Z1273" i="1"/>
  <c r="AA1273" i="1"/>
  <c r="AB1273" i="1"/>
  <c r="AC1273" i="1"/>
  <c r="AD1273" i="1"/>
  <c r="AE1273" i="1"/>
  <c r="AF1273" i="1"/>
  <c r="AG1273" i="1"/>
  <c r="AH1273" i="1"/>
  <c r="AI1273" i="1"/>
  <c r="AJ1273" i="1"/>
  <c r="AQ1273" i="1"/>
  <c r="AR1273" i="1"/>
  <c r="AS1273" i="1"/>
  <c r="L1274" i="1"/>
  <c r="M1274" i="1"/>
  <c r="N1274" i="1"/>
  <c r="O1274" i="1"/>
  <c r="P1274" i="1"/>
  <c r="Q1274" i="1"/>
  <c r="R1274" i="1"/>
  <c r="S1274" i="1"/>
  <c r="T1274" i="1"/>
  <c r="U1274" i="1"/>
  <c r="V1274" i="1"/>
  <c r="W1274" i="1"/>
  <c r="X1274" i="1"/>
  <c r="Y1274" i="1"/>
  <c r="Z1274" i="1"/>
  <c r="AA1274" i="1"/>
  <c r="AB1274" i="1"/>
  <c r="AC1274" i="1"/>
  <c r="AD1274" i="1"/>
  <c r="AE1274" i="1"/>
  <c r="AF1274" i="1"/>
  <c r="AG1274" i="1"/>
  <c r="AH1274" i="1"/>
  <c r="AI1274" i="1"/>
  <c r="AJ1274" i="1"/>
  <c r="AQ1274" i="1"/>
  <c r="AR1274" i="1"/>
  <c r="AS1274" i="1"/>
  <c r="L1275" i="1"/>
  <c r="M1275" i="1"/>
  <c r="N1275" i="1"/>
  <c r="O1275" i="1"/>
  <c r="P1275" i="1"/>
  <c r="Q1275" i="1"/>
  <c r="R1275" i="1"/>
  <c r="S1275" i="1"/>
  <c r="T1275" i="1"/>
  <c r="U1275" i="1"/>
  <c r="V1275" i="1"/>
  <c r="W1275" i="1"/>
  <c r="X1275" i="1"/>
  <c r="Y1275" i="1"/>
  <c r="Z1275" i="1"/>
  <c r="AA1275" i="1"/>
  <c r="AB1275" i="1"/>
  <c r="AC1275" i="1"/>
  <c r="AD1275" i="1"/>
  <c r="AE1275" i="1"/>
  <c r="AF1275" i="1"/>
  <c r="AG1275" i="1"/>
  <c r="AH1275" i="1"/>
  <c r="AI1275" i="1"/>
  <c r="AJ1275" i="1"/>
  <c r="AQ1275" i="1"/>
  <c r="AR1275" i="1"/>
  <c r="AS1275" i="1"/>
  <c r="L1276" i="1"/>
  <c r="M1276" i="1"/>
  <c r="N1276" i="1"/>
  <c r="O1276" i="1"/>
  <c r="P1276" i="1"/>
  <c r="Q1276" i="1"/>
  <c r="R1276" i="1"/>
  <c r="S1276" i="1"/>
  <c r="T1276" i="1"/>
  <c r="U1276" i="1"/>
  <c r="V1276" i="1"/>
  <c r="W1276" i="1"/>
  <c r="X1276" i="1"/>
  <c r="Y1276" i="1"/>
  <c r="Z1276" i="1"/>
  <c r="AA1276" i="1"/>
  <c r="AB1276" i="1"/>
  <c r="AC1276" i="1"/>
  <c r="AD1276" i="1"/>
  <c r="AE1276" i="1"/>
  <c r="AF1276" i="1"/>
  <c r="AG1276" i="1"/>
  <c r="AH1276" i="1"/>
  <c r="AI1276" i="1"/>
  <c r="AJ1276" i="1"/>
  <c r="AQ1276" i="1"/>
  <c r="AR1276" i="1"/>
  <c r="AS1276" i="1"/>
  <c r="L1277" i="1"/>
  <c r="M1277" i="1"/>
  <c r="N1277" i="1"/>
  <c r="O1277" i="1"/>
  <c r="P1277" i="1"/>
  <c r="Q1277" i="1"/>
  <c r="R1277" i="1"/>
  <c r="S1277" i="1"/>
  <c r="T1277" i="1"/>
  <c r="U1277" i="1"/>
  <c r="V1277" i="1"/>
  <c r="W1277" i="1"/>
  <c r="X1277" i="1"/>
  <c r="Y1277" i="1"/>
  <c r="Z1277" i="1"/>
  <c r="AA1277" i="1"/>
  <c r="AB1277" i="1"/>
  <c r="AC1277" i="1"/>
  <c r="AD1277" i="1"/>
  <c r="AE1277" i="1"/>
  <c r="AF1277" i="1"/>
  <c r="AG1277" i="1"/>
  <c r="AH1277" i="1"/>
  <c r="AI1277" i="1"/>
  <c r="AJ1277" i="1"/>
  <c r="AQ1277" i="1"/>
  <c r="AR1277" i="1"/>
  <c r="AS1277" i="1"/>
  <c r="L1278" i="1"/>
  <c r="M1278" i="1"/>
  <c r="N1278" i="1"/>
  <c r="O1278" i="1"/>
  <c r="P1278" i="1"/>
  <c r="Q1278" i="1"/>
  <c r="R1278" i="1"/>
  <c r="S1278" i="1"/>
  <c r="T1278" i="1"/>
  <c r="U1278" i="1"/>
  <c r="V1278" i="1"/>
  <c r="W1278" i="1"/>
  <c r="X1278" i="1"/>
  <c r="Y1278" i="1"/>
  <c r="Z1278" i="1"/>
  <c r="AA1278" i="1"/>
  <c r="AB1278" i="1"/>
  <c r="AC1278" i="1"/>
  <c r="AD1278" i="1"/>
  <c r="AE1278" i="1"/>
  <c r="AF1278" i="1"/>
  <c r="AG1278" i="1"/>
  <c r="AH1278" i="1"/>
  <c r="AI1278" i="1"/>
  <c r="AJ1278" i="1"/>
  <c r="AQ1278" i="1"/>
  <c r="AR1278" i="1"/>
  <c r="AS1278" i="1"/>
  <c r="L1279" i="1"/>
  <c r="M1279" i="1"/>
  <c r="N1279" i="1"/>
  <c r="O1279" i="1"/>
  <c r="P1279" i="1"/>
  <c r="Q1279" i="1"/>
  <c r="R1279" i="1"/>
  <c r="S1279" i="1"/>
  <c r="T1279" i="1"/>
  <c r="U1279" i="1"/>
  <c r="V1279" i="1"/>
  <c r="W1279" i="1"/>
  <c r="X1279" i="1"/>
  <c r="Y1279" i="1"/>
  <c r="Z1279" i="1"/>
  <c r="AA1279" i="1"/>
  <c r="AB1279" i="1"/>
  <c r="AC1279" i="1"/>
  <c r="AD1279" i="1"/>
  <c r="AE1279" i="1"/>
  <c r="AF1279" i="1"/>
  <c r="AG1279" i="1"/>
  <c r="AH1279" i="1"/>
  <c r="AI1279" i="1"/>
  <c r="AJ1279" i="1"/>
  <c r="AQ1279" i="1"/>
  <c r="AR1279" i="1"/>
  <c r="AS1279" i="1"/>
  <c r="L1280" i="1"/>
  <c r="M1280" i="1"/>
  <c r="N1280" i="1"/>
  <c r="O1280" i="1"/>
  <c r="P1280" i="1"/>
  <c r="Q1280" i="1"/>
  <c r="R1280" i="1"/>
  <c r="S1280" i="1"/>
  <c r="T1280" i="1"/>
  <c r="U1280" i="1"/>
  <c r="V1280" i="1"/>
  <c r="W1280" i="1"/>
  <c r="X1280" i="1"/>
  <c r="Y1280" i="1"/>
  <c r="Z1280" i="1"/>
  <c r="AA1280" i="1"/>
  <c r="AB1280" i="1"/>
  <c r="AC1280" i="1"/>
  <c r="AD1280" i="1"/>
  <c r="AE1280" i="1"/>
  <c r="AF1280" i="1"/>
  <c r="AG1280" i="1"/>
  <c r="AH1280" i="1"/>
  <c r="AI1280" i="1"/>
  <c r="AJ1280" i="1"/>
  <c r="AQ1280" i="1"/>
  <c r="AR1280" i="1"/>
  <c r="AS1280" i="1"/>
  <c r="L1281" i="1"/>
  <c r="M1281" i="1"/>
  <c r="N1281" i="1"/>
  <c r="O1281" i="1"/>
  <c r="P1281" i="1"/>
  <c r="Q1281" i="1"/>
  <c r="R1281" i="1"/>
  <c r="S1281" i="1"/>
  <c r="T1281" i="1"/>
  <c r="U1281" i="1"/>
  <c r="V1281" i="1"/>
  <c r="W1281" i="1"/>
  <c r="X1281" i="1"/>
  <c r="Y1281" i="1"/>
  <c r="Z1281" i="1"/>
  <c r="AA1281" i="1"/>
  <c r="AB1281" i="1"/>
  <c r="AC1281" i="1"/>
  <c r="AD1281" i="1"/>
  <c r="AE1281" i="1"/>
  <c r="AF1281" i="1"/>
  <c r="AG1281" i="1"/>
  <c r="AH1281" i="1"/>
  <c r="AI1281" i="1"/>
  <c r="AJ1281" i="1"/>
  <c r="AQ1281" i="1"/>
  <c r="AR1281" i="1"/>
  <c r="AS1281" i="1"/>
  <c r="L1282" i="1"/>
  <c r="M1282" i="1"/>
  <c r="N1282" i="1"/>
  <c r="O1282" i="1"/>
  <c r="P1282" i="1"/>
  <c r="Q1282" i="1"/>
  <c r="R1282" i="1"/>
  <c r="S1282" i="1"/>
  <c r="T1282" i="1"/>
  <c r="U1282" i="1"/>
  <c r="V1282" i="1"/>
  <c r="W1282" i="1"/>
  <c r="X1282" i="1"/>
  <c r="Y1282" i="1"/>
  <c r="Z1282" i="1"/>
  <c r="AA1282" i="1"/>
  <c r="AB1282" i="1"/>
  <c r="AC1282" i="1"/>
  <c r="AD1282" i="1"/>
  <c r="AE1282" i="1"/>
  <c r="AF1282" i="1"/>
  <c r="AG1282" i="1"/>
  <c r="AH1282" i="1"/>
  <c r="AI1282" i="1"/>
  <c r="AJ1282" i="1"/>
  <c r="AQ1282" i="1"/>
  <c r="AR1282" i="1"/>
  <c r="AS1282" i="1"/>
  <c r="L1283" i="1"/>
  <c r="M1283" i="1"/>
  <c r="N1283" i="1"/>
  <c r="O1283" i="1"/>
  <c r="P1283" i="1"/>
  <c r="Q1283" i="1"/>
  <c r="R1283" i="1"/>
  <c r="S1283" i="1"/>
  <c r="T1283" i="1"/>
  <c r="U1283" i="1"/>
  <c r="V1283" i="1"/>
  <c r="W1283" i="1"/>
  <c r="X1283" i="1"/>
  <c r="Y1283" i="1"/>
  <c r="Z1283" i="1"/>
  <c r="AA1283" i="1"/>
  <c r="AB1283" i="1"/>
  <c r="AC1283" i="1"/>
  <c r="AD1283" i="1"/>
  <c r="AE1283" i="1"/>
  <c r="AF1283" i="1"/>
  <c r="AG1283" i="1"/>
  <c r="AH1283" i="1"/>
  <c r="AI1283" i="1"/>
  <c r="AJ1283" i="1"/>
  <c r="AQ1283" i="1"/>
  <c r="AR1283" i="1"/>
  <c r="AS1283" i="1"/>
  <c r="L1284" i="1"/>
  <c r="M1284" i="1"/>
  <c r="N1284" i="1"/>
  <c r="O1284" i="1"/>
  <c r="P1284" i="1"/>
  <c r="Q1284" i="1"/>
  <c r="R1284" i="1"/>
  <c r="S1284" i="1"/>
  <c r="T1284" i="1"/>
  <c r="U1284" i="1"/>
  <c r="V1284" i="1"/>
  <c r="W1284" i="1"/>
  <c r="X1284" i="1"/>
  <c r="Y1284" i="1"/>
  <c r="Z1284" i="1"/>
  <c r="AA1284" i="1"/>
  <c r="AB1284" i="1"/>
  <c r="AC1284" i="1"/>
  <c r="AD1284" i="1"/>
  <c r="AE1284" i="1"/>
  <c r="AF1284" i="1"/>
  <c r="AG1284" i="1"/>
  <c r="AH1284" i="1"/>
  <c r="AI1284" i="1"/>
  <c r="AJ1284" i="1"/>
  <c r="AQ1284" i="1"/>
  <c r="AR1284" i="1"/>
  <c r="AS1284" i="1"/>
  <c r="L1285" i="1"/>
  <c r="M1285" i="1"/>
  <c r="N1285" i="1"/>
  <c r="O1285" i="1"/>
  <c r="P1285" i="1"/>
  <c r="Q1285" i="1"/>
  <c r="R1285" i="1"/>
  <c r="S1285" i="1"/>
  <c r="T1285" i="1"/>
  <c r="U1285" i="1"/>
  <c r="V1285" i="1"/>
  <c r="W1285" i="1"/>
  <c r="X1285" i="1"/>
  <c r="Y1285" i="1"/>
  <c r="Z1285" i="1"/>
  <c r="AA1285" i="1"/>
  <c r="AB1285" i="1"/>
  <c r="AC1285" i="1"/>
  <c r="AD1285" i="1"/>
  <c r="AE1285" i="1"/>
  <c r="AF1285" i="1"/>
  <c r="AG1285" i="1"/>
  <c r="AH1285" i="1"/>
  <c r="AI1285" i="1"/>
  <c r="AJ1285" i="1"/>
  <c r="AQ1285" i="1"/>
  <c r="AR1285" i="1"/>
  <c r="AS1285" i="1"/>
  <c r="L1286" i="1"/>
  <c r="M1286" i="1"/>
  <c r="N1286" i="1"/>
  <c r="O1286" i="1"/>
  <c r="P1286" i="1"/>
  <c r="Q1286" i="1"/>
  <c r="R1286" i="1"/>
  <c r="S1286" i="1"/>
  <c r="T1286" i="1"/>
  <c r="U1286" i="1"/>
  <c r="V1286" i="1"/>
  <c r="W1286" i="1"/>
  <c r="X1286" i="1"/>
  <c r="Y1286" i="1"/>
  <c r="Z1286" i="1"/>
  <c r="AA1286" i="1"/>
  <c r="AB1286" i="1"/>
  <c r="AC1286" i="1"/>
  <c r="AD1286" i="1"/>
  <c r="AE1286" i="1"/>
  <c r="AF1286" i="1"/>
  <c r="AG1286" i="1"/>
  <c r="AH1286" i="1"/>
  <c r="AI1286" i="1"/>
  <c r="AJ1286" i="1"/>
  <c r="AQ1286" i="1"/>
  <c r="AR1286" i="1"/>
  <c r="AS1286" i="1"/>
  <c r="L1287" i="1"/>
  <c r="M1287" i="1"/>
  <c r="N1287" i="1"/>
  <c r="O1287" i="1"/>
  <c r="P1287" i="1"/>
  <c r="Q1287" i="1"/>
  <c r="R1287" i="1"/>
  <c r="S1287" i="1"/>
  <c r="T1287" i="1"/>
  <c r="U1287" i="1"/>
  <c r="V1287" i="1"/>
  <c r="W1287" i="1"/>
  <c r="X1287" i="1"/>
  <c r="Y1287" i="1"/>
  <c r="Z1287" i="1"/>
  <c r="AA1287" i="1"/>
  <c r="AB1287" i="1"/>
  <c r="AC1287" i="1"/>
  <c r="AD1287" i="1"/>
  <c r="AE1287" i="1"/>
  <c r="AF1287" i="1"/>
  <c r="AG1287" i="1"/>
  <c r="AH1287" i="1"/>
  <c r="AI1287" i="1"/>
  <c r="AJ1287" i="1"/>
  <c r="AQ1287" i="1"/>
  <c r="AR1287" i="1"/>
  <c r="AS1287" i="1"/>
  <c r="L1288" i="1"/>
  <c r="M1288" i="1"/>
  <c r="N1288" i="1"/>
  <c r="O1288" i="1"/>
  <c r="P1288" i="1"/>
  <c r="Q1288" i="1"/>
  <c r="R1288" i="1"/>
  <c r="S1288" i="1"/>
  <c r="T1288" i="1"/>
  <c r="U1288" i="1"/>
  <c r="V1288" i="1"/>
  <c r="W1288" i="1"/>
  <c r="X1288" i="1"/>
  <c r="Y1288" i="1"/>
  <c r="Z1288" i="1"/>
  <c r="AA1288" i="1"/>
  <c r="AB1288" i="1"/>
  <c r="AC1288" i="1"/>
  <c r="AD1288" i="1"/>
  <c r="AE1288" i="1"/>
  <c r="AF1288" i="1"/>
  <c r="AG1288" i="1"/>
  <c r="AH1288" i="1"/>
  <c r="AI1288" i="1"/>
  <c r="AJ1288" i="1"/>
  <c r="AQ1288" i="1"/>
  <c r="AR1288" i="1"/>
  <c r="AS1288" i="1"/>
  <c r="L1289" i="1"/>
  <c r="M1289" i="1"/>
  <c r="N1289" i="1"/>
  <c r="O1289" i="1"/>
  <c r="P1289" i="1"/>
  <c r="Q1289" i="1"/>
  <c r="R1289" i="1"/>
  <c r="S1289" i="1"/>
  <c r="T1289" i="1"/>
  <c r="U1289" i="1"/>
  <c r="V1289" i="1"/>
  <c r="W1289" i="1"/>
  <c r="X1289" i="1"/>
  <c r="Y1289" i="1"/>
  <c r="Z1289" i="1"/>
  <c r="AA1289" i="1"/>
  <c r="AB1289" i="1"/>
  <c r="AC1289" i="1"/>
  <c r="AD1289" i="1"/>
  <c r="AE1289" i="1"/>
  <c r="AF1289" i="1"/>
  <c r="AG1289" i="1"/>
  <c r="AH1289" i="1"/>
  <c r="AI1289" i="1"/>
  <c r="AJ1289" i="1"/>
  <c r="AQ1289" i="1"/>
  <c r="AR1289" i="1"/>
  <c r="AS1289" i="1"/>
  <c r="L1290" i="1"/>
  <c r="M1290" i="1"/>
  <c r="N1290" i="1"/>
  <c r="O1290" i="1"/>
  <c r="P1290" i="1"/>
  <c r="Q1290" i="1"/>
  <c r="R1290" i="1"/>
  <c r="S1290" i="1"/>
  <c r="T1290" i="1"/>
  <c r="U1290" i="1"/>
  <c r="V1290" i="1"/>
  <c r="W1290" i="1"/>
  <c r="X1290" i="1"/>
  <c r="Y1290" i="1"/>
  <c r="Z1290" i="1"/>
  <c r="AA1290" i="1"/>
  <c r="AB1290" i="1"/>
  <c r="AC1290" i="1"/>
  <c r="AD1290" i="1"/>
  <c r="AE1290" i="1"/>
  <c r="AF1290" i="1"/>
  <c r="AG1290" i="1"/>
  <c r="AH1290" i="1"/>
  <c r="AI1290" i="1"/>
  <c r="AJ1290" i="1"/>
  <c r="AQ1290" i="1"/>
  <c r="AR1290" i="1"/>
  <c r="AS1290" i="1"/>
  <c r="L1291" i="1"/>
  <c r="M1291" i="1"/>
  <c r="N1291" i="1"/>
  <c r="O1291" i="1"/>
  <c r="P1291" i="1"/>
  <c r="Q1291" i="1"/>
  <c r="R1291" i="1"/>
  <c r="S1291" i="1"/>
  <c r="T1291" i="1"/>
  <c r="U1291" i="1"/>
  <c r="V1291" i="1"/>
  <c r="W1291" i="1"/>
  <c r="X1291" i="1"/>
  <c r="Y1291" i="1"/>
  <c r="Z1291" i="1"/>
  <c r="AA1291" i="1"/>
  <c r="AB1291" i="1"/>
  <c r="AC1291" i="1"/>
  <c r="AD1291" i="1"/>
  <c r="AE1291" i="1"/>
  <c r="AF1291" i="1"/>
  <c r="AG1291" i="1"/>
  <c r="AH1291" i="1"/>
  <c r="AI1291" i="1"/>
  <c r="AJ1291" i="1"/>
  <c r="AQ1291" i="1"/>
  <c r="AR1291" i="1"/>
  <c r="AS1291" i="1"/>
  <c r="L1292" i="1"/>
  <c r="M1292" i="1"/>
  <c r="N1292" i="1"/>
  <c r="O1292" i="1"/>
  <c r="P1292" i="1"/>
  <c r="Q1292" i="1"/>
  <c r="R1292" i="1"/>
  <c r="S1292" i="1"/>
  <c r="T1292" i="1"/>
  <c r="U1292" i="1"/>
  <c r="V1292" i="1"/>
  <c r="W1292" i="1"/>
  <c r="X1292" i="1"/>
  <c r="Y1292" i="1"/>
  <c r="Z1292" i="1"/>
  <c r="AA1292" i="1"/>
  <c r="AB1292" i="1"/>
  <c r="AC1292" i="1"/>
  <c r="AD1292" i="1"/>
  <c r="AE1292" i="1"/>
  <c r="AF1292" i="1"/>
  <c r="AG1292" i="1"/>
  <c r="AH1292" i="1"/>
  <c r="AI1292" i="1"/>
  <c r="AJ1292" i="1"/>
  <c r="AQ1292" i="1"/>
  <c r="AR1292" i="1"/>
  <c r="AS1292" i="1"/>
  <c r="L1293" i="1"/>
  <c r="M1293" i="1"/>
  <c r="N1293" i="1"/>
  <c r="O1293" i="1"/>
  <c r="P1293" i="1"/>
  <c r="Q1293" i="1"/>
  <c r="R1293" i="1"/>
  <c r="S1293" i="1"/>
  <c r="T1293" i="1"/>
  <c r="U1293" i="1"/>
  <c r="V1293" i="1"/>
  <c r="W1293" i="1"/>
  <c r="X1293" i="1"/>
  <c r="Y1293" i="1"/>
  <c r="Z1293" i="1"/>
  <c r="AA1293" i="1"/>
  <c r="AB1293" i="1"/>
  <c r="AC1293" i="1"/>
  <c r="AD1293" i="1"/>
  <c r="AE1293" i="1"/>
  <c r="AF1293" i="1"/>
  <c r="AG1293" i="1"/>
  <c r="AH1293" i="1"/>
  <c r="AI1293" i="1"/>
  <c r="AJ1293" i="1"/>
  <c r="AQ1293" i="1"/>
  <c r="AR1293" i="1"/>
  <c r="AS1293" i="1"/>
  <c r="L1294" i="1"/>
  <c r="M1294" i="1"/>
  <c r="N1294" i="1"/>
  <c r="O1294" i="1"/>
  <c r="P1294" i="1"/>
  <c r="Q1294" i="1"/>
  <c r="R1294" i="1"/>
  <c r="S1294" i="1"/>
  <c r="T1294" i="1"/>
  <c r="U1294" i="1"/>
  <c r="V1294" i="1"/>
  <c r="W1294" i="1"/>
  <c r="X1294" i="1"/>
  <c r="Y1294" i="1"/>
  <c r="Z1294" i="1"/>
  <c r="AA1294" i="1"/>
  <c r="AB1294" i="1"/>
  <c r="AC1294" i="1"/>
  <c r="AD1294" i="1"/>
  <c r="AE1294" i="1"/>
  <c r="AF1294" i="1"/>
  <c r="AG1294" i="1"/>
  <c r="AH1294" i="1"/>
  <c r="AI1294" i="1"/>
  <c r="AJ1294" i="1"/>
  <c r="AQ1294" i="1"/>
  <c r="AR1294" i="1"/>
  <c r="AS1294" i="1"/>
  <c r="L1295" i="1"/>
  <c r="M1295" i="1"/>
  <c r="N1295" i="1"/>
  <c r="O1295" i="1"/>
  <c r="P1295" i="1"/>
  <c r="Q1295" i="1"/>
  <c r="R1295" i="1"/>
  <c r="S1295" i="1"/>
  <c r="T1295" i="1"/>
  <c r="U1295" i="1"/>
  <c r="V1295" i="1"/>
  <c r="W1295" i="1"/>
  <c r="X1295" i="1"/>
  <c r="Y1295" i="1"/>
  <c r="Z1295" i="1"/>
  <c r="AA1295" i="1"/>
  <c r="AB1295" i="1"/>
  <c r="AC1295" i="1"/>
  <c r="AD1295" i="1"/>
  <c r="AE1295" i="1"/>
  <c r="AF1295" i="1"/>
  <c r="AG1295" i="1"/>
  <c r="AH1295" i="1"/>
  <c r="AI1295" i="1"/>
  <c r="AJ1295" i="1"/>
  <c r="AQ1295" i="1"/>
  <c r="AR1295" i="1"/>
  <c r="AS1295" i="1"/>
  <c r="L1296" i="1"/>
  <c r="M1296" i="1"/>
  <c r="N1296" i="1"/>
  <c r="O1296" i="1"/>
  <c r="P1296" i="1"/>
  <c r="Q1296" i="1"/>
  <c r="R1296" i="1"/>
  <c r="S1296" i="1"/>
  <c r="T1296" i="1"/>
  <c r="U1296" i="1"/>
  <c r="V1296" i="1"/>
  <c r="W1296" i="1"/>
  <c r="X1296" i="1"/>
  <c r="Y1296" i="1"/>
  <c r="Z1296" i="1"/>
  <c r="AA1296" i="1"/>
  <c r="AB1296" i="1"/>
  <c r="AC1296" i="1"/>
  <c r="AD1296" i="1"/>
  <c r="AE1296" i="1"/>
  <c r="AF1296" i="1"/>
  <c r="AG1296" i="1"/>
  <c r="AH1296" i="1"/>
  <c r="AI1296" i="1"/>
  <c r="AJ1296" i="1"/>
  <c r="AQ1296" i="1"/>
  <c r="AR1296" i="1"/>
  <c r="AS1296" i="1"/>
  <c r="L1297" i="1"/>
  <c r="M1297" i="1"/>
  <c r="N1297" i="1"/>
  <c r="O1297" i="1"/>
  <c r="P1297" i="1"/>
  <c r="Q1297" i="1"/>
  <c r="R1297" i="1"/>
  <c r="S1297" i="1"/>
  <c r="T1297" i="1"/>
  <c r="U1297" i="1"/>
  <c r="V1297" i="1"/>
  <c r="W1297" i="1"/>
  <c r="X1297" i="1"/>
  <c r="Y1297" i="1"/>
  <c r="Z1297" i="1"/>
  <c r="AA1297" i="1"/>
  <c r="AB1297" i="1"/>
  <c r="AC1297" i="1"/>
  <c r="AD1297" i="1"/>
  <c r="AE1297" i="1"/>
  <c r="AF1297" i="1"/>
  <c r="AG1297" i="1"/>
  <c r="AH1297" i="1"/>
  <c r="AI1297" i="1"/>
  <c r="AJ1297" i="1"/>
  <c r="AQ1297" i="1"/>
  <c r="AR1297" i="1"/>
  <c r="AS1297" i="1"/>
  <c r="L1298" i="1"/>
  <c r="M1298" i="1"/>
  <c r="N1298" i="1"/>
  <c r="O1298" i="1"/>
  <c r="P1298" i="1"/>
  <c r="Q1298" i="1"/>
  <c r="R1298" i="1"/>
  <c r="S1298" i="1"/>
  <c r="T1298" i="1"/>
  <c r="U1298" i="1"/>
  <c r="V1298" i="1"/>
  <c r="W1298" i="1"/>
  <c r="X1298" i="1"/>
  <c r="Y1298" i="1"/>
  <c r="Z1298" i="1"/>
  <c r="AA1298" i="1"/>
  <c r="AB1298" i="1"/>
  <c r="AC1298" i="1"/>
  <c r="AD1298" i="1"/>
  <c r="AE1298" i="1"/>
  <c r="AF1298" i="1"/>
  <c r="AG1298" i="1"/>
  <c r="AH1298" i="1"/>
  <c r="AI1298" i="1"/>
  <c r="AJ1298" i="1"/>
  <c r="AQ1298" i="1"/>
  <c r="AR1298" i="1"/>
  <c r="AS1298" i="1"/>
  <c r="L1299" i="1"/>
  <c r="M1299" i="1"/>
  <c r="N1299" i="1"/>
  <c r="O1299" i="1"/>
  <c r="P1299" i="1"/>
  <c r="Q1299" i="1"/>
  <c r="R1299" i="1"/>
  <c r="S1299" i="1"/>
  <c r="T1299" i="1"/>
  <c r="U1299" i="1"/>
  <c r="V1299" i="1"/>
  <c r="W1299" i="1"/>
  <c r="X1299" i="1"/>
  <c r="Y1299" i="1"/>
  <c r="Z1299" i="1"/>
  <c r="AA1299" i="1"/>
  <c r="AB1299" i="1"/>
  <c r="AC1299" i="1"/>
  <c r="AD1299" i="1"/>
  <c r="AE1299" i="1"/>
  <c r="AF1299" i="1"/>
  <c r="AG1299" i="1"/>
  <c r="AH1299" i="1"/>
  <c r="AI1299" i="1"/>
  <c r="AJ1299" i="1"/>
  <c r="AQ1299" i="1"/>
  <c r="AR1299" i="1"/>
  <c r="AS1299" i="1"/>
  <c r="L1300" i="1"/>
  <c r="M1300" i="1"/>
  <c r="N1300" i="1"/>
  <c r="O1300" i="1"/>
  <c r="P1300" i="1"/>
  <c r="Q1300" i="1"/>
  <c r="R1300" i="1"/>
  <c r="S1300" i="1"/>
  <c r="T1300" i="1"/>
  <c r="U1300" i="1"/>
  <c r="V1300" i="1"/>
  <c r="W1300" i="1"/>
  <c r="X1300" i="1"/>
  <c r="Y1300" i="1"/>
  <c r="Z1300" i="1"/>
  <c r="AA1300" i="1"/>
  <c r="AB1300" i="1"/>
  <c r="AC1300" i="1"/>
  <c r="AD1300" i="1"/>
  <c r="AE1300" i="1"/>
  <c r="AF1300" i="1"/>
  <c r="AG1300" i="1"/>
  <c r="AH1300" i="1"/>
  <c r="AI1300" i="1"/>
  <c r="AJ1300" i="1"/>
  <c r="AQ1300" i="1"/>
  <c r="AR1300" i="1"/>
  <c r="AS1300" i="1"/>
  <c r="L1301" i="1"/>
  <c r="M1301" i="1"/>
  <c r="N1301" i="1"/>
  <c r="O1301" i="1"/>
  <c r="P1301" i="1"/>
  <c r="Q1301" i="1"/>
  <c r="R1301" i="1"/>
  <c r="S1301" i="1"/>
  <c r="T1301" i="1"/>
  <c r="U1301" i="1"/>
  <c r="V1301" i="1"/>
  <c r="W1301" i="1"/>
  <c r="X1301" i="1"/>
  <c r="Y1301" i="1"/>
  <c r="Z1301" i="1"/>
  <c r="AA1301" i="1"/>
  <c r="AB1301" i="1"/>
  <c r="AC1301" i="1"/>
  <c r="AD1301" i="1"/>
  <c r="AE1301" i="1"/>
  <c r="AF1301" i="1"/>
  <c r="AG1301" i="1"/>
  <c r="AH1301" i="1"/>
  <c r="AI1301" i="1"/>
  <c r="AJ1301" i="1"/>
  <c r="AQ1301" i="1"/>
  <c r="AR1301" i="1"/>
  <c r="AS1301" i="1"/>
  <c r="L1302" i="1"/>
  <c r="M1302" i="1"/>
  <c r="N1302" i="1"/>
  <c r="O1302" i="1"/>
  <c r="P1302" i="1"/>
  <c r="Q1302" i="1"/>
  <c r="R1302" i="1"/>
  <c r="S1302" i="1"/>
  <c r="T1302" i="1"/>
  <c r="U1302" i="1"/>
  <c r="V1302" i="1"/>
  <c r="W1302" i="1"/>
  <c r="X1302" i="1"/>
  <c r="Y1302" i="1"/>
  <c r="Z1302" i="1"/>
  <c r="AA1302" i="1"/>
  <c r="AB1302" i="1"/>
  <c r="AC1302" i="1"/>
  <c r="AD1302" i="1"/>
  <c r="AE1302" i="1"/>
  <c r="AF1302" i="1"/>
  <c r="AG1302" i="1"/>
  <c r="AH1302" i="1"/>
  <c r="AI1302" i="1"/>
  <c r="AJ1302" i="1"/>
  <c r="AQ1302" i="1"/>
  <c r="AR1302" i="1"/>
  <c r="AS1302" i="1"/>
  <c r="L1303" i="1"/>
  <c r="M1303" i="1"/>
  <c r="N1303" i="1"/>
  <c r="O1303" i="1"/>
  <c r="P1303" i="1"/>
  <c r="Q1303" i="1"/>
  <c r="R1303" i="1"/>
  <c r="S1303" i="1"/>
  <c r="T1303" i="1"/>
  <c r="U1303" i="1"/>
  <c r="V1303" i="1"/>
  <c r="W1303" i="1"/>
  <c r="X1303" i="1"/>
  <c r="Y1303" i="1"/>
  <c r="Z1303" i="1"/>
  <c r="AA1303" i="1"/>
  <c r="AB1303" i="1"/>
  <c r="AC1303" i="1"/>
  <c r="AD1303" i="1"/>
  <c r="AE1303" i="1"/>
  <c r="AF1303" i="1"/>
  <c r="AG1303" i="1"/>
  <c r="AH1303" i="1"/>
  <c r="AI1303" i="1"/>
  <c r="AJ1303" i="1"/>
  <c r="AQ1303" i="1"/>
  <c r="AR1303" i="1"/>
  <c r="AS1303" i="1"/>
  <c r="L1304" i="1"/>
  <c r="M1304" i="1"/>
  <c r="N1304" i="1"/>
  <c r="O1304" i="1"/>
  <c r="P1304" i="1"/>
  <c r="Q1304" i="1"/>
  <c r="R1304" i="1"/>
  <c r="S1304" i="1"/>
  <c r="T1304" i="1"/>
  <c r="U1304" i="1"/>
  <c r="V1304" i="1"/>
  <c r="W1304" i="1"/>
  <c r="X1304" i="1"/>
  <c r="Y1304" i="1"/>
  <c r="Z1304" i="1"/>
  <c r="AA1304" i="1"/>
  <c r="AB1304" i="1"/>
  <c r="AC1304" i="1"/>
  <c r="AD1304" i="1"/>
  <c r="AE1304" i="1"/>
  <c r="AF1304" i="1"/>
  <c r="AG1304" i="1"/>
  <c r="AH1304" i="1"/>
  <c r="AI1304" i="1"/>
  <c r="AJ1304" i="1"/>
  <c r="AQ1304" i="1"/>
  <c r="AR1304" i="1"/>
  <c r="AS1304" i="1"/>
  <c r="L1305" i="1"/>
  <c r="M1305" i="1"/>
  <c r="N1305" i="1"/>
  <c r="O1305" i="1"/>
  <c r="P1305" i="1"/>
  <c r="Q1305" i="1"/>
  <c r="R1305" i="1"/>
  <c r="S1305" i="1"/>
  <c r="T1305" i="1"/>
  <c r="U1305" i="1"/>
  <c r="V1305" i="1"/>
  <c r="W1305" i="1"/>
  <c r="X1305" i="1"/>
  <c r="Y1305" i="1"/>
  <c r="Z1305" i="1"/>
  <c r="AA1305" i="1"/>
  <c r="AB1305" i="1"/>
  <c r="AC1305" i="1"/>
  <c r="AD1305" i="1"/>
  <c r="AE1305" i="1"/>
  <c r="AF1305" i="1"/>
  <c r="AG1305" i="1"/>
  <c r="AH1305" i="1"/>
  <c r="AI1305" i="1"/>
  <c r="AJ1305" i="1"/>
  <c r="AQ1305" i="1"/>
  <c r="AR1305" i="1"/>
  <c r="AS1305" i="1"/>
  <c r="L1306" i="1"/>
  <c r="M1306" i="1"/>
  <c r="N1306" i="1"/>
  <c r="O1306" i="1"/>
  <c r="P1306" i="1"/>
  <c r="Q1306" i="1"/>
  <c r="R1306" i="1"/>
  <c r="S1306" i="1"/>
  <c r="T1306" i="1"/>
  <c r="U1306" i="1"/>
  <c r="V1306" i="1"/>
  <c r="W1306" i="1"/>
  <c r="X1306" i="1"/>
  <c r="Y1306" i="1"/>
  <c r="Z1306" i="1"/>
  <c r="AA1306" i="1"/>
  <c r="AB1306" i="1"/>
  <c r="AC1306" i="1"/>
  <c r="AD1306" i="1"/>
  <c r="AE1306" i="1"/>
  <c r="AF1306" i="1"/>
  <c r="AG1306" i="1"/>
  <c r="AH1306" i="1"/>
  <c r="AI1306" i="1"/>
  <c r="AJ1306" i="1"/>
  <c r="AQ1306" i="1"/>
  <c r="AR1306" i="1"/>
  <c r="AS1306" i="1"/>
  <c r="L1307" i="1"/>
  <c r="M1307" i="1"/>
  <c r="N1307" i="1"/>
  <c r="O1307" i="1"/>
  <c r="P1307" i="1"/>
  <c r="Q1307" i="1"/>
  <c r="R1307" i="1"/>
  <c r="S1307" i="1"/>
  <c r="T1307" i="1"/>
  <c r="U1307" i="1"/>
  <c r="V1307" i="1"/>
  <c r="W1307" i="1"/>
  <c r="X1307" i="1"/>
  <c r="Y1307" i="1"/>
  <c r="Z1307" i="1"/>
  <c r="AA1307" i="1"/>
  <c r="AB1307" i="1"/>
  <c r="AC1307" i="1"/>
  <c r="AD1307" i="1"/>
  <c r="AE1307" i="1"/>
  <c r="AF1307" i="1"/>
  <c r="AG1307" i="1"/>
  <c r="AH1307" i="1"/>
  <c r="AI1307" i="1"/>
  <c r="AJ1307" i="1"/>
  <c r="AQ1307" i="1"/>
  <c r="AR1307" i="1"/>
  <c r="AS1307" i="1"/>
  <c r="L1308" i="1"/>
  <c r="M1308" i="1"/>
  <c r="N1308" i="1"/>
  <c r="O1308" i="1"/>
  <c r="P1308" i="1"/>
  <c r="Q1308" i="1"/>
  <c r="R1308" i="1"/>
  <c r="S1308" i="1"/>
  <c r="T1308" i="1"/>
  <c r="U1308" i="1"/>
  <c r="V1308" i="1"/>
  <c r="W1308" i="1"/>
  <c r="X1308" i="1"/>
  <c r="Y1308" i="1"/>
  <c r="Z1308" i="1"/>
  <c r="AA1308" i="1"/>
  <c r="AB1308" i="1"/>
  <c r="AC1308" i="1"/>
  <c r="AD1308" i="1"/>
  <c r="AE1308" i="1"/>
  <c r="AF1308" i="1"/>
  <c r="AG1308" i="1"/>
  <c r="AH1308" i="1"/>
  <c r="AI1308" i="1"/>
  <c r="AJ1308" i="1"/>
  <c r="AQ1308" i="1"/>
  <c r="AR1308" i="1"/>
  <c r="AS1308" i="1"/>
  <c r="L1309" i="1"/>
  <c r="M1309" i="1"/>
  <c r="N1309" i="1"/>
  <c r="O1309" i="1"/>
  <c r="P1309" i="1"/>
  <c r="Q1309" i="1"/>
  <c r="R1309" i="1"/>
  <c r="S1309" i="1"/>
  <c r="T1309" i="1"/>
  <c r="U1309" i="1"/>
  <c r="V1309" i="1"/>
  <c r="W1309" i="1"/>
  <c r="X1309" i="1"/>
  <c r="Y1309" i="1"/>
  <c r="Z1309" i="1"/>
  <c r="AA1309" i="1"/>
  <c r="AB1309" i="1"/>
  <c r="AC1309" i="1"/>
  <c r="AD1309" i="1"/>
  <c r="AE1309" i="1"/>
  <c r="AF1309" i="1"/>
  <c r="AG1309" i="1"/>
  <c r="AH1309" i="1"/>
  <c r="AI1309" i="1"/>
  <c r="AJ1309" i="1"/>
  <c r="AQ1309" i="1"/>
  <c r="AR1309" i="1"/>
  <c r="AS1309" i="1"/>
  <c r="L1310" i="1"/>
  <c r="M1310" i="1"/>
  <c r="N1310" i="1"/>
  <c r="O1310" i="1"/>
  <c r="P1310" i="1"/>
  <c r="Q1310" i="1"/>
  <c r="R1310" i="1"/>
  <c r="S1310" i="1"/>
  <c r="T1310" i="1"/>
  <c r="U1310" i="1"/>
  <c r="V1310" i="1"/>
  <c r="W1310" i="1"/>
  <c r="X1310" i="1"/>
  <c r="Y1310" i="1"/>
  <c r="Z1310" i="1"/>
  <c r="AA1310" i="1"/>
  <c r="AB1310" i="1"/>
  <c r="AC1310" i="1"/>
  <c r="AD1310" i="1"/>
  <c r="AE1310" i="1"/>
  <c r="AF1310" i="1"/>
  <c r="AG1310" i="1"/>
  <c r="AH1310" i="1"/>
  <c r="AI1310" i="1"/>
  <c r="AJ1310" i="1"/>
  <c r="AQ1310" i="1"/>
  <c r="AR1310" i="1"/>
  <c r="AS1310" i="1"/>
  <c r="L1311" i="1"/>
  <c r="M1311" i="1"/>
  <c r="N1311" i="1"/>
  <c r="O1311" i="1"/>
  <c r="P1311" i="1"/>
  <c r="Q1311" i="1"/>
  <c r="R1311" i="1"/>
  <c r="S1311" i="1"/>
  <c r="T1311" i="1"/>
  <c r="U1311" i="1"/>
  <c r="V1311" i="1"/>
  <c r="W1311" i="1"/>
  <c r="X1311" i="1"/>
  <c r="Y1311" i="1"/>
  <c r="Z1311" i="1"/>
  <c r="AA1311" i="1"/>
  <c r="AB1311" i="1"/>
  <c r="AC1311" i="1"/>
  <c r="AD1311" i="1"/>
  <c r="AE1311" i="1"/>
  <c r="AF1311" i="1"/>
  <c r="AG1311" i="1"/>
  <c r="AH1311" i="1"/>
  <c r="AI1311" i="1"/>
  <c r="AJ1311" i="1"/>
  <c r="AQ1311" i="1"/>
  <c r="AR1311" i="1"/>
  <c r="AS1311" i="1"/>
  <c r="L1312" i="1"/>
  <c r="M1312" i="1"/>
  <c r="N1312" i="1"/>
  <c r="O1312" i="1"/>
  <c r="P1312" i="1"/>
  <c r="Q1312" i="1"/>
  <c r="R1312" i="1"/>
  <c r="S1312" i="1"/>
  <c r="T1312" i="1"/>
  <c r="U1312" i="1"/>
  <c r="V1312" i="1"/>
  <c r="W1312" i="1"/>
  <c r="X1312" i="1"/>
  <c r="Y1312" i="1"/>
  <c r="Z1312" i="1"/>
  <c r="AA1312" i="1"/>
  <c r="AB1312" i="1"/>
  <c r="AC1312" i="1"/>
  <c r="AD1312" i="1"/>
  <c r="AE1312" i="1"/>
  <c r="AF1312" i="1"/>
  <c r="AG1312" i="1"/>
  <c r="AH1312" i="1"/>
  <c r="AI1312" i="1"/>
  <c r="AJ1312" i="1"/>
  <c r="AQ1312" i="1"/>
  <c r="AR1312" i="1"/>
  <c r="AS1312" i="1"/>
  <c r="L1313" i="1"/>
  <c r="M1313" i="1"/>
  <c r="N1313" i="1"/>
  <c r="O1313" i="1"/>
  <c r="P1313" i="1"/>
  <c r="Q1313" i="1"/>
  <c r="R1313" i="1"/>
  <c r="S1313" i="1"/>
  <c r="T1313" i="1"/>
  <c r="U1313" i="1"/>
  <c r="V1313" i="1"/>
  <c r="W1313" i="1"/>
  <c r="X1313" i="1"/>
  <c r="Y1313" i="1"/>
  <c r="Z1313" i="1"/>
  <c r="AA1313" i="1"/>
  <c r="AB1313" i="1"/>
  <c r="AC1313" i="1"/>
  <c r="AD1313" i="1"/>
  <c r="AE1313" i="1"/>
  <c r="AF1313" i="1"/>
  <c r="AG1313" i="1"/>
  <c r="AH1313" i="1"/>
  <c r="AI1313" i="1"/>
  <c r="AJ1313" i="1"/>
  <c r="AQ1313" i="1"/>
  <c r="AR1313" i="1"/>
  <c r="AS1313" i="1"/>
  <c r="L1314" i="1"/>
  <c r="M1314" i="1"/>
  <c r="N1314" i="1"/>
  <c r="O1314" i="1"/>
  <c r="P1314" i="1"/>
  <c r="Q1314" i="1"/>
  <c r="R1314" i="1"/>
  <c r="S1314" i="1"/>
  <c r="T1314" i="1"/>
  <c r="U1314" i="1"/>
  <c r="V1314" i="1"/>
  <c r="W1314" i="1"/>
  <c r="X1314" i="1"/>
  <c r="Y1314" i="1"/>
  <c r="Z1314" i="1"/>
  <c r="AA1314" i="1"/>
  <c r="AB1314" i="1"/>
  <c r="AC1314" i="1"/>
  <c r="AD1314" i="1"/>
  <c r="AE1314" i="1"/>
  <c r="AF1314" i="1"/>
  <c r="AG1314" i="1"/>
  <c r="AH1314" i="1"/>
  <c r="AI1314" i="1"/>
  <c r="AJ1314" i="1"/>
  <c r="AQ1314" i="1"/>
  <c r="AR1314" i="1"/>
  <c r="AS1314" i="1"/>
  <c r="L1315" i="1"/>
  <c r="M1315" i="1"/>
  <c r="N1315" i="1"/>
  <c r="O1315" i="1"/>
  <c r="P1315" i="1"/>
  <c r="Q1315" i="1"/>
  <c r="R1315" i="1"/>
  <c r="S1315" i="1"/>
  <c r="T1315" i="1"/>
  <c r="U1315" i="1"/>
  <c r="V1315" i="1"/>
  <c r="W1315" i="1"/>
  <c r="X1315" i="1"/>
  <c r="Y1315" i="1"/>
  <c r="Z1315" i="1"/>
  <c r="AA1315" i="1"/>
  <c r="AB1315" i="1"/>
  <c r="AC1315" i="1"/>
  <c r="AD1315" i="1"/>
  <c r="AE1315" i="1"/>
  <c r="AF1315" i="1"/>
  <c r="AG1315" i="1"/>
  <c r="AH1315" i="1"/>
  <c r="AI1315" i="1"/>
  <c r="AJ1315" i="1"/>
  <c r="AQ1315" i="1"/>
  <c r="AR1315" i="1"/>
  <c r="AS1315" i="1"/>
  <c r="L1316" i="1"/>
  <c r="M1316" i="1"/>
  <c r="N1316" i="1"/>
  <c r="O1316" i="1"/>
  <c r="P1316" i="1"/>
  <c r="Q1316" i="1"/>
  <c r="R1316" i="1"/>
  <c r="S1316" i="1"/>
  <c r="T1316" i="1"/>
  <c r="U1316" i="1"/>
  <c r="V1316" i="1"/>
  <c r="W1316" i="1"/>
  <c r="X1316" i="1"/>
  <c r="Y1316" i="1"/>
  <c r="Z1316" i="1"/>
  <c r="AA1316" i="1"/>
  <c r="AB1316" i="1"/>
  <c r="AC1316" i="1"/>
  <c r="AD1316" i="1"/>
  <c r="AE1316" i="1"/>
  <c r="AF1316" i="1"/>
  <c r="AG1316" i="1"/>
  <c r="AH1316" i="1"/>
  <c r="AI1316" i="1"/>
  <c r="AJ1316" i="1"/>
  <c r="AQ1316" i="1"/>
  <c r="AR1316" i="1"/>
  <c r="AS1316" i="1"/>
  <c r="L1317" i="1"/>
  <c r="M1317" i="1"/>
  <c r="N1317" i="1"/>
  <c r="O1317" i="1"/>
  <c r="P1317" i="1"/>
  <c r="Q1317" i="1"/>
  <c r="R1317" i="1"/>
  <c r="S1317" i="1"/>
  <c r="T1317" i="1"/>
  <c r="U1317" i="1"/>
  <c r="V1317" i="1"/>
  <c r="W1317" i="1"/>
  <c r="X1317" i="1"/>
  <c r="Y1317" i="1"/>
  <c r="Z1317" i="1"/>
  <c r="AA1317" i="1"/>
  <c r="AB1317" i="1"/>
  <c r="AC1317" i="1"/>
  <c r="AD1317" i="1"/>
  <c r="AE1317" i="1"/>
  <c r="AF1317" i="1"/>
  <c r="AG1317" i="1"/>
  <c r="AH1317" i="1"/>
  <c r="AI1317" i="1"/>
  <c r="AJ1317" i="1"/>
  <c r="AQ1317" i="1"/>
  <c r="AR1317" i="1"/>
  <c r="AS1317" i="1"/>
  <c r="L1318" i="1"/>
  <c r="M1318" i="1"/>
  <c r="N1318" i="1"/>
  <c r="O1318" i="1"/>
  <c r="P1318" i="1"/>
  <c r="Q1318" i="1"/>
  <c r="R1318" i="1"/>
  <c r="S1318" i="1"/>
  <c r="T1318" i="1"/>
  <c r="U1318" i="1"/>
  <c r="V1318" i="1"/>
  <c r="W1318" i="1"/>
  <c r="X1318" i="1"/>
  <c r="Y1318" i="1"/>
  <c r="Z1318" i="1"/>
  <c r="AA1318" i="1"/>
  <c r="AB1318" i="1"/>
  <c r="AC1318" i="1"/>
  <c r="AD1318" i="1"/>
  <c r="AE1318" i="1"/>
  <c r="AF1318" i="1"/>
  <c r="AG1318" i="1"/>
  <c r="AH1318" i="1"/>
  <c r="AI1318" i="1"/>
  <c r="AJ1318" i="1"/>
  <c r="AQ1318" i="1"/>
  <c r="AR1318" i="1"/>
  <c r="AS1318" i="1"/>
  <c r="L1319" i="1"/>
  <c r="M1319" i="1"/>
  <c r="N1319" i="1"/>
  <c r="O1319" i="1"/>
  <c r="P1319" i="1"/>
  <c r="Q1319" i="1"/>
  <c r="R1319" i="1"/>
  <c r="S1319" i="1"/>
  <c r="T1319" i="1"/>
  <c r="U1319" i="1"/>
  <c r="V1319" i="1"/>
  <c r="W1319" i="1"/>
  <c r="X1319" i="1"/>
  <c r="Y1319" i="1"/>
  <c r="Z1319" i="1"/>
  <c r="AA1319" i="1"/>
  <c r="AB1319" i="1"/>
  <c r="AC1319" i="1"/>
  <c r="AD1319" i="1"/>
  <c r="AE1319" i="1"/>
  <c r="AF1319" i="1"/>
  <c r="AG1319" i="1"/>
  <c r="AH1319" i="1"/>
  <c r="AI1319" i="1"/>
  <c r="AJ1319" i="1"/>
  <c r="AQ1319" i="1"/>
  <c r="AR1319" i="1"/>
  <c r="AS1319" i="1"/>
  <c r="L1320" i="1"/>
  <c r="M1320" i="1"/>
  <c r="N1320" i="1"/>
  <c r="O1320" i="1"/>
  <c r="P1320" i="1"/>
  <c r="Q1320" i="1"/>
  <c r="R1320" i="1"/>
  <c r="S1320" i="1"/>
  <c r="T1320" i="1"/>
  <c r="U1320" i="1"/>
  <c r="V1320" i="1"/>
  <c r="W1320" i="1"/>
  <c r="X1320" i="1"/>
  <c r="Y1320" i="1"/>
  <c r="Z1320" i="1"/>
  <c r="AA1320" i="1"/>
  <c r="AB1320" i="1"/>
  <c r="AC1320" i="1"/>
  <c r="AD1320" i="1"/>
  <c r="AE1320" i="1"/>
  <c r="AF1320" i="1"/>
  <c r="AG1320" i="1"/>
  <c r="AH1320" i="1"/>
  <c r="AI1320" i="1"/>
  <c r="AJ1320" i="1"/>
  <c r="AQ1320" i="1"/>
  <c r="AR1320" i="1"/>
  <c r="AS1320" i="1"/>
  <c r="L1321" i="1"/>
  <c r="M1321" i="1"/>
  <c r="N1321" i="1"/>
  <c r="O1321" i="1"/>
  <c r="P1321" i="1"/>
  <c r="Q1321" i="1"/>
  <c r="R1321" i="1"/>
  <c r="S1321" i="1"/>
  <c r="T1321" i="1"/>
  <c r="U1321" i="1"/>
  <c r="V1321" i="1"/>
  <c r="W1321" i="1"/>
  <c r="X1321" i="1"/>
  <c r="Y1321" i="1"/>
  <c r="Z1321" i="1"/>
  <c r="AA1321" i="1"/>
  <c r="AB1321" i="1"/>
  <c r="AC1321" i="1"/>
  <c r="AD1321" i="1"/>
  <c r="AE1321" i="1"/>
  <c r="AF1321" i="1"/>
  <c r="AG1321" i="1"/>
  <c r="AH1321" i="1"/>
  <c r="AI1321" i="1"/>
  <c r="AJ1321" i="1"/>
  <c r="AQ1321" i="1"/>
  <c r="AR1321" i="1"/>
  <c r="AS1321" i="1"/>
  <c r="L1322" i="1"/>
  <c r="M1322" i="1"/>
  <c r="N1322" i="1"/>
  <c r="O1322" i="1"/>
  <c r="P1322" i="1"/>
  <c r="Q1322" i="1"/>
  <c r="R1322" i="1"/>
  <c r="S1322" i="1"/>
  <c r="T1322" i="1"/>
  <c r="U1322" i="1"/>
  <c r="V1322" i="1"/>
  <c r="W1322" i="1"/>
  <c r="X1322" i="1"/>
  <c r="Y1322" i="1"/>
  <c r="Z1322" i="1"/>
  <c r="AA1322" i="1"/>
  <c r="AB1322" i="1"/>
  <c r="AC1322" i="1"/>
  <c r="AD1322" i="1"/>
  <c r="AE1322" i="1"/>
  <c r="AF1322" i="1"/>
  <c r="AG1322" i="1"/>
  <c r="AH1322" i="1"/>
  <c r="AI1322" i="1"/>
  <c r="AJ1322" i="1"/>
  <c r="AQ1322" i="1"/>
  <c r="AR1322" i="1"/>
  <c r="AS1322" i="1"/>
  <c r="L1323" i="1"/>
  <c r="M1323" i="1"/>
  <c r="N1323" i="1"/>
  <c r="O1323" i="1"/>
  <c r="P1323" i="1"/>
  <c r="Q1323" i="1"/>
  <c r="R1323" i="1"/>
  <c r="S1323" i="1"/>
  <c r="T1323" i="1"/>
  <c r="U1323" i="1"/>
  <c r="V1323" i="1"/>
  <c r="W1323" i="1"/>
  <c r="X1323" i="1"/>
  <c r="Y1323" i="1"/>
  <c r="Z1323" i="1"/>
  <c r="AA1323" i="1"/>
  <c r="AB1323" i="1"/>
  <c r="AC1323" i="1"/>
  <c r="AD1323" i="1"/>
  <c r="AE1323" i="1"/>
  <c r="AF1323" i="1"/>
  <c r="AG1323" i="1"/>
  <c r="AH1323" i="1"/>
  <c r="AI1323" i="1"/>
  <c r="AJ1323" i="1"/>
  <c r="AQ1323" i="1"/>
  <c r="AR1323" i="1"/>
  <c r="AS1323" i="1"/>
  <c r="L1324" i="1"/>
  <c r="M1324" i="1"/>
  <c r="N1324" i="1"/>
  <c r="O1324" i="1"/>
  <c r="P1324" i="1"/>
  <c r="Q1324" i="1"/>
  <c r="R1324" i="1"/>
  <c r="S1324" i="1"/>
  <c r="T1324" i="1"/>
  <c r="U1324" i="1"/>
  <c r="V1324" i="1"/>
  <c r="W1324" i="1"/>
  <c r="X1324" i="1"/>
  <c r="Y1324" i="1"/>
  <c r="Z1324" i="1"/>
  <c r="AA1324" i="1"/>
  <c r="AB1324" i="1"/>
  <c r="AC1324" i="1"/>
  <c r="AD1324" i="1"/>
  <c r="AE1324" i="1"/>
  <c r="AF1324" i="1"/>
  <c r="AG1324" i="1"/>
  <c r="AH1324" i="1"/>
  <c r="AI1324" i="1"/>
  <c r="AJ1324" i="1"/>
  <c r="AQ1324" i="1"/>
  <c r="AR1324" i="1"/>
  <c r="AS1324" i="1"/>
  <c r="L1325" i="1"/>
  <c r="M1325" i="1"/>
  <c r="N1325" i="1"/>
  <c r="O1325" i="1"/>
  <c r="P1325" i="1"/>
  <c r="Q1325" i="1"/>
  <c r="R1325" i="1"/>
  <c r="S1325" i="1"/>
  <c r="T1325" i="1"/>
  <c r="U1325" i="1"/>
  <c r="V1325" i="1"/>
  <c r="W1325" i="1"/>
  <c r="X1325" i="1"/>
  <c r="Y1325" i="1"/>
  <c r="Z1325" i="1"/>
  <c r="AA1325" i="1"/>
  <c r="AB1325" i="1"/>
  <c r="AC1325" i="1"/>
  <c r="AD1325" i="1"/>
  <c r="AE1325" i="1"/>
  <c r="AF1325" i="1"/>
  <c r="AG1325" i="1"/>
  <c r="AH1325" i="1"/>
  <c r="AI1325" i="1"/>
  <c r="AJ1325" i="1"/>
  <c r="AQ1325" i="1"/>
  <c r="AR1325" i="1"/>
  <c r="AS1325" i="1"/>
  <c r="L1326" i="1"/>
  <c r="M1326" i="1"/>
  <c r="N1326" i="1"/>
  <c r="O1326" i="1"/>
  <c r="P1326" i="1"/>
  <c r="Q1326" i="1"/>
  <c r="R1326" i="1"/>
  <c r="S1326" i="1"/>
  <c r="T1326" i="1"/>
  <c r="U1326" i="1"/>
  <c r="V1326" i="1"/>
  <c r="W1326" i="1"/>
  <c r="X1326" i="1"/>
  <c r="Y1326" i="1"/>
  <c r="Z1326" i="1"/>
  <c r="AA1326" i="1"/>
  <c r="AB1326" i="1"/>
  <c r="AC1326" i="1"/>
  <c r="AD1326" i="1"/>
  <c r="AE1326" i="1"/>
  <c r="AF1326" i="1"/>
  <c r="AG1326" i="1"/>
  <c r="AH1326" i="1"/>
  <c r="AI1326" i="1"/>
  <c r="AJ1326" i="1"/>
  <c r="AQ1326" i="1"/>
  <c r="AR1326" i="1"/>
  <c r="AS1326" i="1"/>
  <c r="L1327" i="1"/>
  <c r="M1327" i="1"/>
  <c r="N1327" i="1"/>
  <c r="O1327" i="1"/>
  <c r="P1327" i="1"/>
  <c r="Q1327" i="1"/>
  <c r="R1327" i="1"/>
  <c r="S1327" i="1"/>
  <c r="T1327" i="1"/>
  <c r="U1327" i="1"/>
  <c r="V1327" i="1"/>
  <c r="W1327" i="1"/>
  <c r="X1327" i="1"/>
  <c r="Y1327" i="1"/>
  <c r="Z1327" i="1"/>
  <c r="AA1327" i="1"/>
  <c r="AB1327" i="1"/>
  <c r="AC1327" i="1"/>
  <c r="AD1327" i="1"/>
  <c r="AE1327" i="1"/>
  <c r="AF1327" i="1"/>
  <c r="AG1327" i="1"/>
  <c r="AH1327" i="1"/>
  <c r="AI1327" i="1"/>
  <c r="AJ1327" i="1"/>
  <c r="AQ1327" i="1"/>
  <c r="AR1327" i="1"/>
  <c r="AS1327" i="1"/>
  <c r="L1328" i="1"/>
  <c r="M1328" i="1"/>
  <c r="N1328" i="1"/>
  <c r="O1328" i="1"/>
  <c r="P1328" i="1"/>
  <c r="Q1328" i="1"/>
  <c r="R1328" i="1"/>
  <c r="S1328" i="1"/>
  <c r="T1328" i="1"/>
  <c r="U1328" i="1"/>
  <c r="V1328" i="1"/>
  <c r="W1328" i="1"/>
  <c r="X1328" i="1"/>
  <c r="Y1328" i="1"/>
  <c r="Z1328" i="1"/>
  <c r="AA1328" i="1"/>
  <c r="AB1328" i="1"/>
  <c r="AC1328" i="1"/>
  <c r="AD1328" i="1"/>
  <c r="AE1328" i="1"/>
  <c r="AF1328" i="1"/>
  <c r="AG1328" i="1"/>
  <c r="AH1328" i="1"/>
  <c r="AI1328" i="1"/>
  <c r="AJ1328" i="1"/>
  <c r="AQ1328" i="1"/>
  <c r="AR1328" i="1"/>
  <c r="AS1328" i="1"/>
  <c r="L1329" i="1"/>
  <c r="M1329" i="1"/>
  <c r="N1329" i="1"/>
  <c r="O1329" i="1"/>
  <c r="P1329" i="1"/>
  <c r="Q1329" i="1"/>
  <c r="R1329" i="1"/>
  <c r="S1329" i="1"/>
  <c r="T1329" i="1"/>
  <c r="U1329" i="1"/>
  <c r="V1329" i="1"/>
  <c r="W1329" i="1"/>
  <c r="X1329" i="1"/>
  <c r="Y1329" i="1"/>
  <c r="Z1329" i="1"/>
  <c r="AA1329" i="1"/>
  <c r="AB1329" i="1"/>
  <c r="AC1329" i="1"/>
  <c r="AD1329" i="1"/>
  <c r="AE1329" i="1"/>
  <c r="AF1329" i="1"/>
  <c r="AG1329" i="1"/>
  <c r="AH1329" i="1"/>
  <c r="AI1329" i="1"/>
  <c r="AJ1329" i="1"/>
  <c r="AQ1329" i="1"/>
  <c r="AR1329" i="1"/>
  <c r="AS1329" i="1"/>
  <c r="L1330" i="1"/>
  <c r="M1330" i="1"/>
  <c r="N1330" i="1"/>
  <c r="O1330" i="1"/>
  <c r="P1330" i="1"/>
  <c r="Q1330" i="1"/>
  <c r="R1330" i="1"/>
  <c r="S1330" i="1"/>
  <c r="T1330" i="1"/>
  <c r="U1330" i="1"/>
  <c r="V1330" i="1"/>
  <c r="W1330" i="1"/>
  <c r="X1330" i="1"/>
  <c r="Y1330" i="1"/>
  <c r="Z1330" i="1"/>
  <c r="AA1330" i="1"/>
  <c r="AB1330" i="1"/>
  <c r="AC1330" i="1"/>
  <c r="AD1330" i="1"/>
  <c r="AE1330" i="1"/>
  <c r="AF1330" i="1"/>
  <c r="AG1330" i="1"/>
  <c r="AH1330" i="1"/>
  <c r="AI1330" i="1"/>
  <c r="AJ1330" i="1"/>
  <c r="AQ1330" i="1"/>
  <c r="AR1330" i="1"/>
  <c r="AS1330" i="1"/>
  <c r="L1331" i="1"/>
  <c r="M1331" i="1"/>
  <c r="N1331" i="1"/>
  <c r="O1331" i="1"/>
  <c r="P1331" i="1"/>
  <c r="Q1331" i="1"/>
  <c r="R1331" i="1"/>
  <c r="S1331" i="1"/>
  <c r="T1331" i="1"/>
  <c r="U1331" i="1"/>
  <c r="V1331" i="1"/>
  <c r="W1331" i="1"/>
  <c r="X1331" i="1"/>
  <c r="Y1331" i="1"/>
  <c r="Z1331" i="1"/>
  <c r="AA1331" i="1"/>
  <c r="AB1331" i="1"/>
  <c r="AC1331" i="1"/>
  <c r="AD1331" i="1"/>
  <c r="AE1331" i="1"/>
  <c r="AF1331" i="1"/>
  <c r="AG1331" i="1"/>
  <c r="AH1331" i="1"/>
  <c r="AI1331" i="1"/>
  <c r="AJ1331" i="1"/>
  <c r="AQ1331" i="1"/>
  <c r="AR1331" i="1"/>
  <c r="AS1331" i="1"/>
  <c r="L1332" i="1"/>
  <c r="M1332" i="1"/>
  <c r="N1332" i="1"/>
  <c r="O1332" i="1"/>
  <c r="P1332" i="1"/>
  <c r="Q1332" i="1"/>
  <c r="R1332" i="1"/>
  <c r="S1332" i="1"/>
  <c r="T1332" i="1"/>
  <c r="U1332" i="1"/>
  <c r="V1332" i="1"/>
  <c r="W1332" i="1"/>
  <c r="X1332" i="1"/>
  <c r="Y1332" i="1"/>
  <c r="Z1332" i="1"/>
  <c r="AA1332" i="1"/>
  <c r="AB1332" i="1"/>
  <c r="AC1332" i="1"/>
  <c r="AD1332" i="1"/>
  <c r="AE1332" i="1"/>
  <c r="AF1332" i="1"/>
  <c r="AG1332" i="1"/>
  <c r="AH1332" i="1"/>
  <c r="AI1332" i="1"/>
  <c r="AJ1332" i="1"/>
  <c r="AQ1332" i="1"/>
  <c r="AR1332" i="1"/>
  <c r="AS1332" i="1"/>
  <c r="L1333" i="1"/>
  <c r="M1333" i="1"/>
  <c r="N1333" i="1"/>
  <c r="O1333" i="1"/>
  <c r="P1333" i="1"/>
  <c r="Q1333" i="1"/>
  <c r="R1333" i="1"/>
  <c r="S1333" i="1"/>
  <c r="T1333" i="1"/>
  <c r="U1333" i="1"/>
  <c r="V1333" i="1"/>
  <c r="W1333" i="1"/>
  <c r="X1333" i="1"/>
  <c r="Y1333" i="1"/>
  <c r="Z1333" i="1"/>
  <c r="AA1333" i="1"/>
  <c r="AB1333" i="1"/>
  <c r="AC1333" i="1"/>
  <c r="AD1333" i="1"/>
  <c r="AE1333" i="1"/>
  <c r="AF1333" i="1"/>
  <c r="AG1333" i="1"/>
  <c r="AH1333" i="1"/>
  <c r="AI1333" i="1"/>
  <c r="AJ1333" i="1"/>
  <c r="AQ1333" i="1"/>
  <c r="AR1333" i="1"/>
  <c r="AS1333" i="1"/>
  <c r="L1334" i="1"/>
  <c r="M1334" i="1"/>
  <c r="N1334" i="1"/>
  <c r="O1334" i="1"/>
  <c r="P1334" i="1"/>
  <c r="Q1334" i="1"/>
  <c r="R1334" i="1"/>
  <c r="S1334" i="1"/>
  <c r="T1334" i="1"/>
  <c r="U1334" i="1"/>
  <c r="V1334" i="1"/>
  <c r="W1334" i="1"/>
  <c r="X1334" i="1"/>
  <c r="Y1334" i="1"/>
  <c r="Z1334" i="1"/>
  <c r="AA1334" i="1"/>
  <c r="AB1334" i="1"/>
  <c r="AC1334" i="1"/>
  <c r="AD1334" i="1"/>
  <c r="AE1334" i="1"/>
  <c r="AF1334" i="1"/>
  <c r="AG1334" i="1"/>
  <c r="AH1334" i="1"/>
  <c r="AI1334" i="1"/>
  <c r="AJ1334" i="1"/>
  <c r="AQ1334" i="1"/>
  <c r="AR1334" i="1"/>
  <c r="AS1334" i="1"/>
  <c r="L1335" i="1"/>
  <c r="M1335" i="1"/>
  <c r="N1335" i="1"/>
  <c r="O1335" i="1"/>
  <c r="P1335" i="1"/>
  <c r="Q1335" i="1"/>
  <c r="R1335" i="1"/>
  <c r="S1335" i="1"/>
  <c r="T1335" i="1"/>
  <c r="U1335" i="1"/>
  <c r="V1335" i="1"/>
  <c r="W1335" i="1"/>
  <c r="X1335" i="1"/>
  <c r="Y1335" i="1"/>
  <c r="Z1335" i="1"/>
  <c r="AA1335" i="1"/>
  <c r="AB1335" i="1"/>
  <c r="AC1335" i="1"/>
  <c r="AD1335" i="1"/>
  <c r="AE1335" i="1"/>
  <c r="AF1335" i="1"/>
  <c r="AG1335" i="1"/>
  <c r="AH1335" i="1"/>
  <c r="AI1335" i="1"/>
  <c r="AJ1335" i="1"/>
  <c r="AQ1335" i="1"/>
  <c r="AR1335" i="1"/>
  <c r="AS1335" i="1"/>
  <c r="L1336" i="1"/>
  <c r="M1336" i="1"/>
  <c r="N1336" i="1"/>
  <c r="O1336" i="1"/>
  <c r="P1336" i="1"/>
  <c r="Q1336" i="1"/>
  <c r="R1336" i="1"/>
  <c r="S1336" i="1"/>
  <c r="T1336" i="1"/>
  <c r="U1336" i="1"/>
  <c r="V1336" i="1"/>
  <c r="W1336" i="1"/>
  <c r="X1336" i="1"/>
  <c r="Y1336" i="1"/>
  <c r="Z1336" i="1"/>
  <c r="AA1336" i="1"/>
  <c r="AB1336" i="1"/>
  <c r="AC1336" i="1"/>
  <c r="AD1336" i="1"/>
  <c r="AE1336" i="1"/>
  <c r="AF1336" i="1"/>
  <c r="AG1336" i="1"/>
  <c r="AH1336" i="1"/>
  <c r="AI1336" i="1"/>
  <c r="AJ1336" i="1"/>
  <c r="AQ1336" i="1"/>
  <c r="AR1336" i="1"/>
  <c r="AS1336" i="1"/>
  <c r="L1337" i="1"/>
  <c r="M1337" i="1"/>
  <c r="N1337" i="1"/>
  <c r="O1337" i="1"/>
  <c r="P1337" i="1"/>
  <c r="Q1337" i="1"/>
  <c r="R1337" i="1"/>
  <c r="S1337" i="1"/>
  <c r="T1337" i="1"/>
  <c r="U1337" i="1"/>
  <c r="V1337" i="1"/>
  <c r="W1337" i="1"/>
  <c r="X1337" i="1"/>
  <c r="Y1337" i="1"/>
  <c r="Z1337" i="1"/>
  <c r="AA1337" i="1"/>
  <c r="AB1337" i="1"/>
  <c r="AC1337" i="1"/>
  <c r="AD1337" i="1"/>
  <c r="AE1337" i="1"/>
  <c r="AF1337" i="1"/>
  <c r="AG1337" i="1"/>
  <c r="AH1337" i="1"/>
  <c r="AI1337" i="1"/>
  <c r="AJ1337" i="1"/>
  <c r="AQ1337" i="1"/>
  <c r="AR1337" i="1"/>
  <c r="AS1337" i="1"/>
  <c r="L1338" i="1"/>
  <c r="M1338" i="1"/>
  <c r="N1338" i="1"/>
  <c r="O1338" i="1"/>
  <c r="P1338" i="1"/>
  <c r="Q1338" i="1"/>
  <c r="R1338" i="1"/>
  <c r="S1338" i="1"/>
  <c r="T1338" i="1"/>
  <c r="U1338" i="1"/>
  <c r="V1338" i="1"/>
  <c r="W1338" i="1"/>
  <c r="X1338" i="1"/>
  <c r="Y1338" i="1"/>
  <c r="Z1338" i="1"/>
  <c r="AA1338" i="1"/>
  <c r="AB1338" i="1"/>
  <c r="AC1338" i="1"/>
  <c r="AD1338" i="1"/>
  <c r="AE1338" i="1"/>
  <c r="AF1338" i="1"/>
  <c r="AG1338" i="1"/>
  <c r="AH1338" i="1"/>
  <c r="AI1338" i="1"/>
  <c r="AJ1338" i="1"/>
  <c r="AQ1338" i="1"/>
  <c r="AR1338" i="1"/>
  <c r="AS1338" i="1"/>
  <c r="L1339" i="1"/>
  <c r="M1339" i="1"/>
  <c r="N1339" i="1"/>
  <c r="O1339" i="1"/>
  <c r="P1339" i="1"/>
  <c r="Q1339" i="1"/>
  <c r="R1339" i="1"/>
  <c r="S1339" i="1"/>
  <c r="T1339" i="1"/>
  <c r="U1339" i="1"/>
  <c r="V1339" i="1"/>
  <c r="W1339" i="1"/>
  <c r="X1339" i="1"/>
  <c r="Y1339" i="1"/>
  <c r="Z1339" i="1"/>
  <c r="AA1339" i="1"/>
  <c r="AB1339" i="1"/>
  <c r="AC1339" i="1"/>
  <c r="AD1339" i="1"/>
  <c r="AE1339" i="1"/>
  <c r="AF1339" i="1"/>
  <c r="AG1339" i="1"/>
  <c r="AH1339" i="1"/>
  <c r="AI1339" i="1"/>
  <c r="AJ1339" i="1"/>
  <c r="AQ1339" i="1"/>
  <c r="AR1339" i="1"/>
  <c r="AS1339" i="1"/>
  <c r="L1340" i="1"/>
  <c r="M1340" i="1"/>
  <c r="N1340" i="1"/>
  <c r="O1340" i="1"/>
  <c r="P1340" i="1"/>
  <c r="Q1340" i="1"/>
  <c r="R1340" i="1"/>
  <c r="S1340" i="1"/>
  <c r="T1340" i="1"/>
  <c r="U1340" i="1"/>
  <c r="V1340" i="1"/>
  <c r="W1340" i="1"/>
  <c r="X1340" i="1"/>
  <c r="Y1340" i="1"/>
  <c r="Z1340" i="1"/>
  <c r="AA1340" i="1"/>
  <c r="AB1340" i="1"/>
  <c r="AC1340" i="1"/>
  <c r="AD1340" i="1"/>
  <c r="AE1340" i="1"/>
  <c r="AF1340" i="1"/>
  <c r="AG1340" i="1"/>
  <c r="AH1340" i="1"/>
  <c r="AI1340" i="1"/>
  <c r="AJ1340" i="1"/>
  <c r="AQ1340" i="1"/>
  <c r="AR1340" i="1"/>
  <c r="AS1340" i="1"/>
  <c r="L1341" i="1"/>
  <c r="M1341" i="1"/>
  <c r="N1341" i="1"/>
  <c r="O1341" i="1"/>
  <c r="P1341" i="1"/>
  <c r="Q1341" i="1"/>
  <c r="R1341" i="1"/>
  <c r="S1341" i="1"/>
  <c r="T1341" i="1"/>
  <c r="U1341" i="1"/>
  <c r="V1341" i="1"/>
  <c r="W1341" i="1"/>
  <c r="X1341" i="1"/>
  <c r="Y1341" i="1"/>
  <c r="Z1341" i="1"/>
  <c r="AA1341" i="1"/>
  <c r="AB1341" i="1"/>
  <c r="AC1341" i="1"/>
  <c r="AD1341" i="1"/>
  <c r="AE1341" i="1"/>
  <c r="AF1341" i="1"/>
  <c r="AG1341" i="1"/>
  <c r="AH1341" i="1"/>
  <c r="AI1341" i="1"/>
  <c r="AJ1341" i="1"/>
  <c r="AQ1341" i="1"/>
  <c r="AR1341" i="1"/>
  <c r="AS1341" i="1"/>
  <c r="L1342" i="1"/>
  <c r="M1342" i="1"/>
  <c r="N1342" i="1"/>
  <c r="O1342" i="1"/>
  <c r="P1342" i="1"/>
  <c r="Q1342" i="1"/>
  <c r="R1342" i="1"/>
  <c r="S1342" i="1"/>
  <c r="T1342" i="1"/>
  <c r="U1342" i="1"/>
  <c r="V1342" i="1"/>
  <c r="W1342" i="1"/>
  <c r="X1342" i="1"/>
  <c r="Y1342" i="1"/>
  <c r="Z1342" i="1"/>
  <c r="AA1342" i="1"/>
  <c r="AB1342" i="1"/>
  <c r="AC1342" i="1"/>
  <c r="AD1342" i="1"/>
  <c r="AE1342" i="1"/>
  <c r="AF1342" i="1"/>
  <c r="AG1342" i="1"/>
  <c r="AH1342" i="1"/>
  <c r="AI1342" i="1"/>
  <c r="AJ1342" i="1"/>
  <c r="AQ1342" i="1"/>
  <c r="AR1342" i="1"/>
  <c r="AS1342" i="1"/>
  <c r="L1343" i="1"/>
  <c r="M1343" i="1"/>
  <c r="N1343" i="1"/>
  <c r="O1343" i="1"/>
  <c r="P1343" i="1"/>
  <c r="Q1343" i="1"/>
  <c r="R1343" i="1"/>
  <c r="S1343" i="1"/>
  <c r="T1343" i="1"/>
  <c r="U1343" i="1"/>
  <c r="V1343" i="1"/>
  <c r="W1343" i="1"/>
  <c r="X1343" i="1"/>
  <c r="Y1343" i="1"/>
  <c r="Z1343" i="1"/>
  <c r="AA1343" i="1"/>
  <c r="AB1343" i="1"/>
  <c r="AC1343" i="1"/>
  <c r="AD1343" i="1"/>
  <c r="AE1343" i="1"/>
  <c r="AF1343" i="1"/>
  <c r="AG1343" i="1"/>
  <c r="AH1343" i="1"/>
  <c r="AI1343" i="1"/>
  <c r="AJ1343" i="1"/>
  <c r="AQ1343" i="1"/>
  <c r="AR1343" i="1"/>
  <c r="AS1343" i="1"/>
  <c r="L1344" i="1"/>
  <c r="M1344" i="1"/>
  <c r="N1344" i="1"/>
  <c r="O1344" i="1"/>
  <c r="P1344" i="1"/>
  <c r="Q1344" i="1"/>
  <c r="R1344" i="1"/>
  <c r="S1344" i="1"/>
  <c r="T1344" i="1"/>
  <c r="U1344" i="1"/>
  <c r="V1344" i="1"/>
  <c r="W1344" i="1"/>
  <c r="X1344" i="1"/>
  <c r="Y1344" i="1"/>
  <c r="Z1344" i="1"/>
  <c r="AA1344" i="1"/>
  <c r="AB1344" i="1"/>
  <c r="AC1344" i="1"/>
  <c r="AD1344" i="1"/>
  <c r="AE1344" i="1"/>
  <c r="AF1344" i="1"/>
  <c r="AG1344" i="1"/>
  <c r="AH1344" i="1"/>
  <c r="AI1344" i="1"/>
  <c r="AJ1344" i="1"/>
  <c r="AQ1344" i="1"/>
  <c r="AR1344" i="1"/>
  <c r="AS1344" i="1"/>
  <c r="L1345" i="1"/>
  <c r="M1345" i="1"/>
  <c r="N1345" i="1"/>
  <c r="O1345" i="1"/>
  <c r="P1345" i="1"/>
  <c r="Q1345" i="1"/>
  <c r="R1345" i="1"/>
  <c r="S1345" i="1"/>
  <c r="T1345" i="1"/>
  <c r="U1345" i="1"/>
  <c r="V1345" i="1"/>
  <c r="W1345" i="1"/>
  <c r="X1345" i="1"/>
  <c r="Y1345" i="1"/>
  <c r="Z1345" i="1"/>
  <c r="AA1345" i="1"/>
  <c r="AB1345" i="1"/>
  <c r="AC1345" i="1"/>
  <c r="AD1345" i="1"/>
  <c r="AE1345" i="1"/>
  <c r="AF1345" i="1"/>
  <c r="AG1345" i="1"/>
  <c r="AH1345" i="1"/>
  <c r="AI1345" i="1"/>
  <c r="AJ1345" i="1"/>
  <c r="AQ1345" i="1"/>
  <c r="AR1345" i="1"/>
  <c r="AS1345" i="1"/>
  <c r="L1346" i="1"/>
  <c r="M1346" i="1"/>
  <c r="N1346" i="1"/>
  <c r="O1346" i="1"/>
  <c r="P1346" i="1"/>
  <c r="Q1346" i="1"/>
  <c r="R1346" i="1"/>
  <c r="S1346" i="1"/>
  <c r="T1346" i="1"/>
  <c r="U1346" i="1"/>
  <c r="V1346" i="1"/>
  <c r="W1346" i="1"/>
  <c r="X1346" i="1"/>
  <c r="Y1346" i="1"/>
  <c r="Z1346" i="1"/>
  <c r="AA1346" i="1"/>
  <c r="AB1346" i="1"/>
  <c r="AC1346" i="1"/>
  <c r="AD1346" i="1"/>
  <c r="AE1346" i="1"/>
  <c r="AF1346" i="1"/>
  <c r="AG1346" i="1"/>
  <c r="AH1346" i="1"/>
  <c r="AI1346" i="1"/>
  <c r="AJ1346" i="1"/>
  <c r="AQ1346" i="1"/>
  <c r="AR1346" i="1"/>
  <c r="AS1346" i="1"/>
  <c r="L1347" i="1"/>
  <c r="M1347" i="1"/>
  <c r="N1347" i="1"/>
  <c r="O1347" i="1"/>
  <c r="P1347" i="1"/>
  <c r="Q1347" i="1"/>
  <c r="R1347" i="1"/>
  <c r="S1347" i="1"/>
  <c r="T1347" i="1"/>
  <c r="U1347" i="1"/>
  <c r="V1347" i="1"/>
  <c r="W1347" i="1"/>
  <c r="X1347" i="1"/>
  <c r="Y1347" i="1"/>
  <c r="Z1347" i="1"/>
  <c r="AA1347" i="1"/>
  <c r="AB1347" i="1"/>
  <c r="AC1347" i="1"/>
  <c r="AD1347" i="1"/>
  <c r="AE1347" i="1"/>
  <c r="AF1347" i="1"/>
  <c r="AG1347" i="1"/>
  <c r="AH1347" i="1"/>
  <c r="AI1347" i="1"/>
  <c r="AJ1347" i="1"/>
  <c r="AQ1347" i="1"/>
  <c r="AR1347" i="1"/>
  <c r="AS1347" i="1"/>
  <c r="L1348" i="1"/>
  <c r="M1348" i="1"/>
  <c r="N1348" i="1"/>
  <c r="O1348" i="1"/>
  <c r="P1348" i="1"/>
  <c r="Q1348" i="1"/>
  <c r="R1348" i="1"/>
  <c r="S1348" i="1"/>
  <c r="T1348" i="1"/>
  <c r="U1348" i="1"/>
  <c r="V1348" i="1"/>
  <c r="W1348" i="1"/>
  <c r="X1348" i="1"/>
  <c r="Y1348" i="1"/>
  <c r="Z1348" i="1"/>
  <c r="AA1348" i="1"/>
  <c r="AB1348" i="1"/>
  <c r="AC1348" i="1"/>
  <c r="AD1348" i="1"/>
  <c r="AE1348" i="1"/>
  <c r="AF1348" i="1"/>
  <c r="AG1348" i="1"/>
  <c r="AH1348" i="1"/>
  <c r="AI1348" i="1"/>
  <c r="AJ1348" i="1"/>
  <c r="AQ1348" i="1"/>
  <c r="AR1348" i="1"/>
  <c r="AS1348" i="1"/>
  <c r="L1349" i="1"/>
  <c r="M1349" i="1"/>
  <c r="N1349" i="1"/>
  <c r="O1349" i="1"/>
  <c r="P1349" i="1"/>
  <c r="Q1349" i="1"/>
  <c r="R1349" i="1"/>
  <c r="S1349" i="1"/>
  <c r="T1349" i="1"/>
  <c r="U1349" i="1"/>
  <c r="V1349" i="1"/>
  <c r="W1349" i="1"/>
  <c r="X1349" i="1"/>
  <c r="Y1349" i="1"/>
  <c r="Z1349" i="1"/>
  <c r="AA1349" i="1"/>
  <c r="AB1349" i="1"/>
  <c r="AC1349" i="1"/>
  <c r="AD1349" i="1"/>
  <c r="AE1349" i="1"/>
  <c r="AF1349" i="1"/>
  <c r="AG1349" i="1"/>
  <c r="AH1349" i="1"/>
  <c r="AI1349" i="1"/>
  <c r="AJ1349" i="1"/>
  <c r="AQ1349" i="1"/>
  <c r="AR1349" i="1"/>
  <c r="AS1349" i="1"/>
  <c r="L1350" i="1"/>
  <c r="M1350" i="1"/>
  <c r="N1350" i="1"/>
  <c r="O1350" i="1"/>
  <c r="P1350" i="1"/>
  <c r="Q1350" i="1"/>
  <c r="R1350" i="1"/>
  <c r="S1350" i="1"/>
  <c r="T1350" i="1"/>
  <c r="U1350" i="1"/>
  <c r="V1350" i="1"/>
  <c r="W1350" i="1"/>
  <c r="X1350" i="1"/>
  <c r="Y1350" i="1"/>
  <c r="Z1350" i="1"/>
  <c r="AA1350" i="1"/>
  <c r="AB1350" i="1"/>
  <c r="AC1350" i="1"/>
  <c r="AD1350" i="1"/>
  <c r="AE1350" i="1"/>
  <c r="AF1350" i="1"/>
  <c r="AG1350" i="1"/>
  <c r="AH1350" i="1"/>
  <c r="AI1350" i="1"/>
  <c r="AJ1350" i="1"/>
  <c r="AQ1350" i="1"/>
  <c r="AR1350" i="1"/>
  <c r="AS1350" i="1"/>
  <c r="L1351" i="1"/>
  <c r="M1351" i="1"/>
  <c r="N1351" i="1"/>
  <c r="O1351" i="1"/>
  <c r="P1351" i="1"/>
  <c r="Q1351" i="1"/>
  <c r="R1351" i="1"/>
  <c r="S1351" i="1"/>
  <c r="T1351" i="1"/>
  <c r="U1351" i="1"/>
  <c r="V1351" i="1"/>
  <c r="W1351" i="1"/>
  <c r="X1351" i="1"/>
  <c r="Y1351" i="1"/>
  <c r="Z1351" i="1"/>
  <c r="AA1351" i="1"/>
  <c r="AB1351" i="1"/>
  <c r="AC1351" i="1"/>
  <c r="AD1351" i="1"/>
  <c r="AE1351" i="1"/>
  <c r="AF1351" i="1"/>
  <c r="AG1351" i="1"/>
  <c r="AH1351" i="1"/>
  <c r="AI1351" i="1"/>
  <c r="AJ1351" i="1"/>
  <c r="AQ1351" i="1"/>
  <c r="AR1351" i="1"/>
  <c r="AS1351" i="1"/>
  <c r="L1352" i="1"/>
  <c r="M1352" i="1"/>
  <c r="N1352" i="1"/>
  <c r="O1352" i="1"/>
  <c r="P1352" i="1"/>
  <c r="Q1352" i="1"/>
  <c r="R1352" i="1"/>
  <c r="S1352" i="1"/>
  <c r="T1352" i="1"/>
  <c r="U1352" i="1"/>
  <c r="V1352" i="1"/>
  <c r="W1352" i="1"/>
  <c r="X1352" i="1"/>
  <c r="Y1352" i="1"/>
  <c r="Z1352" i="1"/>
  <c r="AA1352" i="1"/>
  <c r="AB1352" i="1"/>
  <c r="AC1352" i="1"/>
  <c r="AD1352" i="1"/>
  <c r="AE1352" i="1"/>
  <c r="AF1352" i="1"/>
  <c r="AG1352" i="1"/>
  <c r="AH1352" i="1"/>
  <c r="AI1352" i="1"/>
  <c r="AJ1352" i="1"/>
  <c r="AQ1352" i="1"/>
  <c r="AR1352" i="1"/>
  <c r="AS1352" i="1"/>
  <c r="L1353" i="1"/>
  <c r="M1353" i="1"/>
  <c r="N1353" i="1"/>
  <c r="O1353" i="1"/>
  <c r="P1353" i="1"/>
  <c r="Q1353" i="1"/>
  <c r="R1353" i="1"/>
  <c r="S1353" i="1"/>
  <c r="T1353" i="1"/>
  <c r="U1353" i="1"/>
  <c r="V1353" i="1"/>
  <c r="W1353" i="1"/>
  <c r="X1353" i="1"/>
  <c r="Y1353" i="1"/>
  <c r="Z1353" i="1"/>
  <c r="AA1353" i="1"/>
  <c r="AB1353" i="1"/>
  <c r="AC1353" i="1"/>
  <c r="AD1353" i="1"/>
  <c r="AE1353" i="1"/>
  <c r="AF1353" i="1"/>
  <c r="AG1353" i="1"/>
  <c r="AH1353" i="1"/>
  <c r="AI1353" i="1"/>
  <c r="AJ1353" i="1"/>
  <c r="AQ1353" i="1"/>
  <c r="AR1353" i="1"/>
  <c r="AS1353" i="1"/>
  <c r="L1354" i="1"/>
  <c r="M1354" i="1"/>
  <c r="N1354" i="1"/>
  <c r="O1354" i="1"/>
  <c r="P1354" i="1"/>
  <c r="Q1354" i="1"/>
  <c r="R1354" i="1"/>
  <c r="S1354" i="1"/>
  <c r="T1354" i="1"/>
  <c r="U1354" i="1"/>
  <c r="V1354" i="1"/>
  <c r="W1354" i="1"/>
  <c r="X1354" i="1"/>
  <c r="Y1354" i="1"/>
  <c r="Z1354" i="1"/>
  <c r="AA1354" i="1"/>
  <c r="AB1354" i="1"/>
  <c r="AC1354" i="1"/>
  <c r="AD1354" i="1"/>
  <c r="AE1354" i="1"/>
  <c r="AF1354" i="1"/>
  <c r="AG1354" i="1"/>
  <c r="AH1354" i="1"/>
  <c r="AI1354" i="1"/>
  <c r="AJ1354" i="1"/>
  <c r="AQ1354" i="1"/>
  <c r="AR1354" i="1"/>
  <c r="AS1354" i="1"/>
  <c r="L1355" i="1"/>
  <c r="M1355" i="1"/>
  <c r="N1355" i="1"/>
  <c r="O1355" i="1"/>
  <c r="P1355" i="1"/>
  <c r="Q1355" i="1"/>
  <c r="R1355" i="1"/>
  <c r="S1355" i="1"/>
  <c r="T1355" i="1"/>
  <c r="U1355" i="1"/>
  <c r="V1355" i="1"/>
  <c r="W1355" i="1"/>
  <c r="X1355" i="1"/>
  <c r="Y1355" i="1"/>
  <c r="Z1355" i="1"/>
  <c r="AA1355" i="1"/>
  <c r="AB1355" i="1"/>
  <c r="AC1355" i="1"/>
  <c r="AD1355" i="1"/>
  <c r="AE1355" i="1"/>
  <c r="AF1355" i="1"/>
  <c r="AG1355" i="1"/>
  <c r="AH1355" i="1"/>
  <c r="AI1355" i="1"/>
  <c r="AJ1355" i="1"/>
  <c r="AQ1355" i="1"/>
  <c r="AR1355" i="1"/>
  <c r="AS1355" i="1"/>
  <c r="L1356" i="1"/>
  <c r="M1356" i="1"/>
  <c r="N1356" i="1"/>
  <c r="O1356" i="1"/>
  <c r="P1356" i="1"/>
  <c r="Q1356" i="1"/>
  <c r="R1356" i="1"/>
  <c r="S1356" i="1"/>
  <c r="T1356" i="1"/>
  <c r="U1356" i="1"/>
  <c r="V1356" i="1"/>
  <c r="W1356" i="1"/>
  <c r="X1356" i="1"/>
  <c r="Y1356" i="1"/>
  <c r="Z1356" i="1"/>
  <c r="AA1356" i="1"/>
  <c r="AB1356" i="1"/>
  <c r="AC1356" i="1"/>
  <c r="AD1356" i="1"/>
  <c r="AE1356" i="1"/>
  <c r="AF1356" i="1"/>
  <c r="AG1356" i="1"/>
  <c r="AH1356" i="1"/>
  <c r="AI1356" i="1"/>
  <c r="AJ1356" i="1"/>
  <c r="AQ1356" i="1"/>
  <c r="AR1356" i="1"/>
  <c r="AS1356" i="1"/>
  <c r="L1357" i="1"/>
  <c r="M1357" i="1"/>
  <c r="N1357" i="1"/>
  <c r="O1357" i="1"/>
  <c r="P1357" i="1"/>
  <c r="Q1357" i="1"/>
  <c r="R1357" i="1"/>
  <c r="S1357" i="1"/>
  <c r="T1357" i="1"/>
  <c r="U1357" i="1"/>
  <c r="V1357" i="1"/>
  <c r="W1357" i="1"/>
  <c r="X1357" i="1"/>
  <c r="Y1357" i="1"/>
  <c r="Z1357" i="1"/>
  <c r="AA1357" i="1"/>
  <c r="AB1357" i="1"/>
  <c r="AC1357" i="1"/>
  <c r="AD1357" i="1"/>
  <c r="AE1357" i="1"/>
  <c r="AF1357" i="1"/>
  <c r="AG1357" i="1"/>
  <c r="AH1357" i="1"/>
  <c r="AI1357" i="1"/>
  <c r="AJ1357" i="1"/>
  <c r="AQ1357" i="1"/>
  <c r="AR1357" i="1"/>
  <c r="AS1357" i="1"/>
  <c r="L1358" i="1"/>
  <c r="M1358" i="1"/>
  <c r="N1358" i="1"/>
  <c r="O1358" i="1"/>
  <c r="P1358" i="1"/>
  <c r="Q1358" i="1"/>
  <c r="R1358" i="1"/>
  <c r="S1358" i="1"/>
  <c r="T1358" i="1"/>
  <c r="U1358" i="1"/>
  <c r="V1358" i="1"/>
  <c r="W1358" i="1"/>
  <c r="X1358" i="1"/>
  <c r="Y1358" i="1"/>
  <c r="Z1358" i="1"/>
  <c r="AA1358" i="1"/>
  <c r="AB1358" i="1"/>
  <c r="AC1358" i="1"/>
  <c r="AD1358" i="1"/>
  <c r="AE1358" i="1"/>
  <c r="AF1358" i="1"/>
  <c r="AG1358" i="1"/>
  <c r="AH1358" i="1"/>
  <c r="AI1358" i="1"/>
  <c r="AJ1358" i="1"/>
  <c r="AQ1358" i="1"/>
  <c r="AR1358" i="1"/>
  <c r="AS1358" i="1"/>
  <c r="L1359" i="1"/>
  <c r="M1359" i="1"/>
  <c r="N1359" i="1"/>
  <c r="O1359" i="1"/>
  <c r="P1359" i="1"/>
  <c r="Q1359" i="1"/>
  <c r="R1359" i="1"/>
  <c r="S1359" i="1"/>
  <c r="T1359" i="1"/>
  <c r="U1359" i="1"/>
  <c r="V1359" i="1"/>
  <c r="W1359" i="1"/>
  <c r="X1359" i="1"/>
  <c r="Y1359" i="1"/>
  <c r="Z1359" i="1"/>
  <c r="AA1359" i="1"/>
  <c r="AB1359" i="1"/>
  <c r="AC1359" i="1"/>
  <c r="AD1359" i="1"/>
  <c r="AE1359" i="1"/>
  <c r="AF1359" i="1"/>
  <c r="AG1359" i="1"/>
  <c r="AH1359" i="1"/>
  <c r="AI1359" i="1"/>
  <c r="AJ1359" i="1"/>
  <c r="AQ1359" i="1"/>
  <c r="AR1359" i="1"/>
  <c r="AS1359" i="1"/>
  <c r="L1360" i="1"/>
  <c r="M1360" i="1"/>
  <c r="N1360" i="1"/>
  <c r="O1360" i="1"/>
  <c r="P1360" i="1"/>
  <c r="Q1360" i="1"/>
  <c r="R1360" i="1"/>
  <c r="S1360" i="1"/>
  <c r="T1360" i="1"/>
  <c r="U1360" i="1"/>
  <c r="V1360" i="1"/>
  <c r="W1360" i="1"/>
  <c r="X1360" i="1"/>
  <c r="Y1360" i="1"/>
  <c r="Z1360" i="1"/>
  <c r="AA1360" i="1"/>
  <c r="AB1360" i="1"/>
  <c r="AC1360" i="1"/>
  <c r="AD1360" i="1"/>
  <c r="AE1360" i="1"/>
  <c r="AF1360" i="1"/>
  <c r="AG1360" i="1"/>
  <c r="AH1360" i="1"/>
  <c r="AI1360" i="1"/>
  <c r="AJ1360" i="1"/>
  <c r="AQ1360" i="1"/>
  <c r="AR1360" i="1"/>
  <c r="AS1360" i="1"/>
  <c r="L1361" i="1"/>
  <c r="M1361" i="1"/>
  <c r="N1361" i="1"/>
  <c r="O1361" i="1"/>
  <c r="P1361" i="1"/>
  <c r="Q1361" i="1"/>
  <c r="R1361" i="1"/>
  <c r="S1361" i="1"/>
  <c r="T1361" i="1"/>
  <c r="U1361" i="1"/>
  <c r="V1361" i="1"/>
  <c r="W1361" i="1"/>
  <c r="X1361" i="1"/>
  <c r="Y1361" i="1"/>
  <c r="Z1361" i="1"/>
  <c r="AA1361" i="1"/>
  <c r="AB1361" i="1"/>
  <c r="AC1361" i="1"/>
  <c r="AD1361" i="1"/>
  <c r="AE1361" i="1"/>
  <c r="AF1361" i="1"/>
  <c r="AG1361" i="1"/>
  <c r="AH1361" i="1"/>
  <c r="AI1361" i="1"/>
  <c r="AJ1361" i="1"/>
  <c r="AQ1361" i="1"/>
  <c r="AR1361" i="1"/>
  <c r="AS1361" i="1"/>
  <c r="L1362" i="1"/>
  <c r="M1362" i="1"/>
  <c r="N1362" i="1"/>
  <c r="O1362" i="1"/>
  <c r="P1362" i="1"/>
  <c r="Q1362" i="1"/>
  <c r="R1362" i="1"/>
  <c r="S1362" i="1"/>
  <c r="T1362" i="1"/>
  <c r="U1362" i="1"/>
  <c r="V1362" i="1"/>
  <c r="W1362" i="1"/>
  <c r="X1362" i="1"/>
  <c r="Y1362" i="1"/>
  <c r="Z1362" i="1"/>
  <c r="AA1362" i="1"/>
  <c r="AB1362" i="1"/>
  <c r="AC1362" i="1"/>
  <c r="AD1362" i="1"/>
  <c r="AE1362" i="1"/>
  <c r="AF1362" i="1"/>
  <c r="AG1362" i="1"/>
  <c r="AH1362" i="1"/>
  <c r="AI1362" i="1"/>
  <c r="AJ1362" i="1"/>
  <c r="AQ1362" i="1"/>
  <c r="AR1362" i="1"/>
  <c r="AS1362" i="1"/>
  <c r="L1363" i="1"/>
  <c r="M1363" i="1"/>
  <c r="N1363" i="1"/>
  <c r="O1363" i="1"/>
  <c r="P1363" i="1"/>
  <c r="Q1363" i="1"/>
  <c r="R1363" i="1"/>
  <c r="S1363" i="1"/>
  <c r="T1363" i="1"/>
  <c r="U1363" i="1"/>
  <c r="V1363" i="1"/>
  <c r="W1363" i="1"/>
  <c r="X1363" i="1"/>
  <c r="Y1363" i="1"/>
  <c r="Z1363" i="1"/>
  <c r="AA1363" i="1"/>
  <c r="AB1363" i="1"/>
  <c r="AC1363" i="1"/>
  <c r="AD1363" i="1"/>
  <c r="AE1363" i="1"/>
  <c r="AF1363" i="1"/>
  <c r="AG1363" i="1"/>
  <c r="AH1363" i="1"/>
  <c r="AI1363" i="1"/>
  <c r="AJ1363" i="1"/>
  <c r="AQ1363" i="1"/>
  <c r="AR1363" i="1"/>
  <c r="AS1363" i="1"/>
  <c r="L1364" i="1"/>
  <c r="M1364" i="1"/>
  <c r="N1364" i="1"/>
  <c r="O1364" i="1"/>
  <c r="P1364" i="1"/>
  <c r="Q1364" i="1"/>
  <c r="R1364" i="1"/>
  <c r="S1364" i="1"/>
  <c r="T1364" i="1"/>
  <c r="U1364" i="1"/>
  <c r="V1364" i="1"/>
  <c r="W1364" i="1"/>
  <c r="X1364" i="1"/>
  <c r="Y1364" i="1"/>
  <c r="Z1364" i="1"/>
  <c r="AA1364" i="1"/>
  <c r="AB1364" i="1"/>
  <c r="AC1364" i="1"/>
  <c r="AD1364" i="1"/>
  <c r="AE1364" i="1"/>
  <c r="AF1364" i="1"/>
  <c r="AG1364" i="1"/>
  <c r="AH1364" i="1"/>
  <c r="AI1364" i="1"/>
  <c r="AJ1364" i="1"/>
  <c r="AQ1364" i="1"/>
  <c r="AR1364" i="1"/>
  <c r="AS1364" i="1"/>
  <c r="L1365" i="1"/>
  <c r="M1365" i="1"/>
  <c r="N1365" i="1"/>
  <c r="O1365" i="1"/>
  <c r="P1365" i="1"/>
  <c r="Q1365" i="1"/>
  <c r="R1365" i="1"/>
  <c r="S1365" i="1"/>
  <c r="T1365" i="1"/>
  <c r="U1365" i="1"/>
  <c r="V1365" i="1"/>
  <c r="W1365" i="1"/>
  <c r="X1365" i="1"/>
  <c r="Y1365" i="1"/>
  <c r="Z1365" i="1"/>
  <c r="AA1365" i="1"/>
  <c r="AB1365" i="1"/>
  <c r="AC1365" i="1"/>
  <c r="AD1365" i="1"/>
  <c r="AE1365" i="1"/>
  <c r="AF1365" i="1"/>
  <c r="AG1365" i="1"/>
  <c r="AH1365" i="1"/>
  <c r="AI1365" i="1"/>
  <c r="AJ1365" i="1"/>
  <c r="AQ1365" i="1"/>
  <c r="AR1365" i="1"/>
  <c r="AS1365" i="1"/>
  <c r="L1366" i="1"/>
  <c r="M1366" i="1"/>
  <c r="N1366" i="1"/>
  <c r="O1366" i="1"/>
  <c r="P1366" i="1"/>
  <c r="Q1366" i="1"/>
  <c r="R1366" i="1"/>
  <c r="S1366" i="1"/>
  <c r="T1366" i="1"/>
  <c r="U1366" i="1"/>
  <c r="V1366" i="1"/>
  <c r="W1366" i="1"/>
  <c r="X1366" i="1"/>
  <c r="Y1366" i="1"/>
  <c r="Z1366" i="1"/>
  <c r="AA1366" i="1"/>
  <c r="AB1366" i="1"/>
  <c r="AC1366" i="1"/>
  <c r="AD1366" i="1"/>
  <c r="AE1366" i="1"/>
  <c r="AF1366" i="1"/>
  <c r="AG1366" i="1"/>
  <c r="AH1366" i="1"/>
  <c r="AI1366" i="1"/>
  <c r="AJ1366" i="1"/>
  <c r="AQ1366" i="1"/>
  <c r="AR1366" i="1"/>
  <c r="AS1366" i="1"/>
  <c r="L1367" i="1"/>
  <c r="M1367" i="1"/>
  <c r="N1367" i="1"/>
  <c r="O1367" i="1"/>
  <c r="P1367" i="1"/>
  <c r="Q1367" i="1"/>
  <c r="R1367" i="1"/>
  <c r="S1367" i="1"/>
  <c r="T1367" i="1"/>
  <c r="U1367" i="1"/>
  <c r="V1367" i="1"/>
  <c r="W1367" i="1"/>
  <c r="X1367" i="1"/>
  <c r="Y1367" i="1"/>
  <c r="Z1367" i="1"/>
  <c r="AA1367" i="1"/>
  <c r="AB1367" i="1"/>
  <c r="AC1367" i="1"/>
  <c r="AD1367" i="1"/>
  <c r="AE1367" i="1"/>
  <c r="AF1367" i="1"/>
  <c r="AG1367" i="1"/>
  <c r="AH1367" i="1"/>
  <c r="AI1367" i="1"/>
  <c r="AJ1367" i="1"/>
  <c r="AQ1367" i="1"/>
  <c r="AR1367" i="1"/>
  <c r="AS1367" i="1"/>
  <c r="L1368" i="1"/>
  <c r="M1368" i="1"/>
  <c r="N1368" i="1"/>
  <c r="O1368" i="1"/>
  <c r="P1368" i="1"/>
  <c r="Q1368" i="1"/>
  <c r="R1368" i="1"/>
  <c r="S1368" i="1"/>
  <c r="T1368" i="1"/>
  <c r="U1368" i="1"/>
  <c r="V1368" i="1"/>
  <c r="W1368" i="1"/>
  <c r="X1368" i="1"/>
  <c r="Y1368" i="1"/>
  <c r="Z1368" i="1"/>
  <c r="AA1368" i="1"/>
  <c r="AB1368" i="1"/>
  <c r="AC1368" i="1"/>
  <c r="AD1368" i="1"/>
  <c r="AE1368" i="1"/>
  <c r="AF1368" i="1"/>
  <c r="AG1368" i="1"/>
  <c r="AH1368" i="1"/>
  <c r="AI1368" i="1"/>
  <c r="AJ1368" i="1"/>
  <c r="AQ1368" i="1"/>
  <c r="AR1368" i="1"/>
  <c r="AS1368" i="1"/>
  <c r="L1369" i="1"/>
  <c r="M1369" i="1"/>
  <c r="N1369" i="1"/>
  <c r="O1369" i="1"/>
  <c r="P1369" i="1"/>
  <c r="Q1369" i="1"/>
  <c r="R1369" i="1"/>
  <c r="S1369" i="1"/>
  <c r="T1369" i="1"/>
  <c r="U1369" i="1"/>
  <c r="V1369" i="1"/>
  <c r="W1369" i="1"/>
  <c r="X1369" i="1"/>
  <c r="Y1369" i="1"/>
  <c r="Z1369" i="1"/>
  <c r="AA1369" i="1"/>
  <c r="AB1369" i="1"/>
  <c r="AC1369" i="1"/>
  <c r="AD1369" i="1"/>
  <c r="AE1369" i="1"/>
  <c r="AF1369" i="1"/>
  <c r="AG1369" i="1"/>
  <c r="AH1369" i="1"/>
  <c r="AI1369" i="1"/>
  <c r="AJ1369" i="1"/>
  <c r="AQ1369" i="1"/>
  <c r="AR1369" i="1"/>
  <c r="AS1369" i="1"/>
  <c r="L1370" i="1"/>
  <c r="M1370" i="1"/>
  <c r="N1370" i="1"/>
  <c r="O1370" i="1"/>
  <c r="P1370" i="1"/>
  <c r="Q1370" i="1"/>
  <c r="R1370" i="1"/>
  <c r="S1370" i="1"/>
  <c r="T1370" i="1"/>
  <c r="U1370" i="1"/>
  <c r="V1370" i="1"/>
  <c r="W1370" i="1"/>
  <c r="X1370" i="1"/>
  <c r="Y1370" i="1"/>
  <c r="Z1370" i="1"/>
  <c r="AA1370" i="1"/>
  <c r="AB1370" i="1"/>
  <c r="AC1370" i="1"/>
  <c r="AD1370" i="1"/>
  <c r="AE1370" i="1"/>
  <c r="AF1370" i="1"/>
  <c r="AG1370" i="1"/>
  <c r="AH1370" i="1"/>
  <c r="AI1370" i="1"/>
  <c r="AJ1370" i="1"/>
  <c r="AQ1370" i="1"/>
  <c r="AR1370" i="1"/>
  <c r="AS1370" i="1"/>
  <c r="L1371" i="1"/>
  <c r="M1371" i="1"/>
  <c r="N1371" i="1"/>
  <c r="O1371" i="1"/>
  <c r="P1371" i="1"/>
  <c r="Q1371" i="1"/>
  <c r="R1371" i="1"/>
  <c r="S1371" i="1"/>
  <c r="T1371" i="1"/>
  <c r="U1371" i="1"/>
  <c r="V1371" i="1"/>
  <c r="W1371" i="1"/>
  <c r="X1371" i="1"/>
  <c r="Y1371" i="1"/>
  <c r="Z1371" i="1"/>
  <c r="AA1371" i="1"/>
  <c r="AB1371" i="1"/>
  <c r="AC1371" i="1"/>
  <c r="AD1371" i="1"/>
  <c r="AE1371" i="1"/>
  <c r="AF1371" i="1"/>
  <c r="AG1371" i="1"/>
  <c r="AH1371" i="1"/>
  <c r="AI1371" i="1"/>
  <c r="AJ1371" i="1"/>
  <c r="AQ1371" i="1"/>
  <c r="AR1371" i="1"/>
  <c r="AS1371" i="1"/>
  <c r="L1372" i="1"/>
  <c r="M1372" i="1"/>
  <c r="N1372" i="1"/>
  <c r="O1372" i="1"/>
  <c r="P1372" i="1"/>
  <c r="Q1372" i="1"/>
  <c r="R1372" i="1"/>
  <c r="S1372" i="1"/>
  <c r="T1372" i="1"/>
  <c r="U1372" i="1"/>
  <c r="V1372" i="1"/>
  <c r="W1372" i="1"/>
  <c r="X1372" i="1"/>
  <c r="Y1372" i="1"/>
  <c r="Z1372" i="1"/>
  <c r="AA1372" i="1"/>
  <c r="AB1372" i="1"/>
  <c r="AC1372" i="1"/>
  <c r="AD1372" i="1"/>
  <c r="AE1372" i="1"/>
  <c r="AF1372" i="1"/>
  <c r="AG1372" i="1"/>
  <c r="AH1372" i="1"/>
  <c r="AI1372" i="1"/>
  <c r="AJ1372" i="1"/>
  <c r="AQ1372" i="1"/>
  <c r="AR1372" i="1"/>
  <c r="AS1372" i="1"/>
  <c r="L1373" i="1"/>
  <c r="M1373" i="1"/>
  <c r="N1373" i="1"/>
  <c r="O1373" i="1"/>
  <c r="P1373" i="1"/>
  <c r="Q1373" i="1"/>
  <c r="R1373" i="1"/>
  <c r="S1373" i="1"/>
  <c r="T1373" i="1"/>
  <c r="U1373" i="1"/>
  <c r="V1373" i="1"/>
  <c r="W1373" i="1"/>
  <c r="X1373" i="1"/>
  <c r="Y1373" i="1"/>
  <c r="Z1373" i="1"/>
  <c r="AA1373" i="1"/>
  <c r="AB1373" i="1"/>
  <c r="AC1373" i="1"/>
  <c r="AD1373" i="1"/>
  <c r="AE1373" i="1"/>
  <c r="AF1373" i="1"/>
  <c r="AG1373" i="1"/>
  <c r="AH1373" i="1"/>
  <c r="AI1373" i="1"/>
  <c r="AJ1373" i="1"/>
  <c r="AQ1373" i="1"/>
  <c r="AR1373" i="1"/>
  <c r="AS1373" i="1"/>
  <c r="L1374" i="1"/>
  <c r="M1374" i="1"/>
  <c r="N1374" i="1"/>
  <c r="O1374" i="1"/>
  <c r="P1374" i="1"/>
  <c r="Q1374" i="1"/>
  <c r="R1374" i="1"/>
  <c r="S1374" i="1"/>
  <c r="T1374" i="1"/>
  <c r="U1374" i="1"/>
  <c r="V1374" i="1"/>
  <c r="W1374" i="1"/>
  <c r="X1374" i="1"/>
  <c r="Y1374" i="1"/>
  <c r="Z1374" i="1"/>
  <c r="AA1374" i="1"/>
  <c r="AB1374" i="1"/>
  <c r="AC1374" i="1"/>
  <c r="AD1374" i="1"/>
  <c r="AE1374" i="1"/>
  <c r="AF1374" i="1"/>
  <c r="AG1374" i="1"/>
  <c r="AH1374" i="1"/>
  <c r="AI1374" i="1"/>
  <c r="AJ1374" i="1"/>
  <c r="AQ1374" i="1"/>
  <c r="AR1374" i="1"/>
  <c r="AS1374" i="1"/>
  <c r="L1375" i="1"/>
  <c r="M1375" i="1"/>
  <c r="N1375" i="1"/>
  <c r="O1375" i="1"/>
  <c r="P1375" i="1"/>
  <c r="Q1375" i="1"/>
  <c r="R1375" i="1"/>
  <c r="S1375" i="1"/>
  <c r="T1375" i="1"/>
  <c r="U1375" i="1"/>
  <c r="V1375" i="1"/>
  <c r="W1375" i="1"/>
  <c r="X1375" i="1"/>
  <c r="Y1375" i="1"/>
  <c r="Z1375" i="1"/>
  <c r="AA1375" i="1"/>
  <c r="AB1375" i="1"/>
  <c r="AC1375" i="1"/>
  <c r="AD1375" i="1"/>
  <c r="AE1375" i="1"/>
  <c r="AF1375" i="1"/>
  <c r="AG1375" i="1"/>
  <c r="AH1375" i="1"/>
  <c r="AI1375" i="1"/>
  <c r="AJ1375" i="1"/>
  <c r="AQ1375" i="1"/>
  <c r="AR1375" i="1"/>
  <c r="AS1375" i="1"/>
  <c r="L1376" i="1"/>
  <c r="M1376" i="1"/>
  <c r="N1376" i="1"/>
  <c r="O1376" i="1"/>
  <c r="P1376" i="1"/>
  <c r="Q1376" i="1"/>
  <c r="R1376" i="1"/>
  <c r="S1376" i="1"/>
  <c r="T1376" i="1"/>
  <c r="U1376" i="1"/>
  <c r="V1376" i="1"/>
  <c r="W1376" i="1"/>
  <c r="X1376" i="1"/>
  <c r="Y1376" i="1"/>
  <c r="Z1376" i="1"/>
  <c r="AA1376" i="1"/>
  <c r="AB1376" i="1"/>
  <c r="AC1376" i="1"/>
  <c r="AD1376" i="1"/>
  <c r="AE1376" i="1"/>
  <c r="AF1376" i="1"/>
  <c r="AG1376" i="1"/>
  <c r="AH1376" i="1"/>
  <c r="AI1376" i="1"/>
  <c r="AJ1376" i="1"/>
  <c r="AQ1376" i="1"/>
  <c r="AR1376" i="1"/>
  <c r="AS1376" i="1"/>
  <c r="L1377" i="1"/>
  <c r="M1377" i="1"/>
  <c r="N1377" i="1"/>
  <c r="O1377" i="1"/>
  <c r="P1377" i="1"/>
  <c r="Q1377" i="1"/>
  <c r="R1377" i="1"/>
  <c r="S1377" i="1"/>
  <c r="T1377" i="1"/>
  <c r="U1377" i="1"/>
  <c r="V1377" i="1"/>
  <c r="W1377" i="1"/>
  <c r="X1377" i="1"/>
  <c r="Y1377" i="1"/>
  <c r="Z1377" i="1"/>
  <c r="AA1377" i="1"/>
  <c r="AB1377" i="1"/>
  <c r="AC1377" i="1"/>
  <c r="AD1377" i="1"/>
  <c r="AE1377" i="1"/>
  <c r="AF1377" i="1"/>
  <c r="AG1377" i="1"/>
  <c r="AH1377" i="1"/>
  <c r="AI1377" i="1"/>
  <c r="AJ1377" i="1"/>
  <c r="AQ1377" i="1"/>
  <c r="AR1377" i="1"/>
  <c r="AS1377" i="1"/>
  <c r="L1378" i="1"/>
  <c r="M1378" i="1"/>
  <c r="N1378" i="1"/>
  <c r="O1378" i="1"/>
  <c r="P1378" i="1"/>
  <c r="Q1378" i="1"/>
  <c r="R1378" i="1"/>
  <c r="S1378" i="1"/>
  <c r="T1378" i="1"/>
  <c r="U1378" i="1"/>
  <c r="V1378" i="1"/>
  <c r="W1378" i="1"/>
  <c r="X1378" i="1"/>
  <c r="Y1378" i="1"/>
  <c r="Z1378" i="1"/>
  <c r="AA1378" i="1"/>
  <c r="AB1378" i="1"/>
  <c r="AC1378" i="1"/>
  <c r="AD1378" i="1"/>
  <c r="AE1378" i="1"/>
  <c r="AF1378" i="1"/>
  <c r="AG1378" i="1"/>
  <c r="AH1378" i="1"/>
  <c r="AI1378" i="1"/>
  <c r="AJ1378" i="1"/>
  <c r="AQ1378" i="1"/>
  <c r="AR1378" i="1"/>
  <c r="AS1378" i="1"/>
  <c r="L1379" i="1"/>
  <c r="M1379" i="1"/>
  <c r="N1379" i="1"/>
  <c r="O1379" i="1"/>
  <c r="P1379" i="1"/>
  <c r="Q1379" i="1"/>
  <c r="R1379" i="1"/>
  <c r="S1379" i="1"/>
  <c r="T1379" i="1"/>
  <c r="U1379" i="1"/>
  <c r="V1379" i="1"/>
  <c r="W1379" i="1"/>
  <c r="X1379" i="1"/>
  <c r="Y1379" i="1"/>
  <c r="Z1379" i="1"/>
  <c r="AA1379" i="1"/>
  <c r="AB1379" i="1"/>
  <c r="AC1379" i="1"/>
  <c r="AD1379" i="1"/>
  <c r="AE1379" i="1"/>
  <c r="AF1379" i="1"/>
  <c r="AG1379" i="1"/>
  <c r="AH1379" i="1"/>
  <c r="AI1379" i="1"/>
  <c r="AJ1379" i="1"/>
  <c r="AQ1379" i="1"/>
  <c r="AR1379" i="1"/>
  <c r="AS1379" i="1"/>
  <c r="L1380" i="1"/>
  <c r="M1380" i="1"/>
  <c r="N1380" i="1"/>
  <c r="O1380" i="1"/>
  <c r="P1380" i="1"/>
  <c r="Q1380" i="1"/>
  <c r="R1380" i="1"/>
  <c r="S1380" i="1"/>
  <c r="T1380" i="1"/>
  <c r="U1380" i="1"/>
  <c r="V1380" i="1"/>
  <c r="W1380" i="1"/>
  <c r="X1380" i="1"/>
  <c r="Y1380" i="1"/>
  <c r="Z1380" i="1"/>
  <c r="AA1380" i="1"/>
  <c r="AB1380" i="1"/>
  <c r="AC1380" i="1"/>
  <c r="AD1380" i="1"/>
  <c r="AE1380" i="1"/>
  <c r="AF1380" i="1"/>
  <c r="AG1380" i="1"/>
  <c r="AH1380" i="1"/>
  <c r="AI1380" i="1"/>
  <c r="AJ1380" i="1"/>
  <c r="AQ1380" i="1"/>
  <c r="AR1380" i="1"/>
  <c r="AS1380" i="1"/>
  <c r="L1381" i="1"/>
  <c r="M1381" i="1"/>
  <c r="N1381" i="1"/>
  <c r="O1381" i="1"/>
  <c r="P1381" i="1"/>
  <c r="Q1381" i="1"/>
  <c r="R1381" i="1"/>
  <c r="S1381" i="1"/>
  <c r="T1381" i="1"/>
  <c r="U1381" i="1"/>
  <c r="V1381" i="1"/>
  <c r="W1381" i="1"/>
  <c r="X1381" i="1"/>
  <c r="Y1381" i="1"/>
  <c r="Z1381" i="1"/>
  <c r="AA1381" i="1"/>
  <c r="AB1381" i="1"/>
  <c r="AC1381" i="1"/>
  <c r="AD1381" i="1"/>
  <c r="AE1381" i="1"/>
  <c r="AF1381" i="1"/>
  <c r="AG1381" i="1"/>
  <c r="AH1381" i="1"/>
  <c r="AI1381" i="1"/>
  <c r="AJ1381" i="1"/>
  <c r="AQ1381" i="1"/>
  <c r="AR1381" i="1"/>
  <c r="AS1381" i="1"/>
  <c r="L1382" i="1"/>
  <c r="M1382" i="1"/>
  <c r="N1382" i="1"/>
  <c r="O1382" i="1"/>
  <c r="P1382" i="1"/>
  <c r="Q1382" i="1"/>
  <c r="R1382" i="1"/>
  <c r="S1382" i="1"/>
  <c r="T1382" i="1"/>
  <c r="U1382" i="1"/>
  <c r="V1382" i="1"/>
  <c r="W1382" i="1"/>
  <c r="X1382" i="1"/>
  <c r="Y1382" i="1"/>
  <c r="Z1382" i="1"/>
  <c r="AA1382" i="1"/>
  <c r="AB1382" i="1"/>
  <c r="AC1382" i="1"/>
  <c r="AD1382" i="1"/>
  <c r="AE1382" i="1"/>
  <c r="AF1382" i="1"/>
  <c r="AG1382" i="1"/>
  <c r="AH1382" i="1"/>
  <c r="AI1382" i="1"/>
  <c r="AJ1382" i="1"/>
  <c r="AQ1382" i="1"/>
  <c r="AR1382" i="1"/>
  <c r="AS1382" i="1"/>
  <c r="L1383" i="1"/>
  <c r="M1383" i="1"/>
  <c r="N1383" i="1"/>
  <c r="O1383" i="1"/>
  <c r="P1383" i="1"/>
  <c r="Q1383" i="1"/>
  <c r="R1383" i="1"/>
  <c r="S1383" i="1"/>
  <c r="T1383" i="1"/>
  <c r="U1383" i="1"/>
  <c r="V1383" i="1"/>
  <c r="W1383" i="1"/>
  <c r="X1383" i="1"/>
  <c r="Y1383" i="1"/>
  <c r="Z1383" i="1"/>
  <c r="AA1383" i="1"/>
  <c r="AB1383" i="1"/>
  <c r="AC1383" i="1"/>
  <c r="AD1383" i="1"/>
  <c r="AE1383" i="1"/>
  <c r="AF1383" i="1"/>
  <c r="AG1383" i="1"/>
  <c r="AH1383" i="1"/>
  <c r="AI1383" i="1"/>
  <c r="AJ1383" i="1"/>
  <c r="AQ1383" i="1"/>
  <c r="AR1383" i="1"/>
  <c r="AS1383" i="1"/>
  <c r="L1384" i="1"/>
  <c r="M1384" i="1"/>
  <c r="N1384" i="1"/>
  <c r="O1384" i="1"/>
  <c r="P1384" i="1"/>
  <c r="Q1384" i="1"/>
  <c r="R1384" i="1"/>
  <c r="S1384" i="1"/>
  <c r="T1384" i="1"/>
  <c r="U1384" i="1"/>
  <c r="V1384" i="1"/>
  <c r="W1384" i="1"/>
  <c r="X1384" i="1"/>
  <c r="Y1384" i="1"/>
  <c r="Z1384" i="1"/>
  <c r="AA1384" i="1"/>
  <c r="AB1384" i="1"/>
  <c r="AC1384" i="1"/>
  <c r="AD1384" i="1"/>
  <c r="AE1384" i="1"/>
  <c r="AF1384" i="1"/>
  <c r="AG1384" i="1"/>
  <c r="AH1384" i="1"/>
  <c r="AI1384" i="1"/>
  <c r="AJ1384" i="1"/>
  <c r="AQ1384" i="1"/>
  <c r="AR1384" i="1"/>
  <c r="AS1384" i="1"/>
  <c r="L1385" i="1"/>
  <c r="M1385" i="1"/>
  <c r="N1385" i="1"/>
  <c r="O1385" i="1"/>
  <c r="P1385" i="1"/>
  <c r="Q1385" i="1"/>
  <c r="R1385" i="1"/>
  <c r="S1385" i="1"/>
  <c r="T1385" i="1"/>
  <c r="U1385" i="1"/>
  <c r="V1385" i="1"/>
  <c r="W1385" i="1"/>
  <c r="X1385" i="1"/>
  <c r="Y1385" i="1"/>
  <c r="Z1385" i="1"/>
  <c r="AA1385" i="1"/>
  <c r="AB1385" i="1"/>
  <c r="AC1385" i="1"/>
  <c r="AD1385" i="1"/>
  <c r="AE1385" i="1"/>
  <c r="AF1385" i="1"/>
  <c r="AG1385" i="1"/>
  <c r="AH1385" i="1"/>
  <c r="AI1385" i="1"/>
  <c r="AJ1385" i="1"/>
  <c r="AQ1385" i="1"/>
  <c r="AR1385" i="1"/>
  <c r="AS1385" i="1"/>
  <c r="L1386" i="1"/>
  <c r="M1386" i="1"/>
  <c r="N1386" i="1"/>
  <c r="O1386" i="1"/>
  <c r="P1386" i="1"/>
  <c r="Q1386" i="1"/>
  <c r="R1386" i="1"/>
  <c r="S1386" i="1"/>
  <c r="T1386" i="1"/>
  <c r="U1386" i="1"/>
  <c r="V1386" i="1"/>
  <c r="W1386" i="1"/>
  <c r="X1386" i="1"/>
  <c r="Y1386" i="1"/>
  <c r="Z1386" i="1"/>
  <c r="AA1386" i="1"/>
  <c r="AB1386" i="1"/>
  <c r="AC1386" i="1"/>
  <c r="AD1386" i="1"/>
  <c r="AE1386" i="1"/>
  <c r="AF1386" i="1"/>
  <c r="AG1386" i="1"/>
  <c r="AH1386" i="1"/>
  <c r="AI1386" i="1"/>
  <c r="AJ1386" i="1"/>
  <c r="AQ1386" i="1"/>
  <c r="AR1386" i="1"/>
  <c r="AS1386" i="1"/>
  <c r="L1387" i="1"/>
  <c r="M1387" i="1"/>
  <c r="N1387" i="1"/>
  <c r="O1387" i="1"/>
  <c r="P1387" i="1"/>
  <c r="Q1387" i="1"/>
  <c r="R1387" i="1"/>
  <c r="S1387" i="1"/>
  <c r="T1387" i="1"/>
  <c r="U1387" i="1"/>
  <c r="V1387" i="1"/>
  <c r="W1387" i="1"/>
  <c r="X1387" i="1"/>
  <c r="Y1387" i="1"/>
  <c r="Z1387" i="1"/>
  <c r="AA1387" i="1"/>
  <c r="AB1387" i="1"/>
  <c r="AC1387" i="1"/>
  <c r="AD1387" i="1"/>
  <c r="AE1387" i="1"/>
  <c r="AF1387" i="1"/>
  <c r="AG1387" i="1"/>
  <c r="AH1387" i="1"/>
  <c r="AI1387" i="1"/>
  <c r="AJ1387" i="1"/>
  <c r="AQ1387" i="1"/>
  <c r="AR1387" i="1"/>
  <c r="AS1387" i="1"/>
  <c r="L1388" i="1"/>
  <c r="M1388" i="1"/>
  <c r="N1388" i="1"/>
  <c r="O1388" i="1"/>
  <c r="P1388" i="1"/>
  <c r="Q1388" i="1"/>
  <c r="R1388" i="1"/>
  <c r="S1388" i="1"/>
  <c r="T1388" i="1"/>
  <c r="U1388" i="1"/>
  <c r="V1388" i="1"/>
  <c r="W1388" i="1"/>
  <c r="X1388" i="1"/>
  <c r="Y1388" i="1"/>
  <c r="Z1388" i="1"/>
  <c r="AA1388" i="1"/>
  <c r="AB1388" i="1"/>
  <c r="AC1388" i="1"/>
  <c r="AD1388" i="1"/>
  <c r="AE1388" i="1"/>
  <c r="AF1388" i="1"/>
  <c r="AG1388" i="1"/>
  <c r="AH1388" i="1"/>
  <c r="AI1388" i="1"/>
  <c r="AJ1388" i="1"/>
  <c r="AQ1388" i="1"/>
  <c r="AR1388" i="1"/>
  <c r="AS1388" i="1"/>
  <c r="L1389" i="1"/>
  <c r="M1389" i="1"/>
  <c r="N1389" i="1"/>
  <c r="O1389" i="1"/>
  <c r="P1389" i="1"/>
  <c r="Q1389" i="1"/>
  <c r="R1389" i="1"/>
  <c r="S1389" i="1"/>
  <c r="T1389" i="1"/>
  <c r="U1389" i="1"/>
  <c r="V1389" i="1"/>
  <c r="W1389" i="1"/>
  <c r="X1389" i="1"/>
  <c r="Y1389" i="1"/>
  <c r="Z1389" i="1"/>
  <c r="AA1389" i="1"/>
  <c r="AB1389" i="1"/>
  <c r="AC1389" i="1"/>
  <c r="AD1389" i="1"/>
  <c r="AE1389" i="1"/>
  <c r="AF1389" i="1"/>
  <c r="AG1389" i="1"/>
  <c r="AH1389" i="1"/>
  <c r="AI1389" i="1"/>
  <c r="AJ1389" i="1"/>
  <c r="AQ1389" i="1"/>
  <c r="AR1389" i="1"/>
  <c r="AS1389" i="1"/>
  <c r="L1390" i="1"/>
  <c r="M1390" i="1"/>
  <c r="N1390" i="1"/>
  <c r="O1390" i="1"/>
  <c r="P1390" i="1"/>
  <c r="Q1390" i="1"/>
  <c r="R1390" i="1"/>
  <c r="S1390" i="1"/>
  <c r="T1390" i="1"/>
  <c r="U1390" i="1"/>
  <c r="V1390" i="1"/>
  <c r="W1390" i="1"/>
  <c r="X1390" i="1"/>
  <c r="Y1390" i="1"/>
  <c r="Z1390" i="1"/>
  <c r="AA1390" i="1"/>
  <c r="AB1390" i="1"/>
  <c r="AC1390" i="1"/>
  <c r="AD1390" i="1"/>
  <c r="AE1390" i="1"/>
  <c r="AF1390" i="1"/>
  <c r="AG1390" i="1"/>
  <c r="AH1390" i="1"/>
  <c r="AI1390" i="1"/>
  <c r="AJ1390" i="1"/>
  <c r="AQ1390" i="1"/>
  <c r="AR1390" i="1"/>
  <c r="AS1390" i="1"/>
  <c r="L1391" i="1"/>
  <c r="M1391" i="1"/>
  <c r="N1391" i="1"/>
  <c r="O1391" i="1"/>
  <c r="P1391" i="1"/>
  <c r="Q1391" i="1"/>
  <c r="R1391" i="1"/>
  <c r="S1391" i="1"/>
  <c r="T1391" i="1"/>
  <c r="U1391" i="1"/>
  <c r="V1391" i="1"/>
  <c r="W1391" i="1"/>
  <c r="X1391" i="1"/>
  <c r="Y1391" i="1"/>
  <c r="Z1391" i="1"/>
  <c r="AA1391" i="1"/>
  <c r="AB1391" i="1"/>
  <c r="AC1391" i="1"/>
  <c r="AD1391" i="1"/>
  <c r="AE1391" i="1"/>
  <c r="AF1391" i="1"/>
  <c r="AG1391" i="1"/>
  <c r="AH1391" i="1"/>
  <c r="AI1391" i="1"/>
  <c r="AJ1391" i="1"/>
  <c r="AQ1391" i="1"/>
  <c r="AR1391" i="1"/>
  <c r="AS1391" i="1"/>
  <c r="L1392" i="1"/>
  <c r="M1392" i="1"/>
  <c r="N1392" i="1"/>
  <c r="O1392" i="1"/>
  <c r="P1392" i="1"/>
  <c r="Q1392" i="1"/>
  <c r="R1392" i="1"/>
  <c r="S1392" i="1"/>
  <c r="T1392" i="1"/>
  <c r="U1392" i="1"/>
  <c r="V1392" i="1"/>
  <c r="W1392" i="1"/>
  <c r="X1392" i="1"/>
  <c r="Y1392" i="1"/>
  <c r="Z1392" i="1"/>
  <c r="AA1392" i="1"/>
  <c r="AB1392" i="1"/>
  <c r="AC1392" i="1"/>
  <c r="AD1392" i="1"/>
  <c r="AE1392" i="1"/>
  <c r="AF1392" i="1"/>
  <c r="AG1392" i="1"/>
  <c r="AH1392" i="1"/>
  <c r="AI1392" i="1"/>
  <c r="AJ1392" i="1"/>
  <c r="AQ1392" i="1"/>
  <c r="AR1392" i="1"/>
  <c r="AS1392" i="1"/>
  <c r="L1393" i="1"/>
  <c r="M1393" i="1"/>
  <c r="N1393" i="1"/>
  <c r="O1393" i="1"/>
  <c r="P1393" i="1"/>
  <c r="Q1393" i="1"/>
  <c r="R1393" i="1"/>
  <c r="S1393" i="1"/>
  <c r="T1393" i="1"/>
  <c r="U1393" i="1"/>
  <c r="V1393" i="1"/>
  <c r="W1393" i="1"/>
  <c r="X1393" i="1"/>
  <c r="Y1393" i="1"/>
  <c r="Z1393" i="1"/>
  <c r="AA1393" i="1"/>
  <c r="AB1393" i="1"/>
  <c r="AC1393" i="1"/>
  <c r="AD1393" i="1"/>
  <c r="AE1393" i="1"/>
  <c r="AF1393" i="1"/>
  <c r="AG1393" i="1"/>
  <c r="AH1393" i="1"/>
  <c r="AI1393" i="1"/>
  <c r="AJ1393" i="1"/>
  <c r="AQ1393" i="1"/>
  <c r="AR1393" i="1"/>
  <c r="AS1393" i="1"/>
  <c r="L1394" i="1"/>
  <c r="M1394" i="1"/>
  <c r="N1394" i="1"/>
  <c r="O1394" i="1"/>
  <c r="P1394" i="1"/>
  <c r="Q1394" i="1"/>
  <c r="R1394" i="1"/>
  <c r="S1394" i="1"/>
  <c r="T1394" i="1"/>
  <c r="U1394" i="1"/>
  <c r="V1394" i="1"/>
  <c r="W1394" i="1"/>
  <c r="X1394" i="1"/>
  <c r="Y1394" i="1"/>
  <c r="Z1394" i="1"/>
  <c r="AA1394" i="1"/>
  <c r="AB1394" i="1"/>
  <c r="AC1394" i="1"/>
  <c r="AD1394" i="1"/>
  <c r="AE1394" i="1"/>
  <c r="AF1394" i="1"/>
  <c r="AG1394" i="1"/>
  <c r="AH1394" i="1"/>
  <c r="AI1394" i="1"/>
  <c r="AJ1394" i="1"/>
  <c r="AQ1394" i="1"/>
  <c r="AR1394" i="1"/>
  <c r="AS1394" i="1"/>
  <c r="L1395" i="1"/>
  <c r="M1395" i="1"/>
  <c r="N1395" i="1"/>
  <c r="O1395" i="1"/>
  <c r="P1395" i="1"/>
  <c r="Q1395" i="1"/>
  <c r="R1395" i="1"/>
  <c r="S1395" i="1"/>
  <c r="T1395" i="1"/>
  <c r="U1395" i="1"/>
  <c r="V1395" i="1"/>
  <c r="W1395" i="1"/>
  <c r="X1395" i="1"/>
  <c r="Y1395" i="1"/>
  <c r="Z1395" i="1"/>
  <c r="AA1395" i="1"/>
  <c r="AB1395" i="1"/>
  <c r="AC1395" i="1"/>
  <c r="AD1395" i="1"/>
  <c r="AE1395" i="1"/>
  <c r="AF1395" i="1"/>
  <c r="AG1395" i="1"/>
  <c r="AH1395" i="1"/>
  <c r="AI1395" i="1"/>
  <c r="AJ1395" i="1"/>
  <c r="AQ1395" i="1"/>
  <c r="AR1395" i="1"/>
  <c r="AS1395" i="1"/>
  <c r="L1396" i="1"/>
  <c r="M1396" i="1"/>
  <c r="N1396" i="1"/>
  <c r="O1396" i="1"/>
  <c r="P1396" i="1"/>
  <c r="Q1396" i="1"/>
  <c r="R1396" i="1"/>
  <c r="S1396" i="1"/>
  <c r="T1396" i="1"/>
  <c r="U1396" i="1"/>
  <c r="V1396" i="1"/>
  <c r="W1396" i="1"/>
  <c r="X1396" i="1"/>
  <c r="Y1396" i="1"/>
  <c r="Z1396" i="1"/>
  <c r="AA1396" i="1"/>
  <c r="AB1396" i="1"/>
  <c r="AC1396" i="1"/>
  <c r="AD1396" i="1"/>
  <c r="AE1396" i="1"/>
  <c r="AF1396" i="1"/>
  <c r="AG1396" i="1"/>
  <c r="AH1396" i="1"/>
  <c r="AI1396" i="1"/>
  <c r="AJ1396" i="1"/>
  <c r="AQ1396" i="1"/>
  <c r="AR1396" i="1"/>
  <c r="AS1396" i="1"/>
  <c r="L1397" i="1"/>
  <c r="M1397" i="1"/>
  <c r="N1397" i="1"/>
  <c r="O1397" i="1"/>
  <c r="P1397" i="1"/>
  <c r="Q1397" i="1"/>
  <c r="R1397" i="1"/>
  <c r="S1397" i="1"/>
  <c r="T1397" i="1"/>
  <c r="U1397" i="1"/>
  <c r="V1397" i="1"/>
  <c r="W1397" i="1"/>
  <c r="X1397" i="1"/>
  <c r="Y1397" i="1"/>
  <c r="Z1397" i="1"/>
  <c r="AA1397" i="1"/>
  <c r="AB1397" i="1"/>
  <c r="AC1397" i="1"/>
  <c r="AD1397" i="1"/>
  <c r="AE1397" i="1"/>
  <c r="AF1397" i="1"/>
  <c r="AG1397" i="1"/>
  <c r="AH1397" i="1"/>
  <c r="AI1397" i="1"/>
  <c r="AJ1397" i="1"/>
  <c r="AQ1397" i="1"/>
  <c r="AR1397" i="1"/>
  <c r="AS1397" i="1"/>
  <c r="L1398" i="1"/>
  <c r="M1398" i="1"/>
  <c r="N1398" i="1"/>
  <c r="O1398" i="1"/>
  <c r="P1398" i="1"/>
  <c r="Q1398" i="1"/>
  <c r="R1398" i="1"/>
  <c r="S1398" i="1"/>
  <c r="T1398" i="1"/>
  <c r="U1398" i="1"/>
  <c r="V1398" i="1"/>
  <c r="W1398" i="1"/>
  <c r="X1398" i="1"/>
  <c r="Y1398" i="1"/>
  <c r="Z1398" i="1"/>
  <c r="AA1398" i="1"/>
  <c r="AB1398" i="1"/>
  <c r="AC1398" i="1"/>
  <c r="AD1398" i="1"/>
  <c r="AE1398" i="1"/>
  <c r="AF1398" i="1"/>
  <c r="AG1398" i="1"/>
  <c r="AH1398" i="1"/>
  <c r="AI1398" i="1"/>
  <c r="AJ1398" i="1"/>
  <c r="AQ1398" i="1"/>
  <c r="AR1398" i="1"/>
  <c r="AS1398" i="1"/>
  <c r="L1399" i="1"/>
  <c r="M1399" i="1"/>
  <c r="N1399" i="1"/>
  <c r="O1399" i="1"/>
  <c r="P1399" i="1"/>
  <c r="Q1399" i="1"/>
  <c r="R1399" i="1"/>
  <c r="S1399" i="1"/>
  <c r="T1399" i="1"/>
  <c r="U1399" i="1"/>
  <c r="V1399" i="1"/>
  <c r="W1399" i="1"/>
  <c r="X1399" i="1"/>
  <c r="Y1399" i="1"/>
  <c r="Z1399" i="1"/>
  <c r="AA1399" i="1"/>
  <c r="AB1399" i="1"/>
  <c r="AC1399" i="1"/>
  <c r="AD1399" i="1"/>
  <c r="AE1399" i="1"/>
  <c r="AF1399" i="1"/>
  <c r="AG1399" i="1"/>
  <c r="AH1399" i="1"/>
  <c r="AI1399" i="1"/>
  <c r="AJ1399" i="1"/>
  <c r="AQ1399" i="1"/>
  <c r="AR1399" i="1"/>
  <c r="AS1399" i="1"/>
  <c r="L1400" i="1"/>
  <c r="M1400" i="1"/>
  <c r="N1400" i="1"/>
  <c r="O1400" i="1"/>
  <c r="P1400" i="1"/>
  <c r="Q1400" i="1"/>
  <c r="R1400" i="1"/>
  <c r="S1400" i="1"/>
  <c r="T1400" i="1"/>
  <c r="U1400" i="1"/>
  <c r="V1400" i="1"/>
  <c r="W1400" i="1"/>
  <c r="X1400" i="1"/>
  <c r="Y1400" i="1"/>
  <c r="Z1400" i="1"/>
  <c r="AA1400" i="1"/>
  <c r="AB1400" i="1"/>
  <c r="AC1400" i="1"/>
  <c r="AD1400" i="1"/>
  <c r="AE1400" i="1"/>
  <c r="AF1400" i="1"/>
  <c r="AG1400" i="1"/>
  <c r="AH1400" i="1"/>
  <c r="AI1400" i="1"/>
  <c r="AJ1400" i="1"/>
  <c r="AQ1400" i="1"/>
  <c r="AR1400" i="1"/>
  <c r="AS1400" i="1"/>
  <c r="L1401" i="1"/>
  <c r="M1401" i="1"/>
  <c r="N1401" i="1"/>
  <c r="O1401" i="1"/>
  <c r="P1401" i="1"/>
  <c r="Q1401" i="1"/>
  <c r="R1401" i="1"/>
  <c r="S1401" i="1"/>
  <c r="T1401" i="1"/>
  <c r="U1401" i="1"/>
  <c r="V1401" i="1"/>
  <c r="W1401" i="1"/>
  <c r="X1401" i="1"/>
  <c r="Y1401" i="1"/>
  <c r="Z1401" i="1"/>
  <c r="AA1401" i="1"/>
  <c r="AB1401" i="1"/>
  <c r="AC1401" i="1"/>
  <c r="AD1401" i="1"/>
  <c r="AE1401" i="1"/>
  <c r="AF1401" i="1"/>
  <c r="AG1401" i="1"/>
  <c r="AH1401" i="1"/>
  <c r="AI1401" i="1"/>
  <c r="AJ1401" i="1"/>
  <c r="AQ1401" i="1"/>
  <c r="AR1401" i="1"/>
  <c r="AS1401" i="1"/>
  <c r="L1402" i="1"/>
  <c r="M1402" i="1"/>
  <c r="N1402" i="1"/>
  <c r="O1402" i="1"/>
  <c r="P1402" i="1"/>
  <c r="Q1402" i="1"/>
  <c r="R1402" i="1"/>
  <c r="S1402" i="1"/>
  <c r="T1402" i="1"/>
  <c r="U1402" i="1"/>
  <c r="V1402" i="1"/>
  <c r="W1402" i="1"/>
  <c r="X1402" i="1"/>
  <c r="Y1402" i="1"/>
  <c r="Z1402" i="1"/>
  <c r="AA1402" i="1"/>
  <c r="AB1402" i="1"/>
  <c r="AC1402" i="1"/>
  <c r="AD1402" i="1"/>
  <c r="AE1402" i="1"/>
  <c r="AF1402" i="1"/>
  <c r="AG1402" i="1"/>
  <c r="AH1402" i="1"/>
  <c r="AI1402" i="1"/>
  <c r="AJ1402" i="1"/>
  <c r="AQ1402" i="1"/>
  <c r="AR1402" i="1"/>
  <c r="AS1402" i="1"/>
  <c r="L1403" i="1"/>
  <c r="M1403" i="1"/>
  <c r="N1403" i="1"/>
  <c r="O1403" i="1"/>
  <c r="P1403" i="1"/>
  <c r="Q1403" i="1"/>
  <c r="R1403" i="1"/>
  <c r="S1403" i="1"/>
  <c r="T1403" i="1"/>
  <c r="U1403" i="1"/>
  <c r="V1403" i="1"/>
  <c r="W1403" i="1"/>
  <c r="X1403" i="1"/>
  <c r="Y1403" i="1"/>
  <c r="Z1403" i="1"/>
  <c r="AA1403" i="1"/>
  <c r="AB1403" i="1"/>
  <c r="AC1403" i="1"/>
  <c r="AD1403" i="1"/>
  <c r="AE1403" i="1"/>
  <c r="AF1403" i="1"/>
  <c r="AG1403" i="1"/>
  <c r="AH1403" i="1"/>
  <c r="AI1403" i="1"/>
  <c r="AJ1403" i="1"/>
  <c r="AQ1403" i="1"/>
  <c r="AR1403" i="1"/>
  <c r="AS1403" i="1"/>
  <c r="L1404" i="1"/>
  <c r="M1404" i="1"/>
  <c r="N1404" i="1"/>
  <c r="O1404" i="1"/>
  <c r="P1404" i="1"/>
  <c r="Q1404" i="1"/>
  <c r="R1404" i="1"/>
  <c r="S1404" i="1"/>
  <c r="T1404" i="1"/>
  <c r="U1404" i="1"/>
  <c r="V1404" i="1"/>
  <c r="W1404" i="1"/>
  <c r="X1404" i="1"/>
  <c r="Y1404" i="1"/>
  <c r="Z1404" i="1"/>
  <c r="AA1404" i="1"/>
  <c r="AB1404" i="1"/>
  <c r="AC1404" i="1"/>
  <c r="AD1404" i="1"/>
  <c r="AE1404" i="1"/>
  <c r="AF1404" i="1"/>
  <c r="AG1404" i="1"/>
  <c r="AH1404" i="1"/>
  <c r="AI1404" i="1"/>
  <c r="AJ1404" i="1"/>
  <c r="AQ1404" i="1"/>
  <c r="AR1404" i="1"/>
  <c r="AS1404" i="1"/>
  <c r="L1405" i="1"/>
  <c r="M1405" i="1"/>
  <c r="N1405" i="1"/>
  <c r="O1405" i="1"/>
  <c r="P1405" i="1"/>
  <c r="Q1405" i="1"/>
  <c r="R1405" i="1"/>
  <c r="S1405" i="1"/>
  <c r="T1405" i="1"/>
  <c r="U1405" i="1"/>
  <c r="V1405" i="1"/>
  <c r="W1405" i="1"/>
  <c r="X1405" i="1"/>
  <c r="Y1405" i="1"/>
  <c r="Z1405" i="1"/>
  <c r="AA1405" i="1"/>
  <c r="AB1405" i="1"/>
  <c r="AC1405" i="1"/>
  <c r="AD1405" i="1"/>
  <c r="AE1405" i="1"/>
  <c r="AF1405" i="1"/>
  <c r="AG1405" i="1"/>
  <c r="AH1405" i="1"/>
  <c r="AI1405" i="1"/>
  <c r="AJ1405" i="1"/>
  <c r="AQ1405" i="1"/>
  <c r="AR1405" i="1"/>
  <c r="AS1405" i="1"/>
  <c r="L1406" i="1"/>
  <c r="M1406" i="1"/>
  <c r="N1406" i="1"/>
  <c r="O1406" i="1"/>
  <c r="P1406" i="1"/>
  <c r="Q1406" i="1"/>
  <c r="R1406" i="1"/>
  <c r="S1406" i="1"/>
  <c r="T1406" i="1"/>
  <c r="U1406" i="1"/>
  <c r="V1406" i="1"/>
  <c r="W1406" i="1"/>
  <c r="X1406" i="1"/>
  <c r="Y1406" i="1"/>
  <c r="Z1406" i="1"/>
  <c r="AA1406" i="1"/>
  <c r="AB1406" i="1"/>
  <c r="AC1406" i="1"/>
  <c r="AD1406" i="1"/>
  <c r="AE1406" i="1"/>
  <c r="AF1406" i="1"/>
  <c r="AG1406" i="1"/>
  <c r="AH1406" i="1"/>
  <c r="AI1406" i="1"/>
  <c r="AJ1406" i="1"/>
  <c r="AQ1406" i="1"/>
  <c r="AR1406" i="1"/>
  <c r="AS1406" i="1"/>
  <c r="L1407" i="1"/>
  <c r="M1407" i="1"/>
  <c r="N1407" i="1"/>
  <c r="O1407" i="1"/>
  <c r="P1407" i="1"/>
  <c r="Q1407" i="1"/>
  <c r="R1407" i="1"/>
  <c r="S1407" i="1"/>
  <c r="T1407" i="1"/>
  <c r="U1407" i="1"/>
  <c r="V1407" i="1"/>
  <c r="W1407" i="1"/>
  <c r="X1407" i="1"/>
  <c r="Y1407" i="1"/>
  <c r="Z1407" i="1"/>
  <c r="AA1407" i="1"/>
  <c r="AB1407" i="1"/>
  <c r="AC1407" i="1"/>
  <c r="AD1407" i="1"/>
  <c r="AE1407" i="1"/>
  <c r="AF1407" i="1"/>
  <c r="AG1407" i="1"/>
  <c r="AH1407" i="1"/>
  <c r="AI1407" i="1"/>
  <c r="AJ1407" i="1"/>
  <c r="AQ1407" i="1"/>
  <c r="AR1407" i="1"/>
  <c r="AS1407" i="1"/>
  <c r="L1408" i="1"/>
  <c r="M1408" i="1"/>
  <c r="N1408" i="1"/>
  <c r="O1408" i="1"/>
  <c r="P1408" i="1"/>
  <c r="Q1408" i="1"/>
  <c r="R1408" i="1"/>
  <c r="S1408" i="1"/>
  <c r="T1408" i="1"/>
  <c r="U1408" i="1"/>
  <c r="V1408" i="1"/>
  <c r="W1408" i="1"/>
  <c r="X1408" i="1"/>
  <c r="Y1408" i="1"/>
  <c r="Z1408" i="1"/>
  <c r="AA1408" i="1"/>
  <c r="AB1408" i="1"/>
  <c r="AC1408" i="1"/>
  <c r="AD1408" i="1"/>
  <c r="AE1408" i="1"/>
  <c r="AF1408" i="1"/>
  <c r="AG1408" i="1"/>
  <c r="AH1408" i="1"/>
  <c r="AI1408" i="1"/>
  <c r="AJ1408" i="1"/>
  <c r="AQ1408" i="1"/>
  <c r="AR1408" i="1"/>
  <c r="AS1408" i="1"/>
  <c r="L1409" i="1"/>
  <c r="M1409" i="1"/>
  <c r="N1409" i="1"/>
  <c r="O1409" i="1"/>
  <c r="P1409" i="1"/>
  <c r="Q1409" i="1"/>
  <c r="R1409" i="1"/>
  <c r="S1409" i="1"/>
  <c r="T1409" i="1"/>
  <c r="U1409" i="1"/>
  <c r="V1409" i="1"/>
  <c r="W1409" i="1"/>
  <c r="X1409" i="1"/>
  <c r="Y1409" i="1"/>
  <c r="Z1409" i="1"/>
  <c r="AA1409" i="1"/>
  <c r="AB1409" i="1"/>
  <c r="AC1409" i="1"/>
  <c r="AD1409" i="1"/>
  <c r="AE1409" i="1"/>
  <c r="AF1409" i="1"/>
  <c r="AG1409" i="1"/>
  <c r="AH1409" i="1"/>
  <c r="AI1409" i="1"/>
  <c r="AJ1409" i="1"/>
  <c r="AQ1409" i="1"/>
  <c r="AR1409" i="1"/>
  <c r="AS1409" i="1"/>
  <c r="L1410" i="1"/>
  <c r="M1410" i="1"/>
  <c r="N1410" i="1"/>
  <c r="O1410" i="1"/>
  <c r="P1410" i="1"/>
  <c r="Q1410" i="1"/>
  <c r="R1410" i="1"/>
  <c r="S1410" i="1"/>
  <c r="T1410" i="1"/>
  <c r="U1410" i="1"/>
  <c r="V1410" i="1"/>
  <c r="W1410" i="1"/>
  <c r="X1410" i="1"/>
  <c r="Y1410" i="1"/>
  <c r="Z1410" i="1"/>
  <c r="AA1410" i="1"/>
  <c r="AB1410" i="1"/>
  <c r="AC1410" i="1"/>
  <c r="AD1410" i="1"/>
  <c r="AE1410" i="1"/>
  <c r="AF1410" i="1"/>
  <c r="AG1410" i="1"/>
  <c r="AH1410" i="1"/>
  <c r="AI1410" i="1"/>
  <c r="AJ1410" i="1"/>
  <c r="AQ1410" i="1"/>
  <c r="AR1410" i="1"/>
  <c r="AS1410" i="1"/>
  <c r="L1411" i="1"/>
  <c r="M1411" i="1"/>
  <c r="N1411" i="1"/>
  <c r="O1411" i="1"/>
  <c r="P1411" i="1"/>
  <c r="Q1411" i="1"/>
  <c r="R1411" i="1"/>
  <c r="S1411" i="1"/>
  <c r="T1411" i="1"/>
  <c r="U1411" i="1"/>
  <c r="V1411" i="1"/>
  <c r="W1411" i="1"/>
  <c r="X1411" i="1"/>
  <c r="Y1411" i="1"/>
  <c r="Z1411" i="1"/>
  <c r="AA1411" i="1"/>
  <c r="AB1411" i="1"/>
  <c r="AC1411" i="1"/>
  <c r="AD1411" i="1"/>
  <c r="AE1411" i="1"/>
  <c r="AF1411" i="1"/>
  <c r="AG1411" i="1"/>
  <c r="AH1411" i="1"/>
  <c r="AI1411" i="1"/>
  <c r="AJ1411" i="1"/>
  <c r="AQ1411" i="1"/>
  <c r="AR1411" i="1"/>
  <c r="AS1411" i="1"/>
  <c r="L1412" i="1"/>
  <c r="M1412" i="1"/>
  <c r="N1412" i="1"/>
  <c r="O1412" i="1"/>
  <c r="P1412" i="1"/>
  <c r="Q1412" i="1"/>
  <c r="R1412" i="1"/>
  <c r="S1412" i="1"/>
  <c r="T1412" i="1"/>
  <c r="U1412" i="1"/>
  <c r="V1412" i="1"/>
  <c r="W1412" i="1"/>
  <c r="X1412" i="1"/>
  <c r="Y1412" i="1"/>
  <c r="Z1412" i="1"/>
  <c r="AA1412" i="1"/>
  <c r="AB1412" i="1"/>
  <c r="AC1412" i="1"/>
  <c r="AD1412" i="1"/>
  <c r="AE1412" i="1"/>
  <c r="AF1412" i="1"/>
  <c r="AG1412" i="1"/>
  <c r="AH1412" i="1"/>
  <c r="AI1412" i="1"/>
  <c r="AJ1412" i="1"/>
  <c r="AQ1412" i="1"/>
  <c r="AR1412" i="1"/>
  <c r="AS1412" i="1"/>
  <c r="L1413" i="1"/>
  <c r="M1413" i="1"/>
  <c r="N1413" i="1"/>
  <c r="O1413" i="1"/>
  <c r="P1413" i="1"/>
  <c r="Q1413" i="1"/>
  <c r="R1413" i="1"/>
  <c r="S1413" i="1"/>
  <c r="T1413" i="1"/>
  <c r="U1413" i="1"/>
  <c r="V1413" i="1"/>
  <c r="W1413" i="1"/>
  <c r="X1413" i="1"/>
  <c r="Y1413" i="1"/>
  <c r="Z1413" i="1"/>
  <c r="AA1413" i="1"/>
  <c r="AB1413" i="1"/>
  <c r="AC1413" i="1"/>
  <c r="AD1413" i="1"/>
  <c r="AE1413" i="1"/>
  <c r="AF1413" i="1"/>
  <c r="AG1413" i="1"/>
  <c r="AH1413" i="1"/>
  <c r="AI1413" i="1"/>
  <c r="AJ1413" i="1"/>
  <c r="AQ1413" i="1"/>
  <c r="AR1413" i="1"/>
  <c r="AS1413" i="1"/>
  <c r="L1414" i="1"/>
  <c r="M1414" i="1"/>
  <c r="N1414" i="1"/>
  <c r="O1414" i="1"/>
  <c r="P1414" i="1"/>
  <c r="Q1414" i="1"/>
  <c r="R1414" i="1"/>
  <c r="S1414" i="1"/>
  <c r="T1414" i="1"/>
  <c r="U1414" i="1"/>
  <c r="V1414" i="1"/>
  <c r="W1414" i="1"/>
  <c r="X1414" i="1"/>
  <c r="Y1414" i="1"/>
  <c r="Z1414" i="1"/>
  <c r="AA1414" i="1"/>
  <c r="AB1414" i="1"/>
  <c r="AC1414" i="1"/>
  <c r="AD1414" i="1"/>
  <c r="AE1414" i="1"/>
  <c r="AF1414" i="1"/>
  <c r="AG1414" i="1"/>
  <c r="AH1414" i="1"/>
  <c r="AI1414" i="1"/>
  <c r="AJ1414" i="1"/>
  <c r="AQ1414" i="1"/>
  <c r="AR1414" i="1"/>
  <c r="AS1414" i="1"/>
  <c r="L1415" i="1"/>
  <c r="M1415" i="1"/>
  <c r="N1415" i="1"/>
  <c r="O1415" i="1"/>
  <c r="P1415" i="1"/>
  <c r="Q1415" i="1"/>
  <c r="R1415" i="1"/>
  <c r="S1415" i="1"/>
  <c r="T1415" i="1"/>
  <c r="U1415" i="1"/>
  <c r="V1415" i="1"/>
  <c r="W1415" i="1"/>
  <c r="X1415" i="1"/>
  <c r="Y1415" i="1"/>
  <c r="Z1415" i="1"/>
  <c r="AA1415" i="1"/>
  <c r="AB1415" i="1"/>
  <c r="AC1415" i="1"/>
  <c r="AD1415" i="1"/>
  <c r="AE1415" i="1"/>
  <c r="AF1415" i="1"/>
  <c r="AG1415" i="1"/>
  <c r="AH1415" i="1"/>
  <c r="AI1415" i="1"/>
  <c r="AJ1415" i="1"/>
  <c r="AQ1415" i="1"/>
  <c r="AR1415" i="1"/>
  <c r="AS1415" i="1"/>
  <c r="L1416" i="1"/>
  <c r="M1416" i="1"/>
  <c r="N1416" i="1"/>
  <c r="O1416" i="1"/>
  <c r="P1416" i="1"/>
  <c r="Q1416" i="1"/>
  <c r="R1416" i="1"/>
  <c r="S1416" i="1"/>
  <c r="T1416" i="1"/>
  <c r="U1416" i="1"/>
  <c r="V1416" i="1"/>
  <c r="W1416" i="1"/>
  <c r="X1416" i="1"/>
  <c r="Y1416" i="1"/>
  <c r="Z1416" i="1"/>
  <c r="AA1416" i="1"/>
  <c r="AB1416" i="1"/>
  <c r="AC1416" i="1"/>
  <c r="AD1416" i="1"/>
  <c r="AE1416" i="1"/>
  <c r="AF1416" i="1"/>
  <c r="AG1416" i="1"/>
  <c r="AH1416" i="1"/>
  <c r="AI1416" i="1"/>
  <c r="AJ1416" i="1"/>
  <c r="AQ1416" i="1"/>
  <c r="AR1416" i="1"/>
  <c r="AS1416" i="1"/>
  <c r="L1417" i="1"/>
  <c r="M1417" i="1"/>
  <c r="N1417" i="1"/>
  <c r="O1417" i="1"/>
  <c r="P1417" i="1"/>
  <c r="Q1417" i="1"/>
  <c r="R1417" i="1"/>
  <c r="S1417" i="1"/>
  <c r="T1417" i="1"/>
  <c r="U1417" i="1"/>
  <c r="V1417" i="1"/>
  <c r="W1417" i="1"/>
  <c r="X1417" i="1"/>
  <c r="Y1417" i="1"/>
  <c r="Z1417" i="1"/>
  <c r="AA1417" i="1"/>
  <c r="AB1417" i="1"/>
  <c r="AC1417" i="1"/>
  <c r="AD1417" i="1"/>
  <c r="AE1417" i="1"/>
  <c r="AF1417" i="1"/>
  <c r="AG1417" i="1"/>
  <c r="AH1417" i="1"/>
  <c r="AI1417" i="1"/>
  <c r="AJ1417" i="1"/>
  <c r="AQ1417" i="1"/>
  <c r="AR1417" i="1"/>
  <c r="AS1417" i="1"/>
  <c r="L1418" i="1"/>
  <c r="M1418" i="1"/>
  <c r="N1418" i="1"/>
  <c r="O1418" i="1"/>
  <c r="P1418" i="1"/>
  <c r="Q1418" i="1"/>
  <c r="R1418" i="1"/>
  <c r="S1418" i="1"/>
  <c r="T1418" i="1"/>
  <c r="U1418" i="1"/>
  <c r="V1418" i="1"/>
  <c r="W1418" i="1"/>
  <c r="X1418" i="1"/>
  <c r="Y1418" i="1"/>
  <c r="Z1418" i="1"/>
  <c r="AA1418" i="1"/>
  <c r="AB1418" i="1"/>
  <c r="AC1418" i="1"/>
  <c r="AD1418" i="1"/>
  <c r="AE1418" i="1"/>
  <c r="AF1418" i="1"/>
  <c r="AG1418" i="1"/>
  <c r="AH1418" i="1"/>
  <c r="AI1418" i="1"/>
  <c r="AJ1418" i="1"/>
  <c r="AQ1418" i="1"/>
  <c r="AR1418" i="1"/>
  <c r="AS1418" i="1"/>
  <c r="L1419" i="1"/>
  <c r="M1419" i="1"/>
  <c r="N1419" i="1"/>
  <c r="O1419" i="1"/>
  <c r="P1419" i="1"/>
  <c r="Q1419" i="1"/>
  <c r="R1419" i="1"/>
  <c r="S1419" i="1"/>
  <c r="T1419" i="1"/>
  <c r="U1419" i="1"/>
  <c r="V1419" i="1"/>
  <c r="W1419" i="1"/>
  <c r="X1419" i="1"/>
  <c r="Y1419" i="1"/>
  <c r="Z1419" i="1"/>
  <c r="AA1419" i="1"/>
  <c r="AB1419" i="1"/>
  <c r="AC1419" i="1"/>
  <c r="AD1419" i="1"/>
  <c r="AE1419" i="1"/>
  <c r="AF1419" i="1"/>
  <c r="AG1419" i="1"/>
  <c r="AH1419" i="1"/>
  <c r="AI1419" i="1"/>
  <c r="AJ1419" i="1"/>
  <c r="AQ1419" i="1"/>
  <c r="AR1419" i="1"/>
  <c r="AS1419" i="1"/>
  <c r="L1420" i="1"/>
  <c r="M1420" i="1"/>
  <c r="N1420" i="1"/>
  <c r="O1420" i="1"/>
  <c r="P1420" i="1"/>
  <c r="Q1420" i="1"/>
  <c r="R1420" i="1"/>
  <c r="S1420" i="1"/>
  <c r="T1420" i="1"/>
  <c r="U1420" i="1"/>
  <c r="V1420" i="1"/>
  <c r="W1420" i="1"/>
  <c r="X1420" i="1"/>
  <c r="Y1420" i="1"/>
  <c r="Z1420" i="1"/>
  <c r="AA1420" i="1"/>
  <c r="AB1420" i="1"/>
  <c r="AC1420" i="1"/>
  <c r="AD1420" i="1"/>
  <c r="AE1420" i="1"/>
  <c r="AF1420" i="1"/>
  <c r="AG1420" i="1"/>
  <c r="AH1420" i="1"/>
  <c r="AI1420" i="1"/>
  <c r="AJ1420" i="1"/>
  <c r="AQ1420" i="1"/>
  <c r="AR1420" i="1"/>
  <c r="AS1420" i="1"/>
  <c r="L1421" i="1"/>
  <c r="M1421" i="1"/>
  <c r="N1421" i="1"/>
  <c r="O1421" i="1"/>
  <c r="P1421" i="1"/>
  <c r="Q1421" i="1"/>
  <c r="R1421" i="1"/>
  <c r="S1421" i="1"/>
  <c r="T1421" i="1"/>
  <c r="U1421" i="1"/>
  <c r="V1421" i="1"/>
  <c r="W1421" i="1"/>
  <c r="X1421" i="1"/>
  <c r="Y1421" i="1"/>
  <c r="Z1421" i="1"/>
  <c r="AA1421" i="1"/>
  <c r="AB1421" i="1"/>
  <c r="AC1421" i="1"/>
  <c r="AD1421" i="1"/>
  <c r="AE1421" i="1"/>
  <c r="AF1421" i="1"/>
  <c r="AG1421" i="1"/>
  <c r="AH1421" i="1"/>
  <c r="AI1421" i="1"/>
  <c r="AJ1421" i="1"/>
  <c r="AQ1421" i="1"/>
  <c r="AR1421" i="1"/>
  <c r="AS1421" i="1"/>
  <c r="L1422" i="1"/>
  <c r="M1422" i="1"/>
  <c r="N1422" i="1"/>
  <c r="O1422" i="1"/>
  <c r="P1422" i="1"/>
  <c r="Q1422" i="1"/>
  <c r="R1422" i="1"/>
  <c r="S1422" i="1"/>
  <c r="T1422" i="1"/>
  <c r="U1422" i="1"/>
  <c r="V1422" i="1"/>
  <c r="W1422" i="1"/>
  <c r="X1422" i="1"/>
  <c r="Y1422" i="1"/>
  <c r="Z1422" i="1"/>
  <c r="AA1422" i="1"/>
  <c r="AB1422" i="1"/>
  <c r="AC1422" i="1"/>
  <c r="AD1422" i="1"/>
  <c r="AE1422" i="1"/>
  <c r="AF1422" i="1"/>
  <c r="AG1422" i="1"/>
  <c r="AH1422" i="1"/>
  <c r="AI1422" i="1"/>
  <c r="AJ1422" i="1"/>
  <c r="AQ1422" i="1"/>
  <c r="AR1422" i="1"/>
  <c r="AS1422" i="1"/>
  <c r="L1423" i="1"/>
  <c r="M1423" i="1"/>
  <c r="N1423" i="1"/>
  <c r="O1423" i="1"/>
  <c r="P1423" i="1"/>
  <c r="Q1423" i="1"/>
  <c r="R1423" i="1"/>
  <c r="S1423" i="1"/>
  <c r="T1423" i="1"/>
  <c r="U1423" i="1"/>
  <c r="V1423" i="1"/>
  <c r="W1423" i="1"/>
  <c r="X1423" i="1"/>
  <c r="Y1423" i="1"/>
  <c r="Z1423" i="1"/>
  <c r="AA1423" i="1"/>
  <c r="AB1423" i="1"/>
  <c r="AC1423" i="1"/>
  <c r="AD1423" i="1"/>
  <c r="AE1423" i="1"/>
  <c r="AF1423" i="1"/>
  <c r="AG1423" i="1"/>
  <c r="AH1423" i="1"/>
  <c r="AI1423" i="1"/>
  <c r="AJ1423" i="1"/>
  <c r="AQ1423" i="1"/>
  <c r="AR1423" i="1"/>
  <c r="AS1423" i="1"/>
  <c r="L1424" i="1"/>
  <c r="M1424" i="1"/>
  <c r="N1424" i="1"/>
  <c r="O1424" i="1"/>
  <c r="P1424" i="1"/>
  <c r="Q1424" i="1"/>
  <c r="R1424" i="1"/>
  <c r="S1424" i="1"/>
  <c r="T1424" i="1"/>
  <c r="U1424" i="1"/>
  <c r="V1424" i="1"/>
  <c r="W1424" i="1"/>
  <c r="X1424" i="1"/>
  <c r="Y1424" i="1"/>
  <c r="Z1424" i="1"/>
  <c r="AA1424" i="1"/>
  <c r="AB1424" i="1"/>
  <c r="AC1424" i="1"/>
  <c r="AD1424" i="1"/>
  <c r="AE1424" i="1"/>
  <c r="AF1424" i="1"/>
  <c r="AG1424" i="1"/>
  <c r="AH1424" i="1"/>
  <c r="AI1424" i="1"/>
  <c r="AJ1424" i="1"/>
  <c r="AQ1424" i="1"/>
  <c r="AR1424" i="1"/>
  <c r="AS1424" i="1"/>
  <c r="L1425" i="1"/>
  <c r="M1425" i="1"/>
  <c r="N1425" i="1"/>
  <c r="O1425" i="1"/>
  <c r="P1425" i="1"/>
  <c r="Q1425" i="1"/>
  <c r="R1425" i="1"/>
  <c r="S1425" i="1"/>
  <c r="T1425" i="1"/>
  <c r="U1425" i="1"/>
  <c r="V1425" i="1"/>
  <c r="W1425" i="1"/>
  <c r="X1425" i="1"/>
  <c r="Y1425" i="1"/>
  <c r="Z1425" i="1"/>
  <c r="AA1425" i="1"/>
  <c r="AB1425" i="1"/>
  <c r="AC1425" i="1"/>
  <c r="AD1425" i="1"/>
  <c r="AE1425" i="1"/>
  <c r="AF1425" i="1"/>
  <c r="AG1425" i="1"/>
  <c r="AH1425" i="1"/>
  <c r="AI1425" i="1"/>
  <c r="AJ1425" i="1"/>
  <c r="AQ1425" i="1"/>
  <c r="AR1425" i="1"/>
  <c r="AS1425" i="1"/>
  <c r="L1426" i="1"/>
  <c r="M1426" i="1"/>
  <c r="N1426" i="1"/>
  <c r="O1426" i="1"/>
  <c r="P1426" i="1"/>
  <c r="Q1426" i="1"/>
  <c r="R1426" i="1"/>
  <c r="S1426" i="1"/>
  <c r="T1426" i="1"/>
  <c r="U1426" i="1"/>
  <c r="V1426" i="1"/>
  <c r="W1426" i="1"/>
  <c r="X1426" i="1"/>
  <c r="Y1426" i="1"/>
  <c r="Z1426" i="1"/>
  <c r="AA1426" i="1"/>
  <c r="AB1426" i="1"/>
  <c r="AC1426" i="1"/>
  <c r="AD1426" i="1"/>
  <c r="AE1426" i="1"/>
  <c r="AF1426" i="1"/>
  <c r="AG1426" i="1"/>
  <c r="AH1426" i="1"/>
  <c r="AI1426" i="1"/>
  <c r="AJ1426" i="1"/>
  <c r="AQ1426" i="1"/>
  <c r="AR1426" i="1"/>
  <c r="AS1426" i="1"/>
  <c r="L1427" i="1"/>
  <c r="M1427" i="1"/>
  <c r="N1427" i="1"/>
  <c r="O1427" i="1"/>
  <c r="P1427" i="1"/>
  <c r="Q1427" i="1"/>
  <c r="R1427" i="1"/>
  <c r="S1427" i="1"/>
  <c r="T1427" i="1"/>
  <c r="U1427" i="1"/>
  <c r="V1427" i="1"/>
  <c r="W1427" i="1"/>
  <c r="X1427" i="1"/>
  <c r="Y1427" i="1"/>
  <c r="Z1427" i="1"/>
  <c r="AA1427" i="1"/>
  <c r="AB1427" i="1"/>
  <c r="AC1427" i="1"/>
  <c r="AD1427" i="1"/>
  <c r="AE1427" i="1"/>
  <c r="AF1427" i="1"/>
  <c r="AG1427" i="1"/>
  <c r="AH1427" i="1"/>
  <c r="AI1427" i="1"/>
  <c r="AJ1427" i="1"/>
  <c r="AQ1427" i="1"/>
  <c r="AR1427" i="1"/>
  <c r="AS1427" i="1"/>
  <c r="L1428" i="1"/>
  <c r="M1428" i="1"/>
  <c r="N1428" i="1"/>
  <c r="O1428" i="1"/>
  <c r="P1428" i="1"/>
  <c r="Q1428" i="1"/>
  <c r="R1428" i="1"/>
  <c r="S1428" i="1"/>
  <c r="T1428" i="1"/>
  <c r="U1428" i="1"/>
  <c r="V1428" i="1"/>
  <c r="W1428" i="1"/>
  <c r="X1428" i="1"/>
  <c r="Y1428" i="1"/>
  <c r="Z1428" i="1"/>
  <c r="AA1428" i="1"/>
  <c r="AB1428" i="1"/>
  <c r="AC1428" i="1"/>
  <c r="AD1428" i="1"/>
  <c r="AE1428" i="1"/>
  <c r="AF1428" i="1"/>
  <c r="AG1428" i="1"/>
  <c r="AH1428" i="1"/>
  <c r="AI1428" i="1"/>
  <c r="AJ1428" i="1"/>
  <c r="AQ1428" i="1"/>
  <c r="AR1428" i="1"/>
  <c r="AS1428" i="1"/>
  <c r="L1429" i="1"/>
  <c r="M1429" i="1"/>
  <c r="N1429" i="1"/>
  <c r="O1429" i="1"/>
  <c r="P1429" i="1"/>
  <c r="Q1429" i="1"/>
  <c r="R1429" i="1"/>
  <c r="S1429" i="1"/>
  <c r="T1429" i="1"/>
  <c r="U1429" i="1"/>
  <c r="V1429" i="1"/>
  <c r="W1429" i="1"/>
  <c r="X1429" i="1"/>
  <c r="Y1429" i="1"/>
  <c r="Z1429" i="1"/>
  <c r="AA1429" i="1"/>
  <c r="AB1429" i="1"/>
  <c r="AC1429" i="1"/>
  <c r="AD1429" i="1"/>
  <c r="AE1429" i="1"/>
  <c r="AF1429" i="1"/>
  <c r="AG1429" i="1"/>
  <c r="AH1429" i="1"/>
  <c r="AI1429" i="1"/>
  <c r="AJ1429" i="1"/>
  <c r="AQ1429" i="1"/>
  <c r="AR1429" i="1"/>
  <c r="AS1429" i="1"/>
  <c r="L1430" i="1"/>
  <c r="M1430" i="1"/>
  <c r="N1430" i="1"/>
  <c r="O1430" i="1"/>
  <c r="P1430" i="1"/>
  <c r="Q1430" i="1"/>
  <c r="R1430" i="1"/>
  <c r="S1430" i="1"/>
  <c r="T1430" i="1"/>
  <c r="U1430" i="1"/>
  <c r="V1430" i="1"/>
  <c r="W1430" i="1"/>
  <c r="X1430" i="1"/>
  <c r="Y1430" i="1"/>
  <c r="Z1430" i="1"/>
  <c r="AA1430" i="1"/>
  <c r="AB1430" i="1"/>
  <c r="AC1430" i="1"/>
  <c r="AD1430" i="1"/>
  <c r="AE1430" i="1"/>
  <c r="AF1430" i="1"/>
  <c r="AG1430" i="1"/>
  <c r="AH1430" i="1"/>
  <c r="AI1430" i="1"/>
  <c r="AJ1430" i="1"/>
  <c r="AQ1430" i="1"/>
  <c r="AR1430" i="1"/>
  <c r="AS1430" i="1"/>
  <c r="L1431" i="1"/>
  <c r="M1431" i="1"/>
  <c r="N1431" i="1"/>
  <c r="O1431" i="1"/>
  <c r="P1431" i="1"/>
  <c r="Q1431" i="1"/>
  <c r="R1431" i="1"/>
  <c r="S1431" i="1"/>
  <c r="T1431" i="1"/>
  <c r="U1431" i="1"/>
  <c r="V1431" i="1"/>
  <c r="W1431" i="1"/>
  <c r="X1431" i="1"/>
  <c r="Y1431" i="1"/>
  <c r="Z1431" i="1"/>
  <c r="AA1431" i="1"/>
  <c r="AB1431" i="1"/>
  <c r="AC1431" i="1"/>
  <c r="AD1431" i="1"/>
  <c r="AE1431" i="1"/>
  <c r="AF1431" i="1"/>
  <c r="AG1431" i="1"/>
  <c r="AH1431" i="1"/>
  <c r="AI1431" i="1"/>
  <c r="AJ1431" i="1"/>
  <c r="AQ1431" i="1"/>
  <c r="AR1431" i="1"/>
  <c r="AS1431" i="1"/>
  <c r="L1432" i="1"/>
  <c r="M1432" i="1"/>
  <c r="N1432" i="1"/>
  <c r="O1432" i="1"/>
  <c r="P1432" i="1"/>
  <c r="Q1432" i="1"/>
  <c r="R1432" i="1"/>
  <c r="S1432" i="1"/>
  <c r="T1432" i="1"/>
  <c r="U1432" i="1"/>
  <c r="V1432" i="1"/>
  <c r="W1432" i="1"/>
  <c r="X1432" i="1"/>
  <c r="Y1432" i="1"/>
  <c r="Z1432" i="1"/>
  <c r="AA1432" i="1"/>
  <c r="AB1432" i="1"/>
  <c r="AC1432" i="1"/>
  <c r="AD1432" i="1"/>
  <c r="AE1432" i="1"/>
  <c r="AF1432" i="1"/>
  <c r="AG1432" i="1"/>
  <c r="AH1432" i="1"/>
  <c r="AI1432" i="1"/>
  <c r="AJ1432" i="1"/>
  <c r="AQ1432" i="1"/>
  <c r="AR1432" i="1"/>
  <c r="AS1432" i="1"/>
  <c r="L1433" i="1"/>
  <c r="M1433" i="1"/>
  <c r="N1433" i="1"/>
  <c r="O1433" i="1"/>
  <c r="P1433" i="1"/>
  <c r="Q1433" i="1"/>
  <c r="R1433" i="1"/>
  <c r="S1433" i="1"/>
  <c r="T1433" i="1"/>
  <c r="U1433" i="1"/>
  <c r="V1433" i="1"/>
  <c r="W1433" i="1"/>
  <c r="X1433" i="1"/>
  <c r="Y1433" i="1"/>
  <c r="Z1433" i="1"/>
  <c r="AA1433" i="1"/>
  <c r="AB1433" i="1"/>
  <c r="AC1433" i="1"/>
  <c r="AD1433" i="1"/>
  <c r="AE1433" i="1"/>
  <c r="AF1433" i="1"/>
  <c r="AG1433" i="1"/>
  <c r="AH1433" i="1"/>
  <c r="AI1433" i="1"/>
  <c r="AJ1433" i="1"/>
  <c r="AQ1433" i="1"/>
  <c r="AR1433" i="1"/>
  <c r="AS1433" i="1"/>
  <c r="L1434" i="1"/>
  <c r="M1434" i="1"/>
  <c r="N1434" i="1"/>
  <c r="O1434" i="1"/>
  <c r="P1434" i="1"/>
  <c r="Q1434" i="1"/>
  <c r="R1434" i="1"/>
  <c r="S1434" i="1"/>
  <c r="T1434" i="1"/>
  <c r="U1434" i="1"/>
  <c r="V1434" i="1"/>
  <c r="W1434" i="1"/>
  <c r="X1434" i="1"/>
  <c r="Y1434" i="1"/>
  <c r="Z1434" i="1"/>
  <c r="AA1434" i="1"/>
  <c r="AB1434" i="1"/>
  <c r="AC1434" i="1"/>
  <c r="AD1434" i="1"/>
  <c r="AE1434" i="1"/>
  <c r="AF1434" i="1"/>
  <c r="AG1434" i="1"/>
  <c r="AH1434" i="1"/>
  <c r="AI1434" i="1"/>
  <c r="AJ1434" i="1"/>
  <c r="AQ1434" i="1"/>
  <c r="AR1434" i="1"/>
  <c r="AS1434" i="1"/>
  <c r="L1435" i="1"/>
  <c r="M1435" i="1"/>
  <c r="N1435" i="1"/>
  <c r="O1435" i="1"/>
  <c r="P1435" i="1"/>
  <c r="Q1435" i="1"/>
  <c r="R1435" i="1"/>
  <c r="S1435" i="1"/>
  <c r="T1435" i="1"/>
  <c r="U1435" i="1"/>
  <c r="V1435" i="1"/>
  <c r="W1435" i="1"/>
  <c r="X1435" i="1"/>
  <c r="Y1435" i="1"/>
  <c r="Z1435" i="1"/>
  <c r="AA1435" i="1"/>
  <c r="AB1435" i="1"/>
  <c r="AC1435" i="1"/>
  <c r="AD1435" i="1"/>
  <c r="AE1435" i="1"/>
  <c r="AF1435" i="1"/>
  <c r="AG1435" i="1"/>
  <c r="AH1435" i="1"/>
  <c r="AI1435" i="1"/>
  <c r="AJ1435" i="1"/>
  <c r="AQ1435" i="1"/>
  <c r="AR1435" i="1"/>
  <c r="AS1435" i="1"/>
  <c r="L1436" i="1"/>
  <c r="M1436" i="1"/>
  <c r="N1436" i="1"/>
  <c r="O1436" i="1"/>
  <c r="P1436" i="1"/>
  <c r="Q1436" i="1"/>
  <c r="R1436" i="1"/>
  <c r="S1436" i="1"/>
  <c r="T1436" i="1"/>
  <c r="U1436" i="1"/>
  <c r="V1436" i="1"/>
  <c r="W1436" i="1"/>
  <c r="X1436" i="1"/>
  <c r="Y1436" i="1"/>
  <c r="Z1436" i="1"/>
  <c r="AA1436" i="1"/>
  <c r="AB1436" i="1"/>
  <c r="AC1436" i="1"/>
  <c r="AD1436" i="1"/>
  <c r="AE1436" i="1"/>
  <c r="AF1436" i="1"/>
  <c r="AG1436" i="1"/>
  <c r="AH1436" i="1"/>
  <c r="AI1436" i="1"/>
  <c r="AJ1436" i="1"/>
  <c r="AQ1436" i="1"/>
  <c r="AR1436" i="1"/>
  <c r="AS1436" i="1"/>
  <c r="L1437" i="1"/>
  <c r="M1437" i="1"/>
  <c r="N1437" i="1"/>
  <c r="O1437" i="1"/>
  <c r="P1437" i="1"/>
  <c r="Q1437" i="1"/>
  <c r="R1437" i="1"/>
  <c r="S1437" i="1"/>
  <c r="T1437" i="1"/>
  <c r="U1437" i="1"/>
  <c r="V1437" i="1"/>
  <c r="W1437" i="1"/>
  <c r="X1437" i="1"/>
  <c r="Y1437" i="1"/>
  <c r="Z1437" i="1"/>
  <c r="AA1437" i="1"/>
  <c r="AB1437" i="1"/>
  <c r="AC1437" i="1"/>
  <c r="AD1437" i="1"/>
  <c r="AE1437" i="1"/>
  <c r="AF1437" i="1"/>
  <c r="AG1437" i="1"/>
  <c r="AH1437" i="1"/>
  <c r="AI1437" i="1"/>
  <c r="AJ1437" i="1"/>
  <c r="AQ1437" i="1"/>
  <c r="AR1437" i="1"/>
  <c r="AS1437" i="1"/>
  <c r="L1438" i="1"/>
  <c r="M1438" i="1"/>
  <c r="N1438" i="1"/>
  <c r="O1438" i="1"/>
  <c r="P1438" i="1"/>
  <c r="Q1438" i="1"/>
  <c r="R1438" i="1"/>
  <c r="S1438" i="1"/>
  <c r="T1438" i="1"/>
  <c r="U1438" i="1"/>
  <c r="V1438" i="1"/>
  <c r="W1438" i="1"/>
  <c r="X1438" i="1"/>
  <c r="Y1438" i="1"/>
  <c r="Z1438" i="1"/>
  <c r="AA1438" i="1"/>
  <c r="AB1438" i="1"/>
  <c r="AC1438" i="1"/>
  <c r="AD1438" i="1"/>
  <c r="AE1438" i="1"/>
  <c r="AF1438" i="1"/>
  <c r="AG1438" i="1"/>
  <c r="AH1438" i="1"/>
  <c r="AI1438" i="1"/>
  <c r="AJ1438" i="1"/>
  <c r="AQ1438" i="1"/>
  <c r="AR1438" i="1"/>
  <c r="AS1438" i="1"/>
  <c r="L1439" i="1"/>
  <c r="M1439" i="1"/>
  <c r="N1439" i="1"/>
  <c r="O1439" i="1"/>
  <c r="P1439" i="1"/>
  <c r="Q1439" i="1"/>
  <c r="R1439" i="1"/>
  <c r="S1439" i="1"/>
  <c r="T1439" i="1"/>
  <c r="U1439" i="1"/>
  <c r="V1439" i="1"/>
  <c r="W1439" i="1"/>
  <c r="X1439" i="1"/>
  <c r="Y1439" i="1"/>
  <c r="Z1439" i="1"/>
  <c r="AA1439" i="1"/>
  <c r="AB1439" i="1"/>
  <c r="AC1439" i="1"/>
  <c r="AD1439" i="1"/>
  <c r="AE1439" i="1"/>
  <c r="AF1439" i="1"/>
  <c r="AG1439" i="1"/>
  <c r="AH1439" i="1"/>
  <c r="AI1439" i="1"/>
  <c r="AJ1439" i="1"/>
  <c r="AQ1439" i="1"/>
  <c r="AR1439" i="1"/>
  <c r="AS1439" i="1"/>
  <c r="L1440" i="1"/>
  <c r="M1440" i="1"/>
  <c r="N1440" i="1"/>
  <c r="O1440" i="1"/>
  <c r="P1440" i="1"/>
  <c r="Q1440" i="1"/>
  <c r="R1440" i="1"/>
  <c r="S1440" i="1"/>
  <c r="T1440" i="1"/>
  <c r="U1440" i="1"/>
  <c r="V1440" i="1"/>
  <c r="W1440" i="1"/>
  <c r="X1440" i="1"/>
  <c r="Y1440" i="1"/>
  <c r="Z1440" i="1"/>
  <c r="AA1440" i="1"/>
  <c r="AB1440" i="1"/>
  <c r="AC1440" i="1"/>
  <c r="AD1440" i="1"/>
  <c r="AE1440" i="1"/>
  <c r="AF1440" i="1"/>
  <c r="AG1440" i="1"/>
  <c r="AH1440" i="1"/>
  <c r="AI1440" i="1"/>
  <c r="AJ1440" i="1"/>
  <c r="AQ1440" i="1"/>
  <c r="AR1440" i="1"/>
  <c r="AS1440" i="1"/>
  <c r="L1441" i="1"/>
  <c r="M1441" i="1"/>
  <c r="N1441" i="1"/>
  <c r="O1441" i="1"/>
  <c r="P1441" i="1"/>
  <c r="Q1441" i="1"/>
  <c r="R1441" i="1"/>
  <c r="S1441" i="1"/>
  <c r="T1441" i="1"/>
  <c r="U1441" i="1"/>
  <c r="V1441" i="1"/>
  <c r="W1441" i="1"/>
  <c r="X1441" i="1"/>
  <c r="Y1441" i="1"/>
  <c r="Z1441" i="1"/>
  <c r="AA1441" i="1"/>
  <c r="AB1441" i="1"/>
  <c r="AC1441" i="1"/>
  <c r="AD1441" i="1"/>
  <c r="AE1441" i="1"/>
  <c r="AF1441" i="1"/>
  <c r="AG1441" i="1"/>
  <c r="AH1441" i="1"/>
  <c r="AI1441" i="1"/>
  <c r="AJ1441" i="1"/>
  <c r="AQ1441" i="1"/>
  <c r="AR1441" i="1"/>
  <c r="AS1441" i="1"/>
  <c r="L1442" i="1"/>
  <c r="M1442" i="1"/>
  <c r="N1442" i="1"/>
  <c r="O1442" i="1"/>
  <c r="P1442" i="1"/>
  <c r="Q1442" i="1"/>
  <c r="R1442" i="1"/>
  <c r="S1442" i="1"/>
  <c r="T1442" i="1"/>
  <c r="U1442" i="1"/>
  <c r="V1442" i="1"/>
  <c r="W1442" i="1"/>
  <c r="X1442" i="1"/>
  <c r="Y1442" i="1"/>
  <c r="Z1442" i="1"/>
  <c r="AA1442" i="1"/>
  <c r="AB1442" i="1"/>
  <c r="AC1442" i="1"/>
  <c r="AD1442" i="1"/>
  <c r="AE1442" i="1"/>
  <c r="AF1442" i="1"/>
  <c r="AG1442" i="1"/>
  <c r="AH1442" i="1"/>
  <c r="AI1442" i="1"/>
  <c r="AJ1442" i="1"/>
  <c r="AQ1442" i="1"/>
  <c r="AR1442" i="1"/>
  <c r="AS1442" i="1"/>
  <c r="L1443" i="1"/>
  <c r="M1443" i="1"/>
  <c r="N1443" i="1"/>
  <c r="O1443" i="1"/>
  <c r="P1443" i="1"/>
  <c r="Q1443" i="1"/>
  <c r="R1443" i="1"/>
  <c r="S1443" i="1"/>
  <c r="T1443" i="1"/>
  <c r="U1443" i="1"/>
  <c r="V1443" i="1"/>
  <c r="W1443" i="1"/>
  <c r="X1443" i="1"/>
  <c r="Y1443" i="1"/>
  <c r="Z1443" i="1"/>
  <c r="AA1443" i="1"/>
  <c r="AB1443" i="1"/>
  <c r="AC1443" i="1"/>
  <c r="AD1443" i="1"/>
  <c r="AE1443" i="1"/>
  <c r="AF1443" i="1"/>
  <c r="AG1443" i="1"/>
  <c r="AH1443" i="1"/>
  <c r="AI1443" i="1"/>
  <c r="AJ1443" i="1"/>
  <c r="AQ1443" i="1"/>
  <c r="AR1443" i="1"/>
  <c r="AS1443" i="1"/>
  <c r="L1444" i="1"/>
  <c r="M1444" i="1"/>
  <c r="N1444" i="1"/>
  <c r="O1444" i="1"/>
  <c r="P1444" i="1"/>
  <c r="Q1444" i="1"/>
  <c r="R1444" i="1"/>
  <c r="S1444" i="1"/>
  <c r="T1444" i="1"/>
  <c r="U1444" i="1"/>
  <c r="V1444" i="1"/>
  <c r="W1444" i="1"/>
  <c r="X1444" i="1"/>
  <c r="Y1444" i="1"/>
  <c r="Z1444" i="1"/>
  <c r="AA1444" i="1"/>
  <c r="AB1444" i="1"/>
  <c r="AC1444" i="1"/>
  <c r="AD1444" i="1"/>
  <c r="AE1444" i="1"/>
  <c r="AF1444" i="1"/>
  <c r="AG1444" i="1"/>
  <c r="AH1444" i="1"/>
  <c r="AI1444" i="1"/>
  <c r="AJ1444" i="1"/>
  <c r="AQ1444" i="1"/>
  <c r="AR1444" i="1"/>
  <c r="AS1444" i="1"/>
  <c r="L1445" i="1"/>
  <c r="M1445" i="1"/>
  <c r="N1445" i="1"/>
  <c r="O1445" i="1"/>
  <c r="P1445" i="1"/>
  <c r="Q1445" i="1"/>
  <c r="R1445" i="1"/>
  <c r="S1445" i="1"/>
  <c r="T1445" i="1"/>
  <c r="U1445" i="1"/>
  <c r="V1445" i="1"/>
  <c r="W1445" i="1"/>
  <c r="X1445" i="1"/>
  <c r="Y1445" i="1"/>
  <c r="Z1445" i="1"/>
  <c r="AA1445" i="1"/>
  <c r="AB1445" i="1"/>
  <c r="AC1445" i="1"/>
  <c r="AD1445" i="1"/>
  <c r="AE1445" i="1"/>
  <c r="AF1445" i="1"/>
  <c r="AG1445" i="1"/>
  <c r="AH1445" i="1"/>
  <c r="AI1445" i="1"/>
  <c r="AJ1445" i="1"/>
  <c r="AQ1445" i="1"/>
  <c r="AR1445" i="1"/>
  <c r="AS1445" i="1"/>
  <c r="L1446" i="1"/>
  <c r="M1446" i="1"/>
  <c r="N1446" i="1"/>
  <c r="O1446" i="1"/>
  <c r="P1446" i="1"/>
  <c r="Q1446" i="1"/>
  <c r="R1446" i="1"/>
  <c r="S1446" i="1"/>
  <c r="T1446" i="1"/>
  <c r="U1446" i="1"/>
  <c r="V1446" i="1"/>
  <c r="W1446" i="1"/>
  <c r="X1446" i="1"/>
  <c r="Y1446" i="1"/>
  <c r="Z1446" i="1"/>
  <c r="AA1446" i="1"/>
  <c r="AB1446" i="1"/>
  <c r="AC1446" i="1"/>
  <c r="AD1446" i="1"/>
  <c r="AE1446" i="1"/>
  <c r="AF1446" i="1"/>
  <c r="AG1446" i="1"/>
  <c r="AH1446" i="1"/>
  <c r="AI1446" i="1"/>
  <c r="AJ1446" i="1"/>
  <c r="AQ1446" i="1"/>
  <c r="AR1446" i="1"/>
  <c r="AS1446" i="1"/>
  <c r="L1447" i="1"/>
  <c r="M1447" i="1"/>
  <c r="N1447" i="1"/>
  <c r="O1447" i="1"/>
  <c r="P1447" i="1"/>
  <c r="Q1447" i="1"/>
  <c r="R1447" i="1"/>
  <c r="S1447" i="1"/>
  <c r="T1447" i="1"/>
  <c r="U1447" i="1"/>
  <c r="V1447" i="1"/>
  <c r="W1447" i="1"/>
  <c r="X1447" i="1"/>
  <c r="Y1447" i="1"/>
  <c r="Z1447" i="1"/>
  <c r="AA1447" i="1"/>
  <c r="AB1447" i="1"/>
  <c r="AC1447" i="1"/>
  <c r="AD1447" i="1"/>
  <c r="AE1447" i="1"/>
  <c r="AF1447" i="1"/>
  <c r="AG1447" i="1"/>
  <c r="AH1447" i="1"/>
  <c r="AI1447" i="1"/>
  <c r="AJ1447" i="1"/>
  <c r="AQ1447" i="1"/>
  <c r="AR1447" i="1"/>
  <c r="AS1447" i="1"/>
  <c r="L1448" i="1"/>
  <c r="M1448" i="1"/>
  <c r="N1448" i="1"/>
  <c r="O1448" i="1"/>
  <c r="P1448" i="1"/>
  <c r="Q1448" i="1"/>
  <c r="R1448" i="1"/>
  <c r="S1448" i="1"/>
  <c r="T1448" i="1"/>
  <c r="U1448" i="1"/>
  <c r="V1448" i="1"/>
  <c r="AH1448" i="1"/>
  <c r="AI1448" i="1"/>
  <c r="AJ1448" i="1"/>
  <c r="AQ1448" i="1"/>
  <c r="AR1448" i="1"/>
  <c r="AS1448" i="1"/>
  <c r="W1454" i="1"/>
  <c r="X1454" i="1"/>
  <c r="Y1454" i="1"/>
  <c r="Z1454" i="1"/>
  <c r="AA1454" i="1"/>
  <c r="AB1454" i="1"/>
  <c r="AC1454" i="1"/>
  <c r="AD1454" i="1"/>
  <c r="AE1454" i="1"/>
  <c r="AF1454" i="1"/>
  <c r="AG1454" i="1"/>
  <c r="AH1454" i="1"/>
  <c r="AI1454" i="1"/>
  <c r="AJ1454" i="1"/>
  <c r="AQ1454" i="1"/>
  <c r="AR1454" i="1"/>
  <c r="AS1454" i="1"/>
  <c r="L1455" i="1"/>
  <c r="M1455" i="1"/>
  <c r="N1455" i="1"/>
  <c r="O1455" i="1"/>
  <c r="P1455" i="1"/>
  <c r="Q1455" i="1"/>
  <c r="R1455" i="1"/>
  <c r="S1455" i="1"/>
  <c r="T1455" i="1"/>
  <c r="U1455" i="1"/>
  <c r="V1455" i="1"/>
  <c r="W1455" i="1"/>
  <c r="X1455" i="1"/>
  <c r="Y1455" i="1"/>
  <c r="Z1455" i="1"/>
  <c r="AA1455" i="1"/>
  <c r="AB1455" i="1"/>
  <c r="AC1455" i="1"/>
  <c r="AD1455" i="1"/>
  <c r="AE1455" i="1"/>
  <c r="AF1455" i="1"/>
  <c r="AG1455" i="1"/>
  <c r="AH1455" i="1"/>
  <c r="AI1455" i="1"/>
  <c r="AJ1455" i="1"/>
  <c r="AQ1455" i="1"/>
  <c r="AR1455" i="1"/>
  <c r="AS1455" i="1"/>
  <c r="L1456" i="1"/>
  <c r="M1456" i="1"/>
  <c r="N1456" i="1"/>
  <c r="O1456" i="1"/>
  <c r="P1456" i="1"/>
  <c r="Q1456" i="1"/>
  <c r="R1456" i="1"/>
  <c r="S1456" i="1"/>
  <c r="T1456" i="1"/>
  <c r="U1456" i="1"/>
  <c r="V1456" i="1"/>
  <c r="W1456" i="1"/>
  <c r="X1456" i="1"/>
  <c r="Y1456" i="1"/>
  <c r="Z1456" i="1"/>
  <c r="AA1456" i="1"/>
  <c r="AB1456" i="1"/>
  <c r="AC1456" i="1"/>
  <c r="AD1456" i="1"/>
  <c r="AE1456" i="1"/>
  <c r="AF1456" i="1"/>
  <c r="AG1456" i="1"/>
  <c r="AH1456" i="1"/>
  <c r="AI1456" i="1"/>
  <c r="AJ1456" i="1"/>
  <c r="AQ1456" i="1"/>
  <c r="AR1456" i="1"/>
  <c r="AS1456" i="1"/>
  <c r="L1457" i="1"/>
  <c r="M1457" i="1"/>
  <c r="N1457" i="1"/>
  <c r="O1457" i="1"/>
  <c r="P1457" i="1"/>
  <c r="Q1457" i="1"/>
  <c r="R1457" i="1"/>
  <c r="S1457" i="1"/>
  <c r="T1457" i="1"/>
  <c r="U1457" i="1"/>
  <c r="V1457" i="1"/>
  <c r="W1457" i="1"/>
  <c r="X1457" i="1"/>
  <c r="Y1457" i="1"/>
  <c r="Z1457" i="1"/>
  <c r="AA1457" i="1"/>
  <c r="AB1457" i="1"/>
  <c r="AC1457" i="1"/>
  <c r="AD1457" i="1"/>
  <c r="AE1457" i="1"/>
  <c r="AF1457" i="1"/>
  <c r="AG1457" i="1"/>
  <c r="AH1457" i="1"/>
  <c r="AI1457" i="1"/>
  <c r="AJ1457" i="1"/>
  <c r="AQ1457" i="1"/>
  <c r="AR1457" i="1"/>
  <c r="AS1457" i="1"/>
  <c r="L1458" i="1"/>
  <c r="M1458" i="1"/>
  <c r="N1458" i="1"/>
  <c r="O1458" i="1"/>
  <c r="P1458" i="1"/>
  <c r="Q1458" i="1"/>
  <c r="R1458" i="1"/>
  <c r="S1458" i="1"/>
  <c r="T1458" i="1"/>
  <c r="U1458" i="1"/>
  <c r="V1458" i="1"/>
  <c r="W1458" i="1"/>
  <c r="X1458" i="1"/>
  <c r="Y1458" i="1"/>
  <c r="Z1458" i="1"/>
  <c r="AA1458" i="1"/>
  <c r="AB1458" i="1"/>
  <c r="AC1458" i="1"/>
  <c r="AD1458" i="1"/>
  <c r="AE1458" i="1"/>
  <c r="AF1458" i="1"/>
  <c r="AG1458" i="1"/>
  <c r="AH1458" i="1"/>
  <c r="AI1458" i="1"/>
  <c r="AJ1458" i="1"/>
  <c r="AQ1458" i="1"/>
  <c r="AR1458" i="1"/>
  <c r="AS1458" i="1"/>
  <c r="L1459" i="1"/>
  <c r="M1459" i="1"/>
  <c r="N1459" i="1"/>
  <c r="O1459" i="1"/>
  <c r="P1459" i="1"/>
  <c r="Q1459" i="1"/>
  <c r="R1459" i="1"/>
  <c r="S1459" i="1"/>
  <c r="T1459" i="1"/>
  <c r="U1459" i="1"/>
  <c r="V1459" i="1"/>
  <c r="W1459" i="1"/>
  <c r="X1459" i="1"/>
  <c r="Y1459" i="1"/>
  <c r="Z1459" i="1"/>
  <c r="AA1459" i="1"/>
  <c r="AB1459" i="1"/>
  <c r="AC1459" i="1"/>
  <c r="AD1459" i="1"/>
  <c r="AE1459" i="1"/>
  <c r="AF1459" i="1"/>
  <c r="AG1459" i="1"/>
  <c r="AH1459" i="1"/>
  <c r="AI1459" i="1"/>
  <c r="AJ1459" i="1"/>
  <c r="AQ1459" i="1"/>
  <c r="AR1459" i="1"/>
  <c r="AS1459" i="1"/>
  <c r="L1460" i="1"/>
  <c r="M1460" i="1"/>
  <c r="N1460" i="1"/>
  <c r="O1460" i="1"/>
  <c r="P1460" i="1"/>
  <c r="Q1460" i="1"/>
  <c r="R1460" i="1"/>
  <c r="S1460" i="1"/>
  <c r="T1460" i="1"/>
  <c r="U1460" i="1"/>
  <c r="V1460" i="1"/>
  <c r="W1460" i="1"/>
  <c r="X1460" i="1"/>
  <c r="Y1460" i="1"/>
  <c r="Z1460" i="1"/>
  <c r="AA1460" i="1"/>
  <c r="AB1460" i="1"/>
  <c r="AC1460" i="1"/>
  <c r="AD1460" i="1"/>
  <c r="AE1460" i="1"/>
  <c r="AF1460" i="1"/>
  <c r="AG1460" i="1"/>
  <c r="AH1460" i="1"/>
  <c r="AI1460" i="1"/>
  <c r="AJ1460" i="1"/>
  <c r="AQ1460" i="1"/>
  <c r="AR1460" i="1"/>
  <c r="AS1460" i="1"/>
  <c r="L1461" i="1"/>
  <c r="M1461" i="1"/>
  <c r="N1461" i="1"/>
  <c r="O1461" i="1"/>
  <c r="P1461" i="1"/>
  <c r="Q1461" i="1"/>
  <c r="R1461" i="1"/>
  <c r="S1461" i="1"/>
  <c r="T1461" i="1"/>
  <c r="U1461" i="1"/>
  <c r="V1461" i="1"/>
  <c r="W1461" i="1"/>
  <c r="X1461" i="1"/>
  <c r="Y1461" i="1"/>
  <c r="Z1461" i="1"/>
  <c r="AA1461" i="1"/>
  <c r="AB1461" i="1"/>
  <c r="AC1461" i="1"/>
  <c r="AD1461" i="1"/>
  <c r="AE1461" i="1"/>
  <c r="AF1461" i="1"/>
  <c r="AG1461" i="1"/>
  <c r="AH1461" i="1"/>
  <c r="AI1461" i="1"/>
  <c r="AJ1461" i="1"/>
  <c r="AQ1461" i="1"/>
  <c r="AR1461" i="1"/>
  <c r="AS1461" i="1"/>
  <c r="L1462" i="1"/>
  <c r="M1462" i="1"/>
  <c r="N1462" i="1"/>
  <c r="O1462" i="1"/>
  <c r="P1462" i="1"/>
  <c r="Q1462" i="1"/>
  <c r="R1462" i="1"/>
  <c r="S1462" i="1"/>
  <c r="T1462" i="1"/>
  <c r="U1462" i="1"/>
  <c r="V1462" i="1"/>
  <c r="W1462" i="1"/>
  <c r="X1462" i="1"/>
  <c r="Y1462" i="1"/>
  <c r="Z1462" i="1"/>
  <c r="AA1462" i="1"/>
  <c r="AB1462" i="1"/>
  <c r="AC1462" i="1"/>
  <c r="AD1462" i="1"/>
  <c r="AE1462" i="1"/>
  <c r="AF1462" i="1"/>
  <c r="AG1462" i="1"/>
  <c r="AH1462" i="1"/>
  <c r="AI1462" i="1"/>
  <c r="AJ1462" i="1"/>
  <c r="AQ1462" i="1"/>
  <c r="AR1462" i="1"/>
  <c r="AS1462" i="1"/>
  <c r="L1463" i="1"/>
  <c r="M1463" i="1"/>
  <c r="N1463" i="1"/>
  <c r="O1463" i="1"/>
  <c r="P1463" i="1"/>
  <c r="Q1463" i="1"/>
  <c r="R1463" i="1"/>
  <c r="S1463" i="1"/>
  <c r="T1463" i="1"/>
  <c r="U1463" i="1"/>
  <c r="V1463" i="1"/>
  <c r="W1463" i="1"/>
  <c r="X1463" i="1"/>
  <c r="Y1463" i="1"/>
  <c r="Z1463" i="1"/>
  <c r="AA1463" i="1"/>
  <c r="AB1463" i="1"/>
  <c r="AC1463" i="1"/>
  <c r="AD1463" i="1"/>
  <c r="AE1463" i="1"/>
  <c r="AF1463" i="1"/>
  <c r="AG1463" i="1"/>
  <c r="AH1463" i="1"/>
  <c r="AI1463" i="1"/>
  <c r="AJ1463" i="1"/>
  <c r="AQ1463" i="1"/>
  <c r="AR1463" i="1"/>
  <c r="AS1463" i="1"/>
  <c r="L1464" i="1"/>
  <c r="M1464" i="1"/>
  <c r="N1464" i="1"/>
  <c r="O1464" i="1"/>
  <c r="P1464" i="1"/>
  <c r="Q1464" i="1"/>
  <c r="R1464" i="1"/>
  <c r="S1464" i="1"/>
  <c r="T1464" i="1"/>
  <c r="U1464" i="1"/>
  <c r="V1464" i="1"/>
  <c r="W1464" i="1"/>
  <c r="X1464" i="1"/>
  <c r="Y1464" i="1"/>
  <c r="Z1464" i="1"/>
  <c r="AA1464" i="1"/>
  <c r="AB1464" i="1"/>
  <c r="AC1464" i="1"/>
  <c r="AD1464" i="1"/>
  <c r="AE1464" i="1"/>
  <c r="AF1464" i="1"/>
  <c r="AG1464" i="1"/>
  <c r="AH1464" i="1"/>
  <c r="AI1464" i="1"/>
  <c r="AJ1464" i="1"/>
  <c r="AQ1464" i="1"/>
  <c r="AR1464" i="1"/>
  <c r="AS1464" i="1"/>
  <c r="L1465" i="1"/>
  <c r="M1465" i="1"/>
  <c r="N1465" i="1"/>
  <c r="O1465" i="1"/>
  <c r="P1465" i="1"/>
  <c r="Q1465" i="1"/>
  <c r="R1465" i="1"/>
  <c r="S1465" i="1"/>
  <c r="T1465" i="1"/>
  <c r="U1465" i="1"/>
  <c r="V1465" i="1"/>
  <c r="W1465" i="1"/>
  <c r="X1465" i="1"/>
  <c r="Y1465" i="1"/>
  <c r="Z1465" i="1"/>
  <c r="AA1465" i="1"/>
  <c r="AB1465" i="1"/>
  <c r="AC1465" i="1"/>
  <c r="AD1465" i="1"/>
  <c r="AE1465" i="1"/>
  <c r="AF1465" i="1"/>
  <c r="AG1465" i="1"/>
  <c r="AH1465" i="1"/>
  <c r="AI1465" i="1"/>
  <c r="AJ1465" i="1"/>
  <c r="AQ1465" i="1"/>
  <c r="AR1465" i="1"/>
  <c r="AS1465" i="1"/>
  <c r="L1466" i="1"/>
  <c r="M1466" i="1"/>
  <c r="N1466" i="1"/>
  <c r="O1466" i="1"/>
  <c r="P1466" i="1"/>
  <c r="Q1466" i="1"/>
  <c r="R1466" i="1"/>
  <c r="S1466" i="1"/>
  <c r="T1466" i="1"/>
  <c r="U1466" i="1"/>
  <c r="V1466" i="1"/>
  <c r="W1466" i="1"/>
  <c r="X1466" i="1"/>
  <c r="Y1466" i="1"/>
  <c r="Z1466" i="1"/>
  <c r="AA1466" i="1"/>
  <c r="AB1466" i="1"/>
  <c r="AC1466" i="1"/>
  <c r="AD1466" i="1"/>
  <c r="AE1466" i="1"/>
  <c r="AF1466" i="1"/>
  <c r="AG1466" i="1"/>
  <c r="AH1466" i="1"/>
  <c r="AI1466" i="1"/>
  <c r="AJ1466" i="1"/>
  <c r="AQ1466" i="1"/>
  <c r="AR1466" i="1"/>
  <c r="AS1466" i="1"/>
  <c r="L1467" i="1"/>
  <c r="M1467" i="1"/>
  <c r="N1467" i="1"/>
  <c r="O1467" i="1"/>
  <c r="P1467" i="1"/>
  <c r="Q1467" i="1"/>
  <c r="R1467" i="1"/>
  <c r="S1467" i="1"/>
  <c r="T1467" i="1"/>
  <c r="U1467" i="1"/>
  <c r="V1467" i="1"/>
  <c r="W1467" i="1"/>
  <c r="X1467" i="1"/>
  <c r="Y1467" i="1"/>
  <c r="Z1467" i="1"/>
  <c r="AA1467" i="1"/>
  <c r="AB1467" i="1"/>
  <c r="AC1467" i="1"/>
  <c r="AD1467" i="1"/>
  <c r="AE1467" i="1"/>
  <c r="AF1467" i="1"/>
  <c r="AG1467" i="1"/>
  <c r="AH1467" i="1"/>
  <c r="AI1467" i="1"/>
  <c r="AJ1467" i="1"/>
  <c r="AQ1467" i="1"/>
  <c r="AR1467" i="1"/>
  <c r="AS1467" i="1"/>
  <c r="L1468" i="1"/>
  <c r="M1468" i="1"/>
  <c r="N1468" i="1"/>
  <c r="O1468" i="1"/>
  <c r="P1468" i="1"/>
  <c r="Q1468" i="1"/>
  <c r="R1468" i="1"/>
  <c r="S1468" i="1"/>
  <c r="T1468" i="1"/>
  <c r="U1468" i="1"/>
  <c r="V1468" i="1"/>
  <c r="W1468" i="1"/>
  <c r="X1468" i="1"/>
  <c r="Y1468" i="1"/>
  <c r="Z1468" i="1"/>
  <c r="AA1468" i="1"/>
  <c r="AB1468" i="1"/>
  <c r="AC1468" i="1"/>
  <c r="AD1468" i="1"/>
  <c r="AE1468" i="1"/>
  <c r="AF1468" i="1"/>
  <c r="AG1468" i="1"/>
  <c r="AH1468" i="1"/>
  <c r="AI1468" i="1"/>
  <c r="AJ1468" i="1"/>
  <c r="AQ1468" i="1"/>
  <c r="AR1468" i="1"/>
  <c r="AS1468" i="1"/>
  <c r="L1469" i="1"/>
  <c r="M1469" i="1"/>
  <c r="N1469" i="1"/>
  <c r="O1469" i="1"/>
  <c r="P1469" i="1"/>
  <c r="Q1469" i="1"/>
  <c r="R1469" i="1"/>
  <c r="S1469" i="1"/>
  <c r="T1469" i="1"/>
  <c r="U1469" i="1"/>
  <c r="V1469" i="1"/>
  <c r="W1469" i="1"/>
  <c r="X1469" i="1"/>
  <c r="Y1469" i="1"/>
  <c r="Z1469" i="1"/>
  <c r="AA1469" i="1"/>
  <c r="AB1469" i="1"/>
  <c r="AC1469" i="1"/>
  <c r="AD1469" i="1"/>
  <c r="AE1469" i="1"/>
  <c r="AF1469" i="1"/>
  <c r="AG1469" i="1"/>
  <c r="AH1469" i="1"/>
  <c r="AI1469" i="1"/>
  <c r="AJ1469" i="1"/>
  <c r="AQ1469" i="1"/>
  <c r="AR1469" i="1"/>
  <c r="AS1469" i="1"/>
  <c r="L1470" i="1"/>
  <c r="M1470" i="1"/>
  <c r="N1470" i="1"/>
  <c r="O1470" i="1"/>
  <c r="P1470" i="1"/>
  <c r="Q1470" i="1"/>
  <c r="R1470" i="1"/>
  <c r="S1470" i="1"/>
  <c r="T1470" i="1"/>
  <c r="U1470" i="1"/>
  <c r="V1470" i="1"/>
  <c r="W1470" i="1"/>
  <c r="X1470" i="1"/>
  <c r="Y1470" i="1"/>
  <c r="Z1470" i="1"/>
  <c r="AA1470" i="1"/>
  <c r="AB1470" i="1"/>
  <c r="AC1470" i="1"/>
  <c r="AD1470" i="1"/>
  <c r="AE1470" i="1"/>
  <c r="AF1470" i="1"/>
  <c r="AG1470" i="1"/>
  <c r="AH1470" i="1"/>
  <c r="AI1470" i="1"/>
  <c r="AJ1470" i="1"/>
  <c r="AQ1470" i="1"/>
  <c r="AR1470" i="1"/>
  <c r="AS1470" i="1"/>
  <c r="L1471" i="1"/>
  <c r="M1471" i="1"/>
  <c r="N1471" i="1"/>
  <c r="O1471" i="1"/>
  <c r="P1471" i="1"/>
  <c r="Q1471" i="1"/>
  <c r="R1471" i="1"/>
  <c r="S1471" i="1"/>
  <c r="T1471" i="1"/>
  <c r="U1471" i="1"/>
  <c r="V1471" i="1"/>
  <c r="W1471" i="1"/>
  <c r="X1471" i="1"/>
  <c r="Y1471" i="1"/>
  <c r="Z1471" i="1"/>
  <c r="AA1471" i="1"/>
  <c r="AB1471" i="1"/>
  <c r="AC1471" i="1"/>
  <c r="AD1471" i="1"/>
  <c r="AE1471" i="1"/>
  <c r="AF1471" i="1"/>
  <c r="AG1471" i="1"/>
  <c r="AH1471" i="1"/>
  <c r="AI1471" i="1"/>
  <c r="AJ1471" i="1"/>
  <c r="AQ1471" i="1"/>
  <c r="AR1471" i="1"/>
  <c r="AS1471" i="1"/>
  <c r="L1472" i="1"/>
  <c r="M1472" i="1"/>
  <c r="N1472" i="1"/>
  <c r="O1472" i="1"/>
  <c r="P1472" i="1"/>
  <c r="Q1472" i="1"/>
  <c r="R1472" i="1"/>
  <c r="S1472" i="1"/>
  <c r="T1472" i="1"/>
  <c r="U1472" i="1"/>
  <c r="V1472" i="1"/>
  <c r="AH1472" i="1"/>
  <c r="AI1472" i="1"/>
  <c r="AJ1472" i="1"/>
  <c r="AQ1472" i="1"/>
  <c r="AR1472" i="1"/>
  <c r="AS1472" i="1"/>
  <c r="H1475" i="1"/>
  <c r="K1478" i="1"/>
  <c r="O1478" i="1"/>
  <c r="Q1478" i="1"/>
  <c r="R1478" i="1"/>
  <c r="S1478" i="1"/>
  <c r="T1478" i="1"/>
  <c r="W1478" i="1"/>
  <c r="X1478" i="1"/>
  <c r="Y1478" i="1"/>
  <c r="Z1478" i="1"/>
  <c r="AA1478" i="1"/>
  <c r="AB1478" i="1"/>
  <c r="AC1478" i="1"/>
  <c r="AD1478" i="1"/>
  <c r="AE1478" i="1"/>
  <c r="AF1478" i="1"/>
  <c r="AG1478" i="1"/>
  <c r="AH1478" i="1"/>
  <c r="AI1478" i="1"/>
  <c r="AJ1478" i="1"/>
  <c r="AQ1478" i="1"/>
  <c r="AR1478" i="1"/>
  <c r="AS1478" i="1"/>
  <c r="K1479" i="1"/>
  <c r="L1479" i="1"/>
  <c r="M1479" i="1"/>
  <c r="N1479" i="1"/>
  <c r="O1479" i="1"/>
  <c r="P1479" i="1"/>
  <c r="Q1479" i="1"/>
  <c r="R1479" i="1"/>
  <c r="S1479" i="1"/>
  <c r="T1479" i="1"/>
  <c r="U1479" i="1"/>
  <c r="V1479" i="1"/>
  <c r="W1479" i="1"/>
  <c r="X1479" i="1"/>
  <c r="Y1479" i="1"/>
  <c r="Z1479" i="1"/>
  <c r="AA1479" i="1"/>
  <c r="AB1479" i="1"/>
  <c r="AC1479" i="1"/>
  <c r="AD1479" i="1"/>
  <c r="AE1479" i="1"/>
  <c r="AF1479" i="1"/>
  <c r="AG1479" i="1"/>
  <c r="AH1479" i="1"/>
  <c r="AI1479" i="1"/>
  <c r="AJ1479" i="1"/>
  <c r="AQ1479" i="1"/>
  <c r="AR1479" i="1"/>
  <c r="AS1479" i="1"/>
  <c r="K1480" i="1"/>
  <c r="L1480" i="1"/>
  <c r="M1480" i="1"/>
  <c r="N1480" i="1"/>
  <c r="O1480" i="1"/>
  <c r="P1480" i="1"/>
  <c r="Q1480" i="1"/>
  <c r="R1480" i="1"/>
  <c r="S1480" i="1"/>
  <c r="T1480" i="1"/>
  <c r="U1480" i="1"/>
  <c r="V1480" i="1"/>
  <c r="W1480" i="1"/>
  <c r="X1480" i="1"/>
  <c r="Y1480" i="1"/>
  <c r="Z1480" i="1"/>
  <c r="AA1480" i="1"/>
  <c r="AB1480" i="1"/>
  <c r="AC1480" i="1"/>
  <c r="AD1480" i="1"/>
  <c r="AE1480" i="1"/>
  <c r="AF1480" i="1"/>
  <c r="AG1480" i="1"/>
  <c r="AH1480" i="1"/>
  <c r="AI1480" i="1"/>
  <c r="AJ1480" i="1"/>
  <c r="AQ1480" i="1"/>
  <c r="AR1480" i="1"/>
  <c r="AS1480" i="1"/>
  <c r="K1481" i="1"/>
  <c r="L1481" i="1"/>
  <c r="M1481" i="1"/>
  <c r="N1481" i="1"/>
  <c r="O1481" i="1"/>
  <c r="P1481" i="1"/>
  <c r="Q1481" i="1"/>
  <c r="R1481" i="1"/>
  <c r="S1481" i="1"/>
  <c r="T1481" i="1"/>
  <c r="U1481" i="1"/>
  <c r="V1481" i="1"/>
  <c r="W1481" i="1"/>
  <c r="X1481" i="1"/>
  <c r="Y1481" i="1"/>
  <c r="Z1481" i="1"/>
  <c r="AA1481" i="1"/>
  <c r="AB1481" i="1"/>
  <c r="AC1481" i="1"/>
  <c r="AD1481" i="1"/>
  <c r="AE1481" i="1"/>
  <c r="AF1481" i="1"/>
  <c r="AG1481" i="1"/>
  <c r="AH1481" i="1"/>
  <c r="AI1481" i="1"/>
  <c r="AJ1481" i="1"/>
  <c r="AQ1481" i="1"/>
  <c r="AR1481" i="1"/>
  <c r="AS1481" i="1"/>
  <c r="K1482" i="1"/>
  <c r="L1482" i="1"/>
  <c r="M1482" i="1"/>
  <c r="N1482" i="1"/>
  <c r="O1482" i="1"/>
  <c r="P1482" i="1"/>
  <c r="Q1482" i="1"/>
  <c r="R1482" i="1"/>
  <c r="S1482" i="1"/>
  <c r="T1482" i="1"/>
  <c r="U1482" i="1"/>
  <c r="V1482" i="1"/>
  <c r="W1482" i="1"/>
  <c r="X1482" i="1"/>
  <c r="Y1482" i="1"/>
  <c r="Z1482" i="1"/>
  <c r="AA1482" i="1"/>
  <c r="AB1482" i="1"/>
  <c r="AC1482" i="1"/>
  <c r="AD1482" i="1"/>
  <c r="AE1482" i="1"/>
  <c r="AF1482" i="1"/>
  <c r="AG1482" i="1"/>
  <c r="AH1482" i="1"/>
  <c r="AI1482" i="1"/>
  <c r="AJ1482" i="1"/>
  <c r="AQ1482" i="1"/>
  <c r="AR1482" i="1"/>
  <c r="AS1482" i="1"/>
  <c r="K1483" i="1"/>
  <c r="L1483" i="1"/>
  <c r="M1483" i="1"/>
  <c r="N1483" i="1"/>
  <c r="O1483" i="1"/>
  <c r="P1483" i="1"/>
  <c r="Q1483" i="1"/>
  <c r="R1483" i="1"/>
  <c r="S1483" i="1"/>
  <c r="T1483" i="1"/>
  <c r="U1483" i="1"/>
  <c r="V1483" i="1"/>
  <c r="W1483" i="1"/>
  <c r="X1483" i="1"/>
  <c r="Y1483" i="1"/>
  <c r="Z1483" i="1"/>
  <c r="AA1483" i="1"/>
  <c r="AB1483" i="1"/>
  <c r="AC1483" i="1"/>
  <c r="AD1483" i="1"/>
  <c r="AE1483" i="1"/>
  <c r="AF1483" i="1"/>
  <c r="AG1483" i="1"/>
  <c r="AH1483" i="1"/>
  <c r="AI1483" i="1"/>
  <c r="AJ1483" i="1"/>
  <c r="AQ1483" i="1"/>
  <c r="AR1483" i="1"/>
  <c r="AS1483" i="1"/>
  <c r="K1484" i="1"/>
  <c r="L1484" i="1"/>
  <c r="M1484" i="1"/>
  <c r="N1484" i="1"/>
  <c r="O1484" i="1"/>
  <c r="P1484" i="1"/>
  <c r="Q1484" i="1"/>
  <c r="R1484" i="1"/>
  <c r="S1484" i="1"/>
  <c r="T1484" i="1"/>
  <c r="U1484" i="1"/>
  <c r="V1484" i="1"/>
  <c r="W1484" i="1"/>
  <c r="X1484" i="1"/>
  <c r="Y1484" i="1"/>
  <c r="Z1484" i="1"/>
  <c r="AA1484" i="1"/>
  <c r="AB1484" i="1"/>
  <c r="AC1484" i="1"/>
  <c r="AD1484" i="1"/>
  <c r="AE1484" i="1"/>
  <c r="AF1484" i="1"/>
  <c r="AG1484" i="1"/>
  <c r="AH1484" i="1"/>
  <c r="AI1484" i="1"/>
  <c r="AJ1484" i="1"/>
  <c r="AQ1484" i="1"/>
  <c r="AR1484" i="1"/>
  <c r="AS1484" i="1"/>
  <c r="K1485" i="1"/>
  <c r="L1485" i="1"/>
  <c r="M1485" i="1"/>
  <c r="N1485" i="1"/>
  <c r="O1485" i="1"/>
  <c r="P1485" i="1"/>
  <c r="Q1485" i="1"/>
  <c r="R1485" i="1"/>
  <c r="S1485" i="1"/>
  <c r="T1485" i="1"/>
  <c r="U1485" i="1"/>
  <c r="V1485" i="1"/>
  <c r="W1485" i="1"/>
  <c r="X1485" i="1"/>
  <c r="Y1485" i="1"/>
  <c r="Z1485" i="1"/>
  <c r="AA1485" i="1"/>
  <c r="AB1485" i="1"/>
  <c r="AC1485" i="1"/>
  <c r="AD1485" i="1"/>
  <c r="AE1485" i="1"/>
  <c r="AF1485" i="1"/>
  <c r="AG1485" i="1"/>
  <c r="AH1485" i="1"/>
  <c r="AI1485" i="1"/>
  <c r="AJ1485" i="1"/>
  <c r="AM1485" i="1"/>
  <c r="AO1485" i="1"/>
  <c r="AP1485" i="1"/>
  <c r="AQ1485" i="1"/>
  <c r="AR1485" i="1"/>
  <c r="AS1485" i="1"/>
  <c r="K1486" i="1"/>
  <c r="L1486" i="1"/>
  <c r="M1486" i="1"/>
  <c r="N1486" i="1"/>
  <c r="O1486" i="1"/>
  <c r="P1486" i="1"/>
  <c r="Q1486" i="1"/>
  <c r="R1486" i="1"/>
  <c r="S1486" i="1"/>
  <c r="T1486" i="1"/>
  <c r="U1486" i="1"/>
  <c r="V1486" i="1"/>
  <c r="W1486" i="1"/>
  <c r="X1486" i="1"/>
  <c r="Y1486" i="1"/>
  <c r="Z1486" i="1"/>
  <c r="AA1486" i="1"/>
  <c r="AB1486" i="1"/>
  <c r="AC1486" i="1"/>
  <c r="AD1486" i="1"/>
  <c r="AE1486" i="1"/>
  <c r="AF1486" i="1"/>
  <c r="AG1486" i="1"/>
  <c r="AH1486" i="1"/>
  <c r="AI1486" i="1"/>
  <c r="AJ1486" i="1"/>
  <c r="AM1486" i="1"/>
  <c r="AO1486" i="1"/>
  <c r="AP1486" i="1"/>
  <c r="AQ1486" i="1"/>
  <c r="AR1486" i="1"/>
  <c r="AS1486" i="1"/>
  <c r="K1487" i="1"/>
  <c r="L1487" i="1"/>
  <c r="M1487" i="1"/>
  <c r="N1487" i="1"/>
  <c r="O1487" i="1"/>
  <c r="P1487" i="1"/>
  <c r="Q1487" i="1"/>
  <c r="R1487" i="1"/>
  <c r="S1487" i="1"/>
  <c r="T1487" i="1"/>
  <c r="U1487" i="1"/>
  <c r="V1487" i="1"/>
  <c r="W1487" i="1"/>
  <c r="X1487" i="1"/>
  <c r="Y1487" i="1"/>
  <c r="Z1487" i="1"/>
  <c r="AA1487" i="1"/>
  <c r="AB1487" i="1"/>
  <c r="AC1487" i="1"/>
  <c r="AD1487" i="1"/>
  <c r="AE1487" i="1"/>
  <c r="AF1487" i="1"/>
  <c r="AG1487" i="1"/>
  <c r="AH1487" i="1"/>
  <c r="AI1487" i="1"/>
  <c r="AJ1487" i="1"/>
  <c r="AM1487" i="1"/>
  <c r="AO1487" i="1"/>
  <c r="AP1487" i="1"/>
  <c r="AQ1487" i="1"/>
  <c r="AR1487" i="1"/>
  <c r="AS1487" i="1"/>
  <c r="K1488" i="1"/>
  <c r="L1488" i="1"/>
  <c r="M1488" i="1"/>
  <c r="N1488" i="1"/>
  <c r="O1488" i="1"/>
  <c r="P1488" i="1"/>
  <c r="Q1488" i="1"/>
  <c r="R1488" i="1"/>
  <c r="S1488" i="1"/>
  <c r="T1488" i="1"/>
  <c r="U1488" i="1"/>
  <c r="V1488" i="1"/>
  <c r="W1488" i="1"/>
  <c r="X1488" i="1"/>
  <c r="Y1488" i="1"/>
  <c r="Z1488" i="1"/>
  <c r="AA1488" i="1"/>
  <c r="AB1488" i="1"/>
  <c r="AC1488" i="1"/>
  <c r="AD1488" i="1"/>
  <c r="AE1488" i="1"/>
  <c r="AF1488" i="1"/>
  <c r="AG1488" i="1"/>
  <c r="AH1488" i="1"/>
  <c r="AI1488" i="1"/>
  <c r="AJ1488" i="1"/>
  <c r="AM1488" i="1"/>
  <c r="AO1488" i="1"/>
  <c r="AP1488" i="1"/>
  <c r="AQ1488" i="1"/>
  <c r="AR1488" i="1"/>
  <c r="AS1488" i="1"/>
  <c r="K1489" i="1"/>
  <c r="L1489" i="1"/>
  <c r="M1489" i="1"/>
  <c r="N1489" i="1"/>
  <c r="O1489" i="1"/>
  <c r="P1489" i="1"/>
  <c r="Q1489" i="1"/>
  <c r="R1489" i="1"/>
  <c r="S1489" i="1"/>
  <c r="T1489" i="1"/>
  <c r="U1489" i="1"/>
  <c r="V1489" i="1"/>
  <c r="W1489" i="1"/>
  <c r="X1489" i="1"/>
  <c r="Y1489" i="1"/>
  <c r="Z1489" i="1"/>
  <c r="AA1489" i="1"/>
  <c r="AB1489" i="1"/>
  <c r="AC1489" i="1"/>
  <c r="AD1489" i="1"/>
  <c r="AE1489" i="1"/>
  <c r="AF1489" i="1"/>
  <c r="AG1489" i="1"/>
  <c r="AH1489" i="1"/>
  <c r="AI1489" i="1"/>
  <c r="AJ1489" i="1"/>
  <c r="AM1489" i="1"/>
  <c r="AO1489" i="1"/>
  <c r="AP1489" i="1"/>
  <c r="AQ1489" i="1"/>
  <c r="AR1489" i="1"/>
  <c r="AS1489" i="1"/>
  <c r="K1490" i="1"/>
  <c r="L1490" i="1"/>
  <c r="M1490" i="1"/>
  <c r="N1490" i="1"/>
  <c r="O1490" i="1"/>
  <c r="P1490" i="1"/>
  <c r="Q1490" i="1"/>
  <c r="R1490" i="1"/>
  <c r="S1490" i="1"/>
  <c r="T1490" i="1"/>
  <c r="U1490" i="1"/>
  <c r="V1490" i="1"/>
  <c r="W1490" i="1"/>
  <c r="X1490" i="1"/>
  <c r="Y1490" i="1"/>
  <c r="Z1490" i="1"/>
  <c r="AA1490" i="1"/>
  <c r="AB1490" i="1"/>
  <c r="AC1490" i="1"/>
  <c r="AD1490" i="1"/>
  <c r="AE1490" i="1"/>
  <c r="AF1490" i="1"/>
  <c r="AG1490" i="1"/>
  <c r="AH1490" i="1"/>
  <c r="AI1490" i="1"/>
  <c r="AJ1490" i="1"/>
  <c r="AM1490" i="1"/>
  <c r="AO1490" i="1"/>
  <c r="AP1490" i="1"/>
  <c r="AQ1490" i="1"/>
  <c r="AR1490" i="1"/>
  <c r="AS1490" i="1"/>
  <c r="K1491" i="1"/>
  <c r="L1491" i="1"/>
  <c r="M1491" i="1"/>
  <c r="N1491" i="1"/>
  <c r="O1491" i="1"/>
  <c r="P1491" i="1"/>
  <c r="Q1491" i="1"/>
  <c r="R1491" i="1"/>
  <c r="S1491" i="1"/>
  <c r="T1491" i="1"/>
  <c r="U1491" i="1"/>
  <c r="V1491" i="1"/>
  <c r="W1491" i="1"/>
  <c r="X1491" i="1"/>
  <c r="Y1491" i="1"/>
  <c r="Z1491" i="1"/>
  <c r="AA1491" i="1"/>
  <c r="AB1491" i="1"/>
  <c r="AC1491" i="1"/>
  <c r="AD1491" i="1"/>
  <c r="AE1491" i="1"/>
  <c r="AF1491" i="1"/>
  <c r="AG1491" i="1"/>
  <c r="AH1491" i="1"/>
  <c r="AI1491" i="1"/>
  <c r="AJ1491" i="1"/>
  <c r="AM1491" i="1"/>
  <c r="AO1491" i="1"/>
  <c r="AP1491" i="1"/>
  <c r="AQ1491" i="1"/>
  <c r="AR1491" i="1"/>
  <c r="AS1491" i="1"/>
  <c r="K1492" i="1"/>
  <c r="L1492" i="1"/>
  <c r="M1492" i="1"/>
  <c r="N1492" i="1"/>
  <c r="O1492" i="1"/>
  <c r="P1492" i="1"/>
  <c r="Q1492" i="1"/>
  <c r="R1492" i="1"/>
  <c r="S1492" i="1"/>
  <c r="T1492" i="1"/>
  <c r="U1492" i="1"/>
  <c r="V1492" i="1"/>
  <c r="W1492" i="1"/>
  <c r="X1492" i="1"/>
  <c r="Y1492" i="1"/>
  <c r="Z1492" i="1"/>
  <c r="AA1492" i="1"/>
  <c r="AB1492" i="1"/>
  <c r="AC1492" i="1"/>
  <c r="AD1492" i="1"/>
  <c r="AE1492" i="1"/>
  <c r="AF1492" i="1"/>
  <c r="AG1492" i="1"/>
  <c r="AH1492" i="1"/>
  <c r="AI1492" i="1"/>
  <c r="AJ1492" i="1"/>
  <c r="AM1492" i="1"/>
  <c r="AO1492" i="1"/>
  <c r="AP1492" i="1"/>
  <c r="AQ1492" i="1"/>
  <c r="AR1492" i="1"/>
  <c r="AS1492" i="1"/>
  <c r="K1493" i="1"/>
  <c r="L1493" i="1"/>
  <c r="M1493" i="1"/>
  <c r="N1493" i="1"/>
  <c r="O1493" i="1"/>
  <c r="P1493" i="1"/>
  <c r="Q1493" i="1"/>
  <c r="R1493" i="1"/>
  <c r="S1493" i="1"/>
  <c r="T1493" i="1"/>
  <c r="U1493" i="1"/>
  <c r="V1493" i="1"/>
  <c r="W1493" i="1"/>
  <c r="X1493" i="1"/>
  <c r="Y1493" i="1"/>
  <c r="Z1493" i="1"/>
  <c r="AA1493" i="1"/>
  <c r="AB1493" i="1"/>
  <c r="AC1493" i="1"/>
  <c r="AD1493" i="1"/>
  <c r="AE1493" i="1"/>
  <c r="AF1493" i="1"/>
  <c r="AG1493" i="1"/>
  <c r="AH1493" i="1"/>
  <c r="AI1493" i="1"/>
  <c r="AJ1493" i="1"/>
  <c r="AM1493" i="1"/>
  <c r="AO1493" i="1"/>
  <c r="AP1493" i="1"/>
  <c r="AQ1493" i="1"/>
  <c r="AR1493" i="1"/>
  <c r="AS1493" i="1"/>
  <c r="K1494" i="1"/>
  <c r="L1494" i="1"/>
  <c r="M1494" i="1"/>
  <c r="N1494" i="1"/>
  <c r="O1494" i="1"/>
  <c r="P1494" i="1"/>
  <c r="Q1494" i="1"/>
  <c r="R1494" i="1"/>
  <c r="S1494" i="1"/>
  <c r="T1494" i="1"/>
  <c r="U1494" i="1"/>
  <c r="V1494" i="1"/>
  <c r="W1494" i="1"/>
  <c r="X1494" i="1"/>
  <c r="Y1494" i="1"/>
  <c r="Z1494" i="1"/>
  <c r="AA1494" i="1"/>
  <c r="AB1494" i="1"/>
  <c r="AC1494" i="1"/>
  <c r="AD1494" i="1"/>
  <c r="AE1494" i="1"/>
  <c r="AF1494" i="1"/>
  <c r="AG1494" i="1"/>
  <c r="AH1494" i="1"/>
  <c r="AI1494" i="1"/>
  <c r="AJ1494" i="1"/>
  <c r="AM1494" i="1"/>
  <c r="AO1494" i="1"/>
  <c r="AP1494" i="1"/>
  <c r="AQ1494" i="1"/>
  <c r="AR1494" i="1"/>
  <c r="AS1494" i="1"/>
  <c r="K1495" i="1"/>
  <c r="L1495" i="1"/>
  <c r="M1495" i="1"/>
  <c r="N1495" i="1"/>
  <c r="O1495" i="1"/>
  <c r="P1495" i="1"/>
  <c r="Q1495" i="1"/>
  <c r="R1495" i="1"/>
  <c r="S1495" i="1"/>
  <c r="T1495" i="1"/>
  <c r="U1495" i="1"/>
  <c r="V1495" i="1"/>
  <c r="W1495" i="1"/>
  <c r="X1495" i="1"/>
  <c r="Y1495" i="1"/>
  <c r="Z1495" i="1"/>
  <c r="AA1495" i="1"/>
  <c r="AB1495" i="1"/>
  <c r="AC1495" i="1"/>
  <c r="AD1495" i="1"/>
  <c r="AE1495" i="1"/>
  <c r="AF1495" i="1"/>
  <c r="AG1495" i="1"/>
  <c r="AH1495" i="1"/>
  <c r="AI1495" i="1"/>
  <c r="AJ1495" i="1"/>
  <c r="AM1495" i="1"/>
  <c r="AO1495" i="1"/>
  <c r="AP1495" i="1"/>
  <c r="AQ1495" i="1"/>
  <c r="AR1495" i="1"/>
  <c r="AS1495" i="1"/>
  <c r="K1496" i="1"/>
  <c r="L1496" i="1"/>
  <c r="M1496" i="1"/>
  <c r="N1496" i="1"/>
  <c r="O1496" i="1"/>
  <c r="P1496" i="1"/>
  <c r="Q1496" i="1"/>
  <c r="R1496" i="1"/>
  <c r="S1496" i="1"/>
  <c r="T1496" i="1"/>
  <c r="U1496" i="1"/>
  <c r="V1496" i="1"/>
  <c r="W1496" i="1"/>
  <c r="X1496" i="1"/>
  <c r="Y1496" i="1"/>
  <c r="Z1496" i="1"/>
  <c r="AA1496" i="1"/>
  <c r="AB1496" i="1"/>
  <c r="AC1496" i="1"/>
  <c r="AD1496" i="1"/>
  <c r="AE1496" i="1"/>
  <c r="AF1496" i="1"/>
  <c r="AG1496" i="1"/>
  <c r="AH1496" i="1"/>
  <c r="AI1496" i="1"/>
  <c r="AJ1496" i="1"/>
  <c r="AM1496" i="1"/>
  <c r="AO1496" i="1"/>
  <c r="AP1496" i="1"/>
  <c r="AQ1496" i="1"/>
  <c r="AR1496" i="1"/>
  <c r="AS1496" i="1"/>
  <c r="K1497" i="1"/>
  <c r="L1497" i="1"/>
  <c r="M1497" i="1"/>
  <c r="N1497" i="1"/>
  <c r="O1497" i="1"/>
  <c r="P1497" i="1"/>
  <c r="Q1497" i="1"/>
  <c r="R1497" i="1"/>
  <c r="S1497" i="1"/>
  <c r="T1497" i="1"/>
  <c r="U1497" i="1"/>
  <c r="V1497" i="1"/>
  <c r="W1497" i="1"/>
  <c r="X1497" i="1"/>
  <c r="Y1497" i="1"/>
  <c r="Z1497" i="1"/>
  <c r="AA1497" i="1"/>
  <c r="AB1497" i="1"/>
  <c r="AC1497" i="1"/>
  <c r="AD1497" i="1"/>
  <c r="AE1497" i="1"/>
  <c r="AF1497" i="1"/>
  <c r="AG1497" i="1"/>
  <c r="AH1497" i="1"/>
  <c r="AI1497" i="1"/>
  <c r="AJ1497" i="1"/>
  <c r="AM1497" i="1"/>
  <c r="AO1497" i="1"/>
  <c r="AP1497" i="1"/>
  <c r="AQ1497" i="1"/>
  <c r="AR1497" i="1"/>
  <c r="AS1497" i="1"/>
  <c r="K1498" i="1"/>
  <c r="L1498" i="1"/>
  <c r="M1498" i="1"/>
  <c r="N1498" i="1"/>
  <c r="O1498" i="1"/>
  <c r="P1498" i="1"/>
  <c r="Q1498" i="1"/>
  <c r="R1498" i="1"/>
  <c r="S1498" i="1"/>
  <c r="T1498" i="1"/>
  <c r="U1498" i="1"/>
  <c r="V1498" i="1"/>
  <c r="W1498" i="1"/>
  <c r="X1498" i="1"/>
  <c r="Y1498" i="1"/>
  <c r="Z1498" i="1"/>
  <c r="AA1498" i="1"/>
  <c r="AB1498" i="1"/>
  <c r="AC1498" i="1"/>
  <c r="AD1498" i="1"/>
  <c r="AE1498" i="1"/>
  <c r="AF1498" i="1"/>
  <c r="AG1498" i="1"/>
  <c r="AH1498" i="1"/>
  <c r="AI1498" i="1"/>
  <c r="AJ1498" i="1"/>
  <c r="AM1498" i="1"/>
  <c r="AO1498" i="1"/>
  <c r="AP1498" i="1"/>
  <c r="AQ1498" i="1"/>
  <c r="AR1498" i="1"/>
  <c r="AS1498" i="1"/>
  <c r="K1499" i="1"/>
  <c r="L1499" i="1"/>
  <c r="M1499" i="1"/>
  <c r="N1499" i="1"/>
  <c r="O1499" i="1"/>
  <c r="P1499" i="1"/>
  <c r="Q1499" i="1"/>
  <c r="R1499" i="1"/>
  <c r="S1499" i="1"/>
  <c r="T1499" i="1"/>
  <c r="U1499" i="1"/>
  <c r="V1499" i="1"/>
  <c r="W1499" i="1"/>
  <c r="X1499" i="1"/>
  <c r="Y1499" i="1"/>
  <c r="Z1499" i="1"/>
  <c r="AA1499" i="1"/>
  <c r="AB1499" i="1"/>
  <c r="AC1499" i="1"/>
  <c r="AD1499" i="1"/>
  <c r="AE1499" i="1"/>
  <c r="AF1499" i="1"/>
  <c r="AG1499" i="1"/>
  <c r="AH1499" i="1"/>
  <c r="AI1499" i="1"/>
  <c r="AJ1499" i="1"/>
  <c r="AM1499" i="1"/>
  <c r="AO1499" i="1"/>
  <c r="AP1499" i="1"/>
  <c r="AQ1499" i="1"/>
  <c r="AR1499" i="1"/>
  <c r="AS1499" i="1"/>
  <c r="K1500" i="1"/>
  <c r="L1500" i="1"/>
  <c r="M1500" i="1"/>
  <c r="N1500" i="1"/>
  <c r="O1500" i="1"/>
  <c r="P1500" i="1"/>
  <c r="Q1500" i="1"/>
  <c r="R1500" i="1"/>
  <c r="S1500" i="1"/>
  <c r="T1500" i="1"/>
  <c r="U1500" i="1"/>
  <c r="V1500" i="1"/>
  <c r="W1500" i="1"/>
  <c r="X1500" i="1"/>
  <c r="Y1500" i="1"/>
  <c r="Z1500" i="1"/>
  <c r="AA1500" i="1"/>
  <c r="AB1500" i="1"/>
  <c r="AC1500" i="1"/>
  <c r="AD1500" i="1"/>
  <c r="AE1500" i="1"/>
  <c r="AF1500" i="1"/>
  <c r="AG1500" i="1"/>
  <c r="AH1500" i="1"/>
  <c r="AI1500" i="1"/>
  <c r="AJ1500" i="1"/>
  <c r="AM1500" i="1"/>
  <c r="AO1500" i="1"/>
  <c r="AP1500" i="1"/>
  <c r="AQ1500" i="1"/>
  <c r="AR1500" i="1"/>
  <c r="AS1500" i="1"/>
  <c r="K1501" i="1"/>
  <c r="L1501" i="1"/>
  <c r="M1501" i="1"/>
  <c r="N1501" i="1"/>
  <c r="O1501" i="1"/>
  <c r="P1501" i="1"/>
  <c r="Q1501" i="1"/>
  <c r="R1501" i="1"/>
  <c r="S1501" i="1"/>
  <c r="T1501" i="1"/>
  <c r="U1501" i="1"/>
  <c r="V1501" i="1"/>
  <c r="W1501" i="1"/>
  <c r="X1501" i="1"/>
  <c r="Y1501" i="1"/>
  <c r="Z1501" i="1"/>
  <c r="AA1501" i="1"/>
  <c r="AB1501" i="1"/>
  <c r="AC1501" i="1"/>
  <c r="AD1501" i="1"/>
  <c r="AE1501" i="1"/>
  <c r="AF1501" i="1"/>
  <c r="AG1501" i="1"/>
  <c r="AH1501" i="1"/>
  <c r="AI1501" i="1"/>
  <c r="AJ1501" i="1"/>
  <c r="AM1501" i="1"/>
  <c r="AO1501" i="1"/>
  <c r="AP1501" i="1"/>
  <c r="AQ1501" i="1"/>
  <c r="AR1501" i="1"/>
  <c r="AS1501" i="1"/>
  <c r="K1502" i="1"/>
  <c r="L1502" i="1"/>
  <c r="M1502" i="1"/>
  <c r="N1502" i="1"/>
  <c r="O1502" i="1"/>
  <c r="P1502" i="1"/>
  <c r="Q1502" i="1"/>
  <c r="R1502" i="1"/>
  <c r="S1502" i="1"/>
  <c r="T1502" i="1"/>
  <c r="U1502" i="1"/>
  <c r="V1502" i="1"/>
  <c r="W1502" i="1"/>
  <c r="X1502" i="1"/>
  <c r="Y1502" i="1"/>
  <c r="Z1502" i="1"/>
  <c r="AA1502" i="1"/>
  <c r="AB1502" i="1"/>
  <c r="AC1502" i="1"/>
  <c r="AD1502" i="1"/>
  <c r="AE1502" i="1"/>
  <c r="AF1502" i="1"/>
  <c r="AG1502" i="1"/>
  <c r="AH1502" i="1"/>
  <c r="AI1502" i="1"/>
  <c r="AJ1502" i="1"/>
  <c r="AM1502" i="1"/>
  <c r="AO1502" i="1"/>
  <c r="AP1502" i="1"/>
  <c r="AQ1502" i="1"/>
  <c r="AR1502" i="1"/>
  <c r="AS1502" i="1"/>
  <c r="K1503" i="1"/>
  <c r="L1503" i="1"/>
  <c r="M1503" i="1"/>
  <c r="N1503" i="1"/>
  <c r="O1503" i="1"/>
  <c r="P1503" i="1"/>
  <c r="Q1503" i="1"/>
  <c r="R1503" i="1"/>
  <c r="S1503" i="1"/>
  <c r="T1503" i="1"/>
  <c r="U1503" i="1"/>
  <c r="V1503" i="1"/>
  <c r="W1503" i="1"/>
  <c r="X1503" i="1"/>
  <c r="Y1503" i="1"/>
  <c r="Z1503" i="1"/>
  <c r="AA1503" i="1"/>
  <c r="AB1503" i="1"/>
  <c r="AC1503" i="1"/>
  <c r="AD1503" i="1"/>
  <c r="AE1503" i="1"/>
  <c r="AF1503" i="1"/>
  <c r="AG1503" i="1"/>
  <c r="AH1503" i="1"/>
  <c r="AI1503" i="1"/>
  <c r="AJ1503" i="1"/>
  <c r="AM1503" i="1"/>
  <c r="AO1503" i="1"/>
  <c r="AP1503" i="1"/>
  <c r="AQ1503" i="1"/>
  <c r="AR1503" i="1"/>
  <c r="AS1503" i="1"/>
  <c r="K1504" i="1"/>
  <c r="L1504" i="1"/>
  <c r="M1504" i="1"/>
  <c r="N1504" i="1"/>
  <c r="O1504" i="1"/>
  <c r="P1504" i="1"/>
  <c r="Q1504" i="1"/>
  <c r="R1504" i="1"/>
  <c r="S1504" i="1"/>
  <c r="T1504" i="1"/>
  <c r="U1504" i="1"/>
  <c r="V1504" i="1"/>
  <c r="W1504" i="1"/>
  <c r="X1504" i="1"/>
  <c r="Y1504" i="1"/>
  <c r="Z1504" i="1"/>
  <c r="AA1504" i="1"/>
  <c r="AB1504" i="1"/>
  <c r="AC1504" i="1"/>
  <c r="AD1504" i="1"/>
  <c r="AE1504" i="1"/>
  <c r="AF1504" i="1"/>
  <c r="AG1504" i="1"/>
  <c r="AH1504" i="1"/>
  <c r="AI1504" i="1"/>
  <c r="AJ1504" i="1"/>
  <c r="AM1504" i="1"/>
  <c r="AO1504" i="1"/>
  <c r="AP1504" i="1"/>
  <c r="AQ1504" i="1"/>
  <c r="AR1504" i="1"/>
  <c r="AS1504" i="1"/>
  <c r="K1505" i="1"/>
  <c r="L1505" i="1"/>
  <c r="M1505" i="1"/>
  <c r="N1505" i="1"/>
  <c r="O1505" i="1"/>
  <c r="P1505" i="1"/>
  <c r="Q1505" i="1"/>
  <c r="R1505" i="1"/>
  <c r="S1505" i="1"/>
  <c r="T1505" i="1"/>
  <c r="U1505" i="1"/>
  <c r="V1505" i="1"/>
  <c r="W1505" i="1"/>
  <c r="X1505" i="1"/>
  <c r="Y1505" i="1"/>
  <c r="Z1505" i="1"/>
  <c r="AA1505" i="1"/>
  <c r="AB1505" i="1"/>
  <c r="AC1505" i="1"/>
  <c r="AD1505" i="1"/>
  <c r="AE1505" i="1"/>
  <c r="AF1505" i="1"/>
  <c r="AG1505" i="1"/>
  <c r="AH1505" i="1"/>
  <c r="AI1505" i="1"/>
  <c r="AJ1505" i="1"/>
  <c r="AM1505" i="1"/>
  <c r="AO1505" i="1"/>
  <c r="AP1505" i="1"/>
  <c r="AQ1505" i="1"/>
  <c r="AR1505" i="1"/>
  <c r="AS1505" i="1"/>
  <c r="K1506" i="1"/>
  <c r="L1506" i="1"/>
  <c r="M1506" i="1"/>
  <c r="N1506" i="1"/>
  <c r="O1506" i="1"/>
  <c r="P1506" i="1"/>
  <c r="Q1506" i="1"/>
  <c r="R1506" i="1"/>
  <c r="S1506" i="1"/>
  <c r="T1506" i="1"/>
  <c r="U1506" i="1"/>
  <c r="V1506" i="1"/>
  <c r="W1506" i="1"/>
  <c r="X1506" i="1"/>
  <c r="Y1506" i="1"/>
  <c r="Z1506" i="1"/>
  <c r="AA1506" i="1"/>
  <c r="AB1506" i="1"/>
  <c r="AC1506" i="1"/>
  <c r="AD1506" i="1"/>
  <c r="AE1506" i="1"/>
  <c r="AF1506" i="1"/>
  <c r="AG1506" i="1"/>
  <c r="AH1506" i="1"/>
  <c r="AI1506" i="1"/>
  <c r="AJ1506" i="1"/>
  <c r="AM1506" i="1"/>
  <c r="AO1506" i="1"/>
  <c r="AP1506" i="1"/>
  <c r="AQ1506" i="1"/>
  <c r="AR1506" i="1"/>
  <c r="AS1506" i="1"/>
  <c r="K1507" i="1"/>
  <c r="L1507" i="1"/>
  <c r="M1507" i="1"/>
  <c r="N1507" i="1"/>
  <c r="O1507" i="1"/>
  <c r="P1507" i="1"/>
  <c r="Q1507" i="1"/>
  <c r="R1507" i="1"/>
  <c r="S1507" i="1"/>
  <c r="T1507" i="1"/>
  <c r="U1507" i="1"/>
  <c r="V1507" i="1"/>
  <c r="W1507" i="1"/>
  <c r="X1507" i="1"/>
  <c r="Y1507" i="1"/>
  <c r="Z1507" i="1"/>
  <c r="AA1507" i="1"/>
  <c r="AB1507" i="1"/>
  <c r="AC1507" i="1"/>
  <c r="AD1507" i="1"/>
  <c r="AE1507" i="1"/>
  <c r="AF1507" i="1"/>
  <c r="AG1507" i="1"/>
  <c r="AH1507" i="1"/>
  <c r="AI1507" i="1"/>
  <c r="AJ1507" i="1"/>
  <c r="AM1507" i="1"/>
  <c r="AO1507" i="1"/>
  <c r="AP1507" i="1"/>
  <c r="AQ1507" i="1"/>
  <c r="AR1507" i="1"/>
  <c r="AS1507" i="1"/>
  <c r="K1508" i="1"/>
  <c r="L1508" i="1"/>
  <c r="M1508" i="1"/>
  <c r="N1508" i="1"/>
  <c r="O1508" i="1"/>
  <c r="P1508" i="1"/>
  <c r="Q1508" i="1"/>
  <c r="R1508" i="1"/>
  <c r="S1508" i="1"/>
  <c r="T1508" i="1"/>
  <c r="U1508" i="1"/>
  <c r="V1508" i="1"/>
  <c r="W1508" i="1"/>
  <c r="X1508" i="1"/>
  <c r="Y1508" i="1"/>
  <c r="Z1508" i="1"/>
  <c r="AA1508" i="1"/>
  <c r="AB1508" i="1"/>
  <c r="AC1508" i="1"/>
  <c r="AD1508" i="1"/>
  <c r="AE1508" i="1"/>
  <c r="AF1508" i="1"/>
  <c r="AG1508" i="1"/>
  <c r="AH1508" i="1"/>
  <c r="AI1508" i="1"/>
  <c r="AJ1508" i="1"/>
  <c r="AM1508" i="1"/>
  <c r="AO1508" i="1"/>
  <c r="AP1508" i="1"/>
  <c r="AQ1508" i="1"/>
  <c r="AR1508" i="1"/>
  <c r="AS1508" i="1"/>
  <c r="K1509" i="1"/>
  <c r="L1509" i="1"/>
  <c r="M1509" i="1"/>
  <c r="N1509" i="1"/>
  <c r="O1509" i="1"/>
  <c r="P1509" i="1"/>
  <c r="Q1509" i="1"/>
  <c r="R1509" i="1"/>
  <c r="S1509" i="1"/>
  <c r="T1509" i="1"/>
  <c r="U1509" i="1"/>
  <c r="V1509" i="1"/>
  <c r="W1509" i="1"/>
  <c r="X1509" i="1"/>
  <c r="Y1509" i="1"/>
  <c r="Z1509" i="1"/>
  <c r="AA1509" i="1"/>
  <c r="AB1509" i="1"/>
  <c r="AC1509" i="1"/>
  <c r="AD1509" i="1"/>
  <c r="AE1509" i="1"/>
  <c r="AF1509" i="1"/>
  <c r="AG1509" i="1"/>
  <c r="AH1509" i="1"/>
  <c r="AI1509" i="1"/>
  <c r="AJ1509" i="1"/>
  <c r="AM1509" i="1"/>
  <c r="AO1509" i="1"/>
  <c r="AP1509" i="1"/>
  <c r="AQ1509" i="1"/>
  <c r="AR1509" i="1"/>
  <c r="AS1509" i="1"/>
  <c r="K1510" i="1"/>
  <c r="L1510" i="1"/>
  <c r="M1510" i="1"/>
  <c r="N1510" i="1"/>
  <c r="O1510" i="1"/>
  <c r="P1510" i="1"/>
  <c r="Q1510" i="1"/>
  <c r="R1510" i="1"/>
  <c r="S1510" i="1"/>
  <c r="T1510" i="1"/>
  <c r="U1510" i="1"/>
  <c r="V1510" i="1"/>
  <c r="W1510" i="1"/>
  <c r="X1510" i="1"/>
  <c r="Y1510" i="1"/>
  <c r="Z1510" i="1"/>
  <c r="AA1510" i="1"/>
  <c r="AB1510" i="1"/>
  <c r="AC1510" i="1"/>
  <c r="AD1510" i="1"/>
  <c r="AE1510" i="1"/>
  <c r="AF1510" i="1"/>
  <c r="AG1510" i="1"/>
  <c r="AH1510" i="1"/>
  <c r="AI1510" i="1"/>
  <c r="AJ1510" i="1"/>
  <c r="AM1510" i="1"/>
  <c r="AO1510" i="1"/>
  <c r="AP1510" i="1"/>
  <c r="AQ1510" i="1"/>
  <c r="AR1510" i="1"/>
  <c r="AS1510" i="1"/>
  <c r="K1511" i="1"/>
  <c r="L1511" i="1"/>
  <c r="M1511" i="1"/>
  <c r="N1511" i="1"/>
  <c r="O1511" i="1"/>
  <c r="P1511" i="1"/>
  <c r="Q1511" i="1"/>
  <c r="R1511" i="1"/>
  <c r="S1511" i="1"/>
  <c r="T1511" i="1"/>
  <c r="U1511" i="1"/>
  <c r="V1511" i="1"/>
  <c r="W1511" i="1"/>
  <c r="X1511" i="1"/>
  <c r="Y1511" i="1"/>
  <c r="Z1511" i="1"/>
  <c r="AA1511" i="1"/>
  <c r="AB1511" i="1"/>
  <c r="AC1511" i="1"/>
  <c r="AD1511" i="1"/>
  <c r="AE1511" i="1"/>
  <c r="AF1511" i="1"/>
  <c r="AG1511" i="1"/>
  <c r="AH1511" i="1"/>
  <c r="AI1511" i="1"/>
  <c r="AJ1511" i="1"/>
  <c r="AP1511" i="1"/>
  <c r="AQ1511" i="1"/>
  <c r="AR1511" i="1"/>
  <c r="AS1511" i="1"/>
  <c r="K1512" i="1"/>
  <c r="L1512" i="1"/>
  <c r="M1512" i="1"/>
  <c r="N1512" i="1"/>
  <c r="O1512" i="1"/>
  <c r="P1512" i="1"/>
  <c r="Q1512" i="1"/>
  <c r="R1512" i="1"/>
  <c r="S1512" i="1"/>
  <c r="T1512" i="1"/>
  <c r="U1512" i="1"/>
  <c r="V1512" i="1"/>
  <c r="W1512" i="1"/>
  <c r="X1512" i="1"/>
  <c r="Y1512" i="1"/>
  <c r="Z1512" i="1"/>
  <c r="AA1512" i="1"/>
  <c r="AB1512" i="1"/>
  <c r="AC1512" i="1"/>
  <c r="AD1512" i="1"/>
  <c r="AE1512" i="1"/>
  <c r="AF1512" i="1"/>
  <c r="AG1512" i="1"/>
  <c r="AH1512" i="1"/>
  <c r="AI1512" i="1"/>
  <c r="AJ1512" i="1"/>
  <c r="AP1512" i="1"/>
  <c r="AQ1512" i="1"/>
  <c r="AR1512" i="1"/>
  <c r="AS1512" i="1"/>
  <c r="K1513" i="1"/>
  <c r="L1513" i="1"/>
  <c r="M1513" i="1"/>
  <c r="N1513" i="1"/>
  <c r="O1513" i="1"/>
  <c r="P1513" i="1"/>
  <c r="Q1513" i="1"/>
  <c r="R1513" i="1"/>
  <c r="S1513" i="1"/>
  <c r="T1513" i="1"/>
  <c r="U1513" i="1"/>
  <c r="V1513" i="1"/>
  <c r="W1513" i="1"/>
  <c r="X1513" i="1"/>
  <c r="Y1513" i="1"/>
  <c r="Z1513" i="1"/>
  <c r="AA1513" i="1"/>
  <c r="AB1513" i="1"/>
  <c r="AC1513" i="1"/>
  <c r="AD1513" i="1"/>
  <c r="AE1513" i="1"/>
  <c r="AF1513" i="1"/>
  <c r="AG1513" i="1"/>
  <c r="AH1513" i="1"/>
  <c r="AI1513" i="1"/>
  <c r="AJ1513" i="1"/>
  <c r="AP1513" i="1"/>
  <c r="AQ1513" i="1"/>
  <c r="AR1513" i="1"/>
  <c r="AS1513" i="1"/>
  <c r="K1514" i="1"/>
  <c r="L1514" i="1"/>
  <c r="M1514" i="1"/>
  <c r="N1514" i="1"/>
  <c r="O1514" i="1"/>
  <c r="P1514" i="1"/>
  <c r="Q1514" i="1"/>
  <c r="R1514" i="1"/>
  <c r="S1514" i="1"/>
  <c r="T1514" i="1"/>
  <c r="U1514" i="1"/>
  <c r="V1514" i="1"/>
  <c r="W1514" i="1"/>
  <c r="X1514" i="1"/>
  <c r="Y1514" i="1"/>
  <c r="Z1514" i="1"/>
  <c r="AA1514" i="1"/>
  <c r="AB1514" i="1"/>
  <c r="AC1514" i="1"/>
  <c r="AD1514" i="1"/>
  <c r="AE1514" i="1"/>
  <c r="AF1514" i="1"/>
  <c r="AG1514" i="1"/>
  <c r="AH1514" i="1"/>
  <c r="AI1514" i="1"/>
  <c r="AJ1514" i="1"/>
  <c r="AP1514" i="1"/>
  <c r="AQ1514" i="1"/>
  <c r="AR1514" i="1"/>
  <c r="AS1514" i="1"/>
  <c r="K1515" i="1"/>
  <c r="L1515" i="1"/>
  <c r="M1515" i="1"/>
  <c r="N1515" i="1"/>
  <c r="O1515" i="1"/>
  <c r="P1515" i="1"/>
  <c r="Q1515" i="1"/>
  <c r="R1515" i="1"/>
  <c r="S1515" i="1"/>
  <c r="T1515" i="1"/>
  <c r="U1515" i="1"/>
  <c r="V1515" i="1"/>
  <c r="W1515" i="1"/>
  <c r="X1515" i="1"/>
  <c r="Y1515" i="1"/>
  <c r="Z1515" i="1"/>
  <c r="AA1515" i="1"/>
  <c r="AB1515" i="1"/>
  <c r="AC1515" i="1"/>
  <c r="AD1515" i="1"/>
  <c r="AE1515" i="1"/>
  <c r="AF1515" i="1"/>
  <c r="AG1515" i="1"/>
  <c r="AH1515" i="1"/>
  <c r="AI1515" i="1"/>
  <c r="AJ1515" i="1"/>
  <c r="AP1515" i="1"/>
  <c r="AQ1515" i="1"/>
  <c r="AR1515" i="1"/>
  <c r="AS1515" i="1"/>
  <c r="K1516" i="1"/>
  <c r="L1516" i="1"/>
  <c r="M1516" i="1"/>
  <c r="N1516" i="1"/>
  <c r="O1516" i="1"/>
  <c r="P1516" i="1"/>
  <c r="Q1516" i="1"/>
  <c r="R1516" i="1"/>
  <c r="S1516" i="1"/>
  <c r="T1516" i="1"/>
  <c r="U1516" i="1"/>
  <c r="V1516" i="1"/>
  <c r="W1516" i="1"/>
  <c r="X1516" i="1"/>
  <c r="Y1516" i="1"/>
  <c r="Z1516" i="1"/>
  <c r="AA1516" i="1"/>
  <c r="AB1516" i="1"/>
  <c r="AC1516" i="1"/>
  <c r="AD1516" i="1"/>
  <c r="AE1516" i="1"/>
  <c r="AH1516" i="1"/>
  <c r="AI1516" i="1"/>
  <c r="AJ1516" i="1"/>
  <c r="AO1516" i="1"/>
  <c r="AP1516" i="1"/>
  <c r="AQ1516" i="1"/>
  <c r="AR1516" i="1"/>
  <c r="AS1516" i="1"/>
  <c r="H1519" i="1"/>
  <c r="K1522" i="1"/>
  <c r="O1522" i="1"/>
  <c r="Q1522" i="1"/>
  <c r="R1522" i="1"/>
  <c r="S1522" i="1"/>
  <c r="T1522" i="1"/>
  <c r="W1522" i="1"/>
  <c r="X1522" i="1"/>
  <c r="Y1522" i="1"/>
  <c r="Z1522" i="1"/>
  <c r="AA1522" i="1"/>
  <c r="AB1522" i="1"/>
  <c r="AC1522" i="1"/>
  <c r="AD1522" i="1"/>
  <c r="AE1522" i="1"/>
  <c r="AF1522" i="1"/>
  <c r="AG1522" i="1"/>
  <c r="AH1522" i="1"/>
  <c r="AI1522" i="1"/>
  <c r="AJ1522" i="1"/>
  <c r="AQ1522" i="1"/>
  <c r="AR1522" i="1"/>
  <c r="AS1522" i="1"/>
  <c r="K1523" i="1"/>
  <c r="L1523" i="1"/>
  <c r="M1523" i="1"/>
  <c r="N1523" i="1"/>
  <c r="O1523" i="1"/>
  <c r="P1523" i="1"/>
  <c r="Q1523" i="1"/>
  <c r="R1523" i="1"/>
  <c r="S1523" i="1"/>
  <c r="T1523" i="1"/>
  <c r="U1523" i="1"/>
  <c r="V1523" i="1"/>
  <c r="W1523" i="1"/>
  <c r="X1523" i="1"/>
  <c r="Y1523" i="1"/>
  <c r="Z1523" i="1"/>
  <c r="AA1523" i="1"/>
  <c r="AB1523" i="1"/>
  <c r="AC1523" i="1"/>
  <c r="AD1523" i="1"/>
  <c r="AE1523" i="1"/>
  <c r="AF1523" i="1"/>
  <c r="AG1523" i="1"/>
  <c r="AH1523" i="1"/>
  <c r="AI1523" i="1"/>
  <c r="AJ1523" i="1"/>
  <c r="AQ1523" i="1"/>
  <c r="AR1523" i="1"/>
  <c r="AS1523" i="1"/>
  <c r="K1524" i="1"/>
  <c r="L1524" i="1"/>
  <c r="M1524" i="1"/>
  <c r="N1524" i="1"/>
  <c r="O1524" i="1"/>
  <c r="P1524" i="1"/>
  <c r="Q1524" i="1"/>
  <c r="R1524" i="1"/>
  <c r="S1524" i="1"/>
  <c r="T1524" i="1"/>
  <c r="U1524" i="1"/>
  <c r="V1524" i="1"/>
  <c r="W1524" i="1"/>
  <c r="X1524" i="1"/>
  <c r="Y1524" i="1"/>
  <c r="Z1524" i="1"/>
  <c r="AA1524" i="1"/>
  <c r="AB1524" i="1"/>
  <c r="AC1524" i="1"/>
  <c r="AD1524" i="1"/>
  <c r="AE1524" i="1"/>
  <c r="AF1524" i="1"/>
  <c r="AG1524" i="1"/>
  <c r="AH1524" i="1"/>
  <c r="AI1524" i="1"/>
  <c r="AJ1524" i="1"/>
  <c r="AQ1524" i="1"/>
  <c r="AR1524" i="1"/>
  <c r="AS1524" i="1"/>
  <c r="K1525" i="1"/>
  <c r="L1525" i="1"/>
  <c r="M1525" i="1"/>
  <c r="N1525" i="1"/>
  <c r="O1525" i="1"/>
  <c r="P1525" i="1"/>
  <c r="Q1525" i="1"/>
  <c r="R1525" i="1"/>
  <c r="S1525" i="1"/>
  <c r="T1525" i="1"/>
  <c r="U1525" i="1"/>
  <c r="V1525" i="1"/>
  <c r="W1525" i="1"/>
  <c r="X1525" i="1"/>
  <c r="Y1525" i="1"/>
  <c r="Z1525" i="1"/>
  <c r="AA1525" i="1"/>
  <c r="AB1525" i="1"/>
  <c r="AC1525" i="1"/>
  <c r="AD1525" i="1"/>
  <c r="AE1525" i="1"/>
  <c r="AF1525" i="1"/>
  <c r="AG1525" i="1"/>
  <c r="AH1525" i="1"/>
  <c r="AI1525" i="1"/>
  <c r="AJ1525" i="1"/>
  <c r="AQ1525" i="1"/>
  <c r="AR1525" i="1"/>
  <c r="AS1525" i="1"/>
  <c r="K1526" i="1"/>
  <c r="L1526" i="1"/>
  <c r="M1526" i="1"/>
  <c r="N1526" i="1"/>
  <c r="O1526" i="1"/>
  <c r="P1526" i="1"/>
  <c r="Q1526" i="1"/>
  <c r="R1526" i="1"/>
  <c r="S1526" i="1"/>
  <c r="T1526" i="1"/>
  <c r="U1526" i="1"/>
  <c r="V1526" i="1"/>
  <c r="W1526" i="1"/>
  <c r="X1526" i="1"/>
  <c r="Y1526" i="1"/>
  <c r="Z1526" i="1"/>
  <c r="AA1526" i="1"/>
  <c r="AB1526" i="1"/>
  <c r="AC1526" i="1"/>
  <c r="AD1526" i="1"/>
  <c r="AE1526" i="1"/>
  <c r="AF1526" i="1"/>
  <c r="AG1526" i="1"/>
  <c r="AH1526" i="1"/>
  <c r="AI1526" i="1"/>
  <c r="AJ1526" i="1"/>
  <c r="AQ1526" i="1"/>
  <c r="AR1526" i="1"/>
  <c r="AS1526" i="1"/>
  <c r="K1527" i="1"/>
  <c r="L1527" i="1"/>
  <c r="M1527" i="1"/>
  <c r="N1527" i="1"/>
  <c r="O1527" i="1"/>
  <c r="P1527" i="1"/>
  <c r="Q1527" i="1"/>
  <c r="R1527" i="1"/>
  <c r="S1527" i="1"/>
  <c r="T1527" i="1"/>
  <c r="U1527" i="1"/>
  <c r="V1527" i="1"/>
  <c r="W1527" i="1"/>
  <c r="X1527" i="1"/>
  <c r="Y1527" i="1"/>
  <c r="Z1527" i="1"/>
  <c r="AA1527" i="1"/>
  <c r="AB1527" i="1"/>
  <c r="AC1527" i="1"/>
  <c r="AD1527" i="1"/>
  <c r="AE1527" i="1"/>
  <c r="AF1527" i="1"/>
  <c r="AG1527" i="1"/>
  <c r="AH1527" i="1"/>
  <c r="AI1527" i="1"/>
  <c r="AJ1527" i="1"/>
  <c r="AQ1527" i="1"/>
  <c r="AR1527" i="1"/>
  <c r="AS1527" i="1"/>
  <c r="K1528" i="1"/>
  <c r="L1528" i="1"/>
  <c r="M1528" i="1"/>
  <c r="N1528" i="1"/>
  <c r="O1528" i="1"/>
  <c r="P1528" i="1"/>
  <c r="Q1528" i="1"/>
  <c r="R1528" i="1"/>
  <c r="S1528" i="1"/>
  <c r="T1528" i="1"/>
  <c r="U1528" i="1"/>
  <c r="V1528" i="1"/>
  <c r="W1528" i="1"/>
  <c r="X1528" i="1"/>
  <c r="Y1528" i="1"/>
  <c r="Z1528" i="1"/>
  <c r="AA1528" i="1"/>
  <c r="AB1528" i="1"/>
  <c r="AC1528" i="1"/>
  <c r="AD1528" i="1"/>
  <c r="AE1528" i="1"/>
  <c r="AF1528" i="1"/>
  <c r="AG1528" i="1"/>
  <c r="AH1528" i="1"/>
  <c r="AI1528" i="1"/>
  <c r="AJ1528" i="1"/>
  <c r="AQ1528" i="1"/>
  <c r="AR1528" i="1"/>
  <c r="AS1528" i="1"/>
  <c r="K1529" i="1"/>
  <c r="L1529" i="1"/>
  <c r="M1529" i="1"/>
  <c r="N1529" i="1"/>
  <c r="O1529" i="1"/>
  <c r="P1529" i="1"/>
  <c r="Q1529" i="1"/>
  <c r="R1529" i="1"/>
  <c r="S1529" i="1"/>
  <c r="T1529" i="1"/>
  <c r="U1529" i="1"/>
  <c r="V1529" i="1"/>
  <c r="W1529" i="1"/>
  <c r="X1529" i="1"/>
  <c r="Y1529" i="1"/>
  <c r="Z1529" i="1"/>
  <c r="AA1529" i="1"/>
  <c r="AB1529" i="1"/>
  <c r="AC1529" i="1"/>
  <c r="AD1529" i="1"/>
  <c r="AE1529" i="1"/>
  <c r="AF1529" i="1"/>
  <c r="AG1529" i="1"/>
  <c r="AH1529" i="1"/>
  <c r="AI1529" i="1"/>
  <c r="AJ1529" i="1"/>
  <c r="AQ1529" i="1"/>
  <c r="AR1529" i="1"/>
  <c r="AS1529" i="1"/>
  <c r="K1530" i="1"/>
  <c r="L1530" i="1"/>
  <c r="M1530" i="1"/>
  <c r="N1530" i="1"/>
  <c r="O1530" i="1"/>
  <c r="P1530" i="1"/>
  <c r="Q1530" i="1"/>
  <c r="R1530" i="1"/>
  <c r="S1530" i="1"/>
  <c r="T1530" i="1"/>
  <c r="U1530" i="1"/>
  <c r="V1530" i="1"/>
  <c r="W1530" i="1"/>
  <c r="X1530" i="1"/>
  <c r="Y1530" i="1"/>
  <c r="Z1530" i="1"/>
  <c r="AA1530" i="1"/>
  <c r="AB1530" i="1"/>
  <c r="AC1530" i="1"/>
  <c r="AD1530" i="1"/>
  <c r="AE1530" i="1"/>
  <c r="AF1530" i="1"/>
  <c r="AG1530" i="1"/>
  <c r="AH1530" i="1"/>
  <c r="AI1530" i="1"/>
  <c r="AJ1530" i="1"/>
  <c r="AQ1530" i="1"/>
  <c r="AR1530" i="1"/>
  <c r="AS1530" i="1"/>
  <c r="K1531" i="1"/>
  <c r="L1531" i="1"/>
  <c r="M1531" i="1"/>
  <c r="N1531" i="1"/>
  <c r="O1531" i="1"/>
  <c r="P1531" i="1"/>
  <c r="Q1531" i="1"/>
  <c r="R1531" i="1"/>
  <c r="S1531" i="1"/>
  <c r="T1531" i="1"/>
  <c r="U1531" i="1"/>
  <c r="V1531" i="1"/>
  <c r="W1531" i="1"/>
  <c r="X1531" i="1"/>
  <c r="Y1531" i="1"/>
  <c r="Z1531" i="1"/>
  <c r="AA1531" i="1"/>
  <c r="AB1531" i="1"/>
  <c r="AC1531" i="1"/>
  <c r="AD1531" i="1"/>
  <c r="AE1531" i="1"/>
  <c r="AF1531" i="1"/>
  <c r="AG1531" i="1"/>
  <c r="AH1531" i="1"/>
  <c r="AI1531" i="1"/>
  <c r="AJ1531" i="1"/>
  <c r="AN1531" i="1"/>
  <c r="AO1531" i="1"/>
  <c r="AP1531" i="1"/>
  <c r="AQ1531" i="1"/>
  <c r="AR1531" i="1"/>
  <c r="AS1531" i="1"/>
  <c r="K1532" i="1"/>
  <c r="L1532" i="1"/>
  <c r="M1532" i="1"/>
  <c r="N1532" i="1"/>
  <c r="O1532" i="1"/>
  <c r="P1532" i="1"/>
  <c r="Q1532" i="1"/>
  <c r="R1532" i="1"/>
  <c r="S1532" i="1"/>
  <c r="T1532" i="1"/>
  <c r="U1532" i="1"/>
  <c r="V1532" i="1"/>
  <c r="W1532" i="1"/>
  <c r="X1532" i="1"/>
  <c r="Y1532" i="1"/>
  <c r="Z1532" i="1"/>
  <c r="AA1532" i="1"/>
  <c r="AB1532" i="1"/>
  <c r="AC1532" i="1"/>
  <c r="AD1532" i="1"/>
  <c r="AE1532" i="1"/>
  <c r="AF1532" i="1"/>
  <c r="AG1532" i="1"/>
  <c r="AH1532" i="1"/>
  <c r="AI1532" i="1"/>
  <c r="AJ1532" i="1"/>
  <c r="AN1532" i="1"/>
  <c r="AO1532" i="1"/>
  <c r="AP1532" i="1"/>
  <c r="AQ1532" i="1"/>
  <c r="AR1532" i="1"/>
  <c r="AS1532" i="1"/>
  <c r="K1533" i="1"/>
  <c r="L1533" i="1"/>
  <c r="M1533" i="1"/>
  <c r="N1533" i="1"/>
  <c r="O1533" i="1"/>
  <c r="P1533" i="1"/>
  <c r="Q1533" i="1"/>
  <c r="R1533" i="1"/>
  <c r="S1533" i="1"/>
  <c r="T1533" i="1"/>
  <c r="U1533" i="1"/>
  <c r="V1533" i="1"/>
  <c r="W1533" i="1"/>
  <c r="X1533" i="1"/>
  <c r="Y1533" i="1"/>
  <c r="Z1533" i="1"/>
  <c r="AA1533" i="1"/>
  <c r="AB1533" i="1"/>
  <c r="AC1533" i="1"/>
  <c r="AD1533" i="1"/>
  <c r="AE1533" i="1"/>
  <c r="AF1533" i="1"/>
  <c r="AG1533" i="1"/>
  <c r="AH1533" i="1"/>
  <c r="AI1533" i="1"/>
  <c r="AJ1533" i="1"/>
  <c r="AN1533" i="1"/>
  <c r="AO1533" i="1"/>
  <c r="AP1533" i="1"/>
  <c r="AQ1533" i="1"/>
  <c r="AR1533" i="1"/>
  <c r="AS1533" i="1"/>
  <c r="K1534" i="1"/>
  <c r="L1534" i="1"/>
  <c r="M1534" i="1"/>
  <c r="N1534" i="1"/>
  <c r="O1534" i="1"/>
  <c r="P1534" i="1"/>
  <c r="Q1534" i="1"/>
  <c r="R1534" i="1"/>
  <c r="S1534" i="1"/>
  <c r="T1534" i="1"/>
  <c r="U1534" i="1"/>
  <c r="V1534" i="1"/>
  <c r="W1534" i="1"/>
  <c r="X1534" i="1"/>
  <c r="Y1534" i="1"/>
  <c r="Z1534" i="1"/>
  <c r="AA1534" i="1"/>
  <c r="AB1534" i="1"/>
  <c r="AC1534" i="1"/>
  <c r="AD1534" i="1"/>
  <c r="AE1534" i="1"/>
  <c r="AF1534" i="1"/>
  <c r="AG1534" i="1"/>
  <c r="AH1534" i="1"/>
  <c r="AI1534" i="1"/>
  <c r="AJ1534" i="1"/>
  <c r="AN1534" i="1"/>
  <c r="AO1534" i="1"/>
  <c r="AP1534" i="1"/>
  <c r="AQ1534" i="1"/>
  <c r="AR1534" i="1"/>
  <c r="AS1534" i="1"/>
  <c r="K1535" i="1"/>
  <c r="L1535" i="1"/>
  <c r="M1535" i="1"/>
  <c r="N1535" i="1"/>
  <c r="O1535" i="1"/>
  <c r="P1535" i="1"/>
  <c r="Q1535" i="1"/>
  <c r="R1535" i="1"/>
  <c r="S1535" i="1"/>
  <c r="T1535" i="1"/>
  <c r="U1535" i="1"/>
  <c r="V1535" i="1"/>
  <c r="W1535" i="1"/>
  <c r="X1535" i="1"/>
  <c r="Y1535" i="1"/>
  <c r="Z1535" i="1"/>
  <c r="AA1535" i="1"/>
  <c r="AB1535" i="1"/>
  <c r="AC1535" i="1"/>
  <c r="AD1535" i="1"/>
  <c r="AE1535" i="1"/>
  <c r="AF1535" i="1"/>
  <c r="AG1535" i="1"/>
  <c r="AH1535" i="1"/>
  <c r="AI1535" i="1"/>
  <c r="AJ1535" i="1"/>
  <c r="AN1535" i="1"/>
  <c r="AO1535" i="1"/>
  <c r="AP1535" i="1"/>
  <c r="AQ1535" i="1"/>
  <c r="AR1535" i="1"/>
  <c r="AS1535" i="1"/>
  <c r="K1536" i="1"/>
  <c r="L1536" i="1"/>
  <c r="M1536" i="1"/>
  <c r="N1536" i="1"/>
  <c r="O1536" i="1"/>
  <c r="P1536" i="1"/>
  <c r="Q1536" i="1"/>
  <c r="R1536" i="1"/>
  <c r="S1536" i="1"/>
  <c r="T1536" i="1"/>
  <c r="U1536" i="1"/>
  <c r="V1536" i="1"/>
  <c r="W1536" i="1"/>
  <c r="X1536" i="1"/>
  <c r="Y1536" i="1"/>
  <c r="Z1536" i="1"/>
  <c r="AA1536" i="1"/>
  <c r="AB1536" i="1"/>
  <c r="AC1536" i="1"/>
  <c r="AD1536" i="1"/>
  <c r="AE1536" i="1"/>
  <c r="AF1536" i="1"/>
  <c r="AG1536" i="1"/>
  <c r="AH1536" i="1"/>
  <c r="AI1536" i="1"/>
  <c r="AJ1536" i="1"/>
  <c r="AN1536" i="1"/>
  <c r="AO1536" i="1"/>
  <c r="AP1536" i="1"/>
  <c r="AQ1536" i="1"/>
  <c r="AR1536" i="1"/>
  <c r="AS1536" i="1"/>
  <c r="K1537" i="1"/>
  <c r="L1537" i="1"/>
  <c r="M1537" i="1"/>
  <c r="N1537" i="1"/>
  <c r="O1537" i="1"/>
  <c r="P1537" i="1"/>
  <c r="Q1537" i="1"/>
  <c r="R1537" i="1"/>
  <c r="S1537" i="1"/>
  <c r="T1537" i="1"/>
  <c r="U1537" i="1"/>
  <c r="V1537" i="1"/>
  <c r="W1537" i="1"/>
  <c r="X1537" i="1"/>
  <c r="Y1537" i="1"/>
  <c r="Z1537" i="1"/>
  <c r="AA1537" i="1"/>
  <c r="AB1537" i="1"/>
  <c r="AC1537" i="1"/>
  <c r="AD1537" i="1"/>
  <c r="AE1537" i="1"/>
  <c r="AF1537" i="1"/>
  <c r="AG1537" i="1"/>
  <c r="AH1537" i="1"/>
  <c r="AI1537" i="1"/>
  <c r="AJ1537" i="1"/>
  <c r="AN1537" i="1"/>
  <c r="AO1537" i="1"/>
  <c r="AP1537" i="1"/>
  <c r="AQ1537" i="1"/>
  <c r="AR1537" i="1"/>
  <c r="AS1537" i="1"/>
  <c r="K1538" i="1"/>
  <c r="L1538" i="1"/>
  <c r="M1538" i="1"/>
  <c r="N1538" i="1"/>
  <c r="O1538" i="1"/>
  <c r="P1538" i="1"/>
  <c r="Q1538" i="1"/>
  <c r="R1538" i="1"/>
  <c r="S1538" i="1"/>
  <c r="T1538" i="1"/>
  <c r="U1538" i="1"/>
  <c r="V1538" i="1"/>
  <c r="W1538" i="1"/>
  <c r="X1538" i="1"/>
  <c r="Y1538" i="1"/>
  <c r="Z1538" i="1"/>
  <c r="AA1538" i="1"/>
  <c r="AB1538" i="1"/>
  <c r="AC1538" i="1"/>
  <c r="AD1538" i="1"/>
  <c r="AE1538" i="1"/>
  <c r="AF1538" i="1"/>
  <c r="AG1538" i="1"/>
  <c r="AH1538" i="1"/>
  <c r="AI1538" i="1"/>
  <c r="AJ1538" i="1"/>
  <c r="AN1538" i="1"/>
  <c r="AO1538" i="1"/>
  <c r="AP1538" i="1"/>
  <c r="AQ1538" i="1"/>
  <c r="AR1538" i="1"/>
  <c r="AS1538" i="1"/>
  <c r="K1539" i="1"/>
  <c r="L1539" i="1"/>
  <c r="M1539" i="1"/>
  <c r="N1539" i="1"/>
  <c r="O1539" i="1"/>
  <c r="P1539" i="1"/>
  <c r="Q1539" i="1"/>
  <c r="R1539" i="1"/>
  <c r="S1539" i="1"/>
  <c r="T1539" i="1"/>
  <c r="U1539" i="1"/>
  <c r="V1539" i="1"/>
  <c r="W1539" i="1"/>
  <c r="X1539" i="1"/>
  <c r="Y1539" i="1"/>
  <c r="Z1539" i="1"/>
  <c r="AA1539" i="1"/>
  <c r="AB1539" i="1"/>
  <c r="AC1539" i="1"/>
  <c r="AD1539" i="1"/>
  <c r="AE1539" i="1"/>
  <c r="AF1539" i="1"/>
  <c r="AG1539" i="1"/>
  <c r="AH1539" i="1"/>
  <c r="AI1539" i="1"/>
  <c r="AJ1539" i="1"/>
  <c r="AN1539" i="1"/>
  <c r="AO1539" i="1"/>
  <c r="AP1539" i="1"/>
  <c r="AQ1539" i="1"/>
  <c r="AR1539" i="1"/>
  <c r="AS1539" i="1"/>
  <c r="K1540" i="1"/>
  <c r="L1540" i="1"/>
  <c r="M1540" i="1"/>
  <c r="N1540" i="1"/>
  <c r="O1540" i="1"/>
  <c r="P1540" i="1"/>
  <c r="Q1540" i="1"/>
  <c r="R1540" i="1"/>
  <c r="S1540" i="1"/>
  <c r="T1540" i="1"/>
  <c r="U1540" i="1"/>
  <c r="V1540" i="1"/>
  <c r="W1540" i="1"/>
  <c r="X1540" i="1"/>
  <c r="Y1540" i="1"/>
  <c r="Z1540" i="1"/>
  <c r="AA1540" i="1"/>
  <c r="AB1540" i="1"/>
  <c r="AC1540" i="1"/>
  <c r="AD1540" i="1"/>
  <c r="AE1540" i="1"/>
  <c r="AF1540" i="1"/>
  <c r="AG1540" i="1"/>
  <c r="AH1540" i="1"/>
  <c r="AI1540" i="1"/>
  <c r="AJ1540" i="1"/>
  <c r="AN1540" i="1"/>
  <c r="AO1540" i="1"/>
  <c r="AP1540" i="1"/>
  <c r="AQ1540" i="1"/>
  <c r="AR1540" i="1"/>
  <c r="AS1540" i="1"/>
  <c r="K1541" i="1"/>
  <c r="L1541" i="1"/>
  <c r="M1541" i="1"/>
  <c r="N1541" i="1"/>
  <c r="O1541" i="1"/>
  <c r="P1541" i="1"/>
  <c r="Q1541" i="1"/>
  <c r="R1541" i="1"/>
  <c r="S1541" i="1"/>
  <c r="T1541" i="1"/>
  <c r="U1541" i="1"/>
  <c r="V1541" i="1"/>
  <c r="W1541" i="1"/>
  <c r="X1541" i="1"/>
  <c r="Y1541" i="1"/>
  <c r="Z1541" i="1"/>
  <c r="AA1541" i="1"/>
  <c r="AB1541" i="1"/>
  <c r="AC1541" i="1"/>
  <c r="AD1541" i="1"/>
  <c r="AE1541" i="1"/>
  <c r="AF1541" i="1"/>
  <c r="AG1541" i="1"/>
  <c r="AH1541" i="1"/>
  <c r="AI1541" i="1"/>
  <c r="AJ1541" i="1"/>
  <c r="AN1541" i="1"/>
  <c r="AO1541" i="1"/>
  <c r="AP1541" i="1"/>
  <c r="AQ1541" i="1"/>
  <c r="AR1541" i="1"/>
  <c r="AS1541" i="1"/>
  <c r="K1542" i="1"/>
  <c r="L1542" i="1"/>
  <c r="M1542" i="1"/>
  <c r="N1542" i="1"/>
  <c r="O1542" i="1"/>
  <c r="P1542" i="1"/>
  <c r="Q1542" i="1"/>
  <c r="R1542" i="1"/>
  <c r="S1542" i="1"/>
  <c r="T1542" i="1"/>
  <c r="U1542" i="1"/>
  <c r="V1542" i="1"/>
  <c r="W1542" i="1"/>
  <c r="X1542" i="1"/>
  <c r="Y1542" i="1"/>
  <c r="Z1542" i="1"/>
  <c r="AA1542" i="1"/>
  <c r="AB1542" i="1"/>
  <c r="AC1542" i="1"/>
  <c r="AD1542" i="1"/>
  <c r="AE1542" i="1"/>
  <c r="AF1542" i="1"/>
  <c r="AG1542" i="1"/>
  <c r="AH1542" i="1"/>
  <c r="AI1542" i="1"/>
  <c r="AJ1542" i="1"/>
  <c r="AN1542" i="1"/>
  <c r="AO1542" i="1"/>
  <c r="AP1542" i="1"/>
  <c r="AQ1542" i="1"/>
  <c r="AR1542" i="1"/>
  <c r="AS1542" i="1"/>
  <c r="K1543" i="1"/>
  <c r="L1543" i="1"/>
  <c r="M1543" i="1"/>
  <c r="N1543" i="1"/>
  <c r="O1543" i="1"/>
  <c r="P1543" i="1"/>
  <c r="Q1543" i="1"/>
  <c r="R1543" i="1"/>
  <c r="S1543" i="1"/>
  <c r="T1543" i="1"/>
  <c r="U1543" i="1"/>
  <c r="V1543" i="1"/>
  <c r="W1543" i="1"/>
  <c r="X1543" i="1"/>
  <c r="Y1543" i="1"/>
  <c r="Z1543" i="1"/>
  <c r="AA1543" i="1"/>
  <c r="AB1543" i="1"/>
  <c r="AC1543" i="1"/>
  <c r="AD1543" i="1"/>
  <c r="AE1543" i="1"/>
  <c r="AF1543" i="1"/>
  <c r="AG1543" i="1"/>
  <c r="AH1543" i="1"/>
  <c r="AI1543" i="1"/>
  <c r="AJ1543" i="1"/>
  <c r="AN1543" i="1"/>
  <c r="AO1543" i="1"/>
  <c r="AP1543" i="1"/>
  <c r="AQ1543" i="1"/>
  <c r="AR1543" i="1"/>
  <c r="AS1543" i="1"/>
  <c r="K1544" i="1"/>
  <c r="L1544" i="1"/>
  <c r="M1544" i="1"/>
  <c r="N1544" i="1"/>
  <c r="O1544" i="1"/>
  <c r="P1544" i="1"/>
  <c r="Q1544" i="1"/>
  <c r="R1544" i="1"/>
  <c r="S1544" i="1"/>
  <c r="T1544" i="1"/>
  <c r="U1544" i="1"/>
  <c r="V1544" i="1"/>
  <c r="W1544" i="1"/>
  <c r="X1544" i="1"/>
  <c r="Y1544" i="1"/>
  <c r="Z1544" i="1"/>
  <c r="AA1544" i="1"/>
  <c r="AB1544" i="1"/>
  <c r="AC1544" i="1"/>
  <c r="AD1544" i="1"/>
  <c r="AE1544" i="1"/>
  <c r="AF1544" i="1"/>
  <c r="AG1544" i="1"/>
  <c r="AH1544" i="1"/>
  <c r="AI1544" i="1"/>
  <c r="AJ1544" i="1"/>
  <c r="AN1544" i="1"/>
  <c r="AO1544" i="1"/>
  <c r="AP1544" i="1"/>
  <c r="AQ1544" i="1"/>
  <c r="AR1544" i="1"/>
  <c r="AS1544" i="1"/>
  <c r="K1545" i="1"/>
  <c r="L1545" i="1"/>
  <c r="M1545" i="1"/>
  <c r="N1545" i="1"/>
  <c r="O1545" i="1"/>
  <c r="P1545" i="1"/>
  <c r="Q1545" i="1"/>
  <c r="R1545" i="1"/>
  <c r="S1545" i="1"/>
  <c r="T1545" i="1"/>
  <c r="U1545" i="1"/>
  <c r="V1545" i="1"/>
  <c r="W1545" i="1"/>
  <c r="X1545" i="1"/>
  <c r="Y1545" i="1"/>
  <c r="Z1545" i="1"/>
  <c r="AA1545" i="1"/>
  <c r="AB1545" i="1"/>
  <c r="AC1545" i="1"/>
  <c r="AD1545" i="1"/>
  <c r="AE1545" i="1"/>
  <c r="AF1545" i="1"/>
  <c r="AG1545" i="1"/>
  <c r="AH1545" i="1"/>
  <c r="AI1545" i="1"/>
  <c r="AJ1545" i="1"/>
  <c r="AN1545" i="1"/>
  <c r="AO1545" i="1"/>
  <c r="AP1545" i="1"/>
  <c r="AQ1545" i="1"/>
  <c r="AR1545" i="1"/>
  <c r="AS1545" i="1"/>
  <c r="K1546" i="1"/>
  <c r="L1546" i="1"/>
  <c r="M1546" i="1"/>
  <c r="N1546" i="1"/>
  <c r="O1546" i="1"/>
  <c r="P1546" i="1"/>
  <c r="Q1546" i="1"/>
  <c r="R1546" i="1"/>
  <c r="S1546" i="1"/>
  <c r="T1546" i="1"/>
  <c r="U1546" i="1"/>
  <c r="V1546" i="1"/>
  <c r="W1546" i="1"/>
  <c r="X1546" i="1"/>
  <c r="Y1546" i="1"/>
  <c r="Z1546" i="1"/>
  <c r="AA1546" i="1"/>
  <c r="AB1546" i="1"/>
  <c r="AC1546" i="1"/>
  <c r="AD1546" i="1"/>
  <c r="AE1546" i="1"/>
  <c r="AF1546" i="1"/>
  <c r="AG1546" i="1"/>
  <c r="AH1546" i="1"/>
  <c r="AI1546" i="1"/>
  <c r="AJ1546" i="1"/>
  <c r="AN1546" i="1"/>
  <c r="AO1546" i="1"/>
  <c r="AP1546" i="1"/>
  <c r="AQ1546" i="1"/>
  <c r="AR1546" i="1"/>
  <c r="AS1546" i="1"/>
  <c r="K1547" i="1"/>
  <c r="L1547" i="1"/>
  <c r="M1547" i="1"/>
  <c r="N1547" i="1"/>
  <c r="O1547" i="1"/>
  <c r="P1547" i="1"/>
  <c r="Q1547" i="1"/>
  <c r="R1547" i="1"/>
  <c r="S1547" i="1"/>
  <c r="T1547" i="1"/>
  <c r="U1547" i="1"/>
  <c r="V1547" i="1"/>
  <c r="W1547" i="1"/>
  <c r="X1547" i="1"/>
  <c r="Y1547" i="1"/>
  <c r="Z1547" i="1"/>
  <c r="AA1547" i="1"/>
  <c r="AB1547" i="1"/>
  <c r="AC1547" i="1"/>
  <c r="AD1547" i="1"/>
  <c r="AE1547" i="1"/>
  <c r="AF1547" i="1"/>
  <c r="AG1547" i="1"/>
  <c r="AH1547" i="1"/>
  <c r="AI1547" i="1"/>
  <c r="AJ1547" i="1"/>
  <c r="AN1547" i="1"/>
  <c r="AO1547" i="1"/>
  <c r="AP1547" i="1"/>
  <c r="AQ1547" i="1"/>
  <c r="AR1547" i="1"/>
  <c r="AS1547" i="1"/>
  <c r="K1548" i="1"/>
  <c r="L1548" i="1"/>
  <c r="M1548" i="1"/>
  <c r="N1548" i="1"/>
  <c r="O1548" i="1"/>
  <c r="P1548" i="1"/>
  <c r="Q1548" i="1"/>
  <c r="R1548" i="1"/>
  <c r="S1548" i="1"/>
  <c r="T1548" i="1"/>
  <c r="U1548" i="1"/>
  <c r="V1548" i="1"/>
  <c r="W1548" i="1"/>
  <c r="X1548" i="1"/>
  <c r="Y1548" i="1"/>
  <c r="Z1548" i="1"/>
  <c r="AA1548" i="1"/>
  <c r="AB1548" i="1"/>
  <c r="AC1548" i="1"/>
  <c r="AD1548" i="1"/>
  <c r="AE1548" i="1"/>
  <c r="AF1548" i="1"/>
  <c r="AG1548" i="1"/>
  <c r="AH1548" i="1"/>
  <c r="AI1548" i="1"/>
  <c r="AJ1548" i="1"/>
  <c r="AN1548" i="1"/>
  <c r="AO1548" i="1"/>
  <c r="AP1548" i="1"/>
  <c r="AQ1548" i="1"/>
  <c r="AR1548" i="1"/>
  <c r="AS1548" i="1"/>
  <c r="K1549" i="1"/>
  <c r="L1549" i="1"/>
  <c r="M1549" i="1"/>
  <c r="N1549" i="1"/>
  <c r="O1549" i="1"/>
  <c r="P1549" i="1"/>
  <c r="Q1549" i="1"/>
  <c r="R1549" i="1"/>
  <c r="S1549" i="1"/>
  <c r="T1549" i="1"/>
  <c r="U1549" i="1"/>
  <c r="V1549" i="1"/>
  <c r="W1549" i="1"/>
  <c r="X1549" i="1"/>
  <c r="Y1549" i="1"/>
  <c r="Z1549" i="1"/>
  <c r="AA1549" i="1"/>
  <c r="AB1549" i="1"/>
  <c r="AC1549" i="1"/>
  <c r="AD1549" i="1"/>
  <c r="AE1549" i="1"/>
  <c r="AF1549" i="1"/>
  <c r="AG1549" i="1"/>
  <c r="AH1549" i="1"/>
  <c r="AI1549" i="1"/>
  <c r="AJ1549" i="1"/>
  <c r="AN1549" i="1"/>
  <c r="AO1549" i="1"/>
  <c r="AP1549" i="1"/>
  <c r="AQ1549" i="1"/>
  <c r="AR1549" i="1"/>
  <c r="AS1549" i="1"/>
  <c r="K1550" i="1"/>
  <c r="L1550" i="1"/>
  <c r="M1550" i="1"/>
  <c r="N1550" i="1"/>
  <c r="O1550" i="1"/>
  <c r="P1550" i="1"/>
  <c r="Q1550" i="1"/>
  <c r="R1550" i="1"/>
  <c r="S1550" i="1"/>
  <c r="T1550" i="1"/>
  <c r="U1550" i="1"/>
  <c r="V1550" i="1"/>
  <c r="W1550" i="1"/>
  <c r="X1550" i="1"/>
  <c r="Y1550" i="1"/>
  <c r="Z1550" i="1"/>
  <c r="AA1550" i="1"/>
  <c r="AB1550" i="1"/>
  <c r="AC1550" i="1"/>
  <c r="AD1550" i="1"/>
  <c r="AE1550" i="1"/>
  <c r="AF1550" i="1"/>
  <c r="AG1550" i="1"/>
  <c r="AH1550" i="1"/>
  <c r="AI1550" i="1"/>
  <c r="AJ1550" i="1"/>
  <c r="AN1550" i="1"/>
  <c r="AO1550" i="1"/>
  <c r="AP1550" i="1"/>
  <c r="AQ1550" i="1"/>
  <c r="AR1550" i="1"/>
  <c r="AS1550" i="1"/>
  <c r="K1551" i="1"/>
  <c r="L1551" i="1"/>
  <c r="M1551" i="1"/>
  <c r="N1551" i="1"/>
  <c r="O1551" i="1"/>
  <c r="P1551" i="1"/>
  <c r="Q1551" i="1"/>
  <c r="R1551" i="1"/>
  <c r="S1551" i="1"/>
  <c r="T1551" i="1"/>
  <c r="U1551" i="1"/>
  <c r="V1551" i="1"/>
  <c r="W1551" i="1"/>
  <c r="X1551" i="1"/>
  <c r="Y1551" i="1"/>
  <c r="Z1551" i="1"/>
  <c r="AA1551" i="1"/>
  <c r="AB1551" i="1"/>
  <c r="AC1551" i="1"/>
  <c r="AD1551" i="1"/>
  <c r="AE1551" i="1"/>
  <c r="AF1551" i="1"/>
  <c r="AG1551" i="1"/>
  <c r="AH1551" i="1"/>
  <c r="AI1551" i="1"/>
  <c r="AJ1551" i="1"/>
  <c r="AN1551" i="1"/>
  <c r="AO1551" i="1"/>
  <c r="AP1551" i="1"/>
  <c r="AQ1551" i="1"/>
  <c r="AR1551" i="1"/>
  <c r="AS1551" i="1"/>
  <c r="K1552" i="1"/>
  <c r="L1552" i="1"/>
  <c r="M1552" i="1"/>
  <c r="N1552" i="1"/>
  <c r="O1552" i="1"/>
  <c r="P1552" i="1"/>
  <c r="Q1552" i="1"/>
  <c r="R1552" i="1"/>
  <c r="S1552" i="1"/>
  <c r="T1552" i="1"/>
  <c r="U1552" i="1"/>
  <c r="V1552" i="1"/>
  <c r="W1552" i="1"/>
  <c r="X1552" i="1"/>
  <c r="Y1552" i="1"/>
  <c r="Z1552" i="1"/>
  <c r="AA1552" i="1"/>
  <c r="AB1552" i="1"/>
  <c r="AC1552" i="1"/>
  <c r="AD1552" i="1"/>
  <c r="AE1552" i="1"/>
  <c r="AF1552" i="1"/>
  <c r="AG1552" i="1"/>
  <c r="AH1552" i="1"/>
  <c r="AI1552" i="1"/>
  <c r="AJ1552" i="1"/>
  <c r="AN1552" i="1"/>
  <c r="AO1552" i="1"/>
  <c r="AP1552" i="1"/>
  <c r="AQ1552" i="1"/>
  <c r="AR1552" i="1"/>
  <c r="AS1552" i="1"/>
  <c r="K1553" i="1"/>
  <c r="L1553" i="1"/>
  <c r="M1553" i="1"/>
  <c r="N1553" i="1"/>
  <c r="O1553" i="1"/>
  <c r="P1553" i="1"/>
  <c r="Q1553" i="1"/>
  <c r="R1553" i="1"/>
  <c r="S1553" i="1"/>
  <c r="T1553" i="1"/>
  <c r="U1553" i="1"/>
  <c r="V1553" i="1"/>
  <c r="W1553" i="1"/>
  <c r="X1553" i="1"/>
  <c r="Y1553" i="1"/>
  <c r="Z1553" i="1"/>
  <c r="AA1553" i="1"/>
  <c r="AB1553" i="1"/>
  <c r="AC1553" i="1"/>
  <c r="AD1553" i="1"/>
  <c r="AE1553" i="1"/>
  <c r="AF1553" i="1"/>
  <c r="AG1553" i="1"/>
  <c r="AH1553" i="1"/>
  <c r="AI1553" i="1"/>
  <c r="AJ1553" i="1"/>
  <c r="AN1553" i="1"/>
  <c r="AO1553" i="1"/>
  <c r="AP1553" i="1"/>
  <c r="AQ1553" i="1"/>
  <c r="AR1553" i="1"/>
  <c r="AS1553" i="1"/>
  <c r="K1554" i="1"/>
  <c r="L1554" i="1"/>
  <c r="M1554" i="1"/>
  <c r="N1554" i="1"/>
  <c r="O1554" i="1"/>
  <c r="P1554" i="1"/>
  <c r="Q1554" i="1"/>
  <c r="R1554" i="1"/>
  <c r="S1554" i="1"/>
  <c r="T1554" i="1"/>
  <c r="U1554" i="1"/>
  <c r="V1554" i="1"/>
  <c r="W1554" i="1"/>
  <c r="X1554" i="1"/>
  <c r="Y1554" i="1"/>
  <c r="Z1554" i="1"/>
  <c r="AA1554" i="1"/>
  <c r="AB1554" i="1"/>
  <c r="AC1554" i="1"/>
  <c r="AD1554" i="1"/>
  <c r="AE1554" i="1"/>
  <c r="AF1554" i="1"/>
  <c r="AG1554" i="1"/>
  <c r="AH1554" i="1"/>
  <c r="AI1554" i="1"/>
  <c r="AJ1554" i="1"/>
  <c r="AN1554" i="1"/>
  <c r="AO1554" i="1"/>
  <c r="AP1554" i="1"/>
  <c r="AQ1554" i="1"/>
  <c r="AR1554" i="1"/>
  <c r="AS1554" i="1"/>
  <c r="K1555" i="1"/>
  <c r="L1555" i="1"/>
  <c r="M1555" i="1"/>
  <c r="N1555" i="1"/>
  <c r="O1555" i="1"/>
  <c r="P1555" i="1"/>
  <c r="Q1555" i="1"/>
  <c r="R1555" i="1"/>
  <c r="S1555" i="1"/>
  <c r="T1555" i="1"/>
  <c r="U1555" i="1"/>
  <c r="V1555" i="1"/>
  <c r="W1555" i="1"/>
  <c r="X1555" i="1"/>
  <c r="Y1555" i="1"/>
  <c r="Z1555" i="1"/>
  <c r="AA1555" i="1"/>
  <c r="AB1555" i="1"/>
  <c r="AC1555" i="1"/>
  <c r="AD1555" i="1"/>
  <c r="AE1555" i="1"/>
  <c r="AF1555" i="1"/>
  <c r="AG1555" i="1"/>
  <c r="AH1555" i="1"/>
  <c r="AI1555" i="1"/>
  <c r="AJ1555" i="1"/>
  <c r="AN1555" i="1"/>
  <c r="AO1555" i="1"/>
  <c r="AP1555" i="1"/>
  <c r="AQ1555" i="1"/>
  <c r="AR1555" i="1"/>
  <c r="AS1555" i="1"/>
  <c r="K1556" i="1"/>
  <c r="L1556" i="1"/>
  <c r="M1556" i="1"/>
  <c r="N1556" i="1"/>
  <c r="O1556" i="1"/>
  <c r="P1556" i="1"/>
  <c r="Q1556" i="1"/>
  <c r="R1556" i="1"/>
  <c r="S1556" i="1"/>
  <c r="T1556" i="1"/>
  <c r="U1556" i="1"/>
  <c r="V1556" i="1"/>
  <c r="W1556" i="1"/>
  <c r="X1556" i="1"/>
  <c r="Y1556" i="1"/>
  <c r="Z1556" i="1"/>
  <c r="AA1556" i="1"/>
  <c r="AB1556" i="1"/>
  <c r="AC1556" i="1"/>
  <c r="AD1556" i="1"/>
  <c r="AE1556" i="1"/>
  <c r="AF1556" i="1"/>
  <c r="AG1556" i="1"/>
  <c r="AH1556" i="1"/>
  <c r="AI1556" i="1"/>
  <c r="AJ1556" i="1"/>
  <c r="AN1556" i="1"/>
  <c r="AO1556" i="1"/>
  <c r="AP1556" i="1"/>
  <c r="AQ1556" i="1"/>
  <c r="AR1556" i="1"/>
  <c r="AS1556" i="1"/>
  <c r="K1557" i="1"/>
  <c r="L1557" i="1"/>
  <c r="M1557" i="1"/>
  <c r="N1557" i="1"/>
  <c r="O1557" i="1"/>
  <c r="P1557" i="1"/>
  <c r="Q1557" i="1"/>
  <c r="R1557" i="1"/>
  <c r="S1557" i="1"/>
  <c r="T1557" i="1"/>
  <c r="U1557" i="1"/>
  <c r="V1557" i="1"/>
  <c r="W1557" i="1"/>
  <c r="X1557" i="1"/>
  <c r="Y1557" i="1"/>
  <c r="Z1557" i="1"/>
  <c r="AA1557" i="1"/>
  <c r="AB1557" i="1"/>
  <c r="AC1557" i="1"/>
  <c r="AD1557" i="1"/>
  <c r="AE1557" i="1"/>
  <c r="AH1557" i="1"/>
  <c r="AI1557" i="1"/>
  <c r="AJ1557" i="1"/>
  <c r="AN1557" i="1"/>
  <c r="AO1557" i="1"/>
  <c r="AP1557" i="1"/>
  <c r="AQ1557" i="1"/>
  <c r="AR1557" i="1"/>
  <c r="AS1557" i="1"/>
  <c r="W1563" i="1"/>
  <c r="X1563" i="1"/>
  <c r="Y1563" i="1"/>
  <c r="Z1563" i="1"/>
  <c r="AA1563" i="1"/>
  <c r="AB1563" i="1"/>
  <c r="AC1563" i="1"/>
  <c r="AD1563" i="1"/>
  <c r="AE1563" i="1"/>
  <c r="AF1563" i="1"/>
  <c r="AG1563" i="1"/>
  <c r="AH1563" i="1"/>
  <c r="AI1563" i="1"/>
  <c r="AJ1563" i="1"/>
  <c r="AQ1563" i="1"/>
  <c r="AR1563" i="1"/>
  <c r="AS1563" i="1"/>
  <c r="L1564" i="1"/>
  <c r="M1564" i="1"/>
  <c r="N1564" i="1"/>
  <c r="O1564" i="1"/>
  <c r="P1564" i="1"/>
  <c r="Q1564" i="1"/>
  <c r="R1564" i="1"/>
  <c r="S1564" i="1"/>
  <c r="T1564" i="1"/>
  <c r="U1564" i="1"/>
  <c r="V1564" i="1"/>
  <c r="W1564" i="1"/>
  <c r="X1564" i="1"/>
  <c r="Y1564" i="1"/>
  <c r="Z1564" i="1"/>
  <c r="AA1564" i="1"/>
  <c r="AB1564" i="1"/>
  <c r="AC1564" i="1"/>
  <c r="AD1564" i="1"/>
  <c r="AE1564" i="1"/>
  <c r="AF1564" i="1"/>
  <c r="AG1564" i="1"/>
  <c r="AH1564" i="1"/>
  <c r="AI1564" i="1"/>
  <c r="AJ1564" i="1"/>
  <c r="AQ1564" i="1"/>
  <c r="AR1564" i="1"/>
  <c r="AS1564" i="1"/>
  <c r="K1565" i="1"/>
  <c r="L1565" i="1"/>
  <c r="M1565" i="1"/>
  <c r="N1565" i="1"/>
  <c r="O1565" i="1"/>
  <c r="P1565" i="1"/>
  <c r="Q1565" i="1"/>
  <c r="R1565" i="1"/>
  <c r="S1565" i="1"/>
  <c r="T1565" i="1"/>
  <c r="U1565" i="1"/>
  <c r="V1565" i="1"/>
  <c r="W1565" i="1"/>
  <c r="X1565" i="1"/>
  <c r="Y1565" i="1"/>
  <c r="Z1565" i="1"/>
  <c r="AA1565" i="1"/>
  <c r="AB1565" i="1"/>
  <c r="AC1565" i="1"/>
  <c r="AD1565" i="1"/>
  <c r="AE1565" i="1"/>
  <c r="AF1565" i="1"/>
  <c r="AG1565" i="1"/>
  <c r="AH1565" i="1"/>
  <c r="AI1565" i="1"/>
  <c r="AJ1565" i="1"/>
  <c r="AQ1565" i="1"/>
  <c r="AR1565" i="1"/>
  <c r="AS1565" i="1"/>
  <c r="K1566" i="1"/>
  <c r="L1566" i="1"/>
  <c r="M1566" i="1"/>
  <c r="N1566" i="1"/>
  <c r="O1566" i="1"/>
  <c r="P1566" i="1"/>
  <c r="Q1566" i="1"/>
  <c r="R1566" i="1"/>
  <c r="S1566" i="1"/>
  <c r="T1566" i="1"/>
  <c r="U1566" i="1"/>
  <c r="V1566" i="1"/>
  <c r="W1566" i="1"/>
  <c r="X1566" i="1"/>
  <c r="Y1566" i="1"/>
  <c r="Z1566" i="1"/>
  <c r="AA1566" i="1"/>
  <c r="AB1566" i="1"/>
  <c r="AC1566" i="1"/>
  <c r="AD1566" i="1"/>
  <c r="AE1566" i="1"/>
  <c r="AF1566" i="1"/>
  <c r="AG1566" i="1"/>
  <c r="AH1566" i="1"/>
  <c r="AI1566" i="1"/>
  <c r="AJ1566" i="1"/>
  <c r="AQ1566" i="1"/>
  <c r="AR1566" i="1"/>
  <c r="AS1566" i="1"/>
  <c r="K1567" i="1"/>
  <c r="L1567" i="1"/>
  <c r="M1567" i="1"/>
  <c r="N1567" i="1"/>
  <c r="O1567" i="1"/>
  <c r="P1567" i="1"/>
  <c r="Q1567" i="1"/>
  <c r="R1567" i="1"/>
  <c r="S1567" i="1"/>
  <c r="T1567" i="1"/>
  <c r="U1567" i="1"/>
  <c r="V1567" i="1"/>
  <c r="W1567" i="1"/>
  <c r="X1567" i="1"/>
  <c r="Y1567" i="1"/>
  <c r="Z1567" i="1"/>
  <c r="AA1567" i="1"/>
  <c r="AB1567" i="1"/>
  <c r="AC1567" i="1"/>
  <c r="AD1567" i="1"/>
  <c r="AE1567" i="1"/>
  <c r="AF1567" i="1"/>
  <c r="AG1567" i="1"/>
  <c r="AH1567" i="1"/>
  <c r="AI1567" i="1"/>
  <c r="AJ1567" i="1"/>
  <c r="AQ1567" i="1"/>
  <c r="AR1567" i="1"/>
  <c r="AS1567" i="1"/>
  <c r="K1568" i="1"/>
  <c r="L1568" i="1"/>
  <c r="M1568" i="1"/>
  <c r="N1568" i="1"/>
  <c r="O1568" i="1"/>
  <c r="P1568" i="1"/>
  <c r="Q1568" i="1"/>
  <c r="R1568" i="1"/>
  <c r="S1568" i="1"/>
  <c r="T1568" i="1"/>
  <c r="U1568" i="1"/>
  <c r="V1568" i="1"/>
  <c r="W1568" i="1"/>
  <c r="X1568" i="1"/>
  <c r="Y1568" i="1"/>
  <c r="Z1568" i="1"/>
  <c r="AA1568" i="1"/>
  <c r="AB1568" i="1"/>
  <c r="AC1568" i="1"/>
  <c r="AD1568" i="1"/>
  <c r="AE1568" i="1"/>
  <c r="AF1568" i="1"/>
  <c r="AG1568" i="1"/>
  <c r="AH1568" i="1"/>
  <c r="AI1568" i="1"/>
  <c r="AJ1568" i="1"/>
  <c r="AQ1568" i="1"/>
  <c r="AR1568" i="1"/>
  <c r="AS1568" i="1"/>
  <c r="K1569" i="1"/>
  <c r="L1569" i="1"/>
  <c r="M1569" i="1"/>
  <c r="N1569" i="1"/>
  <c r="O1569" i="1"/>
  <c r="P1569" i="1"/>
  <c r="Q1569" i="1"/>
  <c r="R1569" i="1"/>
  <c r="S1569" i="1"/>
  <c r="T1569" i="1"/>
  <c r="U1569" i="1"/>
  <c r="V1569" i="1"/>
  <c r="W1569" i="1"/>
  <c r="X1569" i="1"/>
  <c r="Y1569" i="1"/>
  <c r="Z1569" i="1"/>
  <c r="AA1569" i="1"/>
  <c r="AB1569" i="1"/>
  <c r="AC1569" i="1"/>
  <c r="AD1569" i="1"/>
  <c r="AE1569" i="1"/>
  <c r="AF1569" i="1"/>
  <c r="AG1569" i="1"/>
  <c r="AH1569" i="1"/>
  <c r="AI1569" i="1"/>
  <c r="AJ1569" i="1"/>
  <c r="AQ1569" i="1"/>
  <c r="AR1569" i="1"/>
  <c r="AS1569" i="1"/>
  <c r="K1570" i="1"/>
  <c r="L1570" i="1"/>
  <c r="M1570" i="1"/>
  <c r="N1570" i="1"/>
  <c r="O1570" i="1"/>
  <c r="P1570" i="1"/>
  <c r="Q1570" i="1"/>
  <c r="R1570" i="1"/>
  <c r="S1570" i="1"/>
  <c r="T1570" i="1"/>
  <c r="U1570" i="1"/>
  <c r="V1570" i="1"/>
  <c r="W1570" i="1"/>
  <c r="X1570" i="1"/>
  <c r="Y1570" i="1"/>
  <c r="Z1570" i="1"/>
  <c r="AA1570" i="1"/>
  <c r="AB1570" i="1"/>
  <c r="AC1570" i="1"/>
  <c r="AD1570" i="1"/>
  <c r="AE1570" i="1"/>
  <c r="AF1570" i="1"/>
  <c r="AG1570" i="1"/>
  <c r="AH1570" i="1"/>
  <c r="AI1570" i="1"/>
  <c r="AJ1570" i="1"/>
  <c r="AQ1570" i="1"/>
  <c r="AR1570" i="1"/>
  <c r="AS1570" i="1"/>
  <c r="K1571" i="1"/>
  <c r="L1571" i="1"/>
  <c r="M1571" i="1"/>
  <c r="N1571" i="1"/>
  <c r="O1571" i="1"/>
  <c r="P1571" i="1"/>
  <c r="Q1571" i="1"/>
  <c r="R1571" i="1"/>
  <c r="S1571" i="1"/>
  <c r="T1571" i="1"/>
  <c r="U1571" i="1"/>
  <c r="V1571" i="1"/>
  <c r="W1571" i="1"/>
  <c r="X1571" i="1"/>
  <c r="Y1571" i="1"/>
  <c r="Z1571" i="1"/>
  <c r="AA1571" i="1"/>
  <c r="AB1571" i="1"/>
  <c r="AC1571" i="1"/>
  <c r="AD1571" i="1"/>
  <c r="AE1571" i="1"/>
  <c r="AF1571" i="1"/>
  <c r="AG1571" i="1"/>
  <c r="AH1571" i="1"/>
  <c r="AI1571" i="1"/>
  <c r="AJ1571" i="1"/>
  <c r="AQ1571" i="1"/>
  <c r="AR1571" i="1"/>
  <c r="AS1571" i="1"/>
  <c r="K1572" i="1"/>
  <c r="L1572" i="1"/>
  <c r="M1572" i="1"/>
  <c r="N1572" i="1"/>
  <c r="O1572" i="1"/>
  <c r="P1572" i="1"/>
  <c r="Q1572" i="1"/>
  <c r="R1572" i="1"/>
  <c r="S1572" i="1"/>
  <c r="T1572" i="1"/>
  <c r="U1572" i="1"/>
  <c r="V1572" i="1"/>
  <c r="W1572" i="1"/>
  <c r="X1572" i="1"/>
  <c r="Y1572" i="1"/>
  <c r="Z1572" i="1"/>
  <c r="AA1572" i="1"/>
  <c r="AB1572" i="1"/>
  <c r="AC1572" i="1"/>
  <c r="AD1572" i="1"/>
  <c r="AE1572" i="1"/>
  <c r="AF1572" i="1"/>
  <c r="AG1572" i="1"/>
  <c r="AH1572" i="1"/>
  <c r="AI1572" i="1"/>
  <c r="AJ1572" i="1"/>
  <c r="AQ1572" i="1"/>
  <c r="AR1572" i="1"/>
  <c r="AS1572" i="1"/>
  <c r="K1573" i="1"/>
  <c r="L1573" i="1"/>
  <c r="M1573" i="1"/>
  <c r="N1573" i="1"/>
  <c r="O1573" i="1"/>
  <c r="P1573" i="1"/>
  <c r="Q1573" i="1"/>
  <c r="R1573" i="1"/>
  <c r="S1573" i="1"/>
  <c r="T1573" i="1"/>
  <c r="U1573" i="1"/>
  <c r="V1573" i="1"/>
  <c r="W1573" i="1"/>
  <c r="X1573" i="1"/>
  <c r="Y1573" i="1"/>
  <c r="Z1573" i="1"/>
  <c r="AA1573" i="1"/>
  <c r="AB1573" i="1"/>
  <c r="AC1573" i="1"/>
  <c r="AD1573" i="1"/>
  <c r="AE1573" i="1"/>
  <c r="AF1573" i="1"/>
  <c r="AG1573" i="1"/>
  <c r="AH1573" i="1"/>
  <c r="AI1573" i="1"/>
  <c r="AJ1573" i="1"/>
  <c r="AQ1573" i="1"/>
  <c r="AR1573" i="1"/>
  <c r="AS1573" i="1"/>
  <c r="K1574" i="1"/>
  <c r="L1574" i="1"/>
  <c r="M1574" i="1"/>
  <c r="N1574" i="1"/>
  <c r="O1574" i="1"/>
  <c r="P1574" i="1"/>
  <c r="Q1574" i="1"/>
  <c r="R1574" i="1"/>
  <c r="S1574" i="1"/>
  <c r="T1574" i="1"/>
  <c r="U1574" i="1"/>
  <c r="V1574" i="1"/>
  <c r="W1574" i="1"/>
  <c r="X1574" i="1"/>
  <c r="Y1574" i="1"/>
  <c r="Z1574" i="1"/>
  <c r="AA1574" i="1"/>
  <c r="AB1574" i="1"/>
  <c r="AC1574" i="1"/>
  <c r="AD1574" i="1"/>
  <c r="AE1574" i="1"/>
  <c r="AF1574" i="1"/>
  <c r="AG1574" i="1"/>
  <c r="AH1574" i="1"/>
  <c r="AI1574" i="1"/>
  <c r="AJ1574" i="1"/>
  <c r="AQ1574" i="1"/>
  <c r="AR1574" i="1"/>
  <c r="AS1574" i="1"/>
  <c r="K1575" i="1"/>
  <c r="L1575" i="1"/>
  <c r="M1575" i="1"/>
  <c r="N1575" i="1"/>
  <c r="O1575" i="1"/>
  <c r="P1575" i="1"/>
  <c r="Q1575" i="1"/>
  <c r="R1575" i="1"/>
  <c r="S1575" i="1"/>
  <c r="T1575" i="1"/>
  <c r="U1575" i="1"/>
  <c r="V1575" i="1"/>
  <c r="W1575" i="1"/>
  <c r="X1575" i="1"/>
  <c r="Y1575" i="1"/>
  <c r="Z1575" i="1"/>
  <c r="AA1575" i="1"/>
  <c r="AB1575" i="1"/>
  <c r="AC1575" i="1"/>
  <c r="AD1575" i="1"/>
  <c r="AE1575" i="1"/>
  <c r="AF1575" i="1"/>
  <c r="AG1575" i="1"/>
  <c r="AH1575" i="1"/>
  <c r="AI1575" i="1"/>
  <c r="AJ1575" i="1"/>
  <c r="AQ1575" i="1"/>
  <c r="AR1575" i="1"/>
  <c r="AS1575" i="1"/>
  <c r="K1576" i="1"/>
  <c r="L1576" i="1"/>
  <c r="M1576" i="1"/>
  <c r="N1576" i="1"/>
  <c r="O1576" i="1"/>
  <c r="P1576" i="1"/>
  <c r="Q1576" i="1"/>
  <c r="R1576" i="1"/>
  <c r="S1576" i="1"/>
  <c r="T1576" i="1"/>
  <c r="U1576" i="1"/>
  <c r="V1576" i="1"/>
  <c r="W1576" i="1"/>
  <c r="X1576" i="1"/>
  <c r="Y1576" i="1"/>
  <c r="Z1576" i="1"/>
  <c r="AA1576" i="1"/>
  <c r="AB1576" i="1"/>
  <c r="AC1576" i="1"/>
  <c r="AD1576" i="1"/>
  <c r="AE1576" i="1"/>
  <c r="AF1576" i="1"/>
  <c r="AG1576" i="1"/>
  <c r="AH1576" i="1"/>
  <c r="AI1576" i="1"/>
  <c r="AJ1576" i="1"/>
  <c r="AQ1576" i="1"/>
  <c r="AR1576" i="1"/>
  <c r="AS1576" i="1"/>
  <c r="K1577" i="1"/>
  <c r="L1577" i="1"/>
  <c r="M1577" i="1"/>
  <c r="N1577" i="1"/>
  <c r="O1577" i="1"/>
  <c r="P1577" i="1"/>
  <c r="Q1577" i="1"/>
  <c r="R1577" i="1"/>
  <c r="S1577" i="1"/>
  <c r="T1577" i="1"/>
  <c r="U1577" i="1"/>
  <c r="V1577" i="1"/>
  <c r="W1577" i="1"/>
  <c r="X1577" i="1"/>
  <c r="Y1577" i="1"/>
  <c r="Z1577" i="1"/>
  <c r="AA1577" i="1"/>
  <c r="AB1577" i="1"/>
  <c r="AC1577" i="1"/>
  <c r="AD1577" i="1"/>
  <c r="AE1577" i="1"/>
  <c r="AF1577" i="1"/>
  <c r="AG1577" i="1"/>
  <c r="AH1577" i="1"/>
  <c r="AI1577" i="1"/>
  <c r="AJ1577" i="1"/>
  <c r="AQ1577" i="1"/>
  <c r="AR1577" i="1"/>
  <c r="AS1577" i="1"/>
  <c r="K1578" i="1"/>
  <c r="L1578" i="1"/>
  <c r="M1578" i="1"/>
  <c r="N1578" i="1"/>
  <c r="O1578" i="1"/>
  <c r="P1578" i="1"/>
  <c r="Q1578" i="1"/>
  <c r="R1578" i="1"/>
  <c r="S1578" i="1"/>
  <c r="T1578" i="1"/>
  <c r="U1578" i="1"/>
  <c r="V1578" i="1"/>
  <c r="W1578" i="1"/>
  <c r="X1578" i="1"/>
  <c r="Y1578" i="1"/>
  <c r="Z1578" i="1"/>
  <c r="AA1578" i="1"/>
  <c r="AB1578" i="1"/>
  <c r="AC1578" i="1"/>
  <c r="AD1578" i="1"/>
  <c r="AE1578" i="1"/>
  <c r="AF1578" i="1"/>
  <c r="AG1578" i="1"/>
  <c r="AH1578" i="1"/>
  <c r="AI1578" i="1"/>
  <c r="AJ1578" i="1"/>
  <c r="AQ1578" i="1"/>
  <c r="AR1578" i="1"/>
  <c r="AS1578" i="1"/>
  <c r="K1579" i="1"/>
  <c r="L1579" i="1"/>
  <c r="M1579" i="1"/>
  <c r="N1579" i="1"/>
  <c r="O1579" i="1"/>
  <c r="P1579" i="1"/>
  <c r="Q1579" i="1"/>
  <c r="R1579" i="1"/>
  <c r="S1579" i="1"/>
  <c r="T1579" i="1"/>
  <c r="U1579" i="1"/>
  <c r="V1579" i="1"/>
  <c r="W1579" i="1"/>
  <c r="X1579" i="1"/>
  <c r="Y1579" i="1"/>
  <c r="Z1579" i="1"/>
  <c r="AA1579" i="1"/>
  <c r="AB1579" i="1"/>
  <c r="AC1579" i="1"/>
  <c r="AD1579" i="1"/>
  <c r="AE1579" i="1"/>
  <c r="AF1579" i="1"/>
  <c r="AG1579" i="1"/>
  <c r="AH1579" i="1"/>
  <c r="AI1579" i="1"/>
  <c r="AJ1579" i="1"/>
  <c r="AQ1579" i="1"/>
  <c r="AR1579" i="1"/>
  <c r="AS1579" i="1"/>
  <c r="K1580" i="1"/>
  <c r="L1580" i="1"/>
  <c r="M1580" i="1"/>
  <c r="N1580" i="1"/>
  <c r="O1580" i="1"/>
  <c r="P1580" i="1"/>
  <c r="Q1580" i="1"/>
  <c r="R1580" i="1"/>
  <c r="S1580" i="1"/>
  <c r="T1580" i="1"/>
  <c r="U1580" i="1"/>
  <c r="V1580" i="1"/>
  <c r="W1580" i="1"/>
  <c r="X1580" i="1"/>
  <c r="Y1580" i="1"/>
  <c r="Z1580" i="1"/>
  <c r="AA1580" i="1"/>
  <c r="AB1580" i="1"/>
  <c r="AC1580" i="1"/>
  <c r="AD1580" i="1"/>
  <c r="AE1580" i="1"/>
  <c r="AF1580" i="1"/>
  <c r="AG1580" i="1"/>
  <c r="AH1580" i="1"/>
  <c r="AI1580" i="1"/>
  <c r="AJ1580" i="1"/>
  <c r="AQ1580" i="1"/>
  <c r="AR1580" i="1"/>
  <c r="AS1580" i="1"/>
  <c r="K1581" i="1"/>
  <c r="L1581" i="1"/>
  <c r="M1581" i="1"/>
  <c r="N1581" i="1"/>
  <c r="O1581" i="1"/>
  <c r="P1581" i="1"/>
  <c r="Q1581" i="1"/>
  <c r="R1581" i="1"/>
  <c r="S1581" i="1"/>
  <c r="T1581" i="1"/>
  <c r="U1581" i="1"/>
  <c r="V1581" i="1"/>
  <c r="W1581" i="1"/>
  <c r="X1581" i="1"/>
  <c r="Y1581" i="1"/>
  <c r="Z1581" i="1"/>
  <c r="AA1581" i="1"/>
  <c r="AB1581" i="1"/>
  <c r="AC1581" i="1"/>
  <c r="AD1581" i="1"/>
  <c r="AE1581" i="1"/>
  <c r="AF1581" i="1"/>
  <c r="AG1581" i="1"/>
  <c r="AH1581" i="1"/>
  <c r="AI1581" i="1"/>
  <c r="AJ1581" i="1"/>
  <c r="AQ1581" i="1"/>
  <c r="AR1581" i="1"/>
  <c r="AS1581" i="1"/>
  <c r="K1582" i="1"/>
  <c r="L1582" i="1"/>
  <c r="M1582" i="1"/>
  <c r="N1582" i="1"/>
  <c r="O1582" i="1"/>
  <c r="P1582" i="1"/>
  <c r="Q1582" i="1"/>
  <c r="R1582" i="1"/>
  <c r="S1582" i="1"/>
  <c r="T1582" i="1"/>
  <c r="U1582" i="1"/>
  <c r="V1582" i="1"/>
  <c r="W1582" i="1"/>
  <c r="X1582" i="1"/>
  <c r="Y1582" i="1"/>
  <c r="Z1582" i="1"/>
  <c r="AA1582" i="1"/>
  <c r="AB1582" i="1"/>
  <c r="AC1582" i="1"/>
  <c r="AD1582" i="1"/>
  <c r="AE1582" i="1"/>
  <c r="AF1582" i="1"/>
  <c r="AG1582" i="1"/>
  <c r="AH1582" i="1"/>
  <c r="AI1582" i="1"/>
  <c r="AJ1582" i="1"/>
  <c r="AQ1582" i="1"/>
  <c r="AR1582" i="1"/>
  <c r="AS1582" i="1"/>
  <c r="K1583" i="1"/>
  <c r="L1583" i="1"/>
  <c r="M1583" i="1"/>
  <c r="N1583" i="1"/>
  <c r="O1583" i="1"/>
  <c r="P1583" i="1"/>
  <c r="Q1583" i="1"/>
  <c r="R1583" i="1"/>
  <c r="S1583" i="1"/>
  <c r="T1583" i="1"/>
  <c r="U1583" i="1"/>
  <c r="V1583" i="1"/>
  <c r="W1583" i="1"/>
  <c r="X1583" i="1"/>
  <c r="Y1583" i="1"/>
  <c r="Z1583" i="1"/>
  <c r="AA1583" i="1"/>
  <c r="AB1583" i="1"/>
  <c r="AC1583" i="1"/>
  <c r="AD1583" i="1"/>
  <c r="AE1583" i="1"/>
  <c r="AF1583" i="1"/>
  <c r="AG1583" i="1"/>
  <c r="AH1583" i="1"/>
  <c r="AI1583" i="1"/>
  <c r="AJ1583" i="1"/>
  <c r="AQ1583" i="1"/>
  <c r="AR1583" i="1"/>
  <c r="AS1583" i="1"/>
  <c r="K1584" i="1"/>
  <c r="L1584" i="1"/>
  <c r="M1584" i="1"/>
  <c r="N1584" i="1"/>
  <c r="O1584" i="1"/>
  <c r="P1584" i="1"/>
  <c r="Q1584" i="1"/>
  <c r="R1584" i="1"/>
  <c r="S1584" i="1"/>
  <c r="T1584" i="1"/>
  <c r="U1584" i="1"/>
  <c r="V1584" i="1"/>
  <c r="W1584" i="1"/>
  <c r="X1584" i="1"/>
  <c r="Y1584" i="1"/>
  <c r="Z1584" i="1"/>
  <c r="AA1584" i="1"/>
  <c r="AB1584" i="1"/>
  <c r="AC1584" i="1"/>
  <c r="AD1584" i="1"/>
  <c r="AE1584" i="1"/>
  <c r="AF1584" i="1"/>
  <c r="AG1584" i="1"/>
  <c r="AH1584" i="1"/>
  <c r="AI1584" i="1"/>
  <c r="AJ1584" i="1"/>
  <c r="AQ1584" i="1"/>
  <c r="AR1584" i="1"/>
  <c r="AS1584" i="1"/>
  <c r="K1585" i="1"/>
  <c r="L1585" i="1"/>
  <c r="M1585" i="1"/>
  <c r="N1585" i="1"/>
  <c r="O1585" i="1"/>
  <c r="P1585" i="1"/>
  <c r="Q1585" i="1"/>
  <c r="R1585" i="1"/>
  <c r="S1585" i="1"/>
  <c r="T1585" i="1"/>
  <c r="U1585" i="1"/>
  <c r="V1585" i="1"/>
  <c r="W1585" i="1"/>
  <c r="X1585" i="1"/>
  <c r="Y1585" i="1"/>
  <c r="Z1585" i="1"/>
  <c r="AA1585" i="1"/>
  <c r="AB1585" i="1"/>
  <c r="AC1585" i="1"/>
  <c r="AD1585" i="1"/>
  <c r="AE1585" i="1"/>
  <c r="AF1585" i="1"/>
  <c r="AG1585" i="1"/>
  <c r="AH1585" i="1"/>
  <c r="AI1585" i="1"/>
  <c r="AJ1585" i="1"/>
  <c r="AQ1585" i="1"/>
  <c r="AR1585" i="1"/>
  <c r="AS1585" i="1"/>
  <c r="K1586" i="1"/>
  <c r="L1586" i="1"/>
  <c r="M1586" i="1"/>
  <c r="N1586" i="1"/>
  <c r="O1586" i="1"/>
  <c r="P1586" i="1"/>
  <c r="Q1586" i="1"/>
  <c r="R1586" i="1"/>
  <c r="S1586" i="1"/>
  <c r="T1586" i="1"/>
  <c r="U1586" i="1"/>
  <c r="V1586" i="1"/>
  <c r="W1586" i="1"/>
  <c r="X1586" i="1"/>
  <c r="Y1586" i="1"/>
  <c r="Z1586" i="1"/>
  <c r="AA1586" i="1"/>
  <c r="AB1586" i="1"/>
  <c r="AC1586" i="1"/>
  <c r="AD1586" i="1"/>
  <c r="AE1586" i="1"/>
  <c r="AF1586" i="1"/>
  <c r="AG1586" i="1"/>
  <c r="AH1586" i="1"/>
  <c r="AI1586" i="1"/>
  <c r="AJ1586" i="1"/>
  <c r="AQ1586" i="1"/>
  <c r="AR1586" i="1"/>
  <c r="AS1586" i="1"/>
  <c r="K1587" i="1"/>
  <c r="L1587" i="1"/>
  <c r="M1587" i="1"/>
  <c r="N1587" i="1"/>
  <c r="O1587" i="1"/>
  <c r="P1587" i="1"/>
  <c r="Q1587" i="1"/>
  <c r="R1587" i="1"/>
  <c r="S1587" i="1"/>
  <c r="T1587" i="1"/>
  <c r="U1587" i="1"/>
  <c r="V1587" i="1"/>
  <c r="W1587" i="1"/>
  <c r="X1587" i="1"/>
  <c r="Y1587" i="1"/>
  <c r="Z1587" i="1"/>
  <c r="AA1587" i="1"/>
  <c r="AB1587" i="1"/>
  <c r="AC1587" i="1"/>
  <c r="AD1587" i="1"/>
  <c r="AE1587" i="1"/>
  <c r="AF1587" i="1"/>
  <c r="AG1587" i="1"/>
  <c r="AH1587" i="1"/>
  <c r="AI1587" i="1"/>
  <c r="AJ1587" i="1"/>
  <c r="AQ1587" i="1"/>
  <c r="AR1587" i="1"/>
  <c r="AS1587" i="1"/>
  <c r="K1588" i="1"/>
  <c r="L1588" i="1"/>
  <c r="M1588" i="1"/>
  <c r="N1588" i="1"/>
  <c r="O1588" i="1"/>
  <c r="P1588" i="1"/>
  <c r="Q1588" i="1"/>
  <c r="R1588" i="1"/>
  <c r="S1588" i="1"/>
  <c r="T1588" i="1"/>
  <c r="U1588" i="1"/>
  <c r="V1588" i="1"/>
  <c r="W1588" i="1"/>
  <c r="X1588" i="1"/>
  <c r="Y1588" i="1"/>
  <c r="Z1588" i="1"/>
  <c r="AA1588" i="1"/>
  <c r="AB1588" i="1"/>
  <c r="AC1588" i="1"/>
  <c r="AD1588" i="1"/>
  <c r="AE1588" i="1"/>
  <c r="AF1588" i="1"/>
  <c r="AG1588" i="1"/>
  <c r="AH1588" i="1"/>
  <c r="AI1588" i="1"/>
  <c r="AJ1588" i="1"/>
  <c r="AQ1588" i="1"/>
  <c r="AR1588" i="1"/>
  <c r="AS1588" i="1"/>
  <c r="K1589" i="1"/>
  <c r="L1589" i="1"/>
  <c r="M1589" i="1"/>
  <c r="N1589" i="1"/>
  <c r="O1589" i="1"/>
  <c r="P1589" i="1"/>
  <c r="Q1589" i="1"/>
  <c r="R1589" i="1"/>
  <c r="S1589" i="1"/>
  <c r="T1589" i="1"/>
  <c r="U1589" i="1"/>
  <c r="V1589" i="1"/>
  <c r="W1589" i="1"/>
  <c r="X1589" i="1"/>
  <c r="Y1589" i="1"/>
  <c r="Z1589" i="1"/>
  <c r="AA1589" i="1"/>
  <c r="AB1589" i="1"/>
  <c r="AC1589" i="1"/>
  <c r="AD1589" i="1"/>
  <c r="AE1589" i="1"/>
  <c r="AF1589" i="1"/>
  <c r="AG1589" i="1"/>
  <c r="AH1589" i="1"/>
  <c r="AI1589" i="1"/>
  <c r="AJ1589" i="1"/>
  <c r="AQ1589" i="1"/>
  <c r="AR1589" i="1"/>
  <c r="AS1589" i="1"/>
  <c r="K1590" i="1"/>
  <c r="L1590" i="1"/>
  <c r="M1590" i="1"/>
  <c r="N1590" i="1"/>
  <c r="O1590" i="1"/>
  <c r="P1590" i="1"/>
  <c r="Q1590" i="1"/>
  <c r="R1590" i="1"/>
  <c r="S1590" i="1"/>
  <c r="T1590" i="1"/>
  <c r="U1590" i="1"/>
  <c r="V1590" i="1"/>
  <c r="W1590" i="1"/>
  <c r="X1590" i="1"/>
  <c r="Y1590" i="1"/>
  <c r="Z1590" i="1"/>
  <c r="AA1590" i="1"/>
  <c r="AB1590" i="1"/>
  <c r="AC1590" i="1"/>
  <c r="AD1590" i="1"/>
  <c r="AE1590" i="1"/>
  <c r="AF1590" i="1"/>
  <c r="AG1590" i="1"/>
  <c r="AH1590" i="1"/>
  <c r="AI1590" i="1"/>
  <c r="AJ1590" i="1"/>
  <c r="AQ1590" i="1"/>
  <c r="AR1590" i="1"/>
  <c r="AS1590" i="1"/>
  <c r="K1591" i="1"/>
  <c r="L1591" i="1"/>
  <c r="M1591" i="1"/>
  <c r="N1591" i="1"/>
  <c r="O1591" i="1"/>
  <c r="P1591" i="1"/>
  <c r="Q1591" i="1"/>
  <c r="R1591" i="1"/>
  <c r="S1591" i="1"/>
  <c r="T1591" i="1"/>
  <c r="U1591" i="1"/>
  <c r="V1591" i="1"/>
  <c r="W1591" i="1"/>
  <c r="X1591" i="1"/>
  <c r="Y1591" i="1"/>
  <c r="Z1591" i="1"/>
  <c r="AA1591" i="1"/>
  <c r="AB1591" i="1"/>
  <c r="AC1591" i="1"/>
  <c r="AD1591" i="1"/>
  <c r="AE1591" i="1"/>
  <c r="AF1591" i="1"/>
  <c r="AG1591" i="1"/>
  <c r="AH1591" i="1"/>
  <c r="AI1591" i="1"/>
  <c r="AJ1591" i="1"/>
  <c r="AQ1591" i="1"/>
  <c r="AR1591" i="1"/>
  <c r="AS1591" i="1"/>
  <c r="K1592" i="1"/>
  <c r="L1592" i="1"/>
  <c r="M1592" i="1"/>
  <c r="N1592" i="1"/>
  <c r="O1592" i="1"/>
  <c r="P1592" i="1"/>
  <c r="Q1592" i="1"/>
  <c r="R1592" i="1"/>
  <c r="S1592" i="1"/>
  <c r="T1592" i="1"/>
  <c r="U1592" i="1"/>
  <c r="V1592" i="1"/>
  <c r="W1592" i="1"/>
  <c r="X1592" i="1"/>
  <c r="Y1592" i="1"/>
  <c r="Z1592" i="1"/>
  <c r="AA1592" i="1"/>
  <c r="AB1592" i="1"/>
  <c r="AC1592" i="1"/>
  <c r="AD1592" i="1"/>
  <c r="AE1592" i="1"/>
  <c r="AF1592" i="1"/>
  <c r="AG1592" i="1"/>
  <c r="AH1592" i="1"/>
  <c r="AI1592" i="1"/>
  <c r="AJ1592" i="1"/>
  <c r="AQ1592" i="1"/>
  <c r="AR1592" i="1"/>
  <c r="AS1592" i="1"/>
  <c r="K1593" i="1"/>
  <c r="L1593" i="1"/>
  <c r="M1593" i="1"/>
  <c r="N1593" i="1"/>
  <c r="O1593" i="1"/>
  <c r="P1593" i="1"/>
  <c r="Q1593" i="1"/>
  <c r="R1593" i="1"/>
  <c r="S1593" i="1"/>
  <c r="T1593" i="1"/>
  <c r="U1593" i="1"/>
  <c r="V1593" i="1"/>
  <c r="W1593" i="1"/>
  <c r="X1593" i="1"/>
  <c r="Y1593" i="1"/>
  <c r="Z1593" i="1"/>
  <c r="AA1593" i="1"/>
  <c r="AB1593" i="1"/>
  <c r="AC1593" i="1"/>
  <c r="AD1593" i="1"/>
  <c r="AE1593" i="1"/>
  <c r="AF1593" i="1"/>
  <c r="AG1593" i="1"/>
  <c r="AH1593" i="1"/>
  <c r="AI1593" i="1"/>
  <c r="AJ1593" i="1"/>
  <c r="AQ1593" i="1"/>
  <c r="AR1593" i="1"/>
  <c r="AS1593" i="1"/>
  <c r="K1594" i="1"/>
  <c r="L1594" i="1"/>
  <c r="M1594" i="1"/>
  <c r="N1594" i="1"/>
  <c r="O1594" i="1"/>
  <c r="P1594" i="1"/>
  <c r="Q1594" i="1"/>
  <c r="R1594" i="1"/>
  <c r="S1594" i="1"/>
  <c r="T1594" i="1"/>
  <c r="U1594" i="1"/>
  <c r="V1594" i="1"/>
  <c r="W1594" i="1"/>
  <c r="X1594" i="1"/>
  <c r="Y1594" i="1"/>
  <c r="Z1594" i="1"/>
  <c r="AA1594" i="1"/>
  <c r="AB1594" i="1"/>
  <c r="AC1594" i="1"/>
  <c r="AD1594" i="1"/>
  <c r="AE1594" i="1"/>
  <c r="AF1594" i="1"/>
  <c r="AG1594" i="1"/>
  <c r="AH1594" i="1"/>
  <c r="AI1594" i="1"/>
  <c r="AJ1594" i="1"/>
  <c r="AQ1594" i="1"/>
  <c r="AR1594" i="1"/>
  <c r="AS1594" i="1"/>
  <c r="K1595" i="1"/>
  <c r="L1595" i="1"/>
  <c r="M1595" i="1"/>
  <c r="N1595" i="1"/>
  <c r="O1595" i="1"/>
  <c r="P1595" i="1"/>
  <c r="Q1595" i="1"/>
  <c r="R1595" i="1"/>
  <c r="S1595" i="1"/>
  <c r="T1595" i="1"/>
  <c r="U1595" i="1"/>
  <c r="V1595" i="1"/>
  <c r="W1595" i="1"/>
  <c r="X1595" i="1"/>
  <c r="Y1595" i="1"/>
  <c r="Z1595" i="1"/>
  <c r="AA1595" i="1"/>
  <c r="AB1595" i="1"/>
  <c r="AC1595" i="1"/>
  <c r="AD1595" i="1"/>
  <c r="AE1595" i="1"/>
  <c r="AF1595" i="1"/>
  <c r="AG1595" i="1"/>
  <c r="AH1595" i="1"/>
  <c r="AI1595" i="1"/>
  <c r="AJ1595" i="1"/>
  <c r="AQ1595" i="1"/>
  <c r="AR1595" i="1"/>
  <c r="AS1595" i="1"/>
  <c r="K1596" i="1"/>
  <c r="L1596" i="1"/>
  <c r="M1596" i="1"/>
  <c r="N1596" i="1"/>
  <c r="O1596" i="1"/>
  <c r="P1596" i="1"/>
  <c r="Q1596" i="1"/>
  <c r="R1596" i="1"/>
  <c r="S1596" i="1"/>
  <c r="T1596" i="1"/>
  <c r="U1596" i="1"/>
  <c r="V1596" i="1"/>
  <c r="W1596" i="1"/>
  <c r="X1596" i="1"/>
  <c r="Y1596" i="1"/>
  <c r="Z1596" i="1"/>
  <c r="AA1596" i="1"/>
  <c r="AB1596" i="1"/>
  <c r="AC1596" i="1"/>
  <c r="AD1596" i="1"/>
  <c r="AE1596" i="1"/>
  <c r="AF1596" i="1"/>
  <c r="AG1596" i="1"/>
  <c r="AH1596" i="1"/>
  <c r="AI1596" i="1"/>
  <c r="AJ1596" i="1"/>
  <c r="AQ1596" i="1"/>
  <c r="AR1596" i="1"/>
  <c r="AS1596" i="1"/>
  <c r="K1597" i="1"/>
  <c r="L1597" i="1"/>
  <c r="M1597" i="1"/>
  <c r="N1597" i="1"/>
  <c r="O1597" i="1"/>
  <c r="P1597" i="1"/>
  <c r="Q1597" i="1"/>
  <c r="R1597" i="1"/>
  <c r="S1597" i="1"/>
  <c r="T1597" i="1"/>
  <c r="U1597" i="1"/>
  <c r="V1597" i="1"/>
  <c r="W1597" i="1"/>
  <c r="X1597" i="1"/>
  <c r="Y1597" i="1"/>
  <c r="Z1597" i="1"/>
  <c r="AA1597" i="1"/>
  <c r="AB1597" i="1"/>
  <c r="AC1597" i="1"/>
  <c r="AD1597" i="1"/>
  <c r="AE1597" i="1"/>
  <c r="AF1597" i="1"/>
  <c r="AG1597" i="1"/>
  <c r="AH1597" i="1"/>
  <c r="AI1597" i="1"/>
  <c r="AJ1597" i="1"/>
  <c r="AQ1597" i="1"/>
  <c r="AR1597" i="1"/>
  <c r="AS1597" i="1"/>
  <c r="K1598" i="1"/>
  <c r="L1598" i="1"/>
  <c r="M1598" i="1"/>
  <c r="N1598" i="1"/>
  <c r="O1598" i="1"/>
  <c r="P1598" i="1"/>
  <c r="Q1598" i="1"/>
  <c r="R1598" i="1"/>
  <c r="S1598" i="1"/>
  <c r="T1598" i="1"/>
  <c r="U1598" i="1"/>
  <c r="V1598" i="1"/>
  <c r="W1598" i="1"/>
  <c r="X1598" i="1"/>
  <c r="Y1598" i="1"/>
  <c r="Z1598" i="1"/>
  <c r="AA1598" i="1"/>
  <c r="AB1598" i="1"/>
  <c r="AC1598" i="1"/>
  <c r="AD1598" i="1"/>
  <c r="AE1598" i="1"/>
  <c r="AF1598" i="1"/>
  <c r="AG1598" i="1"/>
  <c r="AH1598" i="1"/>
  <c r="AI1598" i="1"/>
  <c r="AJ1598" i="1"/>
  <c r="AQ1598" i="1"/>
  <c r="AR1598" i="1"/>
  <c r="AS1598" i="1"/>
  <c r="K1599" i="1"/>
  <c r="L1599" i="1"/>
  <c r="M1599" i="1"/>
  <c r="N1599" i="1"/>
  <c r="O1599" i="1"/>
  <c r="P1599" i="1"/>
  <c r="Q1599" i="1"/>
  <c r="R1599" i="1"/>
  <c r="S1599" i="1"/>
  <c r="T1599" i="1"/>
  <c r="U1599" i="1"/>
  <c r="V1599" i="1"/>
  <c r="W1599" i="1"/>
  <c r="X1599" i="1"/>
  <c r="Y1599" i="1"/>
  <c r="Z1599" i="1"/>
  <c r="AA1599" i="1"/>
  <c r="AB1599" i="1"/>
  <c r="AC1599" i="1"/>
  <c r="AD1599" i="1"/>
  <c r="AE1599" i="1"/>
  <c r="AF1599" i="1"/>
  <c r="AG1599" i="1"/>
  <c r="AH1599" i="1"/>
  <c r="AI1599" i="1"/>
  <c r="AJ1599" i="1"/>
  <c r="AQ1599" i="1"/>
  <c r="AR1599" i="1"/>
  <c r="AS1599" i="1"/>
  <c r="K1600" i="1"/>
  <c r="L1600" i="1"/>
  <c r="M1600" i="1"/>
  <c r="N1600" i="1"/>
  <c r="O1600" i="1"/>
  <c r="P1600" i="1"/>
  <c r="Q1600" i="1"/>
  <c r="R1600" i="1"/>
  <c r="S1600" i="1"/>
  <c r="T1600" i="1"/>
  <c r="U1600" i="1"/>
  <c r="V1600" i="1"/>
  <c r="W1600" i="1"/>
  <c r="X1600" i="1"/>
  <c r="Y1600" i="1"/>
  <c r="Z1600" i="1"/>
  <c r="AA1600" i="1"/>
  <c r="AB1600" i="1"/>
  <c r="AC1600" i="1"/>
  <c r="AD1600" i="1"/>
  <c r="AE1600" i="1"/>
  <c r="AF1600" i="1"/>
  <c r="AG1600" i="1"/>
  <c r="AH1600" i="1"/>
  <c r="AI1600" i="1"/>
  <c r="AJ1600" i="1"/>
  <c r="AQ1600" i="1"/>
  <c r="AR1600" i="1"/>
  <c r="AS1600" i="1"/>
  <c r="K1601" i="1"/>
  <c r="L1601" i="1"/>
  <c r="M1601" i="1"/>
  <c r="N1601" i="1"/>
  <c r="O1601" i="1"/>
  <c r="P1601" i="1"/>
  <c r="Q1601" i="1"/>
  <c r="R1601" i="1"/>
  <c r="S1601" i="1"/>
  <c r="T1601" i="1"/>
  <c r="U1601" i="1"/>
  <c r="V1601" i="1"/>
  <c r="W1601" i="1"/>
  <c r="X1601" i="1"/>
  <c r="Y1601" i="1"/>
  <c r="Z1601" i="1"/>
  <c r="AA1601" i="1"/>
  <c r="AB1601" i="1"/>
  <c r="AC1601" i="1"/>
  <c r="AD1601" i="1"/>
  <c r="AE1601" i="1"/>
  <c r="AF1601" i="1"/>
  <c r="AG1601" i="1"/>
  <c r="AH1601" i="1"/>
  <c r="AI1601" i="1"/>
  <c r="AJ1601" i="1"/>
  <c r="AQ1601" i="1"/>
  <c r="AR1601" i="1"/>
  <c r="AS1601" i="1"/>
  <c r="K1602" i="1"/>
  <c r="L1602" i="1"/>
  <c r="M1602" i="1"/>
  <c r="N1602" i="1"/>
  <c r="O1602" i="1"/>
  <c r="P1602" i="1"/>
  <c r="Q1602" i="1"/>
  <c r="R1602" i="1"/>
  <c r="S1602" i="1"/>
  <c r="T1602" i="1"/>
  <c r="U1602" i="1"/>
  <c r="V1602" i="1"/>
  <c r="W1602" i="1"/>
  <c r="X1602" i="1"/>
  <c r="Y1602" i="1"/>
  <c r="Z1602" i="1"/>
  <c r="AA1602" i="1"/>
  <c r="AB1602" i="1"/>
  <c r="AC1602" i="1"/>
  <c r="AD1602" i="1"/>
  <c r="AE1602" i="1"/>
  <c r="AF1602" i="1"/>
  <c r="AG1602" i="1"/>
  <c r="AH1602" i="1"/>
  <c r="AI1602" i="1"/>
  <c r="AJ1602" i="1"/>
  <c r="AQ1602" i="1"/>
  <c r="AR1602" i="1"/>
  <c r="AS1602" i="1"/>
  <c r="K1603" i="1"/>
  <c r="L1603" i="1"/>
  <c r="M1603" i="1"/>
  <c r="N1603" i="1"/>
  <c r="O1603" i="1"/>
  <c r="P1603" i="1"/>
  <c r="Q1603" i="1"/>
  <c r="R1603" i="1"/>
  <c r="S1603" i="1"/>
  <c r="T1603" i="1"/>
  <c r="U1603" i="1"/>
  <c r="V1603" i="1"/>
  <c r="W1603" i="1"/>
  <c r="X1603" i="1"/>
  <c r="Y1603" i="1"/>
  <c r="Z1603" i="1"/>
  <c r="AA1603" i="1"/>
  <c r="AB1603" i="1"/>
  <c r="AC1603" i="1"/>
  <c r="AD1603" i="1"/>
  <c r="AE1603" i="1"/>
  <c r="AF1603" i="1"/>
  <c r="AG1603" i="1"/>
  <c r="AH1603" i="1"/>
  <c r="AI1603" i="1"/>
  <c r="AJ1603" i="1"/>
  <c r="AQ1603" i="1"/>
  <c r="AR1603" i="1"/>
  <c r="AS1603" i="1"/>
  <c r="K1604" i="1"/>
  <c r="L1604" i="1"/>
  <c r="M1604" i="1"/>
  <c r="N1604" i="1"/>
  <c r="O1604" i="1"/>
  <c r="P1604" i="1"/>
  <c r="Q1604" i="1"/>
  <c r="R1604" i="1"/>
  <c r="S1604" i="1"/>
  <c r="T1604" i="1"/>
  <c r="U1604" i="1"/>
  <c r="V1604" i="1"/>
  <c r="W1604" i="1"/>
  <c r="X1604" i="1"/>
  <c r="Y1604" i="1"/>
  <c r="Z1604" i="1"/>
  <c r="AA1604" i="1"/>
  <c r="AB1604" i="1"/>
  <c r="AC1604" i="1"/>
  <c r="AD1604" i="1"/>
  <c r="AE1604" i="1"/>
  <c r="AF1604" i="1"/>
  <c r="AG1604" i="1"/>
  <c r="AH1604" i="1"/>
  <c r="AI1604" i="1"/>
  <c r="AJ1604" i="1"/>
  <c r="AQ1604" i="1"/>
  <c r="AR1604" i="1"/>
  <c r="AS1604" i="1"/>
  <c r="K1605" i="1"/>
  <c r="L1605" i="1"/>
  <c r="M1605" i="1"/>
  <c r="N1605" i="1"/>
  <c r="O1605" i="1"/>
  <c r="P1605" i="1"/>
  <c r="Q1605" i="1"/>
  <c r="R1605" i="1"/>
  <c r="S1605" i="1"/>
  <c r="T1605" i="1"/>
  <c r="U1605" i="1"/>
  <c r="V1605" i="1"/>
  <c r="W1605" i="1"/>
  <c r="X1605" i="1"/>
  <c r="Y1605" i="1"/>
  <c r="Z1605" i="1"/>
  <c r="AA1605" i="1"/>
  <c r="AB1605" i="1"/>
  <c r="AC1605" i="1"/>
  <c r="AD1605" i="1"/>
  <c r="AE1605" i="1"/>
  <c r="AF1605" i="1"/>
  <c r="AG1605" i="1"/>
  <c r="AH1605" i="1"/>
  <c r="AI1605" i="1"/>
  <c r="AJ1605" i="1"/>
  <c r="AQ1605" i="1"/>
  <c r="AR1605" i="1"/>
  <c r="AS1605" i="1"/>
  <c r="K1606" i="1"/>
  <c r="L1606" i="1"/>
  <c r="M1606" i="1"/>
  <c r="N1606" i="1"/>
  <c r="O1606" i="1"/>
  <c r="P1606" i="1"/>
  <c r="Q1606" i="1"/>
  <c r="R1606" i="1"/>
  <c r="S1606" i="1"/>
  <c r="T1606" i="1"/>
  <c r="U1606" i="1"/>
  <c r="V1606" i="1"/>
  <c r="W1606" i="1"/>
  <c r="X1606" i="1"/>
  <c r="Y1606" i="1"/>
  <c r="Z1606" i="1"/>
  <c r="AA1606" i="1"/>
  <c r="AB1606" i="1"/>
  <c r="AC1606" i="1"/>
  <c r="AD1606" i="1"/>
  <c r="AE1606" i="1"/>
  <c r="AF1606" i="1"/>
  <c r="AG1606" i="1"/>
  <c r="AH1606" i="1"/>
  <c r="AI1606" i="1"/>
  <c r="AJ1606" i="1"/>
  <c r="AQ1606" i="1"/>
  <c r="AR1606" i="1"/>
  <c r="AS1606" i="1"/>
  <c r="K1607" i="1"/>
  <c r="L1607" i="1"/>
  <c r="M1607" i="1"/>
  <c r="N1607" i="1"/>
  <c r="O1607" i="1"/>
  <c r="P1607" i="1"/>
  <c r="Q1607" i="1"/>
  <c r="R1607" i="1"/>
  <c r="S1607" i="1"/>
  <c r="T1607" i="1"/>
  <c r="U1607" i="1"/>
  <c r="V1607" i="1"/>
  <c r="W1607" i="1"/>
  <c r="X1607" i="1"/>
  <c r="Y1607" i="1"/>
  <c r="Z1607" i="1"/>
  <c r="AA1607" i="1"/>
  <c r="AB1607" i="1"/>
  <c r="AC1607" i="1"/>
  <c r="AD1607" i="1"/>
  <c r="AE1607" i="1"/>
  <c r="AF1607" i="1"/>
  <c r="AG1607" i="1"/>
  <c r="AH1607" i="1"/>
  <c r="AI1607" i="1"/>
  <c r="AJ1607" i="1"/>
  <c r="AQ1607" i="1"/>
  <c r="AR1607" i="1"/>
  <c r="AS1607" i="1"/>
  <c r="K1608" i="1"/>
  <c r="L1608" i="1"/>
  <c r="M1608" i="1"/>
  <c r="N1608" i="1"/>
  <c r="O1608" i="1"/>
  <c r="P1608" i="1"/>
  <c r="Q1608" i="1"/>
  <c r="R1608" i="1"/>
  <c r="S1608" i="1"/>
  <c r="T1608" i="1"/>
  <c r="U1608" i="1"/>
  <c r="V1608" i="1"/>
  <c r="W1608" i="1"/>
  <c r="X1608" i="1"/>
  <c r="Y1608" i="1"/>
  <c r="Z1608" i="1"/>
  <c r="AA1608" i="1"/>
  <c r="AB1608" i="1"/>
  <c r="AC1608" i="1"/>
  <c r="AD1608" i="1"/>
  <c r="AE1608" i="1"/>
  <c r="AF1608" i="1"/>
  <c r="AG1608" i="1"/>
  <c r="AH1608" i="1"/>
  <c r="AI1608" i="1"/>
  <c r="AJ1608" i="1"/>
  <c r="AQ1608" i="1"/>
  <c r="AR1608" i="1"/>
  <c r="AS1608" i="1"/>
  <c r="K1609" i="1"/>
  <c r="L1609" i="1"/>
  <c r="M1609" i="1"/>
  <c r="N1609" i="1"/>
  <c r="O1609" i="1"/>
  <c r="P1609" i="1"/>
  <c r="Q1609" i="1"/>
  <c r="R1609" i="1"/>
  <c r="S1609" i="1"/>
  <c r="T1609" i="1"/>
  <c r="U1609" i="1"/>
  <c r="V1609" i="1"/>
  <c r="Z1609" i="1"/>
  <c r="AB1609" i="1"/>
  <c r="AC1609" i="1"/>
  <c r="AD1609" i="1"/>
  <c r="AE1609" i="1"/>
  <c r="AH1609" i="1"/>
  <c r="AI1609" i="1"/>
  <c r="AJ1609" i="1"/>
  <c r="AQ1609" i="1"/>
  <c r="AR1609" i="1"/>
  <c r="AS1609" i="1"/>
</calcChain>
</file>

<file path=xl/sharedStrings.xml><?xml version="1.0" encoding="utf-8"?>
<sst xmlns="http://schemas.openxmlformats.org/spreadsheetml/2006/main" count="2261" uniqueCount="161">
  <si>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</si>
  <si>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</si>
  <si>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</si>
  <si>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</si>
  <si>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</si>
  <si>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</si>
  <si>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</si>
  <si>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</si>
  <si>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</si>
  <si>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</si>
  <si>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</si>
  <si>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</si>
  <si>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</si>
  <si>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</si>
  <si>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</si>
  <si>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</si>
  <si>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</si>
  <si>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</si>
  <si>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</si>
  <si>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</si>
  <si>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</si>
  <si>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</si>
  <si>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</si>
  <si>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</si>
  <si>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</si>
  <si>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</si>
  <si>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</si>
  <si>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</si>
  <si>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None</t>
  </si>
  <si>
    <t>Closed outlet; resolved stage pools to the connected junction water surface</t>
  </si>
  <si>
    <t>Default bank slope</t>
  </si>
  <si>
    <t>H:V</t>
  </si>
  <si>
    <t>Allowed BC types</t>
  </si>
  <si>
    <t>Known WSE / Known Depth / Normal Depth / Critical Depth / None / Spill End / Spill Zero</t>
  </si>
  <si>
    <t>Outlet-forebay</t>
  </si>
  <si>
    <t>forebay</t>
  </si>
  <si>
    <t>Spill End</t>
  </si>
  <si>
    <t>Spill End outlet; resolved stage follows the computed branch profile while the outlet pilot flow is held at 0.05</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</si>
  <si>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</si>
  <si>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</si>
  <si>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</si>
  <si>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</si>
  <si>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</si>
  <si>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</si>
  <si>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</si>
  <si>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</si>
  <si>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</si>
  <si>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</si>
  <si>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</si>
  <si>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</si>
  <si>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</si>
  <si>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</si>
  <si>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</si>
  <si>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</si>
  <si>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</si>
  <si>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</si>
  <si>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</si>
  <si>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</si>
  <si>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</si>
  <si>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</si>
  <si>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</si>
  <si>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</si>
  <si>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</si>
  <si>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</si>
  <si>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Profile tolerance</t>
  </si>
  <si>
    <t>Reset (0: Hold, 1: Eval)</t>
  </si>
  <si>
    <t>J1 initial WSE</t>
  </si>
  <si>
    <t>J2 initial WSE</t>
  </si>
  <si>
    <t>alpha J1 initial</t>
  </si>
  <si>
    <t>alpha J2 initial</t>
  </si>
  <si>
    <t>Spill relaxation</t>
  </si>
  <si>
    <t>Junction Internal Boundary Conditions</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</si>
  <si>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</si>
  <si>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</si>
  <si>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</si>
  <si>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</si>
  <si>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</si>
  <si>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</si>
  <si>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</si>
  <si>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</si>
  <si>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</si>
  <si>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</si>
  <si>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</si>
  <si>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</si>
  <si>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</si>
  <si>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</si>
  <si>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</si>
  <si>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</si>
  <si>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</si>
  <si>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</si>
  <si>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</si>
  <si>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</si>
  <si>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</si>
  <si>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</si>
  <si>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</si>
  <si>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</si>
  <si>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</si>
  <si>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</si>
  <si>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</si>
  <si>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</si>
  <si>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</si>
  <si>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</si>
  <si>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</si>
  <si>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Segment: UsProject</t>
  </si>
  <si>
    <t>m length</t>
  </si>
  <si>
    <t>profile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</si>
  <si>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</si>
  <si>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</si>
  <si>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</si>
  <si>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</si>
  <si>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</si>
  <si>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</si>
  <si>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</si>
  <si>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</si>
  <si>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</si>
  <si>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</si>
  <si>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</si>
  <si>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</si>
  <si>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</si>
  <si>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</si>
  <si>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</si>
  <si>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</si>
  <si>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</si>
  <si>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</si>
  <si>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</si>
  <si>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</si>
  <si>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</si>
  <si>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</si>
  <si>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</si>
  <si>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</si>
  <si>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</si>
  <si>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</si>
  <si>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</si>
  <si>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</si>
  <si>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</si>
  <si>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</si>
  <si>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</si>
  <si>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</si>
  <si>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</si>
  <si>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</si>
  <si>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</si>
  <si>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</si>
  <si>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</si>
  <si>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</si>
  <si>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</si>
  <si>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</si>
  <si>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</si>
  <si>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</si>
  <si>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</si>
  <si>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</si>
  <si>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</si>
  <si>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</si>
  <si>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</si>
  <si>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</si>
  <si>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</si>
  <si>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Junction</t>
  </si>
  <si>
    <t>Segment: waterway</t>
  </si>
  <si>
    <t>Segment: UsExit</t>
  </si>
  <si>
    <t>Segment: forebay</t>
  </si>
  <si>
    <t>Segment: sidechannel</t>
  </si>
  <si>
    <t>Segment: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</si>
</sst>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09"/>
  <sheetViews>
    <sheetView tabSelected="1" topLeftCell="H1" workbookViewId="0">
      <selection activeCell="P8" sqref="P8"/>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3">
        <f>IF(OR(N5="Known WSE",N5="Known WS"),O5,IF(N5="Known Depth",(J31)+(O5),IF(N5="Normal Depth",(J31)+(MAX($D$16,POWER((ABS(N31)*$D$6)/(MAX(F31,0.1)*SQRT(MAX(ABS((K31-J31)/MAX(E31,0.000001)),$D$17))),3/5))),IF(N5="Critical Depth",(J31)+(MAX($D$16,POWER((ABS(N31)^2)/($I$5*MAX(F31,0.1)^2),1/3))),IF(OR(N5="None",N5="Spill End",N5="Spill Zero"),(J31)+$D$16,(J31)+(MAX($D$16,POWER((ABS(N31)*$D$6)/(MAX(F31,0.1)*SQRT(MAX(ABS((K31-J31)/MAX(E31,0.000001)),$D$17))),3/5))))))))</f>
        <v>637</v>
      </c>
      <c r="Q5" s="3" t="s">
        <v>20</v>
      </c>
    </row>
    <row r="6" spans="1:17" x14ac:dyDescent="0.35">
      <c r="B6" s="2" t="s">
        <v>21</v>
      </c>
      <c r="C6" s="2" t="s">
        <v>22</v>
      </c>
      <c r="D6" s="2">
        <v>1.4999999999999999E-2</v>
      </c>
      <c r="G6" t="s">
        <v>23</v>
      </c>
      <c r="H6" t="s">
        <v>24</v>
      </c>
      <c r="I6">
        <v>998.2</v>
      </c>
      <c r="K6" s="3" t="s">
        <v>25</v>
      </c>
      <c r="L6" s="3" t="s">
        <v>26</v>
      </c>
      <c r="M6" s="3" t="s">
        <v>27</v>
      </c>
      <c r="N6" s="3" t="s">
        <v>28</v>
      </c>
      <c r="O6" s="3"/>
      <c r="P6" s="3">
        <f>$I$13</f>
        <v>0</v>
      </c>
      <c r="Q6" s="3" t="s">
        <v>29</v>
      </c>
    </row>
    <row r="7" spans="1:17" x14ac:dyDescent="0.35">
      <c r="B7" s="2" t="s">
        <v>30</v>
      </c>
      <c r="C7" s="2" t="s">
        <v>31</v>
      </c>
      <c r="D7" s="2">
        <v>0</v>
      </c>
      <c r="G7" t="s">
        <v>32</v>
      </c>
      <c r="H7" t="s">
        <v>22</v>
      </c>
      <c r="I7" t="s">
        <v>33</v>
      </c>
      <c r="K7" s="3" t="s">
        <v>34</v>
      </c>
      <c r="L7" s="3" t="s">
        <v>35</v>
      </c>
      <c r="M7" s="3" t="s">
        <v>27</v>
      </c>
      <c r="N7" s="3" t="s">
        <v>36</v>
      </c>
      <c r="O7" s="3"/>
      <c r="P7" s="3">
        <f ca="1">IFERROR(M34,$I$14)</f>
        <v>623.57338263834276</v>
      </c>
      <c r="Q7" s="3" t="s">
        <v>37</v>
      </c>
    </row>
    <row r="8" spans="1:17" x14ac:dyDescent="0.35">
      <c r="B8" s="2" t="s">
        <v>38</v>
      </c>
      <c r="C8" s="2" t="s">
        <v>22</v>
      </c>
      <c r="D8" s="2">
        <v>0.3</v>
      </c>
      <c r="K8" s="3" t="s">
        <v>39</v>
      </c>
      <c r="L8" s="3" t="s">
        <v>40</v>
      </c>
      <c r="M8" s="3" t="s">
        <v>27</v>
      </c>
      <c r="N8" s="3" t="s">
        <v>36</v>
      </c>
      <c r="O8" s="3"/>
      <c r="P8" s="3">
        <f ca="1">IFERROR(M35,$I$14)</f>
        <v>632.87833022224424</v>
      </c>
      <c r="Q8" s="3" t="s">
        <v>37</v>
      </c>
    </row>
    <row r="9" spans="1:17" x14ac:dyDescent="0.35">
      <c r="B9" s="2" t="s">
        <v>41</v>
      </c>
      <c r="C9" s="2" t="s">
        <v>22</v>
      </c>
      <c r="D9" s="2">
        <v>0.1</v>
      </c>
      <c r="K9" s="3" t="s">
        <v>42</v>
      </c>
      <c r="L9" s="3" t="s">
        <v>43</v>
      </c>
      <c r="M9" s="3" t="s">
        <v>18</v>
      </c>
      <c r="N9" s="3" t="s">
        <v>44</v>
      </c>
      <c r="O9" s="3"/>
      <c r="P9" s="3">
        <f>IF(OR(N9="Known WSE",N9="Known WS"),O9,IF(N9="Known Depth",(J36)+(O9),IF(N9="Normal Depth",(J36)+(MAX($D$16,POWER((ABS(N36)*$D$6)/(MAX(F36,0.1)*SQRT(MAX(ABS((K36-J36)/MAX(E36,0.000001)),$D$17))),3/5))),IF(N9="Critical Depth",(J36)+(MAX($D$16,POWER((ABS(N36)^2)/($I$5*MAX(F36,0.1)^2),1/3))),IF(OR(N9="None",N9="Spill End",N9="Spill Zero"),(J36)+$D$16,(J36)+(MAX($D$16,POWER((ABS(N36)*$D$6)/(MAX(F36,0.1)*SQRT(MAX(ABS((K36-J36)/MAX(E36,0.000001)),$D$17))),3/5))))))))</f>
        <v>631.54999999999995</v>
      </c>
      <c r="Q9" s="3" t="s">
        <v>20</v>
      </c>
    </row>
    <row r="10" spans="1:17" x14ac:dyDescent="0.35">
      <c r="B10" s="2" t="s">
        <v>45</v>
      </c>
      <c r="C10" s="2" t="s">
        <v>22</v>
      </c>
      <c r="D10" s="2">
        <v>0.15</v>
      </c>
      <c r="K10" s="3" t="s">
        <v>46</v>
      </c>
      <c r="L10" s="3" t="s">
        <v>43</v>
      </c>
      <c r="M10" s="3" t="s">
        <v>27</v>
      </c>
      <c r="N10" s="3" t="s">
        <v>19</v>
      </c>
      <c r="O10" s="3">
        <v>625</v>
      </c>
      <c r="P10" s="3">
        <f>IF(OR(N10="Known WSE",N10="Known WS"),O10,IF(N10="Known Depth",(K36)+(O10),IF(N10="Normal Depth",(K36)+(MAX($D$16,POWER((ABS(P36)*$D$6)/(MAX(G36,0.1)*SQRT(MAX(ABS((K36-J36)/MAX(E36,0.000001)),$D$17))),3/5))),IF(N10="Critical Depth",(K36)+(MAX($D$16,POWER((ABS(P36)^2)/($I$5*MAX(G36,0.1)^2),1/3))),IF(OR(N10="None",N10="Spill End",N10="Spill Zero"),(K36)+$D$16,(K36)+(MAX($D$16,POWER((ABS(P36)*$D$6)/(MAX(G36,0.1)*SQRT(MAX(ABS((K36-J36)/MAX(E36,0.000001)),$D$17))),3/5))))))))</f>
        <v>625</v>
      </c>
      <c r="Q10" s="3" t="s">
        <v>47</v>
      </c>
    </row>
    <row r="11" spans="1:17" x14ac:dyDescent="0.35">
      <c r="B11" s="2" t="s">
        <v>48</v>
      </c>
      <c r="C11" s="2" t="s">
        <v>22</v>
      </c>
      <c r="D11" s="2">
        <v>0.75</v>
      </c>
      <c r="G11" t="s">
        <v>49</v>
      </c>
      <c r="H11" t="s">
        <v>22</v>
      </c>
      <c r="I11">
        <f ca="1">IF($D$20=0,IFERROR($I$11,$D$23),IF(N6="None",MIN(0.98,MAX(0.02,MAX(0,1-(N33/MAX($D$5,0.000001))))),MIN(0.98,MAX(0.02,IFERROR($I$11,$D$23)+($D$14*(((IFERROR(AI1454,IFERROR(AA1454,$I$13))-IFERROR(AI62,IFERROR(AA62,$I$13))))/MAX(ABS($I$13),1)))))))</f>
        <v>0.98</v>
      </c>
      <c r="K11" s="3"/>
      <c r="L11" s="3"/>
      <c r="M11" s="3"/>
      <c r="N11" s="3"/>
      <c r="O11" s="3"/>
      <c r="P11" s="3"/>
      <c r="Q11" s="3"/>
    </row>
    <row r="12" spans="1:17" x14ac:dyDescent="0.35">
      <c r="B12" s="2" t="s">
        <v>50</v>
      </c>
      <c r="C12" s="2" t="s">
        <v>22</v>
      </c>
      <c r="D12" s="2">
        <v>1.7</v>
      </c>
      <c r="G12" t="s">
        <v>51</v>
      </c>
      <c r="H12" t="s">
        <v>22</v>
      </c>
      <c r="I12">
        <f ca="1">IF($D$20=0,IFERROR($I$12,$D$24),IF(AND(N7="None",N8="None"),MIN(0.98,MAX(0.02,IFERROR(N34/MAX(N32,0.000001),IFERROR($I$12,$D$24)))),IF(N8="None",1,IF(N7="None",0,MIN(0.98,MAX(0.02,IFERROR($I$12,$D$24)+($D$14*(((IFERROR(AI1522,IFERROR(AA1522,$I$14))-IFERROR(AI1478,IFERROR(AA1478,$I$14))))/MAX(ABS($I$14),1)))))))))</f>
        <v>0.02</v>
      </c>
      <c r="K12" s="3"/>
      <c r="L12" s="3"/>
      <c r="M12" s="3"/>
      <c r="N12" s="3"/>
      <c r="O12" s="3"/>
      <c r="P12" s="3"/>
      <c r="Q12" s="3"/>
    </row>
    <row r="13" spans="1:17" x14ac:dyDescent="0.35">
      <c r="B13" s="2" t="s">
        <v>52</v>
      </c>
      <c r="C13" s="2" t="s">
        <v>22</v>
      </c>
      <c r="D13" s="2">
        <v>0.35</v>
      </c>
      <c r="G13" t="s">
        <v>53</v>
      </c>
      <c r="H13" t="s">
        <v>54</v>
      </c>
      <c r="K13" s="3"/>
      <c r="L13" s="3"/>
      <c r="M13" s="3"/>
      <c r="N13" s="3"/>
      <c r="O13" s="3"/>
      <c r="P13" s="3"/>
      <c r="Q13" s="3"/>
    </row>
    <row r="14" spans="1:17" x14ac:dyDescent="0.35">
      <c r="B14" s="2" t="s">
        <v>55</v>
      </c>
      <c r="C14" s="2" t="s">
        <v>22</v>
      </c>
      <c r="D14" s="2">
        <v>0.08</v>
      </c>
      <c r="G14" t="s">
        <v>56</v>
      </c>
      <c r="H14" t="s">
        <v>54</v>
      </c>
      <c r="K14" s="3"/>
      <c r="L14" s="3"/>
      <c r="M14" s="3"/>
      <c r="N14" s="3"/>
      <c r="O14" s="3"/>
      <c r="P14" s="3"/>
      <c r="Q14" s="3"/>
    </row>
    <row r="15" spans="1:17" x14ac:dyDescent="0.35">
      <c r="B15" s="2" t="s">
        <v>57</v>
      </c>
      <c r="C15" s="2" t="s">
        <v>22</v>
      </c>
      <c r="D15" s="2">
        <v>0.05</v>
      </c>
      <c r="G15" t="s">
        <v>58</v>
      </c>
      <c r="H15" t="s">
        <v>13</v>
      </c>
      <c r="I15">
        <f ca="1">IFERROR(N36,0)</f>
        <v>0</v>
      </c>
      <c r="K15" s="3"/>
      <c r="L15" s="3"/>
      <c r="M15" s="3"/>
      <c r="N15" s="3"/>
      <c r="O15" s="3"/>
      <c r="P15" s="3"/>
      <c r="Q15" s="3"/>
    </row>
    <row r="16" spans="1:17" x14ac:dyDescent="0.35">
      <c r="B16" s="2" t="s">
        <v>59</v>
      </c>
      <c r="C16" s="2" t="s">
        <v>54</v>
      </c>
      <c r="D16" s="2">
        <v>0.05</v>
      </c>
      <c r="G16" t="s">
        <v>60</v>
      </c>
      <c r="H16" t="s">
        <v>54</v>
      </c>
      <c r="I16">
        <f ca="1">IFERROR(((IF((IFERROR(T56,-1E+99))&gt;=(MAX(IFERROR(AE62,-1E+99),IFERROR(AE1454,-1E+99))),(IFERROR(P56,$D$21)),(IF(IFERROR(AE1454,-1E+99)&gt;=IFERROR(AE62,-1E+99),IFERROR(AA1454,IFERROR(AA62,$D$21)),IFERROR(AA62,IFERROR(AA1454,$D$21))))))-(IFERROR($I$13,$D$21))),0)</f>
        <v>635.7964172366527</v>
      </c>
      <c r="K16" s="3"/>
      <c r="L16" s="3"/>
      <c r="M16" s="3"/>
      <c r="N16" s="3"/>
      <c r="O16" s="3"/>
      <c r="P16" s="3"/>
      <c r="Q16" s="3"/>
    </row>
    <row r="17" spans="1:24" x14ac:dyDescent="0.35">
      <c r="B17" s="2" t="s">
        <v>61</v>
      </c>
      <c r="C17" s="2" t="s">
        <v>22</v>
      </c>
      <c r="D17" s="2">
        <v>1E-3</v>
      </c>
      <c r="G17" t="s">
        <v>62</v>
      </c>
      <c r="H17" t="s">
        <v>54</v>
      </c>
      <c r="I17">
        <f ca="1">IFERROR(((IF((IFERROR(T1448,-1E+99))&gt;=(MAX(IFERROR(AE1478,-1E+99),IFERROR(AE1522,-1E+99))),(IFERROR(P1448,$D$22)),(IF(IFERROR(AE1522,-1E+99)&gt;=IFERROR(AE1478,-1E+99),IFERROR(AA1522,IFERROR(AA1478,$D$22)),IFERROR(AA1478,IFERROR(AA1522,$D$22))))))-(IFERROR($I$14,$D$22))),0)</f>
        <v>631.92499999999995</v>
      </c>
      <c r="K17" s="3"/>
      <c r="L17" s="3"/>
      <c r="M17" s="3"/>
      <c r="N17" s="3"/>
      <c r="O17" s="3"/>
      <c r="P17" s="3"/>
      <c r="Q17" s="3"/>
    </row>
    <row r="18" spans="1:24" x14ac:dyDescent="0.35">
      <c r="B18" s="2" t="s">
        <v>63</v>
      </c>
      <c r="C18" s="2" t="s">
        <v>22</v>
      </c>
      <c r="D18" s="2">
        <v>0.15</v>
      </c>
      <c r="K18" s="3"/>
      <c r="L18" s="3"/>
      <c r="M18" s="3"/>
      <c r="N18" s="3"/>
      <c r="O18" s="3"/>
      <c r="P18" s="3"/>
      <c r="Q18" s="3"/>
    </row>
    <row r="19" spans="1:24" x14ac:dyDescent="0.35">
      <c r="B19" s="2" t="s">
        <v>64</v>
      </c>
      <c r="C19" s="2" t="s">
        <v>54</v>
      </c>
      <c r="D19" s="2">
        <v>1E-3</v>
      </c>
      <c r="K19" s="3"/>
      <c r="L19" s="3"/>
      <c r="M19" s="3"/>
      <c r="N19" s="3"/>
      <c r="O19" s="3"/>
      <c r="P19" s="3"/>
      <c r="Q19" s="3"/>
    </row>
    <row r="20" spans="1:24" x14ac:dyDescent="0.35">
      <c r="B20" s="2" t="s">
        <v>65</v>
      </c>
      <c r="C20" s="2" t="s">
        <v>22</v>
      </c>
      <c r="D20" s="2">
        <v>1</v>
      </c>
      <c r="K20" s="3"/>
      <c r="L20" s="3"/>
      <c r="M20" s="3"/>
      <c r="N20" s="3"/>
      <c r="O20" s="3"/>
      <c r="P20" s="3"/>
      <c r="Q20" s="3"/>
    </row>
    <row r="21" spans="1:24" x14ac:dyDescent="0.35">
      <c r="B21" s="2" t="s">
        <v>66</v>
      </c>
      <c r="C21" s="2" t="s">
        <v>54</v>
      </c>
      <c r="D21" s="2">
        <v>634.29999999999995</v>
      </c>
    </row>
    <row r="22" spans="1:24" x14ac:dyDescent="0.35">
      <c r="B22" s="2" t="s">
        <v>67</v>
      </c>
      <c r="C22" s="2" t="s">
        <v>54</v>
      </c>
      <c r="D22" s="2">
        <v>631.9</v>
      </c>
    </row>
    <row r="23" spans="1:24" x14ac:dyDescent="0.35">
      <c r="B23" s="2" t="s">
        <v>68</v>
      </c>
      <c r="C23" s="2" t="s">
        <v>22</v>
      </c>
      <c r="D23" s="2">
        <v>0.65</v>
      </c>
    </row>
    <row r="24" spans="1:24" x14ac:dyDescent="0.35">
      <c r="B24" s="2" t="s">
        <v>69</v>
      </c>
      <c r="C24" s="2" t="s">
        <v>22</v>
      </c>
      <c r="D24" s="2">
        <v>0.65</v>
      </c>
    </row>
    <row r="25" spans="1:24" x14ac:dyDescent="0.35">
      <c r="B25" s="2" t="s">
        <v>70</v>
      </c>
      <c r="C25" s="2" t="s">
        <v>22</v>
      </c>
      <c r="D25" s="2">
        <v>0.2</v>
      </c>
    </row>
    <row r="26" spans="1:24" x14ac:dyDescent="0.35">
      <c r="A26" t="s">
        <v>71</v>
      </c>
    </row>
    <row r="27" spans="1:24" x14ac:dyDescent="0.35">
      <c r="A27" t="s">
        <v>72</v>
      </c>
    </row>
    <row r="30" spans="1:24" x14ac:dyDescent="0.35">
      <c r="A30" s="4" t="s">
        <v>7</v>
      </c>
      <c r="B30" s="4" t="s">
        <v>73</v>
      </c>
      <c r="C30" s="4" t="s">
        <v>74</v>
      </c>
      <c r="D30" s="4" t="s">
        <v>75</v>
      </c>
      <c r="E30" s="4" t="s">
        <v>76</v>
      </c>
      <c r="F30" s="4" t="s">
        <v>77</v>
      </c>
      <c r="G30" s="4" t="s">
        <v>78</v>
      </c>
      <c r="H30" s="4" t="s">
        <v>79</v>
      </c>
      <c r="I30" s="4" t="s">
        <v>80</v>
      </c>
      <c r="J30" s="4" t="s">
        <v>81</v>
      </c>
      <c r="K30" s="4" t="s">
        <v>82</v>
      </c>
      <c r="L30" s="4" t="s">
        <v>83</v>
      </c>
      <c r="M30" s="4" t="s">
        <v>84</v>
      </c>
      <c r="N30" s="4" t="s">
        <v>85</v>
      </c>
      <c r="O30" s="4" t="s">
        <v>86</v>
      </c>
      <c r="P30" s="4" t="s">
        <v>87</v>
      </c>
      <c r="Q30" s="4" t="s">
        <v>88</v>
      </c>
      <c r="R30" s="4" t="s">
        <v>89</v>
      </c>
      <c r="S30" s="4" t="s">
        <v>90</v>
      </c>
      <c r="T30" s="4" t="s">
        <v>91</v>
      </c>
      <c r="U30" s="4" t="s">
        <v>92</v>
      </c>
      <c r="V30" s="4" t="s">
        <v>93</v>
      </c>
      <c r="W30" s="4" t="s">
        <v>94</v>
      </c>
      <c r="X30" s="4" t="s">
        <v>95</v>
      </c>
    </row>
    <row r="31" spans="1:24" x14ac:dyDescent="0.35">
      <c r="A31" t="s">
        <v>17</v>
      </c>
      <c r="B31" t="s">
        <v>96</v>
      </c>
      <c r="C31" t="s">
        <v>97</v>
      </c>
      <c r="D31">
        <v>12</v>
      </c>
      <c r="E31">
        <v>10.742000000000001</v>
      </c>
      <c r="F31">
        <v>6.0030000000000001</v>
      </c>
      <c r="G31">
        <v>6.5579999999999998</v>
      </c>
      <c r="H31">
        <v>0</v>
      </c>
      <c r="I31">
        <v>0</v>
      </c>
      <c r="J31">
        <v>634.32000000000005</v>
      </c>
      <c r="K31">
        <v>634.298</v>
      </c>
      <c r="L31">
        <f ca="1">IFERROR(AI45,IFERROR(P5,0))</f>
        <v>637</v>
      </c>
      <c r="M31">
        <f ca="1">IFERROR(AI56,IFERROR($I$13,0))</f>
        <v>634.34799999999996</v>
      </c>
      <c r="N31">
        <f>$D$5</f>
        <v>51</v>
      </c>
      <c r="O31">
        <f ca="1">IFERROR(_xludf.AGGREGATE(9,6,AO45:AO56),0)</f>
        <v>0</v>
      </c>
      <c r="P31">
        <f>MAX(0,IFERROR(K56,0)-IFERROR(AO56,0)-0)</f>
        <v>51</v>
      </c>
      <c r="Q31">
        <f ca="1">IFERROR(_xludf.AGGREGATE(1,6,AH45:AH56),0)</f>
        <v>0</v>
      </c>
      <c r="R31">
        <f ca="1">IFERROR(_xludf.AGGREGATE(1,6,AS45:AS56),0)</f>
        <v>0</v>
      </c>
      <c r="S31">
        <f t="shared" ref="S31:S36" ca="1" si="0">IFERROR(E31*R31,0)</f>
        <v>0</v>
      </c>
      <c r="T31">
        <v>0</v>
      </c>
      <c r="U31">
        <f t="shared" ref="U31:U36" ca="1" si="1">S31+T31</f>
        <v>0</v>
      </c>
      <c r="V31" t="s">
        <v>98</v>
      </c>
      <c r="W31">
        <v>-118.02500000000001</v>
      </c>
      <c r="X31">
        <v>-117.982</v>
      </c>
    </row>
    <row r="32" spans="1:24" x14ac:dyDescent="0.35">
      <c r="A32" t="s">
        <v>99</v>
      </c>
      <c r="B32" t="s">
        <v>97</v>
      </c>
      <c r="C32" t="s">
        <v>100</v>
      </c>
      <c r="D32">
        <v>1387</v>
      </c>
      <c r="E32">
        <v>1385.5150000000001</v>
      </c>
      <c r="F32">
        <v>6.5579999999999998</v>
      </c>
      <c r="G32">
        <v>10.206</v>
      </c>
      <c r="H32">
        <v>0</v>
      </c>
      <c r="I32">
        <v>0</v>
      </c>
      <c r="J32">
        <v>634.298</v>
      </c>
      <c r="K32">
        <v>631.875</v>
      </c>
      <c r="L32">
        <f ca="1">IFERROR(AI62,IFERROR($I$13,0))</f>
        <v>634.34799999999996</v>
      </c>
      <c r="M32">
        <f ca="1">IFERROR(AI1448,IFERROR($I$14,0))</f>
        <v>631.92499999999995</v>
      </c>
      <c r="N32">
        <f ca="1">IF(N6="None",MAX(0,$D$5-N33),$D$5*$I$11)</f>
        <v>50.95</v>
      </c>
      <c r="O32">
        <f ca="1">IFERROR(_xludf.AGGREGATE(9,6,AO62:AO1448),0)</f>
        <v>0</v>
      </c>
      <c r="P32">
        <f ca="1">MAX(0,IFERROR(K1448,0)-IFERROR(AO1448,0)-0)</f>
        <v>50.95</v>
      </c>
      <c r="Q32">
        <f ca="1">IFERROR(_xludf.AGGREGATE(1,6,AH62:AH1448),0)</f>
        <v>0</v>
      </c>
      <c r="R32">
        <f ca="1">IFERROR(_xludf.AGGREGATE(1,6,AS62:AS1448),0)</f>
        <v>0</v>
      </c>
      <c r="S32">
        <f t="shared" ca="1" si="0"/>
        <v>0</v>
      </c>
      <c r="T32">
        <f ca="1">($D$11*0.13607488*(ABS(N33)/MAX(ABS($D$5),0.000001))^2*MAX(((ABS(N32)/MAX(((F32)+(H32)*(MAX($D$16,($I$13)-(J32))))*(MAX($D$16,($I$13)-(J32))),0.000001))^2)/(2*$I$5),((ABS(N32)/MAX(((G32)+(I32)*(MAX($D$16,($I$14)-(K32))))*(MAX($D$16,($I$14)-(K32))),0.000001))^2)/(2*$I$5)))</f>
        <v>1.2071060321077464E-4</v>
      </c>
      <c r="U32">
        <f t="shared" ca="1" si="1"/>
        <v>1.2071060321077464E-4</v>
      </c>
      <c r="V32" t="s">
        <v>98</v>
      </c>
      <c r="W32">
        <v>-161.27500000000001</v>
      </c>
      <c r="X32">
        <v>-90</v>
      </c>
    </row>
    <row r="33" spans="1:45" x14ac:dyDescent="0.35">
      <c r="A33" t="s">
        <v>26</v>
      </c>
      <c r="B33" t="s">
        <v>97</v>
      </c>
      <c r="C33" t="s">
        <v>101</v>
      </c>
      <c r="D33">
        <v>19</v>
      </c>
      <c r="E33">
        <v>17.254999999999999</v>
      </c>
      <c r="F33">
        <v>6.5579999999999998</v>
      </c>
      <c r="G33">
        <v>5.9939999999999998</v>
      </c>
      <c r="H33">
        <v>0</v>
      </c>
      <c r="I33">
        <v>0</v>
      </c>
      <c r="J33">
        <v>634.298</v>
      </c>
      <c r="K33">
        <v>634.26199999999994</v>
      </c>
      <c r="L33">
        <f ca="1">IFERROR(AI1454,IFERROR($I$13,0))</f>
        <v>634.34799999999996</v>
      </c>
      <c r="M33">
        <f ca="1">IFERROR(AI1472,IFERROR($I$13,0))</f>
        <v>634.3119999999999</v>
      </c>
      <c r="N33">
        <f ca="1">IF(N6="None",MAX(0.05,IFERROR(O33,0)+0.05),MAX(0,$D$5-N32))</f>
        <v>0.05</v>
      </c>
      <c r="O33">
        <f ca="1">IFERROR(_xludf.AGGREGATE(9,6,AO1454:AO1472),0)</f>
        <v>0</v>
      </c>
      <c r="P33">
        <v>0</v>
      </c>
      <c r="Q33">
        <f ca="1">IFERROR(_xludf.AGGREGATE(1,6,AH1454:AH1472),0)</f>
        <v>0</v>
      </c>
      <c r="R33">
        <f ca="1">IFERROR(_xludf.AGGREGATE(1,6,AS1454:AS1472),0)</f>
        <v>0</v>
      </c>
      <c r="S33">
        <f t="shared" ca="1" si="0"/>
        <v>0</v>
      </c>
      <c r="T33">
        <f ca="1">($D$11*0.00000015*(ABS(N32)/MAX(ABS($D$5),0.000001))^2*MAX(((ABS(N33)/MAX(((F33)+(H33)*(MAX($D$16,($I$13)-(J33))))*(MAX($D$16,($I$13)-(J33))),0.000001))^2)/(2*$I$5),((ABS(N33)/MAX(((G33)+(I33)*(MAX($D$16,(IF(N6="None",$I$13,P6))-(K33))))*(MAX($D$16,(IF(N6="None",$I$13,P6))-(K33))),0.000001))^2)/(2*$I$5)))</f>
        <v>1.5928250116692997E-10</v>
      </c>
      <c r="U33">
        <f t="shared" ca="1" si="1"/>
        <v>1.5928250116692997E-10</v>
      </c>
      <c r="V33" t="s">
        <v>98</v>
      </c>
      <c r="W33">
        <v>-118.02500000000001</v>
      </c>
      <c r="X33">
        <v>-117.874</v>
      </c>
    </row>
    <row r="34" spans="1:45" x14ac:dyDescent="0.35">
      <c r="A34" t="s">
        <v>35</v>
      </c>
      <c r="B34" t="s">
        <v>100</v>
      </c>
      <c r="C34" t="s">
        <v>101</v>
      </c>
      <c r="D34">
        <v>39</v>
      </c>
      <c r="E34">
        <v>38</v>
      </c>
      <c r="F34">
        <v>10.206</v>
      </c>
      <c r="G34">
        <v>5.0049999999999999</v>
      </c>
      <c r="H34">
        <v>0</v>
      </c>
      <c r="I34">
        <v>0</v>
      </c>
      <c r="J34">
        <v>631.875</v>
      </c>
      <c r="K34">
        <v>621.97799999999995</v>
      </c>
      <c r="L34">
        <f ca="1">IFERROR(AI1478,IFERROR($I$14,0))</f>
        <v>631.92499999999995</v>
      </c>
      <c r="M34">
        <f ca="1">IFERROR(AI1516,IFERROR(P7,0))</f>
        <v>623.52149446459748</v>
      </c>
      <c r="N34">
        <f ca="1">IF(AND(N7="None",N8="None"),MAX(0,N32*$I$12),IF(N7="None",MAX(0.05,IFERROR(O34,0)+0.05),IF(N8="None",MAX(0,N32-N35),N32*$I$12)))</f>
        <v>1.0190000000000001</v>
      </c>
      <c r="O34">
        <f ca="1">IFERROR(_xludf.AGGREGATE(9,6,AO1478:AO1516),0)</f>
        <v>0</v>
      </c>
      <c r="P34">
        <v>0</v>
      </c>
      <c r="Q34">
        <f ca="1">IFERROR(_xludf.AGGREGATE(1,6,AH1478:AH1516),0)</f>
        <v>0</v>
      </c>
      <c r="R34">
        <f ca="1">IFERROR(_xludf.AGGREGATE(1,6,AS1478:AS1516),0)</f>
        <v>0</v>
      </c>
      <c r="S34">
        <f t="shared" ca="1" si="0"/>
        <v>0</v>
      </c>
      <c r="T34">
        <f>0</f>
        <v>0</v>
      </c>
      <c r="U34">
        <f t="shared" ca="1" si="1"/>
        <v>0</v>
      </c>
      <c r="V34" t="s">
        <v>98</v>
      </c>
      <c r="W34">
        <v>-90</v>
      </c>
      <c r="X34">
        <v>-90</v>
      </c>
    </row>
    <row r="35" spans="1:45" x14ac:dyDescent="0.35">
      <c r="A35" t="s">
        <v>40</v>
      </c>
      <c r="B35" t="s">
        <v>100</v>
      </c>
      <c r="C35" t="s">
        <v>101</v>
      </c>
      <c r="D35">
        <v>36</v>
      </c>
      <c r="E35">
        <v>34.930999999999997</v>
      </c>
      <c r="F35">
        <v>10.206</v>
      </c>
      <c r="G35">
        <v>3.82</v>
      </c>
      <c r="H35">
        <v>0</v>
      </c>
      <c r="I35">
        <v>0</v>
      </c>
      <c r="J35">
        <v>631.5</v>
      </c>
      <c r="K35">
        <v>631.5</v>
      </c>
      <c r="L35">
        <f ca="1">IFERROR(AI1522,IFERROR($I$14,0))</f>
        <v>631.54999999999995</v>
      </c>
      <c r="M35">
        <f ca="1">IFERROR(AI1557,IFERROR(P8,0))</f>
        <v>632.94995142226526</v>
      </c>
      <c r="N35">
        <f ca="1">IF(AND(N7="None",N8="None"),MAX(0,N32-N34),IF(N8="None",MAX(0.05,IFERROR(O35,0)+0.05),IF(N7="None",MAX(0,N32-N34),MAX(0,N32-N34))))</f>
        <v>49.931000000000004</v>
      </c>
      <c r="O35">
        <f ca="1">IFERROR(_xludf.AGGREGATE(9,6,AO1522:AO1557),0)</f>
        <v>0</v>
      </c>
      <c r="P35">
        <v>0</v>
      </c>
      <c r="Q35">
        <f ca="1">IFERROR(_xludf.AGGREGATE(1,6,AH1522:AH1557),0)</f>
        <v>0</v>
      </c>
      <c r="R35">
        <f ca="1">IFERROR(_xludf.AGGREGATE(1,6,AS1522:AS1557),0)</f>
        <v>0</v>
      </c>
      <c r="S35">
        <f t="shared" ca="1" si="0"/>
        <v>0</v>
      </c>
      <c r="T35">
        <f ca="1">($D$11*0.34699541*(ABS(N34)/MAX(ABS(N32),0.000001))^2*MAX(((ABS(N35)/MAX(((F35)+(H35)*(MAX($D$16,($I$14)-(J35))))*(MAX($D$16,($I$14)-(J35))),0.000001))^2)/(2*$I$5),((ABS(N35)/MAX(((G35)+(I35)*(MAX($D$16,(IF(N8="None",$I$14,P8))-(K35))))*(MAX($D$16,(IF(N8="None",$I$14,P8))-(K35))),0.000001))^2)/(2*$I$5)))</f>
        <v>5.0796685240042952E-2</v>
      </c>
      <c r="U35">
        <f t="shared" ca="1" si="1"/>
        <v>5.0796685240042952E-2</v>
      </c>
      <c r="V35" t="s">
        <v>98</v>
      </c>
      <c r="W35">
        <v>-17.818999999999999</v>
      </c>
      <c r="X35">
        <v>-85.754999999999995</v>
      </c>
    </row>
    <row r="36" spans="1:45" x14ac:dyDescent="0.35">
      <c r="A36" t="s">
        <v>43</v>
      </c>
      <c r="B36" t="s">
        <v>96</v>
      </c>
      <c r="C36" t="s">
        <v>101</v>
      </c>
      <c r="D36">
        <v>47</v>
      </c>
      <c r="E36">
        <v>45.363</v>
      </c>
      <c r="F36">
        <v>2.0499999999999998</v>
      </c>
      <c r="G36">
        <v>3.2</v>
      </c>
      <c r="H36">
        <v>0</v>
      </c>
      <c r="I36">
        <v>0</v>
      </c>
      <c r="J36">
        <v>631.5</v>
      </c>
      <c r="K36">
        <v>622</v>
      </c>
      <c r="L36">
        <f ca="1">IFERROR(AI1563,IFERROR(P9,0))</f>
        <v>632.93726101016512</v>
      </c>
      <c r="M36">
        <f ca="1">IFERROR(AI1609,IFERROR(P10,0))</f>
        <v>625</v>
      </c>
      <c r="N36">
        <f ca="1">O34+O35</f>
        <v>0</v>
      </c>
      <c r="O36" t="s">
        <v>102</v>
      </c>
      <c r="P36">
        <f ca="1">MAX(0,IFERROR(K1609,0)-IFERROR(AO1609,0)-0)</f>
        <v>49.881000000000007</v>
      </c>
      <c r="Q36">
        <f ca="1">IFERROR(_xludf.AGGREGATE(1,6,AH1563:AH1609),0)</f>
        <v>0</v>
      </c>
      <c r="R36">
        <f ca="1">IFERROR(_xludf.AGGREGATE(1,6,AS1563:AS1609),0)</f>
        <v>0</v>
      </c>
      <c r="S36">
        <f t="shared" ca="1" si="0"/>
        <v>0</v>
      </c>
      <c r="T36">
        <v>0</v>
      </c>
      <c r="U36">
        <f t="shared" ca="1" si="1"/>
        <v>0</v>
      </c>
      <c r="V36" t="s">
        <v>98</v>
      </c>
      <c r="W36">
        <v>-65.100999999999999</v>
      </c>
      <c r="X36">
        <v>-90.405000000000001</v>
      </c>
    </row>
    <row r="42" spans="1:45" x14ac:dyDescent="0.35">
      <c r="A42" t="s">
        <v>103</v>
      </c>
      <c r="E42">
        <f>E31</f>
        <v>10.742000000000001</v>
      </c>
      <c r="F42" t="s">
        <v>104</v>
      </c>
      <c r="H42">
        <f>N31</f>
        <v>51</v>
      </c>
      <c r="I42" t="s">
        <v>13</v>
      </c>
      <c r="K42" t="str">
        <f>V31</f>
        <v>Mixed</v>
      </c>
      <c r="L42" t="s">
        <v>105</v>
      </c>
    </row>
    <row r="43" spans="1:45" x14ac:dyDescent="0.35">
      <c r="A43" t="s">
        <v>106</v>
      </c>
      <c r="B43" t="s">
        <v>107</v>
      </c>
      <c r="C43" t="s">
        <v>108</v>
      </c>
      <c r="D43" t="s">
        <v>109</v>
      </c>
      <c r="E43" t="s">
        <v>110</v>
      </c>
      <c r="F43" t="s">
        <v>111</v>
      </c>
      <c r="G43" t="s">
        <v>112</v>
      </c>
      <c r="H43" t="s">
        <v>9</v>
      </c>
      <c r="I43" t="s">
        <v>113</v>
      </c>
      <c r="J43" t="s">
        <v>114</v>
      </c>
      <c r="K43" t="s">
        <v>115</v>
      </c>
      <c r="L43" t="s">
        <v>116</v>
      </c>
      <c r="M43" t="s">
        <v>117</v>
      </c>
      <c r="N43" t="s">
        <v>118</v>
      </c>
      <c r="O43" t="s">
        <v>119</v>
      </c>
      <c r="P43" t="s">
        <v>120</v>
      </c>
      <c r="Q43" t="s">
        <v>121</v>
      </c>
      <c r="R43" t="s">
        <v>122</v>
      </c>
      <c r="S43" t="s">
        <v>123</v>
      </c>
      <c r="T43" t="s">
        <v>124</v>
      </c>
      <c r="U43" t="s">
        <v>125</v>
      </c>
      <c r="V43" t="s">
        <v>126</v>
      </c>
      <c r="W43" t="s">
        <v>127</v>
      </c>
      <c r="X43" t="s">
        <v>128</v>
      </c>
      <c r="Y43" t="s">
        <v>129</v>
      </c>
      <c r="Z43" t="s">
        <v>130</v>
      </c>
      <c r="AA43" t="s">
        <v>131</v>
      </c>
      <c r="AB43" t="s">
        <v>132</v>
      </c>
      <c r="AC43" t="s">
        <v>133</v>
      </c>
      <c r="AD43" t="s">
        <v>134</v>
      </c>
      <c r="AE43" t="s">
        <v>135</v>
      </c>
      <c r="AF43" t="s">
        <v>136</v>
      </c>
      <c r="AG43" t="s">
        <v>137</v>
      </c>
      <c r="AH43" t="s">
        <v>138</v>
      </c>
      <c r="AI43" t="s">
        <v>139</v>
      </c>
      <c r="AJ43" t="s">
        <v>140</v>
      </c>
      <c r="AK43" t="s">
        <v>141</v>
      </c>
      <c r="AL43" t="s">
        <v>142</v>
      </c>
      <c r="AM43" t="s">
        <v>143</v>
      </c>
      <c r="AN43" t="s">
        <v>144</v>
      </c>
      <c r="AO43" t="s">
        <v>145</v>
      </c>
      <c r="AP43" t="s">
        <v>146</v>
      </c>
      <c r="AQ43" t="s">
        <v>147</v>
      </c>
      <c r="AR43" t="s">
        <v>148</v>
      </c>
      <c r="AS43" t="s">
        <v>149</v>
      </c>
    </row>
    <row r="44" spans="1:45" x14ac:dyDescent="0.35">
      <c r="A44" t="s">
        <v>22</v>
      </c>
      <c r="B44" t="s">
        <v>54</v>
      </c>
      <c r="C44" t="s">
        <v>54</v>
      </c>
      <c r="D44" t="s">
        <v>54</v>
      </c>
      <c r="E44" t="s">
        <v>54</v>
      </c>
      <c r="F44" t="s">
        <v>54</v>
      </c>
      <c r="G44" t="s">
        <v>22</v>
      </c>
      <c r="H44" t="s">
        <v>22</v>
      </c>
      <c r="I44" t="s">
        <v>150</v>
      </c>
      <c r="J44" t="s">
        <v>54</v>
      </c>
      <c r="K44" t="s">
        <v>13</v>
      </c>
      <c r="L44" t="s">
        <v>54</v>
      </c>
      <c r="M44" t="s">
        <v>151</v>
      </c>
      <c r="N44" t="s">
        <v>54</v>
      </c>
      <c r="O44" t="s">
        <v>152</v>
      </c>
      <c r="P44" t="s">
        <v>54</v>
      </c>
      <c r="Q44" t="s">
        <v>54</v>
      </c>
      <c r="R44" t="s">
        <v>22</v>
      </c>
      <c r="S44" t="s">
        <v>22</v>
      </c>
      <c r="T44" t="s">
        <v>153</v>
      </c>
      <c r="U44" t="s">
        <v>54</v>
      </c>
      <c r="V44" t="s">
        <v>22</v>
      </c>
      <c r="W44" t="s">
        <v>54</v>
      </c>
      <c r="X44" t="s">
        <v>151</v>
      </c>
      <c r="Y44" t="s">
        <v>54</v>
      </c>
      <c r="Z44" t="s">
        <v>152</v>
      </c>
      <c r="AA44" t="s">
        <v>54</v>
      </c>
      <c r="AB44" t="s">
        <v>54</v>
      </c>
      <c r="AC44" t="s">
        <v>22</v>
      </c>
      <c r="AD44" t="s">
        <v>22</v>
      </c>
      <c r="AE44" t="s">
        <v>153</v>
      </c>
      <c r="AF44" t="s">
        <v>54</v>
      </c>
      <c r="AG44" t="s">
        <v>22</v>
      </c>
      <c r="AH44" t="s">
        <v>54</v>
      </c>
      <c r="AI44" t="s">
        <v>54</v>
      </c>
      <c r="AJ44" t="s">
        <v>54</v>
      </c>
      <c r="AK44" t="s">
        <v>54</v>
      </c>
      <c r="AL44" t="s">
        <v>54</v>
      </c>
      <c r="AM44" t="s">
        <v>13</v>
      </c>
      <c r="AN44" t="s">
        <v>13</v>
      </c>
      <c r="AO44" t="s">
        <v>13</v>
      </c>
      <c r="AP44" t="s">
        <v>13</v>
      </c>
      <c r="AQ44" t="s">
        <v>22</v>
      </c>
      <c r="AR44" t="s">
        <v>22</v>
      </c>
      <c r="AS44" t="s">
        <v>22</v>
      </c>
    </row>
    <row r="45" spans="1:45" x14ac:dyDescent="0.35">
      <c r="A45">
        <v>1</v>
      </c>
      <c r="B45">
        <v>0</v>
      </c>
      <c r="C45">
        <v>616561.06099999999</v>
      </c>
      <c r="D45">
        <v>3097769.93</v>
      </c>
      <c r="E45">
        <v>634.32000000000005</v>
      </c>
      <c r="F45">
        <v>6.0030000000000001</v>
      </c>
      <c r="G45">
        <v>0</v>
      </c>
      <c r="H45" t="s">
        <v>154</v>
      </c>
      <c r="I45">
        <v>0</v>
      </c>
      <c r="J45">
        <v>0</v>
      </c>
      <c r="K45">
        <f>N31</f>
        <v>51</v>
      </c>
      <c r="L45">
        <f>MAX($D$16,(P5)-E45)</f>
        <v>2.67999999999995</v>
      </c>
      <c r="M45">
        <f t="shared" ref="M45:M56" si="2">((F45)+(G45)*(L45))*(L45)</f>
        <v>16.088039999999701</v>
      </c>
      <c r="N45">
        <f t="shared" ref="N45:N56" si="3">(((F45)+(G45)*(L45))*(L45))/MAX((F45)+2*(L45)*SQRT(1+(G45)^2),0.000001)</f>
        <v>1.415826806301139</v>
      </c>
      <c r="O45">
        <f t="shared" ref="O45:O56" si="4">ABS(K45)/MAX(((F45)+(G45)*(L45))*(L45),0.000001)</f>
        <v>3.1700567626635032</v>
      </c>
      <c r="P45">
        <f t="shared" ref="P45:P56" si="5">E45+L45</f>
        <v>637</v>
      </c>
      <c r="Q45">
        <f t="shared" ref="Q45:Q56" si="6">P45+((ABS(K45)/MAX(((F45)+(G45)*(L45))*(L45),0.000001))^2)/(2*$I$5)</f>
        <v>637.51219469309422</v>
      </c>
      <c r="R45">
        <f t="shared" ref="R45:R56" si="7">((ABS(K45)*$D$6)/(MAX(((F45)+(G45)*(L45))*(L45),0.000001)*MAX(((((F45)+(G45)*(L45))*(L45))/MAX((F45)+2*(L45)*SQRT(1+(G45)^2),0.000001))^(2/3),0.000001)))^2</f>
        <v>1.4222297358722554E-3</v>
      </c>
      <c r="S45">
        <f t="shared" ref="S45:S56" si="8">ABS(ABS(K45)/MAX(((F45)+(G45)*(L45))*(L45),0.000001))/SQRT($I$5*MAX((((F45)+(G45)*(L45))*(L45))/MAX((F45)+2*(G45)*(L45),0.000001),0.000001))</f>
        <v>0.61825144204660709</v>
      </c>
      <c r="T45">
        <f t="shared" ref="T45:T56" si="9">((F45)*(L45)^2)/2+(G45)*(L45)^3/3+(ABS(K45)^2)/($I$5*MAX(((F45)+(G45)*(L45))*(L45),0.000001))</f>
        <v>38.038391020573982</v>
      </c>
      <c r="U45">
        <v>0</v>
      </c>
      <c r="V45">
        <v>1</v>
      </c>
      <c r="W45">
        <f t="shared" ref="W45:W55" ca="1" si="10">IF($D$20=0,IFERROR(W46,MAX($D$16,POWER((ABS(K45)^2)/($I$5*MAX(F45,0.1)^2),1/3))),IF(IFERROR(AG46,0)=0,IFERROR(W46,MAX($D$16,POWER((ABS(K45)^2)/($I$5*MAX(F45,0.1)^2),1/3))),IF(OR(IFERROR(W45,0)=0,IFERROR(AD46,0)&gt;1),MAX($D$16,POWER((ABS(K45)^2)/($I$5*MAX(F45,0.1)^2),1/3)),IF(IFERROR(AF45,0)&gt;0,MAX($D$16,IFERROR(W45,0)+((IFERROR(AF45,0))*$D$18*IF((IFERROR(AD45,0))&lt;1,1,-1))),IF(IFERROR(AF45,0)&lt;0,IF(ABS((MAX($D$16,POWER((ABS(K45)^2)/($I$5*MAX(F45,0.1)^2),1/3)))-IFERROR(W45,0))&gt;$D$19,MAX($D$16,IF((MAX($D$16,POWER((ABS(K45)^2)/($I$5*MAX(F45,0.1)^2),1/3)))&gt;IFERROR(W45,0),MIN((MAX($D$16,POWER((ABS(K45)^2)/($I$5*MAX(F45,0.1)^2),1/3))),IFERROR(W45,0)+(MIN(ABS(IFERROR(AF45,0))*$D$18,ABS((MAX($D$16,POWER((ABS(K45)^2)/($I$5*MAX(F45,0.1)^2),1/3)))-IFERROR(W45,0))))),MAX((MAX($D$16,POWER((ABS(K45)^2)/($I$5*MAX(F45,0.1)^2),1/3))),IFERROR(W45,0)-(MIN(ABS(IFERROR(AF45,0))*$D$18,ABS((MAX($D$16,POWER((ABS(K45)^2)/($I$5*MAX(F45,0.1)^2),1/3)))-IFERROR(W45,0))))))),MAX($D$16,POWER((ABS(K45)^2)/($I$5*MAX(F45,0.1)^2),1/3))),MAX($D$16,IFERROR(W45,0)))))))</f>
        <v>1.5320520278227894</v>
      </c>
      <c r="X45">
        <f t="shared" ref="X45:X56" ca="1" si="11">((F45)+(G45)*(W45))*(W45)</f>
        <v>9.1969083230202049</v>
      </c>
      <c r="Y45">
        <f t="shared" ref="Y45:Y56" ca="1" si="12">(((F45)+(G45)*(W45))*(W45))/MAX((F45)+2*(W45)*SQRT(1+(G45)^2),0.000001)</f>
        <v>1.0143159565146718</v>
      </c>
      <c r="Z45">
        <f t="shared" ref="Z45:Z56" ca="1" si="13">ABS(K45)/MAX(((F45)+(G45)*(W45))*(W45),0.000001)</f>
        <v>5.5453417832104615</v>
      </c>
      <c r="AA45">
        <f t="shared" ref="AA45:AA56" ca="1" si="14">E45+W45</f>
        <v>635.85205202782288</v>
      </c>
      <c r="AB45">
        <f t="shared" ref="AB45:AB56" ca="1" si="15">AA45+((ABS(K45)/MAX(((F45)+(G45)*(W45))*(W45),0.000001))^2)/(2*$I$5)</f>
        <v>637.41937187963833</v>
      </c>
      <c r="AC45">
        <f t="shared" ref="AC45:AC56" ca="1" si="16">((ABS(K45)*$D$6)/(MAX(((F45)+(G45)*(W45))*(W45),0.000001)*MAX(((((F45)+(G45)*(W45))*(W45))/MAX((F45)+2*(W45)*SQRT(1+(G45)^2),0.000001))^(2/3),0.000001)))^2</f>
        <v>6.789036530232738E-3</v>
      </c>
      <c r="AD45">
        <f t="shared" ref="AD45:AD56" ca="1" si="17">ABS(ABS(K45)/MAX(((F45)+(G45)*(W45))*(W45),0.000001))/SQRT($I$5*MAX((((F45)+(G45)*(W45))*(W45))/MAX((F45)+2*(G45)*(W45),0.000001),0.000001))</f>
        <v>1.4303985396145487</v>
      </c>
      <c r="AE45">
        <f t="shared" ref="AE45:AE56" ca="1" si="18">((F45)*(W45)^2)/2+(G45)*(W45)^3/3+(ABS(K45)^2)/($I$5*MAX(((F45)+(G45)*(W45))*(W45),0.000001))</f>
        <v>35.874065002984921</v>
      </c>
      <c r="AF45">
        <f t="shared" ref="AF45:AF55" ca="1" si="19">IF($D$20=0,0,IFERROR(AB46+(((AC45+AC46)/2)*J46)+(IF(Z45&gt;Z46,$D$8*((Z45^2-Z46^2)/(2*$I$5)),$D$9*((Z46^2-Z45^2)/(2*$I$5)))+($D$10*(ABS(I46)/90)*(MAX(Z45^2,Z46^2)/(2*$I$5))))-AB45,0))</f>
        <v>4.7890365301554993E-3</v>
      </c>
      <c r="AG45">
        <f t="shared" ref="AG45:AG55" ca="1" si="20">IF($D$20=0,1,IFERROR(IF(ROUND(AD45,3)=1,1,IF(AND(ABS(AF45)&lt;$D$19,AD45&lt;1),1,0)),0))</f>
        <v>0</v>
      </c>
      <c r="AH45">
        <f ca="1">IFERROR(IF(V31="Supercritical",MAX($D$16,IFERROR(L45,MAX($D$16,POWER((ABS(K45)^2)/($I$5*MAX(F45,0.1)^2),1/3)))),IF(V31="Subcritical",MAX($D$16,IFERROR(W45,MAX($D$16,POWER((ABS(K45)^2)/($I$5*MAX(F45,0.1)^2),1/3)))),IF(AND(IFERROR(V45,0)=1,IFERROR(AG45,0)=1),IF(IFERROR(T45,-1E+99)&gt;=IFERROR(AE45,-1E+99),MAX($D$16,IFERROR(L45,MAX($D$16,POWER((ABS(K45)^2)/($I$5*MAX(F45,0.1)^2),1/3)))),MAX($D$16,IFERROR(W45,MAX($D$16,POWER((ABS(K45)^2)/($I$5*MAX(F45,0.1)^2),1/3))))),IF(IFERROR(V45,0)=1,MAX($D$16,IFERROR(L45,MAX($D$16,POWER((ABS(K45)^2)/($I$5*MAX(F45,0.1)^2),1/3)))),IF(IFERROR(AG45,0)=1,MAX($D$16,IFERROR(W45,MAX($D$16,POWER((ABS(K45)^2)/($I$5*MAX(F45,0.1)^2),1/3)))),MAX($D$16,POWER((ABS(K45)^2)/($I$5*MAX(F45,0.1)^2),1/3))))))),MAX($D$16,POWER((ABS(K45)^2)/($I$5*MAX(F45,0.1)^2),1/3)))</f>
        <v>2.67999999999995</v>
      </c>
      <c r="AI45">
        <f t="shared" ref="AI45:AI56" ca="1" si="21">E45+AH45</f>
        <v>637</v>
      </c>
      <c r="AJ45">
        <f t="shared" ref="AJ45:AJ56" ca="1" si="22">AI45+((ABS(K45)/MAX(((F45)+(G45)*(AH45))*(AH45),0.000001))^2)/(2*$I$5)</f>
        <v>637.51219469309422</v>
      </c>
      <c r="AM45">
        <v>0</v>
      </c>
      <c r="AN45">
        <v>0</v>
      </c>
      <c r="AO45">
        <f t="shared" ref="AO45:AO56" si="23">AM45+AN45</f>
        <v>0</v>
      </c>
      <c r="AP45">
        <f>AO45</f>
        <v>0</v>
      </c>
      <c r="AQ45">
        <f t="shared" ref="AQ45:AQ56" ca="1" si="24">ABS(ABS(K45)/MAX(((F45)+(G45)*(AH45))*(AH45),0.000001))/SQRT($I$5*MAX((((F45)+(G45)*(AH45))*(AH45))/MAX((F45)+2*(G45)*(AH45),0.000001),0.000001))</f>
        <v>0.61825144204660709</v>
      </c>
      <c r="AR45" t="str">
        <f t="shared" ref="AR45:AR56" ca="1" si="25">IF(AQ45&lt;1,"Subcritical","Supercritical")</f>
        <v>Subcritical</v>
      </c>
      <c r="AS45">
        <f t="shared" ref="AS45:AS56" ca="1" si="26">((ABS(K45)*$D$6)/(MAX(((F45)+(G45)*(AH45))*(AH45),0.000001)*MAX(((((F45)+(G45)*(AH45))*(AH45))/MAX((F45)+2*(AH45)*SQRT(1+(G45)^2),0.000001))^(2/3),0.000001)))^2</f>
        <v>1.4222297358722554E-3</v>
      </c>
    </row>
    <row r="46" spans="1:45" x14ac:dyDescent="0.35">
      <c r="A46">
        <v>2</v>
      </c>
      <c r="B46">
        <v>1</v>
      </c>
      <c r="C46">
        <v>616560.59100000001</v>
      </c>
      <c r="D46">
        <v>3097769.0469999998</v>
      </c>
      <c r="E46">
        <v>634.31799999999998</v>
      </c>
      <c r="F46">
        <v>6.0030000000000001</v>
      </c>
      <c r="G46">
        <v>0</v>
      </c>
      <c r="H46" t="s">
        <v>154</v>
      </c>
      <c r="I46">
        <v>0</v>
      </c>
      <c r="J46">
        <f t="shared" ref="J46:J56" si="27">B46-B45</f>
        <v>1</v>
      </c>
      <c r="K46">
        <f t="shared" ref="K46:K56" si="28">MAX(0,K45-AO45)</f>
        <v>51</v>
      </c>
      <c r="L46">
        <f t="shared" ref="L46:L56" ca="1" si="29">IF($D$20=0,IFERROR(L45,MAX($D$16,POWER((ABS(K46)^2)/($I$5*MAX(F46,0.1)^2),1/3))),IF(IFERROR(V45,0)=0,IFERROR(L45,MAX($D$16,POWER((ABS(K46)^2)/($I$5*MAX(F46,0.1)^2),1/3))),IF(OR(IFERROR(L46,0)=0,IFERROR(S45,0)&lt;1,IFERROR(S46,0)&lt;1),MAX($D$16,POWER((ABS(K46)^2)/($I$5*MAX(F46,0.1)^2),1/3)),IF(IFERROR(U46,0)&gt;0,MAX($D$16,IFERROR(L46,0)+((IFERROR(U46,0))*$D$18*IF((IFERROR(S46,0))&lt;1,1,-1))),IF(IFERROR(U46,0)&lt;0,IF(ABS((MAX($D$16,POWER((ABS(K46)^2)/($I$5*MAX(F46,0.1)^2),1/3)))-IFERROR(L46,0))&gt;$D$19,MAX($D$16,IF((MAX($D$16,POWER((ABS(K46)^2)/($I$5*MAX(F46,0.1)^2),1/3)))&gt;IFERROR(L46,0),MIN((MAX($D$16,POWER((ABS(K46)^2)/($I$5*MAX(F46,0.1)^2),1/3))),IFERROR(L46,0)+(MIN(ABS(IFERROR(U46,0))*$D$18,ABS((MAX($D$16,POWER((ABS(K46)^2)/($I$5*MAX(F46,0.1)^2),1/3)))-IFERROR(L46,0))))),MAX((MAX($D$16,POWER((ABS(K46)^2)/($I$5*MAX(F46,0.1)^2),1/3))),IFERROR(L46,0)-(MIN(ABS(IFERROR(U46,0))*$D$18,ABS((MAX($D$16,POWER((ABS(K46)^2)/($I$5*MAX(F46,0.1)^2),1/3)))-IFERROR(L46,0))))))),MAX($D$16,POWER((ABS(K46)^2)/($I$5*MAX(F46,0.1)^2),1/3))),MAX($D$16,IFERROR(L46,0)))))))</f>
        <v>1.9449639349259837</v>
      </c>
      <c r="M46">
        <f t="shared" ca="1" si="2"/>
        <v>11.675618501360681</v>
      </c>
      <c r="N46">
        <f t="shared" ca="1" si="3"/>
        <v>1.1801984867332698</v>
      </c>
      <c r="O46">
        <f t="shared" ca="1" si="4"/>
        <v>4.3680769454788573</v>
      </c>
      <c r="P46">
        <f t="shared" ca="1" si="5"/>
        <v>636.26296393492601</v>
      </c>
      <c r="Q46">
        <f t="shared" ca="1" si="6"/>
        <v>637.23544590238896</v>
      </c>
      <c r="R46">
        <f t="shared" ca="1" si="7"/>
        <v>3.4420962243487683E-3</v>
      </c>
      <c r="S46">
        <f t="shared" ca="1" si="8"/>
        <v>1</v>
      </c>
      <c r="T46">
        <f t="shared" ca="1" si="9"/>
        <v>34.062985354651637</v>
      </c>
      <c r="U46">
        <f t="shared" ref="U46:U56" ca="1" si="30">IF($D$20=0,0,IFERROR(Q45-(((R45+R46)/2)*J46)-(IF(O45&gt;O46,$D$8*((O45^2-O46^2)/(2*$I$5)),$D$9*((O46^2-O45^2)/(2*$I$5)))+($D$10*(ABS(I46)/90)*(MAX(O45^2,O46^2)/(2*$I$5))))-Q46,0))</f>
        <v>0.22828790028825097</v>
      </c>
      <c r="V46">
        <f t="shared" ref="V46:V56" ca="1" si="31">IF($D$20=0,1,IFERROR(IF(ROUND(S46,3)=1,1,IF(AND(ABS(U46)&lt;$D$19,S46&gt;1),1,0)),0))</f>
        <v>1</v>
      </c>
      <c r="W46">
        <f t="shared" ca="1" si="10"/>
        <v>1.5320520278226188</v>
      </c>
      <c r="X46">
        <f t="shared" ca="1" si="11"/>
        <v>9.1969083230191817</v>
      </c>
      <c r="Y46">
        <f t="shared" ca="1" si="12"/>
        <v>1.0143159565145969</v>
      </c>
      <c r="Z46">
        <f t="shared" ca="1" si="13"/>
        <v>5.5453417832110787</v>
      </c>
      <c r="AA46">
        <f t="shared" ca="1" si="14"/>
        <v>635.85005202782258</v>
      </c>
      <c r="AB46">
        <f t="shared" ca="1" si="15"/>
        <v>637.41737187963838</v>
      </c>
      <c r="AC46">
        <f t="shared" ca="1" si="16"/>
        <v>6.7890365302349168E-3</v>
      </c>
      <c r="AD46">
        <f t="shared" ca="1" si="17"/>
        <v>1.4303985396147874</v>
      </c>
      <c r="AE46">
        <f t="shared" ca="1" si="18"/>
        <v>35.874065002986562</v>
      </c>
      <c r="AF46">
        <f t="shared" ca="1" si="19"/>
        <v>4.499534368278546E-3</v>
      </c>
      <c r="AG46">
        <f t="shared" ca="1" si="20"/>
        <v>0</v>
      </c>
      <c r="AH46">
        <f ca="1">IFERROR(IF(V31="Supercritical",MAX($D$16,IFERROR(L46,MAX($D$16,POWER((ABS(K46)^2)/($I$5*MAX(F46,0.1)^2),1/3)))),IF(V31="Subcritical",MAX($D$16,IFERROR(W46,MAX($D$16,POWER((ABS(K46)^2)/($I$5*MAX(F46,0.1)^2),1/3)))),IF(AND(IFERROR(V46,0)=1,IFERROR(AG46,0)=1),IF(IFERROR(T46,-1E+99)&gt;=IFERROR(AE46,-1E+99),MAX($D$16,IFERROR(L46,MAX($D$16,POWER((ABS(K46)^2)/($I$5*MAX(F46,0.1)^2),1/3)))),MAX($D$16,IFERROR(W46,MAX($D$16,POWER((ABS(K46)^2)/($I$5*MAX(F46,0.1)^2),1/3))))),IF(IFERROR(V46,0)=1,MAX($D$16,IFERROR(L46,MAX($D$16,POWER((ABS(K46)^2)/($I$5*MAX(F46,0.1)^2),1/3)))),IF(IFERROR(AG46,0)=1,MAX($D$16,IFERROR(W46,MAX($D$16,POWER((ABS(K46)^2)/($I$5*MAX(F46,0.1)^2),1/3)))),MAX($D$16,POWER((ABS(K46)^2)/($I$5*MAX(F46,0.1)^2),1/3))))))),MAX($D$16,POWER((ABS(K46)^2)/($I$5*MAX(F46,0.1)^2),1/3)))</f>
        <v>1.9449639349259837</v>
      </c>
      <c r="AI46">
        <f t="shared" ca="1" si="21"/>
        <v>636.26296393492601</v>
      </c>
      <c r="AJ46">
        <f t="shared" ca="1" si="22"/>
        <v>637.23544590238896</v>
      </c>
      <c r="AM46">
        <v>0</v>
      </c>
      <c r="AN46">
        <v>0</v>
      </c>
      <c r="AO46">
        <f t="shared" si="23"/>
        <v>0</v>
      </c>
      <c r="AP46">
        <f t="shared" ref="AP46:AP56" si="32">AP45+AO46</f>
        <v>0</v>
      </c>
      <c r="AQ46">
        <f t="shared" ca="1" si="24"/>
        <v>1</v>
      </c>
      <c r="AR46" t="str">
        <f t="shared" ca="1" si="25"/>
        <v>Supercritical</v>
      </c>
      <c r="AS46">
        <f t="shared" ca="1" si="26"/>
        <v>3.4420962243487683E-3</v>
      </c>
    </row>
    <row r="47" spans="1:45" x14ac:dyDescent="0.35">
      <c r="A47">
        <v>3</v>
      </c>
      <c r="B47">
        <v>2.0009999999999999</v>
      </c>
      <c r="C47">
        <v>616560.12100000004</v>
      </c>
      <c r="D47">
        <v>3097768.1639999999</v>
      </c>
      <c r="E47">
        <v>634.31600000000003</v>
      </c>
      <c r="F47">
        <v>6.0039999999999996</v>
      </c>
      <c r="G47">
        <v>0</v>
      </c>
      <c r="H47" t="s">
        <v>154</v>
      </c>
      <c r="I47">
        <v>2.7E-2</v>
      </c>
      <c r="J47">
        <f t="shared" si="27"/>
        <v>1.0009999999999999</v>
      </c>
      <c r="K47">
        <f t="shared" si="28"/>
        <v>51</v>
      </c>
      <c r="L47">
        <f t="shared" ca="1" si="29"/>
        <v>1.9447479658020994</v>
      </c>
      <c r="M47">
        <f t="shared" ca="1" si="2"/>
        <v>11.676266786675804</v>
      </c>
      <c r="N47">
        <f t="shared" ca="1" si="3"/>
        <v>1.1801962488685771</v>
      </c>
      <c r="O47">
        <f t="shared" ca="1" si="4"/>
        <v>4.3678344227452808</v>
      </c>
      <c r="P47">
        <f t="shared" ca="1" si="5"/>
        <v>636.26074796580212</v>
      </c>
      <c r="Q47">
        <f t="shared" ca="1" si="6"/>
        <v>637.23312194870323</v>
      </c>
      <c r="R47">
        <f t="shared" ca="1" si="7"/>
        <v>3.4417227148850105E-3</v>
      </c>
      <c r="S47">
        <f t="shared" ca="1" si="8"/>
        <v>1.0000000000000002</v>
      </c>
      <c r="T47">
        <f t="shared" ca="1" si="9"/>
        <v>34.061094122325578</v>
      </c>
      <c r="U47">
        <f t="shared" ca="1" si="30"/>
        <v>-1.1975547505471695E-3</v>
      </c>
      <c r="V47">
        <f t="shared" ca="1" si="31"/>
        <v>1</v>
      </c>
      <c r="W47">
        <f t="shared" ca="1" si="10"/>
        <v>1.5320520278224483</v>
      </c>
      <c r="X47">
        <f t="shared" ca="1" si="11"/>
        <v>9.1984403750459798</v>
      </c>
      <c r="Y47">
        <f t="shared" ca="1" si="12"/>
        <v>1.0143730507062221</v>
      </c>
      <c r="Z47">
        <f t="shared" ca="1" si="13"/>
        <v>5.5444181753197554</v>
      </c>
      <c r="AA47">
        <f t="shared" ca="1" si="14"/>
        <v>635.84805202782252</v>
      </c>
      <c r="AB47">
        <f t="shared" ca="1" si="15"/>
        <v>637.41484983122803</v>
      </c>
      <c r="AC47">
        <f t="shared" ca="1" si="16"/>
        <v>6.7862658921592567E-3</v>
      </c>
      <c r="AD47">
        <f t="shared" ca="1" si="17"/>
        <v>1.43016029868571</v>
      </c>
      <c r="AE47">
        <f t="shared" ca="1" si="18"/>
        <v>35.870436963453677</v>
      </c>
      <c r="AF47">
        <f t="shared" ca="1" si="19"/>
        <v>4.8499855273576031E-3</v>
      </c>
      <c r="AG47">
        <f t="shared" ca="1" si="20"/>
        <v>0</v>
      </c>
      <c r="AH47">
        <f ca="1">IFERROR(IF(V31="Supercritical",MAX($D$16,IFERROR(L47,MAX($D$16,POWER((ABS(K47)^2)/($I$5*MAX(F47,0.1)^2),1/3)))),IF(V31="Subcritical",MAX($D$16,IFERROR(W47,MAX($D$16,POWER((ABS(K47)^2)/($I$5*MAX(F47,0.1)^2),1/3)))),IF(AND(IFERROR(V47,0)=1,IFERROR(AG47,0)=1),IF(IFERROR(T47,-1E+99)&gt;=IFERROR(AE47,-1E+99),MAX($D$16,IFERROR(L47,MAX($D$16,POWER((ABS(K47)^2)/($I$5*MAX(F47,0.1)^2),1/3)))),MAX($D$16,IFERROR(W47,MAX($D$16,POWER((ABS(K47)^2)/($I$5*MAX(F47,0.1)^2),1/3))))),IF(IFERROR(V47,0)=1,MAX($D$16,IFERROR(L47,MAX($D$16,POWER((ABS(K47)^2)/($I$5*MAX(F47,0.1)^2),1/3)))),IF(IFERROR(AG47,0)=1,MAX($D$16,IFERROR(W47,MAX($D$16,POWER((ABS(K47)^2)/($I$5*MAX(F47,0.1)^2),1/3)))),MAX($D$16,POWER((ABS(K47)^2)/($I$5*MAX(F47,0.1)^2),1/3))))))),MAX($D$16,POWER((ABS(K47)^2)/($I$5*MAX(F47,0.1)^2),1/3)))</f>
        <v>1.9447479658020994</v>
      </c>
      <c r="AI47">
        <f t="shared" ca="1" si="21"/>
        <v>636.26074796580212</v>
      </c>
      <c r="AJ47">
        <f t="shared" ca="1" si="22"/>
        <v>637.23312194870323</v>
      </c>
      <c r="AM47">
        <v>0</v>
      </c>
      <c r="AN47">
        <v>0</v>
      </c>
      <c r="AO47">
        <f t="shared" si="23"/>
        <v>0</v>
      </c>
      <c r="AP47">
        <f t="shared" si="32"/>
        <v>0</v>
      </c>
      <c r="AQ47">
        <f t="shared" ca="1" si="24"/>
        <v>1.0000000000000002</v>
      </c>
      <c r="AR47" t="str">
        <f t="shared" ca="1" si="25"/>
        <v>Supercritical</v>
      </c>
      <c r="AS47">
        <f t="shared" ca="1" si="26"/>
        <v>3.4417227148850105E-3</v>
      </c>
    </row>
    <row r="48" spans="1:45" x14ac:dyDescent="0.35">
      <c r="A48">
        <v>4</v>
      </c>
      <c r="B48">
        <v>3</v>
      </c>
      <c r="C48">
        <v>616559.65099999995</v>
      </c>
      <c r="D48">
        <v>3097767.2820000001</v>
      </c>
      <c r="E48">
        <v>634.31399999999996</v>
      </c>
      <c r="F48">
        <v>6.0039999999999996</v>
      </c>
      <c r="G48">
        <v>0</v>
      </c>
      <c r="H48" t="s">
        <v>154</v>
      </c>
      <c r="I48">
        <v>2.7E-2</v>
      </c>
      <c r="J48">
        <f t="shared" si="27"/>
        <v>0.99900000000000011</v>
      </c>
      <c r="K48">
        <f t="shared" si="28"/>
        <v>51</v>
      </c>
      <c r="L48">
        <f t="shared" ca="1" si="29"/>
        <v>1.9447479658020994</v>
      </c>
      <c r="M48">
        <f t="shared" ca="1" si="2"/>
        <v>11.676266786675804</v>
      </c>
      <c r="N48">
        <f t="shared" ca="1" si="3"/>
        <v>1.1801962488685771</v>
      </c>
      <c r="O48">
        <f t="shared" ca="1" si="4"/>
        <v>4.3678344227452808</v>
      </c>
      <c r="P48">
        <f t="shared" ca="1" si="5"/>
        <v>636.25874796580206</v>
      </c>
      <c r="Q48">
        <f t="shared" ca="1" si="6"/>
        <v>637.23112194870316</v>
      </c>
      <c r="R48">
        <f t="shared" ca="1" si="7"/>
        <v>3.4417227148850105E-3</v>
      </c>
      <c r="S48">
        <f t="shared" ca="1" si="8"/>
        <v>1.0000000000000002</v>
      </c>
      <c r="T48">
        <f t="shared" ca="1" si="9"/>
        <v>34.061094122325578</v>
      </c>
      <c r="U48">
        <f t="shared" ca="1" si="30"/>
        <v>-1.4820378213471486E-3</v>
      </c>
      <c r="V48">
        <f t="shared" ca="1" si="31"/>
        <v>1</v>
      </c>
      <c r="W48">
        <f t="shared" ca="1" si="10"/>
        <v>1.5320520278222949</v>
      </c>
      <c r="X48">
        <f t="shared" ca="1" si="11"/>
        <v>9.1984403750450578</v>
      </c>
      <c r="Y48">
        <f t="shared" ca="1" si="12"/>
        <v>1.0143730507061548</v>
      </c>
      <c r="Z48">
        <f t="shared" ca="1" si="13"/>
        <v>5.5444181753203114</v>
      </c>
      <c r="AA48">
        <f t="shared" ca="1" si="14"/>
        <v>635.84605202782222</v>
      </c>
      <c r="AB48">
        <f t="shared" ca="1" si="15"/>
        <v>637.41284983122807</v>
      </c>
      <c r="AC48">
        <f t="shared" ca="1" si="16"/>
        <v>6.7862658921612161E-3</v>
      </c>
      <c r="AD48">
        <f t="shared" ca="1" si="17"/>
        <v>1.430160298685925</v>
      </c>
      <c r="AE48">
        <f t="shared" ca="1" si="18"/>
        <v>35.870436963455155</v>
      </c>
      <c r="AF48">
        <f t="shared" ca="1" si="19"/>
        <v>4.4196300593739579E-3</v>
      </c>
      <c r="AG48">
        <f t="shared" ca="1" si="20"/>
        <v>0</v>
      </c>
      <c r="AH48">
        <f ca="1">IFERROR(IF(V31="Supercritical",MAX($D$16,IFERROR(L48,MAX($D$16,POWER((ABS(K48)^2)/($I$5*MAX(F48,0.1)^2),1/3)))),IF(V31="Subcritical",MAX($D$16,IFERROR(W48,MAX($D$16,POWER((ABS(K48)^2)/($I$5*MAX(F48,0.1)^2),1/3)))),IF(AND(IFERROR(V48,0)=1,IFERROR(AG48,0)=1),IF(IFERROR(T48,-1E+99)&gt;=IFERROR(AE48,-1E+99),MAX($D$16,IFERROR(L48,MAX($D$16,POWER((ABS(K48)^2)/($I$5*MAX(F48,0.1)^2),1/3)))),MAX($D$16,IFERROR(W48,MAX($D$16,POWER((ABS(K48)^2)/($I$5*MAX(F48,0.1)^2),1/3))))),IF(IFERROR(V48,0)=1,MAX($D$16,IFERROR(L48,MAX($D$16,POWER((ABS(K48)^2)/($I$5*MAX(F48,0.1)^2),1/3)))),IF(IFERROR(AG48,0)=1,MAX($D$16,IFERROR(W48,MAX($D$16,POWER((ABS(K48)^2)/($I$5*MAX(F48,0.1)^2),1/3)))),MAX($D$16,POWER((ABS(K48)^2)/($I$5*MAX(F48,0.1)^2),1/3))))))),MAX($D$16,POWER((ABS(K48)^2)/($I$5*MAX(F48,0.1)^2),1/3)))</f>
        <v>1.9447479658020994</v>
      </c>
      <c r="AI48">
        <f t="shared" ca="1" si="21"/>
        <v>636.25874796580206</v>
      </c>
      <c r="AJ48">
        <f t="shared" ca="1" si="22"/>
        <v>637.23112194870316</v>
      </c>
      <c r="AM48">
        <v>0</v>
      </c>
      <c r="AN48">
        <v>0</v>
      </c>
      <c r="AO48">
        <f t="shared" si="23"/>
        <v>0</v>
      </c>
      <c r="AP48">
        <f t="shared" si="32"/>
        <v>0</v>
      </c>
      <c r="AQ48">
        <f t="shared" ca="1" si="24"/>
        <v>1.0000000000000002</v>
      </c>
      <c r="AR48" t="str">
        <f t="shared" ca="1" si="25"/>
        <v>Supercritical</v>
      </c>
      <c r="AS48">
        <f t="shared" ca="1" si="26"/>
        <v>3.4417227148850105E-3</v>
      </c>
    </row>
    <row r="49" spans="1:45" x14ac:dyDescent="0.35">
      <c r="A49">
        <v>5</v>
      </c>
      <c r="B49">
        <v>4</v>
      </c>
      <c r="C49">
        <v>616559.18099999998</v>
      </c>
      <c r="D49">
        <v>3097766.3990000002</v>
      </c>
      <c r="E49">
        <v>634.31200000000001</v>
      </c>
      <c r="F49">
        <v>6.0049999999999999</v>
      </c>
      <c r="G49">
        <v>0</v>
      </c>
      <c r="H49" t="s">
        <v>154</v>
      </c>
      <c r="I49">
        <v>0</v>
      </c>
      <c r="J49">
        <f t="shared" si="27"/>
        <v>1</v>
      </c>
      <c r="K49">
        <f t="shared" si="28"/>
        <v>51</v>
      </c>
      <c r="L49">
        <f t="shared" ca="1" si="29"/>
        <v>1.9445320566213506</v>
      </c>
      <c r="M49">
        <f t="shared" ca="1" si="2"/>
        <v>11.67691500001121</v>
      </c>
      <c r="N49">
        <f t="shared" ca="1" si="3"/>
        <v>1.180193989685417</v>
      </c>
      <c r="O49">
        <f t="shared" ca="1" si="4"/>
        <v>4.3675919538637595</v>
      </c>
      <c r="P49">
        <f t="shared" ca="1" si="5"/>
        <v>636.25653205662138</v>
      </c>
      <c r="Q49">
        <f t="shared" ca="1" si="6"/>
        <v>637.22879808493201</v>
      </c>
      <c r="R49">
        <f t="shared" ca="1" si="7"/>
        <v>3.4413493924957731E-3</v>
      </c>
      <c r="S49">
        <f t="shared" ca="1" si="8"/>
        <v>1</v>
      </c>
      <c r="T49">
        <f t="shared" ca="1" si="9"/>
        <v>34.059203309946746</v>
      </c>
      <c r="U49">
        <f t="shared" ca="1" si="30"/>
        <v>-1.1500586597321671E-3</v>
      </c>
      <c r="V49">
        <f t="shared" ca="1" si="31"/>
        <v>1</v>
      </c>
      <c r="W49">
        <f t="shared" ca="1" si="10"/>
        <v>1.5320520278221414</v>
      </c>
      <c r="X49">
        <f t="shared" ca="1" si="11"/>
        <v>9.1999724270719589</v>
      </c>
      <c r="Y49">
        <f t="shared" ca="1" si="12"/>
        <v>1.0144301323068654</v>
      </c>
      <c r="Z49">
        <f t="shared" ca="1" si="13"/>
        <v>5.5434948750418789</v>
      </c>
      <c r="AA49">
        <f t="shared" ca="1" si="14"/>
        <v>635.84405202782216</v>
      </c>
      <c r="AB49">
        <f t="shared" ca="1" si="15"/>
        <v>637.41032804360282</v>
      </c>
      <c r="AC49">
        <f t="shared" ca="1" si="16"/>
        <v>6.7834969020692613E-3</v>
      </c>
      <c r="AD49">
        <f t="shared" ca="1" si="17"/>
        <v>1.4299221371043438</v>
      </c>
      <c r="AE49">
        <f t="shared" ca="1" si="18"/>
        <v>35.866810523133168</v>
      </c>
      <c r="AF49">
        <f t="shared" ca="1" si="19"/>
        <v>4.7902803988790765E-3</v>
      </c>
      <c r="AG49">
        <f t="shared" ca="1" si="20"/>
        <v>0</v>
      </c>
      <c r="AH49">
        <f ca="1">IFERROR(IF(V31="Supercritical",MAX($D$16,IFERROR(L49,MAX($D$16,POWER((ABS(K49)^2)/($I$5*MAX(F49,0.1)^2),1/3)))),IF(V31="Subcritical",MAX($D$16,IFERROR(W49,MAX($D$16,POWER((ABS(K49)^2)/($I$5*MAX(F49,0.1)^2),1/3)))),IF(AND(IFERROR(V49,0)=1,IFERROR(AG49,0)=1),IF(IFERROR(T49,-1E+99)&gt;=IFERROR(AE49,-1E+99),MAX($D$16,IFERROR(L49,MAX($D$16,POWER((ABS(K49)^2)/($I$5*MAX(F49,0.1)^2),1/3)))),MAX($D$16,IFERROR(W49,MAX($D$16,POWER((ABS(K49)^2)/($I$5*MAX(F49,0.1)^2),1/3))))),IF(IFERROR(V49,0)=1,MAX($D$16,IFERROR(L49,MAX($D$16,POWER((ABS(K49)^2)/($I$5*MAX(F49,0.1)^2),1/3)))),IF(IFERROR(AG49,0)=1,MAX($D$16,IFERROR(W49,MAX($D$16,POWER((ABS(K49)^2)/($I$5*MAX(F49,0.1)^2),1/3)))),MAX($D$16,POWER((ABS(K49)^2)/($I$5*MAX(F49,0.1)^2),1/3))))))),MAX($D$16,POWER((ABS(K49)^2)/($I$5*MAX(F49,0.1)^2),1/3)))</f>
        <v>1.9445320566213506</v>
      </c>
      <c r="AI49">
        <f t="shared" ca="1" si="21"/>
        <v>636.25653205662138</v>
      </c>
      <c r="AJ49">
        <f t="shared" ca="1" si="22"/>
        <v>637.22879808493201</v>
      </c>
      <c r="AM49">
        <v>0</v>
      </c>
      <c r="AN49">
        <v>0</v>
      </c>
      <c r="AO49">
        <f t="shared" si="23"/>
        <v>0</v>
      </c>
      <c r="AP49">
        <f t="shared" si="32"/>
        <v>0</v>
      </c>
      <c r="AQ49">
        <f t="shared" ca="1" si="24"/>
        <v>1</v>
      </c>
      <c r="AR49" t="str">
        <f t="shared" ca="1" si="25"/>
        <v>Supercritical</v>
      </c>
      <c r="AS49">
        <f t="shared" ca="1" si="26"/>
        <v>3.4413493924957731E-3</v>
      </c>
    </row>
    <row r="50" spans="1:45" x14ac:dyDescent="0.35">
      <c r="A50">
        <v>6</v>
      </c>
      <c r="B50">
        <v>5.0010000000000003</v>
      </c>
      <c r="C50">
        <v>616558.71100000001</v>
      </c>
      <c r="D50">
        <v>3097765.5159999998</v>
      </c>
      <c r="E50">
        <v>634.30999999999995</v>
      </c>
      <c r="F50">
        <v>6.0049999999999999</v>
      </c>
      <c r="G50">
        <v>0</v>
      </c>
      <c r="H50" t="s">
        <v>154</v>
      </c>
      <c r="I50">
        <v>0</v>
      </c>
      <c r="J50">
        <f t="shared" si="27"/>
        <v>1.0010000000000003</v>
      </c>
      <c r="K50">
        <f t="shared" si="28"/>
        <v>51</v>
      </c>
      <c r="L50">
        <f t="shared" ca="1" si="29"/>
        <v>1.9445320566213506</v>
      </c>
      <c r="M50">
        <f t="shared" ca="1" si="2"/>
        <v>11.67691500001121</v>
      </c>
      <c r="N50">
        <f t="shared" ca="1" si="3"/>
        <v>1.180193989685417</v>
      </c>
      <c r="O50">
        <f t="shared" ca="1" si="4"/>
        <v>4.3675919538637595</v>
      </c>
      <c r="P50">
        <f t="shared" ca="1" si="5"/>
        <v>636.25453205662131</v>
      </c>
      <c r="Q50">
        <f t="shared" ca="1" si="6"/>
        <v>637.22679808493194</v>
      </c>
      <c r="R50">
        <f t="shared" ca="1" si="7"/>
        <v>3.4413493924957731E-3</v>
      </c>
      <c r="S50">
        <f t="shared" ca="1" si="8"/>
        <v>1</v>
      </c>
      <c r="T50">
        <f t="shared" ca="1" si="9"/>
        <v>34.059203309946746</v>
      </c>
      <c r="U50">
        <f t="shared" ca="1" si="30"/>
        <v>-1.4447907418571049E-3</v>
      </c>
      <c r="V50">
        <f t="shared" ca="1" si="31"/>
        <v>1</v>
      </c>
      <c r="W50">
        <f t="shared" ca="1" si="10"/>
        <v>1.5320520278220051</v>
      </c>
      <c r="X50">
        <f t="shared" ca="1" si="11"/>
        <v>9.19997242707114</v>
      </c>
      <c r="Y50">
        <f t="shared" ca="1" si="12"/>
        <v>1.0144301323068057</v>
      </c>
      <c r="Z50">
        <f t="shared" ca="1" si="13"/>
        <v>5.5434948750423727</v>
      </c>
      <c r="AA50">
        <f t="shared" ca="1" si="14"/>
        <v>635.84205202782198</v>
      </c>
      <c r="AB50">
        <f t="shared" ca="1" si="15"/>
        <v>637.40832804360286</v>
      </c>
      <c r="AC50">
        <f t="shared" ca="1" si="16"/>
        <v>6.7834969020710012E-3</v>
      </c>
      <c r="AD50">
        <f t="shared" ca="1" si="17"/>
        <v>1.4299221371045345</v>
      </c>
      <c r="AE50">
        <f t="shared" ca="1" si="18"/>
        <v>35.866810523134482</v>
      </c>
      <c r="AF50">
        <f t="shared" ca="1" si="19"/>
        <v>4.4875267413999609E-3</v>
      </c>
      <c r="AG50">
        <f t="shared" ca="1" si="20"/>
        <v>0</v>
      </c>
      <c r="AH50">
        <f ca="1">IFERROR(IF(V31="Supercritical",MAX($D$16,IFERROR(L50,MAX($D$16,POWER((ABS(K50)^2)/($I$5*MAX(F50,0.1)^2),1/3)))),IF(V31="Subcritical",MAX($D$16,IFERROR(W50,MAX($D$16,POWER((ABS(K50)^2)/($I$5*MAX(F50,0.1)^2),1/3)))),IF(AND(IFERROR(V50,0)=1,IFERROR(AG50,0)=1),IF(IFERROR(T50,-1E+99)&gt;=IFERROR(AE50,-1E+99),MAX($D$16,IFERROR(L50,MAX($D$16,POWER((ABS(K50)^2)/($I$5*MAX(F50,0.1)^2),1/3)))),MAX($D$16,IFERROR(W50,MAX($D$16,POWER((ABS(K50)^2)/($I$5*MAX(F50,0.1)^2),1/3))))),IF(IFERROR(V50,0)=1,MAX($D$16,IFERROR(L50,MAX($D$16,POWER((ABS(K50)^2)/($I$5*MAX(F50,0.1)^2),1/3)))),IF(IFERROR(AG50,0)=1,MAX($D$16,IFERROR(W50,MAX($D$16,POWER((ABS(K50)^2)/($I$5*MAX(F50,0.1)^2),1/3)))),MAX($D$16,POWER((ABS(K50)^2)/($I$5*MAX(F50,0.1)^2),1/3))))))),MAX($D$16,POWER((ABS(K50)^2)/($I$5*MAX(F50,0.1)^2),1/3)))</f>
        <v>1.9445320566213506</v>
      </c>
      <c r="AI50">
        <f t="shared" ca="1" si="21"/>
        <v>636.25453205662131</v>
      </c>
      <c r="AJ50">
        <f t="shared" ca="1" si="22"/>
        <v>637.22679808493194</v>
      </c>
      <c r="AM50">
        <v>0</v>
      </c>
      <c r="AN50">
        <v>0</v>
      </c>
      <c r="AO50">
        <f t="shared" si="23"/>
        <v>0</v>
      </c>
      <c r="AP50">
        <f t="shared" si="32"/>
        <v>0</v>
      </c>
      <c r="AQ50">
        <f t="shared" ca="1" si="24"/>
        <v>1</v>
      </c>
      <c r="AR50" t="str">
        <f t="shared" ca="1" si="25"/>
        <v>Supercritical</v>
      </c>
      <c r="AS50">
        <f t="shared" ca="1" si="26"/>
        <v>3.4413493924957731E-3</v>
      </c>
    </row>
    <row r="51" spans="1:45" x14ac:dyDescent="0.35">
      <c r="A51">
        <v>7</v>
      </c>
      <c r="B51">
        <v>6.0010000000000003</v>
      </c>
      <c r="C51">
        <v>616558.24100000004</v>
      </c>
      <c r="D51">
        <v>3097764.6329999999</v>
      </c>
      <c r="E51">
        <v>634.30799999999999</v>
      </c>
      <c r="F51">
        <v>6.0060000000000002</v>
      </c>
      <c r="G51">
        <v>0</v>
      </c>
      <c r="H51" t="s">
        <v>154</v>
      </c>
      <c r="I51">
        <v>2.7E-2</v>
      </c>
      <c r="J51">
        <f t="shared" si="27"/>
        <v>1</v>
      </c>
      <c r="K51">
        <f t="shared" si="28"/>
        <v>51</v>
      </c>
      <c r="L51">
        <f t="shared" ca="1" si="29"/>
        <v>1.9443162073571221</v>
      </c>
      <c r="M51">
        <f t="shared" ca="1" si="2"/>
        <v>11.677563141386875</v>
      </c>
      <c r="N51">
        <f t="shared" ca="1" si="3"/>
        <v>1.1801917091959115</v>
      </c>
      <c r="O51">
        <f t="shared" ca="1" si="4"/>
        <v>4.3673495388133725</v>
      </c>
      <c r="P51">
        <f t="shared" ca="1" si="5"/>
        <v>636.25231620735713</v>
      </c>
      <c r="Q51">
        <f t="shared" ca="1" si="6"/>
        <v>637.22447431103569</v>
      </c>
      <c r="R51">
        <f t="shared" ca="1" si="7"/>
        <v>3.4409762570611312E-3</v>
      </c>
      <c r="S51">
        <f t="shared" ca="1" si="8"/>
        <v>1.0000000000000002</v>
      </c>
      <c r="T51">
        <f t="shared" ca="1" si="9"/>
        <v>34.057312917351979</v>
      </c>
      <c r="U51">
        <f t="shared" ca="1" si="30"/>
        <v>-1.1935182893694218E-3</v>
      </c>
      <c r="V51">
        <f t="shared" ca="1" si="31"/>
        <v>1</v>
      </c>
      <c r="W51">
        <f t="shared" ca="1" si="10"/>
        <v>1.5320520278218688</v>
      </c>
      <c r="X51">
        <f t="shared" ca="1" si="11"/>
        <v>9.2015044790981442</v>
      </c>
      <c r="Y51">
        <f t="shared" ca="1" si="12"/>
        <v>1.014487201320766</v>
      </c>
      <c r="Z51">
        <f t="shared" ca="1" si="13"/>
        <v>5.5425718822231778</v>
      </c>
      <c r="AA51">
        <f t="shared" ca="1" si="14"/>
        <v>635.84005202782191</v>
      </c>
      <c r="AB51">
        <f t="shared" ca="1" si="15"/>
        <v>637.405806516589</v>
      </c>
      <c r="AC51">
        <f t="shared" ca="1" si="16"/>
        <v>6.7807295586835492E-3</v>
      </c>
      <c r="AD51">
        <f t="shared" ca="1" si="17"/>
        <v>1.429684054830815</v>
      </c>
      <c r="AE51">
        <f t="shared" ca="1" si="18"/>
        <v>35.863185681224593</v>
      </c>
      <c r="AF51">
        <f t="shared" ca="1" si="19"/>
        <v>4.8444077812064279E-3</v>
      </c>
      <c r="AG51">
        <f t="shared" ca="1" si="20"/>
        <v>0</v>
      </c>
      <c r="AH51">
        <f ca="1">IFERROR(IF(V31="Supercritical",MAX($D$16,IFERROR(L51,MAX($D$16,POWER((ABS(K51)^2)/($I$5*MAX(F51,0.1)^2),1/3)))),IF(V31="Subcritical",MAX($D$16,IFERROR(W51,MAX($D$16,POWER((ABS(K51)^2)/($I$5*MAX(F51,0.1)^2),1/3)))),IF(AND(IFERROR(V51,0)=1,IFERROR(AG51,0)=1),IF(IFERROR(T51,-1E+99)&gt;=IFERROR(AE51,-1E+99),MAX($D$16,IFERROR(L51,MAX($D$16,POWER((ABS(K51)^2)/($I$5*MAX(F51,0.1)^2),1/3)))),MAX($D$16,IFERROR(W51,MAX($D$16,POWER((ABS(K51)^2)/($I$5*MAX(F51,0.1)^2),1/3))))),IF(IFERROR(V51,0)=1,MAX($D$16,IFERROR(L51,MAX($D$16,POWER((ABS(K51)^2)/($I$5*MAX(F51,0.1)^2),1/3)))),IF(IFERROR(AG51,0)=1,MAX($D$16,IFERROR(W51,MAX($D$16,POWER((ABS(K51)^2)/($I$5*MAX(F51,0.1)^2),1/3)))),MAX($D$16,POWER((ABS(K51)^2)/($I$5*MAX(F51,0.1)^2),1/3))))))),MAX($D$16,POWER((ABS(K51)^2)/($I$5*MAX(F51,0.1)^2),1/3)))</f>
        <v>1.9443162073571221</v>
      </c>
      <c r="AI51">
        <f t="shared" ca="1" si="21"/>
        <v>636.25231620735713</v>
      </c>
      <c r="AJ51">
        <f t="shared" ca="1" si="22"/>
        <v>637.22447431103569</v>
      </c>
      <c r="AM51">
        <v>0</v>
      </c>
      <c r="AN51">
        <v>0</v>
      </c>
      <c r="AO51">
        <f t="shared" si="23"/>
        <v>0</v>
      </c>
      <c r="AP51">
        <f t="shared" si="32"/>
        <v>0</v>
      </c>
      <c r="AQ51">
        <f t="shared" ca="1" si="24"/>
        <v>1.0000000000000002</v>
      </c>
      <c r="AR51" t="str">
        <f t="shared" ca="1" si="25"/>
        <v>Supercritical</v>
      </c>
      <c r="AS51">
        <f t="shared" ca="1" si="26"/>
        <v>3.4409762570611312E-3</v>
      </c>
    </row>
    <row r="52" spans="1:45" x14ac:dyDescent="0.35">
      <c r="A52">
        <v>8</v>
      </c>
      <c r="B52">
        <v>7</v>
      </c>
      <c r="C52">
        <v>616557.77099999995</v>
      </c>
      <c r="D52">
        <v>3097763.7510000002</v>
      </c>
      <c r="E52">
        <v>634.30600000000004</v>
      </c>
      <c r="F52">
        <v>6.0060000000000002</v>
      </c>
      <c r="G52">
        <v>0</v>
      </c>
      <c r="H52" t="s">
        <v>154</v>
      </c>
      <c r="I52">
        <v>2.7E-2</v>
      </c>
      <c r="J52">
        <f t="shared" si="27"/>
        <v>0.99899999999999967</v>
      </c>
      <c r="K52">
        <f t="shared" si="28"/>
        <v>51</v>
      </c>
      <c r="L52">
        <f t="shared" ca="1" si="29"/>
        <v>1.9443162073571221</v>
      </c>
      <c r="M52">
        <f t="shared" ca="1" si="2"/>
        <v>11.677563141386875</v>
      </c>
      <c r="N52">
        <f t="shared" ca="1" si="3"/>
        <v>1.1801917091959115</v>
      </c>
      <c r="O52">
        <f t="shared" ca="1" si="4"/>
        <v>4.3673495388133725</v>
      </c>
      <c r="P52">
        <f t="shared" ca="1" si="5"/>
        <v>636.25031620735717</v>
      </c>
      <c r="Q52">
        <f t="shared" ca="1" si="6"/>
        <v>637.22247431103574</v>
      </c>
      <c r="R52">
        <f t="shared" ca="1" si="7"/>
        <v>3.4409762570611312E-3</v>
      </c>
      <c r="S52">
        <f t="shared" ca="1" si="8"/>
        <v>1.0000000000000002</v>
      </c>
      <c r="T52">
        <f t="shared" ca="1" si="9"/>
        <v>34.057312917351979</v>
      </c>
      <c r="U52">
        <f t="shared" ca="1" si="30"/>
        <v>-1.4812823955026033E-3</v>
      </c>
      <c r="V52">
        <f t="shared" ca="1" si="31"/>
        <v>1</v>
      </c>
      <c r="W52">
        <f t="shared" ca="1" si="10"/>
        <v>1.5320520278217664</v>
      </c>
      <c r="X52">
        <f t="shared" ca="1" si="11"/>
        <v>9.2015044790975296</v>
      </c>
      <c r="Y52">
        <f t="shared" ca="1" si="12"/>
        <v>1.0144872013207211</v>
      </c>
      <c r="Z52">
        <f t="shared" ca="1" si="13"/>
        <v>5.5425718822235481</v>
      </c>
      <c r="AA52">
        <f t="shared" ca="1" si="14"/>
        <v>635.83805202782185</v>
      </c>
      <c r="AB52">
        <f t="shared" ca="1" si="15"/>
        <v>637.40380651658916</v>
      </c>
      <c r="AC52">
        <f t="shared" ca="1" si="16"/>
        <v>6.7807295586848537E-3</v>
      </c>
      <c r="AD52">
        <f t="shared" ca="1" si="17"/>
        <v>1.4296840548309584</v>
      </c>
      <c r="AE52">
        <f t="shared" ca="1" si="18"/>
        <v>35.86318568122558</v>
      </c>
      <c r="AF52">
        <f t="shared" ca="1" si="19"/>
        <v>4.4212394532223698E-3</v>
      </c>
      <c r="AG52">
        <f t="shared" ca="1" si="20"/>
        <v>0</v>
      </c>
      <c r="AH52">
        <f ca="1">IFERROR(IF(V31="Supercritical",MAX($D$16,IFERROR(L52,MAX($D$16,POWER((ABS(K52)^2)/($I$5*MAX(F52,0.1)^2),1/3)))),IF(V31="Subcritical",MAX($D$16,IFERROR(W52,MAX($D$16,POWER((ABS(K52)^2)/($I$5*MAX(F52,0.1)^2),1/3)))),IF(AND(IFERROR(V52,0)=1,IFERROR(AG52,0)=1),IF(IFERROR(T52,-1E+99)&gt;=IFERROR(AE52,-1E+99),MAX($D$16,IFERROR(L52,MAX($D$16,POWER((ABS(K52)^2)/($I$5*MAX(F52,0.1)^2),1/3)))),MAX($D$16,IFERROR(W52,MAX($D$16,POWER((ABS(K52)^2)/($I$5*MAX(F52,0.1)^2),1/3))))),IF(IFERROR(V52,0)=1,MAX($D$16,IFERROR(L52,MAX($D$16,POWER((ABS(K52)^2)/($I$5*MAX(F52,0.1)^2),1/3)))),IF(IFERROR(AG52,0)=1,MAX($D$16,IFERROR(W52,MAX($D$16,POWER((ABS(K52)^2)/($I$5*MAX(F52,0.1)^2),1/3)))),MAX($D$16,POWER((ABS(K52)^2)/($I$5*MAX(F52,0.1)^2),1/3))))))),MAX($D$16,POWER((ABS(K52)^2)/($I$5*MAX(F52,0.1)^2),1/3)))</f>
        <v>1.9443162073571221</v>
      </c>
      <c r="AI52">
        <f t="shared" ca="1" si="21"/>
        <v>636.25031620735717</v>
      </c>
      <c r="AJ52">
        <f t="shared" ca="1" si="22"/>
        <v>637.22247431103574</v>
      </c>
      <c r="AM52">
        <v>0</v>
      </c>
      <c r="AN52">
        <v>0</v>
      </c>
      <c r="AO52">
        <f t="shared" si="23"/>
        <v>0</v>
      </c>
      <c r="AP52">
        <f t="shared" si="32"/>
        <v>0</v>
      </c>
      <c r="AQ52">
        <f t="shared" ca="1" si="24"/>
        <v>1.0000000000000002</v>
      </c>
      <c r="AR52" t="str">
        <f t="shared" ca="1" si="25"/>
        <v>Supercritical</v>
      </c>
      <c r="AS52">
        <f t="shared" ca="1" si="26"/>
        <v>3.4409762570611312E-3</v>
      </c>
    </row>
    <row r="53" spans="1:45" x14ac:dyDescent="0.35">
      <c r="A53">
        <v>9</v>
      </c>
      <c r="B53">
        <v>8.0009999999999994</v>
      </c>
      <c r="C53">
        <v>616557.30099999998</v>
      </c>
      <c r="D53">
        <v>3097762.8679999998</v>
      </c>
      <c r="E53">
        <v>634.30399999999997</v>
      </c>
      <c r="F53">
        <v>6.0069999999999997</v>
      </c>
      <c r="G53">
        <v>0</v>
      </c>
      <c r="H53" t="s">
        <v>154</v>
      </c>
      <c r="I53">
        <v>0</v>
      </c>
      <c r="J53">
        <f t="shared" si="27"/>
        <v>1.0009999999999994</v>
      </c>
      <c r="K53">
        <f t="shared" si="28"/>
        <v>51</v>
      </c>
      <c r="L53">
        <f t="shared" ca="1" si="29"/>
        <v>1.944100417982815</v>
      </c>
      <c r="M53">
        <f t="shared" ca="1" si="2"/>
        <v>11.678211210822768</v>
      </c>
      <c r="N53">
        <f t="shared" ca="1" si="3"/>
        <v>1.1801894074121784</v>
      </c>
      <c r="O53">
        <f t="shared" ca="1" si="4"/>
        <v>4.3671071775732067</v>
      </c>
      <c r="P53">
        <f t="shared" ca="1" si="5"/>
        <v>636.24810041798276</v>
      </c>
      <c r="Q53">
        <f t="shared" ca="1" si="6"/>
        <v>637.22015062697415</v>
      </c>
      <c r="R53">
        <f t="shared" ca="1" si="7"/>
        <v>3.440603308461247E-3</v>
      </c>
      <c r="S53">
        <f t="shared" ca="1" si="8"/>
        <v>1</v>
      </c>
      <c r="T53">
        <f t="shared" ca="1" si="9"/>
        <v>34.055422944378215</v>
      </c>
      <c r="U53">
        <f t="shared" ca="1" si="30"/>
        <v>-1.1529149170428354E-3</v>
      </c>
      <c r="V53">
        <f t="shared" ca="1" si="31"/>
        <v>1</v>
      </c>
      <c r="W53">
        <f t="shared" ca="1" si="10"/>
        <v>1.5320520278216641</v>
      </c>
      <c r="X53">
        <f t="shared" ca="1" si="11"/>
        <v>9.2030365311247362</v>
      </c>
      <c r="Y53">
        <f t="shared" ca="1" si="12"/>
        <v>1.0145442577521013</v>
      </c>
      <c r="Z53">
        <f t="shared" ca="1" si="13"/>
        <v>5.5416491967099804</v>
      </c>
      <c r="AA53">
        <f t="shared" ca="1" si="14"/>
        <v>635.83605202782167</v>
      </c>
      <c r="AB53">
        <f t="shared" ca="1" si="15"/>
        <v>637.40128525001307</v>
      </c>
      <c r="AC53">
        <f t="shared" ca="1" si="16"/>
        <v>6.7779638607237142E-3</v>
      </c>
      <c r="AD53">
        <f t="shared" ca="1" si="17"/>
        <v>1.4294460518254695</v>
      </c>
      <c r="AE53">
        <f t="shared" ca="1" si="18"/>
        <v>35.859562436929352</v>
      </c>
      <c r="AF53">
        <f t="shared" ca="1" si="19"/>
        <v>6.8212102632969618E-13</v>
      </c>
      <c r="AG53">
        <f t="shared" ca="1" si="20"/>
        <v>0</v>
      </c>
      <c r="AH53">
        <f ca="1">IFERROR(IF(V31="Supercritical",MAX($D$16,IFERROR(L53,MAX($D$16,POWER((ABS(K53)^2)/($I$5*MAX(F53,0.1)^2),1/3)))),IF(V31="Subcritical",MAX($D$16,IFERROR(W53,MAX($D$16,POWER((ABS(K53)^2)/($I$5*MAX(F53,0.1)^2),1/3)))),IF(AND(IFERROR(V53,0)=1,IFERROR(AG53,0)=1),IF(IFERROR(T53,-1E+99)&gt;=IFERROR(AE53,-1E+99),MAX($D$16,IFERROR(L53,MAX($D$16,POWER((ABS(K53)^2)/($I$5*MAX(F53,0.1)^2),1/3)))),MAX($D$16,IFERROR(W53,MAX($D$16,POWER((ABS(K53)^2)/($I$5*MAX(F53,0.1)^2),1/3))))),IF(IFERROR(V53,0)=1,MAX($D$16,IFERROR(L53,MAX($D$16,POWER((ABS(K53)^2)/($I$5*MAX(F53,0.1)^2),1/3)))),IF(IFERROR(AG53,0)=1,MAX($D$16,IFERROR(W53,MAX($D$16,POWER((ABS(K53)^2)/($I$5*MAX(F53,0.1)^2),1/3)))),MAX($D$16,POWER((ABS(K53)^2)/($I$5*MAX(F53,0.1)^2),1/3))))))),MAX($D$16,POWER((ABS(K53)^2)/($I$5*MAX(F53,0.1)^2),1/3)))</f>
        <v>1.944100417982815</v>
      </c>
      <c r="AI53">
        <f t="shared" ca="1" si="21"/>
        <v>636.24810041798276</v>
      </c>
      <c r="AJ53">
        <f t="shared" ca="1" si="22"/>
        <v>637.22015062697415</v>
      </c>
      <c r="AM53">
        <v>0</v>
      </c>
      <c r="AN53">
        <v>0</v>
      </c>
      <c r="AO53">
        <f t="shared" si="23"/>
        <v>0</v>
      </c>
      <c r="AP53">
        <f t="shared" si="32"/>
        <v>0</v>
      </c>
      <c r="AQ53">
        <f t="shared" ca="1" si="24"/>
        <v>1</v>
      </c>
      <c r="AR53" t="str">
        <f t="shared" ca="1" si="25"/>
        <v>Supercritical</v>
      </c>
      <c r="AS53">
        <f t="shared" ca="1" si="26"/>
        <v>3.440603308461247E-3</v>
      </c>
    </row>
    <row r="54" spans="1:45" x14ac:dyDescent="0.35">
      <c r="A54">
        <v>10</v>
      </c>
      <c r="B54">
        <v>9.0009999999999994</v>
      </c>
      <c r="C54">
        <v>616556.83100000001</v>
      </c>
      <c r="D54">
        <v>3097761.9849999999</v>
      </c>
      <c r="E54">
        <v>634.30200000000002</v>
      </c>
      <c r="F54">
        <v>6.0069999999999997</v>
      </c>
      <c r="G54">
        <v>0</v>
      </c>
      <c r="H54" t="s">
        <v>154</v>
      </c>
      <c r="I54">
        <v>2.7E-2</v>
      </c>
      <c r="J54">
        <f t="shared" si="27"/>
        <v>1</v>
      </c>
      <c r="K54">
        <f t="shared" si="28"/>
        <v>51</v>
      </c>
      <c r="L54">
        <f t="shared" ca="1" si="29"/>
        <v>1.944100417982815</v>
      </c>
      <c r="M54">
        <f t="shared" ca="1" si="2"/>
        <v>11.678211210822768</v>
      </c>
      <c r="N54">
        <f t="shared" ca="1" si="3"/>
        <v>1.1801894074121784</v>
      </c>
      <c r="O54">
        <f t="shared" ca="1" si="4"/>
        <v>4.3671071775732067</v>
      </c>
      <c r="P54">
        <f t="shared" ca="1" si="5"/>
        <v>636.2461004179828</v>
      </c>
      <c r="Q54">
        <f t="shared" ca="1" si="6"/>
        <v>637.21815062697419</v>
      </c>
      <c r="R54">
        <f t="shared" ca="1" si="7"/>
        <v>3.440603308461247E-3</v>
      </c>
      <c r="S54">
        <f t="shared" ca="1" si="8"/>
        <v>1</v>
      </c>
      <c r="T54">
        <f t="shared" ca="1" si="9"/>
        <v>34.055422944378215</v>
      </c>
      <c r="U54">
        <f t="shared" ca="1" si="30"/>
        <v>-1.4843455679738327E-3</v>
      </c>
      <c r="V54">
        <f t="shared" ca="1" si="31"/>
        <v>1</v>
      </c>
      <c r="W54">
        <f t="shared" ca="1" si="10"/>
        <v>1.944100417982815</v>
      </c>
      <c r="X54">
        <f t="shared" ca="1" si="11"/>
        <v>11.678211210822768</v>
      </c>
      <c r="Y54">
        <f t="shared" ca="1" si="12"/>
        <v>1.1801894074121784</v>
      </c>
      <c r="Z54">
        <f t="shared" ca="1" si="13"/>
        <v>4.3671071775732067</v>
      </c>
      <c r="AA54">
        <f t="shared" ca="1" si="14"/>
        <v>636.2461004179828</v>
      </c>
      <c r="AB54">
        <f t="shared" ca="1" si="15"/>
        <v>637.21815062697419</v>
      </c>
      <c r="AC54">
        <f t="shared" ca="1" si="16"/>
        <v>3.440603308461247E-3</v>
      </c>
      <c r="AD54">
        <f t="shared" ca="1" si="17"/>
        <v>1</v>
      </c>
      <c r="AE54">
        <f t="shared" ca="1" si="18"/>
        <v>34.055422944378215</v>
      </c>
      <c r="AF54">
        <f t="shared" ca="1" si="19"/>
        <v>-0.11231805634781722</v>
      </c>
      <c r="AG54">
        <f t="shared" ca="1" si="20"/>
        <v>1</v>
      </c>
      <c r="AH54">
        <f ca="1">IFERROR(IF(V31="Supercritical",MAX($D$16,IFERROR(L54,MAX($D$16,POWER((ABS(K54)^2)/($I$5*MAX(F54,0.1)^2),1/3)))),IF(V31="Subcritical",MAX($D$16,IFERROR(W54,MAX($D$16,POWER((ABS(K54)^2)/($I$5*MAX(F54,0.1)^2),1/3)))),IF(AND(IFERROR(V54,0)=1,IFERROR(AG54,0)=1),IF(IFERROR(T54,-1E+99)&gt;=IFERROR(AE54,-1E+99),MAX($D$16,IFERROR(L54,MAX($D$16,POWER((ABS(K54)^2)/($I$5*MAX(F54,0.1)^2),1/3)))),MAX($D$16,IFERROR(W54,MAX($D$16,POWER((ABS(K54)^2)/($I$5*MAX(F54,0.1)^2),1/3))))),IF(IFERROR(V54,0)=1,MAX($D$16,IFERROR(L54,MAX($D$16,POWER((ABS(K54)^2)/($I$5*MAX(F54,0.1)^2),1/3)))),IF(IFERROR(AG54,0)=1,MAX($D$16,IFERROR(W54,MAX($D$16,POWER((ABS(K54)^2)/($I$5*MAX(F54,0.1)^2),1/3)))),MAX($D$16,POWER((ABS(K54)^2)/($I$5*MAX(F54,0.1)^2),1/3))))))),MAX($D$16,POWER((ABS(K54)^2)/($I$5*MAX(F54,0.1)^2),1/3)))</f>
        <v>1.944100417982815</v>
      </c>
      <c r="AI54">
        <f t="shared" ca="1" si="21"/>
        <v>636.2461004179828</v>
      </c>
      <c r="AJ54">
        <f t="shared" ca="1" si="22"/>
        <v>637.21815062697419</v>
      </c>
      <c r="AM54">
        <v>0</v>
      </c>
      <c r="AN54">
        <v>0</v>
      </c>
      <c r="AO54">
        <f t="shared" si="23"/>
        <v>0</v>
      </c>
      <c r="AP54">
        <f t="shared" si="32"/>
        <v>0</v>
      </c>
      <c r="AQ54">
        <f t="shared" ca="1" si="24"/>
        <v>1</v>
      </c>
      <c r="AR54" t="str">
        <f t="shared" ca="1" si="25"/>
        <v>Supercritical</v>
      </c>
      <c r="AS54">
        <f t="shared" ca="1" si="26"/>
        <v>3.440603308461247E-3</v>
      </c>
    </row>
    <row r="55" spans="1:45" x14ac:dyDescent="0.35">
      <c r="A55">
        <v>11</v>
      </c>
      <c r="B55">
        <v>10</v>
      </c>
      <c r="C55">
        <v>616556.36100000003</v>
      </c>
      <c r="D55">
        <v>3097761.1030000001</v>
      </c>
      <c r="E55">
        <v>634.29999999999995</v>
      </c>
      <c r="F55">
        <v>6.42</v>
      </c>
      <c r="G55">
        <v>0</v>
      </c>
      <c r="H55" t="s">
        <v>154</v>
      </c>
      <c r="I55">
        <v>7.0999999999999994E-2</v>
      </c>
      <c r="J55">
        <f t="shared" si="27"/>
        <v>0.99900000000000055</v>
      </c>
      <c r="K55">
        <f t="shared" si="28"/>
        <v>51</v>
      </c>
      <c r="L55">
        <f t="shared" ca="1" si="29"/>
        <v>1.5635753447743039</v>
      </c>
      <c r="M55">
        <f t="shared" ca="1" si="2"/>
        <v>10.038153713451031</v>
      </c>
      <c r="N55">
        <f t="shared" ca="1" si="3"/>
        <v>1.0514292734941253</v>
      </c>
      <c r="O55">
        <f t="shared" ca="1" si="4"/>
        <v>5.0806155649579745</v>
      </c>
      <c r="P55">
        <f t="shared" ca="1" si="5"/>
        <v>635.86357534477429</v>
      </c>
      <c r="Q55">
        <f t="shared" ca="1" si="6"/>
        <v>637.17920503483003</v>
      </c>
      <c r="R55">
        <f t="shared" ca="1" si="7"/>
        <v>5.4321918688302545E-3</v>
      </c>
      <c r="S55">
        <f t="shared" ca="1" si="8"/>
        <v>1.2972462498048507</v>
      </c>
      <c r="T55">
        <f t="shared" ca="1" si="9"/>
        <v>34.260690944221849</v>
      </c>
      <c r="U55">
        <f t="shared" ca="1" si="30"/>
        <v>0</v>
      </c>
      <c r="V55">
        <f t="shared" ca="1" si="31"/>
        <v>1</v>
      </c>
      <c r="W55">
        <f t="shared" ca="1" si="10"/>
        <v>1.8598036522055255</v>
      </c>
      <c r="X55">
        <f t="shared" ca="1" si="11"/>
        <v>11.939939447159473</v>
      </c>
      <c r="Y55">
        <f t="shared" ca="1" si="12"/>
        <v>1.1775544248114245</v>
      </c>
      <c r="Z55">
        <f t="shared" ca="1" si="13"/>
        <v>4.271378445904344</v>
      </c>
      <c r="AA55">
        <f t="shared" ca="1" si="14"/>
        <v>636.15980365220548</v>
      </c>
      <c r="AB55">
        <f t="shared" ca="1" si="15"/>
        <v>637.08970547830825</v>
      </c>
      <c r="AC55">
        <f t="shared" ca="1" si="16"/>
        <v>3.3012415565477522E-3</v>
      </c>
      <c r="AD55">
        <f t="shared" ca="1" si="17"/>
        <v>1</v>
      </c>
      <c r="AE55">
        <f t="shared" ca="1" si="18"/>
        <v>33.308914486410018</v>
      </c>
      <c r="AF55">
        <f t="shared" ca="1" si="19"/>
        <v>1465.3145946708037</v>
      </c>
      <c r="AG55">
        <f t="shared" ca="1" si="20"/>
        <v>1</v>
      </c>
      <c r="AH55">
        <f ca="1">IFERROR(IF(V31="Supercritical",MAX($D$16,IFERROR(L55,MAX($D$16,POWER((ABS(K55)^2)/($I$5*MAX(F55,0.1)^2),1/3)))),IF(V31="Subcritical",MAX($D$16,IFERROR(W55,MAX($D$16,POWER((ABS(K55)^2)/($I$5*MAX(F55,0.1)^2),1/3)))),IF(AND(IFERROR(V55,0)=1,IFERROR(AG55,0)=1),IF(IFERROR(T55,-1E+99)&gt;=IFERROR(AE55,-1E+99),MAX($D$16,IFERROR(L55,MAX($D$16,POWER((ABS(K55)^2)/($I$5*MAX(F55,0.1)^2),1/3)))),MAX($D$16,IFERROR(W55,MAX($D$16,POWER((ABS(K55)^2)/($I$5*MAX(F55,0.1)^2),1/3))))),IF(IFERROR(V55,0)=1,MAX($D$16,IFERROR(L55,MAX($D$16,POWER((ABS(K55)^2)/($I$5*MAX(F55,0.1)^2),1/3)))),IF(IFERROR(AG55,0)=1,MAX($D$16,IFERROR(W55,MAX($D$16,POWER((ABS(K55)^2)/($I$5*MAX(F55,0.1)^2),1/3)))),MAX($D$16,POWER((ABS(K55)^2)/($I$5*MAX(F55,0.1)^2),1/3))))))),MAX($D$16,POWER((ABS(K55)^2)/($I$5*MAX(F55,0.1)^2),1/3)))</f>
        <v>1.5635753447743039</v>
      </c>
      <c r="AI55">
        <f t="shared" ca="1" si="21"/>
        <v>635.86357534477429</v>
      </c>
      <c r="AJ55">
        <f t="shared" ca="1" si="22"/>
        <v>637.17920503483003</v>
      </c>
      <c r="AM55">
        <v>0</v>
      </c>
      <c r="AN55">
        <v>0</v>
      </c>
      <c r="AO55">
        <f t="shared" si="23"/>
        <v>0</v>
      </c>
      <c r="AP55">
        <f t="shared" si="32"/>
        <v>0</v>
      </c>
      <c r="AQ55">
        <f t="shared" ca="1" si="24"/>
        <v>1.2972462498048507</v>
      </c>
      <c r="AR55" t="str">
        <f t="shared" ca="1" si="25"/>
        <v>Supercritical</v>
      </c>
      <c r="AS55">
        <f t="shared" ca="1" si="26"/>
        <v>5.4321918688302545E-3</v>
      </c>
    </row>
    <row r="56" spans="1:45" x14ac:dyDescent="0.35">
      <c r="A56">
        <v>12</v>
      </c>
      <c r="B56">
        <v>10.742000000000001</v>
      </c>
      <c r="C56">
        <v>616556.01300000004</v>
      </c>
      <c r="D56">
        <v>3097760.4479999999</v>
      </c>
      <c r="E56">
        <v>634.298</v>
      </c>
      <c r="F56">
        <v>6.5579999999999998</v>
      </c>
      <c r="G56">
        <v>0</v>
      </c>
      <c r="H56" t="s">
        <v>155</v>
      </c>
      <c r="I56">
        <v>0</v>
      </c>
      <c r="J56">
        <f t="shared" si="27"/>
        <v>0.74200000000000088</v>
      </c>
      <c r="K56">
        <f t="shared" si="28"/>
        <v>51</v>
      </c>
      <c r="L56">
        <f t="shared" ca="1" si="29"/>
        <v>1.498417236652678</v>
      </c>
      <c r="M56">
        <f t="shared" ca="1" si="2"/>
        <v>9.8266202379682621</v>
      </c>
      <c r="N56">
        <f t="shared" ca="1" si="3"/>
        <v>1.0284448428093895</v>
      </c>
      <c r="O56">
        <f t="shared" ca="1" si="4"/>
        <v>5.1899838158948421</v>
      </c>
      <c r="P56">
        <f t="shared" ca="1" si="5"/>
        <v>635.7964172366527</v>
      </c>
      <c r="Q56">
        <f t="shared" ca="1" si="6"/>
        <v>637.16929858268998</v>
      </c>
      <c r="R56">
        <f t="shared" ca="1" si="7"/>
        <v>5.8381222603880109E-3</v>
      </c>
      <c r="S56">
        <f t="shared" ca="1" si="8"/>
        <v>1.3536772175874741</v>
      </c>
      <c r="T56">
        <f t="shared" ca="1" si="9"/>
        <v>34.343755809902873</v>
      </c>
      <c r="U56">
        <f t="shared" ca="1" si="30"/>
        <v>0</v>
      </c>
      <c r="V56">
        <f t="shared" ca="1" si="31"/>
        <v>1</v>
      </c>
      <c r="W56">
        <f>MAX($D$16,($I$13)-E56)</f>
        <v>0.05</v>
      </c>
      <c r="X56">
        <f t="shared" si="11"/>
        <v>0.32790000000000002</v>
      </c>
      <c r="Y56">
        <f t="shared" si="12"/>
        <v>4.9249023730850112E-2</v>
      </c>
      <c r="Z56">
        <f t="shared" si="13"/>
        <v>155.5352241537054</v>
      </c>
      <c r="AA56">
        <f t="shared" si="14"/>
        <v>634.34799999999996</v>
      </c>
      <c r="AB56">
        <f t="shared" si="15"/>
        <v>1867.3350516077157</v>
      </c>
      <c r="AC56">
        <f t="shared" si="16"/>
        <v>301.51565714991079</v>
      </c>
      <c r="AD56">
        <f t="shared" si="17"/>
        <v>222.07990018078769</v>
      </c>
      <c r="AE56">
        <f t="shared" si="18"/>
        <v>808.60110594434002</v>
      </c>
      <c r="AF56">
        <v>0</v>
      </c>
      <c r="AG56">
        <v>1</v>
      </c>
      <c r="AH56">
        <f ca="1">IFERROR(IF(V31="Supercritical",MAX($D$16,IFERROR(L56,MAX($D$16,POWER((ABS(K56)^2)/($I$5*MAX(F56,0.1)^2),1/3)))),IF(V31="Subcritical",MAX($D$16,IFERROR(W56,MAX($D$16,POWER((ABS(K56)^2)/($I$5*MAX(F56,0.1)^2),1/3)))),IF(AND(IFERROR(V56,0)=1,IFERROR(AG56,0)=1),IF(IFERROR(T56,-1E+99)&gt;=IFERROR(AE56,-1E+99),MAX($D$16,IFERROR(L56,MAX($D$16,POWER((ABS(K56)^2)/($I$5*MAX(F56,0.1)^2),1/3)))),MAX($D$16,IFERROR(W56,MAX($D$16,POWER((ABS(K56)^2)/($I$5*MAX(F56,0.1)^2),1/3))))),IF(IFERROR(V56,0)=1,MAX($D$16,IFERROR(L56,MAX($D$16,POWER((ABS(K56)^2)/($I$5*MAX(F56,0.1)^2),1/3)))),IF(IFERROR(AG56,0)=1,MAX($D$16,IFERROR(W56,MAX($D$16,POWER((ABS(K56)^2)/($I$5*MAX(F56,0.1)^2),1/3)))),MAX($D$16,POWER((ABS(K56)^2)/($I$5*MAX(F56,0.1)^2),1/3))))))),MAX($D$16,POWER((ABS(K56)^2)/($I$5*MAX(F56,0.1)^2),1/3)))</f>
        <v>0.05</v>
      </c>
      <c r="AI56">
        <f t="shared" ca="1" si="21"/>
        <v>634.34799999999996</v>
      </c>
      <c r="AJ56">
        <f t="shared" ca="1" si="22"/>
        <v>1867.3350516077157</v>
      </c>
      <c r="AM56">
        <v>0</v>
      </c>
      <c r="AN56">
        <v>0</v>
      </c>
      <c r="AO56">
        <f t="shared" si="23"/>
        <v>0</v>
      </c>
      <c r="AP56">
        <f t="shared" si="32"/>
        <v>0</v>
      </c>
      <c r="AQ56">
        <f t="shared" ca="1" si="24"/>
        <v>222.07990018078769</v>
      </c>
      <c r="AR56" t="str">
        <f t="shared" ca="1" si="25"/>
        <v>Supercritical</v>
      </c>
      <c r="AS56">
        <f t="shared" ca="1" si="26"/>
        <v>301.51565714991079</v>
      </c>
    </row>
    <row r="59" spans="1:45" x14ac:dyDescent="0.35">
      <c r="A59" t="s">
        <v>156</v>
      </c>
      <c r="E59">
        <f>E32</f>
        <v>1385.5150000000001</v>
      </c>
      <c r="F59" t="s">
        <v>104</v>
      </c>
      <c r="H59">
        <f ca="1">N32</f>
        <v>50.95</v>
      </c>
      <c r="I59" t="s">
        <v>13</v>
      </c>
      <c r="K59" t="str">
        <f>V32</f>
        <v>Mixed</v>
      </c>
      <c r="L59" t="s">
        <v>105</v>
      </c>
    </row>
    <row r="60" spans="1:45" x14ac:dyDescent="0.35">
      <c r="A60" t="s">
        <v>106</v>
      </c>
      <c r="B60" t="s">
        <v>107</v>
      </c>
      <c r="C60" t="s">
        <v>108</v>
      </c>
      <c r="D60" t="s">
        <v>109</v>
      </c>
      <c r="E60" t="s">
        <v>110</v>
      </c>
      <c r="F60" t="s">
        <v>111</v>
      </c>
      <c r="G60" t="s">
        <v>112</v>
      </c>
      <c r="H60" t="s">
        <v>9</v>
      </c>
      <c r="I60" t="s">
        <v>113</v>
      </c>
      <c r="J60" t="s">
        <v>114</v>
      </c>
      <c r="K60" t="s">
        <v>115</v>
      </c>
      <c r="L60" t="s">
        <v>116</v>
      </c>
      <c r="M60" t="s">
        <v>117</v>
      </c>
      <c r="N60" t="s">
        <v>118</v>
      </c>
      <c r="O60" t="s">
        <v>119</v>
      </c>
      <c r="P60" t="s">
        <v>120</v>
      </c>
      <c r="Q60" t="s">
        <v>121</v>
      </c>
      <c r="R60" t="s">
        <v>122</v>
      </c>
      <c r="S60" t="s">
        <v>123</v>
      </c>
      <c r="T60" t="s">
        <v>124</v>
      </c>
      <c r="U60" t="s">
        <v>125</v>
      </c>
      <c r="V60" t="s">
        <v>126</v>
      </c>
      <c r="W60" t="s">
        <v>127</v>
      </c>
      <c r="X60" t="s">
        <v>128</v>
      </c>
      <c r="Y60" t="s">
        <v>129</v>
      </c>
      <c r="Z60" t="s">
        <v>130</v>
      </c>
      <c r="AA60" t="s">
        <v>131</v>
      </c>
      <c r="AB60" t="s">
        <v>132</v>
      </c>
      <c r="AC60" t="s">
        <v>133</v>
      </c>
      <c r="AD60" t="s">
        <v>134</v>
      </c>
      <c r="AE60" t="s">
        <v>135</v>
      </c>
      <c r="AF60" t="s">
        <v>136</v>
      </c>
      <c r="AG60" t="s">
        <v>137</v>
      </c>
      <c r="AH60" t="s">
        <v>138</v>
      </c>
      <c r="AI60" t="s">
        <v>139</v>
      </c>
      <c r="AJ60" t="s">
        <v>140</v>
      </c>
      <c r="AK60" t="s">
        <v>141</v>
      </c>
      <c r="AL60" t="s">
        <v>142</v>
      </c>
      <c r="AM60" t="s">
        <v>143</v>
      </c>
      <c r="AN60" t="s">
        <v>144</v>
      </c>
      <c r="AO60" t="s">
        <v>145</v>
      </c>
      <c r="AP60" t="s">
        <v>146</v>
      </c>
      <c r="AQ60" t="s">
        <v>147</v>
      </c>
      <c r="AR60" t="s">
        <v>148</v>
      </c>
      <c r="AS60" t="s">
        <v>149</v>
      </c>
    </row>
    <row r="61" spans="1:45" x14ac:dyDescent="0.35">
      <c r="A61" t="s">
        <v>22</v>
      </c>
      <c r="B61" t="s">
        <v>54</v>
      </c>
      <c r="C61" t="s">
        <v>54</v>
      </c>
      <c r="D61" t="s">
        <v>54</v>
      </c>
      <c r="E61" t="s">
        <v>54</v>
      </c>
      <c r="F61" t="s">
        <v>54</v>
      </c>
      <c r="G61" t="s">
        <v>22</v>
      </c>
      <c r="H61" t="s">
        <v>22</v>
      </c>
      <c r="I61" t="s">
        <v>150</v>
      </c>
      <c r="J61" t="s">
        <v>54</v>
      </c>
      <c r="K61" t="s">
        <v>13</v>
      </c>
      <c r="L61" t="s">
        <v>54</v>
      </c>
      <c r="M61" t="s">
        <v>151</v>
      </c>
      <c r="N61" t="s">
        <v>54</v>
      </c>
      <c r="O61" t="s">
        <v>152</v>
      </c>
      <c r="P61" t="s">
        <v>54</v>
      </c>
      <c r="Q61" t="s">
        <v>54</v>
      </c>
      <c r="R61" t="s">
        <v>22</v>
      </c>
      <c r="S61" t="s">
        <v>22</v>
      </c>
      <c r="T61" t="s">
        <v>153</v>
      </c>
      <c r="U61" t="s">
        <v>54</v>
      </c>
      <c r="V61" t="s">
        <v>22</v>
      </c>
      <c r="W61" t="s">
        <v>54</v>
      </c>
      <c r="X61" t="s">
        <v>151</v>
      </c>
      <c r="Y61" t="s">
        <v>54</v>
      </c>
      <c r="Z61" t="s">
        <v>152</v>
      </c>
      <c r="AA61" t="s">
        <v>54</v>
      </c>
      <c r="AB61" t="s">
        <v>54</v>
      </c>
      <c r="AC61" t="s">
        <v>22</v>
      </c>
      <c r="AD61" t="s">
        <v>22</v>
      </c>
      <c r="AE61" t="s">
        <v>153</v>
      </c>
      <c r="AF61" t="s">
        <v>54</v>
      </c>
      <c r="AG61" t="s">
        <v>22</v>
      </c>
      <c r="AH61" t="s">
        <v>54</v>
      </c>
      <c r="AI61" t="s">
        <v>54</v>
      </c>
      <c r="AJ61" t="s">
        <v>54</v>
      </c>
      <c r="AK61" t="s">
        <v>54</v>
      </c>
      <c r="AL61" t="s">
        <v>54</v>
      </c>
      <c r="AM61" t="s">
        <v>13</v>
      </c>
      <c r="AN61" t="s">
        <v>13</v>
      </c>
      <c r="AO61" t="s">
        <v>13</v>
      </c>
      <c r="AP61" t="s">
        <v>13</v>
      </c>
      <c r="AQ61" t="s">
        <v>22</v>
      </c>
      <c r="AR61" t="s">
        <v>22</v>
      </c>
      <c r="AS61" t="s">
        <v>22</v>
      </c>
    </row>
    <row r="62" spans="1:45" x14ac:dyDescent="0.35">
      <c r="A62">
        <v>1</v>
      </c>
      <c r="B62">
        <v>0</v>
      </c>
      <c r="C62">
        <v>616556.01300000004</v>
      </c>
      <c r="D62">
        <v>3097760.4479999999</v>
      </c>
      <c r="E62">
        <v>634.298</v>
      </c>
      <c r="F62">
        <v>6.5579999999999998</v>
      </c>
      <c r="G62">
        <v>0</v>
      </c>
      <c r="H62" t="s">
        <v>155</v>
      </c>
      <c r="I62">
        <v>0</v>
      </c>
      <c r="J62">
        <v>0</v>
      </c>
      <c r="K62">
        <f ca="1">N32</f>
        <v>50.95</v>
      </c>
      <c r="L62">
        <f>MAX($D$16,($I$13)-E62)</f>
        <v>0.05</v>
      </c>
      <c r="M62">
        <f t="shared" ref="M62:M125" si="33">((F62)+(G62)*(L62))*(L62)</f>
        <v>0.32790000000000002</v>
      </c>
      <c r="N62">
        <f t="shared" ref="N62:N125" si="34">(((F62)+(G62)*(L62))*(L62))/MAX((F62)+2*(L62)*SQRT(1+(G62)^2),0.000001)</f>
        <v>4.9249023730850112E-2</v>
      </c>
      <c r="O62">
        <f t="shared" ref="O62:O125" ca="1" si="35">ABS(K62)/MAX(((F62)+(G62)*(L62))*(L62),0.000001)</f>
        <v>155.3827386398292</v>
      </c>
      <c r="P62">
        <f t="shared" ref="P62:P125" si="36">E62+L62</f>
        <v>634.34799999999996</v>
      </c>
      <c r="Q62">
        <f t="shared" ref="Q62:Q125" ca="1" si="37">P62+((ABS(K62)/MAX(((F62)+(G62)*(L62))*(L62),0.000001))^2)/(2*$I$5)</f>
        <v>1864.918615046558</v>
      </c>
      <c r="R62">
        <f t="shared" ref="R62:R125" ca="1" si="38">((ABS(K62)*$D$6)/(MAX(((F62)+(G62)*(L62))*(L62),0.000001)*MAX(((((F62)+(G62)*(L62))*(L62))/MAX((F62)+2*(L62)*SQRT(1+(G62)^2),0.000001))^(2/3),0.000001)))^2</f>
        <v>300.9247397864653</v>
      </c>
      <c r="S62">
        <f t="shared" ref="S62:S125" ca="1" si="39">ABS(ABS(K62)/MAX(((F62)+(G62)*(L62))*(L62),0.000001))/SQRT($I$5*MAX((((F62)+(G62)*(L62))*(L62))/MAX((F62)+2*(G62)*(L62),0.000001),0.000001))</f>
        <v>221.86217478845356</v>
      </c>
      <c r="T62">
        <f t="shared" ref="T62:T125" ca="1" si="40">((F62)*(L62)^2)/2+(G62)*(L62)^3/3+(ABS(K62)^2)/($I$5*MAX(((F62)+(G62)*(L62))*(L62),0.000001))</f>
        <v>807.01640684753306</v>
      </c>
      <c r="U62">
        <v>0</v>
      </c>
      <c r="V62">
        <v>1</v>
      </c>
      <c r="W62">
        <f t="shared" ref="W62:W125" ca="1" si="41">IF($D$20=0,IFERROR(W63,MAX($D$16,POWER((ABS(K62)^2)/($I$5*MAX(F62,0.1)^2),1/3))),IF(IFERROR(AG63,0)=0,IFERROR(W63,MAX($D$16,POWER((ABS(K62)^2)/($I$5*MAX(F62,0.1)^2),1/3))),IF(OR(IFERROR(W62,0)=0,IFERROR(AD63,0)&gt;1),MAX($D$16,POWER((ABS(K62)^2)/($I$5*MAX(F62,0.1)^2),1/3)),IF(IFERROR(AF62,0)&gt;0,MAX($D$16,IFERROR(W62,0)+((IFERROR(AF62,0))*$D$18*IF((IFERROR(AD62,0))&lt;1,1,-1))),IF(IFERROR(AF62,0)&lt;0,IF(ABS((MAX($D$16,POWER((ABS(K62)^2)/($I$5*MAX(F62,0.1)^2),1/3)))-IFERROR(W62,0))&gt;$D$19,MAX($D$16,IF((MAX($D$16,POWER((ABS(K62)^2)/($I$5*MAX(F62,0.1)^2),1/3)))&gt;IFERROR(W62,0),MIN((MAX($D$16,POWER((ABS(K62)^2)/($I$5*MAX(F62,0.1)^2),1/3))),IFERROR(W62,0)+(MIN(ABS(IFERROR(AF62,0))*$D$18,ABS((MAX($D$16,POWER((ABS(K62)^2)/($I$5*MAX(F62,0.1)^2),1/3)))-IFERROR(W62,0))))),MAX((MAX($D$16,POWER((ABS(K62)^2)/($I$5*MAX(F62,0.1)^2),1/3))),IFERROR(W62,0)-(MIN(ABS(IFERROR(AF62,0))*$D$18,ABS((MAX($D$16,POWER((ABS(K62)^2)/($I$5*MAX(F62,0.1)^2),1/3)))-IFERROR(W62,0))))))),MAX($D$16,POWER((ABS(K62)^2)/($I$5*MAX(F62,0.1)^2),1/3))),MAX($D$16,IFERROR(W62,0)))))))</f>
        <v>1.6752331574450396</v>
      </c>
      <c r="X62">
        <f t="shared" ref="X62:X125" ca="1" si="42">((F62)+(G62)*(W62))*(W62)</f>
        <v>10.986179046524569</v>
      </c>
      <c r="Y62">
        <f t="shared" ref="Y62:Y125" ca="1" si="43">(((F62)+(G62)*(W62))*(W62))/MAX((F62)+2*(W62)*SQRT(1+(G62)^2),0.000001)</f>
        <v>1.1087668562807689</v>
      </c>
      <c r="Z62">
        <f t="shared" ref="Z62:Z125" ca="1" si="44">ABS(K62)/MAX(((F62)+(G62)*(W62))*(W62),0.000001)</f>
        <v>4.6376451525353408</v>
      </c>
      <c r="AA62">
        <f t="shared" ref="AA62:AA125" ca="1" si="45">E62+W62</f>
        <v>635.97323315744507</v>
      </c>
      <c r="AB62">
        <f t="shared" ref="AB62:AB125" ca="1" si="46">AA62+((ABS(K62)/MAX(((F62)+(G62)*(W62))*(W62),0.000001))^2)/(2*$I$5)</f>
        <v>637.069448884297</v>
      </c>
      <c r="AC62">
        <f t="shared" ref="AC62:AC125" ca="1" si="47">((ABS(K62)*$D$6)/(MAX(((F62)+(G62)*(W62))*(W62),0.000001)*MAX(((((F62)+(G62)*(W62))*(W62))/MAX((F62)+2*(W62)*SQRT(1+(G62)^2),0.000001))^(2/3),0.000001)))^2</f>
        <v>4.2168734617106414E-3</v>
      </c>
      <c r="AD62">
        <f t="shared" ref="AD62:AD125" ca="1" si="48">ABS(ABS(K62)/MAX(((F62)+(G62)*(W62))*(W62),0.000001))/SQRT($I$5*MAX((((F62)+(G62)*(W62))*(W62))/MAX((F62)+2*(G62)*(W62),0.000001),0.000001))</f>
        <v>1.1439983073426594</v>
      </c>
      <c r="AE62">
        <f t="shared" ref="AE62:AE125" ca="1" si="49">((F62)*(W62)^2)/2+(G62)*(W62)^3/3+(ABS(K62)^2)/($I$5*MAX(((F62)+(G62)*(W62))*(W62),0.000001))</f>
        <v>33.288650203805332</v>
      </c>
      <c r="AF62">
        <f t="shared" ref="AF62:AF125" ca="1" si="50">IF($D$20=0,0,IFERROR(AB63+(((AC62+AC63)/2)*J63)+(IF(Z62&gt;Z63,$D$8*((Z62^2-Z63^2)/(2*$I$5)),$D$9*((Z63^2-Z62^2)/(2*$I$5)))+($D$10*(ABS(I63)/90)*(MAX(Z62^2,Z63^2)/(2*$I$5))))-AB62,0))</f>
        <v>-0.12725735562446516</v>
      </c>
      <c r="AG62">
        <f t="shared" ref="AG62:AG125" ca="1" si="51">IF($D$20=0,1,IFERROR(IF(ROUND(AD62,3)=1,1,IF(AND(ABS(AF62)&lt;$D$19,AD62&lt;1),1,0)),0))</f>
        <v>0</v>
      </c>
      <c r="AH62">
        <f ca="1">IFERROR(IF(V32="Supercritical",MAX($D$16,IFERROR(L62,MAX($D$16,POWER((ABS(K62)^2)/($I$5*MAX(F62,0.1)^2),1/3)))),IF(V32="Subcritical",MAX($D$16,IFERROR(W62,MAX($D$16,POWER((ABS(K62)^2)/($I$5*MAX(F62,0.1)^2),1/3)))),IF(AND(IFERROR(V62,0)=1,IFERROR(AG62,0)=1),IF(IFERROR(T62,-1E+99)&gt;=IFERROR(AE62,-1E+99),MAX($D$16,IFERROR(L62,MAX($D$16,POWER((ABS(K62)^2)/($I$5*MAX(F62,0.1)^2),1/3)))),MAX($D$16,IFERROR(W62,MAX($D$16,POWER((ABS(K62)^2)/($I$5*MAX(F62,0.1)^2),1/3))))),IF(IFERROR(V62,0)=1,MAX($D$16,IFERROR(L62,MAX($D$16,POWER((ABS(K62)^2)/($I$5*MAX(F62,0.1)^2),1/3)))),IF(IFERROR(AG62,0)=1,MAX($D$16,IFERROR(W62,MAX($D$16,POWER((ABS(K62)^2)/($I$5*MAX(F62,0.1)^2),1/3)))),MAX($D$16,POWER((ABS(K62)^2)/($I$5*MAX(F62,0.1)^2),1/3))))))),MAX($D$16,POWER((ABS(K62)^2)/($I$5*MAX(F62,0.1)^2),1/3)))</f>
        <v>0.05</v>
      </c>
      <c r="AI62">
        <f t="shared" ref="AI62:AI125" ca="1" si="52">E62+AH62</f>
        <v>634.34799999999996</v>
      </c>
      <c r="AJ62">
        <f t="shared" ref="AJ62:AJ125" ca="1" si="53">AI62+((ABS(K62)/MAX(((F62)+(G62)*(AH62))*(AH62),0.000001))^2)/(2*$I$5)</f>
        <v>1864.918615046558</v>
      </c>
      <c r="AM62">
        <v>0</v>
      </c>
      <c r="AN62">
        <v>0</v>
      </c>
      <c r="AO62">
        <f t="shared" ref="AO62:AO125" si="54">AM62+AN62</f>
        <v>0</v>
      </c>
      <c r="AP62">
        <f>AO62</f>
        <v>0</v>
      </c>
      <c r="AQ62">
        <f t="shared" ref="AQ62:AQ125" ca="1" si="55">ABS(ABS(K62)/MAX(((F62)+(G62)*(AH62))*(AH62),0.000001))/SQRT($I$5*MAX((((F62)+(G62)*(AH62))*(AH62))/MAX((F62)+2*(G62)*(AH62),0.000001),0.000001))</f>
        <v>221.86217478845356</v>
      </c>
      <c r="AR62" t="str">
        <f t="shared" ref="AR62:AR125" ca="1" si="56">IF(AQ62&lt;1,"Subcritical","Supercritical")</f>
        <v>Supercritical</v>
      </c>
      <c r="AS62">
        <f t="shared" ref="AS62:AS125" ca="1" si="57">((ABS(K62)*$D$6)/(MAX(((F62)+(G62)*(AH62))*(AH62),0.000001)*MAX(((((F62)+(G62)*(AH62))*(AH62))/MAX((F62)+2*(AH62)*SQRT(1+(G62)^2),0.000001))^(2/3),0.000001)))^2</f>
        <v>300.9247397864653</v>
      </c>
    </row>
    <row r="63" spans="1:45" x14ac:dyDescent="0.35">
      <c r="A63">
        <v>2</v>
      </c>
      <c r="B63">
        <v>1</v>
      </c>
      <c r="C63">
        <v>616555.06599999999</v>
      </c>
      <c r="D63">
        <v>3097760.1269999999</v>
      </c>
      <c r="E63">
        <v>634.29600000000005</v>
      </c>
      <c r="F63">
        <v>7.1909999999999998</v>
      </c>
      <c r="G63">
        <v>0</v>
      </c>
      <c r="H63" t="s">
        <v>155</v>
      </c>
      <c r="I63">
        <v>5.3999999999999999E-2</v>
      </c>
      <c r="J63">
        <f t="shared" ref="J63:J126" si="58">B63-B62</f>
        <v>1</v>
      </c>
      <c r="K63">
        <f t="shared" ref="K63:K126" ca="1" si="59">MAX(0,K62-AO62)</f>
        <v>50.95</v>
      </c>
      <c r="L63">
        <f t="shared" ref="L63:L126" ca="1" si="60">IF($D$20=0,IFERROR(L62,MAX($D$16,POWER((ABS(K63)^2)/($I$5*MAX(F63,0.1)^2),1/3))),IF(IFERROR(V62,0)=0,IFERROR(L62,MAX($D$16,POWER((ABS(K63)^2)/($I$5*MAX(F63,0.1)^2),1/3))),IF(OR(IFERROR(L63,0)=0,IFERROR(S62,0)&lt;1,IFERROR(S63,0)&lt;1),MAX($D$16,POWER((ABS(K63)^2)/($I$5*MAX(F63,0.1)^2),1/3)),IF(IFERROR(U63,0)&gt;0,MAX($D$16,IFERROR(L63,0)+((IFERROR(U63,0))*$D$18*IF((IFERROR(S63,0))&lt;1,1,-1))),IF(IFERROR(U63,0)&lt;0,IF(ABS((MAX($D$16,POWER((ABS(K63)^2)/($I$5*MAX(F63,0.1)^2),1/3)))-IFERROR(L63,0))&gt;$D$19,MAX($D$16,IF((MAX($D$16,POWER((ABS(K63)^2)/($I$5*MAX(F63,0.1)^2),1/3)))&gt;IFERROR(L63,0),MIN((MAX($D$16,POWER((ABS(K63)^2)/($I$5*MAX(F63,0.1)^2),1/3))),IFERROR(L63,0)+(MIN(ABS(IFERROR(U63,0))*$D$18,ABS((MAX($D$16,POWER((ABS(K63)^2)/($I$5*MAX(F63,0.1)^2),1/3)))-IFERROR(L63,0))))),MAX((MAX($D$16,POWER((ABS(K63)^2)/($I$5*MAX(F63,0.1)^2),1/3))),IFERROR(L63,0)-(MIN(ABS(IFERROR(U63,0))*$D$18,ABS((MAX($D$16,POWER((ABS(K63)^2)/($I$5*MAX(F63,0.1)^2),1/3)))-IFERROR(L63,0))))))),MAX($D$16,POWER((ABS(K63)^2)/($I$5*MAX(F63,0.1)^2),1/3))),MAX($D$16,IFERROR(L63,0)))))))</f>
        <v>1.7232446172466758</v>
      </c>
      <c r="M63">
        <f t="shared" ca="1" si="33"/>
        <v>12.391852042620846</v>
      </c>
      <c r="N63">
        <f t="shared" ca="1" si="34"/>
        <v>1.1649226400567119</v>
      </c>
      <c r="O63">
        <f t="shared" ca="1" si="35"/>
        <v>4.1115726547380733</v>
      </c>
      <c r="P63">
        <f t="shared" ca="1" si="36"/>
        <v>636.01924461724673</v>
      </c>
      <c r="Q63">
        <f t="shared" ca="1" si="37"/>
        <v>636.88086692587001</v>
      </c>
      <c r="R63">
        <f t="shared" ca="1" si="38"/>
        <v>3.1031469468791968E-3</v>
      </c>
      <c r="S63">
        <f t="shared" ca="1" si="39"/>
        <v>1</v>
      </c>
      <c r="T63">
        <f t="shared" ca="1" si="40"/>
        <v>32.031288495245384</v>
      </c>
      <c r="U63">
        <f t="shared" ref="U63:U126" ca="1" si="61">IF($D$20=0,0,IFERROR(Q62-(((R62+R63)/2)*J63)-(IF(O62&gt;O63,$D$8*((O62^2-O63^2)/(2*$I$5)),$D$9*((O63^2-O62^2)/(2*$I$5)))+($D$10*(ABS(I63)/90)*(MAX(O62^2,O63^2)/(2*$I$5))))-Q63,0))</f>
        <v>708.55037747724725</v>
      </c>
      <c r="V63">
        <f t="shared" ref="V63:V126" ca="1" si="62">IF($D$20=0,1,IFERROR(IF(ROUND(S63,3)=1,1,IF(AND(ABS(U63)&lt;$D$19,S63&gt;1),1,0)),0))</f>
        <v>1</v>
      </c>
      <c r="W63">
        <f t="shared" ca="1" si="41"/>
        <v>1.675253337365068</v>
      </c>
      <c r="X63">
        <f t="shared" ca="1" si="42"/>
        <v>12.046746748992204</v>
      </c>
      <c r="Y63">
        <f t="shared" ca="1" si="43"/>
        <v>1.1427917394266225</v>
      </c>
      <c r="Z63">
        <f t="shared" ca="1" si="44"/>
        <v>4.2293576067964018</v>
      </c>
      <c r="AA63">
        <f t="shared" ca="1" si="45"/>
        <v>635.97125333736517</v>
      </c>
      <c r="AB63">
        <f t="shared" ca="1" si="46"/>
        <v>636.88294884022787</v>
      </c>
      <c r="AC63">
        <f t="shared" ca="1" si="47"/>
        <v>3.3685413054615693E-3</v>
      </c>
      <c r="AD63">
        <f t="shared" ca="1" si="48"/>
        <v>1.0432770604066293</v>
      </c>
      <c r="AE63">
        <f t="shared" ca="1" si="49"/>
        <v>32.056606018185079</v>
      </c>
      <c r="AF63">
        <f t="shared" ca="1" si="50"/>
        <v>-0.11190811824371849</v>
      </c>
      <c r="AG63">
        <f t="shared" ca="1" si="51"/>
        <v>0</v>
      </c>
      <c r="AH63">
        <f ca="1">IFERROR(IF(V32="Supercritical",MAX($D$16,IFERROR(L63,MAX($D$16,POWER((ABS(K63)^2)/($I$5*MAX(F63,0.1)^2),1/3)))),IF(V32="Subcritical",MAX($D$16,IFERROR(W63,MAX($D$16,POWER((ABS(K63)^2)/($I$5*MAX(F63,0.1)^2),1/3)))),IF(AND(IFERROR(V63,0)=1,IFERROR(AG63,0)=1),IF(IFERROR(T63,-1E+99)&gt;=IFERROR(AE63,-1E+99),MAX($D$16,IFERROR(L63,MAX($D$16,POWER((ABS(K63)^2)/($I$5*MAX(F63,0.1)^2),1/3)))),MAX($D$16,IFERROR(W63,MAX($D$16,POWER((ABS(K63)^2)/($I$5*MAX(F63,0.1)^2),1/3))))),IF(IFERROR(V63,0)=1,MAX($D$16,IFERROR(L63,MAX($D$16,POWER((ABS(K63)^2)/($I$5*MAX(F63,0.1)^2),1/3)))),IF(IFERROR(AG63,0)=1,MAX($D$16,IFERROR(W63,MAX($D$16,POWER((ABS(K63)^2)/($I$5*MAX(F63,0.1)^2),1/3)))),MAX($D$16,POWER((ABS(K63)^2)/($I$5*MAX(F63,0.1)^2),1/3))))))),MAX($D$16,POWER((ABS(K63)^2)/($I$5*MAX(F63,0.1)^2),1/3)))</f>
        <v>1.7232446172466758</v>
      </c>
      <c r="AI63">
        <f t="shared" ca="1" si="52"/>
        <v>636.01924461724673</v>
      </c>
      <c r="AJ63">
        <f t="shared" ca="1" si="53"/>
        <v>636.88086692587001</v>
      </c>
      <c r="AM63">
        <v>0</v>
      </c>
      <c r="AN63">
        <v>0</v>
      </c>
      <c r="AO63">
        <f t="shared" si="54"/>
        <v>0</v>
      </c>
      <c r="AP63">
        <f t="shared" ref="AP63:AP126" si="63">AP62+AO63</f>
        <v>0</v>
      </c>
      <c r="AQ63">
        <f t="shared" ca="1" si="55"/>
        <v>1</v>
      </c>
      <c r="AR63" t="str">
        <f t="shared" ca="1" si="56"/>
        <v>Supercritical</v>
      </c>
      <c r="AS63">
        <f t="shared" ca="1" si="57"/>
        <v>3.1031469468791968E-3</v>
      </c>
    </row>
    <row r="64" spans="1:45" x14ac:dyDescent="0.35">
      <c r="A64">
        <v>3</v>
      </c>
      <c r="B64">
        <v>2</v>
      </c>
      <c r="C64">
        <v>616554.11899999995</v>
      </c>
      <c r="D64">
        <v>3097759.8050000002</v>
      </c>
      <c r="E64">
        <v>634.29399999999998</v>
      </c>
      <c r="F64">
        <v>7.9269999999999996</v>
      </c>
      <c r="G64">
        <v>0</v>
      </c>
      <c r="H64" t="s">
        <v>155</v>
      </c>
      <c r="I64">
        <v>5.3999999999999999E-2</v>
      </c>
      <c r="J64">
        <f t="shared" si="58"/>
        <v>1</v>
      </c>
      <c r="K64">
        <f t="shared" ca="1" si="59"/>
        <v>50.95</v>
      </c>
      <c r="L64">
        <f t="shared" ca="1" si="60"/>
        <v>1.6148563080135834</v>
      </c>
      <c r="M64">
        <f t="shared" ca="1" si="33"/>
        <v>12.800965953623674</v>
      </c>
      <c r="N64">
        <f t="shared" ca="1" si="34"/>
        <v>1.1473779413511518</v>
      </c>
      <c r="O64">
        <f t="shared" ca="1" si="35"/>
        <v>3.9801683860878616</v>
      </c>
      <c r="P64">
        <f t="shared" ca="1" si="36"/>
        <v>635.90885630801358</v>
      </c>
      <c r="Q64">
        <f t="shared" ca="1" si="37"/>
        <v>636.71628446202033</v>
      </c>
      <c r="R64">
        <f t="shared" ca="1" si="38"/>
        <v>2.9674044812095361E-3</v>
      </c>
      <c r="S64">
        <f t="shared" ca="1" si="39"/>
        <v>1</v>
      </c>
      <c r="T64">
        <f t="shared" ca="1" si="40"/>
        <v>31.007580928314457</v>
      </c>
      <c r="U64">
        <f t="shared" ca="1" si="61"/>
        <v>0.14521139574287645</v>
      </c>
      <c r="V64">
        <f t="shared" ca="1" si="62"/>
        <v>1</v>
      </c>
      <c r="W64">
        <f t="shared" ca="1" si="41"/>
        <v>1.6752331615527043</v>
      </c>
      <c r="X64">
        <f t="shared" ca="1" si="42"/>
        <v>13.279573271628287</v>
      </c>
      <c r="Y64">
        <f t="shared" ca="1" si="43"/>
        <v>1.1775316273320133</v>
      </c>
      <c r="Z64">
        <f t="shared" ca="1" si="44"/>
        <v>3.8367196714712448</v>
      </c>
      <c r="AA64">
        <f t="shared" ca="1" si="45"/>
        <v>635.96923316155267</v>
      </c>
      <c r="AB64">
        <f t="shared" ca="1" si="46"/>
        <v>636.71950930005698</v>
      </c>
      <c r="AC64">
        <f t="shared" ca="1" si="47"/>
        <v>2.6636217231464591E-3</v>
      </c>
      <c r="AD64">
        <f t="shared" ca="1" si="48"/>
        <v>0.94642877153520855</v>
      </c>
      <c r="AE64">
        <f t="shared" ca="1" si="49"/>
        <v>31.049884668394757</v>
      </c>
      <c r="AF64">
        <f t="shared" ca="1" si="50"/>
        <v>-8.5141186960981941E-2</v>
      </c>
      <c r="AG64">
        <f t="shared" ca="1" si="51"/>
        <v>0</v>
      </c>
      <c r="AH64">
        <f ca="1">IFERROR(IF(V32="Supercritical",MAX($D$16,IFERROR(L64,MAX($D$16,POWER((ABS(K64)^2)/($I$5*MAX(F64,0.1)^2),1/3)))),IF(V32="Subcritical",MAX($D$16,IFERROR(W64,MAX($D$16,POWER((ABS(K64)^2)/($I$5*MAX(F64,0.1)^2),1/3)))),IF(AND(IFERROR(V64,0)=1,IFERROR(AG64,0)=1),IF(IFERROR(T64,-1E+99)&gt;=IFERROR(AE64,-1E+99),MAX($D$16,IFERROR(L64,MAX($D$16,POWER((ABS(K64)^2)/($I$5*MAX(F64,0.1)^2),1/3)))),MAX($D$16,IFERROR(W64,MAX($D$16,POWER((ABS(K64)^2)/($I$5*MAX(F64,0.1)^2),1/3))))),IF(IFERROR(V64,0)=1,MAX($D$16,IFERROR(L64,MAX($D$16,POWER((ABS(K64)^2)/($I$5*MAX(F64,0.1)^2),1/3)))),IF(IFERROR(AG64,0)=1,MAX($D$16,IFERROR(W64,MAX($D$16,POWER((ABS(K64)^2)/($I$5*MAX(F64,0.1)^2),1/3)))),MAX($D$16,POWER((ABS(K64)^2)/($I$5*MAX(F64,0.1)^2),1/3))))))),MAX($D$16,POWER((ABS(K64)^2)/($I$5*MAX(F64,0.1)^2),1/3)))</f>
        <v>1.6148563080135834</v>
      </c>
      <c r="AI64">
        <f t="shared" ca="1" si="52"/>
        <v>635.90885630801358</v>
      </c>
      <c r="AJ64">
        <f t="shared" ca="1" si="53"/>
        <v>636.71628446202033</v>
      </c>
      <c r="AM64">
        <v>0</v>
      </c>
      <c r="AN64">
        <v>0</v>
      </c>
      <c r="AO64">
        <f t="shared" si="54"/>
        <v>0</v>
      </c>
      <c r="AP64">
        <f t="shared" si="63"/>
        <v>0</v>
      </c>
      <c r="AQ64">
        <f t="shared" ca="1" si="55"/>
        <v>1</v>
      </c>
      <c r="AR64" t="str">
        <f t="shared" ca="1" si="56"/>
        <v>Supercritical</v>
      </c>
      <c r="AS64">
        <f t="shared" ca="1" si="57"/>
        <v>2.9674044812095361E-3</v>
      </c>
    </row>
    <row r="65" spans="1:45" x14ac:dyDescent="0.35">
      <c r="A65">
        <v>4</v>
      </c>
      <c r="B65">
        <v>3</v>
      </c>
      <c r="C65">
        <v>616553.17200000002</v>
      </c>
      <c r="D65">
        <v>3097759.4840000002</v>
      </c>
      <c r="E65">
        <v>634.29200000000003</v>
      </c>
      <c r="F65">
        <v>8.6639999999999997</v>
      </c>
      <c r="G65">
        <v>0</v>
      </c>
      <c r="H65" t="s">
        <v>155</v>
      </c>
      <c r="I65">
        <v>0</v>
      </c>
      <c r="J65">
        <f t="shared" si="58"/>
        <v>1</v>
      </c>
      <c r="K65">
        <f t="shared" ca="1" si="59"/>
        <v>50.95</v>
      </c>
      <c r="L65">
        <f t="shared" ca="1" si="60"/>
        <v>1.5219281876687019</v>
      </c>
      <c r="M65">
        <f t="shared" ca="1" si="33"/>
        <v>13.185985817961633</v>
      </c>
      <c r="N65">
        <f t="shared" ca="1" si="34"/>
        <v>1.1262510740854244</v>
      </c>
      <c r="O65">
        <f t="shared" ca="1" si="35"/>
        <v>3.8639507658651611</v>
      </c>
      <c r="P65">
        <f t="shared" ca="1" si="36"/>
        <v>635.81392818766869</v>
      </c>
      <c r="Q65">
        <f t="shared" ca="1" si="37"/>
        <v>636.57489228150303</v>
      </c>
      <c r="R65">
        <f t="shared" ca="1" si="38"/>
        <v>2.8668087980860198E-3</v>
      </c>
      <c r="S65">
        <f t="shared" ca="1" si="39"/>
        <v>0.99999999999999989</v>
      </c>
      <c r="T65">
        <f t="shared" ca="1" si="40"/>
        <v>30.102185247833326</v>
      </c>
      <c r="U65">
        <f t="shared" ca="1" si="61"/>
        <v>0.12453585582591131</v>
      </c>
      <c r="V65">
        <f t="shared" ca="1" si="62"/>
        <v>1</v>
      </c>
      <c r="W65">
        <f t="shared" ca="1" si="41"/>
        <v>1.6752533412010608</v>
      </c>
      <c r="X65">
        <f t="shared" ca="1" si="42"/>
        <v>14.514394948165991</v>
      </c>
      <c r="Y65">
        <f t="shared" ca="1" si="43"/>
        <v>1.2080724853585127</v>
      </c>
      <c r="Z65">
        <f t="shared" ca="1" si="44"/>
        <v>3.5103082272429096</v>
      </c>
      <c r="AA65">
        <f t="shared" ca="1" si="45"/>
        <v>635.96725334120106</v>
      </c>
      <c r="AB65">
        <f t="shared" ca="1" si="46"/>
        <v>636.59529940900177</v>
      </c>
      <c r="AC65">
        <f t="shared" ca="1" si="47"/>
        <v>2.1548433201834111E-3</v>
      </c>
      <c r="AD65">
        <f t="shared" ca="1" si="48"/>
        <v>0.86590550734259719</v>
      </c>
      <c r="AE65">
        <f t="shared" ca="1" si="49"/>
        <v>30.389061663616722</v>
      </c>
      <c r="AF65">
        <f t="shared" ca="1" si="50"/>
        <v>-6.6262844063658122E-2</v>
      </c>
      <c r="AG65">
        <f t="shared" ca="1" si="51"/>
        <v>0</v>
      </c>
      <c r="AH65">
        <f ca="1">IFERROR(IF(V32="Supercritical",MAX($D$16,IFERROR(L65,MAX($D$16,POWER((ABS(K65)^2)/($I$5*MAX(F65,0.1)^2),1/3)))),IF(V32="Subcritical",MAX($D$16,IFERROR(W65,MAX($D$16,POWER((ABS(K65)^2)/($I$5*MAX(F65,0.1)^2),1/3)))),IF(AND(IFERROR(V65,0)=1,IFERROR(AG65,0)=1),IF(IFERROR(T65,-1E+99)&gt;=IFERROR(AE65,-1E+99),MAX($D$16,IFERROR(L65,MAX($D$16,POWER((ABS(K65)^2)/($I$5*MAX(F65,0.1)^2),1/3)))),MAX($D$16,IFERROR(W65,MAX($D$16,POWER((ABS(K65)^2)/($I$5*MAX(F65,0.1)^2),1/3))))),IF(IFERROR(V65,0)=1,MAX($D$16,IFERROR(L65,MAX($D$16,POWER((ABS(K65)^2)/($I$5*MAX(F65,0.1)^2),1/3)))),IF(IFERROR(AG65,0)=1,MAX($D$16,IFERROR(W65,MAX($D$16,POWER((ABS(K65)^2)/($I$5*MAX(F65,0.1)^2),1/3)))),MAX($D$16,POWER((ABS(K65)^2)/($I$5*MAX(F65,0.1)^2),1/3))))))),MAX($D$16,POWER((ABS(K65)^2)/($I$5*MAX(F65,0.1)^2),1/3)))</f>
        <v>1.5219281876687019</v>
      </c>
      <c r="AI65">
        <f t="shared" ca="1" si="52"/>
        <v>635.81392818766869</v>
      </c>
      <c r="AJ65">
        <f t="shared" ca="1" si="53"/>
        <v>636.57489228150303</v>
      </c>
      <c r="AM65">
        <v>0</v>
      </c>
      <c r="AN65">
        <v>0</v>
      </c>
      <c r="AO65">
        <f t="shared" si="54"/>
        <v>0</v>
      </c>
      <c r="AP65">
        <f t="shared" si="63"/>
        <v>0</v>
      </c>
      <c r="AQ65">
        <f t="shared" ca="1" si="55"/>
        <v>0.99999999999999989</v>
      </c>
      <c r="AR65" t="str">
        <f t="shared" ca="1" si="56"/>
        <v>Supercritical</v>
      </c>
      <c r="AS65">
        <f t="shared" ca="1" si="57"/>
        <v>2.8668087980860198E-3</v>
      </c>
    </row>
    <row r="66" spans="1:45" x14ac:dyDescent="0.35">
      <c r="A66">
        <v>5</v>
      </c>
      <c r="B66">
        <v>4</v>
      </c>
      <c r="C66">
        <v>616552.22499999998</v>
      </c>
      <c r="D66">
        <v>3097759.1630000002</v>
      </c>
      <c r="E66">
        <v>634.29</v>
      </c>
      <c r="F66">
        <v>9.4009999999999998</v>
      </c>
      <c r="G66">
        <v>0</v>
      </c>
      <c r="H66" t="s">
        <v>155</v>
      </c>
      <c r="I66">
        <v>0</v>
      </c>
      <c r="J66">
        <f t="shared" si="58"/>
        <v>1</v>
      </c>
      <c r="K66">
        <f t="shared" ca="1" si="59"/>
        <v>50.95</v>
      </c>
      <c r="L66">
        <f t="shared" ca="1" si="60"/>
        <v>1.4413089650323605</v>
      </c>
      <c r="M66">
        <f t="shared" ca="1" si="33"/>
        <v>13.549745580269221</v>
      </c>
      <c r="N66">
        <f t="shared" ca="1" si="34"/>
        <v>1.1030744897320188</v>
      </c>
      <c r="O66">
        <f t="shared" ca="1" si="35"/>
        <v>3.7602182047013515</v>
      </c>
      <c r="P66">
        <f t="shared" ca="1" si="36"/>
        <v>635.73130896503233</v>
      </c>
      <c r="Q66">
        <f t="shared" ca="1" si="37"/>
        <v>636.45196344754845</v>
      </c>
      <c r="R66">
        <f t="shared" ca="1" si="38"/>
        <v>2.7912719983598021E-3</v>
      </c>
      <c r="S66">
        <f t="shared" ca="1" si="39"/>
        <v>1</v>
      </c>
      <c r="T66">
        <f t="shared" ca="1" si="40"/>
        <v>29.294054668124442</v>
      </c>
      <c r="U66">
        <f t="shared" ca="1" si="61"/>
        <v>0.10800691016095243</v>
      </c>
      <c r="V66">
        <f t="shared" ca="1" si="62"/>
        <v>1</v>
      </c>
      <c r="W66">
        <f t="shared" ca="1" si="41"/>
        <v>1.6752331651349821</v>
      </c>
      <c r="X66">
        <f t="shared" ca="1" si="42"/>
        <v>15.748866985433967</v>
      </c>
      <c r="Y66">
        <f t="shared" ca="1" si="43"/>
        <v>1.2350632137143827</v>
      </c>
      <c r="Z66">
        <f t="shared" ca="1" si="44"/>
        <v>3.2351533635482066</v>
      </c>
      <c r="AA66">
        <f t="shared" ca="1" si="45"/>
        <v>635.96523316513492</v>
      </c>
      <c r="AB66">
        <f t="shared" ca="1" si="46"/>
        <v>636.49867950997066</v>
      </c>
      <c r="AC66">
        <f t="shared" ca="1" si="47"/>
        <v>1.7771333468174083E-3</v>
      </c>
      <c r="AD66">
        <f t="shared" ca="1" si="48"/>
        <v>0.79803646930064509</v>
      </c>
      <c r="AE66">
        <f t="shared" ca="1" si="49"/>
        <v>29.993863201017291</v>
      </c>
      <c r="AF66">
        <f t="shared" ca="1" si="50"/>
        <v>-5.2685108955415672E-2</v>
      </c>
      <c r="AG66">
        <f t="shared" ca="1" si="51"/>
        <v>0</v>
      </c>
      <c r="AH66">
        <f ca="1">IFERROR(IF(V32="Supercritical",MAX($D$16,IFERROR(L66,MAX($D$16,POWER((ABS(K66)^2)/($I$5*MAX(F66,0.1)^2),1/3)))),IF(V32="Subcritical",MAX($D$16,IFERROR(W66,MAX($D$16,POWER((ABS(K66)^2)/($I$5*MAX(F66,0.1)^2),1/3)))),IF(AND(IFERROR(V66,0)=1,IFERROR(AG66,0)=1),IF(IFERROR(T66,-1E+99)&gt;=IFERROR(AE66,-1E+99),MAX($D$16,IFERROR(L66,MAX($D$16,POWER((ABS(K66)^2)/($I$5*MAX(F66,0.1)^2),1/3)))),MAX($D$16,IFERROR(W66,MAX($D$16,POWER((ABS(K66)^2)/($I$5*MAX(F66,0.1)^2),1/3))))),IF(IFERROR(V66,0)=1,MAX($D$16,IFERROR(L66,MAX($D$16,POWER((ABS(K66)^2)/($I$5*MAX(F66,0.1)^2),1/3)))),IF(IFERROR(AG66,0)=1,MAX($D$16,IFERROR(W66,MAX($D$16,POWER((ABS(K66)^2)/($I$5*MAX(F66,0.1)^2),1/3)))),MAX($D$16,POWER((ABS(K66)^2)/($I$5*MAX(F66,0.1)^2),1/3))))))),MAX($D$16,POWER((ABS(K66)^2)/($I$5*MAX(F66,0.1)^2),1/3)))</f>
        <v>1.4413089650323605</v>
      </c>
      <c r="AI66">
        <f t="shared" ca="1" si="52"/>
        <v>635.73130896503233</v>
      </c>
      <c r="AJ66">
        <f t="shared" ca="1" si="53"/>
        <v>636.45196344754845</v>
      </c>
      <c r="AM66">
        <v>0</v>
      </c>
      <c r="AN66">
        <v>0</v>
      </c>
      <c r="AO66">
        <f t="shared" si="54"/>
        <v>0</v>
      </c>
      <c r="AP66">
        <f t="shared" si="63"/>
        <v>0</v>
      </c>
      <c r="AQ66">
        <f t="shared" ca="1" si="55"/>
        <v>1</v>
      </c>
      <c r="AR66" t="str">
        <f t="shared" ca="1" si="56"/>
        <v>Supercritical</v>
      </c>
      <c r="AS66">
        <f t="shared" ca="1" si="57"/>
        <v>2.7912719983598021E-3</v>
      </c>
    </row>
    <row r="67" spans="1:45" x14ac:dyDescent="0.35">
      <c r="A67">
        <v>6</v>
      </c>
      <c r="B67">
        <v>5</v>
      </c>
      <c r="C67">
        <v>616551.27800000005</v>
      </c>
      <c r="D67">
        <v>3097758.8420000002</v>
      </c>
      <c r="E67">
        <v>634.28800000000001</v>
      </c>
      <c r="F67">
        <v>10.138</v>
      </c>
      <c r="G67">
        <v>0</v>
      </c>
      <c r="H67" t="s">
        <v>155</v>
      </c>
      <c r="I67">
        <v>0</v>
      </c>
      <c r="J67">
        <f t="shared" si="58"/>
        <v>1</v>
      </c>
      <c r="K67">
        <f t="shared" ca="1" si="59"/>
        <v>50.95</v>
      </c>
      <c r="L67">
        <f t="shared" ca="1" si="60"/>
        <v>1.3705817095340855</v>
      </c>
      <c r="M67">
        <f t="shared" ca="1" si="33"/>
        <v>13.894957371256559</v>
      </c>
      <c r="N67">
        <f t="shared" ca="1" si="34"/>
        <v>1.0788711129081925</v>
      </c>
      <c r="O67">
        <f t="shared" ca="1" si="35"/>
        <v>3.6667978633310807</v>
      </c>
      <c r="P67">
        <f t="shared" ca="1" si="36"/>
        <v>635.65858170953413</v>
      </c>
      <c r="Q67">
        <f t="shared" ca="1" si="37"/>
        <v>636.34387256430114</v>
      </c>
      <c r="R67">
        <f t="shared" ca="1" si="38"/>
        <v>2.7339907286544089E-3</v>
      </c>
      <c r="S67">
        <f t="shared" ca="1" si="39"/>
        <v>1</v>
      </c>
      <c r="T67">
        <f t="shared" ca="1" si="40"/>
        <v>28.566261641700088</v>
      </c>
      <c r="U67">
        <f t="shared" ca="1" si="61"/>
        <v>9.4719163559148001E-2</v>
      </c>
      <c r="V67">
        <f t="shared" ca="1" si="62"/>
        <v>1</v>
      </c>
      <c r="W67">
        <f t="shared" ca="1" si="41"/>
        <v>1.6752533445463869</v>
      </c>
      <c r="X67">
        <f t="shared" ca="1" si="42"/>
        <v>16.983718407011271</v>
      </c>
      <c r="Y67">
        <f t="shared" ca="1" si="43"/>
        <v>1.2591251795682346</v>
      </c>
      <c r="Z67">
        <f t="shared" ca="1" si="44"/>
        <v>2.9999319806766618</v>
      </c>
      <c r="AA67">
        <f t="shared" ca="1" si="45"/>
        <v>635.96325334454639</v>
      </c>
      <c r="AB67">
        <f t="shared" ca="1" si="46"/>
        <v>636.42194814009622</v>
      </c>
      <c r="AC67">
        <f t="shared" ca="1" si="47"/>
        <v>1.4892929095492921E-3</v>
      </c>
      <c r="AD67">
        <f t="shared" ca="1" si="48"/>
        <v>0.74000841321211719</v>
      </c>
      <c r="AE67">
        <f t="shared" ca="1" si="49"/>
        <v>29.806702016847826</v>
      </c>
      <c r="AF67">
        <f t="shared" ca="1" si="50"/>
        <v>-4.2575395636163194E-2</v>
      </c>
      <c r="AG67">
        <f t="shared" ca="1" si="51"/>
        <v>0</v>
      </c>
      <c r="AH67">
        <f ca="1">IFERROR(IF(V32="Supercritical",MAX($D$16,IFERROR(L67,MAX($D$16,POWER((ABS(K67)^2)/($I$5*MAX(F67,0.1)^2),1/3)))),IF(V32="Subcritical",MAX($D$16,IFERROR(W67,MAX($D$16,POWER((ABS(K67)^2)/($I$5*MAX(F67,0.1)^2),1/3)))),IF(AND(IFERROR(V67,0)=1,IFERROR(AG67,0)=1),IF(IFERROR(T67,-1E+99)&gt;=IFERROR(AE67,-1E+99),MAX($D$16,IFERROR(L67,MAX($D$16,POWER((ABS(K67)^2)/($I$5*MAX(F67,0.1)^2),1/3)))),MAX($D$16,IFERROR(W67,MAX($D$16,POWER((ABS(K67)^2)/($I$5*MAX(F67,0.1)^2),1/3))))),IF(IFERROR(V67,0)=1,MAX($D$16,IFERROR(L67,MAX($D$16,POWER((ABS(K67)^2)/($I$5*MAX(F67,0.1)^2),1/3)))),IF(IFERROR(AG67,0)=1,MAX($D$16,IFERROR(W67,MAX($D$16,POWER((ABS(K67)^2)/($I$5*MAX(F67,0.1)^2),1/3)))),MAX($D$16,POWER((ABS(K67)^2)/($I$5*MAX(F67,0.1)^2),1/3))))))),MAX($D$16,POWER((ABS(K67)^2)/($I$5*MAX(F67,0.1)^2),1/3)))</f>
        <v>1.3705817095340855</v>
      </c>
      <c r="AI67">
        <f t="shared" ca="1" si="52"/>
        <v>635.65858170953413</v>
      </c>
      <c r="AJ67">
        <f t="shared" ca="1" si="53"/>
        <v>636.34387256430114</v>
      </c>
      <c r="AM67">
        <v>0</v>
      </c>
      <c r="AN67">
        <v>0</v>
      </c>
      <c r="AO67">
        <f t="shared" si="54"/>
        <v>0</v>
      </c>
      <c r="AP67">
        <f t="shared" si="63"/>
        <v>0</v>
      </c>
      <c r="AQ67">
        <f t="shared" ca="1" si="55"/>
        <v>1</v>
      </c>
      <c r="AR67" t="str">
        <f t="shared" ca="1" si="56"/>
        <v>Supercritical</v>
      </c>
      <c r="AS67">
        <f t="shared" ca="1" si="57"/>
        <v>2.7339907286544089E-3</v>
      </c>
    </row>
    <row r="68" spans="1:45" x14ac:dyDescent="0.35">
      <c r="A68">
        <v>7</v>
      </c>
      <c r="B68">
        <v>6</v>
      </c>
      <c r="C68">
        <v>616550.33100000001</v>
      </c>
      <c r="D68">
        <v>3097758.5210000002</v>
      </c>
      <c r="E68">
        <v>634.28599999999994</v>
      </c>
      <c r="F68">
        <v>10.874000000000001</v>
      </c>
      <c r="G68">
        <v>0</v>
      </c>
      <c r="H68" t="s">
        <v>155</v>
      </c>
      <c r="I68">
        <v>5.3999999999999999E-2</v>
      </c>
      <c r="J68">
        <f t="shared" si="58"/>
        <v>1</v>
      </c>
      <c r="K68">
        <f t="shared" ca="1" si="59"/>
        <v>50.95</v>
      </c>
      <c r="L68">
        <f t="shared" ca="1" si="60"/>
        <v>1.3080175487722852</v>
      </c>
      <c r="M68">
        <f t="shared" ca="1" si="33"/>
        <v>14.22338282534983</v>
      </c>
      <c r="N68">
        <f t="shared" ca="1" si="34"/>
        <v>1.054362180861838</v>
      </c>
      <c r="O68">
        <f t="shared" ca="1" si="35"/>
        <v>3.5821295556492809</v>
      </c>
      <c r="P68">
        <f t="shared" ca="1" si="36"/>
        <v>635.59401754877229</v>
      </c>
      <c r="Q68">
        <f t="shared" ca="1" si="37"/>
        <v>636.24802632315846</v>
      </c>
      <c r="R68">
        <f t="shared" ca="1" si="38"/>
        <v>2.6903699480239577E-3</v>
      </c>
      <c r="S68">
        <f t="shared" ca="1" si="39"/>
        <v>0.99999999999999989</v>
      </c>
      <c r="T68">
        <f t="shared" ca="1" si="40"/>
        <v>27.906651507695852</v>
      </c>
      <c r="U68">
        <f t="shared" ca="1" si="61"/>
        <v>8.3687760513157627E-2</v>
      </c>
      <c r="V68">
        <f t="shared" ca="1" si="62"/>
        <v>1</v>
      </c>
      <c r="W68">
        <f t="shared" ca="1" si="41"/>
        <v>1.6752331682590793</v>
      </c>
      <c r="X68">
        <f t="shared" ca="1" si="42"/>
        <v>18.216485471649229</v>
      </c>
      <c r="Y68">
        <f t="shared" ca="1" si="43"/>
        <v>1.2806445627336083</v>
      </c>
      <c r="Z68">
        <f t="shared" ca="1" si="44"/>
        <v>2.7969171155047863</v>
      </c>
      <c r="AA68">
        <f t="shared" ca="1" si="45"/>
        <v>635.96123316825901</v>
      </c>
      <c r="AB68">
        <f t="shared" ca="1" si="46"/>
        <v>636.3599459792174</v>
      </c>
      <c r="AC68">
        <f t="shared" ca="1" si="47"/>
        <v>1.2656206863338496E-3</v>
      </c>
      <c r="AD68">
        <f t="shared" ca="1" si="48"/>
        <v>0.68993386305949922</v>
      </c>
      <c r="AE68">
        <f t="shared" ca="1" si="49"/>
        <v>29.784722591976088</v>
      </c>
      <c r="AF68">
        <f t="shared" ca="1" si="50"/>
        <v>-3.5094049242502479E-2</v>
      </c>
      <c r="AG68">
        <f t="shared" ca="1" si="51"/>
        <v>0</v>
      </c>
      <c r="AH68">
        <f ca="1">IFERROR(IF(V32="Supercritical",MAX($D$16,IFERROR(L68,MAX($D$16,POWER((ABS(K68)^2)/($I$5*MAX(F68,0.1)^2),1/3)))),IF(V32="Subcritical",MAX($D$16,IFERROR(W68,MAX($D$16,POWER((ABS(K68)^2)/($I$5*MAX(F68,0.1)^2),1/3)))),IF(AND(IFERROR(V68,0)=1,IFERROR(AG68,0)=1),IF(IFERROR(T68,-1E+99)&gt;=IFERROR(AE68,-1E+99),MAX($D$16,IFERROR(L68,MAX($D$16,POWER((ABS(K68)^2)/($I$5*MAX(F68,0.1)^2),1/3)))),MAX($D$16,IFERROR(W68,MAX($D$16,POWER((ABS(K68)^2)/($I$5*MAX(F68,0.1)^2),1/3))))),IF(IFERROR(V68,0)=1,MAX($D$16,IFERROR(L68,MAX($D$16,POWER((ABS(K68)^2)/($I$5*MAX(F68,0.1)^2),1/3)))),IF(IFERROR(AG68,0)=1,MAX($D$16,IFERROR(W68,MAX($D$16,POWER((ABS(K68)^2)/($I$5*MAX(F68,0.1)^2),1/3)))),MAX($D$16,POWER((ABS(K68)^2)/($I$5*MAX(F68,0.1)^2),1/3))))))),MAX($D$16,POWER((ABS(K68)^2)/($I$5*MAX(F68,0.1)^2),1/3)))</f>
        <v>1.3080175487722852</v>
      </c>
      <c r="AI68">
        <f t="shared" ca="1" si="52"/>
        <v>635.59401754877229</v>
      </c>
      <c r="AJ68">
        <f t="shared" ca="1" si="53"/>
        <v>636.24802632315846</v>
      </c>
      <c r="AM68">
        <v>0</v>
      </c>
      <c r="AN68">
        <v>0</v>
      </c>
      <c r="AO68">
        <f t="shared" si="54"/>
        <v>0</v>
      </c>
      <c r="AP68">
        <f t="shared" si="63"/>
        <v>0</v>
      </c>
      <c r="AQ68">
        <f t="shared" ca="1" si="55"/>
        <v>0.99999999999999989</v>
      </c>
      <c r="AR68" t="str">
        <f t="shared" ca="1" si="56"/>
        <v>Supercritical</v>
      </c>
      <c r="AS68">
        <f t="shared" ca="1" si="57"/>
        <v>2.6903699480239577E-3</v>
      </c>
    </row>
    <row r="69" spans="1:45" x14ac:dyDescent="0.35">
      <c r="A69">
        <v>8</v>
      </c>
      <c r="B69">
        <v>7</v>
      </c>
      <c r="C69">
        <v>616549.38399999996</v>
      </c>
      <c r="D69">
        <v>3097758.199</v>
      </c>
      <c r="E69">
        <v>634.28399999999999</v>
      </c>
      <c r="F69">
        <v>11.611000000000001</v>
      </c>
      <c r="G69">
        <v>0</v>
      </c>
      <c r="H69" t="s">
        <v>155</v>
      </c>
      <c r="I69">
        <v>5.3999999999999999E-2</v>
      </c>
      <c r="J69">
        <f t="shared" si="58"/>
        <v>1</v>
      </c>
      <c r="K69">
        <f t="shared" ca="1" si="59"/>
        <v>50.95</v>
      </c>
      <c r="L69">
        <f t="shared" ca="1" si="60"/>
        <v>1.2520645123962884</v>
      </c>
      <c r="M69">
        <f t="shared" ca="1" si="33"/>
        <v>14.537721053433305</v>
      </c>
      <c r="N69">
        <f t="shared" ca="1" si="34"/>
        <v>1.0299389419606768</v>
      </c>
      <c r="O69">
        <f t="shared" ca="1" si="35"/>
        <v>3.5046758575662298</v>
      </c>
      <c r="P69">
        <f t="shared" ca="1" si="36"/>
        <v>635.53606451239625</v>
      </c>
      <c r="Q69">
        <f t="shared" ca="1" si="37"/>
        <v>636.16209676859444</v>
      </c>
      <c r="R69">
        <f t="shared" ca="1" si="38"/>
        <v>2.6570287871546718E-3</v>
      </c>
      <c r="S69">
        <f t="shared" ca="1" si="39"/>
        <v>1</v>
      </c>
      <c r="T69">
        <f t="shared" ca="1" si="40"/>
        <v>27.30324693318034</v>
      </c>
      <c r="U69">
        <f t="shared" ca="1" si="61"/>
        <v>7.4804038950333052E-2</v>
      </c>
      <c r="V69">
        <f t="shared" ca="1" si="62"/>
        <v>1</v>
      </c>
      <c r="W69">
        <f t="shared" ca="1" si="41"/>
        <v>1.6752533474638696</v>
      </c>
      <c r="X69">
        <f t="shared" ca="1" si="42"/>
        <v>19.451366617402989</v>
      </c>
      <c r="Y69">
        <f t="shared" ca="1" si="43"/>
        <v>1.3000941024206742</v>
      </c>
      <c r="Z69">
        <f t="shared" ca="1" si="44"/>
        <v>2.6193532311717074</v>
      </c>
      <c r="AA69">
        <f t="shared" ca="1" si="45"/>
        <v>635.95925334746391</v>
      </c>
      <c r="AB69">
        <f t="shared" ca="1" si="46"/>
        <v>636.30894811553981</v>
      </c>
      <c r="AC69">
        <f t="shared" ca="1" si="47"/>
        <v>1.0879383139139891E-3</v>
      </c>
      <c r="AD69">
        <f t="shared" ca="1" si="48"/>
        <v>0.64612912527315602</v>
      </c>
      <c r="AE69">
        <f t="shared" ca="1" si="49"/>
        <v>29.897065795340747</v>
      </c>
      <c r="AF69">
        <f t="shared" ca="1" si="50"/>
        <v>-2.9332112403608335E-2</v>
      </c>
      <c r="AG69">
        <f t="shared" ca="1" si="51"/>
        <v>0</v>
      </c>
      <c r="AH69">
        <f ca="1">IFERROR(IF(V32="Supercritical",MAX($D$16,IFERROR(L69,MAX($D$16,POWER((ABS(K69)^2)/($I$5*MAX(F69,0.1)^2),1/3)))),IF(V32="Subcritical",MAX($D$16,IFERROR(W69,MAX($D$16,POWER((ABS(K69)^2)/($I$5*MAX(F69,0.1)^2),1/3)))),IF(AND(IFERROR(V69,0)=1,IFERROR(AG69,0)=1),IF(IFERROR(T69,-1E+99)&gt;=IFERROR(AE69,-1E+99),MAX($D$16,IFERROR(L69,MAX($D$16,POWER((ABS(K69)^2)/($I$5*MAX(F69,0.1)^2),1/3)))),MAX($D$16,IFERROR(W69,MAX($D$16,POWER((ABS(K69)^2)/($I$5*MAX(F69,0.1)^2),1/3))))),IF(IFERROR(V69,0)=1,MAX($D$16,IFERROR(L69,MAX($D$16,POWER((ABS(K69)^2)/($I$5*MAX(F69,0.1)^2),1/3)))),IF(IFERROR(AG69,0)=1,MAX($D$16,IFERROR(W69,MAX($D$16,POWER((ABS(K69)^2)/($I$5*MAX(F69,0.1)^2),1/3)))),MAX($D$16,POWER((ABS(K69)^2)/($I$5*MAX(F69,0.1)^2),1/3))))))),MAX($D$16,POWER((ABS(K69)^2)/($I$5*MAX(F69,0.1)^2),1/3)))</f>
        <v>1.2520645123962884</v>
      </c>
      <c r="AI69">
        <f t="shared" ca="1" si="52"/>
        <v>635.53606451239625</v>
      </c>
      <c r="AJ69">
        <f t="shared" ca="1" si="53"/>
        <v>636.16209676859444</v>
      </c>
      <c r="AM69">
        <v>0</v>
      </c>
      <c r="AN69">
        <v>0</v>
      </c>
      <c r="AO69">
        <f t="shared" si="54"/>
        <v>0</v>
      </c>
      <c r="AP69">
        <f t="shared" si="63"/>
        <v>0</v>
      </c>
      <c r="AQ69">
        <f t="shared" ca="1" si="55"/>
        <v>1</v>
      </c>
      <c r="AR69" t="str">
        <f t="shared" ca="1" si="56"/>
        <v>Supercritical</v>
      </c>
      <c r="AS69">
        <f t="shared" ca="1" si="57"/>
        <v>2.6570287871546718E-3</v>
      </c>
    </row>
    <row r="70" spans="1:45" x14ac:dyDescent="0.35">
      <c r="A70">
        <v>9</v>
      </c>
      <c r="B70">
        <v>8</v>
      </c>
      <c r="C70">
        <v>616548.43700000003</v>
      </c>
      <c r="D70">
        <v>3097757.878</v>
      </c>
      <c r="E70">
        <v>634.28200000000004</v>
      </c>
      <c r="F70">
        <v>12.348000000000001</v>
      </c>
      <c r="G70">
        <v>0</v>
      </c>
      <c r="H70" t="s">
        <v>155</v>
      </c>
      <c r="I70">
        <v>0</v>
      </c>
      <c r="J70">
        <f t="shared" si="58"/>
        <v>1</v>
      </c>
      <c r="K70">
        <f t="shared" ca="1" si="59"/>
        <v>50.95</v>
      </c>
      <c r="L70">
        <f t="shared" ca="1" si="60"/>
        <v>1.2017349978891132</v>
      </c>
      <c r="M70">
        <f t="shared" ca="1" si="33"/>
        <v>14.83902375393477</v>
      </c>
      <c r="N70">
        <f t="shared" ca="1" si="34"/>
        <v>1.0059352564986135</v>
      </c>
      <c r="O70">
        <f t="shared" ca="1" si="35"/>
        <v>3.4335142826690275</v>
      </c>
      <c r="P70">
        <f t="shared" ca="1" si="36"/>
        <v>635.4837349978892</v>
      </c>
      <c r="Q70">
        <f t="shared" ca="1" si="37"/>
        <v>636.08460249683378</v>
      </c>
      <c r="R70">
        <f t="shared" ca="1" si="38"/>
        <v>2.6316827170430827E-3</v>
      </c>
      <c r="S70">
        <f t="shared" ca="1" si="39"/>
        <v>1.0000000000000002</v>
      </c>
      <c r="T70">
        <f t="shared" ca="1" si="40"/>
        <v>26.748861269416963</v>
      </c>
      <c r="U70">
        <f t="shared" ca="1" si="61"/>
        <v>6.7300488832529481E-2</v>
      </c>
      <c r="V70">
        <f t="shared" ca="1" si="62"/>
        <v>1</v>
      </c>
      <c r="W70">
        <f t="shared" ca="1" si="41"/>
        <v>1.6752331709836412</v>
      </c>
      <c r="X70">
        <f t="shared" ca="1" si="42"/>
        <v>20.685779195306004</v>
      </c>
      <c r="Y70">
        <f t="shared" ca="1" si="43"/>
        <v>1.3176942731027144</v>
      </c>
      <c r="Z70">
        <f t="shared" ca="1" si="44"/>
        <v>2.4630447574129346</v>
      </c>
      <c r="AA70">
        <f t="shared" ca="1" si="45"/>
        <v>635.95723317098373</v>
      </c>
      <c r="AB70">
        <f t="shared" ca="1" si="46"/>
        <v>636.26643752761061</v>
      </c>
      <c r="AC70">
        <f t="shared" ca="1" si="47"/>
        <v>9.4487475917013871E-4</v>
      </c>
      <c r="AD70">
        <f t="shared" ca="1" si="48"/>
        <v>0.60757538132543998</v>
      </c>
      <c r="AE70">
        <f t="shared" ca="1" si="49"/>
        <v>30.119017832630444</v>
      </c>
      <c r="AF70">
        <f t="shared" ca="1" si="50"/>
        <v>0.99947329966664711</v>
      </c>
      <c r="AG70">
        <f t="shared" ca="1" si="51"/>
        <v>0</v>
      </c>
      <c r="AH70">
        <f ca="1">IFERROR(IF(V32="Supercritical",MAX($D$16,IFERROR(L70,MAX($D$16,POWER((ABS(K70)^2)/($I$5*MAX(F70,0.1)^2),1/3)))),IF(V32="Subcritical",MAX($D$16,IFERROR(W70,MAX($D$16,POWER((ABS(K70)^2)/($I$5*MAX(F70,0.1)^2),1/3)))),IF(AND(IFERROR(V70,0)=1,IFERROR(AG70,0)=1),IF(IFERROR(T70,-1E+99)&gt;=IFERROR(AE70,-1E+99),MAX($D$16,IFERROR(L70,MAX($D$16,POWER((ABS(K70)^2)/($I$5*MAX(F70,0.1)^2),1/3)))),MAX($D$16,IFERROR(W70,MAX($D$16,POWER((ABS(K70)^2)/($I$5*MAX(F70,0.1)^2),1/3))))),IF(IFERROR(V70,0)=1,MAX($D$16,IFERROR(L70,MAX($D$16,POWER((ABS(K70)^2)/($I$5*MAX(F70,0.1)^2),1/3)))),IF(IFERROR(AG70,0)=1,MAX($D$16,IFERROR(W70,MAX($D$16,POWER((ABS(K70)^2)/($I$5*MAX(F70,0.1)^2),1/3)))),MAX($D$16,POWER((ABS(K70)^2)/($I$5*MAX(F70,0.1)^2),1/3))))))),MAX($D$16,POWER((ABS(K70)^2)/($I$5*MAX(F70,0.1)^2),1/3)))</f>
        <v>1.2017349978891132</v>
      </c>
      <c r="AI70">
        <f t="shared" ca="1" si="52"/>
        <v>635.4837349978892</v>
      </c>
      <c r="AJ70">
        <f t="shared" ca="1" si="53"/>
        <v>636.08460249683378</v>
      </c>
      <c r="AM70">
        <v>0</v>
      </c>
      <c r="AN70">
        <v>0</v>
      </c>
      <c r="AO70">
        <f t="shared" si="54"/>
        <v>0</v>
      </c>
      <c r="AP70">
        <f t="shared" si="63"/>
        <v>0</v>
      </c>
      <c r="AQ70">
        <f t="shared" ca="1" si="55"/>
        <v>1.0000000000000002</v>
      </c>
      <c r="AR70" t="str">
        <f t="shared" ca="1" si="56"/>
        <v>Supercritical</v>
      </c>
      <c r="AS70">
        <f t="shared" ca="1" si="57"/>
        <v>2.6316827170430827E-3</v>
      </c>
    </row>
    <row r="71" spans="1:45" x14ac:dyDescent="0.35">
      <c r="A71">
        <v>10</v>
      </c>
      <c r="B71">
        <v>9</v>
      </c>
      <c r="C71">
        <v>616547.49</v>
      </c>
      <c r="D71">
        <v>3097757.557</v>
      </c>
      <c r="E71">
        <v>634.28</v>
      </c>
      <c r="F71">
        <v>6.2240000000000002</v>
      </c>
      <c r="G71">
        <v>0</v>
      </c>
      <c r="H71" t="s">
        <v>154</v>
      </c>
      <c r="I71">
        <v>0</v>
      </c>
      <c r="J71">
        <f t="shared" si="58"/>
        <v>1</v>
      </c>
      <c r="K71">
        <f t="shared" ca="1" si="59"/>
        <v>50.95</v>
      </c>
      <c r="L71">
        <f t="shared" ca="1" si="60"/>
        <v>1.8974051154466891</v>
      </c>
      <c r="M71">
        <f t="shared" ca="1" si="33"/>
        <v>11.809449438540193</v>
      </c>
      <c r="N71">
        <f t="shared" ca="1" si="34"/>
        <v>1.1787277297782635</v>
      </c>
      <c r="O71">
        <f t="shared" ca="1" si="35"/>
        <v>4.3143416858811756</v>
      </c>
      <c r="P71">
        <f t="shared" ca="1" si="36"/>
        <v>636.17740511544662</v>
      </c>
      <c r="Q71">
        <f t="shared" ca="1" si="37"/>
        <v>637.12610767316994</v>
      </c>
      <c r="R71">
        <f t="shared" ca="1" si="38"/>
        <v>3.3635167280056809E-3</v>
      </c>
      <c r="S71">
        <f t="shared" ca="1" si="39"/>
        <v>1.0000000000000002</v>
      </c>
      <c r="T71">
        <f t="shared" ca="1" si="40"/>
        <v>33.610964662942798</v>
      </c>
      <c r="U71">
        <f t="shared" ca="1" si="61"/>
        <v>-1.079286281936561</v>
      </c>
      <c r="V71">
        <f t="shared" ca="1" si="62"/>
        <v>1</v>
      </c>
      <c r="W71">
        <f t="shared" ca="1" si="41"/>
        <v>1.6752533500082494</v>
      </c>
      <c r="X71">
        <f t="shared" ca="1" si="42"/>
        <v>10.426776850451345</v>
      </c>
      <c r="Y71">
        <f t="shared" ca="1" si="43"/>
        <v>1.0890145233731339</v>
      </c>
      <c r="Z71">
        <f t="shared" ca="1" si="44"/>
        <v>4.8864573137761669</v>
      </c>
      <c r="AA71">
        <f t="shared" ca="1" si="45"/>
        <v>635.95525335000821</v>
      </c>
      <c r="AB71">
        <f t="shared" ca="1" si="46"/>
        <v>637.17224953142295</v>
      </c>
      <c r="AC71">
        <f t="shared" ca="1" si="47"/>
        <v>4.7950430190023853E-3</v>
      </c>
      <c r="AD71">
        <f t="shared" ca="1" si="48"/>
        <v>1.2053671684535758</v>
      </c>
      <c r="AE71">
        <f t="shared" ca="1" si="49"/>
        <v>34.112441647178684</v>
      </c>
      <c r="AF71">
        <f t="shared" ca="1" si="50"/>
        <v>2.9045726754475254E-3</v>
      </c>
      <c r="AG71">
        <f t="shared" ca="1" si="51"/>
        <v>0</v>
      </c>
      <c r="AH71">
        <f ca="1">IFERROR(IF(V32="Supercritical",MAX($D$16,IFERROR(L71,MAX($D$16,POWER((ABS(K71)^2)/($I$5*MAX(F71,0.1)^2),1/3)))),IF(V32="Subcritical",MAX($D$16,IFERROR(W71,MAX($D$16,POWER((ABS(K71)^2)/($I$5*MAX(F71,0.1)^2),1/3)))),IF(AND(IFERROR(V71,0)=1,IFERROR(AG71,0)=1),IF(IFERROR(T71,-1E+99)&gt;=IFERROR(AE71,-1E+99),MAX($D$16,IFERROR(L71,MAX($D$16,POWER((ABS(K71)^2)/($I$5*MAX(F71,0.1)^2),1/3)))),MAX($D$16,IFERROR(W71,MAX($D$16,POWER((ABS(K71)^2)/($I$5*MAX(F71,0.1)^2),1/3))))),IF(IFERROR(V71,0)=1,MAX($D$16,IFERROR(L71,MAX($D$16,POWER((ABS(K71)^2)/($I$5*MAX(F71,0.1)^2),1/3)))),IF(IFERROR(AG71,0)=1,MAX($D$16,IFERROR(W71,MAX($D$16,POWER((ABS(K71)^2)/($I$5*MAX(F71,0.1)^2),1/3)))),MAX($D$16,POWER((ABS(K71)^2)/($I$5*MAX(F71,0.1)^2),1/3))))))),MAX($D$16,POWER((ABS(K71)^2)/($I$5*MAX(F71,0.1)^2),1/3)))</f>
        <v>1.8974051154466891</v>
      </c>
      <c r="AI71">
        <f t="shared" ca="1" si="52"/>
        <v>636.17740511544662</v>
      </c>
      <c r="AJ71">
        <f t="shared" ca="1" si="53"/>
        <v>637.12610767316994</v>
      </c>
      <c r="AM71">
        <v>0</v>
      </c>
      <c r="AN71">
        <v>0</v>
      </c>
      <c r="AO71">
        <f t="shared" si="54"/>
        <v>0</v>
      </c>
      <c r="AP71">
        <f t="shared" si="63"/>
        <v>0</v>
      </c>
      <c r="AQ71">
        <f t="shared" ca="1" si="55"/>
        <v>1.0000000000000002</v>
      </c>
      <c r="AR71" t="str">
        <f t="shared" ca="1" si="56"/>
        <v>Supercritical</v>
      </c>
      <c r="AS71">
        <f t="shared" ca="1" si="57"/>
        <v>3.3635167280056809E-3</v>
      </c>
    </row>
    <row r="72" spans="1:45" x14ac:dyDescent="0.35">
      <c r="A72">
        <v>11</v>
      </c>
      <c r="B72">
        <v>10</v>
      </c>
      <c r="C72">
        <v>616546.54299999995</v>
      </c>
      <c r="D72">
        <v>3097757.236</v>
      </c>
      <c r="E72">
        <v>634.27800000000002</v>
      </c>
      <c r="F72">
        <v>6.2240000000000002</v>
      </c>
      <c r="G72">
        <v>0</v>
      </c>
      <c r="H72" t="s">
        <v>154</v>
      </c>
      <c r="I72">
        <v>5.3999999999999999E-2</v>
      </c>
      <c r="J72">
        <f t="shared" si="58"/>
        <v>1</v>
      </c>
      <c r="K72">
        <f t="shared" ca="1" si="59"/>
        <v>50.95</v>
      </c>
      <c r="L72">
        <f t="shared" ca="1" si="60"/>
        <v>1.8974051154466891</v>
      </c>
      <c r="M72">
        <f t="shared" ca="1" si="33"/>
        <v>11.809449438540193</v>
      </c>
      <c r="N72">
        <f t="shared" ca="1" si="34"/>
        <v>1.1787277297782635</v>
      </c>
      <c r="O72">
        <f t="shared" ca="1" si="35"/>
        <v>4.3143416858811756</v>
      </c>
      <c r="P72">
        <f t="shared" ca="1" si="36"/>
        <v>636.17540511544667</v>
      </c>
      <c r="Q72">
        <f t="shared" ca="1" si="37"/>
        <v>637.12410767316999</v>
      </c>
      <c r="R72">
        <f t="shared" ca="1" si="38"/>
        <v>3.3635167280056809E-3</v>
      </c>
      <c r="S72">
        <f t="shared" ca="1" si="39"/>
        <v>1.0000000000000002</v>
      </c>
      <c r="T72">
        <f t="shared" ca="1" si="40"/>
        <v>33.610964662942798</v>
      </c>
      <c r="U72">
        <f t="shared" ca="1" si="61"/>
        <v>-1.4488999581772077E-3</v>
      </c>
      <c r="V72">
        <f t="shared" ca="1" si="62"/>
        <v>1</v>
      </c>
      <c r="W72">
        <f t="shared" ca="1" si="41"/>
        <v>1.6752331733597587</v>
      </c>
      <c r="X72">
        <f t="shared" ca="1" si="42"/>
        <v>10.426651270991139</v>
      </c>
      <c r="Y72">
        <f t="shared" ca="1" si="43"/>
        <v>1.0890059971398409</v>
      </c>
      <c r="Z72">
        <f t="shared" ca="1" si="44"/>
        <v>4.8865161666768575</v>
      </c>
      <c r="AA72">
        <f t="shared" ca="1" si="45"/>
        <v>635.95323317335976</v>
      </c>
      <c r="AB72">
        <f t="shared" ca="1" si="46"/>
        <v>637.17025867015866</v>
      </c>
      <c r="AC72">
        <f t="shared" ca="1" si="47"/>
        <v>4.7952085810030239E-3</v>
      </c>
      <c r="AD72">
        <f t="shared" ca="1" si="48"/>
        <v>1.2053889448336723</v>
      </c>
      <c r="AE72">
        <f t="shared" ca="1" si="49"/>
        <v>34.112536934162634</v>
      </c>
      <c r="AF72">
        <f t="shared" ca="1" si="50"/>
        <v>0.1049647233298856</v>
      </c>
      <c r="AG72">
        <f t="shared" ca="1" si="51"/>
        <v>0</v>
      </c>
      <c r="AH72">
        <f ca="1">IFERROR(IF(V32="Supercritical",MAX($D$16,IFERROR(L72,MAX($D$16,POWER((ABS(K72)^2)/($I$5*MAX(F72,0.1)^2),1/3)))),IF(V32="Subcritical",MAX($D$16,IFERROR(W72,MAX($D$16,POWER((ABS(K72)^2)/($I$5*MAX(F72,0.1)^2),1/3)))),IF(AND(IFERROR(V72,0)=1,IFERROR(AG72,0)=1),IF(IFERROR(T72,-1E+99)&gt;=IFERROR(AE72,-1E+99),MAX($D$16,IFERROR(L72,MAX($D$16,POWER((ABS(K72)^2)/($I$5*MAX(F72,0.1)^2),1/3)))),MAX($D$16,IFERROR(W72,MAX($D$16,POWER((ABS(K72)^2)/($I$5*MAX(F72,0.1)^2),1/3))))),IF(IFERROR(V72,0)=1,MAX($D$16,IFERROR(L72,MAX($D$16,POWER((ABS(K72)^2)/($I$5*MAX(F72,0.1)^2),1/3)))),IF(IFERROR(AG72,0)=1,MAX($D$16,IFERROR(W72,MAX($D$16,POWER((ABS(K72)^2)/($I$5*MAX(F72,0.1)^2),1/3)))),MAX($D$16,POWER((ABS(K72)^2)/($I$5*MAX(F72,0.1)^2),1/3))))))),MAX($D$16,POWER((ABS(K72)^2)/($I$5*MAX(F72,0.1)^2),1/3)))</f>
        <v>1.8974051154466891</v>
      </c>
      <c r="AI72">
        <f t="shared" ca="1" si="52"/>
        <v>636.17540511544667</v>
      </c>
      <c r="AJ72">
        <f t="shared" ca="1" si="53"/>
        <v>637.12410767316999</v>
      </c>
      <c r="AM72">
        <v>0</v>
      </c>
      <c r="AN72">
        <v>0</v>
      </c>
      <c r="AO72">
        <f t="shared" si="54"/>
        <v>0</v>
      </c>
      <c r="AP72">
        <f t="shared" si="63"/>
        <v>0</v>
      </c>
      <c r="AQ72">
        <f t="shared" ca="1" si="55"/>
        <v>1.0000000000000002</v>
      </c>
      <c r="AR72" t="str">
        <f t="shared" ca="1" si="56"/>
        <v>Supercritical</v>
      </c>
      <c r="AS72">
        <f t="shared" ca="1" si="57"/>
        <v>3.3635167280056809E-3</v>
      </c>
    </row>
    <row r="73" spans="1:45" x14ac:dyDescent="0.35">
      <c r="A73">
        <v>12</v>
      </c>
      <c r="B73">
        <v>11</v>
      </c>
      <c r="C73">
        <v>616545.59600000002</v>
      </c>
      <c r="D73">
        <v>3097756.9139999999</v>
      </c>
      <c r="E73">
        <v>634.27599999999995</v>
      </c>
      <c r="F73">
        <v>6</v>
      </c>
      <c r="G73">
        <v>0</v>
      </c>
      <c r="H73" t="s">
        <v>154</v>
      </c>
      <c r="I73">
        <v>5.3999999999999999E-2</v>
      </c>
      <c r="J73">
        <f t="shared" si="58"/>
        <v>1</v>
      </c>
      <c r="K73">
        <f t="shared" ca="1" si="59"/>
        <v>50.95</v>
      </c>
      <c r="L73">
        <f t="shared" ca="1" si="60"/>
        <v>1.944340352385391</v>
      </c>
      <c r="M73">
        <f t="shared" ca="1" si="33"/>
        <v>11.666042114312347</v>
      </c>
      <c r="N73">
        <f t="shared" ca="1" si="34"/>
        <v>1.1797369601269541</v>
      </c>
      <c r="O73">
        <f t="shared" ca="1" si="35"/>
        <v>4.3673766561748133</v>
      </c>
      <c r="P73">
        <f t="shared" ca="1" si="36"/>
        <v>636.22034035238539</v>
      </c>
      <c r="Q73">
        <f t="shared" ca="1" si="37"/>
        <v>637.19251052857805</v>
      </c>
      <c r="R73">
        <f t="shared" ca="1" si="38"/>
        <v>3.4427876316445592E-3</v>
      </c>
      <c r="S73">
        <f t="shared" ca="1" si="39"/>
        <v>1.0000000000000002</v>
      </c>
      <c r="T73">
        <f t="shared" ca="1" si="40"/>
        <v>34.024134653227321</v>
      </c>
      <c r="U73">
        <f t="shared" ca="1" si="61"/>
        <v>-7.4240264750642382E-2</v>
      </c>
      <c r="V73">
        <f t="shared" ca="1" si="62"/>
        <v>1</v>
      </c>
      <c r="W73">
        <f t="shared" ca="1" si="41"/>
        <v>1.6752533522272062</v>
      </c>
      <c r="X73">
        <f t="shared" ca="1" si="42"/>
        <v>10.051520113363237</v>
      </c>
      <c r="Y73">
        <f t="shared" ca="1" si="43"/>
        <v>1.0749706332572195</v>
      </c>
      <c r="Z73">
        <f t="shared" ca="1" si="44"/>
        <v>5.0688850467764865</v>
      </c>
      <c r="AA73">
        <f t="shared" ca="1" si="45"/>
        <v>635.95125335222713</v>
      </c>
      <c r="AB73">
        <f t="shared" ca="1" si="46"/>
        <v>637.26081480061828</v>
      </c>
      <c r="AC73">
        <f t="shared" ca="1" si="47"/>
        <v>5.2498303505214708E-3</v>
      </c>
      <c r="AD73">
        <f t="shared" ca="1" si="48"/>
        <v>1.2503675402582481</v>
      </c>
      <c r="AE73">
        <f t="shared" ca="1" si="49"/>
        <v>34.745587858822837</v>
      </c>
      <c r="AF73">
        <f t="shared" ca="1" si="50"/>
        <v>3.2498303505690274E-3</v>
      </c>
      <c r="AG73">
        <f t="shared" ca="1" si="51"/>
        <v>0</v>
      </c>
      <c r="AH73">
        <f ca="1">IFERROR(IF(V32="Supercritical",MAX($D$16,IFERROR(L73,MAX($D$16,POWER((ABS(K73)^2)/($I$5*MAX(F73,0.1)^2),1/3)))),IF(V32="Subcritical",MAX($D$16,IFERROR(W73,MAX($D$16,POWER((ABS(K73)^2)/($I$5*MAX(F73,0.1)^2),1/3)))),IF(AND(IFERROR(V73,0)=1,IFERROR(AG73,0)=1),IF(IFERROR(T73,-1E+99)&gt;=IFERROR(AE73,-1E+99),MAX($D$16,IFERROR(L73,MAX($D$16,POWER((ABS(K73)^2)/($I$5*MAX(F73,0.1)^2),1/3)))),MAX($D$16,IFERROR(W73,MAX($D$16,POWER((ABS(K73)^2)/($I$5*MAX(F73,0.1)^2),1/3))))),IF(IFERROR(V73,0)=1,MAX($D$16,IFERROR(L73,MAX($D$16,POWER((ABS(K73)^2)/($I$5*MAX(F73,0.1)^2),1/3)))),IF(IFERROR(AG73,0)=1,MAX($D$16,IFERROR(W73,MAX($D$16,POWER((ABS(K73)^2)/($I$5*MAX(F73,0.1)^2),1/3)))),MAX($D$16,POWER((ABS(K73)^2)/($I$5*MAX(F73,0.1)^2),1/3))))))),MAX($D$16,POWER((ABS(K73)^2)/($I$5*MAX(F73,0.1)^2),1/3)))</f>
        <v>1.944340352385391</v>
      </c>
      <c r="AI73">
        <f t="shared" ca="1" si="52"/>
        <v>636.22034035238539</v>
      </c>
      <c r="AJ73">
        <f t="shared" ca="1" si="53"/>
        <v>637.19251052857805</v>
      </c>
      <c r="AM73">
        <v>0</v>
      </c>
      <c r="AN73">
        <v>0</v>
      </c>
      <c r="AO73">
        <f t="shared" si="54"/>
        <v>0</v>
      </c>
      <c r="AP73">
        <f t="shared" si="63"/>
        <v>0</v>
      </c>
      <c r="AQ73">
        <f t="shared" ca="1" si="55"/>
        <v>1.0000000000000002</v>
      </c>
      <c r="AR73" t="str">
        <f t="shared" ca="1" si="56"/>
        <v>Supercritical</v>
      </c>
      <c r="AS73">
        <f t="shared" ca="1" si="57"/>
        <v>3.4427876316445592E-3</v>
      </c>
    </row>
    <row r="74" spans="1:45" x14ac:dyDescent="0.35">
      <c r="A74">
        <v>13</v>
      </c>
      <c r="B74">
        <v>12</v>
      </c>
      <c r="C74">
        <v>616544.64899999998</v>
      </c>
      <c r="D74">
        <v>3097756.5929999999</v>
      </c>
      <c r="E74">
        <v>634.274</v>
      </c>
      <c r="F74">
        <v>6</v>
      </c>
      <c r="G74">
        <v>0</v>
      </c>
      <c r="H74" t="s">
        <v>154</v>
      </c>
      <c r="I74">
        <v>0</v>
      </c>
      <c r="J74">
        <f t="shared" si="58"/>
        <v>1</v>
      </c>
      <c r="K74">
        <f t="shared" ca="1" si="59"/>
        <v>50.95</v>
      </c>
      <c r="L74">
        <f t="shared" ca="1" si="60"/>
        <v>1.944340352385391</v>
      </c>
      <c r="M74">
        <f t="shared" ca="1" si="33"/>
        <v>11.666042114312347</v>
      </c>
      <c r="N74">
        <f t="shared" ca="1" si="34"/>
        <v>1.1797369601269541</v>
      </c>
      <c r="O74">
        <f t="shared" ca="1" si="35"/>
        <v>4.3673766561748133</v>
      </c>
      <c r="P74">
        <f t="shared" ca="1" si="36"/>
        <v>636.21834035238544</v>
      </c>
      <c r="Q74">
        <f t="shared" ca="1" si="37"/>
        <v>637.1905105285781</v>
      </c>
      <c r="R74">
        <f t="shared" ca="1" si="38"/>
        <v>3.4427876316445592E-3</v>
      </c>
      <c r="S74">
        <f t="shared" ca="1" si="39"/>
        <v>1.0000000000000002</v>
      </c>
      <c r="T74">
        <f t="shared" ca="1" si="40"/>
        <v>34.024134653227321</v>
      </c>
      <c r="U74">
        <f t="shared" ca="1" si="61"/>
        <v>-1.4427876317313348E-3</v>
      </c>
      <c r="V74">
        <f t="shared" ca="1" si="62"/>
        <v>1</v>
      </c>
      <c r="W74">
        <f t="shared" ca="1" si="41"/>
        <v>1.6752331754319572</v>
      </c>
      <c r="X74">
        <f t="shared" ca="1" si="42"/>
        <v>10.051399052591742</v>
      </c>
      <c r="Y74">
        <f t="shared" ca="1" si="43"/>
        <v>1.0749623254526837</v>
      </c>
      <c r="Z74">
        <f t="shared" ca="1" si="44"/>
        <v>5.0689460972960374</v>
      </c>
      <c r="AA74">
        <f t="shared" ca="1" si="45"/>
        <v>635.94923317543191</v>
      </c>
      <c r="AB74">
        <f t="shared" ca="1" si="46"/>
        <v>637.25882616917772</v>
      </c>
      <c r="AC74">
        <f t="shared" ca="1" si="47"/>
        <v>5.2500109098470426E-3</v>
      </c>
      <c r="AD74">
        <f t="shared" ca="1" si="48"/>
        <v>1.2503901297874367</v>
      </c>
      <c r="AE74">
        <f t="shared" ca="1" si="49"/>
        <v>34.745702129438286</v>
      </c>
      <c r="AF74">
        <f t="shared" ca="1" si="50"/>
        <v>3.2500109099373731E-3</v>
      </c>
      <c r="AG74">
        <f t="shared" ca="1" si="51"/>
        <v>0</v>
      </c>
      <c r="AH74">
        <f ca="1">IFERROR(IF(V32="Supercritical",MAX($D$16,IFERROR(L74,MAX($D$16,POWER((ABS(K74)^2)/($I$5*MAX(F74,0.1)^2),1/3)))),IF(V32="Subcritical",MAX($D$16,IFERROR(W74,MAX($D$16,POWER((ABS(K74)^2)/($I$5*MAX(F74,0.1)^2),1/3)))),IF(AND(IFERROR(V74,0)=1,IFERROR(AG74,0)=1),IF(IFERROR(T74,-1E+99)&gt;=IFERROR(AE74,-1E+99),MAX($D$16,IFERROR(L74,MAX($D$16,POWER((ABS(K74)^2)/($I$5*MAX(F74,0.1)^2),1/3)))),MAX($D$16,IFERROR(W74,MAX($D$16,POWER((ABS(K74)^2)/($I$5*MAX(F74,0.1)^2),1/3))))),IF(IFERROR(V74,0)=1,MAX($D$16,IFERROR(L74,MAX($D$16,POWER((ABS(K74)^2)/($I$5*MAX(F74,0.1)^2),1/3)))),IF(IFERROR(AG74,0)=1,MAX($D$16,IFERROR(W74,MAX($D$16,POWER((ABS(K74)^2)/($I$5*MAX(F74,0.1)^2),1/3)))),MAX($D$16,POWER((ABS(K74)^2)/($I$5*MAX(F74,0.1)^2),1/3))))))),MAX($D$16,POWER((ABS(K74)^2)/($I$5*MAX(F74,0.1)^2),1/3)))</f>
        <v>1.944340352385391</v>
      </c>
      <c r="AI74">
        <f t="shared" ca="1" si="52"/>
        <v>636.21834035238544</v>
      </c>
      <c r="AJ74">
        <f t="shared" ca="1" si="53"/>
        <v>637.1905105285781</v>
      </c>
      <c r="AM74">
        <v>0</v>
      </c>
      <c r="AN74">
        <v>0</v>
      </c>
      <c r="AO74">
        <f t="shared" si="54"/>
        <v>0</v>
      </c>
      <c r="AP74">
        <f t="shared" si="63"/>
        <v>0</v>
      </c>
      <c r="AQ74">
        <f t="shared" ca="1" si="55"/>
        <v>1.0000000000000002</v>
      </c>
      <c r="AR74" t="str">
        <f t="shared" ca="1" si="56"/>
        <v>Supercritical</v>
      </c>
      <c r="AS74">
        <f t="shared" ca="1" si="57"/>
        <v>3.4427876316445592E-3</v>
      </c>
    </row>
    <row r="75" spans="1:45" x14ac:dyDescent="0.35">
      <c r="A75">
        <v>14</v>
      </c>
      <c r="B75">
        <v>13</v>
      </c>
      <c r="C75">
        <v>616543.70200000005</v>
      </c>
      <c r="D75">
        <v>3097756.2719999999</v>
      </c>
      <c r="E75">
        <v>634.27200000000005</v>
      </c>
      <c r="F75">
        <v>6</v>
      </c>
      <c r="G75">
        <v>0</v>
      </c>
      <c r="H75" t="s">
        <v>154</v>
      </c>
      <c r="I75">
        <v>0</v>
      </c>
      <c r="J75">
        <f t="shared" si="58"/>
        <v>1</v>
      </c>
      <c r="K75">
        <f t="shared" ca="1" si="59"/>
        <v>50.95</v>
      </c>
      <c r="L75">
        <f t="shared" ca="1" si="60"/>
        <v>1.944340352385391</v>
      </c>
      <c r="M75">
        <f t="shared" ca="1" si="33"/>
        <v>11.666042114312347</v>
      </c>
      <c r="N75">
        <f t="shared" ca="1" si="34"/>
        <v>1.1797369601269541</v>
      </c>
      <c r="O75">
        <f t="shared" ca="1" si="35"/>
        <v>4.3673766561748133</v>
      </c>
      <c r="P75">
        <f t="shared" ca="1" si="36"/>
        <v>636.21634035238549</v>
      </c>
      <c r="Q75">
        <f t="shared" ca="1" si="37"/>
        <v>637.18851052857815</v>
      </c>
      <c r="R75">
        <f t="shared" ca="1" si="38"/>
        <v>3.4427876316445592E-3</v>
      </c>
      <c r="S75">
        <f t="shared" ca="1" si="39"/>
        <v>1.0000000000000002</v>
      </c>
      <c r="T75">
        <f t="shared" ca="1" si="40"/>
        <v>34.024134653227321</v>
      </c>
      <c r="U75">
        <f t="shared" ca="1" si="61"/>
        <v>-1.4427876317313348E-3</v>
      </c>
      <c r="V75">
        <f t="shared" ca="1" si="62"/>
        <v>1</v>
      </c>
      <c r="W75">
        <f t="shared" ca="1" si="41"/>
        <v>1.6752533541623493</v>
      </c>
      <c r="X75">
        <f t="shared" ca="1" si="42"/>
        <v>10.051520124974097</v>
      </c>
      <c r="Y75">
        <f t="shared" ca="1" si="43"/>
        <v>1.0749706340540124</v>
      </c>
      <c r="Z75">
        <f t="shared" ca="1" si="44"/>
        <v>5.0688850409212414</v>
      </c>
      <c r="AA75">
        <f t="shared" ca="1" si="45"/>
        <v>635.9472533541624</v>
      </c>
      <c r="AB75">
        <f t="shared" ca="1" si="46"/>
        <v>637.25681479952812</v>
      </c>
      <c r="AC75">
        <f t="shared" ca="1" si="47"/>
        <v>5.2498303332045538E-3</v>
      </c>
      <c r="AD75">
        <f t="shared" ca="1" si="48"/>
        <v>1.2503675380917336</v>
      </c>
      <c r="AE75">
        <f t="shared" ca="1" si="49"/>
        <v>34.745587847863703</v>
      </c>
      <c r="AF75">
        <f t="shared" ca="1" si="50"/>
        <v>3.2498303331749412E-3</v>
      </c>
      <c r="AG75">
        <f t="shared" ca="1" si="51"/>
        <v>0</v>
      </c>
      <c r="AH75">
        <f ca="1">IFERROR(IF(V32="Supercritical",MAX($D$16,IFERROR(L75,MAX($D$16,POWER((ABS(K75)^2)/($I$5*MAX(F75,0.1)^2),1/3)))),IF(V32="Subcritical",MAX($D$16,IFERROR(W75,MAX($D$16,POWER((ABS(K75)^2)/($I$5*MAX(F75,0.1)^2),1/3)))),IF(AND(IFERROR(V75,0)=1,IFERROR(AG75,0)=1),IF(IFERROR(T75,-1E+99)&gt;=IFERROR(AE75,-1E+99),MAX($D$16,IFERROR(L75,MAX($D$16,POWER((ABS(K75)^2)/($I$5*MAX(F75,0.1)^2),1/3)))),MAX($D$16,IFERROR(W75,MAX($D$16,POWER((ABS(K75)^2)/($I$5*MAX(F75,0.1)^2),1/3))))),IF(IFERROR(V75,0)=1,MAX($D$16,IFERROR(L75,MAX($D$16,POWER((ABS(K75)^2)/($I$5*MAX(F75,0.1)^2),1/3)))),IF(IFERROR(AG75,0)=1,MAX($D$16,IFERROR(W75,MAX($D$16,POWER((ABS(K75)^2)/($I$5*MAX(F75,0.1)^2),1/3)))),MAX($D$16,POWER((ABS(K75)^2)/($I$5*MAX(F75,0.1)^2),1/3))))))),MAX($D$16,POWER((ABS(K75)^2)/($I$5*MAX(F75,0.1)^2),1/3)))</f>
        <v>1.944340352385391</v>
      </c>
      <c r="AI75">
        <f t="shared" ca="1" si="52"/>
        <v>636.21634035238549</v>
      </c>
      <c r="AJ75">
        <f t="shared" ca="1" si="53"/>
        <v>637.18851052857815</v>
      </c>
      <c r="AM75">
        <v>0</v>
      </c>
      <c r="AN75">
        <v>0</v>
      </c>
      <c r="AO75">
        <f t="shared" si="54"/>
        <v>0</v>
      </c>
      <c r="AP75">
        <f t="shared" si="63"/>
        <v>0</v>
      </c>
      <c r="AQ75">
        <f t="shared" ca="1" si="55"/>
        <v>1.0000000000000002</v>
      </c>
      <c r="AR75" t="str">
        <f t="shared" ca="1" si="56"/>
        <v>Supercritical</v>
      </c>
      <c r="AS75">
        <f t="shared" ca="1" si="57"/>
        <v>3.4427876316445592E-3</v>
      </c>
    </row>
    <row r="76" spans="1:45" x14ac:dyDescent="0.35">
      <c r="A76">
        <v>15</v>
      </c>
      <c r="B76">
        <v>14</v>
      </c>
      <c r="C76">
        <v>616542.755</v>
      </c>
      <c r="D76">
        <v>3097755.9509999999</v>
      </c>
      <c r="E76">
        <v>634.27</v>
      </c>
      <c r="F76">
        <v>6</v>
      </c>
      <c r="G76">
        <v>0</v>
      </c>
      <c r="H76" t="s">
        <v>154</v>
      </c>
      <c r="I76">
        <v>0</v>
      </c>
      <c r="J76">
        <f t="shared" si="58"/>
        <v>1</v>
      </c>
      <c r="K76">
        <f t="shared" ca="1" si="59"/>
        <v>50.95</v>
      </c>
      <c r="L76">
        <f t="shared" ca="1" si="60"/>
        <v>1.944340352385391</v>
      </c>
      <c r="M76">
        <f t="shared" ca="1" si="33"/>
        <v>11.666042114312347</v>
      </c>
      <c r="N76">
        <f t="shared" ca="1" si="34"/>
        <v>1.1797369601269541</v>
      </c>
      <c r="O76">
        <f t="shared" ca="1" si="35"/>
        <v>4.3673766561748133</v>
      </c>
      <c r="P76">
        <f t="shared" ca="1" si="36"/>
        <v>636.21434035238542</v>
      </c>
      <c r="Q76">
        <f t="shared" ca="1" si="37"/>
        <v>637.18651052857808</v>
      </c>
      <c r="R76">
        <f t="shared" ca="1" si="38"/>
        <v>3.4427876316445592E-3</v>
      </c>
      <c r="S76">
        <f t="shared" ca="1" si="39"/>
        <v>1.0000000000000002</v>
      </c>
      <c r="T76">
        <f t="shared" ca="1" si="40"/>
        <v>34.024134653227321</v>
      </c>
      <c r="U76">
        <f t="shared" ca="1" si="61"/>
        <v>-1.442787631617648E-3</v>
      </c>
      <c r="V76">
        <f t="shared" ca="1" si="62"/>
        <v>1</v>
      </c>
      <c r="W76">
        <f t="shared" ca="1" si="41"/>
        <v>1.6752331772391515</v>
      </c>
      <c r="X76">
        <f t="shared" ca="1" si="42"/>
        <v>10.051399063434909</v>
      </c>
      <c r="Y76">
        <f t="shared" ca="1" si="43"/>
        <v>1.0749623261968</v>
      </c>
      <c r="Z76">
        <f t="shared" ca="1" si="44"/>
        <v>5.0689460918278009</v>
      </c>
      <c r="AA76">
        <f t="shared" ca="1" si="45"/>
        <v>635.94523317723917</v>
      </c>
      <c r="AB76">
        <f t="shared" ca="1" si="46"/>
        <v>637.25482616815952</v>
      </c>
      <c r="AC76">
        <f t="shared" ca="1" si="47"/>
        <v>5.2500108936743232E-3</v>
      </c>
      <c r="AD76">
        <f t="shared" ca="1" si="48"/>
        <v>1.2503901277641081</v>
      </c>
      <c r="AE76">
        <f t="shared" ca="1" si="49"/>
        <v>34.745702119202846</v>
      </c>
      <c r="AF76">
        <f t="shared" ca="1" si="50"/>
        <v>3.3678742628353575E-3</v>
      </c>
      <c r="AG76">
        <f t="shared" ca="1" si="51"/>
        <v>0</v>
      </c>
      <c r="AH76">
        <f ca="1">IFERROR(IF(V32="Supercritical",MAX($D$16,IFERROR(L76,MAX($D$16,POWER((ABS(K76)^2)/($I$5*MAX(F76,0.1)^2),1/3)))),IF(V32="Subcritical",MAX($D$16,IFERROR(W76,MAX($D$16,POWER((ABS(K76)^2)/($I$5*MAX(F76,0.1)^2),1/3)))),IF(AND(IFERROR(V76,0)=1,IFERROR(AG76,0)=1),IF(IFERROR(T76,-1E+99)&gt;=IFERROR(AE76,-1E+99),MAX($D$16,IFERROR(L76,MAX($D$16,POWER((ABS(K76)^2)/($I$5*MAX(F76,0.1)^2),1/3)))),MAX($D$16,IFERROR(W76,MAX($D$16,POWER((ABS(K76)^2)/($I$5*MAX(F76,0.1)^2),1/3))))),IF(IFERROR(V76,0)=1,MAX($D$16,IFERROR(L76,MAX($D$16,POWER((ABS(K76)^2)/($I$5*MAX(F76,0.1)^2),1/3)))),IF(IFERROR(AG76,0)=1,MAX($D$16,IFERROR(W76,MAX($D$16,POWER((ABS(K76)^2)/($I$5*MAX(F76,0.1)^2),1/3)))),MAX($D$16,POWER((ABS(K76)^2)/($I$5*MAX(F76,0.1)^2),1/3))))))),MAX($D$16,POWER((ABS(K76)^2)/($I$5*MAX(F76,0.1)^2),1/3)))</f>
        <v>1.944340352385391</v>
      </c>
      <c r="AI76">
        <f t="shared" ca="1" si="52"/>
        <v>636.21434035238542</v>
      </c>
      <c r="AJ76">
        <f t="shared" ca="1" si="53"/>
        <v>637.18651052857808</v>
      </c>
      <c r="AM76">
        <v>0</v>
      </c>
      <c r="AN76">
        <v>0</v>
      </c>
      <c r="AO76">
        <f t="shared" si="54"/>
        <v>0</v>
      </c>
      <c r="AP76">
        <f t="shared" si="63"/>
        <v>0</v>
      </c>
      <c r="AQ76">
        <f t="shared" ca="1" si="55"/>
        <v>1.0000000000000002</v>
      </c>
      <c r="AR76" t="str">
        <f t="shared" ca="1" si="56"/>
        <v>Supercritical</v>
      </c>
      <c r="AS76">
        <f t="shared" ca="1" si="57"/>
        <v>3.4427876316445592E-3</v>
      </c>
    </row>
    <row r="77" spans="1:45" x14ac:dyDescent="0.35">
      <c r="A77">
        <v>16</v>
      </c>
      <c r="B77">
        <v>15</v>
      </c>
      <c r="C77">
        <v>616541.80799999996</v>
      </c>
      <c r="D77">
        <v>3097755.63</v>
      </c>
      <c r="E77">
        <v>634.26800000000003</v>
      </c>
      <c r="F77">
        <v>6</v>
      </c>
      <c r="G77">
        <v>0</v>
      </c>
      <c r="H77" t="s">
        <v>154</v>
      </c>
      <c r="I77">
        <v>5.3999999999999999E-2</v>
      </c>
      <c r="J77">
        <f t="shared" si="58"/>
        <v>1</v>
      </c>
      <c r="K77">
        <f t="shared" ca="1" si="59"/>
        <v>50.95</v>
      </c>
      <c r="L77">
        <f t="shared" ca="1" si="60"/>
        <v>1.944340352385391</v>
      </c>
      <c r="M77">
        <f t="shared" ca="1" si="33"/>
        <v>11.666042114312347</v>
      </c>
      <c r="N77">
        <f t="shared" ca="1" si="34"/>
        <v>1.1797369601269541</v>
      </c>
      <c r="O77">
        <f t="shared" ca="1" si="35"/>
        <v>4.3673766561748133</v>
      </c>
      <c r="P77">
        <f t="shared" ca="1" si="36"/>
        <v>636.21234035238547</v>
      </c>
      <c r="Q77">
        <f t="shared" ca="1" si="37"/>
        <v>637.18451052857813</v>
      </c>
      <c r="R77">
        <f t="shared" ca="1" si="38"/>
        <v>3.4427876316445592E-3</v>
      </c>
      <c r="S77">
        <f t="shared" ca="1" si="39"/>
        <v>1.0000000000000002</v>
      </c>
      <c r="T77">
        <f t="shared" ca="1" si="40"/>
        <v>34.024134653227321</v>
      </c>
      <c r="U77">
        <f t="shared" ca="1" si="61"/>
        <v>-1.530282947555861E-3</v>
      </c>
      <c r="V77">
        <f t="shared" ca="1" si="62"/>
        <v>1</v>
      </c>
      <c r="W77">
        <f t="shared" ca="1" si="41"/>
        <v>1.6752533558500191</v>
      </c>
      <c r="X77">
        <f t="shared" ca="1" si="42"/>
        <v>10.051520135100114</v>
      </c>
      <c r="Y77">
        <f t="shared" ca="1" si="43"/>
        <v>1.0749706347489079</v>
      </c>
      <c r="Z77">
        <f t="shared" ca="1" si="44"/>
        <v>5.0688850358147874</v>
      </c>
      <c r="AA77">
        <f t="shared" ca="1" si="45"/>
        <v>635.94325335585006</v>
      </c>
      <c r="AB77">
        <f t="shared" ca="1" si="46"/>
        <v>637.25281479857722</v>
      </c>
      <c r="AC77">
        <f t="shared" ca="1" si="47"/>
        <v>5.2498303181021996E-3</v>
      </c>
      <c r="AD77">
        <f t="shared" ca="1" si="48"/>
        <v>1.2503675362022815</v>
      </c>
      <c r="AE77">
        <f t="shared" ca="1" si="49"/>
        <v>34.745587838306065</v>
      </c>
      <c r="AF77">
        <f t="shared" ca="1" si="50"/>
        <v>3.3676908478810219E-3</v>
      </c>
      <c r="AG77">
        <f t="shared" ca="1" si="51"/>
        <v>0</v>
      </c>
      <c r="AH77">
        <f ca="1">IFERROR(IF(V32="Supercritical",MAX($D$16,IFERROR(L77,MAX($D$16,POWER((ABS(K77)^2)/($I$5*MAX(F77,0.1)^2),1/3)))),IF(V32="Subcritical",MAX($D$16,IFERROR(W77,MAX($D$16,POWER((ABS(K77)^2)/($I$5*MAX(F77,0.1)^2),1/3)))),IF(AND(IFERROR(V77,0)=1,IFERROR(AG77,0)=1),IF(IFERROR(T77,-1E+99)&gt;=IFERROR(AE77,-1E+99),MAX($D$16,IFERROR(L77,MAX($D$16,POWER((ABS(K77)^2)/($I$5*MAX(F77,0.1)^2),1/3)))),MAX($D$16,IFERROR(W77,MAX($D$16,POWER((ABS(K77)^2)/($I$5*MAX(F77,0.1)^2),1/3))))),IF(IFERROR(V77,0)=1,MAX($D$16,IFERROR(L77,MAX($D$16,POWER((ABS(K77)^2)/($I$5*MAX(F77,0.1)^2),1/3)))),IF(IFERROR(AG77,0)=1,MAX($D$16,IFERROR(W77,MAX($D$16,POWER((ABS(K77)^2)/($I$5*MAX(F77,0.1)^2),1/3)))),MAX($D$16,POWER((ABS(K77)^2)/($I$5*MAX(F77,0.1)^2),1/3))))))),MAX($D$16,POWER((ABS(K77)^2)/($I$5*MAX(F77,0.1)^2),1/3)))</f>
        <v>1.944340352385391</v>
      </c>
      <c r="AI77">
        <f t="shared" ca="1" si="52"/>
        <v>636.21234035238547</v>
      </c>
      <c r="AJ77">
        <f t="shared" ca="1" si="53"/>
        <v>637.18451052857813</v>
      </c>
      <c r="AM77">
        <v>0</v>
      </c>
      <c r="AN77">
        <v>0</v>
      </c>
      <c r="AO77">
        <f t="shared" si="54"/>
        <v>0</v>
      </c>
      <c r="AP77">
        <f t="shared" si="63"/>
        <v>0</v>
      </c>
      <c r="AQ77">
        <f t="shared" ca="1" si="55"/>
        <v>1.0000000000000002</v>
      </c>
      <c r="AR77" t="str">
        <f t="shared" ca="1" si="56"/>
        <v>Supercritical</v>
      </c>
      <c r="AS77">
        <f t="shared" ca="1" si="57"/>
        <v>3.4427876316445592E-3</v>
      </c>
    </row>
    <row r="78" spans="1:45" x14ac:dyDescent="0.35">
      <c r="A78">
        <v>17</v>
      </c>
      <c r="B78">
        <v>16</v>
      </c>
      <c r="C78">
        <v>616540.86100000003</v>
      </c>
      <c r="D78">
        <v>3097755.3080000002</v>
      </c>
      <c r="E78">
        <v>634.26599999999996</v>
      </c>
      <c r="F78">
        <v>6</v>
      </c>
      <c r="G78">
        <v>0</v>
      </c>
      <c r="H78" t="s">
        <v>154</v>
      </c>
      <c r="I78">
        <v>5.3999999999999999E-2</v>
      </c>
      <c r="J78">
        <f t="shared" si="58"/>
        <v>1</v>
      </c>
      <c r="K78">
        <f t="shared" ca="1" si="59"/>
        <v>50.95</v>
      </c>
      <c r="L78">
        <f t="shared" ca="1" si="60"/>
        <v>1.944340352385391</v>
      </c>
      <c r="M78">
        <f t="shared" ca="1" si="33"/>
        <v>11.666042114312347</v>
      </c>
      <c r="N78">
        <f t="shared" ca="1" si="34"/>
        <v>1.1797369601269541</v>
      </c>
      <c r="O78">
        <f t="shared" ca="1" si="35"/>
        <v>4.3673766561748133</v>
      </c>
      <c r="P78">
        <f t="shared" ca="1" si="36"/>
        <v>636.2103403523854</v>
      </c>
      <c r="Q78">
        <f t="shared" ca="1" si="37"/>
        <v>637.18251052857806</v>
      </c>
      <c r="R78">
        <f t="shared" ca="1" si="38"/>
        <v>3.4427876316445592E-3</v>
      </c>
      <c r="S78">
        <f t="shared" ca="1" si="39"/>
        <v>1.0000000000000002</v>
      </c>
      <c r="T78">
        <f t="shared" ca="1" si="40"/>
        <v>34.024134653227321</v>
      </c>
      <c r="U78">
        <f t="shared" ca="1" si="61"/>
        <v>-1.5302829474421742E-3</v>
      </c>
      <c r="V78">
        <f t="shared" ca="1" si="62"/>
        <v>1</v>
      </c>
      <c r="W78">
        <f t="shared" ca="1" si="41"/>
        <v>1.6752331788152093</v>
      </c>
      <c r="X78">
        <f t="shared" ca="1" si="42"/>
        <v>10.051399072891256</v>
      </c>
      <c r="Y78">
        <f t="shared" ca="1" si="43"/>
        <v>1.0749623268457453</v>
      </c>
      <c r="Z78">
        <f t="shared" ca="1" si="44"/>
        <v>5.0689460870589418</v>
      </c>
      <c r="AA78">
        <f t="shared" ca="1" si="45"/>
        <v>635.9412331788152</v>
      </c>
      <c r="AB78">
        <f t="shared" ca="1" si="46"/>
        <v>637.25082616727138</v>
      </c>
      <c r="AC78">
        <f t="shared" ca="1" si="47"/>
        <v>5.2500108795700655E-3</v>
      </c>
      <c r="AD78">
        <f t="shared" ca="1" si="48"/>
        <v>1.2503901259995596</v>
      </c>
      <c r="AE78">
        <f t="shared" ca="1" si="49"/>
        <v>34.745702110276504</v>
      </c>
      <c r="AF78">
        <f t="shared" ca="1" si="50"/>
        <v>3.2500108795829874E-3</v>
      </c>
      <c r="AG78">
        <f t="shared" ca="1" si="51"/>
        <v>0</v>
      </c>
      <c r="AH78">
        <f ca="1">IFERROR(IF(V32="Supercritical",MAX($D$16,IFERROR(L78,MAX($D$16,POWER((ABS(K78)^2)/($I$5*MAX(F78,0.1)^2),1/3)))),IF(V32="Subcritical",MAX($D$16,IFERROR(W78,MAX($D$16,POWER((ABS(K78)^2)/($I$5*MAX(F78,0.1)^2),1/3)))),IF(AND(IFERROR(V78,0)=1,IFERROR(AG78,0)=1),IF(IFERROR(T78,-1E+99)&gt;=IFERROR(AE78,-1E+99),MAX($D$16,IFERROR(L78,MAX($D$16,POWER((ABS(K78)^2)/($I$5*MAX(F78,0.1)^2),1/3)))),MAX($D$16,IFERROR(W78,MAX($D$16,POWER((ABS(K78)^2)/($I$5*MAX(F78,0.1)^2),1/3))))),IF(IFERROR(V78,0)=1,MAX($D$16,IFERROR(L78,MAX($D$16,POWER((ABS(K78)^2)/($I$5*MAX(F78,0.1)^2),1/3)))),IF(IFERROR(AG78,0)=1,MAX($D$16,IFERROR(W78,MAX($D$16,POWER((ABS(K78)^2)/($I$5*MAX(F78,0.1)^2),1/3)))),MAX($D$16,POWER((ABS(K78)^2)/($I$5*MAX(F78,0.1)^2),1/3))))))),MAX($D$16,POWER((ABS(K78)^2)/($I$5*MAX(F78,0.1)^2),1/3)))</f>
        <v>1.944340352385391</v>
      </c>
      <c r="AI78">
        <f t="shared" ca="1" si="52"/>
        <v>636.2103403523854</v>
      </c>
      <c r="AJ78">
        <f t="shared" ca="1" si="53"/>
        <v>637.18251052857806</v>
      </c>
      <c r="AM78">
        <v>0</v>
      </c>
      <c r="AN78">
        <v>0</v>
      </c>
      <c r="AO78">
        <f t="shared" si="54"/>
        <v>0</v>
      </c>
      <c r="AP78">
        <f t="shared" si="63"/>
        <v>0</v>
      </c>
      <c r="AQ78">
        <f t="shared" ca="1" si="55"/>
        <v>1.0000000000000002</v>
      </c>
      <c r="AR78" t="str">
        <f t="shared" ca="1" si="56"/>
        <v>Supercritical</v>
      </c>
      <c r="AS78">
        <f t="shared" ca="1" si="57"/>
        <v>3.4427876316445592E-3</v>
      </c>
    </row>
    <row r="79" spans="1:45" x14ac:dyDescent="0.35">
      <c r="A79">
        <v>18</v>
      </c>
      <c r="B79">
        <v>17</v>
      </c>
      <c r="C79">
        <v>616539.91399999999</v>
      </c>
      <c r="D79">
        <v>3097754.9870000002</v>
      </c>
      <c r="E79">
        <v>634.26400000000001</v>
      </c>
      <c r="F79">
        <v>6</v>
      </c>
      <c r="G79">
        <v>0</v>
      </c>
      <c r="H79" t="s">
        <v>154</v>
      </c>
      <c r="I79">
        <v>0</v>
      </c>
      <c r="J79">
        <f t="shared" si="58"/>
        <v>1</v>
      </c>
      <c r="K79">
        <f t="shared" ca="1" si="59"/>
        <v>50.95</v>
      </c>
      <c r="L79">
        <f t="shared" ca="1" si="60"/>
        <v>1.944340352385391</v>
      </c>
      <c r="M79">
        <f t="shared" ca="1" si="33"/>
        <v>11.666042114312347</v>
      </c>
      <c r="N79">
        <f t="shared" ca="1" si="34"/>
        <v>1.1797369601269541</v>
      </c>
      <c r="O79">
        <f t="shared" ca="1" si="35"/>
        <v>4.3673766561748133</v>
      </c>
      <c r="P79">
        <f t="shared" ca="1" si="36"/>
        <v>636.20834035238545</v>
      </c>
      <c r="Q79">
        <f t="shared" ca="1" si="37"/>
        <v>637.18051052857811</v>
      </c>
      <c r="R79">
        <f t="shared" ca="1" si="38"/>
        <v>3.4427876316445592E-3</v>
      </c>
      <c r="S79">
        <f t="shared" ca="1" si="39"/>
        <v>1.0000000000000002</v>
      </c>
      <c r="T79">
        <f t="shared" ca="1" si="40"/>
        <v>34.024134653227321</v>
      </c>
      <c r="U79">
        <f t="shared" ca="1" si="61"/>
        <v>-1.4427876317313348E-3</v>
      </c>
      <c r="V79">
        <f t="shared" ca="1" si="62"/>
        <v>1</v>
      </c>
      <c r="W79">
        <f t="shared" ca="1" si="41"/>
        <v>1.6752533573218487</v>
      </c>
      <c r="X79">
        <f t="shared" ca="1" si="42"/>
        <v>10.051520143931093</v>
      </c>
      <c r="Y79">
        <f t="shared" ca="1" si="43"/>
        <v>1.074970635354932</v>
      </c>
      <c r="Z79">
        <f t="shared" ca="1" si="44"/>
        <v>5.0688850313614102</v>
      </c>
      <c r="AA79">
        <f t="shared" ca="1" si="45"/>
        <v>635.93925335732183</v>
      </c>
      <c r="AB79">
        <f t="shared" ca="1" si="46"/>
        <v>637.24881479774797</v>
      </c>
      <c r="AC79">
        <f t="shared" ca="1" si="47"/>
        <v>5.2498303049313142E-3</v>
      </c>
      <c r="AD79">
        <f t="shared" ca="1" si="48"/>
        <v>1.2503675345544756</v>
      </c>
      <c r="AE79">
        <f t="shared" ca="1" si="49"/>
        <v>34.745587829970773</v>
      </c>
      <c r="AF79">
        <f t="shared" ca="1" si="50"/>
        <v>4.5550265405154278E-3</v>
      </c>
      <c r="AG79">
        <f t="shared" ca="1" si="51"/>
        <v>0</v>
      </c>
      <c r="AH79">
        <f ca="1">IFERROR(IF(V32="Supercritical",MAX($D$16,IFERROR(L79,MAX($D$16,POWER((ABS(K79)^2)/($I$5*MAX(F79,0.1)^2),1/3)))),IF(V32="Subcritical",MAX($D$16,IFERROR(W79,MAX($D$16,POWER((ABS(K79)^2)/($I$5*MAX(F79,0.1)^2),1/3)))),IF(AND(IFERROR(V79,0)=1,IFERROR(AG79,0)=1),IF(IFERROR(T79,-1E+99)&gt;=IFERROR(AE79,-1E+99),MAX($D$16,IFERROR(L79,MAX($D$16,POWER((ABS(K79)^2)/($I$5*MAX(F79,0.1)^2),1/3)))),MAX($D$16,IFERROR(W79,MAX($D$16,POWER((ABS(K79)^2)/($I$5*MAX(F79,0.1)^2),1/3))))),IF(IFERROR(V79,0)=1,MAX($D$16,IFERROR(L79,MAX($D$16,POWER((ABS(K79)^2)/($I$5*MAX(F79,0.1)^2),1/3)))),IF(IFERROR(AG79,0)=1,MAX($D$16,IFERROR(W79,MAX($D$16,POWER((ABS(K79)^2)/($I$5*MAX(F79,0.1)^2),1/3)))),MAX($D$16,POWER((ABS(K79)^2)/($I$5*MAX(F79,0.1)^2),1/3))))))),MAX($D$16,POWER((ABS(K79)^2)/($I$5*MAX(F79,0.1)^2),1/3)))</f>
        <v>1.944340352385391</v>
      </c>
      <c r="AI79">
        <f t="shared" ca="1" si="52"/>
        <v>636.20834035238545</v>
      </c>
      <c r="AJ79">
        <f t="shared" ca="1" si="53"/>
        <v>637.18051052857811</v>
      </c>
      <c r="AM79">
        <v>0</v>
      </c>
      <c r="AN79">
        <v>0</v>
      </c>
      <c r="AO79">
        <f t="shared" si="54"/>
        <v>0</v>
      </c>
      <c r="AP79">
        <f t="shared" si="63"/>
        <v>0</v>
      </c>
      <c r="AQ79">
        <f t="shared" ca="1" si="55"/>
        <v>1.0000000000000002</v>
      </c>
      <c r="AR79" t="str">
        <f t="shared" ca="1" si="56"/>
        <v>Supercritical</v>
      </c>
      <c r="AS79">
        <f t="shared" ca="1" si="57"/>
        <v>3.4427876316445592E-3</v>
      </c>
    </row>
    <row r="80" spans="1:45" x14ac:dyDescent="0.35">
      <c r="A80">
        <v>19</v>
      </c>
      <c r="B80">
        <v>18</v>
      </c>
      <c r="C80">
        <v>616538.96699999995</v>
      </c>
      <c r="D80">
        <v>3097754.6660000002</v>
      </c>
      <c r="E80">
        <v>634.26199999999994</v>
      </c>
      <c r="F80">
        <v>6</v>
      </c>
      <c r="G80">
        <v>0</v>
      </c>
      <c r="H80" t="s">
        <v>154</v>
      </c>
      <c r="I80">
        <v>0.59799999999999998</v>
      </c>
      <c r="J80">
        <f t="shared" si="58"/>
        <v>1</v>
      </c>
      <c r="K80">
        <f t="shared" ca="1" si="59"/>
        <v>50.95</v>
      </c>
      <c r="L80">
        <f t="shared" ca="1" si="60"/>
        <v>1.944340352385391</v>
      </c>
      <c r="M80">
        <f t="shared" ca="1" si="33"/>
        <v>11.666042114312347</v>
      </c>
      <c r="N80">
        <f t="shared" ca="1" si="34"/>
        <v>1.1797369601269541</v>
      </c>
      <c r="O80">
        <f t="shared" ca="1" si="35"/>
        <v>4.3673766561748133</v>
      </c>
      <c r="P80">
        <f t="shared" ca="1" si="36"/>
        <v>636.20634035238538</v>
      </c>
      <c r="Q80">
        <f t="shared" ca="1" si="37"/>
        <v>637.17851052857804</v>
      </c>
      <c r="R80">
        <f t="shared" ca="1" si="38"/>
        <v>3.4427876316445592E-3</v>
      </c>
      <c r="S80">
        <f t="shared" ca="1" si="39"/>
        <v>1.0000000000000002</v>
      </c>
      <c r="T80">
        <f t="shared" ca="1" si="40"/>
        <v>34.024134653227321</v>
      </c>
      <c r="U80">
        <f t="shared" ca="1" si="61"/>
        <v>-2.411717240534017E-3</v>
      </c>
      <c r="V80">
        <f t="shared" ca="1" si="62"/>
        <v>1</v>
      </c>
      <c r="W80">
        <f t="shared" ca="1" si="41"/>
        <v>1.6752331801896831</v>
      </c>
      <c r="X80">
        <f t="shared" ca="1" si="42"/>
        <v>10.051399081138099</v>
      </c>
      <c r="Y80">
        <f t="shared" ca="1" si="43"/>
        <v>1.074962327411688</v>
      </c>
      <c r="Z80">
        <f t="shared" ca="1" si="44"/>
        <v>5.0689460829000375</v>
      </c>
      <c r="AA80">
        <f t="shared" ca="1" si="45"/>
        <v>635.93723318018965</v>
      </c>
      <c r="AB80">
        <f t="shared" ca="1" si="46"/>
        <v>637.24682616649682</v>
      </c>
      <c r="AC80">
        <f t="shared" ca="1" si="47"/>
        <v>5.2500108672697996E-3</v>
      </c>
      <c r="AD80">
        <f t="shared" ca="1" si="48"/>
        <v>1.2503901244607032</v>
      </c>
      <c r="AE80">
        <f t="shared" ca="1" si="49"/>
        <v>34.745702102491876</v>
      </c>
      <c r="AF80">
        <f t="shared" ca="1" si="50"/>
        <v>-6.3090520894775182E-2</v>
      </c>
      <c r="AG80">
        <f t="shared" ca="1" si="51"/>
        <v>0</v>
      </c>
      <c r="AH80">
        <f ca="1">IFERROR(IF(V32="Supercritical",MAX($D$16,IFERROR(L80,MAX($D$16,POWER((ABS(K80)^2)/($I$5*MAX(F80,0.1)^2),1/3)))),IF(V32="Subcritical",MAX($D$16,IFERROR(W80,MAX($D$16,POWER((ABS(K80)^2)/($I$5*MAX(F80,0.1)^2),1/3)))),IF(AND(IFERROR(V80,0)=1,IFERROR(AG80,0)=1),IF(IFERROR(T80,-1E+99)&gt;=IFERROR(AE80,-1E+99),MAX($D$16,IFERROR(L80,MAX($D$16,POWER((ABS(K80)^2)/($I$5*MAX(F80,0.1)^2),1/3)))),MAX($D$16,IFERROR(W80,MAX($D$16,POWER((ABS(K80)^2)/($I$5*MAX(F80,0.1)^2),1/3))))),IF(IFERROR(V80,0)=1,MAX($D$16,IFERROR(L80,MAX($D$16,POWER((ABS(K80)^2)/($I$5*MAX(F80,0.1)^2),1/3)))),IF(IFERROR(AG80,0)=1,MAX($D$16,IFERROR(W80,MAX($D$16,POWER((ABS(K80)^2)/($I$5*MAX(F80,0.1)^2),1/3)))),MAX($D$16,POWER((ABS(K80)^2)/($I$5*MAX(F80,0.1)^2),1/3))))))),MAX($D$16,POWER((ABS(K80)^2)/($I$5*MAX(F80,0.1)^2),1/3)))</f>
        <v>1.944340352385391</v>
      </c>
      <c r="AI80">
        <f t="shared" ca="1" si="52"/>
        <v>636.20634035238538</v>
      </c>
      <c r="AJ80">
        <f t="shared" ca="1" si="53"/>
        <v>637.17851052857804</v>
      </c>
      <c r="AM80">
        <v>0</v>
      </c>
      <c r="AN80">
        <v>0</v>
      </c>
      <c r="AO80">
        <f t="shared" si="54"/>
        <v>0</v>
      </c>
      <c r="AP80">
        <f t="shared" si="63"/>
        <v>0</v>
      </c>
      <c r="AQ80">
        <f t="shared" ca="1" si="55"/>
        <v>1.0000000000000002</v>
      </c>
      <c r="AR80" t="str">
        <f t="shared" ca="1" si="56"/>
        <v>Supercritical</v>
      </c>
      <c r="AS80">
        <f t="shared" ca="1" si="57"/>
        <v>3.4427876316445592E-3</v>
      </c>
    </row>
    <row r="81" spans="1:45" x14ac:dyDescent="0.35">
      <c r="A81">
        <v>20</v>
      </c>
      <c r="B81">
        <v>19</v>
      </c>
      <c r="C81">
        <v>616538.02300000004</v>
      </c>
      <c r="D81">
        <v>3097754.335</v>
      </c>
      <c r="E81">
        <v>634.26</v>
      </c>
      <c r="F81">
        <v>6.25</v>
      </c>
      <c r="G81">
        <v>0</v>
      </c>
      <c r="H81" t="s">
        <v>154</v>
      </c>
      <c r="I81">
        <v>2.649</v>
      </c>
      <c r="J81">
        <f t="shared" si="58"/>
        <v>1</v>
      </c>
      <c r="K81">
        <f t="shared" ca="1" si="59"/>
        <v>50.95</v>
      </c>
      <c r="L81">
        <f t="shared" ca="1" si="60"/>
        <v>1.8921393234163704</v>
      </c>
      <c r="M81">
        <f t="shared" ca="1" si="33"/>
        <v>11.825870771352315</v>
      </c>
      <c r="N81">
        <f t="shared" ca="1" si="34"/>
        <v>1.178547176889998</v>
      </c>
      <c r="O81">
        <f t="shared" ca="1" si="35"/>
        <v>4.3083508170429425</v>
      </c>
      <c r="P81">
        <f t="shared" ca="1" si="36"/>
        <v>636.15213932341635</v>
      </c>
      <c r="Q81">
        <f t="shared" ca="1" si="37"/>
        <v>637.09820898512453</v>
      </c>
      <c r="R81">
        <f t="shared" ca="1" si="38"/>
        <v>3.3548672584835944E-3</v>
      </c>
      <c r="S81">
        <f t="shared" ca="1" si="39"/>
        <v>1</v>
      </c>
      <c r="T81">
        <f t="shared" ca="1" si="40"/>
        <v>33.564292680173992</v>
      </c>
      <c r="U81">
        <f t="shared" ca="1" si="61"/>
        <v>6.4780430335190431E-2</v>
      </c>
      <c r="V81">
        <f t="shared" ca="1" si="62"/>
        <v>1</v>
      </c>
      <c r="W81">
        <f t="shared" ca="1" si="41"/>
        <v>1.675253358605413</v>
      </c>
      <c r="X81">
        <f t="shared" ca="1" si="42"/>
        <v>10.470333491283832</v>
      </c>
      <c r="Y81">
        <f t="shared" ca="1" si="43"/>
        <v>1.0906021733742102</v>
      </c>
      <c r="Z81">
        <f t="shared" ca="1" si="44"/>
        <v>4.8661296263785685</v>
      </c>
      <c r="AA81">
        <f t="shared" ca="1" si="45"/>
        <v>635.93525335860545</v>
      </c>
      <c r="AB81">
        <f t="shared" ca="1" si="46"/>
        <v>637.14214518025267</v>
      </c>
      <c r="AC81">
        <f t="shared" ca="1" si="47"/>
        <v>4.7460034955493094E-3</v>
      </c>
      <c r="AD81">
        <f t="shared" ca="1" si="48"/>
        <v>1.2003528317927472</v>
      </c>
      <c r="AE81">
        <f t="shared" ca="1" si="49"/>
        <v>34.043350394595691</v>
      </c>
      <c r="AF81">
        <f t="shared" ca="1" si="50"/>
        <v>4.3249662248626919E-2</v>
      </c>
      <c r="AG81">
        <f t="shared" ca="1" si="51"/>
        <v>0</v>
      </c>
      <c r="AH81">
        <f ca="1">IFERROR(IF(V32="Supercritical",MAX($D$16,IFERROR(L81,MAX($D$16,POWER((ABS(K81)^2)/($I$5*MAX(F81,0.1)^2),1/3)))),IF(V32="Subcritical",MAX($D$16,IFERROR(W81,MAX($D$16,POWER((ABS(K81)^2)/($I$5*MAX(F81,0.1)^2),1/3)))),IF(AND(IFERROR(V81,0)=1,IFERROR(AG81,0)=1),IF(IFERROR(T81,-1E+99)&gt;=IFERROR(AE81,-1E+99),MAX($D$16,IFERROR(L81,MAX($D$16,POWER((ABS(K81)^2)/($I$5*MAX(F81,0.1)^2),1/3)))),MAX($D$16,IFERROR(W81,MAX($D$16,POWER((ABS(K81)^2)/($I$5*MAX(F81,0.1)^2),1/3))))),IF(IFERROR(V81,0)=1,MAX($D$16,IFERROR(L81,MAX($D$16,POWER((ABS(K81)^2)/($I$5*MAX(F81,0.1)^2),1/3)))),IF(IFERROR(AG81,0)=1,MAX($D$16,IFERROR(W81,MAX($D$16,POWER((ABS(K81)^2)/($I$5*MAX(F81,0.1)^2),1/3)))),MAX($D$16,POWER((ABS(K81)^2)/($I$5*MAX(F81,0.1)^2),1/3))))))),MAX($D$16,POWER((ABS(K81)^2)/($I$5*MAX(F81,0.1)^2),1/3)))</f>
        <v>1.8921393234163704</v>
      </c>
      <c r="AI81">
        <f t="shared" ca="1" si="52"/>
        <v>636.15213932341635</v>
      </c>
      <c r="AJ81">
        <f t="shared" ca="1" si="53"/>
        <v>637.09820898512453</v>
      </c>
      <c r="AM81">
        <v>0</v>
      </c>
      <c r="AN81">
        <v>0</v>
      </c>
      <c r="AO81">
        <f t="shared" si="54"/>
        <v>0</v>
      </c>
      <c r="AP81">
        <f t="shared" si="63"/>
        <v>0</v>
      </c>
      <c r="AQ81">
        <f t="shared" ca="1" si="55"/>
        <v>1</v>
      </c>
      <c r="AR81" t="str">
        <f t="shared" ca="1" si="56"/>
        <v>Supercritical</v>
      </c>
      <c r="AS81">
        <f t="shared" ca="1" si="57"/>
        <v>3.3548672584835944E-3</v>
      </c>
    </row>
    <row r="82" spans="1:45" x14ac:dyDescent="0.35">
      <c r="A82">
        <v>21</v>
      </c>
      <c r="B82">
        <v>20</v>
      </c>
      <c r="C82">
        <v>616537.09600000002</v>
      </c>
      <c r="D82">
        <v>3097753.9610000001</v>
      </c>
      <c r="E82">
        <v>634.25800000000004</v>
      </c>
      <c r="F82">
        <v>6.17</v>
      </c>
      <c r="G82">
        <v>0</v>
      </c>
      <c r="H82" t="s">
        <v>154</v>
      </c>
      <c r="I82">
        <v>2.7989999999999999</v>
      </c>
      <c r="J82">
        <f t="shared" si="58"/>
        <v>1</v>
      </c>
      <c r="K82">
        <f t="shared" ca="1" si="59"/>
        <v>50.95</v>
      </c>
      <c r="L82">
        <f t="shared" ca="1" si="60"/>
        <v>1.9084597885297581</v>
      </c>
      <c r="M82">
        <f t="shared" ca="1" si="33"/>
        <v>11.775196895228607</v>
      </c>
      <c r="N82">
        <f t="shared" ca="1" si="34"/>
        <v>1.1790619524239343</v>
      </c>
      <c r="O82">
        <f t="shared" ca="1" si="35"/>
        <v>4.3268915546240505</v>
      </c>
      <c r="P82">
        <f t="shared" ca="1" si="36"/>
        <v>636.16645978852978</v>
      </c>
      <c r="Q82">
        <f t="shared" ca="1" si="37"/>
        <v>637.1206896827947</v>
      </c>
      <c r="R82">
        <f t="shared" ca="1" si="38"/>
        <v>3.3818346714262824E-3</v>
      </c>
      <c r="S82">
        <f t="shared" ca="1" si="39"/>
        <v>1.0000000000000002</v>
      </c>
      <c r="T82">
        <f t="shared" ca="1" si="40"/>
        <v>33.708734664846382</v>
      </c>
      <c r="U82">
        <f t="shared" ca="1" si="61"/>
        <v>-3.1116554347477177E-2</v>
      </c>
      <c r="V82">
        <f t="shared" ca="1" si="62"/>
        <v>1</v>
      </c>
      <c r="W82">
        <f t="shared" ca="1" si="41"/>
        <v>1.6752331813883916</v>
      </c>
      <c r="X82">
        <f t="shared" ca="1" si="42"/>
        <v>10.336188729166377</v>
      </c>
      <c r="Y82">
        <f t="shared" ca="1" si="43"/>
        <v>1.0856809252096002</v>
      </c>
      <c r="Z82">
        <f t="shared" ca="1" si="44"/>
        <v>4.9292830592605839</v>
      </c>
      <c r="AA82">
        <f t="shared" ca="1" si="45"/>
        <v>635.93323318138846</v>
      </c>
      <c r="AB82">
        <f t="shared" ca="1" si="46"/>
        <v>637.17165476540038</v>
      </c>
      <c r="AC82">
        <f t="shared" ca="1" si="47"/>
        <v>4.8994472960599772E-3</v>
      </c>
      <c r="AD82">
        <f t="shared" ca="1" si="48"/>
        <v>1.2159385313957536</v>
      </c>
      <c r="AE82">
        <f t="shared" ca="1" si="49"/>
        <v>34.258881601336356</v>
      </c>
      <c r="AF82">
        <f t="shared" ca="1" si="50"/>
        <v>3.971749681898018E-2</v>
      </c>
      <c r="AG82">
        <f t="shared" ca="1" si="51"/>
        <v>0</v>
      </c>
      <c r="AH82">
        <f ca="1">IFERROR(IF(V32="Supercritical",MAX($D$16,IFERROR(L82,MAX($D$16,POWER((ABS(K82)^2)/($I$5*MAX(F82,0.1)^2),1/3)))),IF(V32="Subcritical",MAX($D$16,IFERROR(W82,MAX($D$16,POWER((ABS(K82)^2)/($I$5*MAX(F82,0.1)^2),1/3)))),IF(AND(IFERROR(V82,0)=1,IFERROR(AG82,0)=1),IF(IFERROR(T82,-1E+99)&gt;=IFERROR(AE82,-1E+99),MAX($D$16,IFERROR(L82,MAX($D$16,POWER((ABS(K82)^2)/($I$5*MAX(F82,0.1)^2),1/3)))),MAX($D$16,IFERROR(W82,MAX($D$16,POWER((ABS(K82)^2)/($I$5*MAX(F82,0.1)^2),1/3))))),IF(IFERROR(V82,0)=1,MAX($D$16,IFERROR(L82,MAX($D$16,POWER((ABS(K82)^2)/($I$5*MAX(F82,0.1)^2),1/3)))),IF(IFERROR(AG82,0)=1,MAX($D$16,IFERROR(W82,MAX($D$16,POWER((ABS(K82)^2)/($I$5*MAX(F82,0.1)^2),1/3)))),MAX($D$16,POWER((ABS(K82)^2)/($I$5*MAX(F82,0.1)^2),1/3))))))),MAX($D$16,POWER((ABS(K82)^2)/($I$5*MAX(F82,0.1)^2),1/3)))</f>
        <v>1.9084597885297581</v>
      </c>
      <c r="AI82">
        <f t="shared" ca="1" si="52"/>
        <v>636.16645978852978</v>
      </c>
      <c r="AJ82">
        <f t="shared" ca="1" si="53"/>
        <v>637.1206896827947</v>
      </c>
      <c r="AM82">
        <v>0</v>
      </c>
      <c r="AN82">
        <v>0</v>
      </c>
      <c r="AO82">
        <f t="shared" si="54"/>
        <v>0</v>
      </c>
      <c r="AP82">
        <f t="shared" si="63"/>
        <v>0</v>
      </c>
      <c r="AQ82">
        <f t="shared" ca="1" si="55"/>
        <v>1.0000000000000002</v>
      </c>
      <c r="AR82" t="str">
        <f t="shared" ca="1" si="56"/>
        <v>Supercritical</v>
      </c>
      <c r="AS82">
        <f t="shared" ca="1" si="57"/>
        <v>3.3818346714262824E-3</v>
      </c>
    </row>
    <row r="83" spans="1:45" x14ac:dyDescent="0.35">
      <c r="A83">
        <v>22</v>
      </c>
      <c r="B83">
        <v>21</v>
      </c>
      <c r="C83">
        <v>616536.18799999997</v>
      </c>
      <c r="D83">
        <v>3097753.5419999999</v>
      </c>
      <c r="E83">
        <v>634.25599999999997</v>
      </c>
      <c r="F83">
        <v>6.1020000000000003</v>
      </c>
      <c r="G83">
        <v>0</v>
      </c>
      <c r="H83" t="s">
        <v>154</v>
      </c>
      <c r="I83">
        <v>2.9470000000000001</v>
      </c>
      <c r="J83">
        <f t="shared" si="58"/>
        <v>1</v>
      </c>
      <c r="K83">
        <f t="shared" ca="1" si="59"/>
        <v>50.95</v>
      </c>
      <c r="L83">
        <f t="shared" ca="1" si="60"/>
        <v>1.9226120247614658</v>
      </c>
      <c r="M83">
        <f t="shared" ca="1" si="33"/>
        <v>11.731778575094465</v>
      </c>
      <c r="N83">
        <f t="shared" ca="1" si="34"/>
        <v>1.179402265062796</v>
      </c>
      <c r="O83">
        <f t="shared" ca="1" si="35"/>
        <v>4.3429050142629162</v>
      </c>
      <c r="P83">
        <f t="shared" ca="1" si="36"/>
        <v>636.17861202476149</v>
      </c>
      <c r="Q83">
        <f t="shared" ca="1" si="37"/>
        <v>637.13991803714225</v>
      </c>
      <c r="R83">
        <f t="shared" ca="1" si="38"/>
        <v>3.4056020848631913E-3</v>
      </c>
      <c r="S83">
        <f t="shared" ca="1" si="39"/>
        <v>1</v>
      </c>
      <c r="T83">
        <f t="shared" ca="1" si="40"/>
        <v>33.833487840473332</v>
      </c>
      <c r="U83">
        <f t="shared" ca="1" si="61"/>
        <v>-2.8051299234675753E-2</v>
      </c>
      <c r="V83">
        <f t="shared" ca="1" si="62"/>
        <v>1</v>
      </c>
      <c r="W83">
        <f t="shared" ca="1" si="41"/>
        <v>1.6752533597248418</v>
      </c>
      <c r="X83">
        <f t="shared" ca="1" si="42"/>
        <v>10.222396001040986</v>
      </c>
      <c r="Y83">
        <f t="shared" ca="1" si="43"/>
        <v>1.0814481602014798</v>
      </c>
      <c r="Z83">
        <f t="shared" ca="1" si="44"/>
        <v>4.9841543993024304</v>
      </c>
      <c r="AA83">
        <f t="shared" ca="1" si="45"/>
        <v>635.93125335972479</v>
      </c>
      <c r="AB83">
        <f t="shared" ca="1" si="46"/>
        <v>637.19739989775155</v>
      </c>
      <c r="AC83">
        <f t="shared" ca="1" si="47"/>
        <v>5.0352907344228467E-3</v>
      </c>
      <c r="AD83">
        <f t="shared" ca="1" si="48"/>
        <v>1.2294665996697878</v>
      </c>
      <c r="AE83">
        <f t="shared" ca="1" si="49"/>
        <v>34.448654236704897</v>
      </c>
      <c r="AF83">
        <f t="shared" ca="1" si="50"/>
        <v>3.2251424141804819E-2</v>
      </c>
      <c r="AG83">
        <f t="shared" ca="1" si="51"/>
        <v>0</v>
      </c>
      <c r="AH83">
        <f ca="1">IFERROR(IF(V32="Supercritical",MAX($D$16,IFERROR(L83,MAX($D$16,POWER((ABS(K83)^2)/($I$5*MAX(F83,0.1)^2),1/3)))),IF(V32="Subcritical",MAX($D$16,IFERROR(W83,MAX($D$16,POWER((ABS(K83)^2)/($I$5*MAX(F83,0.1)^2),1/3)))),IF(AND(IFERROR(V83,0)=1,IFERROR(AG83,0)=1),IF(IFERROR(T83,-1E+99)&gt;=IFERROR(AE83,-1E+99),MAX($D$16,IFERROR(L83,MAX($D$16,POWER((ABS(K83)^2)/($I$5*MAX(F83,0.1)^2),1/3)))),MAX($D$16,IFERROR(W83,MAX($D$16,POWER((ABS(K83)^2)/($I$5*MAX(F83,0.1)^2),1/3))))),IF(IFERROR(V83,0)=1,MAX($D$16,IFERROR(L83,MAX($D$16,POWER((ABS(K83)^2)/($I$5*MAX(F83,0.1)^2),1/3)))),IF(IFERROR(AG83,0)=1,MAX($D$16,IFERROR(W83,MAX($D$16,POWER((ABS(K83)^2)/($I$5*MAX(F83,0.1)^2),1/3)))),MAX($D$16,POWER((ABS(K83)^2)/($I$5*MAX(F83,0.1)^2),1/3))))))),MAX($D$16,POWER((ABS(K83)^2)/($I$5*MAX(F83,0.1)^2),1/3)))</f>
        <v>1.9226120247614658</v>
      </c>
      <c r="AI83">
        <f t="shared" ca="1" si="52"/>
        <v>636.17861202476149</v>
      </c>
      <c r="AJ83">
        <f t="shared" ca="1" si="53"/>
        <v>637.13991803714225</v>
      </c>
      <c r="AM83">
        <v>0</v>
      </c>
      <c r="AN83">
        <v>0</v>
      </c>
      <c r="AO83">
        <f t="shared" si="54"/>
        <v>0</v>
      </c>
      <c r="AP83">
        <f t="shared" si="63"/>
        <v>0</v>
      </c>
      <c r="AQ83">
        <f t="shared" ca="1" si="55"/>
        <v>1</v>
      </c>
      <c r="AR83" t="str">
        <f t="shared" ca="1" si="56"/>
        <v>Supercritical</v>
      </c>
      <c r="AS83">
        <f t="shared" ca="1" si="57"/>
        <v>3.4056020848631913E-3</v>
      </c>
    </row>
    <row r="84" spans="1:45" x14ac:dyDescent="0.35">
      <c r="A84">
        <v>23</v>
      </c>
      <c r="B84">
        <v>22</v>
      </c>
      <c r="C84">
        <v>616535.30299999996</v>
      </c>
      <c r="D84">
        <v>3097753.077</v>
      </c>
      <c r="E84">
        <v>634.25400000000002</v>
      </c>
      <c r="F84">
        <v>6.0519999999999996</v>
      </c>
      <c r="G84">
        <v>0</v>
      </c>
      <c r="H84" t="s">
        <v>154</v>
      </c>
      <c r="I84">
        <v>2.823</v>
      </c>
      <c r="J84">
        <f t="shared" si="58"/>
        <v>1</v>
      </c>
      <c r="K84">
        <f t="shared" ca="1" si="59"/>
        <v>50.95</v>
      </c>
      <c r="L84">
        <f t="shared" ca="1" si="60"/>
        <v>1.9331868999991531</v>
      </c>
      <c r="M84">
        <f t="shared" ca="1" si="33"/>
        <v>11.699647118794873</v>
      </c>
      <c r="N84">
        <f t="shared" ca="1" si="34"/>
        <v>1.179593283608334</v>
      </c>
      <c r="O84">
        <f t="shared" ca="1" si="35"/>
        <v>4.3548321998662241</v>
      </c>
      <c r="P84">
        <f t="shared" ca="1" si="36"/>
        <v>636.18718689999912</v>
      </c>
      <c r="Q84">
        <f t="shared" ca="1" si="37"/>
        <v>637.15378034999867</v>
      </c>
      <c r="R84">
        <f t="shared" ca="1" si="38"/>
        <v>3.4235944544678885E-3</v>
      </c>
      <c r="S84">
        <f t="shared" ca="1" si="39"/>
        <v>1</v>
      </c>
      <c r="T84">
        <f t="shared" ca="1" si="40"/>
        <v>33.926406817000625</v>
      </c>
      <c r="U84">
        <f t="shared" ca="1" si="61"/>
        <v>-2.2353477070168992E-2</v>
      </c>
      <c r="V84">
        <f t="shared" ca="1" si="62"/>
        <v>1</v>
      </c>
      <c r="W84">
        <f t="shared" ca="1" si="41"/>
        <v>1.6752331824337761</v>
      </c>
      <c r="X84">
        <f t="shared" ca="1" si="42"/>
        <v>10.138511220089212</v>
      </c>
      <c r="Y84">
        <f t="shared" ca="1" si="43"/>
        <v>1.0782821045733173</v>
      </c>
      <c r="Z84">
        <f t="shared" ca="1" si="44"/>
        <v>5.0253926729443101</v>
      </c>
      <c r="AA84">
        <f t="shared" ca="1" si="45"/>
        <v>635.92923318243379</v>
      </c>
      <c r="AB84">
        <f t="shared" ca="1" si="46"/>
        <v>637.21641827505778</v>
      </c>
      <c r="AC84">
        <f t="shared" ca="1" si="47"/>
        <v>5.1390083782633439E-3</v>
      </c>
      <c r="AD84">
        <f t="shared" ca="1" si="48"/>
        <v>1.239646518785418</v>
      </c>
      <c r="AE84">
        <f t="shared" ca="1" si="49"/>
        <v>34.592466215984743</v>
      </c>
      <c r="AF84">
        <f t="shared" ca="1" si="50"/>
        <v>2.4502768632714833E-2</v>
      </c>
      <c r="AG84">
        <f t="shared" ca="1" si="51"/>
        <v>0</v>
      </c>
      <c r="AH84">
        <f ca="1">IFERROR(IF(V32="Supercritical",MAX($D$16,IFERROR(L84,MAX($D$16,POWER((ABS(K84)^2)/($I$5*MAX(F84,0.1)^2),1/3)))),IF(V32="Subcritical",MAX($D$16,IFERROR(W84,MAX($D$16,POWER((ABS(K84)^2)/($I$5*MAX(F84,0.1)^2),1/3)))),IF(AND(IFERROR(V84,0)=1,IFERROR(AG84,0)=1),IF(IFERROR(T84,-1E+99)&gt;=IFERROR(AE84,-1E+99),MAX($D$16,IFERROR(L84,MAX($D$16,POWER((ABS(K84)^2)/($I$5*MAX(F84,0.1)^2),1/3)))),MAX($D$16,IFERROR(W84,MAX($D$16,POWER((ABS(K84)^2)/($I$5*MAX(F84,0.1)^2),1/3))))),IF(IFERROR(V84,0)=1,MAX($D$16,IFERROR(L84,MAX($D$16,POWER((ABS(K84)^2)/($I$5*MAX(F84,0.1)^2),1/3)))),IF(IFERROR(AG84,0)=1,MAX($D$16,IFERROR(W84,MAX($D$16,POWER((ABS(K84)^2)/($I$5*MAX(F84,0.1)^2),1/3)))),MAX($D$16,POWER((ABS(K84)^2)/($I$5*MAX(F84,0.1)^2),1/3))))))),MAX($D$16,POWER((ABS(K84)^2)/($I$5*MAX(F84,0.1)^2),1/3)))</f>
        <v>1.9331868999991531</v>
      </c>
      <c r="AI84">
        <f t="shared" ca="1" si="52"/>
        <v>636.18718689999912</v>
      </c>
      <c r="AJ84">
        <f t="shared" ca="1" si="53"/>
        <v>637.15378034999867</v>
      </c>
      <c r="AM84">
        <v>0</v>
      </c>
      <c r="AN84">
        <v>0</v>
      </c>
      <c r="AO84">
        <f t="shared" si="54"/>
        <v>0</v>
      </c>
      <c r="AP84">
        <f t="shared" si="63"/>
        <v>0</v>
      </c>
      <c r="AQ84">
        <f t="shared" ca="1" si="55"/>
        <v>1</v>
      </c>
      <c r="AR84" t="str">
        <f t="shared" ca="1" si="56"/>
        <v>Supercritical</v>
      </c>
      <c r="AS84">
        <f t="shared" ca="1" si="57"/>
        <v>3.4235944544678885E-3</v>
      </c>
    </row>
    <row r="85" spans="1:45" x14ac:dyDescent="0.35">
      <c r="A85">
        <v>24</v>
      </c>
      <c r="B85">
        <v>22.998999999999999</v>
      </c>
      <c r="C85">
        <v>616534.44200000004</v>
      </c>
      <c r="D85">
        <v>3097752.5690000001</v>
      </c>
      <c r="E85">
        <v>634.25199999999995</v>
      </c>
      <c r="F85">
        <v>6.02</v>
      </c>
      <c r="G85">
        <v>0</v>
      </c>
      <c r="H85" t="s">
        <v>154</v>
      </c>
      <c r="I85">
        <v>2.879</v>
      </c>
      <c r="J85">
        <f t="shared" si="58"/>
        <v>0.99899999999999878</v>
      </c>
      <c r="K85">
        <f t="shared" ca="1" si="59"/>
        <v>50.95</v>
      </c>
      <c r="L85">
        <f t="shared" ca="1" si="60"/>
        <v>1.9400315626942413</v>
      </c>
      <c r="M85">
        <f t="shared" ca="1" si="33"/>
        <v>11.678990007419332</v>
      </c>
      <c r="N85">
        <f t="shared" ca="1" si="34"/>
        <v>1.1796884382957957</v>
      </c>
      <c r="O85">
        <f t="shared" ca="1" si="35"/>
        <v>4.3625347712116298</v>
      </c>
      <c r="P85">
        <f t="shared" ca="1" si="36"/>
        <v>636.19203156269418</v>
      </c>
      <c r="Q85">
        <f t="shared" ca="1" si="37"/>
        <v>637.1620473440413</v>
      </c>
      <c r="R85">
        <f t="shared" ca="1" si="38"/>
        <v>3.4353465716647821E-3</v>
      </c>
      <c r="S85">
        <f t="shared" ca="1" si="39"/>
        <v>1</v>
      </c>
      <c r="T85">
        <f t="shared" ca="1" si="40"/>
        <v>33.986413852176227</v>
      </c>
      <c r="U85">
        <f t="shared" ca="1" si="61"/>
        <v>-1.6689727277366728E-2</v>
      </c>
      <c r="V85">
        <f t="shared" ca="1" si="62"/>
        <v>1</v>
      </c>
      <c r="W85">
        <f t="shared" ca="1" si="41"/>
        <v>1.6752533607010762</v>
      </c>
      <c r="X85">
        <f t="shared" ca="1" si="42"/>
        <v>10.085025231420477</v>
      </c>
      <c r="Y85">
        <f t="shared" ca="1" si="43"/>
        <v>1.0762518539564538</v>
      </c>
      <c r="Z85">
        <f t="shared" ca="1" si="44"/>
        <v>5.0520448715648563</v>
      </c>
      <c r="AA85">
        <f t="shared" ca="1" si="45"/>
        <v>635.927253360701</v>
      </c>
      <c r="AB85">
        <f t="shared" ca="1" si="46"/>
        <v>637.22812784512018</v>
      </c>
      <c r="AC85">
        <f t="shared" ca="1" si="47"/>
        <v>5.2067297081713265E-3</v>
      </c>
      <c r="AD85">
        <f t="shared" ca="1" si="48"/>
        <v>1.2462134858184906</v>
      </c>
      <c r="AE85">
        <f t="shared" ca="1" si="49"/>
        <v>34.686190202403687</v>
      </c>
      <c r="AF85">
        <f t="shared" ca="1" si="50"/>
        <v>1.8001950266352651E-2</v>
      </c>
      <c r="AG85">
        <f t="shared" ca="1" si="51"/>
        <v>0</v>
      </c>
      <c r="AH85">
        <f ca="1">IFERROR(IF(V32="Supercritical",MAX($D$16,IFERROR(L85,MAX($D$16,POWER((ABS(K85)^2)/($I$5*MAX(F85,0.1)^2),1/3)))),IF(V32="Subcritical",MAX($D$16,IFERROR(W85,MAX($D$16,POWER((ABS(K85)^2)/($I$5*MAX(F85,0.1)^2),1/3)))),IF(AND(IFERROR(V85,0)=1,IFERROR(AG85,0)=1),IF(IFERROR(T85,-1E+99)&gt;=IFERROR(AE85,-1E+99),MAX($D$16,IFERROR(L85,MAX($D$16,POWER((ABS(K85)^2)/($I$5*MAX(F85,0.1)^2),1/3)))),MAX($D$16,IFERROR(W85,MAX($D$16,POWER((ABS(K85)^2)/($I$5*MAX(F85,0.1)^2),1/3))))),IF(IFERROR(V85,0)=1,MAX($D$16,IFERROR(L85,MAX($D$16,POWER((ABS(K85)^2)/($I$5*MAX(F85,0.1)^2),1/3)))),IF(IFERROR(AG85,0)=1,MAX($D$16,IFERROR(W85,MAX($D$16,POWER((ABS(K85)^2)/($I$5*MAX(F85,0.1)^2),1/3)))),MAX($D$16,POWER((ABS(K85)^2)/($I$5*MAX(F85,0.1)^2),1/3))))))),MAX($D$16,POWER((ABS(K85)^2)/($I$5*MAX(F85,0.1)^2),1/3)))</f>
        <v>1.9400315626942413</v>
      </c>
      <c r="AI85">
        <f t="shared" ca="1" si="52"/>
        <v>636.19203156269418</v>
      </c>
      <c r="AJ85">
        <f t="shared" ca="1" si="53"/>
        <v>637.1620473440413</v>
      </c>
      <c r="AM85">
        <v>0</v>
      </c>
      <c r="AN85">
        <v>0</v>
      </c>
      <c r="AO85">
        <f t="shared" si="54"/>
        <v>0</v>
      </c>
      <c r="AP85">
        <f t="shared" si="63"/>
        <v>0</v>
      </c>
      <c r="AQ85">
        <f t="shared" ca="1" si="55"/>
        <v>1</v>
      </c>
      <c r="AR85" t="str">
        <f t="shared" ca="1" si="56"/>
        <v>Supercritical</v>
      </c>
      <c r="AS85">
        <f t="shared" ca="1" si="57"/>
        <v>3.4353465716647821E-3</v>
      </c>
    </row>
    <row r="86" spans="1:45" x14ac:dyDescent="0.35">
      <c r="A86">
        <v>25</v>
      </c>
      <c r="B86">
        <v>24</v>
      </c>
      <c r="C86">
        <v>616533.60699999996</v>
      </c>
      <c r="D86">
        <v>3097752.0180000002</v>
      </c>
      <c r="E86">
        <v>634.25</v>
      </c>
      <c r="F86">
        <v>6.0019999999999998</v>
      </c>
      <c r="G86">
        <v>0</v>
      </c>
      <c r="H86" t="s">
        <v>154</v>
      </c>
      <c r="I86">
        <v>2.831</v>
      </c>
      <c r="J86">
        <f t="shared" si="58"/>
        <v>1.0010000000000012</v>
      </c>
      <c r="K86">
        <f t="shared" ca="1" si="59"/>
        <v>50.95</v>
      </c>
      <c r="L86">
        <f t="shared" ca="1" si="60"/>
        <v>1.9439083967369863</v>
      </c>
      <c r="M86">
        <f t="shared" ca="1" si="33"/>
        <v>11.667338197215392</v>
      </c>
      <c r="N86">
        <f t="shared" ca="1" si="34"/>
        <v>1.1797324905871218</v>
      </c>
      <c r="O86">
        <f t="shared" ca="1" si="35"/>
        <v>4.3668914999104151</v>
      </c>
      <c r="P86">
        <f t="shared" ca="1" si="36"/>
        <v>636.19390839673702</v>
      </c>
      <c r="Q86">
        <f t="shared" ca="1" si="37"/>
        <v>637.16586259510552</v>
      </c>
      <c r="R86">
        <f t="shared" ca="1" si="38"/>
        <v>3.442040167476229E-3</v>
      </c>
      <c r="S86">
        <f t="shared" ca="1" si="39"/>
        <v>1</v>
      </c>
      <c r="T86">
        <f t="shared" ca="1" si="40"/>
        <v>34.020355033705755</v>
      </c>
      <c r="U86">
        <f t="shared" ca="1" si="61"/>
        <v>-1.2037228721851534E-2</v>
      </c>
      <c r="V86">
        <f t="shared" ca="1" si="62"/>
        <v>1</v>
      </c>
      <c r="W86">
        <f t="shared" ca="1" si="41"/>
        <v>1.6752331833454308</v>
      </c>
      <c r="X86">
        <f t="shared" ca="1" si="42"/>
        <v>10.054749566439275</v>
      </c>
      <c r="Y86">
        <f t="shared" ca="1" si="43"/>
        <v>1.0750906950330898</v>
      </c>
      <c r="Z86">
        <f t="shared" ca="1" si="44"/>
        <v>5.0672569876887659</v>
      </c>
      <c r="AA86">
        <f t="shared" ca="1" si="45"/>
        <v>635.92523318334543</v>
      </c>
      <c r="AB86">
        <f t="shared" ca="1" si="46"/>
        <v>637.23395353906824</v>
      </c>
      <c r="AC86">
        <f t="shared" ca="1" si="47"/>
        <v>5.2456773496399409E-3</v>
      </c>
      <c r="AD86">
        <f t="shared" ca="1" si="48"/>
        <v>1.249973463106504</v>
      </c>
      <c r="AE86">
        <f t="shared" ca="1" si="49"/>
        <v>34.739735920550999</v>
      </c>
      <c r="AF86">
        <f t="shared" ca="1" si="50"/>
        <v>9.5877253976368593E-3</v>
      </c>
      <c r="AG86">
        <f t="shared" ca="1" si="51"/>
        <v>0</v>
      </c>
      <c r="AH86">
        <f ca="1">IFERROR(IF(V32="Supercritical",MAX($D$16,IFERROR(L86,MAX($D$16,POWER((ABS(K86)^2)/($I$5*MAX(F86,0.1)^2),1/3)))),IF(V32="Subcritical",MAX($D$16,IFERROR(W86,MAX($D$16,POWER((ABS(K86)^2)/($I$5*MAX(F86,0.1)^2),1/3)))),IF(AND(IFERROR(V86,0)=1,IFERROR(AG86,0)=1),IF(IFERROR(T86,-1E+99)&gt;=IFERROR(AE86,-1E+99),MAX($D$16,IFERROR(L86,MAX($D$16,POWER((ABS(K86)^2)/($I$5*MAX(F86,0.1)^2),1/3)))),MAX($D$16,IFERROR(W86,MAX($D$16,POWER((ABS(K86)^2)/($I$5*MAX(F86,0.1)^2),1/3))))),IF(IFERROR(V86,0)=1,MAX($D$16,IFERROR(L86,MAX($D$16,POWER((ABS(K86)^2)/($I$5*MAX(F86,0.1)^2),1/3)))),IF(IFERROR(AG86,0)=1,MAX($D$16,IFERROR(W86,MAX($D$16,POWER((ABS(K86)^2)/($I$5*MAX(F86,0.1)^2),1/3)))),MAX($D$16,POWER((ABS(K86)^2)/($I$5*MAX(F86,0.1)^2),1/3))))))),MAX($D$16,POWER((ABS(K86)^2)/($I$5*MAX(F86,0.1)^2),1/3)))</f>
        <v>1.9439083967369863</v>
      </c>
      <c r="AI86">
        <f t="shared" ca="1" si="52"/>
        <v>636.19390839673702</v>
      </c>
      <c r="AJ86">
        <f t="shared" ca="1" si="53"/>
        <v>637.16586259510552</v>
      </c>
      <c r="AM86">
        <v>0</v>
      </c>
      <c r="AN86">
        <v>0</v>
      </c>
      <c r="AO86">
        <f t="shared" si="54"/>
        <v>0</v>
      </c>
      <c r="AP86">
        <f t="shared" si="63"/>
        <v>0</v>
      </c>
      <c r="AQ86">
        <f t="shared" ca="1" si="55"/>
        <v>1</v>
      </c>
      <c r="AR86" t="str">
        <f t="shared" ca="1" si="56"/>
        <v>Supercritical</v>
      </c>
      <c r="AS86">
        <f t="shared" ca="1" si="57"/>
        <v>3.442040167476229E-3</v>
      </c>
    </row>
    <row r="87" spans="1:45" x14ac:dyDescent="0.35">
      <c r="A87">
        <v>26</v>
      </c>
      <c r="B87">
        <v>24.998999999999999</v>
      </c>
      <c r="C87">
        <v>616532.80099999998</v>
      </c>
      <c r="D87">
        <v>3097751.4270000001</v>
      </c>
      <c r="E87">
        <v>634.24800000000005</v>
      </c>
      <c r="F87">
        <v>6.0019999999999998</v>
      </c>
      <c r="G87">
        <v>0</v>
      </c>
      <c r="H87" t="s">
        <v>154</v>
      </c>
      <c r="I87">
        <v>2.91</v>
      </c>
      <c r="J87">
        <f t="shared" si="58"/>
        <v>0.99899999999999878</v>
      </c>
      <c r="K87">
        <f t="shared" ca="1" si="59"/>
        <v>50.95</v>
      </c>
      <c r="L87">
        <f t="shared" ca="1" si="60"/>
        <v>1.9439083967369863</v>
      </c>
      <c r="M87">
        <f t="shared" ca="1" si="33"/>
        <v>11.667338197215392</v>
      </c>
      <c r="N87">
        <f t="shared" ca="1" si="34"/>
        <v>1.1797324905871218</v>
      </c>
      <c r="O87">
        <f t="shared" ca="1" si="35"/>
        <v>4.3668914999104151</v>
      </c>
      <c r="P87">
        <f t="shared" ca="1" si="36"/>
        <v>636.19190839673706</v>
      </c>
      <c r="Q87">
        <f t="shared" ca="1" si="37"/>
        <v>637.16386259510557</v>
      </c>
      <c r="R87">
        <f t="shared" ca="1" si="38"/>
        <v>3.442040167476229E-3</v>
      </c>
      <c r="S87">
        <f t="shared" ca="1" si="39"/>
        <v>1</v>
      </c>
      <c r="T87">
        <f t="shared" ca="1" si="40"/>
        <v>34.020355033705755</v>
      </c>
      <c r="U87">
        <f t="shared" ca="1" si="61"/>
        <v>-6.1525759895175725E-3</v>
      </c>
      <c r="V87">
        <f t="shared" ca="1" si="62"/>
        <v>1</v>
      </c>
      <c r="W87">
        <f t="shared" ca="1" si="41"/>
        <v>1.6752533615524317</v>
      </c>
      <c r="X87">
        <f t="shared" ca="1" si="42"/>
        <v>10.054870676037694</v>
      </c>
      <c r="Y87">
        <f t="shared" ca="1" si="43"/>
        <v>1.0750990054032978</v>
      </c>
      <c r="Z87">
        <f t="shared" ca="1" si="44"/>
        <v>5.0671959532430089</v>
      </c>
      <c r="AA87">
        <f t="shared" ca="1" si="45"/>
        <v>635.9232533615525</v>
      </c>
      <c r="AB87">
        <f t="shared" ca="1" si="46"/>
        <v>637.23194219073503</v>
      </c>
      <c r="AC87">
        <f t="shared" ca="1" si="47"/>
        <v>5.2454969202779065E-3</v>
      </c>
      <c r="AD87">
        <f t="shared" ca="1" si="48"/>
        <v>1.2499508795248977</v>
      </c>
      <c r="AE87">
        <f t="shared" ca="1" si="49"/>
        <v>34.73962181521572</v>
      </c>
      <c r="AF87">
        <f t="shared" ca="1" si="50"/>
        <v>5.1691931561208548E-3</v>
      </c>
      <c r="AG87">
        <f t="shared" ca="1" si="51"/>
        <v>0</v>
      </c>
      <c r="AH87">
        <f ca="1">IFERROR(IF(V32="Supercritical",MAX($D$16,IFERROR(L87,MAX($D$16,POWER((ABS(K87)^2)/($I$5*MAX(F87,0.1)^2),1/3)))),IF(V32="Subcritical",MAX($D$16,IFERROR(W87,MAX($D$16,POWER((ABS(K87)^2)/($I$5*MAX(F87,0.1)^2),1/3)))),IF(AND(IFERROR(V87,0)=1,IFERROR(AG87,0)=1),IF(IFERROR(T87,-1E+99)&gt;=IFERROR(AE87,-1E+99),MAX($D$16,IFERROR(L87,MAX($D$16,POWER((ABS(K87)^2)/($I$5*MAX(F87,0.1)^2),1/3)))),MAX($D$16,IFERROR(W87,MAX($D$16,POWER((ABS(K87)^2)/($I$5*MAX(F87,0.1)^2),1/3))))),IF(IFERROR(V87,0)=1,MAX($D$16,IFERROR(L87,MAX($D$16,POWER((ABS(K87)^2)/($I$5*MAX(F87,0.1)^2),1/3)))),IF(IFERROR(AG87,0)=1,MAX($D$16,IFERROR(W87,MAX($D$16,POWER((ABS(K87)^2)/($I$5*MAX(F87,0.1)^2),1/3)))),MAX($D$16,POWER((ABS(K87)^2)/($I$5*MAX(F87,0.1)^2),1/3))))))),MAX($D$16,POWER((ABS(K87)^2)/($I$5*MAX(F87,0.1)^2),1/3)))</f>
        <v>1.9439083967369863</v>
      </c>
      <c r="AI87">
        <f t="shared" ca="1" si="52"/>
        <v>636.19190839673706</v>
      </c>
      <c r="AJ87">
        <f t="shared" ca="1" si="53"/>
        <v>637.16386259510557</v>
      </c>
      <c r="AM87">
        <v>0</v>
      </c>
      <c r="AN87">
        <v>0</v>
      </c>
      <c r="AO87">
        <f t="shared" si="54"/>
        <v>0</v>
      </c>
      <c r="AP87">
        <f t="shared" si="63"/>
        <v>0</v>
      </c>
      <c r="AQ87">
        <f t="shared" ca="1" si="55"/>
        <v>1</v>
      </c>
      <c r="AR87" t="str">
        <f t="shared" ca="1" si="56"/>
        <v>Supercritical</v>
      </c>
      <c r="AS87">
        <f t="shared" ca="1" si="57"/>
        <v>3.442040167476229E-3</v>
      </c>
    </row>
    <row r="88" spans="1:45" x14ac:dyDescent="0.35">
      <c r="A88">
        <v>27</v>
      </c>
      <c r="B88">
        <v>26</v>
      </c>
      <c r="C88">
        <v>616532.02500000002</v>
      </c>
      <c r="D88">
        <v>3097750.7949999999</v>
      </c>
      <c r="E88">
        <v>634.24599999999998</v>
      </c>
      <c r="F88">
        <v>6.016</v>
      </c>
      <c r="G88">
        <v>0</v>
      </c>
      <c r="H88" t="s">
        <v>154</v>
      </c>
      <c r="I88">
        <v>2.839</v>
      </c>
      <c r="J88">
        <f t="shared" si="58"/>
        <v>1.0010000000000012</v>
      </c>
      <c r="K88">
        <f t="shared" ca="1" si="59"/>
        <v>50.95</v>
      </c>
      <c r="L88">
        <f t="shared" ca="1" si="60"/>
        <v>1.9408914104958512</v>
      </c>
      <c r="M88">
        <f t="shared" ca="1" si="33"/>
        <v>11.67640272554304</v>
      </c>
      <c r="N88">
        <f t="shared" ca="1" si="34"/>
        <v>1.1796988211116488</v>
      </c>
      <c r="O88">
        <f t="shared" ca="1" si="35"/>
        <v>4.3635014308424722</v>
      </c>
      <c r="P88">
        <f t="shared" ca="1" si="36"/>
        <v>636.18689141049583</v>
      </c>
      <c r="Q88">
        <f t="shared" ca="1" si="37"/>
        <v>637.15733711574376</v>
      </c>
      <c r="R88">
        <f t="shared" ca="1" si="38"/>
        <v>3.4368288314063807E-3</v>
      </c>
      <c r="S88">
        <f t="shared" ca="1" si="39"/>
        <v>1</v>
      </c>
      <c r="T88">
        <f t="shared" ca="1" si="40"/>
        <v>33.993944633245256</v>
      </c>
      <c r="U88">
        <f t="shared" ca="1" si="61"/>
        <v>-1.9689057902496643E-3</v>
      </c>
      <c r="V88">
        <f t="shared" ca="1" si="62"/>
        <v>1</v>
      </c>
      <c r="W88">
        <f t="shared" ca="1" si="41"/>
        <v>1.6752331841405113</v>
      </c>
      <c r="X88">
        <f t="shared" ca="1" si="42"/>
        <v>10.078202835789316</v>
      </c>
      <c r="Y88">
        <f t="shared" ca="1" si="43"/>
        <v>1.0759877246683496</v>
      </c>
      <c r="Z88">
        <f t="shared" ca="1" si="44"/>
        <v>5.0554648313951747</v>
      </c>
      <c r="AA88">
        <f t="shared" ca="1" si="45"/>
        <v>635.92123318414053</v>
      </c>
      <c r="AB88">
        <f t="shared" ca="1" si="46"/>
        <v>637.22386950735529</v>
      </c>
      <c r="AC88">
        <f t="shared" ca="1" si="47"/>
        <v>5.2154879885406222E-3</v>
      </c>
      <c r="AD88">
        <f t="shared" ca="1" si="48"/>
        <v>1.2470646143989728</v>
      </c>
      <c r="AE88">
        <f t="shared" ca="1" si="49"/>
        <v>34.698136086756804</v>
      </c>
      <c r="AF88">
        <f t="shared" ca="1" si="50"/>
        <v>-5.9495043661058844E-2</v>
      </c>
      <c r="AG88">
        <f t="shared" ca="1" si="51"/>
        <v>0</v>
      </c>
      <c r="AH88">
        <f ca="1">IFERROR(IF(V32="Supercritical",MAX($D$16,IFERROR(L88,MAX($D$16,POWER((ABS(K88)^2)/($I$5*MAX(F88,0.1)^2),1/3)))),IF(V32="Subcritical",MAX($D$16,IFERROR(W88,MAX($D$16,POWER((ABS(K88)^2)/($I$5*MAX(F88,0.1)^2),1/3)))),IF(AND(IFERROR(V88,0)=1,IFERROR(AG88,0)=1),IF(IFERROR(T88,-1E+99)&gt;=IFERROR(AE88,-1E+99),MAX($D$16,IFERROR(L88,MAX($D$16,POWER((ABS(K88)^2)/($I$5*MAX(F88,0.1)^2),1/3)))),MAX($D$16,IFERROR(W88,MAX($D$16,POWER((ABS(K88)^2)/($I$5*MAX(F88,0.1)^2),1/3))))),IF(IFERROR(V88,0)=1,MAX($D$16,IFERROR(L88,MAX($D$16,POWER((ABS(K88)^2)/($I$5*MAX(F88,0.1)^2),1/3)))),IF(IFERROR(AG88,0)=1,MAX($D$16,IFERROR(W88,MAX($D$16,POWER((ABS(K88)^2)/($I$5*MAX(F88,0.1)^2),1/3)))),MAX($D$16,POWER((ABS(K88)^2)/($I$5*MAX(F88,0.1)^2),1/3))))))),MAX($D$16,POWER((ABS(K88)^2)/($I$5*MAX(F88,0.1)^2),1/3)))</f>
        <v>1.9408914104958512</v>
      </c>
      <c r="AI88">
        <f t="shared" ca="1" si="52"/>
        <v>636.18689141049583</v>
      </c>
      <c r="AJ88">
        <f t="shared" ca="1" si="53"/>
        <v>637.15733711574376</v>
      </c>
      <c r="AM88">
        <v>0</v>
      </c>
      <c r="AN88">
        <v>0</v>
      </c>
      <c r="AO88">
        <f t="shared" si="54"/>
        <v>0</v>
      </c>
      <c r="AP88">
        <f t="shared" si="63"/>
        <v>0</v>
      </c>
      <c r="AQ88">
        <f t="shared" ca="1" si="55"/>
        <v>1</v>
      </c>
      <c r="AR88" t="str">
        <f t="shared" ca="1" si="56"/>
        <v>Supercritical</v>
      </c>
      <c r="AS88">
        <f t="shared" ca="1" si="57"/>
        <v>3.4368288314063807E-3</v>
      </c>
    </row>
    <row r="89" spans="1:45" x14ac:dyDescent="0.35">
      <c r="A89">
        <v>28</v>
      </c>
      <c r="B89">
        <v>27</v>
      </c>
      <c r="C89">
        <v>616531.28200000001</v>
      </c>
      <c r="D89">
        <v>3097750.1260000002</v>
      </c>
      <c r="E89">
        <v>634.18349999999998</v>
      </c>
      <c r="F89">
        <v>6.0439999999999996</v>
      </c>
      <c r="G89">
        <v>0</v>
      </c>
      <c r="H89" t="s">
        <v>154</v>
      </c>
      <c r="I89">
        <v>2.8780000000000001</v>
      </c>
      <c r="J89">
        <f t="shared" si="58"/>
        <v>1</v>
      </c>
      <c r="K89">
        <f t="shared" ca="1" si="59"/>
        <v>50.95</v>
      </c>
      <c r="L89">
        <f t="shared" ca="1" si="60"/>
        <v>1.9348924024752561</v>
      </c>
      <c r="M89">
        <f t="shared" ca="1" si="33"/>
        <v>11.694489680560446</v>
      </c>
      <c r="N89">
        <f t="shared" ca="1" si="34"/>
        <v>1.1796190769362604</v>
      </c>
      <c r="O89">
        <f t="shared" ca="1" si="35"/>
        <v>4.3567527435329936</v>
      </c>
      <c r="P89">
        <f t="shared" ca="1" si="36"/>
        <v>636.11839240247525</v>
      </c>
      <c r="Q89">
        <f t="shared" ca="1" si="37"/>
        <v>637.08583860371289</v>
      </c>
      <c r="R89">
        <f t="shared" ca="1" si="38"/>
        <v>3.4265149285901413E-3</v>
      </c>
      <c r="S89">
        <f t="shared" ca="1" si="39"/>
        <v>1.0000000000000002</v>
      </c>
      <c r="T89">
        <f t="shared" ca="1" si="40"/>
        <v>33.941368850612541</v>
      </c>
      <c r="U89">
        <f t="shared" ca="1" si="61"/>
        <v>6.2512084381637578E-2</v>
      </c>
      <c r="V89">
        <f t="shared" ca="1" si="62"/>
        <v>1</v>
      </c>
      <c r="W89">
        <f t="shared" ca="1" si="41"/>
        <v>1.6752533622949204</v>
      </c>
      <c r="X89">
        <f t="shared" ca="1" si="42"/>
        <v>10.125231321710498</v>
      </c>
      <c r="Y89">
        <f t="shared" ca="1" si="43"/>
        <v>1.0777821144358763</v>
      </c>
      <c r="Z89">
        <f t="shared" ca="1" si="44"/>
        <v>5.03198380176788</v>
      </c>
      <c r="AA89">
        <f t="shared" ca="1" si="45"/>
        <v>635.85875336229492</v>
      </c>
      <c r="AB89">
        <f t="shared" ca="1" si="46"/>
        <v>637.14931712280736</v>
      </c>
      <c r="AC89">
        <f t="shared" ca="1" si="47"/>
        <v>5.1556847873545702E-3</v>
      </c>
      <c r="AD89">
        <f t="shared" ca="1" si="48"/>
        <v>1.2412649195765819</v>
      </c>
      <c r="AE89">
        <f t="shared" ca="1" si="49"/>
        <v>34.61567712906502</v>
      </c>
      <c r="AF89">
        <f t="shared" ca="1" si="50"/>
        <v>-6.5186239446688887E-2</v>
      </c>
      <c r="AG89">
        <f t="shared" ca="1" si="51"/>
        <v>0</v>
      </c>
      <c r="AH89">
        <f ca="1">IFERROR(IF(V32="Supercritical",MAX($D$16,IFERROR(L89,MAX($D$16,POWER((ABS(K89)^2)/($I$5*MAX(F89,0.1)^2),1/3)))),IF(V32="Subcritical",MAX($D$16,IFERROR(W89,MAX($D$16,POWER((ABS(K89)^2)/($I$5*MAX(F89,0.1)^2),1/3)))),IF(AND(IFERROR(V89,0)=1,IFERROR(AG89,0)=1),IF(IFERROR(T89,-1E+99)&gt;=IFERROR(AE89,-1E+99),MAX($D$16,IFERROR(L89,MAX($D$16,POWER((ABS(K89)^2)/($I$5*MAX(F89,0.1)^2),1/3)))),MAX($D$16,IFERROR(W89,MAX($D$16,POWER((ABS(K89)^2)/($I$5*MAX(F89,0.1)^2),1/3))))),IF(IFERROR(V89,0)=1,MAX($D$16,IFERROR(L89,MAX($D$16,POWER((ABS(K89)^2)/($I$5*MAX(F89,0.1)^2),1/3)))),IF(IFERROR(AG89,0)=1,MAX($D$16,IFERROR(W89,MAX($D$16,POWER((ABS(K89)^2)/($I$5*MAX(F89,0.1)^2),1/3)))),MAX($D$16,POWER((ABS(K89)^2)/($I$5*MAX(F89,0.1)^2),1/3))))))),MAX($D$16,POWER((ABS(K89)^2)/($I$5*MAX(F89,0.1)^2),1/3)))</f>
        <v>1.9348924024752561</v>
      </c>
      <c r="AI89">
        <f t="shared" ca="1" si="52"/>
        <v>636.11839240247525</v>
      </c>
      <c r="AJ89">
        <f t="shared" ca="1" si="53"/>
        <v>637.08583860371289</v>
      </c>
      <c r="AM89">
        <v>0</v>
      </c>
      <c r="AN89">
        <v>0</v>
      </c>
      <c r="AO89">
        <f t="shared" si="54"/>
        <v>0</v>
      </c>
      <c r="AP89">
        <f t="shared" si="63"/>
        <v>0</v>
      </c>
      <c r="AQ89">
        <f t="shared" ca="1" si="55"/>
        <v>1.0000000000000002</v>
      </c>
      <c r="AR89" t="str">
        <f t="shared" ca="1" si="56"/>
        <v>Supercritical</v>
      </c>
      <c r="AS89">
        <f t="shared" ca="1" si="57"/>
        <v>3.4265149285901413E-3</v>
      </c>
    </row>
    <row r="90" spans="1:45" x14ac:dyDescent="0.35">
      <c r="A90">
        <v>29</v>
      </c>
      <c r="B90">
        <v>27.998999999999999</v>
      </c>
      <c r="C90">
        <v>616530.57400000002</v>
      </c>
      <c r="D90">
        <v>3097749.4210000001</v>
      </c>
      <c r="E90">
        <v>634.12099999999998</v>
      </c>
      <c r="F90">
        <v>6.0910000000000002</v>
      </c>
      <c r="G90">
        <v>0</v>
      </c>
      <c r="H90" t="s">
        <v>154</v>
      </c>
      <c r="I90">
        <v>2.8359999999999999</v>
      </c>
      <c r="J90">
        <f t="shared" si="58"/>
        <v>0.99899999999999878</v>
      </c>
      <c r="K90">
        <f t="shared" ca="1" si="59"/>
        <v>50.95</v>
      </c>
      <c r="L90">
        <f t="shared" ca="1" si="60"/>
        <v>1.9249260806699735</v>
      </c>
      <c r="M90">
        <f t="shared" ca="1" si="33"/>
        <v>11.724724757360809</v>
      </c>
      <c r="N90">
        <f t="shared" ca="1" si="34"/>
        <v>1.1794486596388947</v>
      </c>
      <c r="O90">
        <f t="shared" ca="1" si="35"/>
        <v>4.3455177886383627</v>
      </c>
      <c r="P90">
        <f t="shared" ca="1" si="36"/>
        <v>636.04592608066991</v>
      </c>
      <c r="Q90">
        <f t="shared" ca="1" si="37"/>
        <v>637.00838912100494</v>
      </c>
      <c r="R90">
        <f t="shared" ca="1" si="38"/>
        <v>3.4095222376711418E-3</v>
      </c>
      <c r="S90">
        <f t="shared" ca="1" si="39"/>
        <v>1</v>
      </c>
      <c r="T90">
        <f t="shared" ca="1" si="40"/>
        <v>33.85384271118113</v>
      </c>
      <c r="U90">
        <f t="shared" ca="1" si="61"/>
        <v>6.7967138161520779E-2</v>
      </c>
      <c r="V90">
        <f t="shared" ca="1" si="62"/>
        <v>1</v>
      </c>
      <c r="W90">
        <f t="shared" ca="1" si="41"/>
        <v>1.6752331848339042</v>
      </c>
      <c r="X90">
        <f t="shared" ca="1" si="42"/>
        <v>10.203845328823311</v>
      </c>
      <c r="Y90">
        <f t="shared" ca="1" si="43"/>
        <v>1.0807479399179736</v>
      </c>
      <c r="Z90">
        <f t="shared" ca="1" si="44"/>
        <v>4.993215631765703</v>
      </c>
      <c r="AA90">
        <f t="shared" ca="1" si="45"/>
        <v>635.79623318483391</v>
      </c>
      <c r="AB90">
        <f t="shared" ca="1" si="46"/>
        <v>637.06698763668453</v>
      </c>
      <c r="AC90">
        <f t="shared" ca="1" si="47"/>
        <v>5.0579819188805572E-3</v>
      </c>
      <c r="AD90">
        <f t="shared" ca="1" si="48"/>
        <v>1.2317091964482514</v>
      </c>
      <c r="AE90">
        <f t="shared" ca="1" si="49"/>
        <v>34.480073909073575</v>
      </c>
      <c r="AF90">
        <f t="shared" ca="1" si="50"/>
        <v>-6.9709892495893655E-2</v>
      </c>
      <c r="AG90">
        <f t="shared" ca="1" si="51"/>
        <v>0</v>
      </c>
      <c r="AH90">
        <f ca="1">IFERROR(IF(V32="Supercritical",MAX($D$16,IFERROR(L90,MAX($D$16,POWER((ABS(K90)^2)/($I$5*MAX(F90,0.1)^2),1/3)))),IF(V32="Subcritical",MAX($D$16,IFERROR(W90,MAX($D$16,POWER((ABS(K90)^2)/($I$5*MAX(F90,0.1)^2),1/3)))),IF(AND(IFERROR(V90,0)=1,IFERROR(AG90,0)=1),IF(IFERROR(T90,-1E+99)&gt;=IFERROR(AE90,-1E+99),MAX($D$16,IFERROR(L90,MAX($D$16,POWER((ABS(K90)^2)/($I$5*MAX(F90,0.1)^2),1/3)))),MAX($D$16,IFERROR(W90,MAX($D$16,POWER((ABS(K90)^2)/($I$5*MAX(F90,0.1)^2),1/3))))),IF(IFERROR(V90,0)=1,MAX($D$16,IFERROR(L90,MAX($D$16,POWER((ABS(K90)^2)/($I$5*MAX(F90,0.1)^2),1/3)))),IF(IFERROR(AG90,0)=1,MAX($D$16,IFERROR(W90,MAX($D$16,POWER((ABS(K90)^2)/($I$5*MAX(F90,0.1)^2),1/3)))),MAX($D$16,POWER((ABS(K90)^2)/($I$5*MAX(F90,0.1)^2),1/3))))))),MAX($D$16,POWER((ABS(K90)^2)/($I$5*MAX(F90,0.1)^2),1/3)))</f>
        <v>1.9249260806699735</v>
      </c>
      <c r="AI90">
        <f t="shared" ca="1" si="52"/>
        <v>636.04592608066991</v>
      </c>
      <c r="AJ90">
        <f t="shared" ca="1" si="53"/>
        <v>637.00838912100494</v>
      </c>
      <c r="AM90">
        <v>0</v>
      </c>
      <c r="AN90">
        <v>0</v>
      </c>
      <c r="AO90">
        <f t="shared" si="54"/>
        <v>0</v>
      </c>
      <c r="AP90">
        <f t="shared" si="63"/>
        <v>0</v>
      </c>
      <c r="AQ90">
        <f t="shared" ca="1" si="55"/>
        <v>1</v>
      </c>
      <c r="AR90" t="str">
        <f t="shared" ca="1" si="56"/>
        <v>Supercritical</v>
      </c>
      <c r="AS90">
        <f t="shared" ca="1" si="57"/>
        <v>3.4095222376711418E-3</v>
      </c>
    </row>
    <row r="91" spans="1:45" x14ac:dyDescent="0.35">
      <c r="A91">
        <v>30</v>
      </c>
      <c r="B91">
        <v>28.998999999999999</v>
      </c>
      <c r="C91">
        <v>616529.90099999995</v>
      </c>
      <c r="D91">
        <v>3097748.6809999999</v>
      </c>
      <c r="E91">
        <v>634.05849999999998</v>
      </c>
      <c r="F91">
        <v>6.1550000000000002</v>
      </c>
      <c r="G91">
        <v>0</v>
      </c>
      <c r="H91" t="s">
        <v>154</v>
      </c>
      <c r="I91">
        <v>2.927</v>
      </c>
      <c r="J91">
        <f t="shared" si="58"/>
        <v>1</v>
      </c>
      <c r="K91">
        <f t="shared" ca="1" si="59"/>
        <v>50.95</v>
      </c>
      <c r="L91">
        <f t="shared" ca="1" si="60"/>
        <v>1.9115591962641187</v>
      </c>
      <c r="M91">
        <f t="shared" ca="1" si="33"/>
        <v>11.765646853005652</v>
      </c>
      <c r="N91">
        <f t="shared" ca="1" si="34"/>
        <v>1.1791448437629224</v>
      </c>
      <c r="O91">
        <f t="shared" ca="1" si="35"/>
        <v>4.3304036434668545</v>
      </c>
      <c r="P91">
        <f t="shared" ca="1" si="36"/>
        <v>635.97005919626406</v>
      </c>
      <c r="Q91">
        <f t="shared" ca="1" si="37"/>
        <v>636.9258387943961</v>
      </c>
      <c r="R91">
        <f t="shared" ca="1" si="38"/>
        <v>3.3870094012907513E-3</v>
      </c>
      <c r="S91">
        <f t="shared" ca="1" si="39"/>
        <v>1</v>
      </c>
      <c r="T91">
        <f t="shared" ca="1" si="40"/>
        <v>33.736095662788415</v>
      </c>
      <c r="U91">
        <f t="shared" ca="1" si="61"/>
        <v>7.2451812596796117E-2</v>
      </c>
      <c r="V91">
        <f t="shared" ca="1" si="62"/>
        <v>1</v>
      </c>
      <c r="W91">
        <f t="shared" ca="1" si="41"/>
        <v>1.6752533629424748</v>
      </c>
      <c r="X91">
        <f t="shared" ca="1" si="42"/>
        <v>10.311184448910932</v>
      </c>
      <c r="Y91">
        <f t="shared" ca="1" si="43"/>
        <v>1.0847590503336344</v>
      </c>
      <c r="Z91">
        <f t="shared" ca="1" si="44"/>
        <v>4.9412364071696286</v>
      </c>
      <c r="AA91">
        <f t="shared" ca="1" si="45"/>
        <v>635.73375336294248</v>
      </c>
      <c r="AB91">
        <f t="shared" ca="1" si="46"/>
        <v>636.97818849197097</v>
      </c>
      <c r="AC91">
        <f t="shared" ca="1" si="47"/>
        <v>4.9288175306340838E-3</v>
      </c>
      <c r="AD91">
        <f t="shared" ca="1" si="48"/>
        <v>1.2188798000927688</v>
      </c>
      <c r="AE91">
        <f t="shared" ca="1" si="49"/>
        <v>34.300123512212792</v>
      </c>
      <c r="AF91">
        <f t="shared" ca="1" si="50"/>
        <v>-7.49226330926831E-2</v>
      </c>
      <c r="AG91">
        <f t="shared" ca="1" si="51"/>
        <v>0</v>
      </c>
      <c r="AH91">
        <f ca="1">IFERROR(IF(V32="Supercritical",MAX($D$16,IFERROR(L91,MAX($D$16,POWER((ABS(K91)^2)/($I$5*MAX(F91,0.1)^2),1/3)))),IF(V32="Subcritical",MAX($D$16,IFERROR(W91,MAX($D$16,POWER((ABS(K91)^2)/($I$5*MAX(F91,0.1)^2),1/3)))),IF(AND(IFERROR(V91,0)=1,IFERROR(AG91,0)=1),IF(IFERROR(T91,-1E+99)&gt;=IFERROR(AE91,-1E+99),MAX($D$16,IFERROR(L91,MAX($D$16,POWER((ABS(K91)^2)/($I$5*MAX(F91,0.1)^2),1/3)))),MAX($D$16,IFERROR(W91,MAX($D$16,POWER((ABS(K91)^2)/($I$5*MAX(F91,0.1)^2),1/3))))),IF(IFERROR(V91,0)=1,MAX($D$16,IFERROR(L91,MAX($D$16,POWER((ABS(K91)^2)/($I$5*MAX(F91,0.1)^2),1/3)))),IF(IFERROR(AG91,0)=1,MAX($D$16,IFERROR(W91,MAX($D$16,POWER((ABS(K91)^2)/($I$5*MAX(F91,0.1)^2),1/3)))),MAX($D$16,POWER((ABS(K91)^2)/($I$5*MAX(F91,0.1)^2),1/3))))))),MAX($D$16,POWER((ABS(K91)^2)/($I$5*MAX(F91,0.1)^2),1/3)))</f>
        <v>1.9115591962641187</v>
      </c>
      <c r="AI91">
        <f t="shared" ca="1" si="52"/>
        <v>635.97005919626406</v>
      </c>
      <c r="AJ91">
        <f t="shared" ca="1" si="53"/>
        <v>636.9258387943961</v>
      </c>
      <c r="AM91">
        <v>0</v>
      </c>
      <c r="AN91">
        <v>0</v>
      </c>
      <c r="AO91">
        <f t="shared" si="54"/>
        <v>0</v>
      </c>
      <c r="AP91">
        <f t="shared" si="63"/>
        <v>0</v>
      </c>
      <c r="AQ91">
        <f t="shared" ca="1" si="55"/>
        <v>1</v>
      </c>
      <c r="AR91" t="str">
        <f t="shared" ca="1" si="56"/>
        <v>Supercritical</v>
      </c>
      <c r="AS91">
        <f t="shared" ca="1" si="57"/>
        <v>3.3870094012907513E-3</v>
      </c>
    </row>
    <row r="92" spans="1:45" x14ac:dyDescent="0.35">
      <c r="A92">
        <v>31</v>
      </c>
      <c r="B92">
        <v>29.998999999999999</v>
      </c>
      <c r="C92">
        <v>616529.26699999999</v>
      </c>
      <c r="D92">
        <v>3097747.9079999998</v>
      </c>
      <c r="E92">
        <v>633.99599999999998</v>
      </c>
      <c r="F92">
        <v>6.2380000000000004</v>
      </c>
      <c r="G92">
        <v>0</v>
      </c>
      <c r="H92" t="s">
        <v>154</v>
      </c>
      <c r="I92">
        <v>2.7749999999999999</v>
      </c>
      <c r="J92">
        <f t="shared" si="58"/>
        <v>1</v>
      </c>
      <c r="K92">
        <f t="shared" ca="1" si="59"/>
        <v>50.95</v>
      </c>
      <c r="L92">
        <f t="shared" ca="1" si="60"/>
        <v>1.8945651434768442</v>
      </c>
      <c r="M92">
        <f t="shared" ca="1" si="33"/>
        <v>11.818297365008554</v>
      </c>
      <c r="N92">
        <f t="shared" ca="1" si="34"/>
        <v>1.1786320738631824</v>
      </c>
      <c r="O92">
        <f t="shared" ca="1" si="35"/>
        <v>4.3111116962458595</v>
      </c>
      <c r="P92">
        <f t="shared" ca="1" si="36"/>
        <v>635.89056514347681</v>
      </c>
      <c r="Q92">
        <f t="shared" ca="1" si="37"/>
        <v>636.83784771521528</v>
      </c>
      <c r="R92">
        <f t="shared" ca="1" si="38"/>
        <v>3.3588457600334434E-3</v>
      </c>
      <c r="S92">
        <f t="shared" ca="1" si="39"/>
        <v>1.0000000000000004</v>
      </c>
      <c r="T92">
        <f t="shared" ca="1" si="40"/>
        <v>33.585801364484176</v>
      </c>
      <c r="U92">
        <f t="shared" ca="1" si="61"/>
        <v>7.7648563040725094E-2</v>
      </c>
      <c r="V92">
        <f t="shared" ca="1" si="62"/>
        <v>1</v>
      </c>
      <c r="W92">
        <f t="shared" ca="1" si="41"/>
        <v>1.6752331854386386</v>
      </c>
      <c r="X92">
        <f t="shared" ca="1" si="42"/>
        <v>10.450104610766228</v>
      </c>
      <c r="Y92">
        <f t="shared" ca="1" si="43"/>
        <v>1.0898619452330744</v>
      </c>
      <c r="Z92">
        <f t="shared" ca="1" si="44"/>
        <v>4.8755492789525503</v>
      </c>
      <c r="AA92">
        <f t="shared" ca="1" si="45"/>
        <v>635.67123318543861</v>
      </c>
      <c r="AB92">
        <f t="shared" ca="1" si="46"/>
        <v>636.8828020320999</v>
      </c>
      <c r="AC92">
        <f t="shared" ca="1" si="47"/>
        <v>4.7687106037465838E-3</v>
      </c>
      <c r="AD92">
        <f t="shared" ca="1" si="48"/>
        <v>1.2026836664802738</v>
      </c>
      <c r="AE92">
        <f t="shared" ca="1" si="49"/>
        <v>34.07522339914243</v>
      </c>
      <c r="AF92">
        <f t="shared" ca="1" si="50"/>
        <v>0.11423866438337882</v>
      </c>
      <c r="AG92">
        <f t="shared" ca="1" si="51"/>
        <v>0</v>
      </c>
      <c r="AH92">
        <f ca="1">IFERROR(IF(V32="Supercritical",MAX($D$16,IFERROR(L92,MAX($D$16,POWER((ABS(K92)^2)/($I$5*MAX(F92,0.1)^2),1/3)))),IF(V32="Subcritical",MAX($D$16,IFERROR(W92,MAX($D$16,POWER((ABS(K92)^2)/($I$5*MAX(F92,0.1)^2),1/3)))),IF(AND(IFERROR(V92,0)=1,IFERROR(AG92,0)=1),IF(IFERROR(T92,-1E+99)&gt;=IFERROR(AE92,-1E+99),MAX($D$16,IFERROR(L92,MAX($D$16,POWER((ABS(K92)^2)/($I$5*MAX(F92,0.1)^2),1/3)))),MAX($D$16,IFERROR(W92,MAX($D$16,POWER((ABS(K92)^2)/($I$5*MAX(F92,0.1)^2),1/3))))),IF(IFERROR(V92,0)=1,MAX($D$16,IFERROR(L92,MAX($D$16,POWER((ABS(K92)^2)/($I$5*MAX(F92,0.1)^2),1/3)))),IF(IFERROR(AG92,0)=1,MAX($D$16,IFERROR(W92,MAX($D$16,POWER((ABS(K92)^2)/($I$5*MAX(F92,0.1)^2),1/3)))),MAX($D$16,POWER((ABS(K92)^2)/($I$5*MAX(F92,0.1)^2),1/3))))))),MAX($D$16,POWER((ABS(K92)^2)/($I$5*MAX(F92,0.1)^2),1/3)))</f>
        <v>1.8945651434768442</v>
      </c>
      <c r="AI92">
        <f t="shared" ca="1" si="52"/>
        <v>635.89056514347681</v>
      </c>
      <c r="AJ92">
        <f t="shared" ca="1" si="53"/>
        <v>636.83784771521528</v>
      </c>
      <c r="AM92">
        <v>0</v>
      </c>
      <c r="AN92">
        <v>0</v>
      </c>
      <c r="AO92">
        <f t="shared" si="54"/>
        <v>0</v>
      </c>
      <c r="AP92">
        <f t="shared" si="63"/>
        <v>0</v>
      </c>
      <c r="AQ92">
        <f t="shared" ca="1" si="55"/>
        <v>1.0000000000000004</v>
      </c>
      <c r="AR92" t="str">
        <f t="shared" ca="1" si="56"/>
        <v>Supercritical</v>
      </c>
      <c r="AS92">
        <f t="shared" ca="1" si="57"/>
        <v>3.3588457600334434E-3</v>
      </c>
    </row>
    <row r="93" spans="1:45" x14ac:dyDescent="0.35">
      <c r="A93">
        <v>32</v>
      </c>
      <c r="B93">
        <v>30.998999999999999</v>
      </c>
      <c r="C93">
        <v>616528.67099999997</v>
      </c>
      <c r="D93">
        <v>3097747.105</v>
      </c>
      <c r="E93">
        <v>633.99400000000003</v>
      </c>
      <c r="F93">
        <v>6</v>
      </c>
      <c r="G93">
        <v>0</v>
      </c>
      <c r="H93" t="s">
        <v>154</v>
      </c>
      <c r="I93">
        <v>1.5589999999999999</v>
      </c>
      <c r="J93">
        <f t="shared" si="58"/>
        <v>1</v>
      </c>
      <c r="K93">
        <f t="shared" ca="1" si="59"/>
        <v>50.95</v>
      </c>
      <c r="L93">
        <f t="shared" ca="1" si="60"/>
        <v>1.944340352385391</v>
      </c>
      <c r="M93">
        <f t="shared" ca="1" si="33"/>
        <v>11.666042114312347</v>
      </c>
      <c r="N93">
        <f t="shared" ca="1" si="34"/>
        <v>1.1797369601269541</v>
      </c>
      <c r="O93">
        <f t="shared" ca="1" si="35"/>
        <v>4.3673766561748133</v>
      </c>
      <c r="P93">
        <f t="shared" ca="1" si="36"/>
        <v>635.93834035238547</v>
      </c>
      <c r="Q93">
        <f t="shared" ca="1" si="37"/>
        <v>636.91051052857813</v>
      </c>
      <c r="R93">
        <f t="shared" ca="1" si="38"/>
        <v>3.4427876316445592E-3</v>
      </c>
      <c r="S93">
        <f t="shared" ca="1" si="39"/>
        <v>1.0000000000000002</v>
      </c>
      <c r="T93">
        <f t="shared" ca="1" si="40"/>
        <v>34.024134653227321</v>
      </c>
      <c r="U93">
        <f t="shared" ca="1" si="61"/>
        <v>-8.1078412678607492E-2</v>
      </c>
      <c r="V93">
        <f t="shared" ca="1" si="62"/>
        <v>1</v>
      </c>
      <c r="W93">
        <f t="shared" ca="1" si="41"/>
        <v>1.6752533635071858</v>
      </c>
      <c r="X93">
        <f t="shared" ca="1" si="42"/>
        <v>10.051520181043115</v>
      </c>
      <c r="Y93">
        <f t="shared" ca="1" si="43"/>
        <v>1.0749706379017363</v>
      </c>
      <c r="Z93">
        <f t="shared" ca="1" si="44"/>
        <v>5.0688850126461737</v>
      </c>
      <c r="AA93">
        <f t="shared" ca="1" si="45"/>
        <v>635.66925336350721</v>
      </c>
      <c r="AB93">
        <f t="shared" ca="1" si="46"/>
        <v>636.97881479426303</v>
      </c>
      <c r="AC93">
        <f t="shared" ca="1" si="47"/>
        <v>5.2498302495809172E-3</v>
      </c>
      <c r="AD93">
        <f t="shared" ca="1" si="48"/>
        <v>1.2503675276296027</v>
      </c>
      <c r="AE93">
        <f t="shared" ca="1" si="49"/>
        <v>34.745587794941869</v>
      </c>
      <c r="AF93">
        <f t="shared" ca="1" si="50"/>
        <v>3.4244384402200012E-3</v>
      </c>
      <c r="AG93">
        <f t="shared" ca="1" si="51"/>
        <v>0</v>
      </c>
      <c r="AH93">
        <f ca="1">IFERROR(IF(V32="Supercritical",MAX($D$16,IFERROR(L93,MAX($D$16,POWER((ABS(K93)^2)/($I$5*MAX(F93,0.1)^2),1/3)))),IF(V32="Subcritical",MAX($D$16,IFERROR(W93,MAX($D$16,POWER((ABS(K93)^2)/($I$5*MAX(F93,0.1)^2),1/3)))),IF(AND(IFERROR(V93,0)=1,IFERROR(AG93,0)=1),IF(IFERROR(T93,-1E+99)&gt;=IFERROR(AE93,-1E+99),MAX($D$16,IFERROR(L93,MAX($D$16,POWER((ABS(K93)^2)/($I$5*MAX(F93,0.1)^2),1/3)))),MAX($D$16,IFERROR(W93,MAX($D$16,POWER((ABS(K93)^2)/($I$5*MAX(F93,0.1)^2),1/3))))),IF(IFERROR(V93,0)=1,MAX($D$16,IFERROR(L93,MAX($D$16,POWER((ABS(K93)^2)/($I$5*MAX(F93,0.1)^2),1/3)))),IF(IFERROR(AG93,0)=1,MAX($D$16,IFERROR(W93,MAX($D$16,POWER((ABS(K93)^2)/($I$5*MAX(F93,0.1)^2),1/3)))),MAX($D$16,POWER((ABS(K93)^2)/($I$5*MAX(F93,0.1)^2),1/3))))))),MAX($D$16,POWER((ABS(K93)^2)/($I$5*MAX(F93,0.1)^2),1/3)))</f>
        <v>1.944340352385391</v>
      </c>
      <c r="AI93">
        <f t="shared" ca="1" si="52"/>
        <v>635.93834035238547</v>
      </c>
      <c r="AJ93">
        <f t="shared" ca="1" si="53"/>
        <v>636.91051052857813</v>
      </c>
      <c r="AM93">
        <v>0</v>
      </c>
      <c r="AN93">
        <v>0</v>
      </c>
      <c r="AO93">
        <f t="shared" si="54"/>
        <v>0</v>
      </c>
      <c r="AP93">
        <f t="shared" si="63"/>
        <v>0</v>
      </c>
      <c r="AQ93">
        <f t="shared" ca="1" si="55"/>
        <v>1.0000000000000002</v>
      </c>
      <c r="AR93" t="str">
        <f t="shared" ca="1" si="56"/>
        <v>Supercritical</v>
      </c>
      <c r="AS93">
        <f t="shared" ca="1" si="57"/>
        <v>3.4427876316445592E-3</v>
      </c>
    </row>
    <row r="94" spans="1:45" x14ac:dyDescent="0.35">
      <c r="A94">
        <v>33</v>
      </c>
      <c r="B94">
        <v>31.998999999999999</v>
      </c>
      <c r="C94">
        <v>616528.09699999995</v>
      </c>
      <c r="D94">
        <v>3097746.2859999998</v>
      </c>
      <c r="E94">
        <v>633.99199999999996</v>
      </c>
      <c r="F94">
        <v>6</v>
      </c>
      <c r="G94">
        <v>0</v>
      </c>
      <c r="H94" t="s">
        <v>154</v>
      </c>
      <c r="I94">
        <v>0.08</v>
      </c>
      <c r="J94">
        <f t="shared" si="58"/>
        <v>1</v>
      </c>
      <c r="K94">
        <f t="shared" ca="1" si="59"/>
        <v>50.95</v>
      </c>
      <c r="L94">
        <f t="shared" ca="1" si="60"/>
        <v>1.944340352385391</v>
      </c>
      <c r="M94">
        <f t="shared" ca="1" si="33"/>
        <v>11.666042114312347</v>
      </c>
      <c r="N94">
        <f t="shared" ca="1" si="34"/>
        <v>1.1797369601269541</v>
      </c>
      <c r="O94">
        <f t="shared" ca="1" si="35"/>
        <v>4.3673766561748133</v>
      </c>
      <c r="P94">
        <f t="shared" ca="1" si="36"/>
        <v>635.9363403523854</v>
      </c>
      <c r="Q94">
        <f t="shared" ca="1" si="37"/>
        <v>636.90851052857806</v>
      </c>
      <c r="R94">
        <f t="shared" ca="1" si="38"/>
        <v>3.4427876316445592E-3</v>
      </c>
      <c r="S94">
        <f t="shared" ca="1" si="39"/>
        <v>1.0000000000000002</v>
      </c>
      <c r="T94">
        <f t="shared" ca="1" si="40"/>
        <v>34.024134653227321</v>
      </c>
      <c r="U94">
        <f t="shared" ca="1" si="61"/>
        <v>-1.5724103217280572E-3</v>
      </c>
      <c r="V94">
        <f t="shared" ca="1" si="62"/>
        <v>1</v>
      </c>
      <c r="W94">
        <f t="shared" ca="1" si="41"/>
        <v>1.6752331859660035</v>
      </c>
      <c r="X94">
        <f t="shared" ca="1" si="42"/>
        <v>10.05139911579602</v>
      </c>
      <c r="Y94">
        <f t="shared" ca="1" si="43"/>
        <v>1.0749623297901005</v>
      </c>
      <c r="Z94">
        <f t="shared" ca="1" si="44"/>
        <v>5.0689460654219598</v>
      </c>
      <c r="AA94">
        <f t="shared" ca="1" si="45"/>
        <v>635.66723318596598</v>
      </c>
      <c r="AB94">
        <f t="shared" ca="1" si="46"/>
        <v>636.97682616324209</v>
      </c>
      <c r="AC94">
        <f t="shared" ca="1" si="47"/>
        <v>5.2500108155770844E-3</v>
      </c>
      <c r="AD94">
        <f t="shared" ca="1" si="48"/>
        <v>1.2503901179935555</v>
      </c>
      <c r="AE94">
        <f t="shared" ca="1" si="49"/>
        <v>34.745702069776428</v>
      </c>
      <c r="AF94">
        <f t="shared" ca="1" si="50"/>
        <v>3.4246232125951792E-3</v>
      </c>
      <c r="AG94">
        <f t="shared" ca="1" si="51"/>
        <v>0</v>
      </c>
      <c r="AH94">
        <f ca="1">IFERROR(IF(V32="Supercritical",MAX($D$16,IFERROR(L94,MAX($D$16,POWER((ABS(K94)^2)/($I$5*MAX(F94,0.1)^2),1/3)))),IF(V32="Subcritical",MAX($D$16,IFERROR(W94,MAX($D$16,POWER((ABS(K94)^2)/($I$5*MAX(F94,0.1)^2),1/3)))),IF(AND(IFERROR(V94,0)=1,IFERROR(AG94,0)=1),IF(IFERROR(T94,-1E+99)&gt;=IFERROR(AE94,-1E+99),MAX($D$16,IFERROR(L94,MAX($D$16,POWER((ABS(K94)^2)/($I$5*MAX(F94,0.1)^2),1/3)))),MAX($D$16,IFERROR(W94,MAX($D$16,POWER((ABS(K94)^2)/($I$5*MAX(F94,0.1)^2),1/3))))),IF(IFERROR(V94,0)=1,MAX($D$16,IFERROR(L94,MAX($D$16,POWER((ABS(K94)^2)/($I$5*MAX(F94,0.1)^2),1/3)))),IF(IFERROR(AG94,0)=1,MAX($D$16,IFERROR(W94,MAX($D$16,POWER((ABS(K94)^2)/($I$5*MAX(F94,0.1)^2),1/3)))),MAX($D$16,POWER((ABS(K94)^2)/($I$5*MAX(F94,0.1)^2),1/3))))))),MAX($D$16,POWER((ABS(K94)^2)/($I$5*MAX(F94,0.1)^2),1/3)))</f>
        <v>1.944340352385391</v>
      </c>
      <c r="AI94">
        <f t="shared" ca="1" si="52"/>
        <v>635.9363403523854</v>
      </c>
      <c r="AJ94">
        <f t="shared" ca="1" si="53"/>
        <v>636.90851052857806</v>
      </c>
      <c r="AM94">
        <v>0</v>
      </c>
      <c r="AN94">
        <v>0</v>
      </c>
      <c r="AO94">
        <f t="shared" si="54"/>
        <v>0</v>
      </c>
      <c r="AP94">
        <f t="shared" si="63"/>
        <v>0</v>
      </c>
      <c r="AQ94">
        <f t="shared" ca="1" si="55"/>
        <v>1.0000000000000002</v>
      </c>
      <c r="AR94" t="str">
        <f t="shared" ca="1" si="56"/>
        <v>Supercritical</v>
      </c>
      <c r="AS94">
        <f t="shared" ca="1" si="57"/>
        <v>3.4427876316445592E-3</v>
      </c>
    </row>
    <row r="95" spans="1:45" x14ac:dyDescent="0.35">
      <c r="A95">
        <v>34</v>
      </c>
      <c r="B95">
        <v>32.999000000000002</v>
      </c>
      <c r="C95">
        <v>616527.522</v>
      </c>
      <c r="D95">
        <v>3097745.4679999999</v>
      </c>
      <c r="E95">
        <v>633.99</v>
      </c>
      <c r="F95">
        <v>6</v>
      </c>
      <c r="G95">
        <v>0</v>
      </c>
      <c r="H95" t="s">
        <v>154</v>
      </c>
      <c r="I95">
        <v>0.08</v>
      </c>
      <c r="J95">
        <f t="shared" si="58"/>
        <v>1.0000000000000036</v>
      </c>
      <c r="K95">
        <f t="shared" ca="1" si="59"/>
        <v>50.95</v>
      </c>
      <c r="L95">
        <f t="shared" ca="1" si="60"/>
        <v>1.944340352385391</v>
      </c>
      <c r="M95">
        <f t="shared" ca="1" si="33"/>
        <v>11.666042114312347</v>
      </c>
      <c r="N95">
        <f t="shared" ca="1" si="34"/>
        <v>1.1797369601269541</v>
      </c>
      <c r="O95">
        <f t="shared" ca="1" si="35"/>
        <v>4.3673766561748133</v>
      </c>
      <c r="P95">
        <f t="shared" ca="1" si="36"/>
        <v>635.93434035238545</v>
      </c>
      <c r="Q95">
        <f t="shared" ca="1" si="37"/>
        <v>636.90651052857811</v>
      </c>
      <c r="R95">
        <f t="shared" ca="1" si="38"/>
        <v>3.4427876316445592E-3</v>
      </c>
      <c r="S95">
        <f t="shared" ca="1" si="39"/>
        <v>1.0000000000000002</v>
      </c>
      <c r="T95">
        <f t="shared" ca="1" si="40"/>
        <v>34.024134653227321</v>
      </c>
      <c r="U95">
        <f t="shared" ca="1" si="61"/>
        <v>-1.572410321841744E-3</v>
      </c>
      <c r="V95">
        <f t="shared" ca="1" si="62"/>
        <v>1</v>
      </c>
      <c r="W95">
        <f t="shared" ca="1" si="41"/>
        <v>1.6752533639996772</v>
      </c>
      <c r="X95">
        <f t="shared" ca="1" si="42"/>
        <v>10.051520183998063</v>
      </c>
      <c r="Y95">
        <f t="shared" ca="1" si="43"/>
        <v>1.074970638104519</v>
      </c>
      <c r="Z95">
        <f t="shared" ca="1" si="44"/>
        <v>5.0688850111560217</v>
      </c>
      <c r="AA95">
        <f t="shared" ca="1" si="45"/>
        <v>635.66525336399968</v>
      </c>
      <c r="AB95">
        <f t="shared" ca="1" si="46"/>
        <v>636.9748147939855</v>
      </c>
      <c r="AC95">
        <f t="shared" ca="1" si="47"/>
        <v>5.2498302451737837E-3</v>
      </c>
      <c r="AD95">
        <f t="shared" ca="1" si="48"/>
        <v>1.2503675270782275</v>
      </c>
      <c r="AE95">
        <f t="shared" ca="1" si="49"/>
        <v>34.745587792152776</v>
      </c>
      <c r="AF95">
        <f t="shared" ca="1" si="50"/>
        <v>3.3218561238754774E-3</v>
      </c>
      <c r="AG95">
        <f t="shared" ca="1" si="51"/>
        <v>0</v>
      </c>
      <c r="AH95">
        <f ca="1">IFERROR(IF(V32="Supercritical",MAX($D$16,IFERROR(L95,MAX($D$16,POWER((ABS(K95)^2)/($I$5*MAX(F95,0.1)^2),1/3)))),IF(V32="Subcritical",MAX($D$16,IFERROR(W95,MAX($D$16,POWER((ABS(K95)^2)/($I$5*MAX(F95,0.1)^2),1/3)))),IF(AND(IFERROR(V95,0)=1,IFERROR(AG95,0)=1),IF(IFERROR(T95,-1E+99)&gt;=IFERROR(AE95,-1E+99),MAX($D$16,IFERROR(L95,MAX($D$16,POWER((ABS(K95)^2)/($I$5*MAX(F95,0.1)^2),1/3)))),MAX($D$16,IFERROR(W95,MAX($D$16,POWER((ABS(K95)^2)/($I$5*MAX(F95,0.1)^2),1/3))))),IF(IFERROR(V95,0)=1,MAX($D$16,IFERROR(L95,MAX($D$16,POWER((ABS(K95)^2)/($I$5*MAX(F95,0.1)^2),1/3)))),IF(IFERROR(AG95,0)=1,MAX($D$16,IFERROR(W95,MAX($D$16,POWER((ABS(K95)^2)/($I$5*MAX(F95,0.1)^2),1/3)))),MAX($D$16,POWER((ABS(K95)^2)/($I$5*MAX(F95,0.1)^2),1/3))))))),MAX($D$16,POWER((ABS(K95)^2)/($I$5*MAX(F95,0.1)^2),1/3)))</f>
        <v>1.944340352385391</v>
      </c>
      <c r="AI95">
        <f t="shared" ca="1" si="52"/>
        <v>635.93434035238545</v>
      </c>
      <c r="AJ95">
        <f t="shared" ca="1" si="53"/>
        <v>636.90651052857811</v>
      </c>
      <c r="AM95">
        <v>0</v>
      </c>
      <c r="AN95">
        <v>0</v>
      </c>
      <c r="AO95">
        <f t="shared" si="54"/>
        <v>0</v>
      </c>
      <c r="AP95">
        <f t="shared" si="63"/>
        <v>0</v>
      </c>
      <c r="AQ95">
        <f t="shared" ca="1" si="55"/>
        <v>1.0000000000000002</v>
      </c>
      <c r="AR95" t="str">
        <f t="shared" ca="1" si="56"/>
        <v>Supercritical</v>
      </c>
      <c r="AS95">
        <f t="shared" ca="1" si="57"/>
        <v>3.4427876316445592E-3</v>
      </c>
    </row>
    <row r="96" spans="1:45" x14ac:dyDescent="0.35">
      <c r="A96">
        <v>35</v>
      </c>
      <c r="B96">
        <v>33.999000000000002</v>
      </c>
      <c r="C96">
        <v>616526.94799999997</v>
      </c>
      <c r="D96">
        <v>3097744.6490000002</v>
      </c>
      <c r="E96">
        <v>633.98800000000006</v>
      </c>
      <c r="F96">
        <v>6</v>
      </c>
      <c r="G96">
        <v>0</v>
      </c>
      <c r="H96" t="s">
        <v>154</v>
      </c>
      <c r="I96">
        <v>3.3000000000000002E-2</v>
      </c>
      <c r="J96">
        <f t="shared" si="58"/>
        <v>1</v>
      </c>
      <c r="K96">
        <f t="shared" ca="1" si="59"/>
        <v>50.95</v>
      </c>
      <c r="L96">
        <f t="shared" ca="1" si="60"/>
        <v>1.944340352385391</v>
      </c>
      <c r="M96">
        <f t="shared" ca="1" si="33"/>
        <v>11.666042114312347</v>
      </c>
      <c r="N96">
        <f t="shared" ca="1" si="34"/>
        <v>1.1797369601269541</v>
      </c>
      <c r="O96">
        <f t="shared" ca="1" si="35"/>
        <v>4.3673766561748133</v>
      </c>
      <c r="P96">
        <f t="shared" ca="1" si="36"/>
        <v>635.93234035238549</v>
      </c>
      <c r="Q96">
        <f t="shared" ca="1" si="37"/>
        <v>636.90451052857816</v>
      </c>
      <c r="R96">
        <f t="shared" ca="1" si="38"/>
        <v>3.4427876316445592E-3</v>
      </c>
      <c r="S96">
        <f t="shared" ca="1" si="39"/>
        <v>1.0000000000000002</v>
      </c>
      <c r="T96">
        <f t="shared" ca="1" si="40"/>
        <v>34.024134653227321</v>
      </c>
      <c r="U96">
        <f t="shared" ca="1" si="61"/>
        <v>-1.496256991458722E-3</v>
      </c>
      <c r="V96">
        <f t="shared" ca="1" si="62"/>
        <v>1</v>
      </c>
      <c r="W96">
        <f t="shared" ca="1" si="41"/>
        <v>1.6752331864259236</v>
      </c>
      <c r="X96">
        <f t="shared" ca="1" si="42"/>
        <v>10.05139911855554</v>
      </c>
      <c r="Y96">
        <f t="shared" ca="1" si="43"/>
        <v>1.0749623299794737</v>
      </c>
      <c r="Z96">
        <f t="shared" ca="1" si="44"/>
        <v>5.0689460640303272</v>
      </c>
      <c r="AA96">
        <f t="shared" ca="1" si="45"/>
        <v>635.66323318642594</v>
      </c>
      <c r="AB96">
        <f t="shared" ca="1" si="46"/>
        <v>636.97282616298298</v>
      </c>
      <c r="AC96">
        <f t="shared" ca="1" si="47"/>
        <v>5.2500108114612231E-3</v>
      </c>
      <c r="AD96">
        <f t="shared" ca="1" si="48"/>
        <v>1.2503901174786309</v>
      </c>
      <c r="AE96">
        <f t="shared" ca="1" si="49"/>
        <v>34.745702067171578</v>
      </c>
      <c r="AF96">
        <f t="shared" ca="1" si="50"/>
        <v>3.2753179700648616E-3</v>
      </c>
      <c r="AG96">
        <f t="shared" ca="1" si="51"/>
        <v>0</v>
      </c>
      <c r="AH96">
        <f ca="1">IFERROR(IF(V32="Supercritical",MAX($D$16,IFERROR(L96,MAX($D$16,POWER((ABS(K96)^2)/($I$5*MAX(F96,0.1)^2),1/3)))),IF(V32="Subcritical",MAX($D$16,IFERROR(W96,MAX($D$16,POWER((ABS(K96)^2)/($I$5*MAX(F96,0.1)^2),1/3)))),IF(AND(IFERROR(V96,0)=1,IFERROR(AG96,0)=1),IF(IFERROR(T96,-1E+99)&gt;=IFERROR(AE96,-1E+99),MAX($D$16,IFERROR(L96,MAX($D$16,POWER((ABS(K96)^2)/($I$5*MAX(F96,0.1)^2),1/3)))),MAX($D$16,IFERROR(W96,MAX($D$16,POWER((ABS(K96)^2)/($I$5*MAX(F96,0.1)^2),1/3))))),IF(IFERROR(V96,0)=1,MAX($D$16,IFERROR(L96,MAX($D$16,POWER((ABS(K96)^2)/($I$5*MAX(F96,0.1)^2),1/3)))),IF(IFERROR(AG96,0)=1,MAX($D$16,IFERROR(W96,MAX($D$16,POWER((ABS(K96)^2)/($I$5*MAX(F96,0.1)^2),1/3)))),MAX($D$16,POWER((ABS(K96)^2)/($I$5*MAX(F96,0.1)^2),1/3))))))),MAX($D$16,POWER((ABS(K96)^2)/($I$5*MAX(F96,0.1)^2),1/3)))</f>
        <v>1.944340352385391</v>
      </c>
      <c r="AI96">
        <f t="shared" ca="1" si="52"/>
        <v>635.93234035238549</v>
      </c>
      <c r="AJ96">
        <f t="shared" ca="1" si="53"/>
        <v>636.90451052857816</v>
      </c>
      <c r="AM96">
        <v>0</v>
      </c>
      <c r="AN96">
        <v>0</v>
      </c>
      <c r="AO96">
        <f t="shared" si="54"/>
        <v>0</v>
      </c>
      <c r="AP96">
        <f t="shared" si="63"/>
        <v>0</v>
      </c>
      <c r="AQ96">
        <f t="shared" ca="1" si="55"/>
        <v>1.0000000000000002</v>
      </c>
      <c r="AR96" t="str">
        <f t="shared" ca="1" si="56"/>
        <v>Supercritical</v>
      </c>
      <c r="AS96">
        <f t="shared" ca="1" si="57"/>
        <v>3.4427876316445592E-3</v>
      </c>
    </row>
    <row r="97" spans="1:45" x14ac:dyDescent="0.35">
      <c r="A97">
        <v>36</v>
      </c>
      <c r="B97">
        <v>34.997999999999998</v>
      </c>
      <c r="C97">
        <v>616526.37399999995</v>
      </c>
      <c r="D97">
        <v>3097743.8309999998</v>
      </c>
      <c r="E97">
        <v>633.98599999999999</v>
      </c>
      <c r="F97">
        <v>6</v>
      </c>
      <c r="G97">
        <v>0</v>
      </c>
      <c r="H97" t="s">
        <v>154</v>
      </c>
      <c r="I97">
        <v>1.4E-2</v>
      </c>
      <c r="J97">
        <f t="shared" si="58"/>
        <v>0.99899999999999523</v>
      </c>
      <c r="K97">
        <f t="shared" ca="1" si="59"/>
        <v>50.95</v>
      </c>
      <c r="L97">
        <f t="shared" ca="1" si="60"/>
        <v>1.944340352385391</v>
      </c>
      <c r="M97">
        <f t="shared" ca="1" si="33"/>
        <v>11.666042114312347</v>
      </c>
      <c r="N97">
        <f t="shared" ca="1" si="34"/>
        <v>1.1797369601269541</v>
      </c>
      <c r="O97">
        <f t="shared" ca="1" si="35"/>
        <v>4.3673766561748133</v>
      </c>
      <c r="P97">
        <f t="shared" ca="1" si="36"/>
        <v>635.93034035238543</v>
      </c>
      <c r="Q97">
        <f t="shared" ca="1" si="37"/>
        <v>636.90251052857809</v>
      </c>
      <c r="R97">
        <f t="shared" ca="1" si="38"/>
        <v>3.4427876316445592E-3</v>
      </c>
      <c r="S97">
        <f t="shared" ca="1" si="39"/>
        <v>1.0000000000000002</v>
      </c>
      <c r="T97">
        <f t="shared" ca="1" si="40"/>
        <v>34.024134653227321</v>
      </c>
      <c r="U97">
        <f t="shared" ca="1" si="61"/>
        <v>-1.4620288146716121E-3</v>
      </c>
      <c r="V97">
        <f t="shared" ca="1" si="62"/>
        <v>1</v>
      </c>
      <c r="W97">
        <f t="shared" ca="1" si="41"/>
        <v>1.6752533644291747</v>
      </c>
      <c r="X97">
        <f t="shared" ca="1" si="42"/>
        <v>10.051520186575049</v>
      </c>
      <c r="Y97">
        <f t="shared" ca="1" si="43"/>
        <v>1.074970638281364</v>
      </c>
      <c r="Z97">
        <f t="shared" ca="1" si="44"/>
        <v>5.0688850098564728</v>
      </c>
      <c r="AA97">
        <f t="shared" ca="1" si="45"/>
        <v>635.66125336442917</v>
      </c>
      <c r="AB97">
        <f t="shared" ca="1" si="46"/>
        <v>636.97081479374356</v>
      </c>
      <c r="AC97">
        <f t="shared" ca="1" si="47"/>
        <v>5.2498302413303641E-3</v>
      </c>
      <c r="AD97">
        <f t="shared" ca="1" si="48"/>
        <v>1.2503675265973782</v>
      </c>
      <c r="AE97">
        <f t="shared" ca="1" si="49"/>
        <v>34.745587789720446</v>
      </c>
      <c r="AF97">
        <f t="shared" ca="1" si="50"/>
        <v>-5.7214363495063481E-2</v>
      </c>
      <c r="AG97">
        <f t="shared" ca="1" si="51"/>
        <v>0</v>
      </c>
      <c r="AH97">
        <f ca="1">IFERROR(IF(V32="Supercritical",MAX($D$16,IFERROR(L97,MAX($D$16,POWER((ABS(K97)^2)/($I$5*MAX(F97,0.1)^2),1/3)))),IF(V32="Subcritical",MAX($D$16,IFERROR(W97,MAX($D$16,POWER((ABS(K97)^2)/($I$5*MAX(F97,0.1)^2),1/3)))),IF(AND(IFERROR(V97,0)=1,IFERROR(AG97,0)=1),IF(IFERROR(T97,-1E+99)&gt;=IFERROR(AE97,-1E+99),MAX($D$16,IFERROR(L97,MAX($D$16,POWER((ABS(K97)^2)/($I$5*MAX(F97,0.1)^2),1/3)))),MAX($D$16,IFERROR(W97,MAX($D$16,POWER((ABS(K97)^2)/($I$5*MAX(F97,0.1)^2),1/3))))),IF(IFERROR(V97,0)=1,MAX($D$16,IFERROR(L97,MAX($D$16,POWER((ABS(K97)^2)/($I$5*MAX(F97,0.1)^2),1/3)))),IF(IFERROR(AG97,0)=1,MAX($D$16,IFERROR(W97,MAX($D$16,POWER((ABS(K97)^2)/($I$5*MAX(F97,0.1)^2),1/3)))),MAX($D$16,POWER((ABS(K97)^2)/($I$5*MAX(F97,0.1)^2),1/3))))))),MAX($D$16,POWER((ABS(K97)^2)/($I$5*MAX(F97,0.1)^2),1/3)))</f>
        <v>1.944340352385391</v>
      </c>
      <c r="AI97">
        <f t="shared" ca="1" si="52"/>
        <v>635.93034035238543</v>
      </c>
      <c r="AJ97">
        <f t="shared" ca="1" si="53"/>
        <v>636.90251052857809</v>
      </c>
      <c r="AM97">
        <v>0</v>
      </c>
      <c r="AN97">
        <v>0</v>
      </c>
      <c r="AO97">
        <f t="shared" si="54"/>
        <v>0</v>
      </c>
      <c r="AP97">
        <f t="shared" si="63"/>
        <v>0</v>
      </c>
      <c r="AQ97">
        <f t="shared" ca="1" si="55"/>
        <v>1.0000000000000002</v>
      </c>
      <c r="AR97" t="str">
        <f t="shared" ca="1" si="56"/>
        <v>Supercritical</v>
      </c>
      <c r="AS97">
        <f t="shared" ca="1" si="57"/>
        <v>3.4427876316445592E-3</v>
      </c>
    </row>
    <row r="98" spans="1:45" x14ac:dyDescent="0.35">
      <c r="A98">
        <v>37</v>
      </c>
      <c r="B98">
        <v>35.999000000000002</v>
      </c>
      <c r="C98">
        <v>616525.799</v>
      </c>
      <c r="D98">
        <v>3097743.0120000001</v>
      </c>
      <c r="E98">
        <v>633.92349999999999</v>
      </c>
      <c r="F98">
        <v>6</v>
      </c>
      <c r="G98">
        <v>0</v>
      </c>
      <c r="H98" t="s">
        <v>154</v>
      </c>
      <c r="I98">
        <v>1.4E-2</v>
      </c>
      <c r="J98">
        <f t="shared" si="58"/>
        <v>1.0010000000000048</v>
      </c>
      <c r="K98">
        <f t="shared" ca="1" si="59"/>
        <v>50.95</v>
      </c>
      <c r="L98">
        <f t="shared" ca="1" si="60"/>
        <v>1.944340352385391</v>
      </c>
      <c r="M98">
        <f t="shared" ca="1" si="33"/>
        <v>11.666042114312347</v>
      </c>
      <c r="N98">
        <f t="shared" ca="1" si="34"/>
        <v>1.1797369601269541</v>
      </c>
      <c r="O98">
        <f t="shared" ca="1" si="35"/>
        <v>4.3673766561748133</v>
      </c>
      <c r="P98">
        <f t="shared" ca="1" si="36"/>
        <v>635.86784035238543</v>
      </c>
      <c r="Q98">
        <f t="shared" ca="1" si="37"/>
        <v>636.84001052857809</v>
      </c>
      <c r="R98">
        <f t="shared" ca="1" si="38"/>
        <v>3.4427876316445592E-3</v>
      </c>
      <c r="S98">
        <f t="shared" ca="1" si="39"/>
        <v>1.0000000000000002</v>
      </c>
      <c r="T98">
        <f t="shared" ca="1" si="40"/>
        <v>34.024134653227321</v>
      </c>
      <c r="U98">
        <f t="shared" ca="1" si="61"/>
        <v>5.9031085609944967E-2</v>
      </c>
      <c r="V98">
        <f t="shared" ca="1" si="62"/>
        <v>1</v>
      </c>
      <c r="W98">
        <f t="shared" ca="1" si="41"/>
        <v>1.6752331868270107</v>
      </c>
      <c r="X98">
        <f t="shared" ca="1" si="42"/>
        <v>10.051399120962063</v>
      </c>
      <c r="Y98">
        <f t="shared" ca="1" si="43"/>
        <v>1.0749623301446223</v>
      </c>
      <c r="Z98">
        <f t="shared" ca="1" si="44"/>
        <v>5.0689460628167113</v>
      </c>
      <c r="AA98">
        <f t="shared" ca="1" si="45"/>
        <v>635.59873318682696</v>
      </c>
      <c r="AB98">
        <f t="shared" ca="1" si="46"/>
        <v>636.90832616275691</v>
      </c>
      <c r="AC98">
        <f t="shared" ca="1" si="47"/>
        <v>5.2500108078718634E-3</v>
      </c>
      <c r="AD98">
        <f t="shared" ca="1" si="48"/>
        <v>1.2503901170295748</v>
      </c>
      <c r="AE98">
        <f t="shared" ca="1" si="49"/>
        <v>34.74570206489993</v>
      </c>
      <c r="AF98">
        <f t="shared" ca="1" si="50"/>
        <v>-5.7224682033506724E-2</v>
      </c>
      <c r="AG98">
        <f t="shared" ca="1" si="51"/>
        <v>0</v>
      </c>
      <c r="AH98">
        <f ca="1">IFERROR(IF(V32="Supercritical",MAX($D$16,IFERROR(L98,MAX($D$16,POWER((ABS(K98)^2)/($I$5*MAX(F98,0.1)^2),1/3)))),IF(V32="Subcritical",MAX($D$16,IFERROR(W98,MAX($D$16,POWER((ABS(K98)^2)/($I$5*MAX(F98,0.1)^2),1/3)))),IF(AND(IFERROR(V98,0)=1,IFERROR(AG98,0)=1),IF(IFERROR(T98,-1E+99)&gt;=IFERROR(AE98,-1E+99),MAX($D$16,IFERROR(L98,MAX($D$16,POWER((ABS(K98)^2)/($I$5*MAX(F98,0.1)^2),1/3)))),MAX($D$16,IFERROR(W98,MAX($D$16,POWER((ABS(K98)^2)/($I$5*MAX(F98,0.1)^2),1/3))))),IF(IFERROR(V98,0)=1,MAX($D$16,IFERROR(L98,MAX($D$16,POWER((ABS(K98)^2)/($I$5*MAX(F98,0.1)^2),1/3)))),IF(IFERROR(AG98,0)=1,MAX($D$16,IFERROR(W98,MAX($D$16,POWER((ABS(K98)^2)/($I$5*MAX(F98,0.1)^2),1/3)))),MAX($D$16,POWER((ABS(K98)^2)/($I$5*MAX(F98,0.1)^2),1/3))))))),MAX($D$16,POWER((ABS(K98)^2)/($I$5*MAX(F98,0.1)^2),1/3)))</f>
        <v>1.944340352385391</v>
      </c>
      <c r="AI98">
        <f t="shared" ca="1" si="52"/>
        <v>635.86784035238543</v>
      </c>
      <c r="AJ98">
        <f t="shared" ca="1" si="53"/>
        <v>636.84001052857809</v>
      </c>
      <c r="AM98">
        <v>0</v>
      </c>
      <c r="AN98">
        <v>0</v>
      </c>
      <c r="AO98">
        <f t="shared" si="54"/>
        <v>0</v>
      </c>
      <c r="AP98">
        <f t="shared" si="63"/>
        <v>0</v>
      </c>
      <c r="AQ98">
        <f t="shared" ca="1" si="55"/>
        <v>1.0000000000000002</v>
      </c>
      <c r="AR98" t="str">
        <f t="shared" ca="1" si="56"/>
        <v>Supercritical</v>
      </c>
      <c r="AS98">
        <f t="shared" ca="1" si="57"/>
        <v>3.4427876316445592E-3</v>
      </c>
    </row>
    <row r="99" spans="1:45" x14ac:dyDescent="0.35">
      <c r="A99">
        <v>38</v>
      </c>
      <c r="B99">
        <v>36.997999999999998</v>
      </c>
      <c r="C99">
        <v>616525.22499999998</v>
      </c>
      <c r="D99">
        <v>3097742.1940000001</v>
      </c>
      <c r="E99">
        <v>633.86099999999999</v>
      </c>
      <c r="F99">
        <v>6</v>
      </c>
      <c r="G99">
        <v>0</v>
      </c>
      <c r="H99" t="s">
        <v>154</v>
      </c>
      <c r="I99">
        <v>1.4E-2</v>
      </c>
      <c r="J99">
        <f t="shared" si="58"/>
        <v>0.99899999999999523</v>
      </c>
      <c r="K99">
        <f t="shared" ca="1" si="59"/>
        <v>50.95</v>
      </c>
      <c r="L99">
        <f t="shared" ca="1" si="60"/>
        <v>1.944340352385391</v>
      </c>
      <c r="M99">
        <f t="shared" ca="1" si="33"/>
        <v>11.666042114312347</v>
      </c>
      <c r="N99">
        <f t="shared" ca="1" si="34"/>
        <v>1.1797369601269541</v>
      </c>
      <c r="O99">
        <f t="shared" ca="1" si="35"/>
        <v>4.3673766561748133</v>
      </c>
      <c r="P99">
        <f t="shared" ca="1" si="36"/>
        <v>635.80534035238543</v>
      </c>
      <c r="Q99">
        <f t="shared" ca="1" si="37"/>
        <v>636.77751052857809</v>
      </c>
      <c r="R99">
        <f t="shared" ca="1" si="38"/>
        <v>3.4427876316445592E-3</v>
      </c>
      <c r="S99">
        <f t="shared" ca="1" si="39"/>
        <v>1.0000000000000002</v>
      </c>
      <c r="T99">
        <f t="shared" ca="1" si="40"/>
        <v>34.024134653227321</v>
      </c>
      <c r="U99">
        <f t="shared" ca="1" si="61"/>
        <v>5.9037971185261995E-2</v>
      </c>
      <c r="V99">
        <f t="shared" ca="1" si="62"/>
        <v>1</v>
      </c>
      <c r="W99">
        <f t="shared" ca="1" si="41"/>
        <v>1.6752533648037444</v>
      </c>
      <c r="X99">
        <f t="shared" ca="1" si="42"/>
        <v>10.051520188822467</v>
      </c>
      <c r="Y99">
        <f t="shared" ca="1" si="43"/>
        <v>1.0749706384355926</v>
      </c>
      <c r="Z99">
        <f t="shared" ca="1" si="44"/>
        <v>5.0688850087231216</v>
      </c>
      <c r="AA99">
        <f t="shared" ca="1" si="45"/>
        <v>635.53625336480377</v>
      </c>
      <c r="AB99">
        <f t="shared" ca="1" si="46"/>
        <v>636.84581479353255</v>
      </c>
      <c r="AC99">
        <f t="shared" ca="1" si="47"/>
        <v>5.2498302379784699E-3</v>
      </c>
      <c r="AD99">
        <f t="shared" ca="1" si="48"/>
        <v>1.250367526178024</v>
      </c>
      <c r="AE99">
        <f t="shared" ca="1" si="49"/>
        <v>34.745587787599177</v>
      </c>
      <c r="AF99">
        <f t="shared" ca="1" si="50"/>
        <v>-5.7142337619893624E-2</v>
      </c>
      <c r="AG99">
        <f t="shared" ca="1" si="51"/>
        <v>0</v>
      </c>
      <c r="AH99">
        <f ca="1">IFERROR(IF(V32="Supercritical",MAX($D$16,IFERROR(L99,MAX($D$16,POWER((ABS(K99)^2)/($I$5*MAX(F99,0.1)^2),1/3)))),IF(V32="Subcritical",MAX($D$16,IFERROR(W99,MAX($D$16,POWER((ABS(K99)^2)/($I$5*MAX(F99,0.1)^2),1/3)))),IF(AND(IFERROR(V99,0)=1,IFERROR(AG99,0)=1),IF(IFERROR(T99,-1E+99)&gt;=IFERROR(AE99,-1E+99),MAX($D$16,IFERROR(L99,MAX($D$16,POWER((ABS(K99)^2)/($I$5*MAX(F99,0.1)^2),1/3)))),MAX($D$16,IFERROR(W99,MAX($D$16,POWER((ABS(K99)^2)/($I$5*MAX(F99,0.1)^2),1/3))))),IF(IFERROR(V99,0)=1,MAX($D$16,IFERROR(L99,MAX($D$16,POWER((ABS(K99)^2)/($I$5*MAX(F99,0.1)^2),1/3)))),IF(IFERROR(AG99,0)=1,MAX($D$16,IFERROR(W99,MAX($D$16,POWER((ABS(K99)^2)/($I$5*MAX(F99,0.1)^2),1/3)))),MAX($D$16,POWER((ABS(K99)^2)/($I$5*MAX(F99,0.1)^2),1/3))))))),MAX($D$16,POWER((ABS(K99)^2)/($I$5*MAX(F99,0.1)^2),1/3)))</f>
        <v>1.944340352385391</v>
      </c>
      <c r="AI99">
        <f t="shared" ca="1" si="52"/>
        <v>635.80534035238543</v>
      </c>
      <c r="AJ99">
        <f t="shared" ca="1" si="53"/>
        <v>636.77751052857809</v>
      </c>
      <c r="AM99">
        <v>0</v>
      </c>
      <c r="AN99">
        <v>0</v>
      </c>
      <c r="AO99">
        <f t="shared" si="54"/>
        <v>0</v>
      </c>
      <c r="AP99">
        <f t="shared" si="63"/>
        <v>0</v>
      </c>
      <c r="AQ99">
        <f t="shared" ca="1" si="55"/>
        <v>1.0000000000000002</v>
      </c>
      <c r="AR99" t="str">
        <f t="shared" ca="1" si="56"/>
        <v>Supercritical</v>
      </c>
      <c r="AS99">
        <f t="shared" ca="1" si="57"/>
        <v>3.4427876316445592E-3</v>
      </c>
    </row>
    <row r="100" spans="1:45" x14ac:dyDescent="0.35">
      <c r="A100">
        <v>39</v>
      </c>
      <c r="B100">
        <v>37.999000000000002</v>
      </c>
      <c r="C100">
        <v>616524.65</v>
      </c>
      <c r="D100">
        <v>3097741.375</v>
      </c>
      <c r="E100">
        <v>633.79849999999999</v>
      </c>
      <c r="F100">
        <v>6</v>
      </c>
      <c r="G100">
        <v>0</v>
      </c>
      <c r="H100" t="s">
        <v>154</v>
      </c>
      <c r="I100">
        <v>4.7E-2</v>
      </c>
      <c r="J100">
        <f t="shared" si="58"/>
        <v>1.0010000000000048</v>
      </c>
      <c r="K100">
        <f t="shared" ca="1" si="59"/>
        <v>50.95</v>
      </c>
      <c r="L100">
        <f t="shared" ca="1" si="60"/>
        <v>1.944340352385391</v>
      </c>
      <c r="M100">
        <f t="shared" ca="1" si="33"/>
        <v>11.666042114312347</v>
      </c>
      <c r="N100">
        <f t="shared" ca="1" si="34"/>
        <v>1.1797369601269541</v>
      </c>
      <c r="O100">
        <f t="shared" ca="1" si="35"/>
        <v>4.3673766561748133</v>
      </c>
      <c r="P100">
        <f t="shared" ca="1" si="36"/>
        <v>635.74284035238543</v>
      </c>
      <c r="Q100">
        <f t="shared" ca="1" si="37"/>
        <v>636.71501052857809</v>
      </c>
      <c r="R100">
        <f t="shared" ca="1" si="38"/>
        <v>3.4427876316445592E-3</v>
      </c>
      <c r="S100">
        <f t="shared" ca="1" si="39"/>
        <v>1.0000000000000002</v>
      </c>
      <c r="T100">
        <f t="shared" ca="1" si="40"/>
        <v>34.024134653227321</v>
      </c>
      <c r="U100">
        <f t="shared" ca="1" si="61"/>
        <v>5.8977616250217579E-2</v>
      </c>
      <c r="V100">
        <f t="shared" ca="1" si="62"/>
        <v>1</v>
      </c>
      <c r="W100">
        <f t="shared" ca="1" si="41"/>
        <v>1.6752331871768193</v>
      </c>
      <c r="X100">
        <f t="shared" ca="1" si="42"/>
        <v>10.051399123060916</v>
      </c>
      <c r="Y100">
        <f t="shared" ca="1" si="43"/>
        <v>1.0749623302886568</v>
      </c>
      <c r="Z100">
        <f t="shared" ca="1" si="44"/>
        <v>5.068946061758254</v>
      </c>
      <c r="AA100">
        <f t="shared" ca="1" si="45"/>
        <v>635.47373318717678</v>
      </c>
      <c r="AB100">
        <f t="shared" ca="1" si="46"/>
        <v>636.78332616255977</v>
      </c>
      <c r="AC100">
        <f t="shared" ca="1" si="47"/>
        <v>5.2500108047414014E-3</v>
      </c>
      <c r="AD100">
        <f t="shared" ca="1" si="48"/>
        <v>1.2503901166379299</v>
      </c>
      <c r="AE100">
        <f t="shared" ca="1" si="49"/>
        <v>34.74570206291871</v>
      </c>
      <c r="AF100">
        <f t="shared" ca="1" si="50"/>
        <v>-5.6593930068061127E-2</v>
      </c>
      <c r="AG100">
        <f t="shared" ca="1" si="51"/>
        <v>0</v>
      </c>
      <c r="AH100">
        <f ca="1">IFERROR(IF(V32="Supercritical",MAX($D$16,IFERROR(L100,MAX($D$16,POWER((ABS(K100)^2)/($I$5*MAX(F100,0.1)^2),1/3)))),IF(V32="Subcritical",MAX($D$16,IFERROR(W100,MAX($D$16,POWER((ABS(K100)^2)/($I$5*MAX(F100,0.1)^2),1/3)))),IF(AND(IFERROR(V100,0)=1,IFERROR(AG100,0)=1),IF(IFERROR(T100,-1E+99)&gt;=IFERROR(AE100,-1E+99),MAX($D$16,IFERROR(L100,MAX($D$16,POWER((ABS(K100)^2)/($I$5*MAX(F100,0.1)^2),1/3)))),MAX($D$16,IFERROR(W100,MAX($D$16,POWER((ABS(K100)^2)/($I$5*MAX(F100,0.1)^2),1/3))))),IF(IFERROR(V100,0)=1,MAX($D$16,IFERROR(L100,MAX($D$16,POWER((ABS(K100)^2)/($I$5*MAX(F100,0.1)^2),1/3)))),IF(IFERROR(AG100,0)=1,MAX($D$16,IFERROR(W100,MAX($D$16,POWER((ABS(K100)^2)/($I$5*MAX(F100,0.1)^2),1/3)))),MAX($D$16,POWER((ABS(K100)^2)/($I$5*MAX(F100,0.1)^2),1/3))))))),MAX($D$16,POWER((ABS(K100)^2)/($I$5*MAX(F100,0.1)^2),1/3)))</f>
        <v>1.944340352385391</v>
      </c>
      <c r="AI100">
        <f t="shared" ca="1" si="52"/>
        <v>635.74284035238543</v>
      </c>
      <c r="AJ100">
        <f t="shared" ca="1" si="53"/>
        <v>636.71501052857809</v>
      </c>
      <c r="AM100">
        <v>0</v>
      </c>
      <c r="AN100">
        <v>0</v>
      </c>
      <c r="AO100">
        <f t="shared" si="54"/>
        <v>0</v>
      </c>
      <c r="AP100">
        <f t="shared" si="63"/>
        <v>0</v>
      </c>
      <c r="AQ100">
        <f t="shared" ca="1" si="55"/>
        <v>1.0000000000000002</v>
      </c>
      <c r="AR100" t="str">
        <f t="shared" ca="1" si="56"/>
        <v>Supercritical</v>
      </c>
      <c r="AS100">
        <f t="shared" ca="1" si="57"/>
        <v>3.4427876316445592E-3</v>
      </c>
    </row>
    <row r="101" spans="1:45" x14ac:dyDescent="0.35">
      <c r="A101">
        <v>40</v>
      </c>
      <c r="B101">
        <v>38.999000000000002</v>
      </c>
      <c r="C101">
        <v>616524.076</v>
      </c>
      <c r="D101">
        <v>3097740.5559999999</v>
      </c>
      <c r="E101">
        <v>633.73599999999999</v>
      </c>
      <c r="F101">
        <v>5.9989999999999997</v>
      </c>
      <c r="G101">
        <v>0</v>
      </c>
      <c r="H101" t="s">
        <v>154</v>
      </c>
      <c r="I101">
        <v>0.08</v>
      </c>
      <c r="J101">
        <f t="shared" si="58"/>
        <v>1</v>
      </c>
      <c r="K101">
        <f t="shared" ca="1" si="59"/>
        <v>50.95</v>
      </c>
      <c r="L101">
        <f t="shared" ca="1" si="60"/>
        <v>1.9445564202120209</v>
      </c>
      <c r="M101">
        <f t="shared" ca="1" si="33"/>
        <v>11.665393964851912</v>
      </c>
      <c r="N101">
        <f t="shared" ca="1" si="34"/>
        <v>1.1797391628827381</v>
      </c>
      <c r="O101">
        <f t="shared" ca="1" si="35"/>
        <v>4.3676193151738785</v>
      </c>
      <c r="P101">
        <f t="shared" ca="1" si="36"/>
        <v>635.68055642021204</v>
      </c>
      <c r="Q101">
        <f t="shared" ca="1" si="37"/>
        <v>636.65283463031801</v>
      </c>
      <c r="R101">
        <f t="shared" ca="1" si="38"/>
        <v>3.4431616448339893E-3</v>
      </c>
      <c r="S101">
        <f t="shared" ca="1" si="39"/>
        <v>1.0000000000000004</v>
      </c>
      <c r="T101">
        <f t="shared" ca="1" si="40"/>
        <v>34.026025092983033</v>
      </c>
      <c r="U101">
        <f t="shared" ca="1" si="61"/>
        <v>5.8592483135839757E-2</v>
      </c>
      <c r="V101">
        <f t="shared" ca="1" si="62"/>
        <v>1</v>
      </c>
      <c r="W101">
        <f t="shared" ca="1" si="41"/>
        <v>1.6752533651304291</v>
      </c>
      <c r="X101">
        <f t="shared" ca="1" si="42"/>
        <v>10.049844937417443</v>
      </c>
      <c r="Y101">
        <f t="shared" ca="1" si="43"/>
        <v>1.0749064338217815</v>
      </c>
      <c r="Z101">
        <f t="shared" ca="1" si="44"/>
        <v>5.0697299627284469</v>
      </c>
      <c r="AA101">
        <f t="shared" ca="1" si="45"/>
        <v>635.41125336513039</v>
      </c>
      <c r="AB101">
        <f t="shared" ca="1" si="46"/>
        <v>636.72125142297887</v>
      </c>
      <c r="AC101">
        <f t="shared" ca="1" si="47"/>
        <v>5.251998859917696E-3</v>
      </c>
      <c r="AD101">
        <f t="shared" ca="1" si="48"/>
        <v>1.2505759551381366</v>
      </c>
      <c r="AE101">
        <f t="shared" ca="1" si="49"/>
        <v>34.74857297461363</v>
      </c>
      <c r="AF101">
        <f t="shared" ca="1" si="50"/>
        <v>3.4266652676251397E-3</v>
      </c>
      <c r="AG101">
        <f t="shared" ca="1" si="51"/>
        <v>0</v>
      </c>
      <c r="AH101">
        <f ca="1">IFERROR(IF(V32="Supercritical",MAX($D$16,IFERROR(L101,MAX($D$16,POWER((ABS(K101)^2)/($I$5*MAX(F101,0.1)^2),1/3)))),IF(V32="Subcritical",MAX($D$16,IFERROR(W101,MAX($D$16,POWER((ABS(K101)^2)/($I$5*MAX(F101,0.1)^2),1/3)))),IF(AND(IFERROR(V101,0)=1,IFERROR(AG101,0)=1),IF(IFERROR(T101,-1E+99)&gt;=IFERROR(AE101,-1E+99),MAX($D$16,IFERROR(L101,MAX($D$16,POWER((ABS(K101)^2)/($I$5*MAX(F101,0.1)^2),1/3)))),MAX($D$16,IFERROR(W101,MAX($D$16,POWER((ABS(K101)^2)/($I$5*MAX(F101,0.1)^2),1/3))))),IF(IFERROR(V101,0)=1,MAX($D$16,IFERROR(L101,MAX($D$16,POWER((ABS(K101)^2)/($I$5*MAX(F101,0.1)^2),1/3)))),IF(IFERROR(AG101,0)=1,MAX($D$16,IFERROR(W101,MAX($D$16,POWER((ABS(K101)^2)/($I$5*MAX(F101,0.1)^2),1/3)))),MAX($D$16,POWER((ABS(K101)^2)/($I$5*MAX(F101,0.1)^2),1/3))))))),MAX($D$16,POWER((ABS(K101)^2)/($I$5*MAX(F101,0.1)^2),1/3)))</f>
        <v>1.9445564202120209</v>
      </c>
      <c r="AI101">
        <f t="shared" ca="1" si="52"/>
        <v>635.68055642021204</v>
      </c>
      <c r="AJ101">
        <f t="shared" ca="1" si="53"/>
        <v>636.65283463031801</v>
      </c>
      <c r="AM101">
        <v>0</v>
      </c>
      <c r="AN101">
        <v>0</v>
      </c>
      <c r="AO101">
        <f t="shared" si="54"/>
        <v>0</v>
      </c>
      <c r="AP101">
        <f t="shared" si="63"/>
        <v>0</v>
      </c>
      <c r="AQ101">
        <f t="shared" ca="1" si="55"/>
        <v>1.0000000000000004</v>
      </c>
      <c r="AR101" t="str">
        <f t="shared" ca="1" si="56"/>
        <v>Supercritical</v>
      </c>
      <c r="AS101">
        <f t="shared" ca="1" si="57"/>
        <v>3.4431616448339893E-3</v>
      </c>
    </row>
    <row r="102" spans="1:45" x14ac:dyDescent="0.35">
      <c r="A102">
        <v>41</v>
      </c>
      <c r="B102">
        <v>39.999000000000002</v>
      </c>
      <c r="C102">
        <v>616523.50100000005</v>
      </c>
      <c r="D102">
        <v>3097739.7379999999</v>
      </c>
      <c r="E102">
        <v>633.73400000000004</v>
      </c>
      <c r="F102">
        <v>5.9989999999999997</v>
      </c>
      <c r="G102">
        <v>0</v>
      </c>
      <c r="H102" t="s">
        <v>154</v>
      </c>
      <c r="I102">
        <v>0.08</v>
      </c>
      <c r="J102">
        <f t="shared" si="58"/>
        <v>1</v>
      </c>
      <c r="K102">
        <f t="shared" ca="1" si="59"/>
        <v>50.95</v>
      </c>
      <c r="L102">
        <f t="shared" ca="1" si="60"/>
        <v>1.9445564202120209</v>
      </c>
      <c r="M102">
        <f t="shared" ca="1" si="33"/>
        <v>11.665393964851912</v>
      </c>
      <c r="N102">
        <f t="shared" ca="1" si="34"/>
        <v>1.1797391628827381</v>
      </c>
      <c r="O102">
        <f t="shared" ca="1" si="35"/>
        <v>4.3676193151738785</v>
      </c>
      <c r="P102">
        <f t="shared" ca="1" si="36"/>
        <v>635.67855642021209</v>
      </c>
      <c r="Q102">
        <f t="shared" ca="1" si="37"/>
        <v>636.65083463031806</v>
      </c>
      <c r="R102">
        <f t="shared" ca="1" si="38"/>
        <v>3.4431616448339893E-3</v>
      </c>
      <c r="S102">
        <f t="shared" ca="1" si="39"/>
        <v>1.0000000000000004</v>
      </c>
      <c r="T102">
        <f t="shared" ca="1" si="40"/>
        <v>34.026025092983033</v>
      </c>
      <c r="U102">
        <f t="shared" ca="1" si="61"/>
        <v>-1.5727987395166565E-3</v>
      </c>
      <c r="V102">
        <f t="shared" ca="1" si="62"/>
        <v>1</v>
      </c>
      <c r="W102">
        <f t="shared" ca="1" si="41"/>
        <v>1.675233187481898</v>
      </c>
      <c r="X102">
        <f t="shared" ca="1" si="42"/>
        <v>10.049723891703906</v>
      </c>
      <c r="Y102">
        <f t="shared" ca="1" si="43"/>
        <v>1.0748981266583593</v>
      </c>
      <c r="Z102">
        <f t="shared" ca="1" si="44"/>
        <v>5.0697910260061443</v>
      </c>
      <c r="AA102">
        <f t="shared" ca="1" si="45"/>
        <v>635.40923318748196</v>
      </c>
      <c r="AB102">
        <f t="shared" ca="1" si="46"/>
        <v>636.7192628025366</v>
      </c>
      <c r="AC102">
        <f t="shared" ca="1" si="47"/>
        <v>5.2521794982306608E-3</v>
      </c>
      <c r="AD102">
        <f t="shared" ca="1" si="48"/>
        <v>1.2505985493879299</v>
      </c>
      <c r="AE102">
        <f t="shared" ca="1" si="49"/>
        <v>34.74868733671503</v>
      </c>
      <c r="AF102">
        <f t="shared" ca="1" si="50"/>
        <v>3.4268501135557017E-3</v>
      </c>
      <c r="AG102">
        <f t="shared" ca="1" si="51"/>
        <v>0</v>
      </c>
      <c r="AH102">
        <f ca="1">IFERROR(IF(V32="Supercritical",MAX($D$16,IFERROR(L102,MAX($D$16,POWER((ABS(K102)^2)/($I$5*MAX(F102,0.1)^2),1/3)))),IF(V32="Subcritical",MAX($D$16,IFERROR(W102,MAX($D$16,POWER((ABS(K102)^2)/($I$5*MAX(F102,0.1)^2),1/3)))),IF(AND(IFERROR(V102,0)=1,IFERROR(AG102,0)=1),IF(IFERROR(T102,-1E+99)&gt;=IFERROR(AE102,-1E+99),MAX($D$16,IFERROR(L102,MAX($D$16,POWER((ABS(K102)^2)/($I$5*MAX(F102,0.1)^2),1/3)))),MAX($D$16,IFERROR(W102,MAX($D$16,POWER((ABS(K102)^2)/($I$5*MAX(F102,0.1)^2),1/3))))),IF(IFERROR(V102,0)=1,MAX($D$16,IFERROR(L102,MAX($D$16,POWER((ABS(K102)^2)/($I$5*MAX(F102,0.1)^2),1/3)))),IF(IFERROR(AG102,0)=1,MAX($D$16,IFERROR(W102,MAX($D$16,POWER((ABS(K102)^2)/($I$5*MAX(F102,0.1)^2),1/3)))),MAX($D$16,POWER((ABS(K102)^2)/($I$5*MAX(F102,0.1)^2),1/3))))))),MAX($D$16,POWER((ABS(K102)^2)/($I$5*MAX(F102,0.1)^2),1/3)))</f>
        <v>1.9445564202120209</v>
      </c>
      <c r="AI102">
        <f t="shared" ca="1" si="52"/>
        <v>635.67855642021209</v>
      </c>
      <c r="AJ102">
        <f t="shared" ca="1" si="53"/>
        <v>636.65083463031806</v>
      </c>
      <c r="AM102">
        <v>0</v>
      </c>
      <c r="AN102">
        <v>0</v>
      </c>
      <c r="AO102">
        <f t="shared" si="54"/>
        <v>0</v>
      </c>
      <c r="AP102">
        <f t="shared" si="63"/>
        <v>0</v>
      </c>
      <c r="AQ102">
        <f t="shared" ca="1" si="55"/>
        <v>1.0000000000000004</v>
      </c>
      <c r="AR102" t="str">
        <f t="shared" ca="1" si="56"/>
        <v>Supercritical</v>
      </c>
      <c r="AS102">
        <f t="shared" ca="1" si="57"/>
        <v>3.4431616448339893E-3</v>
      </c>
    </row>
    <row r="103" spans="1:45" x14ac:dyDescent="0.35">
      <c r="A103">
        <v>42</v>
      </c>
      <c r="B103">
        <v>40.999000000000002</v>
      </c>
      <c r="C103">
        <v>616522.92700000003</v>
      </c>
      <c r="D103">
        <v>3097738.9190000002</v>
      </c>
      <c r="E103">
        <v>633.73199999999997</v>
      </c>
      <c r="F103">
        <v>5.9989999999999997</v>
      </c>
      <c r="G103">
        <v>0</v>
      </c>
      <c r="H103" t="s">
        <v>154</v>
      </c>
      <c r="I103">
        <v>0.08</v>
      </c>
      <c r="J103">
        <f t="shared" si="58"/>
        <v>1</v>
      </c>
      <c r="K103">
        <f t="shared" ca="1" si="59"/>
        <v>50.95</v>
      </c>
      <c r="L103">
        <f t="shared" ca="1" si="60"/>
        <v>1.9445564202120209</v>
      </c>
      <c r="M103">
        <f t="shared" ca="1" si="33"/>
        <v>11.665393964851912</v>
      </c>
      <c r="N103">
        <f t="shared" ca="1" si="34"/>
        <v>1.1797391628827381</v>
      </c>
      <c r="O103">
        <f t="shared" ca="1" si="35"/>
        <v>4.3676193151738785</v>
      </c>
      <c r="P103">
        <f t="shared" ca="1" si="36"/>
        <v>635.67655642021202</v>
      </c>
      <c r="Q103">
        <f t="shared" ca="1" si="37"/>
        <v>636.64883463031799</v>
      </c>
      <c r="R103">
        <f t="shared" ca="1" si="38"/>
        <v>3.4431616448339893E-3</v>
      </c>
      <c r="S103">
        <f t="shared" ca="1" si="39"/>
        <v>1.0000000000000004</v>
      </c>
      <c r="T103">
        <f t="shared" ca="1" si="40"/>
        <v>34.026025092983033</v>
      </c>
      <c r="U103">
        <f t="shared" ca="1" si="61"/>
        <v>-1.5727987394029697E-3</v>
      </c>
      <c r="V103">
        <f t="shared" ca="1" si="62"/>
        <v>1</v>
      </c>
      <c r="W103">
        <f t="shared" ca="1" si="41"/>
        <v>1.675253365415317</v>
      </c>
      <c r="X103">
        <f t="shared" ca="1" si="42"/>
        <v>10.049844939126485</v>
      </c>
      <c r="Y103">
        <f t="shared" ca="1" si="43"/>
        <v>1.0749064339390697</v>
      </c>
      <c r="Z103">
        <f t="shared" ca="1" si="44"/>
        <v>5.0697299618663054</v>
      </c>
      <c r="AA103">
        <f t="shared" ca="1" si="45"/>
        <v>635.40725336541527</v>
      </c>
      <c r="AB103">
        <f t="shared" ca="1" si="46"/>
        <v>636.71725142281821</v>
      </c>
      <c r="AC103">
        <f t="shared" ca="1" si="47"/>
        <v>5.2519988573673272E-3</v>
      </c>
      <c r="AD103">
        <f t="shared" ca="1" si="48"/>
        <v>1.2505759548191333</v>
      </c>
      <c r="AE103">
        <f t="shared" ca="1" si="49"/>
        <v>34.748572972999028</v>
      </c>
      <c r="AF103">
        <f t="shared" ca="1" si="50"/>
        <v>3.4266652651240292E-3</v>
      </c>
      <c r="AG103">
        <f t="shared" ca="1" si="51"/>
        <v>0</v>
      </c>
      <c r="AH103">
        <f ca="1">IFERROR(IF(V32="Supercritical",MAX($D$16,IFERROR(L103,MAX($D$16,POWER((ABS(K103)^2)/($I$5*MAX(F103,0.1)^2),1/3)))),IF(V32="Subcritical",MAX($D$16,IFERROR(W103,MAX($D$16,POWER((ABS(K103)^2)/($I$5*MAX(F103,0.1)^2),1/3)))),IF(AND(IFERROR(V103,0)=1,IFERROR(AG103,0)=1),IF(IFERROR(T103,-1E+99)&gt;=IFERROR(AE103,-1E+99),MAX($D$16,IFERROR(L103,MAX($D$16,POWER((ABS(K103)^2)/($I$5*MAX(F103,0.1)^2),1/3)))),MAX($D$16,IFERROR(W103,MAX($D$16,POWER((ABS(K103)^2)/($I$5*MAX(F103,0.1)^2),1/3))))),IF(IFERROR(V103,0)=1,MAX($D$16,IFERROR(L103,MAX($D$16,POWER((ABS(K103)^2)/($I$5*MAX(F103,0.1)^2),1/3)))),IF(IFERROR(AG103,0)=1,MAX($D$16,IFERROR(W103,MAX($D$16,POWER((ABS(K103)^2)/($I$5*MAX(F103,0.1)^2),1/3)))),MAX($D$16,POWER((ABS(K103)^2)/($I$5*MAX(F103,0.1)^2),1/3))))))),MAX($D$16,POWER((ABS(K103)^2)/($I$5*MAX(F103,0.1)^2),1/3)))</f>
        <v>1.9445564202120209</v>
      </c>
      <c r="AI103">
        <f t="shared" ca="1" si="52"/>
        <v>635.67655642021202</v>
      </c>
      <c r="AJ103">
        <f t="shared" ca="1" si="53"/>
        <v>636.64883463031799</v>
      </c>
      <c r="AM103">
        <v>0</v>
      </c>
      <c r="AN103">
        <v>0</v>
      </c>
      <c r="AO103">
        <f t="shared" si="54"/>
        <v>0</v>
      </c>
      <c r="AP103">
        <f t="shared" si="63"/>
        <v>0</v>
      </c>
      <c r="AQ103">
        <f t="shared" ca="1" si="55"/>
        <v>1.0000000000000004</v>
      </c>
      <c r="AR103" t="str">
        <f t="shared" ca="1" si="56"/>
        <v>Supercritical</v>
      </c>
      <c r="AS103">
        <f t="shared" ca="1" si="57"/>
        <v>3.4431616448339893E-3</v>
      </c>
    </row>
    <row r="104" spans="1:45" x14ac:dyDescent="0.35">
      <c r="A104">
        <v>43</v>
      </c>
      <c r="B104">
        <v>41.999000000000002</v>
      </c>
      <c r="C104">
        <v>616522.35199999996</v>
      </c>
      <c r="D104">
        <v>3097738.1009999998</v>
      </c>
      <c r="E104">
        <v>633.73</v>
      </c>
      <c r="F104">
        <v>5.9989999999999997</v>
      </c>
      <c r="G104">
        <v>0</v>
      </c>
      <c r="H104" t="s">
        <v>154</v>
      </c>
      <c r="I104">
        <v>0.08</v>
      </c>
      <c r="J104">
        <f t="shared" si="58"/>
        <v>1</v>
      </c>
      <c r="K104">
        <f t="shared" ca="1" si="59"/>
        <v>50.95</v>
      </c>
      <c r="L104">
        <f t="shared" ca="1" si="60"/>
        <v>1.9445564202120209</v>
      </c>
      <c r="M104">
        <f t="shared" ca="1" si="33"/>
        <v>11.665393964851912</v>
      </c>
      <c r="N104">
        <f t="shared" ca="1" si="34"/>
        <v>1.1797391628827381</v>
      </c>
      <c r="O104">
        <f t="shared" ca="1" si="35"/>
        <v>4.3676193151738785</v>
      </c>
      <c r="P104">
        <f t="shared" ca="1" si="36"/>
        <v>635.67455642021207</v>
      </c>
      <c r="Q104">
        <f t="shared" ca="1" si="37"/>
        <v>636.64683463031804</v>
      </c>
      <c r="R104">
        <f t="shared" ca="1" si="38"/>
        <v>3.4431616448339893E-3</v>
      </c>
      <c r="S104">
        <f t="shared" ca="1" si="39"/>
        <v>1.0000000000000004</v>
      </c>
      <c r="T104">
        <f t="shared" ca="1" si="40"/>
        <v>34.026025092983033</v>
      </c>
      <c r="U104">
        <f t="shared" ca="1" si="61"/>
        <v>-1.5727987395166565E-3</v>
      </c>
      <c r="V104">
        <f t="shared" ca="1" si="62"/>
        <v>1</v>
      </c>
      <c r="W104">
        <f t="shared" ca="1" si="41"/>
        <v>1.6752331877479252</v>
      </c>
      <c r="X104">
        <f t="shared" ca="1" si="42"/>
        <v>10.049723893299802</v>
      </c>
      <c r="Y104">
        <f t="shared" ca="1" si="43"/>
        <v>1.0748981267678834</v>
      </c>
      <c r="Z104">
        <f t="shared" ca="1" si="44"/>
        <v>5.0697910252010612</v>
      </c>
      <c r="AA104">
        <f t="shared" ca="1" si="45"/>
        <v>635.40523318774797</v>
      </c>
      <c r="AB104">
        <f t="shared" ca="1" si="46"/>
        <v>636.71526280238652</v>
      </c>
      <c r="AC104">
        <f t="shared" ca="1" si="47"/>
        <v>5.2521794958490225E-3</v>
      </c>
      <c r="AD104">
        <f t="shared" ca="1" si="48"/>
        <v>1.2505985490900373</v>
      </c>
      <c r="AE104">
        <f t="shared" ca="1" si="49"/>
        <v>34.748687335207194</v>
      </c>
      <c r="AF104">
        <f t="shared" ca="1" si="50"/>
        <v>3.4268501110545913E-3</v>
      </c>
      <c r="AG104">
        <f t="shared" ca="1" si="51"/>
        <v>0</v>
      </c>
      <c r="AH104">
        <f ca="1">IFERROR(IF(V32="Supercritical",MAX($D$16,IFERROR(L104,MAX($D$16,POWER((ABS(K104)^2)/($I$5*MAX(F104,0.1)^2),1/3)))),IF(V32="Subcritical",MAX($D$16,IFERROR(W104,MAX($D$16,POWER((ABS(K104)^2)/($I$5*MAX(F104,0.1)^2),1/3)))),IF(AND(IFERROR(V104,0)=1,IFERROR(AG104,0)=1),IF(IFERROR(T104,-1E+99)&gt;=IFERROR(AE104,-1E+99),MAX($D$16,IFERROR(L104,MAX($D$16,POWER((ABS(K104)^2)/($I$5*MAX(F104,0.1)^2),1/3)))),MAX($D$16,IFERROR(W104,MAX($D$16,POWER((ABS(K104)^2)/($I$5*MAX(F104,0.1)^2),1/3))))),IF(IFERROR(V104,0)=1,MAX($D$16,IFERROR(L104,MAX($D$16,POWER((ABS(K104)^2)/($I$5*MAX(F104,0.1)^2),1/3)))),IF(IFERROR(AG104,0)=1,MAX($D$16,IFERROR(W104,MAX($D$16,POWER((ABS(K104)^2)/($I$5*MAX(F104,0.1)^2),1/3)))),MAX($D$16,POWER((ABS(K104)^2)/($I$5*MAX(F104,0.1)^2),1/3))))))),MAX($D$16,POWER((ABS(K104)^2)/($I$5*MAX(F104,0.1)^2),1/3)))</f>
        <v>1.9445564202120209</v>
      </c>
      <c r="AI104">
        <f t="shared" ca="1" si="52"/>
        <v>635.67455642021207</v>
      </c>
      <c r="AJ104">
        <f t="shared" ca="1" si="53"/>
        <v>636.64683463031804</v>
      </c>
      <c r="AM104">
        <v>0</v>
      </c>
      <c r="AN104">
        <v>0</v>
      </c>
      <c r="AO104">
        <f t="shared" si="54"/>
        <v>0</v>
      </c>
      <c r="AP104">
        <f t="shared" si="63"/>
        <v>0</v>
      </c>
      <c r="AQ104">
        <f t="shared" ca="1" si="55"/>
        <v>1.0000000000000004</v>
      </c>
      <c r="AR104" t="str">
        <f t="shared" ca="1" si="56"/>
        <v>Supercritical</v>
      </c>
      <c r="AS104">
        <f t="shared" ca="1" si="57"/>
        <v>3.4431616448339893E-3</v>
      </c>
    </row>
    <row r="105" spans="1:45" x14ac:dyDescent="0.35">
      <c r="A105">
        <v>44</v>
      </c>
      <c r="B105">
        <v>42.999000000000002</v>
      </c>
      <c r="C105">
        <v>616521.77800000005</v>
      </c>
      <c r="D105">
        <v>3097737.2820000001</v>
      </c>
      <c r="E105">
        <v>633.72799999999995</v>
      </c>
      <c r="F105">
        <v>5.9989999999999997</v>
      </c>
      <c r="G105">
        <v>0</v>
      </c>
      <c r="H105" t="s">
        <v>154</v>
      </c>
      <c r="I105">
        <v>0.08</v>
      </c>
      <c r="J105">
        <f t="shared" si="58"/>
        <v>1</v>
      </c>
      <c r="K105">
        <f t="shared" ca="1" si="59"/>
        <v>50.95</v>
      </c>
      <c r="L105">
        <f t="shared" ca="1" si="60"/>
        <v>1.9445564202120209</v>
      </c>
      <c r="M105">
        <f t="shared" ca="1" si="33"/>
        <v>11.665393964851912</v>
      </c>
      <c r="N105">
        <f t="shared" ca="1" si="34"/>
        <v>1.1797391628827381</v>
      </c>
      <c r="O105">
        <f t="shared" ca="1" si="35"/>
        <v>4.3676193151738785</v>
      </c>
      <c r="P105">
        <f t="shared" ca="1" si="36"/>
        <v>635.672556420212</v>
      </c>
      <c r="Q105">
        <f t="shared" ca="1" si="37"/>
        <v>636.64483463031797</v>
      </c>
      <c r="R105">
        <f t="shared" ca="1" si="38"/>
        <v>3.4431616448339893E-3</v>
      </c>
      <c r="S105">
        <f t="shared" ca="1" si="39"/>
        <v>1.0000000000000004</v>
      </c>
      <c r="T105">
        <f t="shared" ca="1" si="40"/>
        <v>34.026025092983033</v>
      </c>
      <c r="U105">
        <f t="shared" ca="1" si="61"/>
        <v>-1.5727987394029697E-3</v>
      </c>
      <c r="V105">
        <f t="shared" ca="1" si="62"/>
        <v>1</v>
      </c>
      <c r="W105">
        <f t="shared" ca="1" si="41"/>
        <v>1.6752533656637456</v>
      </c>
      <c r="X105">
        <f t="shared" ca="1" si="42"/>
        <v>10.04984494061681</v>
      </c>
      <c r="Y105">
        <f t="shared" ca="1" si="43"/>
        <v>1.0749064340413477</v>
      </c>
      <c r="Z105">
        <f t="shared" ca="1" si="44"/>
        <v>5.0697299611144988</v>
      </c>
      <c r="AA105">
        <f t="shared" ca="1" si="45"/>
        <v>635.40325336566366</v>
      </c>
      <c r="AB105">
        <f t="shared" ca="1" si="46"/>
        <v>636.71325142267801</v>
      </c>
      <c r="AC105">
        <f t="shared" ca="1" si="47"/>
        <v>5.2519988551433484E-3</v>
      </c>
      <c r="AD105">
        <f t="shared" ca="1" si="48"/>
        <v>1.2505759545409556</v>
      </c>
      <c r="AE105">
        <f t="shared" ca="1" si="49"/>
        <v>34.748572971591052</v>
      </c>
      <c r="AF105">
        <f t="shared" ca="1" si="50"/>
        <v>3.4266652627366057E-3</v>
      </c>
      <c r="AG105">
        <f t="shared" ca="1" si="51"/>
        <v>0</v>
      </c>
      <c r="AH105">
        <f ca="1">IFERROR(IF(V32="Supercritical",MAX($D$16,IFERROR(L105,MAX($D$16,POWER((ABS(K105)^2)/($I$5*MAX(F105,0.1)^2),1/3)))),IF(V32="Subcritical",MAX($D$16,IFERROR(W105,MAX($D$16,POWER((ABS(K105)^2)/($I$5*MAX(F105,0.1)^2),1/3)))),IF(AND(IFERROR(V105,0)=1,IFERROR(AG105,0)=1),IF(IFERROR(T105,-1E+99)&gt;=IFERROR(AE105,-1E+99),MAX($D$16,IFERROR(L105,MAX($D$16,POWER((ABS(K105)^2)/($I$5*MAX(F105,0.1)^2),1/3)))),MAX($D$16,IFERROR(W105,MAX($D$16,POWER((ABS(K105)^2)/($I$5*MAX(F105,0.1)^2),1/3))))),IF(IFERROR(V105,0)=1,MAX($D$16,IFERROR(L105,MAX($D$16,POWER((ABS(K105)^2)/($I$5*MAX(F105,0.1)^2),1/3)))),IF(IFERROR(AG105,0)=1,MAX($D$16,IFERROR(W105,MAX($D$16,POWER((ABS(K105)^2)/($I$5*MAX(F105,0.1)^2),1/3)))),MAX($D$16,POWER((ABS(K105)^2)/($I$5*MAX(F105,0.1)^2),1/3))))))),MAX($D$16,POWER((ABS(K105)^2)/($I$5*MAX(F105,0.1)^2),1/3)))</f>
        <v>1.9445564202120209</v>
      </c>
      <c r="AI105">
        <f t="shared" ca="1" si="52"/>
        <v>635.672556420212</v>
      </c>
      <c r="AJ105">
        <f t="shared" ca="1" si="53"/>
        <v>636.64483463031797</v>
      </c>
      <c r="AM105">
        <v>0</v>
      </c>
      <c r="AN105">
        <v>0</v>
      </c>
      <c r="AO105">
        <f t="shared" si="54"/>
        <v>0</v>
      </c>
      <c r="AP105">
        <f t="shared" si="63"/>
        <v>0</v>
      </c>
      <c r="AQ105">
        <f t="shared" ca="1" si="55"/>
        <v>1.0000000000000004</v>
      </c>
      <c r="AR105" t="str">
        <f t="shared" ca="1" si="56"/>
        <v>Supercritical</v>
      </c>
      <c r="AS105">
        <f t="shared" ca="1" si="57"/>
        <v>3.4431616448339893E-3</v>
      </c>
    </row>
    <row r="106" spans="1:45" x14ac:dyDescent="0.35">
      <c r="A106">
        <v>45</v>
      </c>
      <c r="B106">
        <v>43.999000000000002</v>
      </c>
      <c r="C106">
        <v>616521.20299999998</v>
      </c>
      <c r="D106">
        <v>3097736.4640000002</v>
      </c>
      <c r="E106">
        <v>633.726</v>
      </c>
      <c r="F106">
        <v>5.9989999999999997</v>
      </c>
      <c r="G106">
        <v>0</v>
      </c>
      <c r="H106" t="s">
        <v>154</v>
      </c>
      <c r="I106">
        <v>0.08</v>
      </c>
      <c r="J106">
        <f t="shared" si="58"/>
        <v>1</v>
      </c>
      <c r="K106">
        <f t="shared" ca="1" si="59"/>
        <v>50.95</v>
      </c>
      <c r="L106">
        <f t="shared" ca="1" si="60"/>
        <v>1.9445564202120209</v>
      </c>
      <c r="M106">
        <f t="shared" ca="1" si="33"/>
        <v>11.665393964851912</v>
      </c>
      <c r="N106">
        <f t="shared" ca="1" si="34"/>
        <v>1.1797391628827381</v>
      </c>
      <c r="O106">
        <f t="shared" ca="1" si="35"/>
        <v>4.3676193151738785</v>
      </c>
      <c r="P106">
        <f t="shared" ca="1" si="36"/>
        <v>635.67055642021205</v>
      </c>
      <c r="Q106">
        <f t="shared" ca="1" si="37"/>
        <v>636.64283463031802</v>
      </c>
      <c r="R106">
        <f t="shared" ca="1" si="38"/>
        <v>3.4431616448339893E-3</v>
      </c>
      <c r="S106">
        <f t="shared" ca="1" si="39"/>
        <v>1.0000000000000004</v>
      </c>
      <c r="T106">
        <f t="shared" ca="1" si="40"/>
        <v>34.026025092983033</v>
      </c>
      <c r="U106">
        <f t="shared" ca="1" si="61"/>
        <v>-1.5727987395166565E-3</v>
      </c>
      <c r="V106">
        <f t="shared" ca="1" si="62"/>
        <v>1</v>
      </c>
      <c r="W106">
        <f t="shared" ca="1" si="41"/>
        <v>1.6752331879799316</v>
      </c>
      <c r="X106">
        <f t="shared" ca="1" si="42"/>
        <v>10.04972389469161</v>
      </c>
      <c r="Y106">
        <f t="shared" ca="1" si="43"/>
        <v>1.0748981268634012</v>
      </c>
      <c r="Z106">
        <f t="shared" ca="1" si="44"/>
        <v>5.0697910244989348</v>
      </c>
      <c r="AA106">
        <f t="shared" ca="1" si="45"/>
        <v>635.40123318797998</v>
      </c>
      <c r="AB106">
        <f t="shared" ca="1" si="46"/>
        <v>636.71126280225576</v>
      </c>
      <c r="AC106">
        <f t="shared" ca="1" si="47"/>
        <v>5.2521794937719583E-3</v>
      </c>
      <c r="AD106">
        <f t="shared" ca="1" si="48"/>
        <v>1.2505985488302402</v>
      </c>
      <c r="AE106">
        <f t="shared" ca="1" si="49"/>
        <v>34.748687333892171</v>
      </c>
      <c r="AF106">
        <f t="shared" ca="1" si="50"/>
        <v>3.3242311226331367E-3</v>
      </c>
      <c r="AG106">
        <f t="shared" ca="1" si="51"/>
        <v>0</v>
      </c>
      <c r="AH106">
        <f ca="1">IFERROR(IF(V32="Supercritical",MAX($D$16,IFERROR(L106,MAX($D$16,POWER((ABS(K106)^2)/($I$5*MAX(F106,0.1)^2),1/3)))),IF(V32="Subcritical",MAX($D$16,IFERROR(W106,MAX($D$16,POWER((ABS(K106)^2)/($I$5*MAX(F106,0.1)^2),1/3)))),IF(AND(IFERROR(V106,0)=1,IFERROR(AG106,0)=1),IF(IFERROR(T106,-1E+99)&gt;=IFERROR(AE106,-1E+99),MAX($D$16,IFERROR(L106,MAX($D$16,POWER((ABS(K106)^2)/($I$5*MAX(F106,0.1)^2),1/3)))),MAX($D$16,IFERROR(W106,MAX($D$16,POWER((ABS(K106)^2)/($I$5*MAX(F106,0.1)^2),1/3))))),IF(IFERROR(V106,0)=1,MAX($D$16,IFERROR(L106,MAX($D$16,POWER((ABS(K106)^2)/($I$5*MAX(F106,0.1)^2),1/3)))),IF(IFERROR(AG106,0)=1,MAX($D$16,IFERROR(W106,MAX($D$16,POWER((ABS(K106)^2)/($I$5*MAX(F106,0.1)^2),1/3)))),MAX($D$16,POWER((ABS(K106)^2)/($I$5*MAX(F106,0.1)^2),1/3))))))),MAX($D$16,POWER((ABS(K106)^2)/($I$5*MAX(F106,0.1)^2),1/3)))</f>
        <v>1.9445564202120209</v>
      </c>
      <c r="AI106">
        <f t="shared" ca="1" si="52"/>
        <v>635.67055642021205</v>
      </c>
      <c r="AJ106">
        <f t="shared" ca="1" si="53"/>
        <v>636.64283463031802</v>
      </c>
      <c r="AM106">
        <v>0</v>
      </c>
      <c r="AN106">
        <v>0</v>
      </c>
      <c r="AO106">
        <f t="shared" si="54"/>
        <v>0</v>
      </c>
      <c r="AP106">
        <f t="shared" si="63"/>
        <v>0</v>
      </c>
      <c r="AQ106">
        <f t="shared" ca="1" si="55"/>
        <v>1.0000000000000004</v>
      </c>
      <c r="AR106" t="str">
        <f t="shared" ca="1" si="56"/>
        <v>Supercritical</v>
      </c>
      <c r="AS106">
        <f t="shared" ca="1" si="57"/>
        <v>3.4431616448339893E-3</v>
      </c>
    </row>
    <row r="107" spans="1:45" x14ac:dyDescent="0.35">
      <c r="A107">
        <v>46</v>
      </c>
      <c r="B107">
        <v>44.999000000000002</v>
      </c>
      <c r="C107">
        <v>616520.62899999996</v>
      </c>
      <c r="D107">
        <v>3097735.645</v>
      </c>
      <c r="E107">
        <v>633.72400000000005</v>
      </c>
      <c r="F107">
        <v>5.9989999999999997</v>
      </c>
      <c r="G107">
        <v>0</v>
      </c>
      <c r="H107" t="s">
        <v>154</v>
      </c>
      <c r="I107">
        <v>3.3000000000000002E-2</v>
      </c>
      <c r="J107">
        <f t="shared" si="58"/>
        <v>1</v>
      </c>
      <c r="K107">
        <f t="shared" ca="1" si="59"/>
        <v>50.95</v>
      </c>
      <c r="L107">
        <f t="shared" ca="1" si="60"/>
        <v>1.9445564202120209</v>
      </c>
      <c r="M107">
        <f t="shared" ca="1" si="33"/>
        <v>11.665393964851912</v>
      </c>
      <c r="N107">
        <f t="shared" ca="1" si="34"/>
        <v>1.1797391628827381</v>
      </c>
      <c r="O107">
        <f t="shared" ca="1" si="35"/>
        <v>4.3676193151738785</v>
      </c>
      <c r="P107">
        <f t="shared" ca="1" si="36"/>
        <v>635.6685564202121</v>
      </c>
      <c r="Q107">
        <f t="shared" ca="1" si="37"/>
        <v>636.64083463031807</v>
      </c>
      <c r="R107">
        <f t="shared" ca="1" si="38"/>
        <v>3.4431616448339893E-3</v>
      </c>
      <c r="S107">
        <f t="shared" ca="1" si="39"/>
        <v>1.0000000000000004</v>
      </c>
      <c r="T107">
        <f t="shared" ca="1" si="40"/>
        <v>34.026025092983033</v>
      </c>
      <c r="U107">
        <f t="shared" ca="1" si="61"/>
        <v>-1.4966369463991214E-3</v>
      </c>
      <c r="V107">
        <f t="shared" ca="1" si="62"/>
        <v>1</v>
      </c>
      <c r="W107">
        <f t="shared" ca="1" si="41"/>
        <v>1.6752533658804212</v>
      </c>
      <c r="X107">
        <f t="shared" ca="1" si="42"/>
        <v>10.049844941916646</v>
      </c>
      <c r="Y107">
        <f t="shared" ca="1" si="43"/>
        <v>1.074906434130553</v>
      </c>
      <c r="Z107">
        <f t="shared" ca="1" si="44"/>
        <v>5.0697299604587851</v>
      </c>
      <c r="AA107">
        <f t="shared" ca="1" si="45"/>
        <v>635.39925336588044</v>
      </c>
      <c r="AB107">
        <f t="shared" ca="1" si="46"/>
        <v>636.70925142255589</v>
      </c>
      <c r="AC107">
        <f t="shared" ca="1" si="47"/>
        <v>5.2519988532036283E-3</v>
      </c>
      <c r="AD107">
        <f t="shared" ca="1" si="48"/>
        <v>1.250575954298333</v>
      </c>
      <c r="AE107">
        <f t="shared" ca="1" si="49"/>
        <v>34.748572970363043</v>
      </c>
      <c r="AF107">
        <f t="shared" ca="1" si="50"/>
        <v>3.2773134756780564E-3</v>
      </c>
      <c r="AG107">
        <f t="shared" ca="1" si="51"/>
        <v>0</v>
      </c>
      <c r="AH107">
        <f ca="1">IFERROR(IF(V32="Supercritical",MAX($D$16,IFERROR(L107,MAX($D$16,POWER((ABS(K107)^2)/($I$5*MAX(F107,0.1)^2),1/3)))),IF(V32="Subcritical",MAX($D$16,IFERROR(W107,MAX($D$16,POWER((ABS(K107)^2)/($I$5*MAX(F107,0.1)^2),1/3)))),IF(AND(IFERROR(V107,0)=1,IFERROR(AG107,0)=1),IF(IFERROR(T107,-1E+99)&gt;=IFERROR(AE107,-1E+99),MAX($D$16,IFERROR(L107,MAX($D$16,POWER((ABS(K107)^2)/($I$5*MAX(F107,0.1)^2),1/3)))),MAX($D$16,IFERROR(W107,MAX($D$16,POWER((ABS(K107)^2)/($I$5*MAX(F107,0.1)^2),1/3))))),IF(IFERROR(V107,0)=1,MAX($D$16,IFERROR(L107,MAX($D$16,POWER((ABS(K107)^2)/($I$5*MAX(F107,0.1)^2),1/3)))),IF(IFERROR(AG107,0)=1,MAX($D$16,IFERROR(W107,MAX($D$16,POWER((ABS(K107)^2)/($I$5*MAX(F107,0.1)^2),1/3)))),MAX($D$16,POWER((ABS(K107)^2)/($I$5*MAX(F107,0.1)^2),1/3))))))),MAX($D$16,POWER((ABS(K107)^2)/($I$5*MAX(F107,0.1)^2),1/3)))</f>
        <v>1.9445564202120209</v>
      </c>
      <c r="AI107">
        <f t="shared" ca="1" si="52"/>
        <v>635.6685564202121</v>
      </c>
      <c r="AJ107">
        <f t="shared" ca="1" si="53"/>
        <v>636.64083463031807</v>
      </c>
      <c r="AM107">
        <v>0</v>
      </c>
      <c r="AN107">
        <v>0</v>
      </c>
      <c r="AO107">
        <f t="shared" si="54"/>
        <v>0</v>
      </c>
      <c r="AP107">
        <f t="shared" si="63"/>
        <v>0</v>
      </c>
      <c r="AQ107">
        <f t="shared" ca="1" si="55"/>
        <v>1.0000000000000004</v>
      </c>
      <c r="AR107" t="str">
        <f t="shared" ca="1" si="56"/>
        <v>Supercritical</v>
      </c>
      <c r="AS107">
        <f t="shared" ca="1" si="57"/>
        <v>3.4431616448339893E-3</v>
      </c>
    </row>
    <row r="108" spans="1:45" x14ac:dyDescent="0.35">
      <c r="A108">
        <v>47</v>
      </c>
      <c r="B108">
        <v>45.997999999999998</v>
      </c>
      <c r="C108">
        <v>616520.05500000005</v>
      </c>
      <c r="D108">
        <v>3097734.827</v>
      </c>
      <c r="E108">
        <v>633.72199999999998</v>
      </c>
      <c r="F108">
        <v>5.9989999999999997</v>
      </c>
      <c r="G108">
        <v>0</v>
      </c>
      <c r="H108" t="s">
        <v>154</v>
      </c>
      <c r="I108">
        <v>1.4E-2</v>
      </c>
      <c r="J108">
        <f t="shared" si="58"/>
        <v>0.99899999999999523</v>
      </c>
      <c r="K108">
        <f t="shared" ca="1" si="59"/>
        <v>50.95</v>
      </c>
      <c r="L108">
        <f t="shared" ca="1" si="60"/>
        <v>1.9445564202120209</v>
      </c>
      <c r="M108">
        <f t="shared" ca="1" si="33"/>
        <v>11.665393964851912</v>
      </c>
      <c r="N108">
        <f t="shared" ca="1" si="34"/>
        <v>1.1797391628827381</v>
      </c>
      <c r="O108">
        <f t="shared" ca="1" si="35"/>
        <v>4.3676193151738785</v>
      </c>
      <c r="P108">
        <f t="shared" ca="1" si="36"/>
        <v>635.66655642021203</v>
      </c>
      <c r="Q108">
        <f t="shared" ca="1" si="37"/>
        <v>636.638834630318</v>
      </c>
      <c r="R108">
        <f t="shared" ca="1" si="38"/>
        <v>3.4431616448339893E-3</v>
      </c>
      <c r="S108">
        <f t="shared" ca="1" si="39"/>
        <v>1.0000000000000004</v>
      </c>
      <c r="T108">
        <f t="shared" ca="1" si="40"/>
        <v>34.026025092983033</v>
      </c>
      <c r="U108">
        <f t="shared" ca="1" si="61"/>
        <v>-1.4624049746316814E-3</v>
      </c>
      <c r="V108">
        <f t="shared" ca="1" si="62"/>
        <v>1</v>
      </c>
      <c r="W108">
        <f t="shared" ca="1" si="41"/>
        <v>1.6752331881822826</v>
      </c>
      <c r="X108">
        <f t="shared" ca="1" si="42"/>
        <v>10.049723895905514</v>
      </c>
      <c r="Y108">
        <f t="shared" ca="1" si="43"/>
        <v>1.0748981269467099</v>
      </c>
      <c r="Z108">
        <f t="shared" ca="1" si="44"/>
        <v>5.0697910238865562</v>
      </c>
      <c r="AA108">
        <f t="shared" ca="1" si="45"/>
        <v>635.39723318818221</v>
      </c>
      <c r="AB108">
        <f t="shared" ca="1" si="46"/>
        <v>636.70726280214149</v>
      </c>
      <c r="AC108">
        <f t="shared" ca="1" si="47"/>
        <v>5.2521794919603874E-3</v>
      </c>
      <c r="AD108">
        <f t="shared" ca="1" si="48"/>
        <v>1.2505985486036511</v>
      </c>
      <c r="AE108">
        <f t="shared" ca="1" si="49"/>
        <v>34.748687332745249</v>
      </c>
      <c r="AF108">
        <f t="shared" ca="1" si="50"/>
        <v>-3.4712000970898771E-2</v>
      </c>
      <c r="AG108">
        <f t="shared" ca="1" si="51"/>
        <v>0</v>
      </c>
      <c r="AH108">
        <f ca="1">IFERROR(IF(V32="Supercritical",MAX($D$16,IFERROR(L108,MAX($D$16,POWER((ABS(K108)^2)/($I$5*MAX(F108,0.1)^2),1/3)))),IF(V32="Subcritical",MAX($D$16,IFERROR(W108,MAX($D$16,POWER((ABS(K108)^2)/($I$5*MAX(F108,0.1)^2),1/3)))),IF(AND(IFERROR(V108,0)=1,IFERROR(AG108,0)=1),IF(IFERROR(T108,-1E+99)&gt;=IFERROR(AE108,-1E+99),MAX($D$16,IFERROR(L108,MAX($D$16,POWER((ABS(K108)^2)/($I$5*MAX(F108,0.1)^2),1/3)))),MAX($D$16,IFERROR(W108,MAX($D$16,POWER((ABS(K108)^2)/($I$5*MAX(F108,0.1)^2),1/3))))),IF(IFERROR(V108,0)=1,MAX($D$16,IFERROR(L108,MAX($D$16,POWER((ABS(K108)^2)/($I$5*MAX(F108,0.1)^2),1/3)))),IF(IFERROR(AG108,0)=1,MAX($D$16,IFERROR(W108,MAX($D$16,POWER((ABS(K108)^2)/($I$5*MAX(F108,0.1)^2),1/3)))),MAX($D$16,POWER((ABS(K108)^2)/($I$5*MAX(F108,0.1)^2),1/3))))))),MAX($D$16,POWER((ABS(K108)^2)/($I$5*MAX(F108,0.1)^2),1/3)))</f>
        <v>1.9445564202120209</v>
      </c>
      <c r="AI108">
        <f t="shared" ca="1" si="52"/>
        <v>635.66655642021203</v>
      </c>
      <c r="AJ108">
        <f t="shared" ca="1" si="53"/>
        <v>636.638834630318</v>
      </c>
      <c r="AM108">
        <v>0</v>
      </c>
      <c r="AN108">
        <v>0</v>
      </c>
      <c r="AO108">
        <f t="shared" si="54"/>
        <v>0</v>
      </c>
      <c r="AP108">
        <f t="shared" si="63"/>
        <v>0</v>
      </c>
      <c r="AQ108">
        <f t="shared" ca="1" si="55"/>
        <v>1.0000000000000004</v>
      </c>
      <c r="AR108" t="str">
        <f t="shared" ca="1" si="56"/>
        <v>Supercritical</v>
      </c>
      <c r="AS108">
        <f t="shared" ca="1" si="57"/>
        <v>3.4431616448339893E-3</v>
      </c>
    </row>
    <row r="109" spans="1:45" x14ac:dyDescent="0.35">
      <c r="A109">
        <v>48</v>
      </c>
      <c r="B109">
        <v>46.999000000000002</v>
      </c>
      <c r="C109">
        <v>616519.48</v>
      </c>
      <c r="D109">
        <v>3097734.0079999999</v>
      </c>
      <c r="E109">
        <v>633.68200000000002</v>
      </c>
      <c r="F109">
        <v>5.9989999999999997</v>
      </c>
      <c r="G109">
        <v>0</v>
      </c>
      <c r="H109" t="s">
        <v>154</v>
      </c>
      <c r="I109">
        <v>1.4E-2</v>
      </c>
      <c r="J109">
        <f t="shared" si="58"/>
        <v>1.0010000000000048</v>
      </c>
      <c r="K109">
        <f t="shared" ca="1" si="59"/>
        <v>50.95</v>
      </c>
      <c r="L109">
        <f t="shared" ca="1" si="60"/>
        <v>1.9445564202120209</v>
      </c>
      <c r="M109">
        <f t="shared" ca="1" si="33"/>
        <v>11.665393964851912</v>
      </c>
      <c r="N109">
        <f t="shared" ca="1" si="34"/>
        <v>1.1797391628827381</v>
      </c>
      <c r="O109">
        <f t="shared" ca="1" si="35"/>
        <v>4.3676193151738785</v>
      </c>
      <c r="P109">
        <f t="shared" ca="1" si="36"/>
        <v>635.62655642021207</v>
      </c>
      <c r="Q109">
        <f t="shared" ca="1" si="37"/>
        <v>636.59883463031804</v>
      </c>
      <c r="R109">
        <f t="shared" ca="1" si="38"/>
        <v>3.4431616448339893E-3</v>
      </c>
      <c r="S109">
        <f t="shared" ca="1" si="39"/>
        <v>1.0000000000000004</v>
      </c>
      <c r="T109">
        <f t="shared" ca="1" si="40"/>
        <v>34.026025092983033</v>
      </c>
      <c r="U109">
        <f t="shared" ca="1" si="61"/>
        <v>3.6530708701889125E-2</v>
      </c>
      <c r="V109">
        <f t="shared" ca="1" si="62"/>
        <v>1</v>
      </c>
      <c r="W109">
        <f t="shared" ca="1" si="41"/>
        <v>1.6752533660693687</v>
      </c>
      <c r="X109">
        <f t="shared" ca="1" si="42"/>
        <v>10.049844943050143</v>
      </c>
      <c r="Y109">
        <f t="shared" ca="1" si="43"/>
        <v>1.0749064342083425</v>
      </c>
      <c r="Z109">
        <f t="shared" ca="1" si="44"/>
        <v>5.0697299598869829</v>
      </c>
      <c r="AA109">
        <f t="shared" ca="1" si="45"/>
        <v>635.35725336606936</v>
      </c>
      <c r="AB109">
        <f t="shared" ca="1" si="46"/>
        <v>636.66725142244934</v>
      </c>
      <c r="AC109">
        <f t="shared" ca="1" si="47"/>
        <v>5.2519988515121368E-3</v>
      </c>
      <c r="AD109">
        <f t="shared" ca="1" si="48"/>
        <v>1.2505759540867591</v>
      </c>
      <c r="AE109">
        <f t="shared" ca="1" si="49"/>
        <v>34.748572969292177</v>
      </c>
      <c r="AF109">
        <f t="shared" ca="1" si="50"/>
        <v>-3.472268652603816E-2</v>
      </c>
      <c r="AG109">
        <f t="shared" ca="1" si="51"/>
        <v>0</v>
      </c>
      <c r="AH109">
        <f ca="1">IFERROR(IF(V32="Supercritical",MAX($D$16,IFERROR(L109,MAX($D$16,POWER((ABS(K109)^2)/($I$5*MAX(F109,0.1)^2),1/3)))),IF(V32="Subcritical",MAX($D$16,IFERROR(W109,MAX($D$16,POWER((ABS(K109)^2)/($I$5*MAX(F109,0.1)^2),1/3)))),IF(AND(IFERROR(V109,0)=1,IFERROR(AG109,0)=1),IF(IFERROR(T109,-1E+99)&gt;=IFERROR(AE109,-1E+99),MAX($D$16,IFERROR(L109,MAX($D$16,POWER((ABS(K109)^2)/($I$5*MAX(F109,0.1)^2),1/3)))),MAX($D$16,IFERROR(W109,MAX($D$16,POWER((ABS(K109)^2)/($I$5*MAX(F109,0.1)^2),1/3))))),IF(IFERROR(V109,0)=1,MAX($D$16,IFERROR(L109,MAX($D$16,POWER((ABS(K109)^2)/($I$5*MAX(F109,0.1)^2),1/3)))),IF(IFERROR(AG109,0)=1,MAX($D$16,IFERROR(W109,MAX($D$16,POWER((ABS(K109)^2)/($I$5*MAX(F109,0.1)^2),1/3)))),MAX($D$16,POWER((ABS(K109)^2)/($I$5*MAX(F109,0.1)^2),1/3))))))),MAX($D$16,POWER((ABS(K109)^2)/($I$5*MAX(F109,0.1)^2),1/3)))</f>
        <v>1.9445564202120209</v>
      </c>
      <c r="AI109">
        <f t="shared" ca="1" si="52"/>
        <v>635.62655642021207</v>
      </c>
      <c r="AJ109">
        <f t="shared" ca="1" si="53"/>
        <v>636.59883463031804</v>
      </c>
      <c r="AM109">
        <v>0</v>
      </c>
      <c r="AN109">
        <v>0</v>
      </c>
      <c r="AO109">
        <f t="shared" si="54"/>
        <v>0</v>
      </c>
      <c r="AP109">
        <f t="shared" si="63"/>
        <v>0</v>
      </c>
      <c r="AQ109">
        <f t="shared" ca="1" si="55"/>
        <v>1.0000000000000004</v>
      </c>
      <c r="AR109" t="str">
        <f t="shared" ca="1" si="56"/>
        <v>Supercritical</v>
      </c>
      <c r="AS109">
        <f t="shared" ca="1" si="57"/>
        <v>3.4431616448339893E-3</v>
      </c>
    </row>
    <row r="110" spans="1:45" x14ac:dyDescent="0.35">
      <c r="A110">
        <v>49</v>
      </c>
      <c r="B110">
        <v>47.997999999999998</v>
      </c>
      <c r="C110">
        <v>616518.90599999996</v>
      </c>
      <c r="D110">
        <v>3097733.19</v>
      </c>
      <c r="E110">
        <v>633.64200000000005</v>
      </c>
      <c r="F110">
        <v>5.9989999999999997</v>
      </c>
      <c r="G110">
        <v>0</v>
      </c>
      <c r="H110" t="s">
        <v>154</v>
      </c>
      <c r="I110">
        <v>1.4E-2</v>
      </c>
      <c r="J110">
        <f t="shared" si="58"/>
        <v>0.99899999999999523</v>
      </c>
      <c r="K110">
        <f t="shared" ca="1" si="59"/>
        <v>50.95</v>
      </c>
      <c r="L110">
        <f t="shared" ca="1" si="60"/>
        <v>1.9445564202120209</v>
      </c>
      <c r="M110">
        <f t="shared" ca="1" si="33"/>
        <v>11.665393964851912</v>
      </c>
      <c r="N110">
        <f t="shared" ca="1" si="34"/>
        <v>1.1797391628827381</v>
      </c>
      <c r="O110">
        <f t="shared" ca="1" si="35"/>
        <v>4.3676193151738785</v>
      </c>
      <c r="P110">
        <f t="shared" ca="1" si="36"/>
        <v>635.5865564202121</v>
      </c>
      <c r="Q110">
        <f t="shared" ca="1" si="37"/>
        <v>636.55883463031807</v>
      </c>
      <c r="R110">
        <f t="shared" ca="1" si="38"/>
        <v>3.4431616448339893E-3</v>
      </c>
      <c r="S110">
        <f t="shared" ca="1" si="39"/>
        <v>1.0000000000000004</v>
      </c>
      <c r="T110">
        <f t="shared" ca="1" si="40"/>
        <v>34.026025092983033</v>
      </c>
      <c r="U110">
        <f t="shared" ca="1" si="61"/>
        <v>3.6537595025265546E-2</v>
      </c>
      <c r="V110">
        <f t="shared" ca="1" si="62"/>
        <v>1</v>
      </c>
      <c r="W110">
        <f t="shared" ca="1" si="41"/>
        <v>1.6752331883587304</v>
      </c>
      <c r="X110">
        <f t="shared" ca="1" si="42"/>
        <v>10.049723896964023</v>
      </c>
      <c r="Y110">
        <f t="shared" ca="1" si="43"/>
        <v>1.0748981270193538</v>
      </c>
      <c r="Z110">
        <f t="shared" ca="1" si="44"/>
        <v>5.0697910233525691</v>
      </c>
      <c r="AA110">
        <f t="shared" ca="1" si="45"/>
        <v>635.31723318835873</v>
      </c>
      <c r="AB110">
        <f t="shared" ca="1" si="46"/>
        <v>636.62726280204197</v>
      </c>
      <c r="AC110">
        <f t="shared" ca="1" si="47"/>
        <v>5.2521794903807205E-3</v>
      </c>
      <c r="AD110">
        <f t="shared" ca="1" si="48"/>
        <v>1.250598548406068</v>
      </c>
      <c r="AE110">
        <f t="shared" ca="1" si="49"/>
        <v>34.748687331745131</v>
      </c>
      <c r="AF110">
        <f t="shared" ca="1" si="50"/>
        <v>-3.4712000972604073E-2</v>
      </c>
      <c r="AG110">
        <f t="shared" ca="1" si="51"/>
        <v>0</v>
      </c>
      <c r="AH110">
        <f ca="1">IFERROR(IF(V32="Supercritical",MAX($D$16,IFERROR(L110,MAX($D$16,POWER((ABS(K110)^2)/($I$5*MAX(F110,0.1)^2),1/3)))),IF(V32="Subcritical",MAX($D$16,IFERROR(W110,MAX($D$16,POWER((ABS(K110)^2)/($I$5*MAX(F110,0.1)^2),1/3)))),IF(AND(IFERROR(V110,0)=1,IFERROR(AG110,0)=1),IF(IFERROR(T110,-1E+99)&gt;=IFERROR(AE110,-1E+99),MAX($D$16,IFERROR(L110,MAX($D$16,POWER((ABS(K110)^2)/($I$5*MAX(F110,0.1)^2),1/3)))),MAX($D$16,IFERROR(W110,MAX($D$16,POWER((ABS(K110)^2)/($I$5*MAX(F110,0.1)^2),1/3))))),IF(IFERROR(V110,0)=1,MAX($D$16,IFERROR(L110,MAX($D$16,POWER((ABS(K110)^2)/($I$5*MAX(F110,0.1)^2),1/3)))),IF(IFERROR(AG110,0)=1,MAX($D$16,IFERROR(W110,MAX($D$16,POWER((ABS(K110)^2)/($I$5*MAX(F110,0.1)^2),1/3)))),MAX($D$16,POWER((ABS(K110)^2)/($I$5*MAX(F110,0.1)^2),1/3))))))),MAX($D$16,POWER((ABS(K110)^2)/($I$5*MAX(F110,0.1)^2),1/3)))</f>
        <v>1.9445564202120209</v>
      </c>
      <c r="AI110">
        <f t="shared" ca="1" si="52"/>
        <v>635.5865564202121</v>
      </c>
      <c r="AJ110">
        <f t="shared" ca="1" si="53"/>
        <v>636.55883463031807</v>
      </c>
      <c r="AM110">
        <v>0</v>
      </c>
      <c r="AN110">
        <v>0</v>
      </c>
      <c r="AO110">
        <f t="shared" si="54"/>
        <v>0</v>
      </c>
      <c r="AP110">
        <f t="shared" si="63"/>
        <v>0</v>
      </c>
      <c r="AQ110">
        <f t="shared" ca="1" si="55"/>
        <v>1.0000000000000004</v>
      </c>
      <c r="AR110" t="str">
        <f t="shared" ca="1" si="56"/>
        <v>Supercritical</v>
      </c>
      <c r="AS110">
        <f t="shared" ca="1" si="57"/>
        <v>3.4431616448339893E-3</v>
      </c>
    </row>
    <row r="111" spans="1:45" x14ac:dyDescent="0.35">
      <c r="A111">
        <v>50</v>
      </c>
      <c r="B111">
        <v>48.999000000000002</v>
      </c>
      <c r="C111">
        <v>616518.33100000001</v>
      </c>
      <c r="D111">
        <v>3097732.3709999998</v>
      </c>
      <c r="E111">
        <v>633.60199999999998</v>
      </c>
      <c r="F111">
        <v>5.9989999999999997</v>
      </c>
      <c r="G111">
        <v>0</v>
      </c>
      <c r="H111" t="s">
        <v>154</v>
      </c>
      <c r="I111">
        <v>1.4E-2</v>
      </c>
      <c r="J111">
        <f t="shared" si="58"/>
        <v>1.0010000000000048</v>
      </c>
      <c r="K111">
        <f t="shared" ca="1" si="59"/>
        <v>50.95</v>
      </c>
      <c r="L111">
        <f t="shared" ca="1" si="60"/>
        <v>1.9445564202120209</v>
      </c>
      <c r="M111">
        <f t="shared" ca="1" si="33"/>
        <v>11.665393964851912</v>
      </c>
      <c r="N111">
        <f t="shared" ca="1" si="34"/>
        <v>1.1797391628827381</v>
      </c>
      <c r="O111">
        <f t="shared" ca="1" si="35"/>
        <v>4.3676193151738785</v>
      </c>
      <c r="P111">
        <f t="shared" ca="1" si="36"/>
        <v>635.54655642021203</v>
      </c>
      <c r="Q111">
        <f t="shared" ca="1" si="37"/>
        <v>636.518834630318</v>
      </c>
      <c r="R111">
        <f t="shared" ca="1" si="38"/>
        <v>3.4431616448339893E-3</v>
      </c>
      <c r="S111">
        <f t="shared" ca="1" si="39"/>
        <v>1.0000000000000004</v>
      </c>
      <c r="T111">
        <f t="shared" ca="1" si="40"/>
        <v>34.026025092983033</v>
      </c>
      <c r="U111">
        <f t="shared" ca="1" si="61"/>
        <v>3.6530708702002812E-2</v>
      </c>
      <c r="V111">
        <f t="shared" ca="1" si="62"/>
        <v>1</v>
      </c>
      <c r="W111">
        <f t="shared" ca="1" si="41"/>
        <v>1.675253366234152</v>
      </c>
      <c r="X111">
        <f t="shared" ca="1" si="42"/>
        <v>10.049844944038677</v>
      </c>
      <c r="Y111">
        <f t="shared" ca="1" si="43"/>
        <v>1.0749064342761836</v>
      </c>
      <c r="Z111">
        <f t="shared" ca="1" si="44"/>
        <v>5.0697299593883089</v>
      </c>
      <c r="AA111">
        <f t="shared" ca="1" si="45"/>
        <v>635.27725336623416</v>
      </c>
      <c r="AB111">
        <f t="shared" ca="1" si="46"/>
        <v>636.58725142235642</v>
      </c>
      <c r="AC111">
        <f t="shared" ca="1" si="47"/>
        <v>5.2519988500369678E-3</v>
      </c>
      <c r="AD111">
        <f t="shared" ca="1" si="48"/>
        <v>1.2505759539022432</v>
      </c>
      <c r="AE111">
        <f t="shared" ca="1" si="49"/>
        <v>34.748572968358268</v>
      </c>
      <c r="AF111">
        <f t="shared" ca="1" si="50"/>
        <v>-3.1829305899464089E-2</v>
      </c>
      <c r="AG111">
        <f t="shared" ca="1" si="51"/>
        <v>0</v>
      </c>
      <c r="AH111">
        <f ca="1">IFERROR(IF(V32="Supercritical",MAX($D$16,IFERROR(L111,MAX($D$16,POWER((ABS(K111)^2)/($I$5*MAX(F111,0.1)^2),1/3)))),IF(V32="Subcritical",MAX($D$16,IFERROR(W111,MAX($D$16,POWER((ABS(K111)^2)/($I$5*MAX(F111,0.1)^2),1/3)))),IF(AND(IFERROR(V111,0)=1,IFERROR(AG111,0)=1),IF(IFERROR(T111,-1E+99)&gt;=IFERROR(AE111,-1E+99),MAX($D$16,IFERROR(L111,MAX($D$16,POWER((ABS(K111)^2)/($I$5*MAX(F111,0.1)^2),1/3)))),MAX($D$16,IFERROR(W111,MAX($D$16,POWER((ABS(K111)^2)/($I$5*MAX(F111,0.1)^2),1/3))))),IF(IFERROR(V111,0)=1,MAX($D$16,IFERROR(L111,MAX($D$16,POWER((ABS(K111)^2)/($I$5*MAX(F111,0.1)^2),1/3)))),IF(IFERROR(AG111,0)=1,MAX($D$16,IFERROR(W111,MAX($D$16,POWER((ABS(K111)^2)/($I$5*MAX(F111,0.1)^2),1/3)))),MAX($D$16,POWER((ABS(K111)^2)/($I$5*MAX(F111,0.1)^2),1/3))))))),MAX($D$16,POWER((ABS(K111)^2)/($I$5*MAX(F111,0.1)^2),1/3)))</f>
        <v>1.9445564202120209</v>
      </c>
      <c r="AI111">
        <f t="shared" ca="1" si="52"/>
        <v>635.54655642021203</v>
      </c>
      <c r="AJ111">
        <f t="shared" ca="1" si="53"/>
        <v>636.518834630318</v>
      </c>
      <c r="AM111">
        <v>0</v>
      </c>
      <c r="AN111">
        <v>0</v>
      </c>
      <c r="AO111">
        <f t="shared" si="54"/>
        <v>0</v>
      </c>
      <c r="AP111">
        <f t="shared" si="63"/>
        <v>0</v>
      </c>
      <c r="AQ111">
        <f t="shared" ca="1" si="55"/>
        <v>1.0000000000000004</v>
      </c>
      <c r="AR111" t="str">
        <f t="shared" ca="1" si="56"/>
        <v>Supercritical</v>
      </c>
      <c r="AS111">
        <f t="shared" ca="1" si="57"/>
        <v>3.4431616448339893E-3</v>
      </c>
    </row>
    <row r="112" spans="1:45" x14ac:dyDescent="0.35">
      <c r="A112">
        <v>51</v>
      </c>
      <c r="B112">
        <v>49.997999999999998</v>
      </c>
      <c r="C112">
        <v>616517.75699999998</v>
      </c>
      <c r="D112">
        <v>3097731.5529999998</v>
      </c>
      <c r="E112">
        <v>633.56200000000001</v>
      </c>
      <c r="F112">
        <v>5.9930000000000003</v>
      </c>
      <c r="G112">
        <v>0</v>
      </c>
      <c r="H112" t="s">
        <v>154</v>
      </c>
      <c r="I112">
        <v>1.4E-2</v>
      </c>
      <c r="J112">
        <f t="shared" si="58"/>
        <v>0.99899999999999523</v>
      </c>
      <c r="K112">
        <f t="shared" ca="1" si="59"/>
        <v>50.95</v>
      </c>
      <c r="L112">
        <f t="shared" ca="1" si="60"/>
        <v>1.9458540888876221</v>
      </c>
      <c r="M112">
        <f t="shared" ca="1" si="33"/>
        <v>11.66150355470352</v>
      </c>
      <c r="N112">
        <f t="shared" ca="1" si="34"/>
        <v>1.1797519304538719</v>
      </c>
      <c r="O112">
        <f t="shared" ca="1" si="35"/>
        <v>4.369076402626483</v>
      </c>
      <c r="P112">
        <f t="shared" ca="1" si="36"/>
        <v>635.5078540888876</v>
      </c>
      <c r="Q112">
        <f t="shared" ca="1" si="37"/>
        <v>636.48078113333145</v>
      </c>
      <c r="R112">
        <f t="shared" ca="1" si="38"/>
        <v>3.4454096670320528E-3</v>
      </c>
      <c r="S112">
        <f t="shared" ca="1" si="39"/>
        <v>1</v>
      </c>
      <c r="T112">
        <f t="shared" ca="1" si="40"/>
        <v>34.037376561746072</v>
      </c>
      <c r="U112">
        <f t="shared" ca="1" si="61"/>
        <v>3.4525070551467252E-2</v>
      </c>
      <c r="V112">
        <f t="shared" ca="1" si="62"/>
        <v>1</v>
      </c>
      <c r="W112">
        <f t="shared" ca="1" si="41"/>
        <v>1.6752331885126339</v>
      </c>
      <c r="X112">
        <f t="shared" ca="1" si="42"/>
        <v>10.039672498756216</v>
      </c>
      <c r="Y112">
        <f t="shared" ca="1" si="43"/>
        <v>1.0745126159433565</v>
      </c>
      <c r="Z112">
        <f t="shared" ca="1" si="44"/>
        <v>5.0748667355744956</v>
      </c>
      <c r="AA112">
        <f t="shared" ca="1" si="45"/>
        <v>635.23723318851262</v>
      </c>
      <c r="AB112">
        <f t="shared" ca="1" si="46"/>
        <v>636.54988723457996</v>
      </c>
      <c r="AC112">
        <f t="shared" ca="1" si="47"/>
        <v>5.2652190520592048E-3</v>
      </c>
      <c r="AD112">
        <f t="shared" ca="1" si="48"/>
        <v>1.2518506075177942</v>
      </c>
      <c r="AE112">
        <f t="shared" ca="1" si="49"/>
        <v>34.766629739222999</v>
      </c>
      <c r="AF112">
        <f t="shared" ca="1" si="50"/>
        <v>-2.2059474755906194E-2</v>
      </c>
      <c r="AG112">
        <f t="shared" ca="1" si="51"/>
        <v>0</v>
      </c>
      <c r="AH112">
        <f ca="1">IFERROR(IF(V32="Supercritical",MAX($D$16,IFERROR(L112,MAX($D$16,POWER((ABS(K112)^2)/($I$5*MAX(F112,0.1)^2),1/3)))),IF(V32="Subcritical",MAX($D$16,IFERROR(W112,MAX($D$16,POWER((ABS(K112)^2)/($I$5*MAX(F112,0.1)^2),1/3)))),IF(AND(IFERROR(V112,0)=1,IFERROR(AG112,0)=1),IF(IFERROR(T112,-1E+99)&gt;=IFERROR(AE112,-1E+99),MAX($D$16,IFERROR(L112,MAX($D$16,POWER((ABS(K112)^2)/($I$5*MAX(F112,0.1)^2),1/3)))),MAX($D$16,IFERROR(W112,MAX($D$16,POWER((ABS(K112)^2)/($I$5*MAX(F112,0.1)^2),1/3))))),IF(IFERROR(V112,0)=1,MAX($D$16,IFERROR(L112,MAX($D$16,POWER((ABS(K112)^2)/($I$5*MAX(F112,0.1)^2),1/3)))),IF(IFERROR(AG112,0)=1,MAX($D$16,IFERROR(W112,MAX($D$16,POWER((ABS(K112)^2)/($I$5*MAX(F112,0.1)^2),1/3)))),MAX($D$16,POWER((ABS(K112)^2)/($I$5*MAX(F112,0.1)^2),1/3))))))),MAX($D$16,POWER((ABS(K112)^2)/($I$5*MAX(F112,0.1)^2),1/3)))</f>
        <v>1.9458540888876221</v>
      </c>
      <c r="AI112">
        <f t="shared" ca="1" si="52"/>
        <v>635.5078540888876</v>
      </c>
      <c r="AJ112">
        <f t="shared" ca="1" si="53"/>
        <v>636.48078113333145</v>
      </c>
      <c r="AM112">
        <v>0</v>
      </c>
      <c r="AN112">
        <v>0</v>
      </c>
      <c r="AO112">
        <f t="shared" si="54"/>
        <v>0</v>
      </c>
      <c r="AP112">
        <f t="shared" si="63"/>
        <v>0</v>
      </c>
      <c r="AQ112">
        <f t="shared" ca="1" si="55"/>
        <v>1</v>
      </c>
      <c r="AR112" t="str">
        <f t="shared" ca="1" si="56"/>
        <v>Supercritical</v>
      </c>
      <c r="AS112">
        <f t="shared" ca="1" si="57"/>
        <v>3.4454096670320528E-3</v>
      </c>
    </row>
    <row r="113" spans="1:45" x14ac:dyDescent="0.35">
      <c r="A113">
        <v>52</v>
      </c>
      <c r="B113">
        <v>50.999000000000002</v>
      </c>
      <c r="C113">
        <v>616517.18200000003</v>
      </c>
      <c r="D113">
        <v>3097730.7340000002</v>
      </c>
      <c r="E113">
        <v>633.52200000000005</v>
      </c>
      <c r="F113">
        <v>5.9669999999999996</v>
      </c>
      <c r="G113">
        <v>0</v>
      </c>
      <c r="H113" t="s">
        <v>154</v>
      </c>
      <c r="I113">
        <v>1.4E-2</v>
      </c>
      <c r="J113">
        <f t="shared" si="58"/>
        <v>1.0010000000000048</v>
      </c>
      <c r="K113">
        <f t="shared" ca="1" si="59"/>
        <v>50.95</v>
      </c>
      <c r="L113">
        <f t="shared" ca="1" si="60"/>
        <v>1.9515024366214642</v>
      </c>
      <c r="M113">
        <f t="shared" ca="1" si="33"/>
        <v>11.644615039320277</v>
      </c>
      <c r="N113">
        <f t="shared" ca="1" si="34"/>
        <v>1.1797983069783708</v>
      </c>
      <c r="O113">
        <f t="shared" ca="1" si="35"/>
        <v>4.3754129980216225</v>
      </c>
      <c r="P113">
        <f t="shared" ca="1" si="36"/>
        <v>635.47350243662152</v>
      </c>
      <c r="Q113">
        <f t="shared" ca="1" si="37"/>
        <v>636.44925365493225</v>
      </c>
      <c r="R113">
        <f t="shared" ca="1" si="38"/>
        <v>3.4552297618065694E-3</v>
      </c>
      <c r="S113">
        <f t="shared" ca="1" si="39"/>
        <v>0.99999999999999978</v>
      </c>
      <c r="T113">
        <f t="shared" ca="1" si="40"/>
        <v>34.086741934128696</v>
      </c>
      <c r="U113">
        <f t="shared" ca="1" si="61"/>
        <v>2.7768523449935856E-2</v>
      </c>
      <c r="V113">
        <f t="shared" ca="1" si="62"/>
        <v>1</v>
      </c>
      <c r="W113">
        <f t="shared" ca="1" si="41"/>
        <v>1.675253366377875</v>
      </c>
      <c r="X113">
        <f t="shared" ca="1" si="42"/>
        <v>9.9962368371767791</v>
      </c>
      <c r="Y113">
        <f t="shared" ca="1" si="43"/>
        <v>1.0728446057393175</v>
      </c>
      <c r="Z113">
        <f t="shared" ca="1" si="44"/>
        <v>5.0969180532531011</v>
      </c>
      <c r="AA113">
        <f t="shared" ca="1" si="45"/>
        <v>635.19725336637794</v>
      </c>
      <c r="AB113">
        <f t="shared" ca="1" si="46"/>
        <v>636.52133968857856</v>
      </c>
      <c r="AC113">
        <f t="shared" ca="1" si="47"/>
        <v>5.3220880815976583E-3</v>
      </c>
      <c r="AD113">
        <f t="shared" ca="1" si="48"/>
        <v>1.2572825785979751</v>
      </c>
      <c r="AE113">
        <f t="shared" ca="1" si="49"/>
        <v>34.844875645464214</v>
      </c>
      <c r="AF113">
        <f t="shared" ca="1" si="50"/>
        <v>-2.135103109208103E-2</v>
      </c>
      <c r="AG113">
        <f t="shared" ca="1" si="51"/>
        <v>0</v>
      </c>
      <c r="AH113">
        <f ca="1">IFERROR(IF(V32="Supercritical",MAX($D$16,IFERROR(L113,MAX($D$16,POWER((ABS(K113)^2)/($I$5*MAX(F113,0.1)^2),1/3)))),IF(V32="Subcritical",MAX($D$16,IFERROR(W113,MAX($D$16,POWER((ABS(K113)^2)/($I$5*MAX(F113,0.1)^2),1/3)))),IF(AND(IFERROR(V113,0)=1,IFERROR(AG113,0)=1),IF(IFERROR(T113,-1E+99)&gt;=IFERROR(AE113,-1E+99),MAX($D$16,IFERROR(L113,MAX($D$16,POWER((ABS(K113)^2)/($I$5*MAX(F113,0.1)^2),1/3)))),MAX($D$16,IFERROR(W113,MAX($D$16,POWER((ABS(K113)^2)/($I$5*MAX(F113,0.1)^2),1/3))))),IF(IFERROR(V113,0)=1,MAX($D$16,IFERROR(L113,MAX($D$16,POWER((ABS(K113)^2)/($I$5*MAX(F113,0.1)^2),1/3)))),IF(IFERROR(AG113,0)=1,MAX($D$16,IFERROR(W113,MAX($D$16,POWER((ABS(K113)^2)/($I$5*MAX(F113,0.1)^2),1/3)))),MAX($D$16,POWER((ABS(K113)^2)/($I$5*MAX(F113,0.1)^2),1/3))))))),MAX($D$16,POWER((ABS(K113)^2)/($I$5*MAX(F113,0.1)^2),1/3)))</f>
        <v>1.9515024366214642</v>
      </c>
      <c r="AI113">
        <f t="shared" ca="1" si="52"/>
        <v>635.47350243662152</v>
      </c>
      <c r="AJ113">
        <f t="shared" ca="1" si="53"/>
        <v>636.44925365493225</v>
      </c>
      <c r="AM113">
        <v>0</v>
      </c>
      <c r="AN113">
        <v>0</v>
      </c>
      <c r="AO113">
        <f t="shared" si="54"/>
        <v>0</v>
      </c>
      <c r="AP113">
        <f t="shared" si="63"/>
        <v>0</v>
      </c>
      <c r="AQ113">
        <f t="shared" ca="1" si="55"/>
        <v>0.99999999999999978</v>
      </c>
      <c r="AR113" t="str">
        <f t="shared" ca="1" si="56"/>
        <v>Supercritical</v>
      </c>
      <c r="AS113">
        <f t="shared" ca="1" si="57"/>
        <v>3.4552297618065694E-3</v>
      </c>
    </row>
    <row r="114" spans="1:45" x14ac:dyDescent="0.35">
      <c r="A114">
        <v>53</v>
      </c>
      <c r="B114">
        <v>51.997999999999998</v>
      </c>
      <c r="C114">
        <v>616516.60800000001</v>
      </c>
      <c r="D114">
        <v>3097729.9160000002</v>
      </c>
      <c r="E114">
        <v>633.48199999999997</v>
      </c>
      <c r="F114">
        <v>5.94</v>
      </c>
      <c r="G114">
        <v>0</v>
      </c>
      <c r="H114" t="s">
        <v>154</v>
      </c>
      <c r="I114">
        <v>1.4E-2</v>
      </c>
      <c r="J114">
        <f t="shared" si="58"/>
        <v>0.99899999999999523</v>
      </c>
      <c r="K114">
        <f t="shared" ca="1" si="59"/>
        <v>50.95</v>
      </c>
      <c r="L114">
        <f t="shared" ca="1" si="60"/>
        <v>1.9574116093623062</v>
      </c>
      <c r="M114">
        <f t="shared" ca="1" si="33"/>
        <v>11.627024959612099</v>
      </c>
      <c r="N114">
        <f t="shared" ca="1" si="34"/>
        <v>1.1798309012301937</v>
      </c>
      <c r="O114">
        <f t="shared" ca="1" si="35"/>
        <v>4.3820323923773357</v>
      </c>
      <c r="P114">
        <f t="shared" ca="1" si="36"/>
        <v>635.43941160936231</v>
      </c>
      <c r="Q114">
        <f t="shared" ca="1" si="37"/>
        <v>636.41811741404342</v>
      </c>
      <c r="R114">
        <f t="shared" ca="1" si="38"/>
        <v>3.4655645809065251E-3</v>
      </c>
      <c r="S114">
        <f t="shared" ca="1" si="39"/>
        <v>1.0000000000000004</v>
      </c>
      <c r="T114">
        <f t="shared" ca="1" si="40"/>
        <v>34.138310457435047</v>
      </c>
      <c r="U114">
        <f t="shared" ca="1" si="61"/>
        <v>2.7361009008814108E-2</v>
      </c>
      <c r="V114">
        <f t="shared" ca="1" si="62"/>
        <v>1</v>
      </c>
      <c r="W114">
        <f t="shared" ca="1" si="41"/>
        <v>1.6752331886468583</v>
      </c>
      <c r="X114">
        <f t="shared" ca="1" si="42"/>
        <v>9.95088514056234</v>
      </c>
      <c r="Y114">
        <f t="shared" ca="1" si="43"/>
        <v>1.0710856416081236</v>
      </c>
      <c r="Z114">
        <f t="shared" ca="1" si="44"/>
        <v>5.1201475326365529</v>
      </c>
      <c r="AA114">
        <f t="shared" ca="1" si="45"/>
        <v>635.15723318864684</v>
      </c>
      <c r="AB114">
        <f t="shared" ca="1" si="46"/>
        <v>636.49341620373161</v>
      </c>
      <c r="AC114">
        <f t="shared" ca="1" si="47"/>
        <v>5.3824731428923495E-3</v>
      </c>
      <c r="AD114">
        <f t="shared" ca="1" si="48"/>
        <v>1.2630203181738175</v>
      </c>
      <c r="AE114">
        <f t="shared" ca="1" si="49"/>
        <v>34.927433941700095</v>
      </c>
      <c r="AF114">
        <f t="shared" ca="1" si="50"/>
        <v>-2.1525145586679173E-2</v>
      </c>
      <c r="AG114">
        <f t="shared" ca="1" si="51"/>
        <v>0</v>
      </c>
      <c r="AH114">
        <f ca="1">IFERROR(IF(V32="Supercritical",MAX($D$16,IFERROR(L114,MAX($D$16,POWER((ABS(K114)^2)/($I$5*MAX(F114,0.1)^2),1/3)))),IF(V32="Subcritical",MAX($D$16,IFERROR(W114,MAX($D$16,POWER((ABS(K114)^2)/($I$5*MAX(F114,0.1)^2),1/3)))),IF(AND(IFERROR(V114,0)=1,IFERROR(AG114,0)=1),IF(IFERROR(T114,-1E+99)&gt;=IFERROR(AE114,-1E+99),MAX($D$16,IFERROR(L114,MAX($D$16,POWER((ABS(K114)^2)/($I$5*MAX(F114,0.1)^2),1/3)))),MAX($D$16,IFERROR(W114,MAX($D$16,POWER((ABS(K114)^2)/($I$5*MAX(F114,0.1)^2),1/3))))),IF(IFERROR(V114,0)=1,MAX($D$16,IFERROR(L114,MAX($D$16,POWER((ABS(K114)^2)/($I$5*MAX(F114,0.1)^2),1/3)))),IF(IFERROR(AG114,0)=1,MAX($D$16,IFERROR(W114,MAX($D$16,POWER((ABS(K114)^2)/($I$5*MAX(F114,0.1)^2),1/3)))),MAX($D$16,POWER((ABS(K114)^2)/($I$5*MAX(F114,0.1)^2),1/3))))))),MAX($D$16,POWER((ABS(K114)^2)/($I$5*MAX(F114,0.1)^2),1/3)))</f>
        <v>1.9574116093623062</v>
      </c>
      <c r="AI114">
        <f t="shared" ca="1" si="52"/>
        <v>635.43941160936231</v>
      </c>
      <c r="AJ114">
        <f t="shared" ca="1" si="53"/>
        <v>636.41811741404342</v>
      </c>
      <c r="AM114">
        <v>0</v>
      </c>
      <c r="AN114">
        <v>0</v>
      </c>
      <c r="AO114">
        <f t="shared" si="54"/>
        <v>0</v>
      </c>
      <c r="AP114">
        <f t="shared" si="63"/>
        <v>0</v>
      </c>
      <c r="AQ114">
        <f t="shared" ca="1" si="55"/>
        <v>1.0000000000000004</v>
      </c>
      <c r="AR114" t="str">
        <f t="shared" ca="1" si="56"/>
        <v>Supercritical</v>
      </c>
      <c r="AS114">
        <f t="shared" ca="1" si="57"/>
        <v>3.4655645809065251E-3</v>
      </c>
    </row>
    <row r="115" spans="1:45" x14ac:dyDescent="0.35">
      <c r="A115">
        <v>54</v>
      </c>
      <c r="B115">
        <v>52.999000000000002</v>
      </c>
      <c r="C115">
        <v>616516.03300000005</v>
      </c>
      <c r="D115">
        <v>3097729.0970000001</v>
      </c>
      <c r="E115">
        <v>633.44200000000001</v>
      </c>
      <c r="F115">
        <v>5.9139999999999997</v>
      </c>
      <c r="G115">
        <v>0</v>
      </c>
      <c r="H115" t="s">
        <v>154</v>
      </c>
      <c r="I115">
        <v>4.7E-2</v>
      </c>
      <c r="J115">
        <f t="shared" si="58"/>
        <v>1.0010000000000048</v>
      </c>
      <c r="K115">
        <f t="shared" ca="1" si="59"/>
        <v>50.95</v>
      </c>
      <c r="L115">
        <f t="shared" ca="1" si="60"/>
        <v>1.9631443885512225</v>
      </c>
      <c r="M115">
        <f t="shared" ca="1" si="33"/>
        <v>11.610035913891929</v>
      </c>
      <c r="N115">
        <f t="shared" ca="1" si="34"/>
        <v>1.1798470732797541</v>
      </c>
      <c r="O115">
        <f t="shared" ca="1" si="35"/>
        <v>4.3884446506350629</v>
      </c>
      <c r="P115">
        <f t="shared" ca="1" si="36"/>
        <v>635.40514438855121</v>
      </c>
      <c r="Q115">
        <f t="shared" ca="1" si="37"/>
        <v>636.38671658282681</v>
      </c>
      <c r="R115">
        <f t="shared" ca="1" si="38"/>
        <v>3.4756508492060348E-3</v>
      </c>
      <c r="S115">
        <f t="shared" ca="1" si="39"/>
        <v>1.0000000000000002</v>
      </c>
      <c r="T115">
        <f t="shared" ca="1" si="40"/>
        <v>34.188265282852669</v>
      </c>
      <c r="U115">
        <f t="shared" ca="1" si="61"/>
        <v>2.7563224112441276E-2</v>
      </c>
      <c r="V115">
        <f t="shared" ca="1" si="62"/>
        <v>1</v>
      </c>
      <c r="W115">
        <f t="shared" ca="1" si="41"/>
        <v>1.6752533665032319</v>
      </c>
      <c r="X115">
        <f t="shared" ca="1" si="42"/>
        <v>9.9074484095001125</v>
      </c>
      <c r="Y115">
        <f t="shared" ca="1" si="43"/>
        <v>1.069398371119215</v>
      </c>
      <c r="Z115">
        <f t="shared" ca="1" si="44"/>
        <v>5.1425955396492169</v>
      </c>
      <c r="AA115">
        <f t="shared" ca="1" si="45"/>
        <v>635.11725336650329</v>
      </c>
      <c r="AB115">
        <f t="shared" ca="1" si="46"/>
        <v>636.46517838609657</v>
      </c>
      <c r="AC115">
        <f t="shared" ca="1" si="47"/>
        <v>5.4411984380131071E-3</v>
      </c>
      <c r="AD115">
        <f t="shared" ca="1" si="48"/>
        <v>1.2685500753554357</v>
      </c>
      <c r="AE115">
        <f t="shared" ca="1" si="49"/>
        <v>35.007738333725634</v>
      </c>
      <c r="AF115">
        <f t="shared" ca="1" si="50"/>
        <v>-2.1223998218829365E-2</v>
      </c>
      <c r="AG115">
        <f t="shared" ca="1" si="51"/>
        <v>0</v>
      </c>
      <c r="AH115">
        <f ca="1">IFERROR(IF(V32="Supercritical",MAX($D$16,IFERROR(L115,MAX($D$16,POWER((ABS(K115)^2)/($I$5*MAX(F115,0.1)^2),1/3)))),IF(V32="Subcritical",MAX($D$16,IFERROR(W115,MAX($D$16,POWER((ABS(K115)^2)/($I$5*MAX(F115,0.1)^2),1/3)))),IF(AND(IFERROR(V115,0)=1,IFERROR(AG115,0)=1),IF(IFERROR(T115,-1E+99)&gt;=IFERROR(AE115,-1E+99),MAX($D$16,IFERROR(L115,MAX($D$16,POWER((ABS(K115)^2)/($I$5*MAX(F115,0.1)^2),1/3)))),MAX($D$16,IFERROR(W115,MAX($D$16,POWER((ABS(K115)^2)/($I$5*MAX(F115,0.1)^2),1/3))))),IF(IFERROR(V115,0)=1,MAX($D$16,IFERROR(L115,MAX($D$16,POWER((ABS(K115)^2)/($I$5*MAX(F115,0.1)^2),1/3)))),IF(IFERROR(AG115,0)=1,MAX($D$16,IFERROR(W115,MAX($D$16,POWER((ABS(K115)^2)/($I$5*MAX(F115,0.1)^2),1/3)))),MAX($D$16,POWER((ABS(K115)^2)/($I$5*MAX(F115,0.1)^2),1/3))))))),MAX($D$16,POWER((ABS(K115)^2)/($I$5*MAX(F115,0.1)^2),1/3)))</f>
        <v>1.9631443885512225</v>
      </c>
      <c r="AI115">
        <f t="shared" ca="1" si="52"/>
        <v>635.40514438855121</v>
      </c>
      <c r="AJ115">
        <f t="shared" ca="1" si="53"/>
        <v>636.38671658282681</v>
      </c>
      <c r="AM115">
        <v>0</v>
      </c>
      <c r="AN115">
        <v>0</v>
      </c>
      <c r="AO115">
        <f t="shared" si="54"/>
        <v>0</v>
      </c>
      <c r="AP115">
        <f t="shared" si="63"/>
        <v>0</v>
      </c>
      <c r="AQ115">
        <f t="shared" ca="1" si="55"/>
        <v>1.0000000000000002</v>
      </c>
      <c r="AR115" t="str">
        <f t="shared" ca="1" si="56"/>
        <v>Supercritical</v>
      </c>
      <c r="AS115">
        <f t="shared" ca="1" si="57"/>
        <v>3.4756508492060348E-3</v>
      </c>
    </row>
    <row r="116" spans="1:45" x14ac:dyDescent="0.35">
      <c r="A116">
        <v>55</v>
      </c>
      <c r="B116">
        <v>53.999000000000002</v>
      </c>
      <c r="C116">
        <v>616515.45900000003</v>
      </c>
      <c r="D116">
        <v>3097728.2779999999</v>
      </c>
      <c r="E116">
        <v>633.40200000000004</v>
      </c>
      <c r="F116">
        <v>5.8879999999999999</v>
      </c>
      <c r="G116">
        <v>0</v>
      </c>
      <c r="H116" t="s">
        <v>154</v>
      </c>
      <c r="I116">
        <v>0.08</v>
      </c>
      <c r="J116">
        <f t="shared" si="58"/>
        <v>1</v>
      </c>
      <c r="K116">
        <f t="shared" ca="1" si="59"/>
        <v>50.95</v>
      </c>
      <c r="L116">
        <f t="shared" ca="1" si="60"/>
        <v>1.9689193277427115</v>
      </c>
      <c r="M116">
        <f t="shared" ca="1" si="33"/>
        <v>11.592997001749085</v>
      </c>
      <c r="N116">
        <f t="shared" ca="1" si="34"/>
        <v>1.1798480931983468</v>
      </c>
      <c r="O116">
        <f t="shared" ca="1" si="35"/>
        <v>4.3948946068314312</v>
      </c>
      <c r="P116">
        <f t="shared" ca="1" si="36"/>
        <v>635.37091932774274</v>
      </c>
      <c r="Q116">
        <f t="shared" ca="1" si="37"/>
        <v>636.35537899161409</v>
      </c>
      <c r="R116">
        <f t="shared" ca="1" si="38"/>
        <v>3.4858710779734768E-3</v>
      </c>
      <c r="S116">
        <f t="shared" ca="1" si="39"/>
        <v>1</v>
      </c>
      <c r="T116">
        <f t="shared" ca="1" si="40"/>
        <v>34.238513794810615</v>
      </c>
      <c r="U116">
        <f t="shared" ca="1" si="61"/>
        <v>2.7436822001050132E-2</v>
      </c>
      <c r="V116">
        <f t="shared" ca="1" si="62"/>
        <v>1</v>
      </c>
      <c r="W116">
        <f t="shared" ca="1" si="41"/>
        <v>1.6752331887639273</v>
      </c>
      <c r="X116">
        <f t="shared" ca="1" si="42"/>
        <v>9.8637730154420034</v>
      </c>
      <c r="Y116">
        <f t="shared" ca="1" si="43"/>
        <v>1.0676851126974038</v>
      </c>
      <c r="Z116">
        <f t="shared" ca="1" si="44"/>
        <v>5.1653662265176212</v>
      </c>
      <c r="AA116">
        <f t="shared" ca="1" si="45"/>
        <v>635.07723318876401</v>
      </c>
      <c r="AB116">
        <f t="shared" ca="1" si="46"/>
        <v>636.43712147898054</v>
      </c>
      <c r="AC116">
        <f t="shared" ca="1" si="47"/>
        <v>5.5012389059459826E-3</v>
      </c>
      <c r="AD116">
        <f t="shared" ca="1" si="48"/>
        <v>1.2741747094371703</v>
      </c>
      <c r="AE116">
        <f t="shared" ca="1" si="49"/>
        <v>35.089318803058561</v>
      </c>
      <c r="AF116">
        <f t="shared" ca="1" si="50"/>
        <v>-2.047025500246491E-2</v>
      </c>
      <c r="AG116">
        <f t="shared" ca="1" si="51"/>
        <v>0</v>
      </c>
      <c r="AH116">
        <f ca="1">IFERROR(IF(V32="Supercritical",MAX($D$16,IFERROR(L116,MAX($D$16,POWER((ABS(K116)^2)/($I$5*MAX(F116,0.1)^2),1/3)))),IF(V32="Subcritical",MAX($D$16,IFERROR(W116,MAX($D$16,POWER((ABS(K116)^2)/($I$5*MAX(F116,0.1)^2),1/3)))),IF(AND(IFERROR(V116,0)=1,IFERROR(AG116,0)=1),IF(IFERROR(T116,-1E+99)&gt;=IFERROR(AE116,-1E+99),MAX($D$16,IFERROR(L116,MAX($D$16,POWER((ABS(K116)^2)/($I$5*MAX(F116,0.1)^2),1/3)))),MAX($D$16,IFERROR(W116,MAX($D$16,POWER((ABS(K116)^2)/($I$5*MAX(F116,0.1)^2),1/3))))),IF(IFERROR(V116,0)=1,MAX($D$16,IFERROR(L116,MAX($D$16,POWER((ABS(K116)^2)/($I$5*MAX(F116,0.1)^2),1/3)))),IF(IFERROR(AG116,0)=1,MAX($D$16,IFERROR(W116,MAX($D$16,POWER((ABS(K116)^2)/($I$5*MAX(F116,0.1)^2),1/3)))),MAX($D$16,POWER((ABS(K116)^2)/($I$5*MAX(F116,0.1)^2),1/3))))))),MAX($D$16,POWER((ABS(K116)^2)/($I$5*MAX(F116,0.1)^2),1/3)))</f>
        <v>1.9689193277427115</v>
      </c>
      <c r="AI116">
        <f t="shared" ca="1" si="52"/>
        <v>635.37091932774274</v>
      </c>
      <c r="AJ116">
        <f t="shared" ca="1" si="53"/>
        <v>636.35537899161409</v>
      </c>
      <c r="AM116">
        <v>0</v>
      </c>
      <c r="AN116">
        <v>0</v>
      </c>
      <c r="AO116">
        <f t="shared" si="54"/>
        <v>0</v>
      </c>
      <c r="AP116">
        <f t="shared" si="63"/>
        <v>0</v>
      </c>
      <c r="AQ116">
        <f t="shared" ca="1" si="55"/>
        <v>1</v>
      </c>
      <c r="AR116" t="str">
        <f t="shared" ca="1" si="56"/>
        <v>Supercritical</v>
      </c>
      <c r="AS116">
        <f t="shared" ca="1" si="57"/>
        <v>3.4858710779734768E-3</v>
      </c>
    </row>
    <row r="117" spans="1:45" x14ac:dyDescent="0.35">
      <c r="A117">
        <v>56</v>
      </c>
      <c r="B117">
        <v>54.999000000000002</v>
      </c>
      <c r="C117">
        <v>616514.88399999996</v>
      </c>
      <c r="D117">
        <v>3097727.46</v>
      </c>
      <c r="E117">
        <v>633.36199999999997</v>
      </c>
      <c r="F117">
        <v>5.8609999999999998</v>
      </c>
      <c r="G117">
        <v>0</v>
      </c>
      <c r="H117" t="s">
        <v>154</v>
      </c>
      <c r="I117">
        <v>0.08</v>
      </c>
      <c r="J117">
        <f t="shared" si="58"/>
        <v>1</v>
      </c>
      <c r="K117">
        <f t="shared" ca="1" si="59"/>
        <v>50.95</v>
      </c>
      <c r="L117">
        <f t="shared" ca="1" si="60"/>
        <v>1.9749615377184906</v>
      </c>
      <c r="M117">
        <f t="shared" ca="1" si="33"/>
        <v>11.575249572568072</v>
      </c>
      <c r="N117">
        <f t="shared" ca="1" si="34"/>
        <v>1.179832874395716</v>
      </c>
      <c r="O117">
        <f t="shared" ca="1" si="35"/>
        <v>4.4016329566444323</v>
      </c>
      <c r="P117">
        <f t="shared" ca="1" si="36"/>
        <v>635.33696153771848</v>
      </c>
      <c r="Q117">
        <f t="shared" ca="1" si="37"/>
        <v>636.32444230657768</v>
      </c>
      <c r="R117">
        <f t="shared" ca="1" si="38"/>
        <v>3.4966286390322389E-3</v>
      </c>
      <c r="S117">
        <f t="shared" ca="1" si="39"/>
        <v>1.0000000000000004</v>
      </c>
      <c r="T117">
        <f t="shared" ca="1" si="40"/>
        <v>34.291009042971524</v>
      </c>
      <c r="U117">
        <f t="shared" ca="1" si="61"/>
        <v>2.7011660576590657E-2</v>
      </c>
      <c r="V117">
        <f t="shared" ca="1" si="62"/>
        <v>1</v>
      </c>
      <c r="W117">
        <f t="shared" ca="1" si="41"/>
        <v>1.6752533666125589</v>
      </c>
      <c r="X117">
        <f t="shared" ca="1" si="42"/>
        <v>9.8186599817162072</v>
      </c>
      <c r="Y117">
        <f t="shared" ca="1" si="43"/>
        <v>1.0659124794753869</v>
      </c>
      <c r="Z117">
        <f t="shared" ca="1" si="44"/>
        <v>5.1890991331685195</v>
      </c>
      <c r="AA117">
        <f t="shared" ca="1" si="45"/>
        <v>635.0372533666125</v>
      </c>
      <c r="AB117">
        <f t="shared" ca="1" si="46"/>
        <v>636.4096667108455</v>
      </c>
      <c r="AC117">
        <f t="shared" ca="1" si="47"/>
        <v>5.5642212537737549E-3</v>
      </c>
      <c r="AD117">
        <f t="shared" ca="1" si="48"/>
        <v>1.2800213521442851</v>
      </c>
      <c r="AE117">
        <f t="shared" ca="1" si="49"/>
        <v>35.174891557783589</v>
      </c>
      <c r="AF117">
        <f t="shared" ca="1" si="50"/>
        <v>-2.0845082632831691E-2</v>
      </c>
      <c r="AG117">
        <f t="shared" ca="1" si="51"/>
        <v>0</v>
      </c>
      <c r="AH117">
        <f ca="1">IFERROR(IF(V32="Supercritical",MAX($D$16,IFERROR(L117,MAX($D$16,POWER((ABS(K117)^2)/($I$5*MAX(F117,0.1)^2),1/3)))),IF(V32="Subcritical",MAX($D$16,IFERROR(W117,MAX($D$16,POWER((ABS(K117)^2)/($I$5*MAX(F117,0.1)^2),1/3)))),IF(AND(IFERROR(V117,0)=1,IFERROR(AG117,0)=1),IF(IFERROR(T117,-1E+99)&gt;=IFERROR(AE117,-1E+99),MAX($D$16,IFERROR(L117,MAX($D$16,POWER((ABS(K117)^2)/($I$5*MAX(F117,0.1)^2),1/3)))),MAX($D$16,IFERROR(W117,MAX($D$16,POWER((ABS(K117)^2)/($I$5*MAX(F117,0.1)^2),1/3))))),IF(IFERROR(V117,0)=1,MAX($D$16,IFERROR(L117,MAX($D$16,POWER((ABS(K117)^2)/($I$5*MAX(F117,0.1)^2),1/3)))),IF(IFERROR(AG117,0)=1,MAX($D$16,IFERROR(W117,MAX($D$16,POWER((ABS(K117)^2)/($I$5*MAX(F117,0.1)^2),1/3)))),MAX($D$16,POWER((ABS(K117)^2)/($I$5*MAX(F117,0.1)^2),1/3))))))),MAX($D$16,POWER((ABS(K117)^2)/($I$5*MAX(F117,0.1)^2),1/3)))</f>
        <v>1.9749615377184906</v>
      </c>
      <c r="AI117">
        <f t="shared" ca="1" si="52"/>
        <v>635.33696153771848</v>
      </c>
      <c r="AJ117">
        <f t="shared" ca="1" si="53"/>
        <v>636.32444230657768</v>
      </c>
      <c r="AM117">
        <v>0</v>
      </c>
      <c r="AN117">
        <v>0</v>
      </c>
      <c r="AO117">
        <f t="shared" si="54"/>
        <v>0</v>
      </c>
      <c r="AP117">
        <f t="shared" si="63"/>
        <v>0</v>
      </c>
      <c r="AQ117">
        <f t="shared" ca="1" si="55"/>
        <v>1.0000000000000004</v>
      </c>
      <c r="AR117" t="str">
        <f t="shared" ca="1" si="56"/>
        <v>Supercritical</v>
      </c>
      <c r="AS117">
        <f t="shared" ca="1" si="57"/>
        <v>3.4966286390322389E-3</v>
      </c>
    </row>
    <row r="118" spans="1:45" x14ac:dyDescent="0.35">
      <c r="A118">
        <v>57</v>
      </c>
      <c r="B118">
        <v>55.999000000000002</v>
      </c>
      <c r="C118">
        <v>616514.31000000006</v>
      </c>
      <c r="D118">
        <v>3097726.6409999998</v>
      </c>
      <c r="E118">
        <v>633.322</v>
      </c>
      <c r="F118">
        <v>5.835</v>
      </c>
      <c r="G118">
        <v>0</v>
      </c>
      <c r="H118" t="s">
        <v>154</v>
      </c>
      <c r="I118">
        <v>3.3000000000000002E-2</v>
      </c>
      <c r="J118">
        <f t="shared" si="58"/>
        <v>1</v>
      </c>
      <c r="K118">
        <f t="shared" ca="1" si="59"/>
        <v>50.95</v>
      </c>
      <c r="L118">
        <f t="shared" ca="1" si="60"/>
        <v>1.9808239703068042</v>
      </c>
      <c r="M118">
        <f t="shared" ca="1" si="33"/>
        <v>11.558107866740203</v>
      </c>
      <c r="N118">
        <f t="shared" ca="1" si="34"/>
        <v>1.1798023096067558</v>
      </c>
      <c r="O118">
        <f t="shared" ca="1" si="35"/>
        <v>4.4081609712792647</v>
      </c>
      <c r="P118">
        <f t="shared" ca="1" si="36"/>
        <v>635.3028239703068</v>
      </c>
      <c r="Q118">
        <f t="shared" ca="1" si="37"/>
        <v>636.2932359554602</v>
      </c>
      <c r="R118">
        <f t="shared" ca="1" si="38"/>
        <v>3.5071290954731067E-3</v>
      </c>
      <c r="S118">
        <f t="shared" ca="1" si="39"/>
        <v>1</v>
      </c>
      <c r="T118">
        <f t="shared" ca="1" si="40"/>
        <v>34.341865670745953</v>
      </c>
      <c r="U118">
        <f t="shared" ca="1" si="61"/>
        <v>2.7356877961551618E-2</v>
      </c>
      <c r="V118">
        <f t="shared" ca="1" si="62"/>
        <v>1</v>
      </c>
      <c r="W118">
        <f t="shared" ca="1" si="41"/>
        <v>1.6752331888660068</v>
      </c>
      <c r="X118">
        <f t="shared" ca="1" si="42"/>
        <v>9.7749856570331488</v>
      </c>
      <c r="Y118">
        <f t="shared" ca="1" si="43"/>
        <v>1.0641795696656497</v>
      </c>
      <c r="Z118">
        <f t="shared" ca="1" si="44"/>
        <v>5.2122838628761805</v>
      </c>
      <c r="AA118">
        <f t="shared" ca="1" si="45"/>
        <v>634.99723318886606</v>
      </c>
      <c r="AB118">
        <f t="shared" ca="1" si="46"/>
        <v>636.38193772847865</v>
      </c>
      <c r="AC118">
        <f t="shared" ca="1" si="47"/>
        <v>5.6262463969499179E-3</v>
      </c>
      <c r="AD118">
        <f t="shared" ca="1" si="48"/>
        <v>1.2857481899709224</v>
      </c>
      <c r="AE118">
        <f t="shared" ca="1" si="49"/>
        <v>35.258624224559497</v>
      </c>
      <c r="AF118">
        <f t="shared" ca="1" si="50"/>
        <v>-2.0644327708737364E-2</v>
      </c>
      <c r="AG118">
        <f t="shared" ca="1" si="51"/>
        <v>0</v>
      </c>
      <c r="AH118">
        <f ca="1">IFERROR(IF(V32="Supercritical",MAX($D$16,IFERROR(L118,MAX($D$16,POWER((ABS(K118)^2)/($I$5*MAX(F118,0.1)^2),1/3)))),IF(V32="Subcritical",MAX($D$16,IFERROR(W118,MAX($D$16,POWER((ABS(K118)^2)/($I$5*MAX(F118,0.1)^2),1/3)))),IF(AND(IFERROR(V118,0)=1,IFERROR(AG118,0)=1),IF(IFERROR(T118,-1E+99)&gt;=IFERROR(AE118,-1E+99),MAX($D$16,IFERROR(L118,MAX($D$16,POWER((ABS(K118)^2)/($I$5*MAX(F118,0.1)^2),1/3)))),MAX($D$16,IFERROR(W118,MAX($D$16,POWER((ABS(K118)^2)/($I$5*MAX(F118,0.1)^2),1/3))))),IF(IFERROR(V118,0)=1,MAX($D$16,IFERROR(L118,MAX($D$16,POWER((ABS(K118)^2)/($I$5*MAX(F118,0.1)^2),1/3)))),IF(IFERROR(AG118,0)=1,MAX($D$16,IFERROR(W118,MAX($D$16,POWER((ABS(K118)^2)/($I$5*MAX(F118,0.1)^2),1/3)))),MAX($D$16,POWER((ABS(K118)^2)/($I$5*MAX(F118,0.1)^2),1/3))))))),MAX($D$16,POWER((ABS(K118)^2)/($I$5*MAX(F118,0.1)^2),1/3)))</f>
        <v>1.9808239703068042</v>
      </c>
      <c r="AI118">
        <f t="shared" ca="1" si="52"/>
        <v>635.3028239703068</v>
      </c>
      <c r="AJ118">
        <f t="shared" ca="1" si="53"/>
        <v>636.2932359554602</v>
      </c>
      <c r="AM118">
        <v>0</v>
      </c>
      <c r="AN118">
        <v>0</v>
      </c>
      <c r="AO118">
        <f t="shared" si="54"/>
        <v>0</v>
      </c>
      <c r="AP118">
        <f t="shared" si="63"/>
        <v>0</v>
      </c>
      <c r="AQ118">
        <f t="shared" ca="1" si="55"/>
        <v>1</v>
      </c>
      <c r="AR118" t="str">
        <f t="shared" ca="1" si="56"/>
        <v>Supercritical</v>
      </c>
      <c r="AS118">
        <f t="shared" ca="1" si="57"/>
        <v>3.5071290954731067E-3</v>
      </c>
    </row>
    <row r="119" spans="1:45" x14ac:dyDescent="0.35">
      <c r="A119">
        <v>58</v>
      </c>
      <c r="B119">
        <v>56.999000000000002</v>
      </c>
      <c r="C119">
        <v>616513.73600000003</v>
      </c>
      <c r="D119">
        <v>3097725.8229999999</v>
      </c>
      <c r="E119">
        <v>633.28200000000004</v>
      </c>
      <c r="F119">
        <v>5.8090000000000002</v>
      </c>
      <c r="G119">
        <v>0</v>
      </c>
      <c r="H119" t="s">
        <v>154</v>
      </c>
      <c r="I119">
        <v>1.4E-2</v>
      </c>
      <c r="J119">
        <f t="shared" si="58"/>
        <v>1</v>
      </c>
      <c r="K119">
        <f t="shared" ca="1" si="59"/>
        <v>50.95</v>
      </c>
      <c r="L119">
        <f t="shared" ca="1" si="60"/>
        <v>1.9867301022851136</v>
      </c>
      <c r="M119">
        <f t="shared" ca="1" si="33"/>
        <v>11.540915164174224</v>
      </c>
      <c r="N119">
        <f t="shared" ca="1" si="34"/>
        <v>1.179755902179134</v>
      </c>
      <c r="O119">
        <f t="shared" ca="1" si="35"/>
        <v>4.4147278855459451</v>
      </c>
      <c r="P119">
        <f t="shared" ca="1" si="36"/>
        <v>635.26873010228519</v>
      </c>
      <c r="Q119">
        <f t="shared" ca="1" si="37"/>
        <v>636.26209515342771</v>
      </c>
      <c r="R119">
        <f t="shared" ca="1" si="38"/>
        <v>3.5177706351883055E-3</v>
      </c>
      <c r="S119">
        <f t="shared" ca="1" si="39"/>
        <v>1.0000000000000002</v>
      </c>
      <c r="T119">
        <f t="shared" ca="1" si="40"/>
        <v>34.393025346875511</v>
      </c>
      <c r="U119">
        <f t="shared" ca="1" si="61"/>
        <v>2.7309867050462344E-2</v>
      </c>
      <c r="V119">
        <f t="shared" ca="1" si="62"/>
        <v>1</v>
      </c>
      <c r="W119">
        <f t="shared" ca="1" si="41"/>
        <v>1.6752533667079024</v>
      </c>
      <c r="X119">
        <f t="shared" ca="1" si="42"/>
        <v>9.7315468072062057</v>
      </c>
      <c r="Y119">
        <f t="shared" ca="1" si="43"/>
        <v>1.0624531528213716</v>
      </c>
      <c r="Z119">
        <f t="shared" ca="1" si="44"/>
        <v>5.2355500116663416</v>
      </c>
      <c r="AA119">
        <f t="shared" ca="1" si="45"/>
        <v>634.95725336670796</v>
      </c>
      <c r="AB119">
        <f t="shared" ca="1" si="46"/>
        <v>636.35434734859678</v>
      </c>
      <c r="AC119">
        <f t="shared" ca="1" si="47"/>
        <v>5.6888885223279201E-3</v>
      </c>
      <c r="AD119">
        <f t="shared" ca="1" si="48"/>
        <v>1.2914796254565668</v>
      </c>
      <c r="AE119">
        <f t="shared" ca="1" si="49"/>
        <v>35.343174233658942</v>
      </c>
      <c r="AF119">
        <f t="shared" ca="1" si="50"/>
        <v>-1.9858815960560605E-2</v>
      </c>
      <c r="AG119">
        <f t="shared" ca="1" si="51"/>
        <v>0</v>
      </c>
      <c r="AH119">
        <f ca="1">IFERROR(IF(V32="Supercritical",MAX($D$16,IFERROR(L119,MAX($D$16,POWER((ABS(K119)^2)/($I$5*MAX(F119,0.1)^2),1/3)))),IF(V32="Subcritical",MAX($D$16,IFERROR(W119,MAX($D$16,POWER((ABS(K119)^2)/($I$5*MAX(F119,0.1)^2),1/3)))),IF(AND(IFERROR(V119,0)=1,IFERROR(AG119,0)=1),IF(IFERROR(T119,-1E+99)&gt;=IFERROR(AE119,-1E+99),MAX($D$16,IFERROR(L119,MAX($D$16,POWER((ABS(K119)^2)/($I$5*MAX(F119,0.1)^2),1/3)))),MAX($D$16,IFERROR(W119,MAX($D$16,POWER((ABS(K119)^2)/($I$5*MAX(F119,0.1)^2),1/3))))),IF(IFERROR(V119,0)=1,MAX($D$16,IFERROR(L119,MAX($D$16,POWER((ABS(K119)^2)/($I$5*MAX(F119,0.1)^2),1/3)))),IF(IFERROR(AG119,0)=1,MAX($D$16,IFERROR(W119,MAX($D$16,POWER((ABS(K119)^2)/($I$5*MAX(F119,0.1)^2),1/3)))),MAX($D$16,POWER((ABS(K119)^2)/($I$5*MAX(F119,0.1)^2),1/3))))))),MAX($D$16,POWER((ABS(K119)^2)/($I$5*MAX(F119,0.1)^2),1/3)))</f>
        <v>1.9867301022851136</v>
      </c>
      <c r="AI119">
        <f t="shared" ca="1" si="52"/>
        <v>635.26873010228519</v>
      </c>
      <c r="AJ119">
        <f t="shared" ca="1" si="53"/>
        <v>636.26209515342771</v>
      </c>
      <c r="AM119">
        <v>0</v>
      </c>
      <c r="AN119">
        <v>0</v>
      </c>
      <c r="AO119">
        <f t="shared" si="54"/>
        <v>0</v>
      </c>
      <c r="AP119">
        <f t="shared" si="63"/>
        <v>0</v>
      </c>
      <c r="AQ119">
        <f t="shared" ca="1" si="55"/>
        <v>1.0000000000000002</v>
      </c>
      <c r="AR119" t="str">
        <f t="shared" ca="1" si="56"/>
        <v>Supercritical</v>
      </c>
      <c r="AS119">
        <f t="shared" ca="1" si="57"/>
        <v>3.5177706351883055E-3</v>
      </c>
    </row>
    <row r="120" spans="1:45" x14ac:dyDescent="0.35">
      <c r="A120">
        <v>59</v>
      </c>
      <c r="B120">
        <v>57.999000000000002</v>
      </c>
      <c r="C120">
        <v>616513.16099999996</v>
      </c>
      <c r="D120">
        <v>3097725.0040000002</v>
      </c>
      <c r="E120">
        <v>633.24199999999996</v>
      </c>
      <c r="F120">
        <v>5.782</v>
      </c>
      <c r="G120">
        <v>0</v>
      </c>
      <c r="H120" t="s">
        <v>154</v>
      </c>
      <c r="I120">
        <v>1.4E-2</v>
      </c>
      <c r="J120">
        <f t="shared" si="58"/>
        <v>1</v>
      </c>
      <c r="K120">
        <f t="shared" ca="1" si="59"/>
        <v>50.95</v>
      </c>
      <c r="L120">
        <f t="shared" ca="1" si="60"/>
        <v>1.9929102073280442</v>
      </c>
      <c r="M120">
        <f t="shared" ca="1" si="33"/>
        <v>11.523006818770751</v>
      </c>
      <c r="N120">
        <f t="shared" ca="1" si="34"/>
        <v>1.1796906914342016</v>
      </c>
      <c r="O120">
        <f t="shared" ca="1" si="35"/>
        <v>4.4215889829209729</v>
      </c>
      <c r="P120">
        <f t="shared" ca="1" si="36"/>
        <v>635.23491020732797</v>
      </c>
      <c r="Q120">
        <f t="shared" ca="1" si="37"/>
        <v>636.23136531099203</v>
      </c>
      <c r="R120">
        <f t="shared" ca="1" si="38"/>
        <v>3.5289734173638387E-3</v>
      </c>
      <c r="S120">
        <f t="shared" ca="1" si="39"/>
        <v>1.0000000000000002</v>
      </c>
      <c r="T120">
        <f t="shared" ca="1" si="40"/>
        <v>34.446476862358338</v>
      </c>
      <c r="U120">
        <f t="shared" ca="1" si="61"/>
        <v>2.6874214538111119E-2</v>
      </c>
      <c r="V120">
        <f t="shared" ca="1" si="62"/>
        <v>1</v>
      </c>
      <c r="W120">
        <f t="shared" ca="1" si="41"/>
        <v>1.6752331889550407</v>
      </c>
      <c r="X120">
        <f t="shared" ca="1" si="42"/>
        <v>9.686198298538045</v>
      </c>
      <c r="Y120">
        <f t="shared" ca="1" si="43"/>
        <v>1.0606333379958945</v>
      </c>
      <c r="Z120">
        <f t="shared" ca="1" si="44"/>
        <v>5.2600616288941735</v>
      </c>
      <c r="AA120">
        <f t="shared" ca="1" si="45"/>
        <v>634.91723318895504</v>
      </c>
      <c r="AB120">
        <f t="shared" ca="1" si="46"/>
        <v>636.32743952635383</v>
      </c>
      <c r="AC120">
        <f t="shared" ca="1" si="47"/>
        <v>5.7554217204687274E-3</v>
      </c>
      <c r="AD120">
        <f t="shared" ca="1" si="48"/>
        <v>1.2975338443241504</v>
      </c>
      <c r="AE120">
        <f t="shared" ca="1" si="49"/>
        <v>35.432396884055407</v>
      </c>
      <c r="AF120">
        <f t="shared" ca="1" si="50"/>
        <v>-2.013338684696464E-2</v>
      </c>
      <c r="AG120">
        <f t="shared" ca="1" si="51"/>
        <v>0</v>
      </c>
      <c r="AH120">
        <f ca="1">IFERROR(IF(V32="Supercritical",MAX($D$16,IFERROR(L120,MAX($D$16,POWER((ABS(K120)^2)/($I$5*MAX(F120,0.1)^2),1/3)))),IF(V32="Subcritical",MAX($D$16,IFERROR(W120,MAX($D$16,POWER((ABS(K120)^2)/($I$5*MAX(F120,0.1)^2),1/3)))),IF(AND(IFERROR(V120,0)=1,IFERROR(AG120,0)=1),IF(IFERROR(T120,-1E+99)&gt;=IFERROR(AE120,-1E+99),MAX($D$16,IFERROR(L120,MAX($D$16,POWER((ABS(K120)^2)/($I$5*MAX(F120,0.1)^2),1/3)))),MAX($D$16,IFERROR(W120,MAX($D$16,POWER((ABS(K120)^2)/($I$5*MAX(F120,0.1)^2),1/3))))),IF(IFERROR(V120,0)=1,MAX($D$16,IFERROR(L120,MAX($D$16,POWER((ABS(K120)^2)/($I$5*MAX(F120,0.1)^2),1/3)))),IF(IFERROR(AG120,0)=1,MAX($D$16,IFERROR(W120,MAX($D$16,POWER((ABS(K120)^2)/($I$5*MAX(F120,0.1)^2),1/3)))),MAX($D$16,POWER((ABS(K120)^2)/($I$5*MAX(F120,0.1)^2),1/3))))))),MAX($D$16,POWER((ABS(K120)^2)/($I$5*MAX(F120,0.1)^2),1/3)))</f>
        <v>1.9929102073280442</v>
      </c>
      <c r="AI120">
        <f t="shared" ca="1" si="52"/>
        <v>635.23491020732797</v>
      </c>
      <c r="AJ120">
        <f t="shared" ca="1" si="53"/>
        <v>636.23136531099203</v>
      </c>
      <c r="AM120">
        <v>0</v>
      </c>
      <c r="AN120">
        <v>0</v>
      </c>
      <c r="AO120">
        <f t="shared" si="54"/>
        <v>0</v>
      </c>
      <c r="AP120">
        <f t="shared" si="63"/>
        <v>0</v>
      </c>
      <c r="AQ120">
        <f t="shared" ca="1" si="55"/>
        <v>1.0000000000000002</v>
      </c>
      <c r="AR120" t="str">
        <f t="shared" ca="1" si="56"/>
        <v>Supercritical</v>
      </c>
      <c r="AS120">
        <f t="shared" ca="1" si="57"/>
        <v>3.5289734173638387E-3</v>
      </c>
    </row>
    <row r="121" spans="1:45" x14ac:dyDescent="0.35">
      <c r="A121">
        <v>60</v>
      </c>
      <c r="B121">
        <v>58.999000000000002</v>
      </c>
      <c r="C121">
        <v>616512.58700000006</v>
      </c>
      <c r="D121">
        <v>3097724.1860000002</v>
      </c>
      <c r="E121">
        <v>633.202</v>
      </c>
      <c r="F121">
        <v>5.7560000000000002</v>
      </c>
      <c r="G121">
        <v>0</v>
      </c>
      <c r="H121" t="s">
        <v>154</v>
      </c>
      <c r="I121">
        <v>1.4E-2</v>
      </c>
      <c r="J121">
        <f t="shared" si="58"/>
        <v>1</v>
      </c>
      <c r="K121">
        <f t="shared" ca="1" si="59"/>
        <v>50.95</v>
      </c>
      <c r="L121">
        <f t="shared" ca="1" si="60"/>
        <v>1.9989070494308239</v>
      </c>
      <c r="M121">
        <f t="shared" ca="1" si="33"/>
        <v>11.505708976523822</v>
      </c>
      <c r="N121">
        <f t="shared" ca="1" si="34"/>
        <v>1.1796112638507879</v>
      </c>
      <c r="O121">
        <f t="shared" ca="1" si="35"/>
        <v>4.4282364610436495</v>
      </c>
      <c r="P121">
        <f t="shared" ca="1" si="36"/>
        <v>635.20090704943084</v>
      </c>
      <c r="Q121">
        <f t="shared" ca="1" si="37"/>
        <v>636.2003605741462</v>
      </c>
      <c r="R121">
        <f t="shared" ca="1" si="38"/>
        <v>3.5399101907791245E-3</v>
      </c>
      <c r="S121">
        <f t="shared" ca="1" si="39"/>
        <v>1</v>
      </c>
      <c r="T121">
        <f t="shared" ca="1" si="40"/>
        <v>34.498264172809471</v>
      </c>
      <c r="U121">
        <f t="shared" ca="1" si="61"/>
        <v>2.7147132354343739E-2</v>
      </c>
      <c r="V121">
        <f t="shared" ca="1" si="62"/>
        <v>1</v>
      </c>
      <c r="W121">
        <f t="shared" ca="1" si="41"/>
        <v>1.675253366791053</v>
      </c>
      <c r="X121">
        <f t="shared" ca="1" si="42"/>
        <v>9.642758379249301</v>
      </c>
      <c r="Y121">
        <f t="shared" ca="1" si="43"/>
        <v>1.0588866468071294</v>
      </c>
      <c r="Z121">
        <f t="shared" ca="1" si="44"/>
        <v>5.2837578207540359</v>
      </c>
      <c r="AA121">
        <f t="shared" ca="1" si="45"/>
        <v>634.87725336679102</v>
      </c>
      <c r="AB121">
        <f t="shared" ca="1" si="46"/>
        <v>636.30019407567886</v>
      </c>
      <c r="AC121">
        <f t="shared" ca="1" si="47"/>
        <v>5.820170355813145E-3</v>
      </c>
      <c r="AD121">
        <f t="shared" ca="1" si="48"/>
        <v>1.3033712897356919</v>
      </c>
      <c r="AE121">
        <f t="shared" ca="1" si="49"/>
        <v>35.51917860760134</v>
      </c>
      <c r="AF121">
        <f t="shared" ca="1" si="50"/>
        <v>-1.9876517483567113E-2</v>
      </c>
      <c r="AG121">
        <f t="shared" ca="1" si="51"/>
        <v>0</v>
      </c>
      <c r="AH121">
        <f ca="1">IFERROR(IF(V32="Supercritical",MAX($D$16,IFERROR(L121,MAX($D$16,POWER((ABS(K121)^2)/($I$5*MAX(F121,0.1)^2),1/3)))),IF(V32="Subcritical",MAX($D$16,IFERROR(W121,MAX($D$16,POWER((ABS(K121)^2)/($I$5*MAX(F121,0.1)^2),1/3)))),IF(AND(IFERROR(V121,0)=1,IFERROR(AG121,0)=1),IF(IFERROR(T121,-1E+99)&gt;=IFERROR(AE121,-1E+99),MAX($D$16,IFERROR(L121,MAX($D$16,POWER((ABS(K121)^2)/($I$5*MAX(F121,0.1)^2),1/3)))),MAX($D$16,IFERROR(W121,MAX($D$16,POWER((ABS(K121)^2)/($I$5*MAX(F121,0.1)^2),1/3))))),IF(IFERROR(V121,0)=1,MAX($D$16,IFERROR(L121,MAX($D$16,POWER((ABS(K121)^2)/($I$5*MAX(F121,0.1)^2),1/3)))),IF(IFERROR(AG121,0)=1,MAX($D$16,IFERROR(W121,MAX($D$16,POWER((ABS(K121)^2)/($I$5*MAX(F121,0.1)^2),1/3)))),MAX($D$16,POWER((ABS(K121)^2)/($I$5*MAX(F121,0.1)^2),1/3))))))),MAX($D$16,POWER((ABS(K121)^2)/($I$5*MAX(F121,0.1)^2),1/3)))</f>
        <v>1.9989070494308239</v>
      </c>
      <c r="AI121">
        <f t="shared" ca="1" si="52"/>
        <v>635.20090704943084</v>
      </c>
      <c r="AJ121">
        <f t="shared" ca="1" si="53"/>
        <v>636.2003605741462</v>
      </c>
      <c r="AM121">
        <v>0</v>
      </c>
      <c r="AN121">
        <v>0</v>
      </c>
      <c r="AO121">
        <f t="shared" si="54"/>
        <v>0</v>
      </c>
      <c r="AP121">
        <f t="shared" si="63"/>
        <v>0</v>
      </c>
      <c r="AQ121">
        <f t="shared" ca="1" si="55"/>
        <v>1</v>
      </c>
      <c r="AR121" t="str">
        <f t="shared" ca="1" si="56"/>
        <v>Supercritical</v>
      </c>
      <c r="AS121">
        <f t="shared" ca="1" si="57"/>
        <v>3.5399101907791245E-3</v>
      </c>
    </row>
    <row r="122" spans="1:45" x14ac:dyDescent="0.35">
      <c r="A122">
        <v>61</v>
      </c>
      <c r="B122">
        <v>59.999000000000002</v>
      </c>
      <c r="C122">
        <v>616512.01199999999</v>
      </c>
      <c r="D122">
        <v>3097723.3670000001</v>
      </c>
      <c r="E122">
        <v>633.16200000000003</v>
      </c>
      <c r="F122">
        <v>5.73</v>
      </c>
      <c r="G122">
        <v>0</v>
      </c>
      <c r="H122" t="s">
        <v>154</v>
      </c>
      <c r="I122">
        <v>1.4E-2</v>
      </c>
      <c r="J122">
        <f t="shared" si="58"/>
        <v>1</v>
      </c>
      <c r="K122">
        <f t="shared" ca="1" si="59"/>
        <v>50.95</v>
      </c>
      <c r="L122">
        <f t="shared" ca="1" si="60"/>
        <v>2.004949208667596</v>
      </c>
      <c r="M122">
        <f t="shared" ca="1" si="33"/>
        <v>11.488358965665325</v>
      </c>
      <c r="N122">
        <f t="shared" ca="1" si="34"/>
        <v>1.1795152755616221</v>
      </c>
      <c r="O122">
        <f t="shared" ca="1" si="35"/>
        <v>4.4349240959715548</v>
      </c>
      <c r="P122">
        <f t="shared" ca="1" si="36"/>
        <v>635.16694920866757</v>
      </c>
      <c r="Q122">
        <f t="shared" ca="1" si="37"/>
        <v>636.16942381300134</v>
      </c>
      <c r="R122">
        <f t="shared" ca="1" si="38"/>
        <v>3.5509956561594349E-3</v>
      </c>
      <c r="S122">
        <f t="shared" ca="1" si="39"/>
        <v>1</v>
      </c>
      <c r="T122">
        <f t="shared" ca="1" si="40"/>
        <v>34.550364325649959</v>
      </c>
      <c r="U122">
        <f t="shared" ca="1" si="61"/>
        <v>2.7065809185387479E-2</v>
      </c>
      <c r="V122">
        <f t="shared" ca="1" si="62"/>
        <v>1</v>
      </c>
      <c r="W122">
        <f t="shared" ca="1" si="41"/>
        <v>1.6752331890327004</v>
      </c>
      <c r="X122">
        <f t="shared" ca="1" si="42"/>
        <v>9.5990861731573744</v>
      </c>
      <c r="Y122">
        <f t="shared" ca="1" si="43"/>
        <v>1.0571137839731164</v>
      </c>
      <c r="Z122">
        <f t="shared" ca="1" si="44"/>
        <v>5.307796917426912</v>
      </c>
      <c r="AA122">
        <f t="shared" ca="1" si="45"/>
        <v>634.83723318903276</v>
      </c>
      <c r="AB122">
        <f t="shared" ca="1" si="46"/>
        <v>636.27315103391788</v>
      </c>
      <c r="AC122">
        <f t="shared" ca="1" si="47"/>
        <v>5.8863868403298304E-3</v>
      </c>
      <c r="AD122">
        <f t="shared" ca="1" si="48"/>
        <v>1.3093090204817719</v>
      </c>
      <c r="AE122">
        <f t="shared" ca="1" si="49"/>
        <v>35.607352132083001</v>
      </c>
      <c r="AF122">
        <f t="shared" ca="1" si="50"/>
        <v>-1.9053626877507668E-2</v>
      </c>
      <c r="AG122">
        <f t="shared" ca="1" si="51"/>
        <v>0</v>
      </c>
      <c r="AH122">
        <f ca="1">IFERROR(IF(V32="Supercritical",MAX($D$16,IFERROR(L122,MAX($D$16,POWER((ABS(K122)^2)/($I$5*MAX(F122,0.1)^2),1/3)))),IF(V32="Subcritical",MAX($D$16,IFERROR(W122,MAX($D$16,POWER((ABS(K122)^2)/($I$5*MAX(F122,0.1)^2),1/3)))),IF(AND(IFERROR(V122,0)=1,IFERROR(AG122,0)=1),IF(IFERROR(T122,-1E+99)&gt;=IFERROR(AE122,-1E+99),MAX($D$16,IFERROR(L122,MAX($D$16,POWER((ABS(K122)^2)/($I$5*MAX(F122,0.1)^2),1/3)))),MAX($D$16,IFERROR(W122,MAX($D$16,POWER((ABS(K122)^2)/($I$5*MAX(F122,0.1)^2),1/3))))),IF(IFERROR(V122,0)=1,MAX($D$16,IFERROR(L122,MAX($D$16,POWER((ABS(K122)^2)/($I$5*MAX(F122,0.1)^2),1/3)))),IF(IFERROR(AG122,0)=1,MAX($D$16,IFERROR(W122,MAX($D$16,POWER((ABS(K122)^2)/($I$5*MAX(F122,0.1)^2),1/3)))),MAX($D$16,POWER((ABS(K122)^2)/($I$5*MAX(F122,0.1)^2),1/3))))))),MAX($D$16,POWER((ABS(K122)^2)/($I$5*MAX(F122,0.1)^2),1/3)))</f>
        <v>2.004949208667596</v>
      </c>
      <c r="AI122">
        <f t="shared" ca="1" si="52"/>
        <v>635.16694920866757</v>
      </c>
      <c r="AJ122">
        <f t="shared" ca="1" si="53"/>
        <v>636.16942381300134</v>
      </c>
      <c r="AM122">
        <v>0</v>
      </c>
      <c r="AN122">
        <v>0</v>
      </c>
      <c r="AO122">
        <f t="shared" si="54"/>
        <v>0</v>
      </c>
      <c r="AP122">
        <f t="shared" si="63"/>
        <v>0</v>
      </c>
      <c r="AQ122">
        <f t="shared" ca="1" si="55"/>
        <v>1</v>
      </c>
      <c r="AR122" t="str">
        <f t="shared" ca="1" si="56"/>
        <v>Supercritical</v>
      </c>
      <c r="AS122">
        <f t="shared" ca="1" si="57"/>
        <v>3.5509956561594349E-3</v>
      </c>
    </row>
    <row r="123" spans="1:45" x14ac:dyDescent="0.35">
      <c r="A123">
        <v>62</v>
      </c>
      <c r="B123">
        <v>60.999000000000002</v>
      </c>
      <c r="C123">
        <v>616511.43799999997</v>
      </c>
      <c r="D123">
        <v>3097722.5490000001</v>
      </c>
      <c r="E123">
        <v>633.12199999999996</v>
      </c>
      <c r="F123">
        <v>5.7030000000000003</v>
      </c>
      <c r="G123">
        <v>0</v>
      </c>
      <c r="H123" t="s">
        <v>154</v>
      </c>
      <c r="I123">
        <v>1.4E-2</v>
      </c>
      <c r="J123">
        <f t="shared" si="58"/>
        <v>1</v>
      </c>
      <c r="K123">
        <f t="shared" ca="1" si="59"/>
        <v>50.95</v>
      </c>
      <c r="L123">
        <f t="shared" ca="1" si="60"/>
        <v>2.0112723138953554</v>
      </c>
      <c r="M123">
        <f t="shared" ca="1" si="33"/>
        <v>11.470286006145212</v>
      </c>
      <c r="N123">
        <f t="shared" ca="1" si="34"/>
        <v>1.179397807025522</v>
      </c>
      <c r="O123">
        <f t="shared" ca="1" si="35"/>
        <v>4.4419119080991978</v>
      </c>
      <c r="P123">
        <f t="shared" ca="1" si="36"/>
        <v>635.1332723138953</v>
      </c>
      <c r="Q123">
        <f t="shared" ca="1" si="37"/>
        <v>636.13890847084303</v>
      </c>
      <c r="R123">
        <f t="shared" ca="1" si="38"/>
        <v>3.5626676721641388E-3</v>
      </c>
      <c r="S123">
        <f t="shared" ca="1" si="39"/>
        <v>1.0000000000000004</v>
      </c>
      <c r="T123">
        <f t="shared" ca="1" si="40"/>
        <v>34.604803014931811</v>
      </c>
      <c r="U123">
        <f t="shared" ca="1" si="61"/>
        <v>2.6618890389158878E-2</v>
      </c>
      <c r="V123">
        <f t="shared" ca="1" si="62"/>
        <v>1</v>
      </c>
      <c r="W123">
        <f t="shared" ca="1" si="41"/>
        <v>1.6752533668635625</v>
      </c>
      <c r="X123">
        <f t="shared" ca="1" si="42"/>
        <v>9.5539699512228982</v>
      </c>
      <c r="Y123">
        <f t="shared" ca="1" si="43"/>
        <v>1.0552783835275001</v>
      </c>
      <c r="Z123">
        <f t="shared" ca="1" si="44"/>
        <v>5.3328616543825804</v>
      </c>
      <c r="AA123">
        <f t="shared" ca="1" si="45"/>
        <v>634.79725336686352</v>
      </c>
      <c r="AB123">
        <f t="shared" ca="1" si="46"/>
        <v>636.24676475446722</v>
      </c>
      <c r="AC123">
        <f t="shared" ca="1" si="47"/>
        <v>5.9558958767203084E-3</v>
      </c>
      <c r="AD123">
        <f t="shared" ca="1" si="48"/>
        <v>1.3154839809278571</v>
      </c>
      <c r="AE123">
        <f t="shared" ca="1" si="49"/>
        <v>35.699836646091569</v>
      </c>
      <c r="AF123">
        <f t="shared" ca="1" si="50"/>
        <v>-1.9337487988423163E-2</v>
      </c>
      <c r="AG123">
        <f t="shared" ca="1" si="51"/>
        <v>0</v>
      </c>
      <c r="AH123">
        <f ca="1">IFERROR(IF(V32="Supercritical",MAX($D$16,IFERROR(L123,MAX($D$16,POWER((ABS(K123)^2)/($I$5*MAX(F123,0.1)^2),1/3)))),IF(V32="Subcritical",MAX($D$16,IFERROR(W123,MAX($D$16,POWER((ABS(K123)^2)/($I$5*MAX(F123,0.1)^2),1/3)))),IF(AND(IFERROR(V123,0)=1,IFERROR(AG123,0)=1),IF(IFERROR(T123,-1E+99)&gt;=IFERROR(AE123,-1E+99),MAX($D$16,IFERROR(L123,MAX($D$16,POWER((ABS(K123)^2)/($I$5*MAX(F123,0.1)^2),1/3)))),MAX($D$16,IFERROR(W123,MAX($D$16,POWER((ABS(K123)^2)/($I$5*MAX(F123,0.1)^2),1/3))))),IF(IFERROR(V123,0)=1,MAX($D$16,IFERROR(L123,MAX($D$16,POWER((ABS(K123)^2)/($I$5*MAX(F123,0.1)^2),1/3)))),IF(IFERROR(AG123,0)=1,MAX($D$16,IFERROR(W123,MAX($D$16,POWER((ABS(K123)^2)/($I$5*MAX(F123,0.1)^2),1/3)))),MAX($D$16,POWER((ABS(K123)^2)/($I$5*MAX(F123,0.1)^2),1/3))))))),MAX($D$16,POWER((ABS(K123)^2)/($I$5*MAX(F123,0.1)^2),1/3)))</f>
        <v>2.0112723138953554</v>
      </c>
      <c r="AI123">
        <f t="shared" ca="1" si="52"/>
        <v>635.1332723138953</v>
      </c>
      <c r="AJ123">
        <f t="shared" ca="1" si="53"/>
        <v>636.13890847084303</v>
      </c>
      <c r="AM123">
        <v>0</v>
      </c>
      <c r="AN123">
        <v>0</v>
      </c>
      <c r="AO123">
        <f t="shared" si="54"/>
        <v>0</v>
      </c>
      <c r="AP123">
        <f t="shared" si="63"/>
        <v>0</v>
      </c>
      <c r="AQ123">
        <f t="shared" ca="1" si="55"/>
        <v>1.0000000000000004</v>
      </c>
      <c r="AR123" t="str">
        <f t="shared" ca="1" si="56"/>
        <v>Supercritical</v>
      </c>
      <c r="AS123">
        <f t="shared" ca="1" si="57"/>
        <v>3.5626676721641388E-3</v>
      </c>
    </row>
    <row r="124" spans="1:45" x14ac:dyDescent="0.35">
      <c r="A124">
        <v>63</v>
      </c>
      <c r="B124">
        <v>61.999000000000002</v>
      </c>
      <c r="C124">
        <v>616510.86300000001</v>
      </c>
      <c r="D124">
        <v>3097721.73</v>
      </c>
      <c r="E124">
        <v>633.08199999999999</v>
      </c>
      <c r="F124">
        <v>5.6769999999999996</v>
      </c>
      <c r="G124">
        <v>0</v>
      </c>
      <c r="H124" t="s">
        <v>154</v>
      </c>
      <c r="I124">
        <v>1.4E-2</v>
      </c>
      <c r="J124">
        <f t="shared" si="58"/>
        <v>1</v>
      </c>
      <c r="K124">
        <f t="shared" ca="1" si="59"/>
        <v>50.95</v>
      </c>
      <c r="L124">
        <f t="shared" ca="1" si="60"/>
        <v>2.0174085648678401</v>
      </c>
      <c r="M124">
        <f t="shared" ca="1" si="33"/>
        <v>11.452828422754727</v>
      </c>
      <c r="N124">
        <f t="shared" ca="1" si="34"/>
        <v>1.1792673059800942</v>
      </c>
      <c r="O124">
        <f t="shared" ca="1" si="35"/>
        <v>4.4486827287809048</v>
      </c>
      <c r="P124">
        <f t="shared" ca="1" si="36"/>
        <v>635.09940856486787</v>
      </c>
      <c r="Q124">
        <f t="shared" ca="1" si="37"/>
        <v>636.10811284730175</v>
      </c>
      <c r="R124">
        <f t="shared" ca="1" si="38"/>
        <v>3.5740644083754806E-3</v>
      </c>
      <c r="S124">
        <f t="shared" ca="1" si="39"/>
        <v>1</v>
      </c>
      <c r="T124">
        <f t="shared" ca="1" si="40"/>
        <v>34.657551228040838</v>
      </c>
      <c r="U124">
        <f t="shared" ca="1" si="61"/>
        <v>2.6896908519120188E-2</v>
      </c>
      <c r="V124">
        <f t="shared" ca="1" si="62"/>
        <v>1</v>
      </c>
      <c r="W124">
        <f t="shared" ca="1" si="41"/>
        <v>1.675233189100418</v>
      </c>
      <c r="X124">
        <f t="shared" ca="1" si="42"/>
        <v>9.5102988145230718</v>
      </c>
      <c r="Y124">
        <f t="shared" ca="1" si="43"/>
        <v>1.0534848224401214</v>
      </c>
      <c r="Z124">
        <f t="shared" ca="1" si="44"/>
        <v>5.3573500679279205</v>
      </c>
      <c r="AA124">
        <f t="shared" ca="1" si="45"/>
        <v>634.75723318910036</v>
      </c>
      <c r="AB124">
        <f t="shared" ca="1" si="46"/>
        <v>636.2200874067521</v>
      </c>
      <c r="AC124">
        <f t="shared" ca="1" si="47"/>
        <v>6.024368446824557E-3</v>
      </c>
      <c r="AD124">
        <f t="shared" ca="1" si="48"/>
        <v>1.3215326205576283</v>
      </c>
      <c r="AE124">
        <f t="shared" ca="1" si="49"/>
        <v>35.790345570082692</v>
      </c>
      <c r="AF124">
        <f t="shared" ca="1" si="50"/>
        <v>-1.9065254915858532E-2</v>
      </c>
      <c r="AG124">
        <f t="shared" ca="1" si="51"/>
        <v>0</v>
      </c>
      <c r="AH124">
        <f ca="1">IFERROR(IF(V32="Supercritical",MAX($D$16,IFERROR(L124,MAX($D$16,POWER((ABS(K124)^2)/($I$5*MAX(F124,0.1)^2),1/3)))),IF(V32="Subcritical",MAX($D$16,IFERROR(W124,MAX($D$16,POWER((ABS(K124)^2)/($I$5*MAX(F124,0.1)^2),1/3)))),IF(AND(IFERROR(V124,0)=1,IFERROR(AG124,0)=1),IF(IFERROR(T124,-1E+99)&gt;=IFERROR(AE124,-1E+99),MAX($D$16,IFERROR(L124,MAX($D$16,POWER((ABS(K124)^2)/($I$5*MAX(F124,0.1)^2),1/3)))),MAX($D$16,IFERROR(W124,MAX($D$16,POWER((ABS(K124)^2)/($I$5*MAX(F124,0.1)^2),1/3))))),IF(IFERROR(V124,0)=1,MAX($D$16,IFERROR(L124,MAX($D$16,POWER((ABS(K124)^2)/($I$5*MAX(F124,0.1)^2),1/3)))),IF(IFERROR(AG124,0)=1,MAX($D$16,IFERROR(W124,MAX($D$16,POWER((ABS(K124)^2)/($I$5*MAX(F124,0.1)^2),1/3)))),MAX($D$16,POWER((ABS(K124)^2)/($I$5*MAX(F124,0.1)^2),1/3))))))),MAX($D$16,POWER((ABS(K124)^2)/($I$5*MAX(F124,0.1)^2),1/3)))</f>
        <v>2.0174085648678401</v>
      </c>
      <c r="AI124">
        <f t="shared" ca="1" si="52"/>
        <v>635.09940856486787</v>
      </c>
      <c r="AJ124">
        <f t="shared" ca="1" si="53"/>
        <v>636.10811284730175</v>
      </c>
      <c r="AM124">
        <v>0</v>
      </c>
      <c r="AN124">
        <v>0</v>
      </c>
      <c r="AO124">
        <f t="shared" si="54"/>
        <v>0</v>
      </c>
      <c r="AP124">
        <f t="shared" si="63"/>
        <v>0</v>
      </c>
      <c r="AQ124">
        <f t="shared" ca="1" si="55"/>
        <v>1</v>
      </c>
      <c r="AR124" t="str">
        <f t="shared" ca="1" si="56"/>
        <v>Supercritical</v>
      </c>
      <c r="AS124">
        <f t="shared" ca="1" si="57"/>
        <v>3.5740644083754806E-3</v>
      </c>
    </row>
    <row r="125" spans="1:45" x14ac:dyDescent="0.35">
      <c r="A125">
        <v>64</v>
      </c>
      <c r="B125">
        <v>62.999000000000002</v>
      </c>
      <c r="C125">
        <v>616510.28899999999</v>
      </c>
      <c r="D125">
        <v>3097720.912</v>
      </c>
      <c r="E125">
        <v>633.04200000000003</v>
      </c>
      <c r="F125">
        <v>5.6509999999999998</v>
      </c>
      <c r="G125">
        <v>0</v>
      </c>
      <c r="H125" t="s">
        <v>154</v>
      </c>
      <c r="I125">
        <v>1.4E-2</v>
      </c>
      <c r="J125">
        <f t="shared" si="58"/>
        <v>1</v>
      </c>
      <c r="K125">
        <f t="shared" ca="1" si="59"/>
        <v>50.95</v>
      </c>
      <c r="L125">
        <f t="shared" ca="1" si="60"/>
        <v>2.0235918342224184</v>
      </c>
      <c r="M125">
        <f t="shared" ca="1" si="33"/>
        <v>11.435317455190885</v>
      </c>
      <c r="N125">
        <f t="shared" ca="1" si="34"/>
        <v>1.1791194976434807</v>
      </c>
      <c r="O125">
        <f t="shared" ca="1" si="35"/>
        <v>4.4554950222979635</v>
      </c>
      <c r="P125">
        <f t="shared" ca="1" si="36"/>
        <v>635.06559183422246</v>
      </c>
      <c r="Q125">
        <f t="shared" ca="1" si="37"/>
        <v>636.07738775133362</v>
      </c>
      <c r="R125">
        <f t="shared" ca="1" si="38"/>
        <v>3.5856179718600405E-3</v>
      </c>
      <c r="S125">
        <f t="shared" ca="1" si="39"/>
        <v>1</v>
      </c>
      <c r="T125">
        <f t="shared" ca="1" si="40"/>
        <v>34.710622536098043</v>
      </c>
      <c r="U125">
        <f t="shared" ca="1" si="61"/>
        <v>2.6812482738932886E-2</v>
      </c>
      <c r="V125">
        <f t="shared" ca="1" si="62"/>
        <v>1</v>
      </c>
      <c r="W125">
        <f t="shared" ca="1" si="41"/>
        <v>1.6752533669267953</v>
      </c>
      <c r="X125">
        <f t="shared" ca="1" si="42"/>
        <v>9.4668567765033202</v>
      </c>
      <c r="Y125">
        <f t="shared" ca="1" si="43"/>
        <v>1.0516969054635714</v>
      </c>
      <c r="Z125">
        <f t="shared" ca="1" si="44"/>
        <v>5.3819341733845159</v>
      </c>
      <c r="AA125">
        <f t="shared" ca="1" si="45"/>
        <v>634.7172533669268</v>
      </c>
      <c r="AB125">
        <f t="shared" ca="1" si="46"/>
        <v>636.19356404208702</v>
      </c>
      <c r="AC125">
        <f t="shared" ca="1" si="47"/>
        <v>6.0935702166115269E-3</v>
      </c>
      <c r="AD125">
        <f t="shared" ca="1" si="48"/>
        <v>1.3275889475857034</v>
      </c>
      <c r="AE125">
        <f t="shared" ca="1" si="49"/>
        <v>35.881735283255445</v>
      </c>
      <c r="AF125">
        <f t="shared" ca="1" si="50"/>
        <v>-1.8204953409508562E-2</v>
      </c>
      <c r="AG125">
        <f t="shared" ca="1" si="51"/>
        <v>0</v>
      </c>
      <c r="AH125">
        <f ca="1">IFERROR(IF(V32="Supercritical",MAX($D$16,IFERROR(L125,MAX($D$16,POWER((ABS(K125)^2)/($I$5*MAX(F125,0.1)^2),1/3)))),IF(V32="Subcritical",MAX($D$16,IFERROR(W125,MAX($D$16,POWER((ABS(K125)^2)/($I$5*MAX(F125,0.1)^2),1/3)))),IF(AND(IFERROR(V125,0)=1,IFERROR(AG125,0)=1),IF(IFERROR(T125,-1E+99)&gt;=IFERROR(AE125,-1E+99),MAX($D$16,IFERROR(L125,MAX($D$16,POWER((ABS(K125)^2)/($I$5*MAX(F125,0.1)^2),1/3)))),MAX($D$16,IFERROR(W125,MAX($D$16,POWER((ABS(K125)^2)/($I$5*MAX(F125,0.1)^2),1/3))))),IF(IFERROR(V125,0)=1,MAX($D$16,IFERROR(L125,MAX($D$16,POWER((ABS(K125)^2)/($I$5*MAX(F125,0.1)^2),1/3)))),IF(IFERROR(AG125,0)=1,MAX($D$16,IFERROR(W125,MAX($D$16,POWER((ABS(K125)^2)/($I$5*MAX(F125,0.1)^2),1/3)))),MAX($D$16,POWER((ABS(K125)^2)/($I$5*MAX(F125,0.1)^2),1/3))))))),MAX($D$16,POWER((ABS(K125)^2)/($I$5*MAX(F125,0.1)^2),1/3)))</f>
        <v>2.0235918342224184</v>
      </c>
      <c r="AI125">
        <f t="shared" ca="1" si="52"/>
        <v>635.06559183422246</v>
      </c>
      <c r="AJ125">
        <f t="shared" ca="1" si="53"/>
        <v>636.07738775133362</v>
      </c>
      <c r="AM125">
        <v>0</v>
      </c>
      <c r="AN125">
        <v>0</v>
      </c>
      <c r="AO125">
        <f t="shared" si="54"/>
        <v>0</v>
      </c>
      <c r="AP125">
        <f t="shared" si="63"/>
        <v>0</v>
      </c>
      <c r="AQ125">
        <f t="shared" ca="1" si="55"/>
        <v>1</v>
      </c>
      <c r="AR125" t="str">
        <f t="shared" ca="1" si="56"/>
        <v>Supercritical</v>
      </c>
      <c r="AS125">
        <f t="shared" ca="1" si="57"/>
        <v>3.5856179718600405E-3</v>
      </c>
    </row>
    <row r="126" spans="1:45" x14ac:dyDescent="0.35">
      <c r="A126">
        <v>65</v>
      </c>
      <c r="B126">
        <v>63.999000000000002</v>
      </c>
      <c r="C126">
        <v>616509.71400000004</v>
      </c>
      <c r="D126">
        <v>3097720.0929999999</v>
      </c>
      <c r="E126">
        <v>633.00199999999995</v>
      </c>
      <c r="F126">
        <v>5.6239999999999997</v>
      </c>
      <c r="G126">
        <v>0</v>
      </c>
      <c r="H126" t="s">
        <v>154</v>
      </c>
      <c r="I126">
        <v>1.4E-2</v>
      </c>
      <c r="J126">
        <f t="shared" si="58"/>
        <v>1</v>
      </c>
      <c r="K126">
        <f t="shared" ca="1" si="59"/>
        <v>50.95</v>
      </c>
      <c r="L126">
        <f t="shared" ca="1" si="60"/>
        <v>2.0300633082845674</v>
      </c>
      <c r="M126">
        <f t="shared" ref="M126:M189" ca="1" si="64">((F126)+(G126)*(L126))*(L126)</f>
        <v>11.417076045792406</v>
      </c>
      <c r="N126">
        <f t="shared" ref="N126:N189" ca="1" si="65">(((F126)+(G126)*(L126))*(L126))/MAX((F126)+2*(L126)*SQRT(1+(G126)^2),0.000001)</f>
        <v>1.1789474154807382</v>
      </c>
      <c r="O126">
        <f t="shared" ref="O126:O189" ca="1" si="66">ABS(K126)/MAX(((F126)+(G126)*(L126))*(L126),0.000001)</f>
        <v>4.4626137021113097</v>
      </c>
      <c r="P126">
        <f t="shared" ref="P126:P189" ca="1" si="67">E126+L126</f>
        <v>635.03206330828448</v>
      </c>
      <c r="Q126">
        <f t="shared" ref="Q126:Q189" ca="1" si="68">P126+((ABS(K126)/MAX(((F126)+(G126)*(L126))*(L126),0.000001))^2)/(2*$I$5)</f>
        <v>636.04709496242674</v>
      </c>
      <c r="R126">
        <f t="shared" ref="R126:R189" ca="1" si="69">((ABS(K126)*$D$6)/(MAX(((F126)+(G126)*(L126))*(L126),0.000001)*MAX(((((F126)+(G126)*(L126))*(L126))/MAX((F126)+2*(L126)*SQRT(1+(G126)^2),0.000001))^(2/3),0.000001)))^2</f>
        <v>3.5977848965366025E-3</v>
      </c>
      <c r="S126">
        <f t="shared" ref="S126:S189" ca="1" si="70">ABS(ABS(K126)/MAX(((F126)+(G126)*(L126))*(L126),0.000001))/SQRT($I$5*MAX((((F126)+(G126)*(L126))*(L126))/MAX((F126)+2*(G126)*(L126),0.000001),0.000001))</f>
        <v>1</v>
      </c>
      <c r="T126">
        <f t="shared" ref="T126:T189" ca="1" si="71">((F126)*(L126)^2)/2+(G126)*(L126)^3/3+(ABS(K126)^2)/($I$5*MAX(((F126)+(G126)*(L126))*(L126),0.000001))</f>
        <v>34.766080752686733</v>
      </c>
      <c r="U126">
        <f t="shared" ca="1" si="61"/>
        <v>2.6353829697654874E-2</v>
      </c>
      <c r="V126">
        <f t="shared" ca="1" si="62"/>
        <v>1</v>
      </c>
      <c r="W126">
        <f t="shared" ref="W126:W189" ca="1" si="72">IF($D$20=0,IFERROR(W127,MAX($D$16,POWER((ABS(K126)^2)/($I$5*MAX(F126,0.1)^2),1/3))),IF(IFERROR(AG127,0)=0,IFERROR(W127,MAX($D$16,POWER((ABS(K126)^2)/($I$5*MAX(F126,0.1)^2),1/3))),IF(OR(IFERROR(W126,0)=0,IFERROR(AD127,0)&gt;1),MAX($D$16,POWER((ABS(K126)^2)/($I$5*MAX(F126,0.1)^2),1/3)),IF(IFERROR(AF126,0)&gt;0,MAX($D$16,IFERROR(W126,0)+((IFERROR(AF126,0))*$D$18*IF((IFERROR(AD126,0))&lt;1,1,-1))),IF(IFERROR(AF126,0)&lt;0,IF(ABS((MAX($D$16,POWER((ABS(K126)^2)/($I$5*MAX(F126,0.1)^2),1/3)))-IFERROR(W126,0))&gt;$D$19,MAX($D$16,IF((MAX($D$16,POWER((ABS(K126)^2)/($I$5*MAX(F126,0.1)^2),1/3)))&gt;IFERROR(W126,0),MIN((MAX($D$16,POWER((ABS(K126)^2)/($I$5*MAX(F126,0.1)^2),1/3))),IFERROR(W126,0)+(MIN(ABS(IFERROR(AF126,0))*$D$18,ABS((MAX($D$16,POWER((ABS(K126)^2)/($I$5*MAX(F126,0.1)^2),1/3)))-IFERROR(W126,0))))),MAX((MAX($D$16,POWER((ABS(K126)^2)/($I$5*MAX(F126,0.1)^2),1/3))),IFERROR(W126,0)-(MIN(ABS(IFERROR(AF126,0))*$D$18,ABS((MAX($D$16,POWER((ABS(K126)^2)/($I$5*MAX(F126,0.1)^2),1/3)))-IFERROR(W126,0))))))),MAX($D$16,POWER((ABS(K126)^2)/($I$5*MAX(F126,0.1)^2),1/3))),MAX($D$16,IFERROR(W126,0)))))))</f>
        <v>1.6752331891594556</v>
      </c>
      <c r="X126">
        <f t="shared" ref="X126:X189" ca="1" si="73">((F126)+(G126)*(W126))*(W126)</f>
        <v>9.4215114558327784</v>
      </c>
      <c r="Y126">
        <f t="shared" ref="Y126:Y189" ca="1" si="74">(((F126)+(G126)*(W126))*(W126))/MAX((F126)+2*(W126)*SQRT(1+(G126)^2),0.000001)</f>
        <v>1.0498129981960673</v>
      </c>
      <c r="Z126">
        <f t="shared" ref="Z126:Z189" ca="1" si="75">ABS(K126)/MAX(((F126)+(G126)*(W126))*(W126),0.000001)</f>
        <v>5.4078371860873009</v>
      </c>
      <c r="AA126">
        <f t="shared" ref="AA126:AA189" ca="1" si="76">E126+W126</f>
        <v>634.67723318915944</v>
      </c>
      <c r="AB126">
        <f t="shared" ref="AB126:AB189" ca="1" si="77">AA126+((ABS(K126)/MAX(((F126)+(G126)*(W126))*(W126),0.000001))^2)/(2*$I$5)</f>
        <v>636.16778889921181</v>
      </c>
      <c r="AC126">
        <f t="shared" ref="AC126:AC189" ca="1" si="78">((ABS(K126)*$D$6)/(MAX(((F126)+(G126)*(W126))*(W126),0.000001)*MAX(((((F126)+(G126)*(W126))*(W126))/MAX((F126)+2*(W126)*SQRT(1+(G126)^2),0.000001))^(2/3),0.000001)))^2</f>
        <v>6.1670926479839693E-3</v>
      </c>
      <c r="AD126">
        <f t="shared" ref="AD126:AD189" ca="1" si="79">ABS(ABS(K126)/MAX(((F126)+(G126)*(W126))*(W126),0.000001))/SQRT($I$5*MAX((((F126)+(G126)*(W126))*(W126))/MAX((F126)+2*(G126)*(W126),0.000001),0.000001))</f>
        <v>1.3339866085542436</v>
      </c>
      <c r="AE126">
        <f t="shared" ref="AE126:AE189" ca="1" si="80">((F126)*(W126)^2)/2+(G126)*(W126)^3/3+(ABS(K126)^2)/($I$5*MAX(((F126)+(G126)*(W126))*(W126),0.000001))</f>
        <v>35.978189737060347</v>
      </c>
      <c r="AF126">
        <f t="shared" ref="AF126:AF189" ca="1" si="81">IF($D$20=0,0,IFERROR(AB127+(((AC126+AC127)/2)*J127)+(IF(Z126&gt;Z127,$D$8*((Z126^2-Z127^2)/(2*$I$5)),$D$9*((Z127^2-Z126^2)/(2*$I$5)))+($D$10*(ABS(I127)/90)*(MAX(Z126^2,Z127^2)/(2*$I$5))))-AB126,0))</f>
        <v>-1.8496126562126847E-2</v>
      </c>
      <c r="AG126">
        <f t="shared" ref="AG126:AG189" ca="1" si="82">IF($D$20=0,1,IFERROR(IF(ROUND(AD126,3)=1,1,IF(AND(ABS(AF126)&lt;$D$19,AD126&lt;1),1,0)),0))</f>
        <v>0</v>
      </c>
      <c r="AH126">
        <f ca="1">IFERROR(IF(V32="Supercritical",MAX($D$16,IFERROR(L126,MAX($D$16,POWER((ABS(K126)^2)/($I$5*MAX(F126,0.1)^2),1/3)))),IF(V32="Subcritical",MAX($D$16,IFERROR(W126,MAX($D$16,POWER((ABS(K126)^2)/($I$5*MAX(F126,0.1)^2),1/3)))),IF(AND(IFERROR(V126,0)=1,IFERROR(AG126,0)=1),IF(IFERROR(T126,-1E+99)&gt;=IFERROR(AE126,-1E+99),MAX($D$16,IFERROR(L126,MAX($D$16,POWER((ABS(K126)^2)/($I$5*MAX(F126,0.1)^2),1/3)))),MAX($D$16,IFERROR(W126,MAX($D$16,POWER((ABS(K126)^2)/($I$5*MAX(F126,0.1)^2),1/3))))),IF(IFERROR(V126,0)=1,MAX($D$16,IFERROR(L126,MAX($D$16,POWER((ABS(K126)^2)/($I$5*MAX(F126,0.1)^2),1/3)))),IF(IFERROR(AG126,0)=1,MAX($D$16,IFERROR(W126,MAX($D$16,POWER((ABS(K126)^2)/($I$5*MAX(F126,0.1)^2),1/3)))),MAX($D$16,POWER((ABS(K126)^2)/($I$5*MAX(F126,0.1)^2),1/3))))))),MAX($D$16,POWER((ABS(K126)^2)/($I$5*MAX(F126,0.1)^2),1/3)))</f>
        <v>2.0300633082845674</v>
      </c>
      <c r="AI126">
        <f t="shared" ref="AI126:AI189" ca="1" si="83">E126+AH126</f>
        <v>635.03206330828448</v>
      </c>
      <c r="AJ126">
        <f t="shared" ref="AJ126:AJ189" ca="1" si="84">AI126+((ABS(K126)/MAX(((F126)+(G126)*(AH126))*(AH126),0.000001))^2)/(2*$I$5)</f>
        <v>636.04709496242674</v>
      </c>
      <c r="AM126">
        <v>0</v>
      </c>
      <c r="AN126">
        <v>0</v>
      </c>
      <c r="AO126">
        <f t="shared" ref="AO126:AO189" si="85">AM126+AN126</f>
        <v>0</v>
      </c>
      <c r="AP126">
        <f t="shared" si="63"/>
        <v>0</v>
      </c>
      <c r="AQ126">
        <f t="shared" ref="AQ126:AQ189" ca="1" si="86">ABS(ABS(K126)/MAX(((F126)+(G126)*(AH126))*(AH126),0.000001))/SQRT($I$5*MAX((((F126)+(G126)*(AH126))*(AH126))/MAX((F126)+2*(G126)*(AH126),0.000001),0.000001))</f>
        <v>1</v>
      </c>
      <c r="AR126" t="str">
        <f t="shared" ref="AR126:AR189" ca="1" si="87">IF(AQ126&lt;1,"Subcritical","Supercritical")</f>
        <v>Supercritical</v>
      </c>
      <c r="AS126">
        <f t="shared" ref="AS126:AS189" ca="1" si="88">((ABS(K126)*$D$6)/(MAX(((F126)+(G126)*(AH126))*(AH126),0.000001)*MAX(((((F126)+(G126)*(AH126))*(AH126))/MAX((F126)+2*(AH126)*SQRT(1+(G126)^2),0.000001))^(2/3),0.000001)))^2</f>
        <v>3.5977848965366025E-3</v>
      </c>
    </row>
    <row r="127" spans="1:45" x14ac:dyDescent="0.35">
      <c r="A127">
        <v>66</v>
      </c>
      <c r="B127">
        <v>64.998999999999995</v>
      </c>
      <c r="C127">
        <v>616509.14</v>
      </c>
      <c r="D127">
        <v>3097719.2749999999</v>
      </c>
      <c r="E127">
        <v>632.96199999999999</v>
      </c>
      <c r="F127">
        <v>5.5979999999999999</v>
      </c>
      <c r="G127">
        <v>0</v>
      </c>
      <c r="H127" t="s">
        <v>154</v>
      </c>
      <c r="I127">
        <v>1.4E-2</v>
      </c>
      <c r="J127">
        <f t="shared" ref="J127:J190" si="89">B127-B126</f>
        <v>0.99999999999999289</v>
      </c>
      <c r="K127">
        <f t="shared" ref="K127:K190" ca="1" si="90">MAX(0,K126-AO126)</f>
        <v>50.95</v>
      </c>
      <c r="L127">
        <f t="shared" ref="L127:L190" ca="1" si="91">IF($D$20=0,IFERROR(L126,MAX($D$16,POWER((ABS(K127)^2)/($I$5*MAX(F127,0.1)^2),1/3))),IF(IFERROR(V126,0)=0,IFERROR(L126,MAX($D$16,POWER((ABS(K127)^2)/($I$5*MAX(F127,0.1)^2),1/3))),IF(OR(IFERROR(L127,0)=0,IFERROR(S126,0)&lt;1,IFERROR(S127,0)&lt;1),MAX($D$16,POWER((ABS(K127)^2)/($I$5*MAX(F127,0.1)^2),1/3)),IF(IFERROR(U127,0)&gt;0,MAX($D$16,IFERROR(L127,0)+((IFERROR(U127,0))*$D$18*IF((IFERROR(S127,0))&lt;1,1,-1))),IF(IFERROR(U127,0)&lt;0,IF(ABS((MAX($D$16,POWER((ABS(K127)^2)/($I$5*MAX(F127,0.1)^2),1/3)))-IFERROR(L127,0))&gt;$D$19,MAX($D$16,IF((MAX($D$16,POWER((ABS(K127)^2)/($I$5*MAX(F127,0.1)^2),1/3)))&gt;IFERROR(L127,0),MIN((MAX($D$16,POWER((ABS(K127)^2)/($I$5*MAX(F127,0.1)^2),1/3))),IFERROR(L127,0)+(MIN(ABS(IFERROR(U127,0))*$D$18,ABS((MAX($D$16,POWER((ABS(K127)^2)/($I$5*MAX(F127,0.1)^2),1/3)))-IFERROR(L127,0))))),MAX((MAX($D$16,POWER((ABS(K127)^2)/($I$5*MAX(F127,0.1)^2),1/3))),IFERROR(L127,0)-(MIN(ABS(IFERROR(U127,0))*$D$18,ABS((MAX($D$16,POWER((ABS(K127)^2)/($I$5*MAX(F127,0.1)^2),1/3)))-IFERROR(L127,0))))))),MAX($D$16,POWER((ABS(K127)^2)/($I$5*MAX(F127,0.1)^2),1/3))),MAX($D$16,IFERROR(L127,0)))))))</f>
        <v>2.0363442267786218</v>
      </c>
      <c r="M127">
        <f t="shared" ca="1" si="64"/>
        <v>11.399454981506725</v>
      </c>
      <c r="N127">
        <f t="shared" ca="1" si="65"/>
        <v>1.1787635426631469</v>
      </c>
      <c r="O127">
        <f t="shared" ca="1" si="66"/>
        <v>4.4695119268996555</v>
      </c>
      <c r="P127">
        <f t="shared" ca="1" si="67"/>
        <v>634.99834422677861</v>
      </c>
      <c r="Q127">
        <f t="shared" ca="1" si="68"/>
        <v>636.01651634016787</v>
      </c>
      <c r="R127">
        <f t="shared" ca="1" si="69"/>
        <v>3.6096668861643534E-3</v>
      </c>
      <c r="S127">
        <f t="shared" ca="1" si="70"/>
        <v>0.99999999999999978</v>
      </c>
      <c r="T127">
        <f t="shared" ca="1" si="71"/>
        <v>34.819821510021022</v>
      </c>
      <c r="U127">
        <f t="shared" ref="U127:U190" ca="1" si="92">IF($D$20=0,0,IFERROR(Q126-(((R126+R127)/2)*J127)-(IF(O126&gt;O127,$D$8*((O126^2-O127^2)/(2*$I$5)),$D$9*((O127^2-O126^2)/(2*$I$5)))+($D$10*(ABS(I127)/90)*(MAX(O126^2,O127^2)/(2*$I$5))))-Q127,0))</f>
        <v>2.6637093093540898E-2</v>
      </c>
      <c r="V127">
        <f t="shared" ref="V127:V190" ca="1" si="93">IF($D$20=0,1,IFERROR(IF(ROUND(S127,3)=1,1,IF(AND(ABS(U127)&lt;$D$19,S127&gt;1),1,0)),0))</f>
        <v>1</v>
      </c>
      <c r="W127">
        <f t="shared" ca="1" si="72"/>
        <v>1.6752533669819276</v>
      </c>
      <c r="X127">
        <f t="shared" ca="1" si="73"/>
        <v>9.3780683483648311</v>
      </c>
      <c r="Y127">
        <f t="shared" ca="1" si="74"/>
        <v>1.048003720304594</v>
      </c>
      <c r="Z127">
        <f t="shared" ca="1" si="75"/>
        <v>5.4328885339040731</v>
      </c>
      <c r="AA127">
        <f t="shared" ca="1" si="76"/>
        <v>634.63725336698189</v>
      </c>
      <c r="AB127">
        <f t="shared" ca="1" si="77"/>
        <v>636.14165080948067</v>
      </c>
      <c r="AC127">
        <f t="shared" ca="1" si="78"/>
        <v>6.2386938645267991E-3</v>
      </c>
      <c r="AD127">
        <f t="shared" ca="1" si="79"/>
        <v>1.3401581176199475</v>
      </c>
      <c r="AE127">
        <f t="shared" ca="1" si="80"/>
        <v>36.072004365910303</v>
      </c>
      <c r="AF127">
        <f t="shared" ca="1" si="81"/>
        <v>-1.8126249495480806E-2</v>
      </c>
      <c r="AG127">
        <f t="shared" ca="1" si="82"/>
        <v>0</v>
      </c>
      <c r="AH127">
        <f ca="1">IFERROR(IF(V32="Supercritical",MAX($D$16,IFERROR(L127,MAX($D$16,POWER((ABS(K127)^2)/($I$5*MAX(F127,0.1)^2),1/3)))),IF(V32="Subcritical",MAX($D$16,IFERROR(W127,MAX($D$16,POWER((ABS(K127)^2)/($I$5*MAX(F127,0.1)^2),1/3)))),IF(AND(IFERROR(V127,0)=1,IFERROR(AG127,0)=1),IF(IFERROR(T127,-1E+99)&gt;=IFERROR(AE127,-1E+99),MAX($D$16,IFERROR(L127,MAX($D$16,POWER((ABS(K127)^2)/($I$5*MAX(F127,0.1)^2),1/3)))),MAX($D$16,IFERROR(W127,MAX($D$16,POWER((ABS(K127)^2)/($I$5*MAX(F127,0.1)^2),1/3))))),IF(IFERROR(V127,0)=1,MAX($D$16,IFERROR(L127,MAX($D$16,POWER((ABS(K127)^2)/($I$5*MAX(F127,0.1)^2),1/3)))),IF(IFERROR(AG127,0)=1,MAX($D$16,IFERROR(W127,MAX($D$16,POWER((ABS(K127)^2)/($I$5*MAX(F127,0.1)^2),1/3)))),MAX($D$16,POWER((ABS(K127)^2)/($I$5*MAX(F127,0.1)^2),1/3))))))),MAX($D$16,POWER((ABS(K127)^2)/($I$5*MAX(F127,0.1)^2),1/3)))</f>
        <v>2.0363442267786218</v>
      </c>
      <c r="AI127">
        <f t="shared" ca="1" si="83"/>
        <v>634.99834422677861</v>
      </c>
      <c r="AJ127">
        <f t="shared" ca="1" si="84"/>
        <v>636.01651634016787</v>
      </c>
      <c r="AM127">
        <v>0</v>
      </c>
      <c r="AN127">
        <v>0</v>
      </c>
      <c r="AO127">
        <f t="shared" si="85"/>
        <v>0</v>
      </c>
      <c r="AP127">
        <f t="shared" ref="AP127:AP190" si="94">AP126+AO127</f>
        <v>0</v>
      </c>
      <c r="AQ127">
        <f t="shared" ca="1" si="86"/>
        <v>0.99999999999999978</v>
      </c>
      <c r="AR127" t="str">
        <f t="shared" ca="1" si="87"/>
        <v>Supercritical</v>
      </c>
      <c r="AS127">
        <f t="shared" ca="1" si="88"/>
        <v>3.6096668861643534E-3</v>
      </c>
    </row>
    <row r="128" spans="1:45" x14ac:dyDescent="0.35">
      <c r="A128">
        <v>67</v>
      </c>
      <c r="B128">
        <v>65.998999999999995</v>
      </c>
      <c r="C128">
        <v>616508.56499999994</v>
      </c>
      <c r="D128">
        <v>3097718.4559999998</v>
      </c>
      <c r="E128">
        <v>632.92200000000003</v>
      </c>
      <c r="F128">
        <v>5.5720000000000001</v>
      </c>
      <c r="G128">
        <v>0</v>
      </c>
      <c r="H128" t="s">
        <v>154</v>
      </c>
      <c r="I128">
        <v>4.7E-2</v>
      </c>
      <c r="J128">
        <f t="shared" si="89"/>
        <v>1</v>
      </c>
      <c r="K128">
        <f t="shared" ca="1" si="90"/>
        <v>50.95</v>
      </c>
      <c r="L128">
        <f t="shared" ca="1" si="91"/>
        <v>2.0426739539709851</v>
      </c>
      <c r="M128">
        <f t="shared" ca="1" si="64"/>
        <v>11.381779271526328</v>
      </c>
      <c r="N128">
        <f t="shared" ca="1" si="65"/>
        <v>1.178561586475126</v>
      </c>
      <c r="O128">
        <f t="shared" ca="1" si="66"/>
        <v>4.4764530030432992</v>
      </c>
      <c r="P128">
        <f t="shared" ca="1" si="67"/>
        <v>634.96467395397099</v>
      </c>
      <c r="Q128">
        <f t="shared" ca="1" si="68"/>
        <v>635.98601093095647</v>
      </c>
      <c r="R128">
        <f t="shared" ca="1" si="69"/>
        <v>3.6217144097900585E-3</v>
      </c>
      <c r="S128">
        <f t="shared" ca="1" si="70"/>
        <v>1.0000000000000002</v>
      </c>
      <c r="T128">
        <f t="shared" ca="1" si="71"/>
        <v>34.873896101690534</v>
      </c>
      <c r="U128">
        <f t="shared" ca="1" si="92"/>
        <v>2.64932274739067E-2</v>
      </c>
      <c r="V128">
        <f t="shared" ca="1" si="93"/>
        <v>1</v>
      </c>
      <c r="W128">
        <f t="shared" ca="1" si="72"/>
        <v>1.6752331892109387</v>
      </c>
      <c r="X128">
        <f t="shared" ca="1" si="73"/>
        <v>9.3343993302833503</v>
      </c>
      <c r="Y128">
        <f t="shared" ca="1" si="74"/>
        <v>1.0461680587396434</v>
      </c>
      <c r="Z128">
        <f t="shared" ca="1" si="75"/>
        <v>5.4583051567875644</v>
      </c>
      <c r="AA128">
        <f t="shared" ca="1" si="76"/>
        <v>634.59723318921101</v>
      </c>
      <c r="AB128">
        <f t="shared" ca="1" si="77"/>
        <v>636.11573956967038</v>
      </c>
      <c r="AC128">
        <f t="shared" ca="1" si="78"/>
        <v>6.3119400791877807E-3</v>
      </c>
      <c r="AD128">
        <f t="shared" ca="1" si="79"/>
        <v>1.3464358733243402</v>
      </c>
      <c r="AE128">
        <f t="shared" ca="1" si="80"/>
        <v>36.167337661302227</v>
      </c>
      <c r="AF128">
        <f t="shared" ca="1" si="81"/>
        <v>-1.7258765375913754E-2</v>
      </c>
      <c r="AG128">
        <f t="shared" ca="1" si="82"/>
        <v>0</v>
      </c>
      <c r="AH128">
        <f ca="1">IFERROR(IF(V32="Supercritical",MAX($D$16,IFERROR(L128,MAX($D$16,POWER((ABS(K128)^2)/($I$5*MAX(F128,0.1)^2),1/3)))),IF(V32="Subcritical",MAX($D$16,IFERROR(W128,MAX($D$16,POWER((ABS(K128)^2)/($I$5*MAX(F128,0.1)^2),1/3)))),IF(AND(IFERROR(V128,0)=1,IFERROR(AG128,0)=1),IF(IFERROR(T128,-1E+99)&gt;=IFERROR(AE128,-1E+99),MAX($D$16,IFERROR(L128,MAX($D$16,POWER((ABS(K128)^2)/($I$5*MAX(F128,0.1)^2),1/3)))),MAX($D$16,IFERROR(W128,MAX($D$16,POWER((ABS(K128)^2)/($I$5*MAX(F128,0.1)^2),1/3))))),IF(IFERROR(V128,0)=1,MAX($D$16,IFERROR(L128,MAX($D$16,POWER((ABS(K128)^2)/($I$5*MAX(F128,0.1)^2),1/3)))),IF(IFERROR(AG128,0)=1,MAX($D$16,IFERROR(W128,MAX($D$16,POWER((ABS(K128)^2)/($I$5*MAX(F128,0.1)^2),1/3)))),MAX($D$16,POWER((ABS(K128)^2)/($I$5*MAX(F128,0.1)^2),1/3))))))),MAX($D$16,POWER((ABS(K128)^2)/($I$5*MAX(F128,0.1)^2),1/3)))</f>
        <v>2.0426739539709851</v>
      </c>
      <c r="AI128">
        <f t="shared" ca="1" si="83"/>
        <v>634.96467395397099</v>
      </c>
      <c r="AJ128">
        <f t="shared" ca="1" si="84"/>
        <v>635.98601093095647</v>
      </c>
      <c r="AM128">
        <v>0</v>
      </c>
      <c r="AN128">
        <v>0</v>
      </c>
      <c r="AO128">
        <f t="shared" si="85"/>
        <v>0</v>
      </c>
      <c r="AP128">
        <f t="shared" si="94"/>
        <v>0</v>
      </c>
      <c r="AQ128">
        <f t="shared" ca="1" si="86"/>
        <v>1.0000000000000002</v>
      </c>
      <c r="AR128" t="str">
        <f t="shared" ca="1" si="87"/>
        <v>Supercritical</v>
      </c>
      <c r="AS128">
        <f t="shared" ca="1" si="88"/>
        <v>3.6217144097900585E-3</v>
      </c>
    </row>
    <row r="129" spans="1:45" x14ac:dyDescent="0.35">
      <c r="A129">
        <v>68</v>
      </c>
      <c r="B129">
        <v>66.998999999999995</v>
      </c>
      <c r="C129">
        <v>616507.99100000004</v>
      </c>
      <c r="D129">
        <v>3097717.6370000001</v>
      </c>
      <c r="E129">
        <v>632.88199999999995</v>
      </c>
      <c r="F129">
        <v>5.5449999999999999</v>
      </c>
      <c r="G129">
        <v>0</v>
      </c>
      <c r="H129" t="s">
        <v>154</v>
      </c>
      <c r="I129">
        <v>3.3000000000000002E-2</v>
      </c>
      <c r="J129">
        <f t="shared" si="89"/>
        <v>1</v>
      </c>
      <c r="K129">
        <f t="shared" ca="1" si="90"/>
        <v>50.95</v>
      </c>
      <c r="L129">
        <f t="shared" ca="1" si="91"/>
        <v>2.0492994466099761</v>
      </c>
      <c r="M129">
        <f t="shared" ca="1" si="64"/>
        <v>11.363365431452317</v>
      </c>
      <c r="N129">
        <f t="shared" ca="1" si="65"/>
        <v>1.1783324417859673</v>
      </c>
      <c r="O129">
        <f t="shared" ca="1" si="66"/>
        <v>4.4837069006842842</v>
      </c>
      <c r="P129">
        <f t="shared" ca="1" si="67"/>
        <v>634.93129944660996</v>
      </c>
      <c r="Q129">
        <f t="shared" ca="1" si="68"/>
        <v>635.9559491699149</v>
      </c>
      <c r="R129">
        <f t="shared" ca="1" si="69"/>
        <v>3.6344037215228402E-3</v>
      </c>
      <c r="S129">
        <f t="shared" ca="1" si="70"/>
        <v>1.0000000000000002</v>
      </c>
      <c r="T129">
        <f t="shared" ca="1" si="71"/>
        <v>34.930407735453251</v>
      </c>
      <c r="U129">
        <f t="shared" ca="1" si="92"/>
        <v>2.6046071609130195E-2</v>
      </c>
      <c r="V129">
        <f t="shared" ca="1" si="93"/>
        <v>1</v>
      </c>
      <c r="W129">
        <f t="shared" ca="1" si="72"/>
        <v>1.6752533670300171</v>
      </c>
      <c r="X129">
        <f t="shared" ca="1" si="73"/>
        <v>9.2892799201814444</v>
      </c>
      <c r="Y129">
        <f t="shared" ca="1" si="74"/>
        <v>1.0442665266739319</v>
      </c>
      <c r="Z129">
        <f t="shared" ca="1" si="75"/>
        <v>5.4848169543592364</v>
      </c>
      <c r="AA129">
        <f t="shared" ca="1" si="76"/>
        <v>634.55725336702994</v>
      </c>
      <c r="AB129">
        <f t="shared" ca="1" si="77"/>
        <v>636.09054679326982</v>
      </c>
      <c r="AC129">
        <f t="shared" ca="1" si="78"/>
        <v>6.3888837405880619E-3</v>
      </c>
      <c r="AD129">
        <f t="shared" ca="1" si="79"/>
        <v>1.3529675639519263</v>
      </c>
      <c r="AE129">
        <f t="shared" ca="1" si="80"/>
        <v>36.267332404016884</v>
      </c>
      <c r="AF129">
        <f t="shared" ca="1" si="81"/>
        <v>-1.7608415037329905E-2</v>
      </c>
      <c r="AG129">
        <f t="shared" ca="1" si="82"/>
        <v>0</v>
      </c>
      <c r="AH129">
        <f ca="1">IFERROR(IF(V32="Supercritical",MAX($D$16,IFERROR(L129,MAX($D$16,POWER((ABS(K129)^2)/($I$5*MAX(F129,0.1)^2),1/3)))),IF(V32="Subcritical",MAX($D$16,IFERROR(W129,MAX($D$16,POWER((ABS(K129)^2)/($I$5*MAX(F129,0.1)^2),1/3)))),IF(AND(IFERROR(V129,0)=1,IFERROR(AG129,0)=1),IF(IFERROR(T129,-1E+99)&gt;=IFERROR(AE129,-1E+99),MAX($D$16,IFERROR(L129,MAX($D$16,POWER((ABS(K129)^2)/($I$5*MAX(F129,0.1)^2),1/3)))),MAX($D$16,IFERROR(W129,MAX($D$16,POWER((ABS(K129)^2)/($I$5*MAX(F129,0.1)^2),1/3))))),IF(IFERROR(V129,0)=1,MAX($D$16,IFERROR(L129,MAX($D$16,POWER((ABS(K129)^2)/($I$5*MAX(F129,0.1)^2),1/3)))),IF(IFERROR(AG129,0)=1,MAX($D$16,IFERROR(W129,MAX($D$16,POWER((ABS(K129)^2)/($I$5*MAX(F129,0.1)^2),1/3)))),MAX($D$16,POWER((ABS(K129)^2)/($I$5*MAX(F129,0.1)^2),1/3))))))),MAX($D$16,POWER((ABS(K129)^2)/($I$5*MAX(F129,0.1)^2),1/3)))</f>
        <v>2.0492994466099761</v>
      </c>
      <c r="AI129">
        <f t="shared" ca="1" si="83"/>
        <v>634.93129944660996</v>
      </c>
      <c r="AJ129">
        <f t="shared" ca="1" si="84"/>
        <v>635.9559491699149</v>
      </c>
      <c r="AM129">
        <v>0</v>
      </c>
      <c r="AN129">
        <v>0</v>
      </c>
      <c r="AO129">
        <f t="shared" si="85"/>
        <v>0</v>
      </c>
      <c r="AP129">
        <f t="shared" si="94"/>
        <v>0</v>
      </c>
      <c r="AQ129">
        <f t="shared" ca="1" si="86"/>
        <v>1.0000000000000002</v>
      </c>
      <c r="AR129" t="str">
        <f t="shared" ca="1" si="87"/>
        <v>Supercritical</v>
      </c>
      <c r="AS129">
        <f t="shared" ca="1" si="88"/>
        <v>3.6344037215228402E-3</v>
      </c>
    </row>
    <row r="130" spans="1:45" x14ac:dyDescent="0.35">
      <c r="A130">
        <v>69</v>
      </c>
      <c r="B130">
        <v>67.998999999999995</v>
      </c>
      <c r="C130">
        <v>616507.41700000002</v>
      </c>
      <c r="D130">
        <v>3097716.8190000001</v>
      </c>
      <c r="E130">
        <v>632.84199999999998</v>
      </c>
      <c r="F130">
        <v>5.5190000000000001</v>
      </c>
      <c r="G130">
        <v>0</v>
      </c>
      <c r="H130" t="s">
        <v>154</v>
      </c>
      <c r="I130">
        <v>1.4E-2</v>
      </c>
      <c r="J130">
        <f t="shared" si="89"/>
        <v>1</v>
      </c>
      <c r="K130">
        <f t="shared" ca="1" si="90"/>
        <v>50.95</v>
      </c>
      <c r="L130">
        <f t="shared" ca="1" si="91"/>
        <v>2.0557305679360232</v>
      </c>
      <c r="M130">
        <f t="shared" ca="1" si="64"/>
        <v>11.345577004438912</v>
      </c>
      <c r="N130">
        <f t="shared" ca="1" si="65"/>
        <v>1.1780928082642181</v>
      </c>
      <c r="O130">
        <f t="shared" ca="1" si="66"/>
        <v>4.4907367849220909</v>
      </c>
      <c r="P130">
        <f t="shared" ca="1" si="67"/>
        <v>634.89773056793604</v>
      </c>
      <c r="Q130">
        <f t="shared" ca="1" si="68"/>
        <v>635.92559585190406</v>
      </c>
      <c r="R130">
        <f t="shared" ca="1" si="69"/>
        <v>3.646798040618281E-3</v>
      </c>
      <c r="S130">
        <f t="shared" ca="1" si="70"/>
        <v>1.0000000000000002</v>
      </c>
      <c r="T130">
        <f t="shared" ca="1" si="71"/>
        <v>34.985174188345638</v>
      </c>
      <c r="U130">
        <f t="shared" ca="1" si="92"/>
        <v>2.6367177540123521E-2</v>
      </c>
      <c r="V130">
        <f t="shared" ca="1" si="93"/>
        <v>1</v>
      </c>
      <c r="W130">
        <f t="shared" ca="1" si="72"/>
        <v>1.6752331892558563</v>
      </c>
      <c r="X130">
        <f t="shared" ca="1" si="73"/>
        <v>9.2456119715030702</v>
      </c>
      <c r="Y130">
        <f t="shared" ca="1" si="74"/>
        <v>1.0424090443482208</v>
      </c>
      <c r="Z130">
        <f t="shared" ca="1" si="75"/>
        <v>5.5107222925901143</v>
      </c>
      <c r="AA130">
        <f t="shared" ca="1" si="76"/>
        <v>634.51723318925588</v>
      </c>
      <c r="AB130">
        <f t="shared" ca="1" si="77"/>
        <v>636.06504461565999</v>
      </c>
      <c r="AC130">
        <f t="shared" ca="1" si="78"/>
        <v>6.4647044547890649E-3</v>
      </c>
      <c r="AD130">
        <f t="shared" ca="1" si="79"/>
        <v>1.3593659514153809</v>
      </c>
      <c r="AE130">
        <f t="shared" ca="1" si="80"/>
        <v>36.365205722004717</v>
      </c>
      <c r="AF130">
        <f t="shared" ca="1" si="81"/>
        <v>-1.7304486631019245E-2</v>
      </c>
      <c r="AG130">
        <f t="shared" ca="1" si="82"/>
        <v>0</v>
      </c>
      <c r="AH130">
        <f ca="1">IFERROR(IF(V32="Supercritical",MAX($D$16,IFERROR(L130,MAX($D$16,POWER((ABS(K130)^2)/($I$5*MAX(F130,0.1)^2),1/3)))),IF(V32="Subcritical",MAX($D$16,IFERROR(W130,MAX($D$16,POWER((ABS(K130)^2)/($I$5*MAX(F130,0.1)^2),1/3)))),IF(AND(IFERROR(V130,0)=1,IFERROR(AG130,0)=1),IF(IFERROR(T130,-1E+99)&gt;=IFERROR(AE130,-1E+99),MAX($D$16,IFERROR(L130,MAX($D$16,POWER((ABS(K130)^2)/($I$5*MAX(F130,0.1)^2),1/3)))),MAX($D$16,IFERROR(W130,MAX($D$16,POWER((ABS(K130)^2)/($I$5*MAX(F130,0.1)^2),1/3))))),IF(IFERROR(V130,0)=1,MAX($D$16,IFERROR(L130,MAX($D$16,POWER((ABS(K130)^2)/($I$5*MAX(F130,0.1)^2),1/3)))),IF(IFERROR(AG130,0)=1,MAX($D$16,IFERROR(W130,MAX($D$16,POWER((ABS(K130)^2)/($I$5*MAX(F130,0.1)^2),1/3)))),MAX($D$16,POWER((ABS(K130)^2)/($I$5*MAX(F130,0.1)^2),1/3))))))),MAX($D$16,POWER((ABS(K130)^2)/($I$5*MAX(F130,0.1)^2),1/3)))</f>
        <v>2.0557305679360232</v>
      </c>
      <c r="AI130">
        <f t="shared" ca="1" si="83"/>
        <v>634.89773056793604</v>
      </c>
      <c r="AJ130">
        <f t="shared" ca="1" si="84"/>
        <v>635.92559585190406</v>
      </c>
      <c r="AM130">
        <v>0</v>
      </c>
      <c r="AN130">
        <v>0</v>
      </c>
      <c r="AO130">
        <f t="shared" si="85"/>
        <v>0</v>
      </c>
      <c r="AP130">
        <f t="shared" si="94"/>
        <v>0</v>
      </c>
      <c r="AQ130">
        <f t="shared" ca="1" si="86"/>
        <v>1.0000000000000002</v>
      </c>
      <c r="AR130" t="str">
        <f t="shared" ca="1" si="87"/>
        <v>Supercritical</v>
      </c>
      <c r="AS130">
        <f t="shared" ca="1" si="88"/>
        <v>3.646798040618281E-3</v>
      </c>
    </row>
    <row r="131" spans="1:45" x14ac:dyDescent="0.35">
      <c r="A131">
        <v>70</v>
      </c>
      <c r="B131">
        <v>68.998999999999995</v>
      </c>
      <c r="C131">
        <v>616506.84199999995</v>
      </c>
      <c r="D131">
        <v>3097716</v>
      </c>
      <c r="E131">
        <v>632.80200000000002</v>
      </c>
      <c r="F131">
        <v>5.4930000000000003</v>
      </c>
      <c r="G131">
        <v>0</v>
      </c>
      <c r="H131" t="s">
        <v>154</v>
      </c>
      <c r="I131">
        <v>1.4E-2</v>
      </c>
      <c r="J131">
        <f t="shared" si="89"/>
        <v>1</v>
      </c>
      <c r="K131">
        <f t="shared" ca="1" si="90"/>
        <v>50.95</v>
      </c>
      <c r="L131">
        <f t="shared" ca="1" si="91"/>
        <v>2.0622123833654085</v>
      </c>
      <c r="M131">
        <f t="shared" ca="1" si="64"/>
        <v>11.32773262182619</v>
      </c>
      <c r="N131">
        <f t="shared" ca="1" si="65"/>
        <v>1.1778342848089411</v>
      </c>
      <c r="O131">
        <f t="shared" ca="1" si="66"/>
        <v>4.4978109654380374</v>
      </c>
      <c r="P131">
        <f t="shared" ca="1" si="67"/>
        <v>634.86421238336538</v>
      </c>
      <c r="Q131">
        <f t="shared" ca="1" si="68"/>
        <v>635.89531857504812</v>
      </c>
      <c r="R131">
        <f t="shared" ca="1" si="69"/>
        <v>3.659367221190102E-3</v>
      </c>
      <c r="S131">
        <f t="shared" ca="1" si="70"/>
        <v>0.99999999999999978</v>
      </c>
      <c r="T131">
        <f t="shared" ca="1" si="71"/>
        <v>35.040285732273396</v>
      </c>
      <c r="U131">
        <f t="shared" ca="1" si="92"/>
        <v>2.6276044309156532E-2</v>
      </c>
      <c r="V131">
        <f t="shared" ca="1" si="93"/>
        <v>1</v>
      </c>
      <c r="W131">
        <f t="shared" ca="1" si="72"/>
        <v>1.6752533670719676</v>
      </c>
      <c r="X131">
        <f t="shared" ca="1" si="73"/>
        <v>9.2021667453263181</v>
      </c>
      <c r="Y131">
        <f t="shared" ca="1" si="74"/>
        <v>1.0405563111969633</v>
      </c>
      <c r="Z131">
        <f t="shared" ca="1" si="75"/>
        <v>5.5367394886510795</v>
      </c>
      <c r="AA131">
        <f t="shared" ca="1" si="76"/>
        <v>634.47725336707197</v>
      </c>
      <c r="AB131">
        <f t="shared" ca="1" si="77"/>
        <v>636.03971433369725</v>
      </c>
      <c r="AC131">
        <f t="shared" ca="1" si="78"/>
        <v>6.5413880650820504E-3</v>
      </c>
      <c r="AD131">
        <f t="shared" ca="1" si="79"/>
        <v>1.3657755583163362</v>
      </c>
      <c r="AE131">
        <f t="shared" ca="1" si="80"/>
        <v>36.464033108132135</v>
      </c>
      <c r="AF131">
        <f t="shared" ca="1" si="81"/>
        <v>-1.6359677755758639E-2</v>
      </c>
      <c r="AG131">
        <f t="shared" ca="1" si="82"/>
        <v>0</v>
      </c>
      <c r="AH131">
        <f ca="1">IFERROR(IF(V32="Supercritical",MAX($D$16,IFERROR(L131,MAX($D$16,POWER((ABS(K131)^2)/($I$5*MAX(F131,0.1)^2),1/3)))),IF(V32="Subcritical",MAX($D$16,IFERROR(W131,MAX($D$16,POWER((ABS(K131)^2)/($I$5*MAX(F131,0.1)^2),1/3)))),IF(AND(IFERROR(V131,0)=1,IFERROR(AG131,0)=1),IF(IFERROR(T131,-1E+99)&gt;=IFERROR(AE131,-1E+99),MAX($D$16,IFERROR(L131,MAX($D$16,POWER((ABS(K131)^2)/($I$5*MAX(F131,0.1)^2),1/3)))),MAX($D$16,IFERROR(W131,MAX($D$16,POWER((ABS(K131)^2)/($I$5*MAX(F131,0.1)^2),1/3))))),IF(IFERROR(V131,0)=1,MAX($D$16,IFERROR(L131,MAX($D$16,POWER((ABS(K131)^2)/($I$5*MAX(F131,0.1)^2),1/3)))),IF(IFERROR(AG131,0)=1,MAX($D$16,IFERROR(W131,MAX($D$16,POWER((ABS(K131)^2)/($I$5*MAX(F131,0.1)^2),1/3)))),MAX($D$16,POWER((ABS(K131)^2)/($I$5*MAX(F131,0.1)^2),1/3))))))),MAX($D$16,POWER((ABS(K131)^2)/($I$5*MAX(F131,0.1)^2),1/3)))</f>
        <v>2.0622123833654085</v>
      </c>
      <c r="AI131">
        <f t="shared" ca="1" si="83"/>
        <v>634.86421238336538</v>
      </c>
      <c r="AJ131">
        <f t="shared" ca="1" si="84"/>
        <v>635.89531857504812</v>
      </c>
      <c r="AM131">
        <v>0</v>
      </c>
      <c r="AN131">
        <v>0</v>
      </c>
      <c r="AO131">
        <f t="shared" si="85"/>
        <v>0</v>
      </c>
      <c r="AP131">
        <f t="shared" si="94"/>
        <v>0</v>
      </c>
      <c r="AQ131">
        <f t="shared" ca="1" si="86"/>
        <v>0.99999999999999978</v>
      </c>
      <c r="AR131" t="str">
        <f t="shared" ca="1" si="87"/>
        <v>Supercritical</v>
      </c>
      <c r="AS131">
        <f t="shared" ca="1" si="88"/>
        <v>3.659367221190102E-3</v>
      </c>
    </row>
    <row r="132" spans="1:45" x14ac:dyDescent="0.35">
      <c r="A132">
        <v>71</v>
      </c>
      <c r="B132">
        <v>69.998999999999995</v>
      </c>
      <c r="C132">
        <v>616506.26800000004</v>
      </c>
      <c r="D132">
        <v>3097715.182</v>
      </c>
      <c r="E132">
        <v>632.76199999999994</v>
      </c>
      <c r="F132">
        <v>5.4660000000000002</v>
      </c>
      <c r="G132">
        <v>0</v>
      </c>
      <c r="H132" t="s">
        <v>154</v>
      </c>
      <c r="I132">
        <v>1.4E-2</v>
      </c>
      <c r="J132">
        <f t="shared" si="89"/>
        <v>1</v>
      </c>
      <c r="K132">
        <f t="shared" ca="1" si="90"/>
        <v>50.95</v>
      </c>
      <c r="L132">
        <f t="shared" ca="1" si="91"/>
        <v>2.0689978444191457</v>
      </c>
      <c r="M132">
        <f t="shared" ca="1" si="64"/>
        <v>11.309142217595051</v>
      </c>
      <c r="N132">
        <f t="shared" ca="1" si="65"/>
        <v>1.1775455325056496</v>
      </c>
      <c r="O132">
        <f t="shared" ca="1" si="66"/>
        <v>4.5052046406075519</v>
      </c>
      <c r="P132">
        <f t="shared" ca="1" si="67"/>
        <v>634.83099784441913</v>
      </c>
      <c r="Q132">
        <f t="shared" ca="1" si="68"/>
        <v>635.86549676662867</v>
      </c>
      <c r="R132">
        <f t="shared" ca="1" si="69"/>
        <v>3.6726083576432119E-3</v>
      </c>
      <c r="S132">
        <f t="shared" ca="1" si="70"/>
        <v>1</v>
      </c>
      <c r="T132">
        <f t="shared" ca="1" si="71"/>
        <v>35.097886305650576</v>
      </c>
      <c r="U132">
        <f t="shared" ca="1" si="92"/>
        <v>2.5792409269115524E-2</v>
      </c>
      <c r="V132">
        <f t="shared" ca="1" si="93"/>
        <v>1</v>
      </c>
      <c r="W132">
        <f t="shared" ca="1" si="72"/>
        <v>1.6752331892950272</v>
      </c>
      <c r="X132">
        <f t="shared" ca="1" si="73"/>
        <v>9.1568246126866182</v>
      </c>
      <c r="Y132">
        <f t="shared" ca="1" si="74"/>
        <v>1.0386048354840995</v>
      </c>
      <c r="Z132">
        <f t="shared" ca="1" si="75"/>
        <v>5.5641559334236543</v>
      </c>
      <c r="AA132">
        <f t="shared" ca="1" si="76"/>
        <v>634.43723318929494</v>
      </c>
      <c r="AB132">
        <f t="shared" ca="1" si="77"/>
        <v>636.01520623982776</v>
      </c>
      <c r="AC132">
        <f t="shared" ca="1" si="78"/>
        <v>6.6228865554296022E-3</v>
      </c>
      <c r="AD132">
        <f t="shared" ca="1" si="79"/>
        <v>1.3725467774603648</v>
      </c>
      <c r="AE132">
        <f t="shared" ca="1" si="80"/>
        <v>36.56835318441307</v>
      </c>
      <c r="AF132">
        <f t="shared" ca="1" si="81"/>
        <v>-1.6668541129888581E-2</v>
      </c>
      <c r="AG132">
        <f t="shared" ca="1" si="82"/>
        <v>0</v>
      </c>
      <c r="AH132">
        <f ca="1">IFERROR(IF(V32="Supercritical",MAX($D$16,IFERROR(L132,MAX($D$16,POWER((ABS(K132)^2)/($I$5*MAX(F132,0.1)^2),1/3)))),IF(V32="Subcritical",MAX($D$16,IFERROR(W132,MAX($D$16,POWER((ABS(K132)^2)/($I$5*MAX(F132,0.1)^2),1/3)))),IF(AND(IFERROR(V132,0)=1,IFERROR(AG132,0)=1),IF(IFERROR(T132,-1E+99)&gt;=IFERROR(AE132,-1E+99),MAX($D$16,IFERROR(L132,MAX($D$16,POWER((ABS(K132)^2)/($I$5*MAX(F132,0.1)^2),1/3)))),MAX($D$16,IFERROR(W132,MAX($D$16,POWER((ABS(K132)^2)/($I$5*MAX(F132,0.1)^2),1/3))))),IF(IFERROR(V132,0)=1,MAX($D$16,IFERROR(L132,MAX($D$16,POWER((ABS(K132)^2)/($I$5*MAX(F132,0.1)^2),1/3)))),IF(IFERROR(AG132,0)=1,MAX($D$16,IFERROR(W132,MAX($D$16,POWER((ABS(K132)^2)/($I$5*MAX(F132,0.1)^2),1/3)))),MAX($D$16,POWER((ABS(K132)^2)/($I$5*MAX(F132,0.1)^2),1/3))))))),MAX($D$16,POWER((ABS(K132)^2)/($I$5*MAX(F132,0.1)^2),1/3)))</f>
        <v>2.0689978444191457</v>
      </c>
      <c r="AI132">
        <f t="shared" ca="1" si="83"/>
        <v>634.83099784441913</v>
      </c>
      <c r="AJ132">
        <f t="shared" ca="1" si="84"/>
        <v>635.86549676662867</v>
      </c>
      <c r="AM132">
        <v>0</v>
      </c>
      <c r="AN132">
        <v>0</v>
      </c>
      <c r="AO132">
        <f t="shared" si="85"/>
        <v>0</v>
      </c>
      <c r="AP132">
        <f t="shared" si="94"/>
        <v>0</v>
      </c>
      <c r="AQ132">
        <f t="shared" ca="1" si="86"/>
        <v>1</v>
      </c>
      <c r="AR132" t="str">
        <f t="shared" ca="1" si="87"/>
        <v>Supercritical</v>
      </c>
      <c r="AS132">
        <f t="shared" ca="1" si="88"/>
        <v>3.6726083576432119E-3</v>
      </c>
    </row>
    <row r="133" spans="1:45" x14ac:dyDescent="0.35">
      <c r="A133">
        <v>72</v>
      </c>
      <c r="B133">
        <v>70.998999999999995</v>
      </c>
      <c r="C133">
        <v>616505.69299999997</v>
      </c>
      <c r="D133">
        <v>3097714.3629999999</v>
      </c>
      <c r="E133">
        <v>632.72199999999998</v>
      </c>
      <c r="F133">
        <v>5.44</v>
      </c>
      <c r="G133">
        <v>0</v>
      </c>
      <c r="H133" t="s">
        <v>154</v>
      </c>
      <c r="I133">
        <v>1.4E-2</v>
      </c>
      <c r="J133">
        <f t="shared" si="89"/>
        <v>1</v>
      </c>
      <c r="K133">
        <f t="shared" ca="1" si="90"/>
        <v>50.95</v>
      </c>
      <c r="L133">
        <f t="shared" ca="1" si="91"/>
        <v>2.0755849993402582</v>
      </c>
      <c r="M133">
        <f t="shared" ca="1" si="64"/>
        <v>11.291182396411005</v>
      </c>
      <c r="N133">
        <f t="shared" ca="1" si="65"/>
        <v>1.1772476557046079</v>
      </c>
      <c r="O133">
        <f t="shared" ca="1" si="66"/>
        <v>4.5123706456282981</v>
      </c>
      <c r="P133">
        <f t="shared" ca="1" si="67"/>
        <v>634.79758499934019</v>
      </c>
      <c r="Q133">
        <f t="shared" ca="1" si="68"/>
        <v>635.83537749901029</v>
      </c>
      <c r="R133">
        <f t="shared" ca="1" si="69"/>
        <v>3.685544022639862E-3</v>
      </c>
      <c r="S133">
        <f t="shared" ca="1" si="70"/>
        <v>1.0000000000000002</v>
      </c>
      <c r="T133">
        <f t="shared" ca="1" si="71"/>
        <v>35.153713210208217</v>
      </c>
      <c r="U133">
        <f t="shared" ca="1" si="92"/>
        <v>2.6086618523891048E-2</v>
      </c>
      <c r="V133">
        <f t="shared" ca="1" si="93"/>
        <v>1</v>
      </c>
      <c r="W133">
        <f t="shared" ca="1" si="72"/>
        <v>1.6752533671085463</v>
      </c>
      <c r="X133">
        <f t="shared" ca="1" si="73"/>
        <v>9.1133783170704934</v>
      </c>
      <c r="Y133">
        <f t="shared" ca="1" si="74"/>
        <v>1.0367295757361314</v>
      </c>
      <c r="Z133">
        <f t="shared" ca="1" si="75"/>
        <v>5.5906819872235856</v>
      </c>
      <c r="AA133">
        <f t="shared" ca="1" si="76"/>
        <v>634.39725336710853</v>
      </c>
      <c r="AB133">
        <f t="shared" ca="1" si="77"/>
        <v>635.99030765264706</v>
      </c>
      <c r="AC133">
        <f t="shared" ca="1" si="78"/>
        <v>6.702314128182351E-3</v>
      </c>
      <c r="AD133">
        <f t="shared" ca="1" si="79"/>
        <v>1.3790818274974117</v>
      </c>
      <c r="AE133">
        <f t="shared" ca="1" si="80"/>
        <v>36.669821623189591</v>
      </c>
      <c r="AF133">
        <f t="shared" ca="1" si="81"/>
        <v>-1.6348279102430752E-2</v>
      </c>
      <c r="AG133">
        <f t="shared" ca="1" si="82"/>
        <v>0</v>
      </c>
      <c r="AH133">
        <f ca="1">IFERROR(IF(V32="Supercritical",MAX($D$16,IFERROR(L133,MAX($D$16,POWER((ABS(K133)^2)/($I$5*MAX(F133,0.1)^2),1/3)))),IF(V32="Subcritical",MAX($D$16,IFERROR(W133,MAX($D$16,POWER((ABS(K133)^2)/($I$5*MAX(F133,0.1)^2),1/3)))),IF(AND(IFERROR(V133,0)=1,IFERROR(AG133,0)=1),IF(IFERROR(T133,-1E+99)&gt;=IFERROR(AE133,-1E+99),MAX($D$16,IFERROR(L133,MAX($D$16,POWER((ABS(K133)^2)/($I$5*MAX(F133,0.1)^2),1/3)))),MAX($D$16,IFERROR(W133,MAX($D$16,POWER((ABS(K133)^2)/($I$5*MAX(F133,0.1)^2),1/3))))),IF(IFERROR(V133,0)=1,MAX($D$16,IFERROR(L133,MAX($D$16,POWER((ABS(K133)^2)/($I$5*MAX(F133,0.1)^2),1/3)))),IF(IFERROR(AG133,0)=1,MAX($D$16,IFERROR(W133,MAX($D$16,POWER((ABS(K133)^2)/($I$5*MAX(F133,0.1)^2),1/3)))),MAX($D$16,POWER((ABS(K133)^2)/($I$5*MAX(F133,0.1)^2),1/3))))))),MAX($D$16,POWER((ABS(K133)^2)/($I$5*MAX(F133,0.1)^2),1/3)))</f>
        <v>2.0755849993402582</v>
      </c>
      <c r="AI133">
        <f t="shared" ca="1" si="83"/>
        <v>634.79758499934019</v>
      </c>
      <c r="AJ133">
        <f t="shared" ca="1" si="84"/>
        <v>635.83537749901029</v>
      </c>
      <c r="AM133">
        <v>0</v>
      </c>
      <c r="AN133">
        <v>0</v>
      </c>
      <c r="AO133">
        <f t="shared" si="85"/>
        <v>0</v>
      </c>
      <c r="AP133">
        <f t="shared" si="94"/>
        <v>0</v>
      </c>
      <c r="AQ133">
        <f t="shared" ca="1" si="86"/>
        <v>1.0000000000000002</v>
      </c>
      <c r="AR133" t="str">
        <f t="shared" ca="1" si="87"/>
        <v>Supercritical</v>
      </c>
      <c r="AS133">
        <f t="shared" ca="1" si="88"/>
        <v>3.685544022639862E-3</v>
      </c>
    </row>
    <row r="134" spans="1:45" x14ac:dyDescent="0.35">
      <c r="A134">
        <v>73</v>
      </c>
      <c r="B134">
        <v>71.998999999999995</v>
      </c>
      <c r="C134">
        <v>616505.11899999995</v>
      </c>
      <c r="D134">
        <v>3097713.5449999999</v>
      </c>
      <c r="E134">
        <v>632.68200000000002</v>
      </c>
      <c r="F134">
        <v>5.4139999999999997</v>
      </c>
      <c r="G134">
        <v>0</v>
      </c>
      <c r="H134" t="s">
        <v>154</v>
      </c>
      <c r="I134">
        <v>1.4E-2</v>
      </c>
      <c r="J134">
        <f t="shared" si="89"/>
        <v>1</v>
      </c>
      <c r="K134">
        <f t="shared" ca="1" si="90"/>
        <v>50.95</v>
      </c>
      <c r="L134">
        <f t="shared" ca="1" si="91"/>
        <v>2.0822248353806891</v>
      </c>
      <c r="M134">
        <f t="shared" ca="1" si="64"/>
        <v>11.27316525875105</v>
      </c>
      <c r="N134">
        <f t="shared" ca="1" si="65"/>
        <v>1.1769300509207521</v>
      </c>
      <c r="O134">
        <f t="shared" ca="1" si="66"/>
        <v>4.5195824624720116</v>
      </c>
      <c r="P134">
        <f t="shared" ca="1" si="67"/>
        <v>634.76422483538067</v>
      </c>
      <c r="Q134">
        <f t="shared" ca="1" si="68"/>
        <v>635.805337253071</v>
      </c>
      <c r="R134">
        <f t="shared" ca="1" si="69"/>
        <v>3.6986645517554121E-3</v>
      </c>
      <c r="S134">
        <f t="shared" ca="1" si="70"/>
        <v>1.0000000000000002</v>
      </c>
      <c r="T134">
        <f t="shared" ca="1" si="71"/>
        <v>35.209897012683328</v>
      </c>
      <c r="U134">
        <f t="shared" ca="1" si="92"/>
        <v>2.5991857226927095E-2</v>
      </c>
      <c r="V134">
        <f t="shared" ca="1" si="93"/>
        <v>1</v>
      </c>
      <c r="W134">
        <f t="shared" ca="1" si="72"/>
        <v>1.6752331893291843</v>
      </c>
      <c r="X134">
        <f t="shared" ca="1" si="73"/>
        <v>9.0697124870282035</v>
      </c>
      <c r="Y134">
        <f t="shared" ca="1" si="74"/>
        <v>1.0348276888953689</v>
      </c>
      <c r="Z134">
        <f t="shared" ca="1" si="75"/>
        <v>5.6175981402795667</v>
      </c>
      <c r="AA134">
        <f t="shared" ca="1" si="76"/>
        <v>634.35723318932924</v>
      </c>
      <c r="AB134">
        <f t="shared" ca="1" si="77"/>
        <v>635.96566381449088</v>
      </c>
      <c r="AC134">
        <f t="shared" ca="1" si="78"/>
        <v>6.7835932699700499E-3</v>
      </c>
      <c r="AD134">
        <f t="shared" ca="1" si="79"/>
        <v>1.3857297165439417</v>
      </c>
      <c r="AE134">
        <f t="shared" ca="1" si="80"/>
        <v>36.772948339066694</v>
      </c>
      <c r="AF134">
        <f t="shared" ca="1" si="81"/>
        <v>-1.535578083769451E-2</v>
      </c>
      <c r="AG134">
        <f t="shared" ca="1" si="82"/>
        <v>0</v>
      </c>
      <c r="AH134">
        <f ca="1">IFERROR(IF(V32="Supercritical",MAX($D$16,IFERROR(L134,MAX($D$16,POWER((ABS(K134)^2)/($I$5*MAX(F134,0.1)^2),1/3)))),IF(V32="Subcritical",MAX($D$16,IFERROR(W134,MAX($D$16,POWER((ABS(K134)^2)/($I$5*MAX(F134,0.1)^2),1/3)))),IF(AND(IFERROR(V134,0)=1,IFERROR(AG134,0)=1),IF(IFERROR(T134,-1E+99)&gt;=IFERROR(AE134,-1E+99),MAX($D$16,IFERROR(L134,MAX($D$16,POWER((ABS(K134)^2)/($I$5*MAX(F134,0.1)^2),1/3)))),MAX($D$16,IFERROR(W134,MAX($D$16,POWER((ABS(K134)^2)/($I$5*MAX(F134,0.1)^2),1/3))))),IF(IFERROR(V134,0)=1,MAX($D$16,IFERROR(L134,MAX($D$16,POWER((ABS(K134)^2)/($I$5*MAX(F134,0.1)^2),1/3)))),IF(IFERROR(AG134,0)=1,MAX($D$16,IFERROR(W134,MAX($D$16,POWER((ABS(K134)^2)/($I$5*MAX(F134,0.1)^2),1/3)))),MAX($D$16,POWER((ABS(K134)^2)/($I$5*MAX(F134,0.1)^2),1/3))))))),MAX($D$16,POWER((ABS(K134)^2)/($I$5*MAX(F134,0.1)^2),1/3)))</f>
        <v>2.0822248353806891</v>
      </c>
      <c r="AI134">
        <f t="shared" ca="1" si="83"/>
        <v>634.76422483538067</v>
      </c>
      <c r="AJ134">
        <f t="shared" ca="1" si="84"/>
        <v>635.805337253071</v>
      </c>
      <c r="AM134">
        <v>0</v>
      </c>
      <c r="AN134">
        <v>0</v>
      </c>
      <c r="AO134">
        <f t="shared" si="85"/>
        <v>0</v>
      </c>
      <c r="AP134">
        <f t="shared" si="94"/>
        <v>0</v>
      </c>
      <c r="AQ134">
        <f t="shared" ca="1" si="86"/>
        <v>1.0000000000000002</v>
      </c>
      <c r="AR134" t="str">
        <f t="shared" ca="1" si="87"/>
        <v>Supercritical</v>
      </c>
      <c r="AS134">
        <f t="shared" ca="1" si="88"/>
        <v>3.6986645517554121E-3</v>
      </c>
    </row>
    <row r="135" spans="1:45" x14ac:dyDescent="0.35">
      <c r="A135">
        <v>74</v>
      </c>
      <c r="B135">
        <v>72.998999999999995</v>
      </c>
      <c r="C135">
        <v>616504.54399999999</v>
      </c>
      <c r="D135">
        <v>3097712.7259999998</v>
      </c>
      <c r="E135">
        <v>632.64200000000005</v>
      </c>
      <c r="F135">
        <v>5.3869999999999996</v>
      </c>
      <c r="G135">
        <v>0</v>
      </c>
      <c r="H135" t="s">
        <v>154</v>
      </c>
      <c r="I135">
        <v>1.4E-2</v>
      </c>
      <c r="J135">
        <f t="shared" si="89"/>
        <v>1</v>
      </c>
      <c r="K135">
        <f t="shared" ca="1" si="90"/>
        <v>50.95</v>
      </c>
      <c r="L135">
        <f t="shared" ca="1" si="91"/>
        <v>2.0891765353678946</v>
      </c>
      <c r="M135">
        <f t="shared" ca="1" si="64"/>
        <v>11.254393996026847</v>
      </c>
      <c r="N135">
        <f t="shared" ca="1" si="65"/>
        <v>1.1765790465653072</v>
      </c>
      <c r="O135">
        <f t="shared" ca="1" si="66"/>
        <v>4.5271206977458709</v>
      </c>
      <c r="P135">
        <f t="shared" ca="1" si="67"/>
        <v>634.73117653536792</v>
      </c>
      <c r="Q135">
        <f t="shared" ca="1" si="68"/>
        <v>635.77576480305186</v>
      </c>
      <c r="R135">
        <f t="shared" ca="1" si="69"/>
        <v>3.7124890816268939E-3</v>
      </c>
      <c r="S135">
        <f t="shared" ca="1" si="70"/>
        <v>1.0000000000000004</v>
      </c>
      <c r="T135">
        <f t="shared" ca="1" si="71"/>
        <v>35.268623784426921</v>
      </c>
      <c r="U135">
        <f t="shared" ca="1" si="92"/>
        <v>2.549491447678065E-2</v>
      </c>
      <c r="V135">
        <f t="shared" ca="1" si="93"/>
        <v>1</v>
      </c>
      <c r="W135">
        <f t="shared" ca="1" si="72"/>
        <v>1.6752533671404355</v>
      </c>
      <c r="X135">
        <f t="shared" ca="1" si="73"/>
        <v>9.0245898887855258</v>
      </c>
      <c r="Y135">
        <f t="shared" ca="1" si="74"/>
        <v>1.0328564158214961</v>
      </c>
      <c r="Z135">
        <f t="shared" ca="1" si="75"/>
        <v>5.6456859123663232</v>
      </c>
      <c r="AA135">
        <f t="shared" ca="1" si="76"/>
        <v>634.31725336714044</v>
      </c>
      <c r="AB135">
        <f t="shared" ca="1" si="77"/>
        <v>635.94180838350599</v>
      </c>
      <c r="AC135">
        <f t="shared" ca="1" si="78"/>
        <v>6.8690394285140398E-3</v>
      </c>
      <c r="AD135">
        <f t="shared" ca="1" si="79"/>
        <v>1.3926499241454817</v>
      </c>
      <c r="AE135">
        <f t="shared" ca="1" si="80"/>
        <v>36.88112284806094</v>
      </c>
      <c r="AF135">
        <f t="shared" ca="1" si="81"/>
        <v>-1.5675221765491187E-2</v>
      </c>
      <c r="AG135">
        <f t="shared" ca="1" si="82"/>
        <v>0</v>
      </c>
      <c r="AH135">
        <f ca="1">IFERROR(IF(V32="Supercritical",MAX($D$16,IFERROR(L135,MAX($D$16,POWER((ABS(K135)^2)/($I$5*MAX(F135,0.1)^2),1/3)))),IF(V32="Subcritical",MAX($D$16,IFERROR(W135,MAX($D$16,POWER((ABS(K135)^2)/($I$5*MAX(F135,0.1)^2),1/3)))),IF(AND(IFERROR(V135,0)=1,IFERROR(AG135,0)=1),IF(IFERROR(T135,-1E+99)&gt;=IFERROR(AE135,-1E+99),MAX($D$16,IFERROR(L135,MAX($D$16,POWER((ABS(K135)^2)/($I$5*MAX(F135,0.1)^2),1/3)))),MAX($D$16,IFERROR(W135,MAX($D$16,POWER((ABS(K135)^2)/($I$5*MAX(F135,0.1)^2),1/3))))),IF(IFERROR(V135,0)=1,MAX($D$16,IFERROR(L135,MAX($D$16,POWER((ABS(K135)^2)/($I$5*MAX(F135,0.1)^2),1/3)))),IF(IFERROR(AG135,0)=1,MAX($D$16,IFERROR(W135,MAX($D$16,POWER((ABS(K135)^2)/($I$5*MAX(F135,0.1)^2),1/3)))),MAX($D$16,POWER((ABS(K135)^2)/($I$5*MAX(F135,0.1)^2),1/3))))))),MAX($D$16,POWER((ABS(K135)^2)/($I$5*MAX(F135,0.1)^2),1/3)))</f>
        <v>2.0891765353678946</v>
      </c>
      <c r="AI135">
        <f t="shared" ca="1" si="83"/>
        <v>634.73117653536792</v>
      </c>
      <c r="AJ135">
        <f t="shared" ca="1" si="84"/>
        <v>635.77576480305186</v>
      </c>
      <c r="AM135">
        <v>0</v>
      </c>
      <c r="AN135">
        <v>0</v>
      </c>
      <c r="AO135">
        <f t="shared" si="85"/>
        <v>0</v>
      </c>
      <c r="AP135">
        <f t="shared" si="94"/>
        <v>0</v>
      </c>
      <c r="AQ135">
        <f t="shared" ca="1" si="86"/>
        <v>1.0000000000000004</v>
      </c>
      <c r="AR135" t="str">
        <f t="shared" ca="1" si="87"/>
        <v>Supercritical</v>
      </c>
      <c r="AS135">
        <f t="shared" ca="1" si="88"/>
        <v>3.7124890816268939E-3</v>
      </c>
    </row>
    <row r="136" spans="1:45" x14ac:dyDescent="0.35">
      <c r="A136">
        <v>75</v>
      </c>
      <c r="B136">
        <v>73.998999999999995</v>
      </c>
      <c r="C136">
        <v>616503.97</v>
      </c>
      <c r="D136">
        <v>3097711.9079999998</v>
      </c>
      <c r="E136">
        <v>632.60199999999998</v>
      </c>
      <c r="F136">
        <v>5.3609999999999998</v>
      </c>
      <c r="G136">
        <v>0</v>
      </c>
      <c r="H136" t="s">
        <v>154</v>
      </c>
      <c r="I136">
        <v>1.4E-2</v>
      </c>
      <c r="J136">
        <f t="shared" si="89"/>
        <v>1</v>
      </c>
      <c r="K136">
        <f t="shared" ca="1" si="90"/>
        <v>50.95</v>
      </c>
      <c r="L136">
        <f t="shared" ca="1" si="91"/>
        <v>2.0959258704670867</v>
      </c>
      <c r="M136">
        <f t="shared" ca="1" si="64"/>
        <v>11.236258591574051</v>
      </c>
      <c r="N136">
        <f t="shared" ca="1" si="65"/>
        <v>1.1762203472107124</v>
      </c>
      <c r="O136">
        <f t="shared" ca="1" si="66"/>
        <v>4.5344275040276179</v>
      </c>
      <c r="P136">
        <f t="shared" ca="1" si="67"/>
        <v>634.69792587046709</v>
      </c>
      <c r="Q136">
        <f t="shared" ca="1" si="68"/>
        <v>635.74588880570059</v>
      </c>
      <c r="R136">
        <f t="shared" ca="1" si="69"/>
        <v>3.7259972203080444E-3</v>
      </c>
      <c r="S136">
        <f t="shared" ca="1" si="70"/>
        <v>1.0000000000000004</v>
      </c>
      <c r="T136">
        <f t="shared" ca="1" si="71"/>
        <v>35.325547604007198</v>
      </c>
      <c r="U136">
        <f t="shared" ca="1" si="92"/>
        <v>2.5794834976863967E-2</v>
      </c>
      <c r="V136">
        <f t="shared" ca="1" si="93"/>
        <v>1</v>
      </c>
      <c r="W136">
        <f t="shared" ca="1" si="72"/>
        <v>1.6752331893589589</v>
      </c>
      <c r="X136">
        <f t="shared" ca="1" si="73"/>
        <v>8.9809251281533786</v>
      </c>
      <c r="Y136">
        <f t="shared" ca="1" si="74"/>
        <v>1.0309315031156807</v>
      </c>
      <c r="Z136">
        <f t="shared" ca="1" si="75"/>
        <v>5.6731349246284317</v>
      </c>
      <c r="AA136">
        <f t="shared" ca="1" si="76"/>
        <v>634.27723318935898</v>
      </c>
      <c r="AB136">
        <f t="shared" ca="1" si="77"/>
        <v>635.91762360082885</v>
      </c>
      <c r="AC136">
        <f t="shared" ca="1" si="78"/>
        <v>6.9532684247366741E-3</v>
      </c>
      <c r="AD136">
        <f t="shared" ca="1" si="79"/>
        <v>1.3994293387742747</v>
      </c>
      <c r="AE136">
        <f t="shared" ca="1" si="80"/>
        <v>36.987018855618416</v>
      </c>
      <c r="AF136">
        <f t="shared" ca="1" si="81"/>
        <v>-1.5334788786390163E-2</v>
      </c>
      <c r="AG136">
        <f t="shared" ca="1" si="82"/>
        <v>0</v>
      </c>
      <c r="AH136">
        <f ca="1">IFERROR(IF(V32="Supercritical",MAX($D$16,IFERROR(L136,MAX($D$16,POWER((ABS(K136)^2)/($I$5*MAX(F136,0.1)^2),1/3)))),IF(V32="Subcritical",MAX($D$16,IFERROR(W136,MAX($D$16,POWER((ABS(K136)^2)/($I$5*MAX(F136,0.1)^2),1/3)))),IF(AND(IFERROR(V136,0)=1,IFERROR(AG136,0)=1),IF(IFERROR(T136,-1E+99)&gt;=IFERROR(AE136,-1E+99),MAX($D$16,IFERROR(L136,MAX($D$16,POWER((ABS(K136)^2)/($I$5*MAX(F136,0.1)^2),1/3)))),MAX($D$16,IFERROR(W136,MAX($D$16,POWER((ABS(K136)^2)/($I$5*MAX(F136,0.1)^2),1/3))))),IF(IFERROR(V136,0)=1,MAX($D$16,IFERROR(L136,MAX($D$16,POWER((ABS(K136)^2)/($I$5*MAX(F136,0.1)^2),1/3)))),IF(IFERROR(AG136,0)=1,MAX($D$16,IFERROR(W136,MAX($D$16,POWER((ABS(K136)^2)/($I$5*MAX(F136,0.1)^2),1/3)))),MAX($D$16,POWER((ABS(K136)^2)/($I$5*MAX(F136,0.1)^2),1/3))))))),MAX($D$16,POWER((ABS(K136)^2)/($I$5*MAX(F136,0.1)^2),1/3)))</f>
        <v>2.0959258704670867</v>
      </c>
      <c r="AI136">
        <f t="shared" ca="1" si="83"/>
        <v>634.69792587046709</v>
      </c>
      <c r="AJ136">
        <f t="shared" ca="1" si="84"/>
        <v>635.74588880570059</v>
      </c>
      <c r="AM136">
        <v>0</v>
      </c>
      <c r="AN136">
        <v>0</v>
      </c>
      <c r="AO136">
        <f t="shared" si="85"/>
        <v>0</v>
      </c>
      <c r="AP136">
        <f t="shared" si="94"/>
        <v>0</v>
      </c>
      <c r="AQ136">
        <f t="shared" ca="1" si="86"/>
        <v>1.0000000000000004</v>
      </c>
      <c r="AR136" t="str">
        <f t="shared" ca="1" si="87"/>
        <v>Supercritical</v>
      </c>
      <c r="AS136">
        <f t="shared" ca="1" si="88"/>
        <v>3.7259972203080444E-3</v>
      </c>
    </row>
    <row r="137" spans="1:45" x14ac:dyDescent="0.35">
      <c r="A137">
        <v>76</v>
      </c>
      <c r="B137">
        <v>74.998999999999995</v>
      </c>
      <c r="C137">
        <v>616503.39500000002</v>
      </c>
      <c r="D137">
        <v>3097711.0890000002</v>
      </c>
      <c r="E137">
        <v>632.56200000000001</v>
      </c>
      <c r="F137">
        <v>5.335</v>
      </c>
      <c r="G137">
        <v>0</v>
      </c>
      <c r="H137" t="s">
        <v>154</v>
      </c>
      <c r="I137">
        <v>1.4E-2</v>
      </c>
      <c r="J137">
        <f t="shared" si="89"/>
        <v>1</v>
      </c>
      <c r="K137">
        <f t="shared" ca="1" si="90"/>
        <v>50.95</v>
      </c>
      <c r="L137">
        <f t="shared" ca="1" si="91"/>
        <v>2.1027299823859709</v>
      </c>
      <c r="M137">
        <f t="shared" ca="1" si="64"/>
        <v>11.218064456029154</v>
      </c>
      <c r="N137">
        <f t="shared" ca="1" si="65"/>
        <v>1.1758410493258975</v>
      </c>
      <c r="O137">
        <f t="shared" ca="1" si="66"/>
        <v>4.5417817128530498</v>
      </c>
      <c r="P137">
        <f t="shared" ca="1" si="67"/>
        <v>634.66472998238601</v>
      </c>
      <c r="Q137">
        <f t="shared" ca="1" si="68"/>
        <v>635.71609497357895</v>
      </c>
      <c r="R137">
        <f t="shared" ca="1" si="69"/>
        <v>3.7397009610055237E-3</v>
      </c>
      <c r="S137">
        <f t="shared" ca="1" si="70"/>
        <v>1.0000000000000002</v>
      </c>
      <c r="T137">
        <f t="shared" ca="1" si="71"/>
        <v>35.38284071404631</v>
      </c>
      <c r="U137">
        <f t="shared" ca="1" si="92"/>
        <v>2.5696245585322686E-2</v>
      </c>
      <c r="V137">
        <f t="shared" ca="1" si="93"/>
        <v>1</v>
      </c>
      <c r="W137">
        <f t="shared" ca="1" si="72"/>
        <v>1.6752533671682319</v>
      </c>
      <c r="X137">
        <f t="shared" ca="1" si="73"/>
        <v>8.9374767138425177</v>
      </c>
      <c r="Y137">
        <f t="shared" ca="1" si="74"/>
        <v>1.029010394812077</v>
      </c>
      <c r="Z137">
        <f t="shared" ca="1" si="75"/>
        <v>5.7007141535918935</v>
      </c>
      <c r="AA137">
        <f t="shared" ca="1" si="76"/>
        <v>634.23725336716825</v>
      </c>
      <c r="AB137">
        <f t="shared" ca="1" si="77"/>
        <v>635.89363164754354</v>
      </c>
      <c r="AC137">
        <f t="shared" ca="1" si="78"/>
        <v>7.038520270322788E-3</v>
      </c>
      <c r="AD137">
        <f t="shared" ca="1" si="79"/>
        <v>1.4062240189662589</v>
      </c>
      <c r="AE137">
        <f t="shared" ca="1" si="80"/>
        <v>37.093953599763267</v>
      </c>
      <c r="AF137">
        <f t="shared" ca="1" si="81"/>
        <v>2.3705863266741289E-2</v>
      </c>
      <c r="AG137">
        <f t="shared" ca="1" si="82"/>
        <v>0</v>
      </c>
      <c r="AH137">
        <f ca="1">IFERROR(IF(V32="Supercritical",MAX($D$16,IFERROR(L137,MAX($D$16,POWER((ABS(K137)^2)/($I$5*MAX(F137,0.1)^2),1/3)))),IF(V32="Subcritical",MAX($D$16,IFERROR(W137,MAX($D$16,POWER((ABS(K137)^2)/($I$5*MAX(F137,0.1)^2),1/3)))),IF(AND(IFERROR(V137,0)=1,IFERROR(AG137,0)=1),IF(IFERROR(T137,-1E+99)&gt;=IFERROR(AE137,-1E+99),MAX($D$16,IFERROR(L137,MAX($D$16,POWER((ABS(K137)^2)/($I$5*MAX(F137,0.1)^2),1/3)))),MAX($D$16,IFERROR(W137,MAX($D$16,POWER((ABS(K137)^2)/($I$5*MAX(F137,0.1)^2),1/3))))),IF(IFERROR(V137,0)=1,MAX($D$16,IFERROR(L137,MAX($D$16,POWER((ABS(K137)^2)/($I$5*MAX(F137,0.1)^2),1/3)))),IF(IFERROR(AG137,0)=1,MAX($D$16,IFERROR(W137,MAX($D$16,POWER((ABS(K137)^2)/($I$5*MAX(F137,0.1)^2),1/3)))),MAX($D$16,POWER((ABS(K137)^2)/($I$5*MAX(F137,0.1)^2),1/3))))))),MAX($D$16,POWER((ABS(K137)^2)/($I$5*MAX(F137,0.1)^2),1/3)))</f>
        <v>2.1027299823859709</v>
      </c>
      <c r="AI137">
        <f t="shared" ca="1" si="83"/>
        <v>634.66472998238601</v>
      </c>
      <c r="AJ137">
        <f t="shared" ca="1" si="84"/>
        <v>635.71609497357895</v>
      </c>
      <c r="AM137">
        <v>0</v>
      </c>
      <c r="AN137">
        <v>0</v>
      </c>
      <c r="AO137">
        <f t="shared" si="85"/>
        <v>0</v>
      </c>
      <c r="AP137">
        <f t="shared" si="94"/>
        <v>0</v>
      </c>
      <c r="AQ137">
        <f t="shared" ca="1" si="86"/>
        <v>1.0000000000000002</v>
      </c>
      <c r="AR137" t="str">
        <f t="shared" ca="1" si="87"/>
        <v>Supercritical</v>
      </c>
      <c r="AS137">
        <f t="shared" ca="1" si="88"/>
        <v>3.7397009610055237E-3</v>
      </c>
    </row>
    <row r="138" spans="1:45" x14ac:dyDescent="0.35">
      <c r="A138">
        <v>77</v>
      </c>
      <c r="B138">
        <v>75.998999999999995</v>
      </c>
      <c r="C138">
        <v>616502.821</v>
      </c>
      <c r="D138">
        <v>3097710.2710000002</v>
      </c>
      <c r="E138">
        <v>632.55999999999995</v>
      </c>
      <c r="F138">
        <v>5.3079999999999998</v>
      </c>
      <c r="G138">
        <v>0</v>
      </c>
      <c r="H138" t="s">
        <v>154</v>
      </c>
      <c r="I138">
        <v>1.4E-2</v>
      </c>
      <c r="J138">
        <f t="shared" si="89"/>
        <v>1</v>
      </c>
      <c r="K138">
        <f t="shared" ca="1" si="90"/>
        <v>50.95</v>
      </c>
      <c r="L138">
        <f t="shared" ca="1" si="91"/>
        <v>2.1098545348317743</v>
      </c>
      <c r="M138">
        <f t="shared" ca="1" si="64"/>
        <v>11.199107870887058</v>
      </c>
      <c r="N138">
        <f t="shared" ca="1" si="65"/>
        <v>1.1754250459373581</v>
      </c>
      <c r="O138">
        <f t="shared" ca="1" si="66"/>
        <v>4.5494695280548587</v>
      </c>
      <c r="P138">
        <f t="shared" ca="1" si="67"/>
        <v>634.66985453483176</v>
      </c>
      <c r="Q138">
        <f t="shared" ca="1" si="68"/>
        <v>635.72478180224766</v>
      </c>
      <c r="R138">
        <f t="shared" ca="1" si="69"/>
        <v>3.754142773715107E-3</v>
      </c>
      <c r="S138">
        <f t="shared" ca="1" si="70"/>
        <v>0.99999999999999978</v>
      </c>
      <c r="T138">
        <f t="shared" ca="1" si="71"/>
        <v>35.442732791191915</v>
      </c>
      <c r="U138">
        <f t="shared" ca="1" si="92"/>
        <v>-1.2814593127927765E-2</v>
      </c>
      <c r="V138">
        <f t="shared" ca="1" si="93"/>
        <v>1</v>
      </c>
      <c r="W138">
        <f t="shared" ca="1" si="72"/>
        <v>1.6752331893849135</v>
      </c>
      <c r="X138">
        <f t="shared" ca="1" si="73"/>
        <v>8.89213776925512</v>
      </c>
      <c r="Y138">
        <f t="shared" ca="1" si="74"/>
        <v>1.0269876188534086</v>
      </c>
      <c r="Z138">
        <f t="shared" ca="1" si="75"/>
        <v>5.729780770622046</v>
      </c>
      <c r="AA138">
        <f t="shared" ca="1" si="76"/>
        <v>634.23523318938487</v>
      </c>
      <c r="AB138">
        <f t="shared" ca="1" si="77"/>
        <v>635.90854550739664</v>
      </c>
      <c r="AC138">
        <f t="shared" ca="1" si="78"/>
        <v>7.1291582008059387E-3</v>
      </c>
      <c r="AD138">
        <f t="shared" ca="1" si="79"/>
        <v>1.4134025405038688</v>
      </c>
      <c r="AE138">
        <f t="shared" ca="1" si="80"/>
        <v>37.206849483323552</v>
      </c>
      <c r="AF138">
        <f t="shared" ca="1" si="81"/>
        <v>2.33781960196211E-2</v>
      </c>
      <c r="AG138">
        <f t="shared" ca="1" si="82"/>
        <v>0</v>
      </c>
      <c r="AH138">
        <f ca="1">IFERROR(IF(V32="Supercritical",MAX($D$16,IFERROR(L138,MAX($D$16,POWER((ABS(K138)^2)/($I$5*MAX(F138,0.1)^2),1/3)))),IF(V32="Subcritical",MAX($D$16,IFERROR(W138,MAX($D$16,POWER((ABS(K138)^2)/($I$5*MAX(F138,0.1)^2),1/3)))),IF(AND(IFERROR(V138,0)=1,IFERROR(AG138,0)=1),IF(IFERROR(T138,-1E+99)&gt;=IFERROR(AE138,-1E+99),MAX($D$16,IFERROR(L138,MAX($D$16,POWER((ABS(K138)^2)/($I$5*MAX(F138,0.1)^2),1/3)))),MAX($D$16,IFERROR(W138,MAX($D$16,POWER((ABS(K138)^2)/($I$5*MAX(F138,0.1)^2),1/3))))),IF(IFERROR(V138,0)=1,MAX($D$16,IFERROR(L138,MAX($D$16,POWER((ABS(K138)^2)/($I$5*MAX(F138,0.1)^2),1/3)))),IF(IFERROR(AG138,0)=1,MAX($D$16,IFERROR(W138,MAX($D$16,POWER((ABS(K138)^2)/($I$5*MAX(F138,0.1)^2),1/3)))),MAX($D$16,POWER((ABS(K138)^2)/($I$5*MAX(F138,0.1)^2),1/3))))))),MAX($D$16,POWER((ABS(K138)^2)/($I$5*MAX(F138,0.1)^2),1/3)))</f>
        <v>2.1098545348317743</v>
      </c>
      <c r="AI138">
        <f t="shared" ca="1" si="83"/>
        <v>634.66985453483176</v>
      </c>
      <c r="AJ138">
        <f t="shared" ca="1" si="84"/>
        <v>635.72478180224766</v>
      </c>
      <c r="AM138">
        <v>0</v>
      </c>
      <c r="AN138">
        <v>0</v>
      </c>
      <c r="AO138">
        <f t="shared" si="85"/>
        <v>0</v>
      </c>
      <c r="AP138">
        <f t="shared" si="94"/>
        <v>0</v>
      </c>
      <c r="AQ138">
        <f t="shared" ca="1" si="86"/>
        <v>0.99999999999999978</v>
      </c>
      <c r="AR138" t="str">
        <f t="shared" ca="1" si="87"/>
        <v>Supercritical</v>
      </c>
      <c r="AS138">
        <f t="shared" ca="1" si="88"/>
        <v>3.754142773715107E-3</v>
      </c>
    </row>
    <row r="139" spans="1:45" x14ac:dyDescent="0.35">
      <c r="A139">
        <v>78</v>
      </c>
      <c r="B139">
        <v>76.998999999999995</v>
      </c>
      <c r="C139">
        <v>616502.24600000004</v>
      </c>
      <c r="D139">
        <v>3097709.452</v>
      </c>
      <c r="E139">
        <v>632.55799999999999</v>
      </c>
      <c r="F139">
        <v>5.282</v>
      </c>
      <c r="G139">
        <v>0</v>
      </c>
      <c r="H139" t="s">
        <v>154</v>
      </c>
      <c r="I139">
        <v>1.4E-2</v>
      </c>
      <c r="J139">
        <f t="shared" si="89"/>
        <v>1</v>
      </c>
      <c r="K139">
        <f t="shared" ca="1" si="90"/>
        <v>50.95</v>
      </c>
      <c r="L139">
        <f t="shared" ca="1" si="91"/>
        <v>2.1167725346097375</v>
      </c>
      <c r="M139">
        <f t="shared" ca="1" si="64"/>
        <v>11.180792527808633</v>
      </c>
      <c r="N139">
        <f t="shared" ca="1" si="65"/>
        <v>1.1750028449737302</v>
      </c>
      <c r="O139">
        <f t="shared" ca="1" si="66"/>
        <v>4.5569220494234406</v>
      </c>
      <c r="P139">
        <f t="shared" ca="1" si="67"/>
        <v>634.6747725346097</v>
      </c>
      <c r="Q139">
        <f t="shared" ca="1" si="68"/>
        <v>635.73315880191456</v>
      </c>
      <c r="R139">
        <f t="shared" ca="1" si="69"/>
        <v>3.7682568141247951E-3</v>
      </c>
      <c r="S139">
        <f t="shared" ca="1" si="70"/>
        <v>1.0000000000000002</v>
      </c>
      <c r="T139">
        <f t="shared" ca="1" si="71"/>
        <v>35.500791807052643</v>
      </c>
      <c r="U139">
        <f t="shared" ca="1" si="92"/>
        <v>-1.2508795129178907E-2</v>
      </c>
      <c r="V139">
        <f t="shared" ca="1" si="93"/>
        <v>1</v>
      </c>
      <c r="W139">
        <f t="shared" ca="1" si="72"/>
        <v>1.6752533671924812</v>
      </c>
      <c r="X139">
        <f t="shared" ca="1" si="73"/>
        <v>8.8486882855106863</v>
      </c>
      <c r="Y139">
        <f t="shared" ca="1" si="74"/>
        <v>1.0250427318248858</v>
      </c>
      <c r="Z139">
        <f t="shared" ca="1" si="75"/>
        <v>5.7579155639857094</v>
      </c>
      <c r="AA139">
        <f t="shared" ca="1" si="76"/>
        <v>634.23325336719245</v>
      </c>
      <c r="AB139">
        <f t="shared" ca="1" si="77"/>
        <v>635.92303887391972</v>
      </c>
      <c r="AC139">
        <f t="shared" ca="1" si="78"/>
        <v>7.2175611915197306E-3</v>
      </c>
      <c r="AD139">
        <f t="shared" ca="1" si="79"/>
        <v>1.4203341804282652</v>
      </c>
      <c r="AE139">
        <f t="shared" ca="1" si="80"/>
        <v>37.31666785957573</v>
      </c>
      <c r="AF139">
        <f t="shared" ca="1" si="81"/>
        <v>2.3791628554704403E-2</v>
      </c>
      <c r="AG139">
        <f t="shared" ca="1" si="82"/>
        <v>0</v>
      </c>
      <c r="AH139">
        <f ca="1">IFERROR(IF(V32="Supercritical",MAX($D$16,IFERROR(L139,MAX($D$16,POWER((ABS(K139)^2)/($I$5*MAX(F139,0.1)^2),1/3)))),IF(V32="Subcritical",MAX($D$16,IFERROR(W139,MAX($D$16,POWER((ABS(K139)^2)/($I$5*MAX(F139,0.1)^2),1/3)))),IF(AND(IFERROR(V139,0)=1,IFERROR(AG139,0)=1),IF(IFERROR(T139,-1E+99)&gt;=IFERROR(AE139,-1E+99),MAX($D$16,IFERROR(L139,MAX($D$16,POWER((ABS(K139)^2)/($I$5*MAX(F139,0.1)^2),1/3)))),MAX($D$16,IFERROR(W139,MAX($D$16,POWER((ABS(K139)^2)/($I$5*MAX(F139,0.1)^2),1/3))))),IF(IFERROR(V139,0)=1,MAX($D$16,IFERROR(L139,MAX($D$16,POWER((ABS(K139)^2)/($I$5*MAX(F139,0.1)^2),1/3)))),IF(IFERROR(AG139,0)=1,MAX($D$16,IFERROR(W139,MAX($D$16,POWER((ABS(K139)^2)/($I$5*MAX(F139,0.1)^2),1/3)))),MAX($D$16,POWER((ABS(K139)^2)/($I$5*MAX(F139,0.1)^2),1/3))))))),MAX($D$16,POWER((ABS(K139)^2)/($I$5*MAX(F139,0.1)^2),1/3)))</f>
        <v>2.1167725346097375</v>
      </c>
      <c r="AI139">
        <f t="shared" ca="1" si="83"/>
        <v>634.6747725346097</v>
      </c>
      <c r="AJ139">
        <f t="shared" ca="1" si="84"/>
        <v>635.73315880191456</v>
      </c>
      <c r="AM139">
        <v>0</v>
      </c>
      <c r="AN139">
        <v>0</v>
      </c>
      <c r="AO139">
        <f t="shared" si="85"/>
        <v>0</v>
      </c>
      <c r="AP139">
        <f t="shared" si="94"/>
        <v>0</v>
      </c>
      <c r="AQ139">
        <f t="shared" ca="1" si="86"/>
        <v>1.0000000000000002</v>
      </c>
      <c r="AR139" t="str">
        <f t="shared" ca="1" si="87"/>
        <v>Supercritical</v>
      </c>
      <c r="AS139">
        <f t="shared" ca="1" si="88"/>
        <v>3.7682568141247951E-3</v>
      </c>
    </row>
    <row r="140" spans="1:45" x14ac:dyDescent="0.35">
      <c r="A140">
        <v>79</v>
      </c>
      <c r="B140">
        <v>77.998999999999995</v>
      </c>
      <c r="C140">
        <v>616501.67200000002</v>
      </c>
      <c r="D140">
        <v>3097708.6340000001</v>
      </c>
      <c r="E140">
        <v>632.55600000000004</v>
      </c>
      <c r="F140">
        <v>5.2560000000000002</v>
      </c>
      <c r="G140">
        <v>0</v>
      </c>
      <c r="H140" t="s">
        <v>154</v>
      </c>
      <c r="I140">
        <v>3.3000000000000002E-2</v>
      </c>
      <c r="J140">
        <f t="shared" si="89"/>
        <v>1</v>
      </c>
      <c r="K140">
        <f t="shared" ca="1" si="90"/>
        <v>50.95</v>
      </c>
      <c r="L140">
        <f t="shared" ca="1" si="91"/>
        <v>2.123747523272558</v>
      </c>
      <c r="M140">
        <f t="shared" ca="1" si="64"/>
        <v>11.162416982320565</v>
      </c>
      <c r="N140">
        <f t="shared" ca="1" si="65"/>
        <v>1.1745591414159291</v>
      </c>
      <c r="O140">
        <f t="shared" ca="1" si="66"/>
        <v>4.5644236441530932</v>
      </c>
      <c r="P140">
        <f t="shared" ca="1" si="67"/>
        <v>634.67974752327257</v>
      </c>
      <c r="Q140">
        <f t="shared" ca="1" si="68"/>
        <v>635.74162128490889</v>
      </c>
      <c r="R140">
        <f t="shared" ca="1" si="69"/>
        <v>3.7825779961649024E-3</v>
      </c>
      <c r="S140">
        <f t="shared" ca="1" si="70"/>
        <v>1.0000000000000002</v>
      </c>
      <c r="T140">
        <f t="shared" ca="1" si="71"/>
        <v>35.559233129908264</v>
      </c>
      <c r="U140">
        <f t="shared" ca="1" si="92"/>
        <v>-1.2645052889524777E-2</v>
      </c>
      <c r="V140">
        <f t="shared" ca="1" si="93"/>
        <v>1</v>
      </c>
      <c r="W140">
        <f t="shared" ca="1" si="72"/>
        <v>1.6752331894075769</v>
      </c>
      <c r="X140">
        <f t="shared" ca="1" si="73"/>
        <v>8.8050256435262249</v>
      </c>
      <c r="Y140">
        <f t="shared" ca="1" si="74"/>
        <v>1.0230709394508093</v>
      </c>
      <c r="Z140">
        <f t="shared" ca="1" si="75"/>
        <v>5.7864680993246509</v>
      </c>
      <c r="AA140">
        <f t="shared" ca="1" si="76"/>
        <v>634.23123318940759</v>
      </c>
      <c r="AB140">
        <f t="shared" ca="1" si="77"/>
        <v>635.93781897251165</v>
      </c>
      <c r="AC140">
        <f t="shared" ca="1" si="78"/>
        <v>7.3080579034784966E-3</v>
      </c>
      <c r="AD140">
        <f t="shared" ca="1" si="79"/>
        <v>1.427385975046098</v>
      </c>
      <c r="AE140">
        <f t="shared" ca="1" si="80"/>
        <v>37.42829876202719</v>
      </c>
      <c r="AF140">
        <f t="shared" ca="1" si="81"/>
        <v>2.4927250726364036E-2</v>
      </c>
      <c r="AG140">
        <f t="shared" ca="1" si="82"/>
        <v>0</v>
      </c>
      <c r="AH140">
        <f ca="1">IFERROR(IF(V32="Supercritical",MAX($D$16,IFERROR(L140,MAX($D$16,POWER((ABS(K140)^2)/($I$5*MAX(F140,0.1)^2),1/3)))),IF(V32="Subcritical",MAX($D$16,IFERROR(W140,MAX($D$16,POWER((ABS(K140)^2)/($I$5*MAX(F140,0.1)^2),1/3)))),IF(AND(IFERROR(V140,0)=1,IFERROR(AG140,0)=1),IF(IFERROR(T140,-1E+99)&gt;=IFERROR(AE140,-1E+99),MAX($D$16,IFERROR(L140,MAX($D$16,POWER((ABS(K140)^2)/($I$5*MAX(F140,0.1)^2),1/3)))),MAX($D$16,IFERROR(W140,MAX($D$16,POWER((ABS(K140)^2)/($I$5*MAX(F140,0.1)^2),1/3))))),IF(IFERROR(V140,0)=1,MAX($D$16,IFERROR(L140,MAX($D$16,POWER((ABS(K140)^2)/($I$5*MAX(F140,0.1)^2),1/3)))),IF(IFERROR(AG140,0)=1,MAX($D$16,IFERROR(W140,MAX($D$16,POWER((ABS(K140)^2)/($I$5*MAX(F140,0.1)^2),1/3)))),MAX($D$16,POWER((ABS(K140)^2)/($I$5*MAX(F140,0.1)^2),1/3))))))),MAX($D$16,POWER((ABS(K140)^2)/($I$5*MAX(F140,0.1)^2),1/3)))</f>
        <v>2.123747523272558</v>
      </c>
      <c r="AI140">
        <f t="shared" ca="1" si="83"/>
        <v>634.67974752327257</v>
      </c>
      <c r="AJ140">
        <f t="shared" ca="1" si="84"/>
        <v>635.74162128490889</v>
      </c>
      <c r="AM140">
        <v>0</v>
      </c>
      <c r="AN140">
        <v>0</v>
      </c>
      <c r="AO140">
        <f t="shared" si="85"/>
        <v>0</v>
      </c>
      <c r="AP140">
        <f t="shared" si="94"/>
        <v>0</v>
      </c>
      <c r="AQ140">
        <f t="shared" ca="1" si="86"/>
        <v>1.0000000000000002</v>
      </c>
      <c r="AR140" t="str">
        <f t="shared" ca="1" si="87"/>
        <v>Supercritical</v>
      </c>
      <c r="AS140">
        <f t="shared" ca="1" si="88"/>
        <v>3.7825779961649024E-3</v>
      </c>
    </row>
    <row r="141" spans="1:45" x14ac:dyDescent="0.35">
      <c r="A141">
        <v>80</v>
      </c>
      <c r="B141">
        <v>78.998999999999995</v>
      </c>
      <c r="C141">
        <v>616501.098</v>
      </c>
      <c r="D141">
        <v>3097707.8149999999</v>
      </c>
      <c r="E141">
        <v>632.55399999999997</v>
      </c>
      <c r="F141">
        <v>5.2290000000000001</v>
      </c>
      <c r="G141">
        <v>0</v>
      </c>
      <c r="H141" t="s">
        <v>154</v>
      </c>
      <c r="I141">
        <v>4.7E-2</v>
      </c>
      <c r="J141">
        <f t="shared" si="89"/>
        <v>1</v>
      </c>
      <c r="K141">
        <f t="shared" ca="1" si="90"/>
        <v>50.95</v>
      </c>
      <c r="L141">
        <f t="shared" ca="1" si="91"/>
        <v>2.1310519089500057</v>
      </c>
      <c r="M141">
        <f t="shared" ca="1" si="64"/>
        <v>11.14327043189958</v>
      </c>
      <c r="N141">
        <f t="shared" ca="1" si="65"/>
        <v>1.1740752862573918</v>
      </c>
      <c r="O141">
        <f t="shared" ca="1" si="66"/>
        <v>4.5722663118851203</v>
      </c>
      <c r="P141">
        <f t="shared" ca="1" si="67"/>
        <v>634.68505190894996</v>
      </c>
      <c r="Q141">
        <f t="shared" ca="1" si="68"/>
        <v>635.75057786342495</v>
      </c>
      <c r="R141">
        <f t="shared" ca="1" si="69"/>
        <v>3.7976735116554234E-3</v>
      </c>
      <c r="S141">
        <f t="shared" ca="1" si="70"/>
        <v>1</v>
      </c>
      <c r="T141">
        <f t="shared" ca="1" si="71"/>
        <v>35.620331588768636</v>
      </c>
      <c r="U141">
        <f t="shared" ca="1" si="92"/>
        <v>-1.3195389753605014E-2</v>
      </c>
      <c r="V141">
        <f t="shared" ca="1" si="93"/>
        <v>1</v>
      </c>
      <c r="W141">
        <f t="shared" ca="1" si="72"/>
        <v>1.675253367213644</v>
      </c>
      <c r="X141">
        <f t="shared" ca="1" si="73"/>
        <v>8.7598998571601445</v>
      </c>
      <c r="Y141">
        <f t="shared" ca="1" si="74"/>
        <v>1.0210260482702329</v>
      </c>
      <c r="Z141">
        <f t="shared" ca="1" si="75"/>
        <v>5.81627653635271</v>
      </c>
      <c r="AA141">
        <f t="shared" ca="1" si="76"/>
        <v>634.22925336721357</v>
      </c>
      <c r="AB141">
        <f t="shared" ca="1" si="77"/>
        <v>635.95346706483474</v>
      </c>
      <c r="AC141">
        <f t="shared" ca="1" si="78"/>
        <v>7.4032687671567992E-3</v>
      </c>
      <c r="AD141">
        <f t="shared" ca="1" si="79"/>
        <v>1.4347303769133564</v>
      </c>
      <c r="AE141">
        <f t="shared" ca="1" si="80"/>
        <v>37.545404513091171</v>
      </c>
      <c r="AF141">
        <f t="shared" ca="1" si="81"/>
        <v>2.0807856065630403E-2</v>
      </c>
      <c r="AG141">
        <f t="shared" ca="1" si="82"/>
        <v>0</v>
      </c>
      <c r="AH141">
        <f ca="1">IFERROR(IF(V32="Supercritical",MAX($D$16,IFERROR(L141,MAX($D$16,POWER((ABS(K141)^2)/($I$5*MAX(F141,0.1)^2),1/3)))),IF(V32="Subcritical",MAX($D$16,IFERROR(W141,MAX($D$16,POWER((ABS(K141)^2)/($I$5*MAX(F141,0.1)^2),1/3)))),IF(AND(IFERROR(V141,0)=1,IFERROR(AG141,0)=1),IF(IFERROR(T141,-1E+99)&gt;=IFERROR(AE141,-1E+99),MAX($D$16,IFERROR(L141,MAX($D$16,POWER((ABS(K141)^2)/($I$5*MAX(F141,0.1)^2),1/3)))),MAX($D$16,IFERROR(W141,MAX($D$16,POWER((ABS(K141)^2)/($I$5*MAX(F141,0.1)^2),1/3))))),IF(IFERROR(V141,0)=1,MAX($D$16,IFERROR(L141,MAX($D$16,POWER((ABS(K141)^2)/($I$5*MAX(F141,0.1)^2),1/3)))),IF(IFERROR(AG141,0)=1,MAX($D$16,IFERROR(W141,MAX($D$16,POWER((ABS(K141)^2)/($I$5*MAX(F141,0.1)^2),1/3)))),MAX($D$16,POWER((ABS(K141)^2)/($I$5*MAX(F141,0.1)^2),1/3))))))),MAX($D$16,POWER((ABS(K141)^2)/($I$5*MAX(F141,0.1)^2),1/3)))</f>
        <v>2.1310519089500057</v>
      </c>
      <c r="AI141">
        <f t="shared" ca="1" si="83"/>
        <v>634.68505190894996</v>
      </c>
      <c r="AJ141">
        <f t="shared" ca="1" si="84"/>
        <v>635.75057786342495</v>
      </c>
      <c r="AM141">
        <v>0</v>
      </c>
      <c r="AN141">
        <v>0</v>
      </c>
      <c r="AO141">
        <f t="shared" si="85"/>
        <v>0</v>
      </c>
      <c r="AP141">
        <f t="shared" si="94"/>
        <v>0</v>
      </c>
      <c r="AQ141">
        <f t="shared" ca="1" si="86"/>
        <v>1</v>
      </c>
      <c r="AR141" t="str">
        <f t="shared" ca="1" si="87"/>
        <v>Supercritical</v>
      </c>
      <c r="AS141">
        <f t="shared" ca="1" si="88"/>
        <v>3.7976735116554234E-3</v>
      </c>
    </row>
    <row r="142" spans="1:45" x14ac:dyDescent="0.35">
      <c r="A142">
        <v>81</v>
      </c>
      <c r="B142">
        <v>79.998999999999995</v>
      </c>
      <c r="C142">
        <v>616500.52300000004</v>
      </c>
      <c r="D142">
        <v>3097706.9959999998</v>
      </c>
      <c r="E142">
        <v>632.55200000000002</v>
      </c>
      <c r="F142">
        <v>5.2080000000000002</v>
      </c>
      <c r="G142">
        <v>0</v>
      </c>
      <c r="H142" t="s">
        <v>154</v>
      </c>
      <c r="I142">
        <v>1.4E-2</v>
      </c>
      <c r="J142">
        <f t="shared" si="89"/>
        <v>1</v>
      </c>
      <c r="K142">
        <f t="shared" ca="1" si="90"/>
        <v>50.95</v>
      </c>
      <c r="L142">
        <f t="shared" ca="1" si="91"/>
        <v>2.1367767001085558</v>
      </c>
      <c r="M142">
        <f t="shared" ca="1" si="64"/>
        <v>11.12833305416536</v>
      </c>
      <c r="N142">
        <f t="shared" ca="1" si="65"/>
        <v>1.1736824742146723</v>
      </c>
      <c r="O142">
        <f t="shared" ca="1" si="66"/>
        <v>4.5784035894692519</v>
      </c>
      <c r="P142">
        <f t="shared" ca="1" si="67"/>
        <v>634.68877670010863</v>
      </c>
      <c r="Q142">
        <f t="shared" ca="1" si="68"/>
        <v>635.75716505016294</v>
      </c>
      <c r="R142">
        <f t="shared" ca="1" si="69"/>
        <v>3.8095748013259713E-3</v>
      </c>
      <c r="S142">
        <f t="shared" ca="1" si="70"/>
        <v>1</v>
      </c>
      <c r="T142">
        <f t="shared" ca="1" si="71"/>
        <v>35.668144171782629</v>
      </c>
      <c r="U142">
        <f t="shared" ca="1" si="92"/>
        <v>-1.0701979513896731E-2</v>
      </c>
      <c r="V142">
        <f t="shared" ca="1" si="93"/>
        <v>1</v>
      </c>
      <c r="W142">
        <f t="shared" ca="1" si="72"/>
        <v>1.6752331894273413</v>
      </c>
      <c r="X142">
        <f t="shared" ca="1" si="73"/>
        <v>8.7246144505375938</v>
      </c>
      <c r="Y142">
        <f t="shared" ca="1" si="74"/>
        <v>1.0194132995712191</v>
      </c>
      <c r="Z142">
        <f t="shared" ca="1" si="75"/>
        <v>5.8397996024753347</v>
      </c>
      <c r="AA142">
        <f t="shared" ca="1" si="76"/>
        <v>634.22723318942735</v>
      </c>
      <c r="AB142">
        <f t="shared" ca="1" si="77"/>
        <v>635.96542174177557</v>
      </c>
      <c r="AC142">
        <f t="shared" ca="1" si="78"/>
        <v>7.4790197407096221E-3</v>
      </c>
      <c r="AD142">
        <f t="shared" ca="1" si="79"/>
        <v>1.4405416061270202</v>
      </c>
      <c r="AE142">
        <f t="shared" ca="1" si="80"/>
        <v>37.637931769400694</v>
      </c>
      <c r="AF142">
        <f t="shared" ca="1" si="81"/>
        <v>7.7297408153071956E-3</v>
      </c>
      <c r="AG142">
        <f t="shared" ca="1" si="82"/>
        <v>0</v>
      </c>
      <c r="AH142">
        <f ca="1">IFERROR(IF(V32="Supercritical",MAX($D$16,IFERROR(L142,MAX($D$16,POWER((ABS(K142)^2)/($I$5*MAX(F142,0.1)^2),1/3)))),IF(V32="Subcritical",MAX($D$16,IFERROR(W142,MAX($D$16,POWER((ABS(K142)^2)/($I$5*MAX(F142,0.1)^2),1/3)))),IF(AND(IFERROR(V142,0)=1,IFERROR(AG142,0)=1),IF(IFERROR(T142,-1E+99)&gt;=IFERROR(AE142,-1E+99),MAX($D$16,IFERROR(L142,MAX($D$16,POWER((ABS(K142)^2)/($I$5*MAX(F142,0.1)^2),1/3)))),MAX($D$16,IFERROR(W142,MAX($D$16,POWER((ABS(K142)^2)/($I$5*MAX(F142,0.1)^2),1/3))))),IF(IFERROR(V142,0)=1,MAX($D$16,IFERROR(L142,MAX($D$16,POWER((ABS(K142)^2)/($I$5*MAX(F142,0.1)^2),1/3)))),IF(IFERROR(AG142,0)=1,MAX($D$16,IFERROR(W142,MAX($D$16,POWER((ABS(K142)^2)/($I$5*MAX(F142,0.1)^2),1/3)))),MAX($D$16,POWER((ABS(K142)^2)/($I$5*MAX(F142,0.1)^2),1/3))))))),MAX($D$16,POWER((ABS(K142)^2)/($I$5*MAX(F142,0.1)^2),1/3)))</f>
        <v>2.1367767001085558</v>
      </c>
      <c r="AI142">
        <f t="shared" ca="1" si="83"/>
        <v>634.68877670010863</v>
      </c>
      <c r="AJ142">
        <f t="shared" ca="1" si="84"/>
        <v>635.75716505016294</v>
      </c>
      <c r="AM142">
        <v>0</v>
      </c>
      <c r="AN142">
        <v>0</v>
      </c>
      <c r="AO142">
        <f t="shared" si="85"/>
        <v>0</v>
      </c>
      <c r="AP142">
        <f t="shared" si="94"/>
        <v>0</v>
      </c>
      <c r="AQ142">
        <f t="shared" ca="1" si="86"/>
        <v>1</v>
      </c>
      <c r="AR142" t="str">
        <f t="shared" ca="1" si="87"/>
        <v>Supercritical</v>
      </c>
      <c r="AS142">
        <f t="shared" ca="1" si="88"/>
        <v>3.8095748013259713E-3</v>
      </c>
    </row>
    <row r="143" spans="1:45" x14ac:dyDescent="0.35">
      <c r="A143">
        <v>82</v>
      </c>
      <c r="B143">
        <v>80.998999999999995</v>
      </c>
      <c r="C143">
        <v>616499.94900000002</v>
      </c>
      <c r="D143">
        <v>3097706.1779999998</v>
      </c>
      <c r="E143">
        <v>632.54999999999995</v>
      </c>
      <c r="F143">
        <v>5.2050000000000001</v>
      </c>
      <c r="G143">
        <v>0</v>
      </c>
      <c r="H143" t="s">
        <v>154</v>
      </c>
      <c r="I143">
        <v>1.4E-2</v>
      </c>
      <c r="J143">
        <f t="shared" si="89"/>
        <v>1</v>
      </c>
      <c r="K143">
        <f t="shared" ca="1" si="90"/>
        <v>50.95</v>
      </c>
      <c r="L143">
        <f t="shared" ca="1" si="91"/>
        <v>2.1375976689810785</v>
      </c>
      <c r="M143">
        <f t="shared" ca="1" si="64"/>
        <v>11.126195867046514</v>
      </c>
      <c r="N143">
        <f t="shared" ca="1" si="65"/>
        <v>1.1736251702001508</v>
      </c>
      <c r="O143">
        <f t="shared" ca="1" si="66"/>
        <v>4.5792830369725328</v>
      </c>
      <c r="P143">
        <f t="shared" ca="1" si="67"/>
        <v>634.68759766898108</v>
      </c>
      <c r="Q143">
        <f t="shared" ca="1" si="68"/>
        <v>635.75639650347159</v>
      </c>
      <c r="R143">
        <f t="shared" ca="1" si="69"/>
        <v>3.811286582578326E-3</v>
      </c>
      <c r="S143">
        <f t="shared" ca="1" si="70"/>
        <v>1</v>
      </c>
      <c r="T143">
        <f t="shared" ca="1" si="71"/>
        <v>35.674995525038305</v>
      </c>
      <c r="U143">
        <f t="shared" ca="1" si="92"/>
        <v>-3.1078710836709433E-3</v>
      </c>
      <c r="V143">
        <f t="shared" ca="1" si="93"/>
        <v>1</v>
      </c>
      <c r="W143">
        <f t="shared" ca="1" si="72"/>
        <v>1.6752533672320953</v>
      </c>
      <c r="X143">
        <f t="shared" ca="1" si="73"/>
        <v>8.7196937764430569</v>
      </c>
      <c r="Y143">
        <f t="shared" ca="1" si="74"/>
        <v>1.0191908027279637</v>
      </c>
      <c r="Z143">
        <f t="shared" ca="1" si="75"/>
        <v>5.84309510245021</v>
      </c>
      <c r="AA143">
        <f t="shared" ca="1" si="76"/>
        <v>634.22525336723209</v>
      </c>
      <c r="AB143">
        <f t="shared" ca="1" si="77"/>
        <v>635.9654042528731</v>
      </c>
      <c r="AC143">
        <f t="shared" ca="1" si="78"/>
        <v>7.4896427065921679E-3</v>
      </c>
      <c r="AD143">
        <f t="shared" ca="1" si="79"/>
        <v>1.4413458483681065</v>
      </c>
      <c r="AE143">
        <f t="shared" ca="1" si="80"/>
        <v>37.651013875301963</v>
      </c>
      <c r="AF143">
        <f t="shared" ca="1" si="81"/>
        <v>7.7441831410851591E-3</v>
      </c>
      <c r="AG143">
        <f t="shared" ca="1" si="82"/>
        <v>0</v>
      </c>
      <c r="AH143">
        <f ca="1">IFERROR(IF(V32="Supercritical",MAX($D$16,IFERROR(L143,MAX($D$16,POWER((ABS(K143)^2)/($I$5*MAX(F143,0.1)^2),1/3)))),IF(V32="Subcritical",MAX($D$16,IFERROR(W143,MAX($D$16,POWER((ABS(K143)^2)/($I$5*MAX(F143,0.1)^2),1/3)))),IF(AND(IFERROR(V143,0)=1,IFERROR(AG143,0)=1),IF(IFERROR(T143,-1E+99)&gt;=IFERROR(AE143,-1E+99),MAX($D$16,IFERROR(L143,MAX($D$16,POWER((ABS(K143)^2)/($I$5*MAX(F143,0.1)^2),1/3)))),MAX($D$16,IFERROR(W143,MAX($D$16,POWER((ABS(K143)^2)/($I$5*MAX(F143,0.1)^2),1/3))))),IF(IFERROR(V143,0)=1,MAX($D$16,IFERROR(L143,MAX($D$16,POWER((ABS(K143)^2)/($I$5*MAX(F143,0.1)^2),1/3)))),IF(IFERROR(AG143,0)=1,MAX($D$16,IFERROR(W143,MAX($D$16,POWER((ABS(K143)^2)/($I$5*MAX(F143,0.1)^2),1/3)))),MAX($D$16,POWER((ABS(K143)^2)/($I$5*MAX(F143,0.1)^2),1/3))))))),MAX($D$16,POWER((ABS(K143)^2)/($I$5*MAX(F143,0.1)^2),1/3)))</f>
        <v>2.1375976689810785</v>
      </c>
      <c r="AI143">
        <f t="shared" ca="1" si="83"/>
        <v>634.68759766898108</v>
      </c>
      <c r="AJ143">
        <f t="shared" ca="1" si="84"/>
        <v>635.75639650347159</v>
      </c>
      <c r="AM143">
        <v>0</v>
      </c>
      <c r="AN143">
        <v>0</v>
      </c>
      <c r="AO143">
        <f t="shared" si="85"/>
        <v>0</v>
      </c>
      <c r="AP143">
        <f t="shared" si="94"/>
        <v>0</v>
      </c>
      <c r="AQ143">
        <f t="shared" ca="1" si="86"/>
        <v>1</v>
      </c>
      <c r="AR143" t="str">
        <f t="shared" ca="1" si="87"/>
        <v>Supercritical</v>
      </c>
      <c r="AS143">
        <f t="shared" ca="1" si="88"/>
        <v>3.811286582578326E-3</v>
      </c>
    </row>
    <row r="144" spans="1:45" x14ac:dyDescent="0.35">
      <c r="A144">
        <v>83</v>
      </c>
      <c r="B144">
        <v>81.998999999999995</v>
      </c>
      <c r="C144">
        <v>616499.37399999995</v>
      </c>
      <c r="D144">
        <v>3097705.3590000002</v>
      </c>
      <c r="E144">
        <v>632.548</v>
      </c>
      <c r="F144">
        <v>5.202</v>
      </c>
      <c r="G144">
        <v>0</v>
      </c>
      <c r="H144" t="s">
        <v>154</v>
      </c>
      <c r="I144">
        <v>1.4E-2</v>
      </c>
      <c r="J144">
        <f t="shared" si="89"/>
        <v>1</v>
      </c>
      <c r="K144">
        <f t="shared" ca="1" si="90"/>
        <v>50.95</v>
      </c>
      <c r="L144">
        <f t="shared" ca="1" si="91"/>
        <v>2.1384194268674337</v>
      </c>
      <c r="M144">
        <f t="shared" ca="1" si="64"/>
        <v>11.12405785856439</v>
      </c>
      <c r="N144">
        <f t="shared" ca="1" si="65"/>
        <v>1.1735675677386657</v>
      </c>
      <c r="O144">
        <f t="shared" ca="1" si="66"/>
        <v>4.5801631605838597</v>
      </c>
      <c r="P144">
        <f t="shared" ca="1" si="67"/>
        <v>634.68641942686747</v>
      </c>
      <c r="Q144">
        <f t="shared" ca="1" si="68"/>
        <v>635.75562914030115</v>
      </c>
      <c r="R144">
        <f t="shared" ca="1" si="69"/>
        <v>3.8130012824712503E-3</v>
      </c>
      <c r="S144">
        <f t="shared" ca="1" si="70"/>
        <v>1.0000000000000002</v>
      </c>
      <c r="T144">
        <f t="shared" ca="1" si="71"/>
        <v>35.681852145527159</v>
      </c>
      <c r="U144">
        <f t="shared" ca="1" si="92"/>
        <v>-3.1108168831224248E-3</v>
      </c>
      <c r="V144">
        <f t="shared" ca="1" si="93"/>
        <v>1</v>
      </c>
      <c r="W144">
        <f t="shared" ca="1" si="72"/>
        <v>1.675233189444582</v>
      </c>
      <c r="X144">
        <f t="shared" ca="1" si="73"/>
        <v>8.7145630514907158</v>
      </c>
      <c r="Y144">
        <f t="shared" ca="1" si="74"/>
        <v>1.0189532078140253</v>
      </c>
      <c r="Z144">
        <f t="shared" ca="1" si="75"/>
        <v>5.8465352420950678</v>
      </c>
      <c r="AA144">
        <f t="shared" ca="1" si="76"/>
        <v>634.22323318944461</v>
      </c>
      <c r="AB144">
        <f t="shared" ca="1" si="77"/>
        <v>635.96543371630798</v>
      </c>
      <c r="AC144">
        <f t="shared" ca="1" si="78"/>
        <v>7.5007957697097493E-3</v>
      </c>
      <c r="AD144">
        <f t="shared" ca="1" si="79"/>
        <v>1.4422031304486174</v>
      </c>
      <c r="AE144">
        <f t="shared" ca="1" si="80"/>
        <v>37.664495307064989</v>
      </c>
      <c r="AF144">
        <f t="shared" ca="1" si="81"/>
        <v>-0.21243190687869173</v>
      </c>
      <c r="AG144">
        <f t="shared" ca="1" si="82"/>
        <v>0</v>
      </c>
      <c r="AH144">
        <f ca="1">IFERROR(IF(V32="Supercritical",MAX($D$16,IFERROR(L144,MAX($D$16,POWER((ABS(K144)^2)/($I$5*MAX(F144,0.1)^2),1/3)))),IF(V32="Subcritical",MAX($D$16,IFERROR(W144,MAX($D$16,POWER((ABS(K144)^2)/($I$5*MAX(F144,0.1)^2),1/3)))),IF(AND(IFERROR(V144,0)=1,IFERROR(AG144,0)=1),IF(IFERROR(T144,-1E+99)&gt;=IFERROR(AE144,-1E+99),MAX($D$16,IFERROR(L144,MAX($D$16,POWER((ABS(K144)^2)/($I$5*MAX(F144,0.1)^2),1/3)))),MAX($D$16,IFERROR(W144,MAX($D$16,POWER((ABS(K144)^2)/($I$5*MAX(F144,0.1)^2),1/3))))),IF(IFERROR(V144,0)=1,MAX($D$16,IFERROR(L144,MAX($D$16,POWER((ABS(K144)^2)/($I$5*MAX(F144,0.1)^2),1/3)))),IF(IFERROR(AG144,0)=1,MAX($D$16,IFERROR(W144,MAX($D$16,POWER((ABS(K144)^2)/($I$5*MAX(F144,0.1)^2),1/3)))),MAX($D$16,POWER((ABS(K144)^2)/($I$5*MAX(F144,0.1)^2),1/3))))))),MAX($D$16,POWER((ABS(K144)^2)/($I$5*MAX(F144,0.1)^2),1/3)))</f>
        <v>2.1384194268674337</v>
      </c>
      <c r="AI144">
        <f t="shared" ca="1" si="83"/>
        <v>634.68641942686747</v>
      </c>
      <c r="AJ144">
        <f t="shared" ca="1" si="84"/>
        <v>635.75562914030115</v>
      </c>
      <c r="AM144">
        <v>0</v>
      </c>
      <c r="AN144">
        <v>0</v>
      </c>
      <c r="AO144">
        <f t="shared" si="85"/>
        <v>0</v>
      </c>
      <c r="AP144">
        <f t="shared" si="94"/>
        <v>0</v>
      </c>
      <c r="AQ144">
        <f t="shared" ca="1" si="86"/>
        <v>1.0000000000000002</v>
      </c>
      <c r="AR144" t="str">
        <f t="shared" ca="1" si="87"/>
        <v>Supercritical</v>
      </c>
      <c r="AS144">
        <f t="shared" ca="1" si="88"/>
        <v>3.8130012824712503E-3</v>
      </c>
    </row>
    <row r="145" spans="1:45" x14ac:dyDescent="0.35">
      <c r="A145">
        <v>84</v>
      </c>
      <c r="B145">
        <v>82.998999999999995</v>
      </c>
      <c r="C145">
        <v>616498.80000000005</v>
      </c>
      <c r="D145">
        <v>3097704.5410000002</v>
      </c>
      <c r="E145">
        <v>632.54600000000005</v>
      </c>
      <c r="F145">
        <v>5.7469999999999999</v>
      </c>
      <c r="G145">
        <v>0</v>
      </c>
      <c r="H145" t="s">
        <v>154</v>
      </c>
      <c r="I145">
        <v>1.113</v>
      </c>
      <c r="J145">
        <f t="shared" si="89"/>
        <v>1</v>
      </c>
      <c r="K145">
        <f t="shared" ca="1" si="90"/>
        <v>50.95</v>
      </c>
      <c r="L145">
        <f t="shared" ca="1" si="91"/>
        <v>2.0009934099869517</v>
      </c>
      <c r="M145">
        <f t="shared" ca="1" si="64"/>
        <v>11.499709127195011</v>
      </c>
      <c r="N145">
        <f t="shared" ca="1" si="65"/>
        <v>1.1795799234884794</v>
      </c>
      <c r="O145">
        <f t="shared" ca="1" si="66"/>
        <v>4.4305468457033603</v>
      </c>
      <c r="P145">
        <f t="shared" ca="1" si="67"/>
        <v>634.54699340998695</v>
      </c>
      <c r="Q145">
        <f t="shared" ca="1" si="68"/>
        <v>635.54749011498041</v>
      </c>
      <c r="R145">
        <f t="shared" ca="1" si="69"/>
        <v>3.5437305087413409E-3</v>
      </c>
      <c r="S145">
        <f t="shared" ca="1" si="70"/>
        <v>1</v>
      </c>
      <c r="T145">
        <f t="shared" ca="1" si="71"/>
        <v>34.51626327042603</v>
      </c>
      <c r="U145">
        <f t="shared" ca="1" si="92"/>
        <v>0.18186337287465904</v>
      </c>
      <c r="V145">
        <f t="shared" ca="1" si="93"/>
        <v>1</v>
      </c>
      <c r="W145">
        <f t="shared" ca="1" si="72"/>
        <v>1.6752533672481935</v>
      </c>
      <c r="X145">
        <f t="shared" ca="1" si="73"/>
        <v>9.6276811015753676</v>
      </c>
      <c r="Y145">
        <f t="shared" ca="1" si="74"/>
        <v>1.058276886464798</v>
      </c>
      <c r="Z145">
        <f t="shared" ca="1" si="75"/>
        <v>5.2920323660972848</v>
      </c>
      <c r="AA145">
        <f t="shared" ca="1" si="76"/>
        <v>634.22125336724821</v>
      </c>
      <c r="AB145">
        <f t="shared" ca="1" si="77"/>
        <v>635.6486543134165</v>
      </c>
      <c r="AC145">
        <f t="shared" ca="1" si="78"/>
        <v>5.8428995520742669E-3</v>
      </c>
      <c r="AD145">
        <f t="shared" ca="1" si="79"/>
        <v>1.3054124135458254</v>
      </c>
      <c r="AE145">
        <f t="shared" ca="1" si="80"/>
        <v>35.549524819692834</v>
      </c>
      <c r="AF145">
        <f t="shared" ca="1" si="81"/>
        <v>6.808967115523501E-2</v>
      </c>
      <c r="AG145">
        <f t="shared" ca="1" si="82"/>
        <v>0</v>
      </c>
      <c r="AH145">
        <f ca="1">IFERROR(IF(V32="Supercritical",MAX($D$16,IFERROR(L145,MAX($D$16,POWER((ABS(K145)^2)/($I$5*MAX(F145,0.1)^2),1/3)))),IF(V32="Subcritical",MAX($D$16,IFERROR(W145,MAX($D$16,POWER((ABS(K145)^2)/($I$5*MAX(F145,0.1)^2),1/3)))),IF(AND(IFERROR(V145,0)=1,IFERROR(AG145,0)=1),IF(IFERROR(T145,-1E+99)&gt;=IFERROR(AE145,-1E+99),MAX($D$16,IFERROR(L145,MAX($D$16,POWER((ABS(K145)^2)/($I$5*MAX(F145,0.1)^2),1/3)))),MAX($D$16,IFERROR(W145,MAX($D$16,POWER((ABS(K145)^2)/($I$5*MAX(F145,0.1)^2),1/3))))),IF(IFERROR(V145,0)=1,MAX($D$16,IFERROR(L145,MAX($D$16,POWER((ABS(K145)^2)/($I$5*MAX(F145,0.1)^2),1/3)))),IF(IFERROR(AG145,0)=1,MAX($D$16,IFERROR(W145,MAX($D$16,POWER((ABS(K145)^2)/($I$5*MAX(F145,0.1)^2),1/3)))),MAX($D$16,POWER((ABS(K145)^2)/($I$5*MAX(F145,0.1)^2),1/3))))))),MAX($D$16,POWER((ABS(K145)^2)/($I$5*MAX(F145,0.1)^2),1/3)))</f>
        <v>2.0009934099869517</v>
      </c>
      <c r="AI145">
        <f t="shared" ca="1" si="83"/>
        <v>634.54699340998695</v>
      </c>
      <c r="AJ145">
        <f t="shared" ca="1" si="84"/>
        <v>635.54749011498041</v>
      </c>
      <c r="AM145">
        <v>0</v>
      </c>
      <c r="AN145">
        <v>0</v>
      </c>
      <c r="AO145">
        <f t="shared" si="85"/>
        <v>0</v>
      </c>
      <c r="AP145">
        <f t="shared" si="94"/>
        <v>0</v>
      </c>
      <c r="AQ145">
        <f t="shared" ca="1" si="86"/>
        <v>1</v>
      </c>
      <c r="AR145" t="str">
        <f t="shared" ca="1" si="87"/>
        <v>Supercritical</v>
      </c>
      <c r="AS145">
        <f t="shared" ca="1" si="88"/>
        <v>3.5437305087413409E-3</v>
      </c>
    </row>
    <row r="146" spans="1:45" x14ac:dyDescent="0.35">
      <c r="A146">
        <v>85</v>
      </c>
      <c r="B146">
        <v>83.998000000000005</v>
      </c>
      <c r="C146">
        <v>616498.21</v>
      </c>
      <c r="D146">
        <v>3097703.7340000002</v>
      </c>
      <c r="E146">
        <v>632.54399999999998</v>
      </c>
      <c r="F146">
        <v>5.6449999999999996</v>
      </c>
      <c r="G146">
        <v>0</v>
      </c>
      <c r="H146" t="s">
        <v>154</v>
      </c>
      <c r="I146">
        <v>2.7839999999999998</v>
      </c>
      <c r="J146">
        <f t="shared" si="89"/>
        <v>0.99900000000000944</v>
      </c>
      <c r="K146">
        <f t="shared" ca="1" si="90"/>
        <v>50.95</v>
      </c>
      <c r="L146">
        <f t="shared" ca="1" si="91"/>
        <v>2.0250254806552812</v>
      </c>
      <c r="M146">
        <f t="shared" ca="1" si="64"/>
        <v>11.431268838299061</v>
      </c>
      <c r="N146">
        <f t="shared" ca="1" si="65"/>
        <v>1.1790829036296062</v>
      </c>
      <c r="O146">
        <f t="shared" ca="1" si="66"/>
        <v>4.4570730266878416</v>
      </c>
      <c r="P146">
        <f t="shared" ca="1" si="67"/>
        <v>634.56902548065523</v>
      </c>
      <c r="Q146">
        <f t="shared" ca="1" si="68"/>
        <v>635.58153822098291</v>
      </c>
      <c r="R146">
        <f t="shared" ca="1" si="69"/>
        <v>3.5883067445555005E-3</v>
      </c>
      <c r="S146">
        <f t="shared" ca="1" si="70"/>
        <v>1.0000000000000002</v>
      </c>
      <c r="T146">
        <f t="shared" ca="1" si="71"/>
        <v>34.722916010664449</v>
      </c>
      <c r="U146">
        <f t="shared" ca="1" si="92"/>
        <v>-4.3510221258998172E-2</v>
      </c>
      <c r="V146">
        <f t="shared" ca="1" si="93"/>
        <v>1</v>
      </c>
      <c r="W146">
        <f t="shared" ca="1" si="72"/>
        <v>1.6752331894596058</v>
      </c>
      <c r="X146">
        <f t="shared" ca="1" si="73"/>
        <v>9.4566913544994744</v>
      </c>
      <c r="Y146">
        <f t="shared" ca="1" si="74"/>
        <v>1.0512730475721792</v>
      </c>
      <c r="Z146">
        <f t="shared" ca="1" si="75"/>
        <v>5.3877194559974821</v>
      </c>
      <c r="AA146">
        <f t="shared" ca="1" si="76"/>
        <v>634.2192331894596</v>
      </c>
      <c r="AB146">
        <f t="shared" ca="1" si="77"/>
        <v>635.69871947572528</v>
      </c>
      <c r="AC146">
        <f t="shared" ca="1" si="78"/>
        <v>6.1099608133049913E-3</v>
      </c>
      <c r="AD146">
        <f t="shared" ca="1" si="79"/>
        <v>1.3290240362254708</v>
      </c>
      <c r="AE146">
        <f t="shared" ca="1" si="80"/>
        <v>35.903171954626117</v>
      </c>
      <c r="AF146">
        <f t="shared" ca="1" si="81"/>
        <v>8.131175455923767E-2</v>
      </c>
      <c r="AG146">
        <f t="shared" ca="1" si="82"/>
        <v>0</v>
      </c>
      <c r="AH146">
        <f ca="1">IFERROR(IF(V32="Supercritical",MAX($D$16,IFERROR(L146,MAX($D$16,POWER((ABS(K146)^2)/($I$5*MAX(F146,0.1)^2),1/3)))),IF(V32="Subcritical",MAX($D$16,IFERROR(W146,MAX($D$16,POWER((ABS(K146)^2)/($I$5*MAX(F146,0.1)^2),1/3)))),IF(AND(IFERROR(V146,0)=1,IFERROR(AG146,0)=1),IF(IFERROR(T146,-1E+99)&gt;=IFERROR(AE146,-1E+99),MAX($D$16,IFERROR(L146,MAX($D$16,POWER((ABS(K146)^2)/($I$5*MAX(F146,0.1)^2),1/3)))),MAX($D$16,IFERROR(W146,MAX($D$16,POWER((ABS(K146)^2)/($I$5*MAX(F146,0.1)^2),1/3))))),IF(IFERROR(V146,0)=1,MAX($D$16,IFERROR(L146,MAX($D$16,POWER((ABS(K146)^2)/($I$5*MAX(F146,0.1)^2),1/3)))),IF(IFERROR(AG146,0)=1,MAX($D$16,IFERROR(W146,MAX($D$16,POWER((ABS(K146)^2)/($I$5*MAX(F146,0.1)^2),1/3)))),MAX($D$16,POWER((ABS(K146)^2)/($I$5*MAX(F146,0.1)^2),1/3))))))),MAX($D$16,POWER((ABS(K146)^2)/($I$5*MAX(F146,0.1)^2),1/3)))</f>
        <v>2.0250254806552812</v>
      </c>
      <c r="AI146">
        <f t="shared" ca="1" si="83"/>
        <v>634.56902548065523</v>
      </c>
      <c r="AJ146">
        <f t="shared" ca="1" si="84"/>
        <v>635.58153822098291</v>
      </c>
      <c r="AM146">
        <v>0</v>
      </c>
      <c r="AN146">
        <v>0</v>
      </c>
      <c r="AO146">
        <f t="shared" si="85"/>
        <v>0</v>
      </c>
      <c r="AP146">
        <f t="shared" si="94"/>
        <v>0</v>
      </c>
      <c r="AQ146">
        <f t="shared" ca="1" si="86"/>
        <v>1.0000000000000002</v>
      </c>
      <c r="AR146" t="str">
        <f t="shared" ca="1" si="87"/>
        <v>Supercritical</v>
      </c>
      <c r="AS146">
        <f t="shared" ca="1" si="88"/>
        <v>3.5883067445555005E-3</v>
      </c>
    </row>
    <row r="147" spans="1:45" x14ac:dyDescent="0.35">
      <c r="A147">
        <v>86</v>
      </c>
      <c r="B147">
        <v>84.998999999999995</v>
      </c>
      <c r="C147">
        <v>616497.58100000001</v>
      </c>
      <c r="D147">
        <v>3097702.9559999998</v>
      </c>
      <c r="E147">
        <v>632.54200000000003</v>
      </c>
      <c r="F147">
        <v>5.5279999999999996</v>
      </c>
      <c r="G147">
        <v>0</v>
      </c>
      <c r="H147" t="s">
        <v>154</v>
      </c>
      <c r="I147">
        <v>2.883</v>
      </c>
      <c r="J147">
        <f t="shared" si="89"/>
        <v>1.0009999999999906</v>
      </c>
      <c r="K147">
        <f t="shared" ca="1" si="90"/>
        <v>50.95</v>
      </c>
      <c r="L147">
        <f t="shared" ca="1" si="91"/>
        <v>2.0534987060120447</v>
      </c>
      <c r="M147">
        <f t="shared" ca="1" si="64"/>
        <v>11.351740846834582</v>
      </c>
      <c r="N147">
        <f t="shared" ca="1" si="65"/>
        <v>1.1781778822968927</v>
      </c>
      <c r="O147">
        <f t="shared" ca="1" si="66"/>
        <v>4.488298375328692</v>
      </c>
      <c r="P147">
        <f t="shared" ca="1" si="67"/>
        <v>634.59549870601211</v>
      </c>
      <c r="Q147">
        <f t="shared" ca="1" si="68"/>
        <v>635.62224805901815</v>
      </c>
      <c r="R147">
        <f t="shared" ca="1" si="69"/>
        <v>3.6424880721166435E-3</v>
      </c>
      <c r="S147">
        <f t="shared" ca="1" si="70"/>
        <v>1.0000000000000004</v>
      </c>
      <c r="T147">
        <f t="shared" ca="1" si="71"/>
        <v>34.966177709938343</v>
      </c>
      <c r="U147">
        <f t="shared" ca="1" si="92"/>
        <v>-5.068604275004418E-2</v>
      </c>
      <c r="V147">
        <f t="shared" ca="1" si="93"/>
        <v>1</v>
      </c>
      <c r="W147">
        <f t="shared" ca="1" si="72"/>
        <v>1.6752533672622281</v>
      </c>
      <c r="X147">
        <f t="shared" ca="1" si="73"/>
        <v>9.2608006142255963</v>
      </c>
      <c r="Y147">
        <f t="shared" ca="1" si="74"/>
        <v>1.0430583532943185</v>
      </c>
      <c r="Z147">
        <f t="shared" ca="1" si="75"/>
        <v>5.5016841547949173</v>
      </c>
      <c r="AA147">
        <f t="shared" ca="1" si="76"/>
        <v>634.21725336726229</v>
      </c>
      <c r="AB147">
        <f t="shared" ca="1" si="77"/>
        <v>635.75999182491375</v>
      </c>
      <c r="AC147">
        <f t="shared" ca="1" si="78"/>
        <v>6.4381687099884172E-3</v>
      </c>
      <c r="AD147">
        <f t="shared" ca="1" si="79"/>
        <v>1.3571282815762633</v>
      </c>
      <c r="AE147">
        <f t="shared" ca="1" si="80"/>
        <v>36.331080218678778</v>
      </c>
      <c r="AF147">
        <f t="shared" ca="1" si="81"/>
        <v>7.2001537733740406E-2</v>
      </c>
      <c r="AG147">
        <f t="shared" ca="1" si="82"/>
        <v>0</v>
      </c>
      <c r="AH147">
        <f ca="1">IFERROR(IF(V32="Supercritical",MAX($D$16,IFERROR(L147,MAX($D$16,POWER((ABS(K147)^2)/($I$5*MAX(F147,0.1)^2),1/3)))),IF(V32="Subcritical",MAX($D$16,IFERROR(W147,MAX($D$16,POWER((ABS(K147)^2)/($I$5*MAX(F147,0.1)^2),1/3)))),IF(AND(IFERROR(V147,0)=1,IFERROR(AG147,0)=1),IF(IFERROR(T147,-1E+99)&gt;=IFERROR(AE147,-1E+99),MAX($D$16,IFERROR(L147,MAX($D$16,POWER((ABS(K147)^2)/($I$5*MAX(F147,0.1)^2),1/3)))),MAX($D$16,IFERROR(W147,MAX($D$16,POWER((ABS(K147)^2)/($I$5*MAX(F147,0.1)^2),1/3))))),IF(IFERROR(V147,0)=1,MAX($D$16,IFERROR(L147,MAX($D$16,POWER((ABS(K147)^2)/($I$5*MAX(F147,0.1)^2),1/3)))),IF(IFERROR(AG147,0)=1,MAX($D$16,IFERROR(W147,MAX($D$16,POWER((ABS(K147)^2)/($I$5*MAX(F147,0.1)^2),1/3)))),MAX($D$16,POWER((ABS(K147)^2)/($I$5*MAX(F147,0.1)^2),1/3))))))),MAX($D$16,POWER((ABS(K147)^2)/($I$5*MAX(F147,0.1)^2),1/3)))</f>
        <v>2.0534987060120447</v>
      </c>
      <c r="AI147">
        <f t="shared" ca="1" si="83"/>
        <v>634.59549870601211</v>
      </c>
      <c r="AJ147">
        <f t="shared" ca="1" si="84"/>
        <v>635.62224805901815</v>
      </c>
      <c r="AM147">
        <v>0</v>
      </c>
      <c r="AN147">
        <v>0</v>
      </c>
      <c r="AO147">
        <f t="shared" si="85"/>
        <v>0</v>
      </c>
      <c r="AP147">
        <f t="shared" si="94"/>
        <v>0</v>
      </c>
      <c r="AQ147">
        <f t="shared" ca="1" si="86"/>
        <v>1.0000000000000004</v>
      </c>
      <c r="AR147" t="str">
        <f t="shared" ca="1" si="87"/>
        <v>Supercritical</v>
      </c>
      <c r="AS147">
        <f t="shared" ca="1" si="88"/>
        <v>3.6424880721166435E-3</v>
      </c>
    </row>
    <row r="148" spans="1:45" x14ac:dyDescent="0.35">
      <c r="A148">
        <v>87</v>
      </c>
      <c r="B148">
        <v>85.998999999999995</v>
      </c>
      <c r="C148">
        <v>616496.91399999999</v>
      </c>
      <c r="D148">
        <v>3097702.2110000001</v>
      </c>
      <c r="E148">
        <v>632.54</v>
      </c>
      <c r="F148">
        <v>5.4329999999999998</v>
      </c>
      <c r="G148">
        <v>0</v>
      </c>
      <c r="H148" t="s">
        <v>154</v>
      </c>
      <c r="I148">
        <v>2.8380000000000001</v>
      </c>
      <c r="J148">
        <f t="shared" si="89"/>
        <v>1</v>
      </c>
      <c r="K148">
        <f t="shared" ca="1" si="90"/>
        <v>50.95</v>
      </c>
      <c r="L148">
        <f t="shared" ca="1" si="91"/>
        <v>2.0773674371394959</v>
      </c>
      <c r="M148">
        <f t="shared" ca="1" si="64"/>
        <v>11.286337285978881</v>
      </c>
      <c r="N148">
        <f t="shared" ca="1" si="65"/>
        <v>1.1771640991301009</v>
      </c>
      <c r="O148">
        <f t="shared" ca="1" si="66"/>
        <v>4.5143077607024598</v>
      </c>
      <c r="P148">
        <f t="shared" ca="1" si="67"/>
        <v>634.61736743713948</v>
      </c>
      <c r="Q148">
        <f t="shared" ca="1" si="68"/>
        <v>635.65605115570918</v>
      </c>
      <c r="R148">
        <f t="shared" ca="1" si="69"/>
        <v>3.6890581450663138E-3</v>
      </c>
      <c r="S148">
        <f t="shared" ca="1" si="70"/>
        <v>1</v>
      </c>
      <c r="T148">
        <f t="shared" ca="1" si="71"/>
        <v>35.168804343698824</v>
      </c>
      <c r="U148">
        <f t="shared" ca="1" si="92"/>
        <v>-4.3575280344725797E-2</v>
      </c>
      <c r="V148">
        <f t="shared" ca="1" si="93"/>
        <v>1</v>
      </c>
      <c r="W148">
        <f t="shared" ca="1" si="72"/>
        <v>1.6752331894727195</v>
      </c>
      <c r="X148">
        <f t="shared" ca="1" si="73"/>
        <v>9.1015419184052853</v>
      </c>
      <c r="Y148">
        <f t="shared" ca="1" si="74"/>
        <v>1.0362129853678606</v>
      </c>
      <c r="Z148">
        <f t="shared" ca="1" si="75"/>
        <v>5.5979525729555881</v>
      </c>
      <c r="AA148">
        <f t="shared" ca="1" si="76"/>
        <v>634.21523318947266</v>
      </c>
      <c r="AB148">
        <f t="shared" ca="1" si="77"/>
        <v>635.81243364865009</v>
      </c>
      <c r="AC148">
        <f t="shared" ca="1" si="78"/>
        <v>6.7242250523891862E-3</v>
      </c>
      <c r="AD148">
        <f t="shared" ca="1" si="79"/>
        <v>1.3808836157564315</v>
      </c>
      <c r="AE148">
        <f t="shared" ca="1" si="80"/>
        <v>36.697576411142947</v>
      </c>
      <c r="AF148">
        <f t="shared" ca="1" si="81"/>
        <v>6.5081937262789324E-2</v>
      </c>
      <c r="AG148">
        <f t="shared" ca="1" si="82"/>
        <v>0</v>
      </c>
      <c r="AH148">
        <f ca="1">IFERROR(IF(V32="Supercritical",MAX($D$16,IFERROR(L148,MAX($D$16,POWER((ABS(K148)^2)/($I$5*MAX(F148,0.1)^2),1/3)))),IF(V32="Subcritical",MAX($D$16,IFERROR(W148,MAX($D$16,POWER((ABS(K148)^2)/($I$5*MAX(F148,0.1)^2),1/3)))),IF(AND(IFERROR(V148,0)=1,IFERROR(AG148,0)=1),IF(IFERROR(T148,-1E+99)&gt;=IFERROR(AE148,-1E+99),MAX($D$16,IFERROR(L148,MAX($D$16,POWER((ABS(K148)^2)/($I$5*MAX(F148,0.1)^2),1/3)))),MAX($D$16,IFERROR(W148,MAX($D$16,POWER((ABS(K148)^2)/($I$5*MAX(F148,0.1)^2),1/3))))),IF(IFERROR(V148,0)=1,MAX($D$16,IFERROR(L148,MAX($D$16,POWER((ABS(K148)^2)/($I$5*MAX(F148,0.1)^2),1/3)))),IF(IFERROR(AG148,0)=1,MAX($D$16,IFERROR(W148,MAX($D$16,POWER((ABS(K148)^2)/($I$5*MAX(F148,0.1)^2),1/3)))),MAX($D$16,POWER((ABS(K148)^2)/($I$5*MAX(F148,0.1)^2),1/3))))))),MAX($D$16,POWER((ABS(K148)^2)/($I$5*MAX(F148,0.1)^2),1/3)))</f>
        <v>2.0773674371394959</v>
      </c>
      <c r="AI148">
        <f t="shared" ca="1" si="83"/>
        <v>634.61736743713948</v>
      </c>
      <c r="AJ148">
        <f t="shared" ca="1" si="84"/>
        <v>635.65605115570918</v>
      </c>
      <c r="AM148">
        <v>0</v>
      </c>
      <c r="AN148">
        <v>0</v>
      </c>
      <c r="AO148">
        <f t="shared" si="85"/>
        <v>0</v>
      </c>
      <c r="AP148">
        <f t="shared" si="94"/>
        <v>0</v>
      </c>
      <c r="AQ148">
        <f t="shared" ca="1" si="86"/>
        <v>1</v>
      </c>
      <c r="AR148" t="str">
        <f t="shared" ca="1" si="87"/>
        <v>Supercritical</v>
      </c>
      <c r="AS148">
        <f t="shared" ca="1" si="88"/>
        <v>3.6890581450663138E-3</v>
      </c>
    </row>
    <row r="149" spans="1:45" x14ac:dyDescent="0.35">
      <c r="A149">
        <v>88</v>
      </c>
      <c r="B149">
        <v>86.998999999999995</v>
      </c>
      <c r="C149">
        <v>616496.21100000001</v>
      </c>
      <c r="D149">
        <v>3097701.5</v>
      </c>
      <c r="E149">
        <v>632.53800000000001</v>
      </c>
      <c r="F149">
        <v>5.3540000000000001</v>
      </c>
      <c r="G149">
        <v>0</v>
      </c>
      <c r="H149" t="s">
        <v>154</v>
      </c>
      <c r="I149">
        <v>2.919</v>
      </c>
      <c r="J149">
        <f t="shared" si="89"/>
        <v>1</v>
      </c>
      <c r="K149">
        <f t="shared" ca="1" si="90"/>
        <v>50.95</v>
      </c>
      <c r="L149">
        <f t="shared" ca="1" si="91"/>
        <v>2.0977523286854223</v>
      </c>
      <c r="M149">
        <f t="shared" ca="1" si="64"/>
        <v>11.231365967781752</v>
      </c>
      <c r="N149">
        <f t="shared" ca="1" si="65"/>
        <v>1.1761202670457627</v>
      </c>
      <c r="O149">
        <f t="shared" ca="1" si="66"/>
        <v>4.5364027978569084</v>
      </c>
      <c r="P149">
        <f t="shared" ca="1" si="67"/>
        <v>634.63575232868538</v>
      </c>
      <c r="Q149">
        <f t="shared" ca="1" si="68"/>
        <v>635.68462849302807</v>
      </c>
      <c r="R149">
        <f t="shared" ca="1" si="69"/>
        <v>3.7296672943897173E-3</v>
      </c>
      <c r="S149">
        <f t="shared" ca="1" si="70"/>
        <v>0.99999999999999978</v>
      </c>
      <c r="T149">
        <f t="shared" ca="1" si="71"/>
        <v>35.340936169848547</v>
      </c>
      <c r="U149">
        <f t="shared" ca="1" si="92"/>
        <v>-3.840872715545629E-2</v>
      </c>
      <c r="V149">
        <f t="shared" ca="1" si="93"/>
        <v>1</v>
      </c>
      <c r="W149">
        <f t="shared" ca="1" si="72"/>
        <v>1.675253367274472</v>
      </c>
      <c r="X149">
        <f t="shared" ca="1" si="73"/>
        <v>8.9693065283875235</v>
      </c>
      <c r="Y149">
        <f t="shared" ca="1" si="74"/>
        <v>1.0304209993643367</v>
      </c>
      <c r="Z149">
        <f t="shared" ca="1" si="75"/>
        <v>5.6804837518647773</v>
      </c>
      <c r="AA149">
        <f t="shared" ca="1" si="76"/>
        <v>634.21325336727443</v>
      </c>
      <c r="AB149">
        <f t="shared" ca="1" si="77"/>
        <v>635.85789636702975</v>
      </c>
      <c r="AC149">
        <f t="shared" ca="1" si="78"/>
        <v>6.9758996999422975E-3</v>
      </c>
      <c r="AD149">
        <f t="shared" ca="1" si="79"/>
        <v>1.4012336833155277</v>
      </c>
      <c r="AE149">
        <f t="shared" ca="1" si="80"/>
        <v>37.015544871043844</v>
      </c>
      <c r="AF149">
        <f t="shared" ca="1" si="81"/>
        <v>5.4273725596999611E-2</v>
      </c>
      <c r="AG149">
        <f t="shared" ca="1" si="82"/>
        <v>0</v>
      </c>
      <c r="AH149">
        <f ca="1">IFERROR(IF(V32="Supercritical",MAX($D$16,IFERROR(L149,MAX($D$16,POWER((ABS(K149)^2)/($I$5*MAX(F149,0.1)^2),1/3)))),IF(V32="Subcritical",MAX($D$16,IFERROR(W149,MAX($D$16,POWER((ABS(K149)^2)/($I$5*MAX(F149,0.1)^2),1/3)))),IF(AND(IFERROR(V149,0)=1,IFERROR(AG149,0)=1),IF(IFERROR(T149,-1E+99)&gt;=IFERROR(AE149,-1E+99),MAX($D$16,IFERROR(L149,MAX($D$16,POWER((ABS(K149)^2)/($I$5*MAX(F149,0.1)^2),1/3)))),MAX($D$16,IFERROR(W149,MAX($D$16,POWER((ABS(K149)^2)/($I$5*MAX(F149,0.1)^2),1/3))))),IF(IFERROR(V149,0)=1,MAX($D$16,IFERROR(L149,MAX($D$16,POWER((ABS(K149)^2)/($I$5*MAX(F149,0.1)^2),1/3)))),IF(IFERROR(AG149,0)=1,MAX($D$16,IFERROR(W149,MAX($D$16,POWER((ABS(K149)^2)/($I$5*MAX(F149,0.1)^2),1/3)))),MAX($D$16,POWER((ABS(K149)^2)/($I$5*MAX(F149,0.1)^2),1/3))))))),MAX($D$16,POWER((ABS(K149)^2)/($I$5*MAX(F149,0.1)^2),1/3)))</f>
        <v>2.0977523286854223</v>
      </c>
      <c r="AI149">
        <f t="shared" ca="1" si="83"/>
        <v>634.63575232868538</v>
      </c>
      <c r="AJ149">
        <f t="shared" ca="1" si="84"/>
        <v>635.68462849302807</v>
      </c>
      <c r="AM149">
        <v>0</v>
      </c>
      <c r="AN149">
        <v>0</v>
      </c>
      <c r="AO149">
        <f t="shared" si="85"/>
        <v>0</v>
      </c>
      <c r="AP149">
        <f t="shared" si="94"/>
        <v>0</v>
      </c>
      <c r="AQ149">
        <f t="shared" ca="1" si="86"/>
        <v>0.99999999999999978</v>
      </c>
      <c r="AR149" t="str">
        <f t="shared" ca="1" si="87"/>
        <v>Supercritical</v>
      </c>
      <c r="AS149">
        <f t="shared" ca="1" si="88"/>
        <v>3.7296672943897173E-3</v>
      </c>
    </row>
    <row r="150" spans="1:45" x14ac:dyDescent="0.35">
      <c r="A150">
        <v>89</v>
      </c>
      <c r="B150">
        <v>87.998000000000005</v>
      </c>
      <c r="C150">
        <v>616495.473</v>
      </c>
      <c r="D150">
        <v>3097700.8259999999</v>
      </c>
      <c r="E150">
        <v>632.53599999999994</v>
      </c>
      <c r="F150">
        <v>5.2939999999999996</v>
      </c>
      <c r="G150">
        <v>0</v>
      </c>
      <c r="H150" t="s">
        <v>154</v>
      </c>
      <c r="I150">
        <v>2.8410000000000002</v>
      </c>
      <c r="J150">
        <f t="shared" si="89"/>
        <v>0.99900000000000944</v>
      </c>
      <c r="K150">
        <f t="shared" ca="1" si="90"/>
        <v>50.95</v>
      </c>
      <c r="L150">
        <f t="shared" ca="1" si="91"/>
        <v>2.1135725753672734</v>
      </c>
      <c r="M150">
        <f t="shared" ca="1" si="64"/>
        <v>11.189253213994345</v>
      </c>
      <c r="N150">
        <f t="shared" ca="1" si="65"/>
        <v>1.1752003605502332</v>
      </c>
      <c r="O150">
        <f t="shared" ca="1" si="66"/>
        <v>4.5534763603595172</v>
      </c>
      <c r="P150">
        <f t="shared" ca="1" si="67"/>
        <v>634.64957257536719</v>
      </c>
      <c r="Q150">
        <f t="shared" ca="1" si="68"/>
        <v>635.70635886305081</v>
      </c>
      <c r="R150">
        <f t="shared" ca="1" si="69"/>
        <v>3.7617171398433465E-3</v>
      </c>
      <c r="S150">
        <f t="shared" ca="1" si="70"/>
        <v>1</v>
      </c>
      <c r="T150">
        <f t="shared" ca="1" si="71"/>
        <v>35.473948097907858</v>
      </c>
      <c r="U150">
        <f t="shared" ca="1" si="92"/>
        <v>-3.1267211953945662E-2</v>
      </c>
      <c r="V150">
        <f t="shared" ca="1" si="93"/>
        <v>1</v>
      </c>
      <c r="W150">
        <f t="shared" ca="1" si="72"/>
        <v>1.6752331894841279</v>
      </c>
      <c r="X150">
        <f t="shared" ca="1" si="73"/>
        <v>8.8686845051289733</v>
      </c>
      <c r="Y150">
        <f t="shared" ca="1" si="74"/>
        <v>1.0259377636896401</v>
      </c>
      <c r="Z150">
        <f t="shared" ca="1" si="75"/>
        <v>5.7449331939290875</v>
      </c>
      <c r="AA150">
        <f t="shared" ca="1" si="76"/>
        <v>634.21123318948412</v>
      </c>
      <c r="AB150">
        <f t="shared" ca="1" si="77"/>
        <v>635.89340736903091</v>
      </c>
      <c r="AC150">
        <f t="shared" ca="1" si="78"/>
        <v>7.1766945472100776E-3</v>
      </c>
      <c r="AD150">
        <f t="shared" ca="1" si="79"/>
        <v>1.417140287935031</v>
      </c>
      <c r="AE150">
        <f t="shared" ca="1" si="80"/>
        <v>37.26590147717738</v>
      </c>
      <c r="AF150">
        <f t="shared" ca="1" si="81"/>
        <v>4.4535190669421354E-2</v>
      </c>
      <c r="AG150">
        <f t="shared" ca="1" si="82"/>
        <v>0</v>
      </c>
      <c r="AH150">
        <f ca="1">IFERROR(IF(V32="Supercritical",MAX($D$16,IFERROR(L150,MAX($D$16,POWER((ABS(K150)^2)/($I$5*MAX(F150,0.1)^2),1/3)))),IF(V32="Subcritical",MAX($D$16,IFERROR(W150,MAX($D$16,POWER((ABS(K150)^2)/($I$5*MAX(F150,0.1)^2),1/3)))),IF(AND(IFERROR(V150,0)=1,IFERROR(AG150,0)=1),IF(IFERROR(T150,-1E+99)&gt;=IFERROR(AE150,-1E+99),MAX($D$16,IFERROR(L150,MAX($D$16,POWER((ABS(K150)^2)/($I$5*MAX(F150,0.1)^2),1/3)))),MAX($D$16,IFERROR(W150,MAX($D$16,POWER((ABS(K150)^2)/($I$5*MAX(F150,0.1)^2),1/3))))),IF(IFERROR(V150,0)=1,MAX($D$16,IFERROR(L150,MAX($D$16,POWER((ABS(K150)^2)/($I$5*MAX(F150,0.1)^2),1/3)))),IF(IFERROR(AG150,0)=1,MAX($D$16,IFERROR(W150,MAX($D$16,POWER((ABS(K150)^2)/($I$5*MAX(F150,0.1)^2),1/3)))),MAX($D$16,POWER((ABS(K150)^2)/($I$5*MAX(F150,0.1)^2),1/3))))))),MAX($D$16,POWER((ABS(K150)^2)/($I$5*MAX(F150,0.1)^2),1/3)))</f>
        <v>2.1135725753672734</v>
      </c>
      <c r="AI150">
        <f t="shared" ca="1" si="83"/>
        <v>634.64957257536719</v>
      </c>
      <c r="AJ150">
        <f t="shared" ca="1" si="84"/>
        <v>635.70635886305081</v>
      </c>
      <c r="AM150">
        <v>0</v>
      </c>
      <c r="AN150">
        <v>0</v>
      </c>
      <c r="AO150">
        <f t="shared" si="85"/>
        <v>0</v>
      </c>
      <c r="AP150">
        <f t="shared" si="94"/>
        <v>0</v>
      </c>
      <c r="AQ150">
        <f t="shared" ca="1" si="86"/>
        <v>1</v>
      </c>
      <c r="AR150" t="str">
        <f t="shared" ca="1" si="87"/>
        <v>Supercritical</v>
      </c>
      <c r="AS150">
        <f t="shared" ca="1" si="88"/>
        <v>3.7617171398433465E-3</v>
      </c>
    </row>
    <row r="151" spans="1:45" x14ac:dyDescent="0.35">
      <c r="A151">
        <v>90</v>
      </c>
      <c r="B151">
        <v>88.998000000000005</v>
      </c>
      <c r="C151">
        <v>616494.70200000005</v>
      </c>
      <c r="D151">
        <v>3097700.1889999998</v>
      </c>
      <c r="E151">
        <v>632.53399999999999</v>
      </c>
      <c r="F151">
        <v>5.25</v>
      </c>
      <c r="G151">
        <v>0</v>
      </c>
      <c r="H151" t="s">
        <v>154</v>
      </c>
      <c r="I151">
        <v>2.8540000000000001</v>
      </c>
      <c r="J151">
        <f t="shared" si="89"/>
        <v>1</v>
      </c>
      <c r="K151">
        <f t="shared" ca="1" si="90"/>
        <v>50.95</v>
      </c>
      <c r="L151">
        <f t="shared" ca="1" si="91"/>
        <v>2.1253653085718116</v>
      </c>
      <c r="M151">
        <f t="shared" ca="1" si="64"/>
        <v>11.158167870002011</v>
      </c>
      <c r="N151">
        <f t="shared" ca="1" si="65"/>
        <v>1.1744536625286079</v>
      </c>
      <c r="O151">
        <f t="shared" ca="1" si="66"/>
        <v>4.5661618102175785</v>
      </c>
      <c r="P151">
        <f t="shared" ca="1" si="67"/>
        <v>634.65936530857175</v>
      </c>
      <c r="Q151">
        <f t="shared" ca="1" si="68"/>
        <v>635.72204796285769</v>
      </c>
      <c r="R151">
        <f t="shared" ca="1" si="69"/>
        <v>3.7859127197907801E-3</v>
      </c>
      <c r="S151">
        <f t="shared" ca="1" si="70"/>
        <v>1</v>
      </c>
      <c r="T151">
        <f t="shared" ca="1" si="71"/>
        <v>35.57277434718435</v>
      </c>
      <c r="U151">
        <f t="shared" ca="1" si="92"/>
        <v>-2.5107378555730975E-2</v>
      </c>
      <c r="V151">
        <f t="shared" ca="1" si="93"/>
        <v>1</v>
      </c>
      <c r="W151">
        <f t="shared" ca="1" si="72"/>
        <v>1.6752533672851302</v>
      </c>
      <c r="X151">
        <f t="shared" ca="1" si="73"/>
        <v>8.7950801782469341</v>
      </c>
      <c r="Y151">
        <f t="shared" ca="1" si="74"/>
        <v>1.0226234859970023</v>
      </c>
      <c r="Z151">
        <f t="shared" ca="1" si="75"/>
        <v>5.7930114299601003</v>
      </c>
      <c r="AA151">
        <f t="shared" ca="1" si="76"/>
        <v>634.2092533672851</v>
      </c>
      <c r="AB151">
        <f t="shared" ca="1" si="77"/>
        <v>635.91970094259852</v>
      </c>
      <c r="AC151">
        <f t="shared" ca="1" si="78"/>
        <v>7.328868656992696E-3</v>
      </c>
      <c r="AD151">
        <f t="shared" ca="1" si="79"/>
        <v>1.4289914553142362</v>
      </c>
      <c r="AE151">
        <f t="shared" ca="1" si="80"/>
        <v>37.454040973213779</v>
      </c>
      <c r="AF151">
        <f t="shared" ca="1" si="81"/>
        <v>3.6751019513530991E-2</v>
      </c>
      <c r="AG151">
        <f t="shared" ca="1" si="82"/>
        <v>0</v>
      </c>
      <c r="AH151">
        <f ca="1">IFERROR(IF(V32="Supercritical",MAX($D$16,IFERROR(L151,MAX($D$16,POWER((ABS(K151)^2)/($I$5*MAX(F151,0.1)^2),1/3)))),IF(V32="Subcritical",MAX($D$16,IFERROR(W151,MAX($D$16,POWER((ABS(K151)^2)/($I$5*MAX(F151,0.1)^2),1/3)))),IF(AND(IFERROR(V151,0)=1,IFERROR(AG151,0)=1),IF(IFERROR(T151,-1E+99)&gt;=IFERROR(AE151,-1E+99),MAX($D$16,IFERROR(L151,MAX($D$16,POWER((ABS(K151)^2)/($I$5*MAX(F151,0.1)^2),1/3)))),MAX($D$16,IFERROR(W151,MAX($D$16,POWER((ABS(K151)^2)/($I$5*MAX(F151,0.1)^2),1/3))))),IF(IFERROR(V151,0)=1,MAX($D$16,IFERROR(L151,MAX($D$16,POWER((ABS(K151)^2)/($I$5*MAX(F151,0.1)^2),1/3)))),IF(IFERROR(AG151,0)=1,MAX($D$16,IFERROR(W151,MAX($D$16,POWER((ABS(K151)^2)/($I$5*MAX(F151,0.1)^2),1/3)))),MAX($D$16,POWER((ABS(K151)^2)/($I$5*MAX(F151,0.1)^2),1/3))))))),MAX($D$16,POWER((ABS(K151)^2)/($I$5*MAX(F151,0.1)^2),1/3)))</f>
        <v>2.1253653085718116</v>
      </c>
      <c r="AI151">
        <f t="shared" ca="1" si="83"/>
        <v>634.65936530857175</v>
      </c>
      <c r="AJ151">
        <f t="shared" ca="1" si="84"/>
        <v>635.72204796285769</v>
      </c>
      <c r="AM151">
        <v>0</v>
      </c>
      <c r="AN151">
        <v>0</v>
      </c>
      <c r="AO151">
        <f t="shared" si="85"/>
        <v>0</v>
      </c>
      <c r="AP151">
        <f t="shared" si="94"/>
        <v>0</v>
      </c>
      <c r="AQ151">
        <f t="shared" ca="1" si="86"/>
        <v>1</v>
      </c>
      <c r="AR151" t="str">
        <f t="shared" ca="1" si="87"/>
        <v>Supercritical</v>
      </c>
      <c r="AS151">
        <f t="shared" ca="1" si="88"/>
        <v>3.7859127197907801E-3</v>
      </c>
    </row>
    <row r="152" spans="1:45" x14ac:dyDescent="0.35">
      <c r="A152">
        <v>91</v>
      </c>
      <c r="B152">
        <v>89.998999999999995</v>
      </c>
      <c r="C152">
        <v>616493.9</v>
      </c>
      <c r="D152">
        <v>3097699.591</v>
      </c>
      <c r="E152">
        <v>632.53200000000004</v>
      </c>
      <c r="F152">
        <v>5.218</v>
      </c>
      <c r="G152">
        <v>0</v>
      </c>
      <c r="H152" t="s">
        <v>154</v>
      </c>
      <c r="I152">
        <v>2.8450000000000002</v>
      </c>
      <c r="J152">
        <f t="shared" si="89"/>
        <v>1.0009999999999906</v>
      </c>
      <c r="K152">
        <f t="shared" ca="1" si="90"/>
        <v>50.95</v>
      </c>
      <c r="L152">
        <f t="shared" ca="1" si="91"/>
        <v>2.1340458200984593</v>
      </c>
      <c r="M152">
        <f t="shared" ca="1" si="64"/>
        <v>11.135451089273761</v>
      </c>
      <c r="N152">
        <f t="shared" ca="1" si="65"/>
        <v>1.1738713383378832</v>
      </c>
      <c r="O152">
        <f t="shared" ca="1" si="66"/>
        <v>4.5754769691438595</v>
      </c>
      <c r="P152">
        <f t="shared" ca="1" si="67"/>
        <v>634.66604582009847</v>
      </c>
      <c r="Q152">
        <f t="shared" ca="1" si="68"/>
        <v>635.73306873014769</v>
      </c>
      <c r="R152">
        <f t="shared" ca="1" si="69"/>
        <v>3.8038898597013513E-3</v>
      </c>
      <c r="S152">
        <f t="shared" ca="1" si="70"/>
        <v>0.99999999999999978</v>
      </c>
      <c r="T152">
        <f t="shared" ca="1" si="71"/>
        <v>35.645344277963254</v>
      </c>
      <c r="U152">
        <f t="shared" ca="1" si="92"/>
        <v>-2.0312956022507933E-2</v>
      </c>
      <c r="V152">
        <f t="shared" ca="1" si="93"/>
        <v>1</v>
      </c>
      <c r="W152">
        <f t="shared" ca="1" si="72"/>
        <v>1.6752331894941039</v>
      </c>
      <c r="X152">
        <f t="shared" ca="1" si="73"/>
        <v>8.7413667827802346</v>
      </c>
      <c r="Y152">
        <f t="shared" ca="1" si="74"/>
        <v>1.0201786873104872</v>
      </c>
      <c r="Z152">
        <f t="shared" ca="1" si="75"/>
        <v>5.8286079586967183</v>
      </c>
      <c r="AA152">
        <f t="shared" ca="1" si="76"/>
        <v>634.2072331894941</v>
      </c>
      <c r="AB152">
        <f t="shared" ca="1" si="77"/>
        <v>635.93876584679185</v>
      </c>
      <c r="AC152">
        <f t="shared" ca="1" si="78"/>
        <v>7.4429290579319874E-3</v>
      </c>
      <c r="AD152">
        <f t="shared" ca="1" si="79"/>
        <v>1.4377808900461937</v>
      </c>
      <c r="AE152">
        <f t="shared" ca="1" si="80"/>
        <v>37.59383798563163</v>
      </c>
      <c r="AF152">
        <f t="shared" ca="1" si="81"/>
        <v>2.4909969294867551E-2</v>
      </c>
      <c r="AG152">
        <f t="shared" ca="1" si="82"/>
        <v>0</v>
      </c>
      <c r="AH152">
        <f ca="1">IFERROR(IF(V32="Supercritical",MAX($D$16,IFERROR(L152,MAX($D$16,POWER((ABS(K152)^2)/($I$5*MAX(F152,0.1)^2),1/3)))),IF(V32="Subcritical",MAX($D$16,IFERROR(W152,MAX($D$16,POWER((ABS(K152)^2)/($I$5*MAX(F152,0.1)^2),1/3)))),IF(AND(IFERROR(V152,0)=1,IFERROR(AG152,0)=1),IF(IFERROR(T152,-1E+99)&gt;=IFERROR(AE152,-1E+99),MAX($D$16,IFERROR(L152,MAX($D$16,POWER((ABS(K152)^2)/($I$5*MAX(F152,0.1)^2),1/3)))),MAX($D$16,IFERROR(W152,MAX($D$16,POWER((ABS(K152)^2)/($I$5*MAX(F152,0.1)^2),1/3))))),IF(IFERROR(V152,0)=1,MAX($D$16,IFERROR(L152,MAX($D$16,POWER((ABS(K152)^2)/($I$5*MAX(F152,0.1)^2),1/3)))),IF(IFERROR(AG152,0)=1,MAX($D$16,IFERROR(W152,MAX($D$16,POWER((ABS(K152)^2)/($I$5*MAX(F152,0.1)^2),1/3)))),MAX($D$16,POWER((ABS(K152)^2)/($I$5*MAX(F152,0.1)^2),1/3))))))),MAX($D$16,POWER((ABS(K152)^2)/($I$5*MAX(F152,0.1)^2),1/3)))</f>
        <v>2.1340458200984593</v>
      </c>
      <c r="AI152">
        <f t="shared" ca="1" si="83"/>
        <v>634.66604582009847</v>
      </c>
      <c r="AJ152">
        <f t="shared" ca="1" si="84"/>
        <v>635.73306873014769</v>
      </c>
      <c r="AM152">
        <v>0</v>
      </c>
      <c r="AN152">
        <v>0</v>
      </c>
      <c r="AO152">
        <f t="shared" si="85"/>
        <v>0</v>
      </c>
      <c r="AP152">
        <f t="shared" si="94"/>
        <v>0</v>
      </c>
      <c r="AQ152">
        <f t="shared" ca="1" si="86"/>
        <v>0.99999999999999978</v>
      </c>
      <c r="AR152" t="str">
        <f t="shared" ca="1" si="87"/>
        <v>Supercritical</v>
      </c>
      <c r="AS152">
        <f t="shared" ca="1" si="88"/>
        <v>3.8038898597013513E-3</v>
      </c>
    </row>
    <row r="153" spans="1:45" x14ac:dyDescent="0.35">
      <c r="A153">
        <v>92</v>
      </c>
      <c r="B153">
        <v>90.998000000000005</v>
      </c>
      <c r="C153">
        <v>616493.06999999995</v>
      </c>
      <c r="D153">
        <v>3097699.034</v>
      </c>
      <c r="E153">
        <v>632.53</v>
      </c>
      <c r="F153">
        <v>5.2030000000000003</v>
      </c>
      <c r="G153">
        <v>0</v>
      </c>
      <c r="H153" t="s">
        <v>154</v>
      </c>
      <c r="I153">
        <v>2.911</v>
      </c>
      <c r="J153">
        <f t="shared" si="89"/>
        <v>0.99900000000000944</v>
      </c>
      <c r="K153">
        <f t="shared" ca="1" si="90"/>
        <v>50.95</v>
      </c>
      <c r="L153">
        <f t="shared" ca="1" si="91"/>
        <v>2.1381454198288941</v>
      </c>
      <c r="M153">
        <f t="shared" ca="1" si="64"/>
        <v>11.124770619369736</v>
      </c>
      <c r="N153">
        <f t="shared" ca="1" si="65"/>
        <v>1.173586801749755</v>
      </c>
      <c r="O153">
        <f t="shared" ca="1" si="66"/>
        <v>4.5798697108674888</v>
      </c>
      <c r="P153">
        <f t="shared" ca="1" si="67"/>
        <v>634.66814541982887</v>
      </c>
      <c r="Q153">
        <f t="shared" ca="1" si="68"/>
        <v>635.73721812974327</v>
      </c>
      <c r="R153">
        <f t="shared" ca="1" si="69"/>
        <v>3.8124293911455283E-3</v>
      </c>
      <c r="S153">
        <f t="shared" ca="1" si="70"/>
        <v>1.0000000000000002</v>
      </c>
      <c r="T153">
        <f t="shared" ca="1" si="71"/>
        <v>35.679566019678674</v>
      </c>
      <c r="U153">
        <f t="shared" ca="1" si="92"/>
        <v>-1.3345515478818015E-2</v>
      </c>
      <c r="V153">
        <f t="shared" ca="1" si="93"/>
        <v>1</v>
      </c>
      <c r="W153">
        <f t="shared" ca="1" si="72"/>
        <v>1.6752533672944412</v>
      </c>
      <c r="X153">
        <f t="shared" ca="1" si="73"/>
        <v>8.7163432700329775</v>
      </c>
      <c r="Y153">
        <f t="shared" ca="1" si="74"/>
        <v>1.0190374007406358</v>
      </c>
      <c r="Z153">
        <f t="shared" ca="1" si="75"/>
        <v>5.8453411507056492</v>
      </c>
      <c r="AA153">
        <f t="shared" ca="1" si="76"/>
        <v>634.2052533672944</v>
      </c>
      <c r="AB153">
        <f t="shared" ca="1" si="77"/>
        <v>635.94674231572117</v>
      </c>
      <c r="AC153">
        <f t="shared" ca="1" si="78"/>
        <v>7.4969062309304226E-3</v>
      </c>
      <c r="AD153">
        <f t="shared" ca="1" si="79"/>
        <v>1.4418998924345947</v>
      </c>
      <c r="AE153">
        <f t="shared" ca="1" si="80"/>
        <v>37.65987265772111</v>
      </c>
      <c r="AF153">
        <f t="shared" ca="1" si="81"/>
        <v>1.5997878181792657E-2</v>
      </c>
      <c r="AG153">
        <f t="shared" ca="1" si="82"/>
        <v>0</v>
      </c>
      <c r="AH153">
        <f ca="1">IFERROR(IF(V32="Supercritical",MAX($D$16,IFERROR(L153,MAX($D$16,POWER((ABS(K153)^2)/($I$5*MAX(F153,0.1)^2),1/3)))),IF(V32="Subcritical",MAX($D$16,IFERROR(W153,MAX($D$16,POWER((ABS(K153)^2)/($I$5*MAX(F153,0.1)^2),1/3)))),IF(AND(IFERROR(V153,0)=1,IFERROR(AG153,0)=1),IF(IFERROR(T153,-1E+99)&gt;=IFERROR(AE153,-1E+99),MAX($D$16,IFERROR(L153,MAX($D$16,POWER((ABS(K153)^2)/($I$5*MAX(F153,0.1)^2),1/3)))),MAX($D$16,IFERROR(W153,MAX($D$16,POWER((ABS(K153)^2)/($I$5*MAX(F153,0.1)^2),1/3))))),IF(IFERROR(V153,0)=1,MAX($D$16,IFERROR(L153,MAX($D$16,POWER((ABS(K153)^2)/($I$5*MAX(F153,0.1)^2),1/3)))),IF(IFERROR(AG153,0)=1,MAX($D$16,IFERROR(W153,MAX($D$16,POWER((ABS(K153)^2)/($I$5*MAX(F153,0.1)^2),1/3)))),MAX($D$16,POWER((ABS(K153)^2)/($I$5*MAX(F153,0.1)^2),1/3))))))),MAX($D$16,POWER((ABS(K153)^2)/($I$5*MAX(F153,0.1)^2),1/3)))</f>
        <v>2.1381454198288941</v>
      </c>
      <c r="AI153">
        <f t="shared" ca="1" si="83"/>
        <v>634.66814541982887</v>
      </c>
      <c r="AJ153">
        <f t="shared" ca="1" si="84"/>
        <v>635.73721812974327</v>
      </c>
      <c r="AM153">
        <v>0</v>
      </c>
      <c r="AN153">
        <v>0</v>
      </c>
      <c r="AO153">
        <f t="shared" si="85"/>
        <v>0</v>
      </c>
      <c r="AP153">
        <f t="shared" si="94"/>
        <v>0</v>
      </c>
      <c r="AQ153">
        <f t="shared" ca="1" si="86"/>
        <v>1.0000000000000002</v>
      </c>
      <c r="AR153" t="str">
        <f t="shared" ca="1" si="87"/>
        <v>Supercritical</v>
      </c>
      <c r="AS153">
        <f t="shared" ca="1" si="88"/>
        <v>3.8124293911455283E-3</v>
      </c>
    </row>
    <row r="154" spans="1:45" x14ac:dyDescent="0.35">
      <c r="A154">
        <v>93</v>
      </c>
      <c r="B154">
        <v>91.998000000000005</v>
      </c>
      <c r="C154">
        <v>616492.21299999999</v>
      </c>
      <c r="D154">
        <v>3097698.52</v>
      </c>
      <c r="E154">
        <v>632.52800000000002</v>
      </c>
      <c r="F154">
        <v>5.2</v>
      </c>
      <c r="G154">
        <v>0</v>
      </c>
      <c r="H154" t="s">
        <v>154</v>
      </c>
      <c r="I154">
        <v>2.851</v>
      </c>
      <c r="J154">
        <f t="shared" si="89"/>
        <v>1</v>
      </c>
      <c r="K154">
        <f t="shared" ca="1" si="90"/>
        <v>50.95</v>
      </c>
      <c r="L154">
        <f t="shared" ca="1" si="91"/>
        <v>2.1389677043987478</v>
      </c>
      <c r="M154">
        <f t="shared" ca="1" si="64"/>
        <v>11.122632062873489</v>
      </c>
      <c r="N154">
        <f t="shared" ca="1" si="65"/>
        <v>1.1735290000551568</v>
      </c>
      <c r="O154">
        <f t="shared" ca="1" si="66"/>
        <v>4.5807502857230418</v>
      </c>
      <c r="P154">
        <f t="shared" ca="1" si="67"/>
        <v>634.66696770439876</v>
      </c>
      <c r="Q154">
        <f t="shared" ca="1" si="68"/>
        <v>635.73645155659813</v>
      </c>
      <c r="R154">
        <f t="shared" ca="1" si="69"/>
        <v>3.8141460404132466E-3</v>
      </c>
      <c r="S154">
        <f t="shared" ca="1" si="70"/>
        <v>1.0000000000000004</v>
      </c>
      <c r="T154">
        <f t="shared" ca="1" si="71"/>
        <v>35.686426155594638</v>
      </c>
      <c r="U154">
        <f t="shared" ca="1" si="92"/>
        <v>-8.1696595700577745E-3</v>
      </c>
      <c r="V154">
        <f t="shared" ca="1" si="93"/>
        <v>1</v>
      </c>
      <c r="W154">
        <f t="shared" ca="1" si="72"/>
        <v>1.675233189502801</v>
      </c>
      <c r="X154">
        <f t="shared" ca="1" si="73"/>
        <v>8.7112125854145646</v>
      </c>
      <c r="Y154">
        <f t="shared" ca="1" si="74"/>
        <v>1.0187997004237863</v>
      </c>
      <c r="Z154">
        <f t="shared" ca="1" si="75"/>
        <v>5.8487839092926128</v>
      </c>
      <c r="AA154">
        <f t="shared" ca="1" si="76"/>
        <v>634.20323318950284</v>
      </c>
      <c r="AB154">
        <f t="shared" ca="1" si="77"/>
        <v>635.94677412821841</v>
      </c>
      <c r="AC154">
        <f t="shared" ca="1" si="78"/>
        <v>7.5080748262959067E-3</v>
      </c>
      <c r="AD154">
        <f t="shared" ca="1" si="79"/>
        <v>1.4427578238851186</v>
      </c>
      <c r="AE154">
        <f t="shared" ca="1" si="80"/>
        <v>37.6733677590003</v>
      </c>
      <c r="AF154">
        <f t="shared" ca="1" si="81"/>
        <v>-1.3451866504965437E-4</v>
      </c>
      <c r="AG154">
        <f t="shared" ca="1" si="82"/>
        <v>0</v>
      </c>
      <c r="AH154">
        <f ca="1">IFERROR(IF(V32="Supercritical",MAX($D$16,IFERROR(L154,MAX($D$16,POWER((ABS(K154)^2)/($I$5*MAX(F154,0.1)^2),1/3)))),IF(V32="Subcritical",MAX($D$16,IFERROR(W154,MAX($D$16,POWER((ABS(K154)^2)/($I$5*MAX(F154,0.1)^2),1/3)))),IF(AND(IFERROR(V154,0)=1,IFERROR(AG154,0)=1),IF(IFERROR(T154,-1E+99)&gt;=IFERROR(AE154,-1E+99),MAX($D$16,IFERROR(L154,MAX($D$16,POWER((ABS(K154)^2)/($I$5*MAX(F154,0.1)^2),1/3)))),MAX($D$16,IFERROR(W154,MAX($D$16,POWER((ABS(K154)^2)/($I$5*MAX(F154,0.1)^2),1/3))))),IF(IFERROR(V154,0)=1,MAX($D$16,IFERROR(L154,MAX($D$16,POWER((ABS(K154)^2)/($I$5*MAX(F154,0.1)^2),1/3)))),IF(IFERROR(AG154,0)=1,MAX($D$16,IFERROR(W154,MAX($D$16,POWER((ABS(K154)^2)/($I$5*MAX(F154,0.1)^2),1/3)))),MAX($D$16,POWER((ABS(K154)^2)/($I$5*MAX(F154,0.1)^2),1/3))))))),MAX($D$16,POWER((ABS(K154)^2)/($I$5*MAX(F154,0.1)^2),1/3)))</f>
        <v>2.1389677043987478</v>
      </c>
      <c r="AI154">
        <f t="shared" ca="1" si="83"/>
        <v>634.66696770439876</v>
      </c>
      <c r="AJ154">
        <f t="shared" ca="1" si="84"/>
        <v>635.73645155659813</v>
      </c>
      <c r="AM154">
        <v>0</v>
      </c>
      <c r="AN154">
        <v>0</v>
      </c>
      <c r="AO154">
        <f t="shared" si="85"/>
        <v>0</v>
      </c>
      <c r="AP154">
        <f t="shared" si="94"/>
        <v>0</v>
      </c>
      <c r="AQ154">
        <f t="shared" ca="1" si="86"/>
        <v>1.0000000000000004</v>
      </c>
      <c r="AR154" t="str">
        <f t="shared" ca="1" si="87"/>
        <v>Supercritical</v>
      </c>
      <c r="AS154">
        <f t="shared" ca="1" si="88"/>
        <v>3.8141460404132466E-3</v>
      </c>
    </row>
    <row r="155" spans="1:45" x14ac:dyDescent="0.35">
      <c r="A155">
        <v>94</v>
      </c>
      <c r="B155">
        <v>92.997</v>
      </c>
      <c r="C155">
        <v>616491.33100000001</v>
      </c>
      <c r="D155">
        <v>3097698.0490000001</v>
      </c>
      <c r="E155">
        <v>632.52599999999995</v>
      </c>
      <c r="F155">
        <v>5.2119999999999997</v>
      </c>
      <c r="G155">
        <v>0</v>
      </c>
      <c r="H155" t="s">
        <v>154</v>
      </c>
      <c r="I155">
        <v>2.8439999999999999</v>
      </c>
      <c r="J155">
        <f t="shared" si="89"/>
        <v>0.99899999999999523</v>
      </c>
      <c r="K155">
        <f t="shared" ca="1" si="90"/>
        <v>50.95</v>
      </c>
      <c r="L155">
        <f t="shared" ca="1" si="91"/>
        <v>2.1356833002065962</v>
      </c>
      <c r="M155">
        <f t="shared" ca="1" si="64"/>
        <v>11.131181360676779</v>
      </c>
      <c r="N155">
        <f t="shared" ca="1" si="65"/>
        <v>1.1737584161506307</v>
      </c>
      <c r="O155">
        <f t="shared" ca="1" si="66"/>
        <v>4.5772320429520184</v>
      </c>
      <c r="P155">
        <f t="shared" ca="1" si="67"/>
        <v>634.66168330020651</v>
      </c>
      <c r="Q155">
        <f t="shared" ca="1" si="68"/>
        <v>635.72952495030984</v>
      </c>
      <c r="R155">
        <f t="shared" ca="1" si="69"/>
        <v>3.807296955216304E-3</v>
      </c>
      <c r="S155">
        <f t="shared" ca="1" si="70"/>
        <v>1</v>
      </c>
      <c r="T155">
        <f t="shared" ca="1" si="71"/>
        <v>35.659017215352499</v>
      </c>
      <c r="U155">
        <f t="shared" ca="1" si="92"/>
        <v>-2.4423185762998401E-3</v>
      </c>
      <c r="V155">
        <f t="shared" ca="1" si="93"/>
        <v>1</v>
      </c>
      <c r="W155">
        <f t="shared" ca="1" si="72"/>
        <v>2.1381886436890443</v>
      </c>
      <c r="X155">
        <f t="shared" ca="1" si="73"/>
        <v>11.144239210907298</v>
      </c>
      <c r="Y155">
        <f t="shared" ca="1" si="74"/>
        <v>1.1745147640505313</v>
      </c>
      <c r="Z155">
        <f t="shared" ca="1" si="75"/>
        <v>4.571868840551562</v>
      </c>
      <c r="AA155">
        <f t="shared" ca="1" si="76"/>
        <v>634.66418864368904</v>
      </c>
      <c r="AB155">
        <f t="shared" ca="1" si="77"/>
        <v>635.72952935190551</v>
      </c>
      <c r="AC155">
        <f t="shared" ca="1" si="78"/>
        <v>3.7951190419654758E-3</v>
      </c>
      <c r="AD155">
        <f t="shared" ca="1" si="79"/>
        <v>0.9982429454057552</v>
      </c>
      <c r="AE155">
        <f t="shared" ca="1" si="80"/>
        <v>35.659066248620562</v>
      </c>
      <c r="AF155">
        <f t="shared" ca="1" si="81"/>
        <v>-2.6533606342127314E-4</v>
      </c>
      <c r="AG155">
        <f t="shared" ca="1" si="82"/>
        <v>1</v>
      </c>
      <c r="AH155">
        <f ca="1">IFERROR(IF(V32="Supercritical",MAX($D$16,IFERROR(L155,MAX($D$16,POWER((ABS(K155)^2)/($I$5*MAX(F155,0.1)^2),1/3)))),IF(V32="Subcritical",MAX($D$16,IFERROR(W155,MAX($D$16,POWER((ABS(K155)^2)/($I$5*MAX(F155,0.1)^2),1/3)))),IF(AND(IFERROR(V155,0)=1,IFERROR(AG155,0)=1),IF(IFERROR(T155,-1E+99)&gt;=IFERROR(AE155,-1E+99),MAX($D$16,IFERROR(L155,MAX($D$16,POWER((ABS(K155)^2)/($I$5*MAX(F155,0.1)^2),1/3)))),MAX($D$16,IFERROR(W155,MAX($D$16,POWER((ABS(K155)^2)/($I$5*MAX(F155,0.1)^2),1/3))))),IF(IFERROR(V155,0)=1,MAX($D$16,IFERROR(L155,MAX($D$16,POWER((ABS(K155)^2)/($I$5*MAX(F155,0.1)^2),1/3)))),IF(IFERROR(AG155,0)=1,MAX($D$16,IFERROR(W155,MAX($D$16,POWER((ABS(K155)^2)/($I$5*MAX(F155,0.1)^2),1/3)))),MAX($D$16,POWER((ABS(K155)^2)/($I$5*MAX(F155,0.1)^2),1/3))))))),MAX($D$16,POWER((ABS(K155)^2)/($I$5*MAX(F155,0.1)^2),1/3)))</f>
        <v>2.1381886436890443</v>
      </c>
      <c r="AI155">
        <f t="shared" ca="1" si="83"/>
        <v>634.66418864368904</v>
      </c>
      <c r="AJ155">
        <f t="shared" ca="1" si="84"/>
        <v>635.72952935190551</v>
      </c>
      <c r="AM155">
        <v>0</v>
      </c>
      <c r="AN155">
        <v>0</v>
      </c>
      <c r="AO155">
        <f t="shared" si="85"/>
        <v>0</v>
      </c>
      <c r="AP155">
        <f t="shared" si="94"/>
        <v>0</v>
      </c>
      <c r="AQ155">
        <f t="shared" ca="1" si="86"/>
        <v>0.9982429454057552</v>
      </c>
      <c r="AR155" t="str">
        <f t="shared" ca="1" si="87"/>
        <v>Subcritical</v>
      </c>
      <c r="AS155">
        <f t="shared" ca="1" si="88"/>
        <v>3.7951190419654758E-3</v>
      </c>
    </row>
    <row r="156" spans="1:45" x14ac:dyDescent="0.35">
      <c r="A156">
        <v>95</v>
      </c>
      <c r="B156">
        <v>93.998000000000005</v>
      </c>
      <c r="C156">
        <v>616490.42599999998</v>
      </c>
      <c r="D156">
        <v>3097697.622</v>
      </c>
      <c r="E156">
        <v>632.524</v>
      </c>
      <c r="F156">
        <v>5.2370000000000001</v>
      </c>
      <c r="G156">
        <v>0</v>
      </c>
      <c r="H156" t="s">
        <v>154</v>
      </c>
      <c r="I156">
        <v>2.851</v>
      </c>
      <c r="J156">
        <f t="shared" si="89"/>
        <v>1.0010000000000048</v>
      </c>
      <c r="K156">
        <f t="shared" ca="1" si="90"/>
        <v>50.95</v>
      </c>
      <c r="L156">
        <f t="shared" ca="1" si="91"/>
        <v>2.1288811039439204</v>
      </c>
      <c r="M156">
        <f t="shared" ca="1" si="64"/>
        <v>11.148950341354311</v>
      </c>
      <c r="N156">
        <f t="shared" ca="1" si="65"/>
        <v>1.1742211228936561</v>
      </c>
      <c r="O156">
        <f t="shared" ca="1" si="66"/>
        <v>4.5699369393559328</v>
      </c>
      <c r="P156">
        <f t="shared" ca="1" si="67"/>
        <v>634.65288110394397</v>
      </c>
      <c r="Q156">
        <f t="shared" ca="1" si="68"/>
        <v>635.71732165591595</v>
      </c>
      <c r="R156">
        <f t="shared" ca="1" si="69"/>
        <v>3.7931767614390048E-3</v>
      </c>
      <c r="S156">
        <f t="shared" ca="1" si="70"/>
        <v>1.0000000000000002</v>
      </c>
      <c r="T156">
        <f t="shared" ca="1" si="71"/>
        <v>35.602184565777478</v>
      </c>
      <c r="U156">
        <f t="shared" ca="1" si="92"/>
        <v>2.3049002852530975E-3</v>
      </c>
      <c r="V156">
        <f t="shared" ca="1" si="93"/>
        <v>1</v>
      </c>
      <c r="W156">
        <f t="shared" ca="1" si="72"/>
        <v>2.1373203735079915</v>
      </c>
      <c r="X156">
        <f t="shared" ca="1" si="73"/>
        <v>11.193146796061352</v>
      </c>
      <c r="Y156">
        <f t="shared" ca="1" si="74"/>
        <v>1.1767840158989284</v>
      </c>
      <c r="Z156">
        <f t="shared" ca="1" si="75"/>
        <v>4.551892414913052</v>
      </c>
      <c r="AA156">
        <f t="shared" ca="1" si="76"/>
        <v>634.66132037350803</v>
      </c>
      <c r="AB156">
        <f t="shared" ca="1" si="77"/>
        <v>635.71737157416771</v>
      </c>
      <c r="AC156">
        <f t="shared" ca="1" si="78"/>
        <v>3.7523569788490301E-3</v>
      </c>
      <c r="AD156">
        <f t="shared" ca="1" si="79"/>
        <v>0.99408305827367471</v>
      </c>
      <c r="AE156">
        <f t="shared" ca="1" si="80"/>
        <v>35.602742571725159</v>
      </c>
      <c r="AF156">
        <f t="shared" ca="1" si="81"/>
        <v>-2.6718358454900226E-3</v>
      </c>
      <c r="AG156">
        <f t="shared" ca="1" si="82"/>
        <v>0</v>
      </c>
      <c r="AH156">
        <f ca="1">IFERROR(IF(V32="Supercritical",MAX($D$16,IFERROR(L156,MAX($D$16,POWER((ABS(K156)^2)/($I$5*MAX(F156,0.1)^2),1/3)))),IF(V32="Subcritical",MAX($D$16,IFERROR(W156,MAX($D$16,POWER((ABS(K156)^2)/($I$5*MAX(F156,0.1)^2),1/3)))),IF(AND(IFERROR(V156,0)=1,IFERROR(AG156,0)=1),IF(IFERROR(T156,-1E+99)&gt;=IFERROR(AE156,-1E+99),MAX($D$16,IFERROR(L156,MAX($D$16,POWER((ABS(K156)^2)/($I$5*MAX(F156,0.1)^2),1/3)))),MAX($D$16,IFERROR(W156,MAX($D$16,POWER((ABS(K156)^2)/($I$5*MAX(F156,0.1)^2),1/3))))),IF(IFERROR(V156,0)=1,MAX($D$16,IFERROR(L156,MAX($D$16,POWER((ABS(K156)^2)/($I$5*MAX(F156,0.1)^2),1/3)))),IF(IFERROR(AG156,0)=1,MAX($D$16,IFERROR(W156,MAX($D$16,POWER((ABS(K156)^2)/($I$5*MAX(F156,0.1)^2),1/3)))),MAX($D$16,POWER((ABS(K156)^2)/($I$5*MAX(F156,0.1)^2),1/3))))))),MAX($D$16,POWER((ABS(K156)^2)/($I$5*MAX(F156,0.1)^2),1/3)))</f>
        <v>2.1288811039439204</v>
      </c>
      <c r="AI156">
        <f t="shared" ca="1" si="83"/>
        <v>634.65288110394397</v>
      </c>
      <c r="AJ156">
        <f t="shared" ca="1" si="84"/>
        <v>635.71732165591595</v>
      </c>
      <c r="AM156">
        <v>0</v>
      </c>
      <c r="AN156">
        <v>0</v>
      </c>
      <c r="AO156">
        <f t="shared" si="85"/>
        <v>0</v>
      </c>
      <c r="AP156">
        <f t="shared" si="94"/>
        <v>0</v>
      </c>
      <c r="AQ156">
        <f t="shared" ca="1" si="86"/>
        <v>1.0000000000000002</v>
      </c>
      <c r="AR156" t="str">
        <f t="shared" ca="1" si="87"/>
        <v>Supercritical</v>
      </c>
      <c r="AS156">
        <f t="shared" ca="1" si="88"/>
        <v>3.7931767614390048E-3</v>
      </c>
    </row>
    <row r="157" spans="1:45" x14ac:dyDescent="0.35">
      <c r="A157">
        <v>96</v>
      </c>
      <c r="B157">
        <v>94.998000000000005</v>
      </c>
      <c r="C157">
        <v>616489.50199999998</v>
      </c>
      <c r="D157">
        <v>3097697.2409999999</v>
      </c>
      <c r="E157">
        <v>632.52200000000005</v>
      </c>
      <c r="F157">
        <v>5.2709999999999999</v>
      </c>
      <c r="G157">
        <v>0</v>
      </c>
      <c r="H157" t="s">
        <v>154</v>
      </c>
      <c r="I157">
        <v>2.9049999999999998</v>
      </c>
      <c r="J157">
        <f t="shared" si="89"/>
        <v>1</v>
      </c>
      <c r="K157">
        <f t="shared" ca="1" si="90"/>
        <v>50.95</v>
      </c>
      <c r="L157">
        <f t="shared" ca="1" si="91"/>
        <v>2.1197164929583718</v>
      </c>
      <c r="M157">
        <f t="shared" ca="1" si="64"/>
        <v>11.173025634383578</v>
      </c>
      <c r="N157">
        <f t="shared" ca="1" si="65"/>
        <v>1.1748177660185228</v>
      </c>
      <c r="O157">
        <f t="shared" ca="1" si="66"/>
        <v>4.5600897793707551</v>
      </c>
      <c r="P157">
        <f t="shared" ca="1" si="67"/>
        <v>634.64171649295838</v>
      </c>
      <c r="Q157">
        <f t="shared" ca="1" si="68"/>
        <v>635.70157473943755</v>
      </c>
      <c r="R157">
        <f t="shared" ca="1" si="69"/>
        <v>3.7742902673664576E-3</v>
      </c>
      <c r="S157">
        <f t="shared" ca="1" si="70"/>
        <v>0.99999999999999978</v>
      </c>
      <c r="T157">
        <f t="shared" ca="1" si="71"/>
        <v>35.525470070174308</v>
      </c>
      <c r="U157">
        <f t="shared" ca="1" si="92"/>
        <v>5.4348249769873291E-3</v>
      </c>
      <c r="V157">
        <f t="shared" ca="1" si="93"/>
        <v>1</v>
      </c>
      <c r="W157">
        <f t="shared" ca="1" si="72"/>
        <v>2.1381886436890443</v>
      </c>
      <c r="X157">
        <f t="shared" ca="1" si="73"/>
        <v>11.270392340884952</v>
      </c>
      <c r="Y157">
        <f t="shared" ca="1" si="74"/>
        <v>1.1804699868501833</v>
      </c>
      <c r="Z157">
        <f t="shared" ca="1" si="75"/>
        <v>4.5206944407047507</v>
      </c>
      <c r="AA157">
        <f t="shared" ca="1" si="76"/>
        <v>634.66018864368914</v>
      </c>
      <c r="AB157">
        <f t="shared" ca="1" si="77"/>
        <v>635.70181342586136</v>
      </c>
      <c r="AC157">
        <f t="shared" ca="1" si="78"/>
        <v>3.6856964036198199E-3</v>
      </c>
      <c r="AD157">
        <f t="shared" ca="1" si="79"/>
        <v>0.98706929073321881</v>
      </c>
      <c r="AE157">
        <f t="shared" ca="1" si="80"/>
        <v>35.528152390739443</v>
      </c>
      <c r="AF157">
        <f t="shared" ca="1" si="81"/>
        <v>-8.6121398086334011E-3</v>
      </c>
      <c r="AG157">
        <f t="shared" ca="1" si="82"/>
        <v>0</v>
      </c>
      <c r="AH157">
        <f ca="1">IFERROR(IF(V32="Supercritical",MAX($D$16,IFERROR(L157,MAX($D$16,POWER((ABS(K157)^2)/($I$5*MAX(F157,0.1)^2),1/3)))),IF(V32="Subcritical",MAX($D$16,IFERROR(W157,MAX($D$16,POWER((ABS(K157)^2)/($I$5*MAX(F157,0.1)^2),1/3)))),IF(AND(IFERROR(V157,0)=1,IFERROR(AG157,0)=1),IF(IFERROR(T157,-1E+99)&gt;=IFERROR(AE157,-1E+99),MAX($D$16,IFERROR(L157,MAX($D$16,POWER((ABS(K157)^2)/($I$5*MAX(F157,0.1)^2),1/3)))),MAX($D$16,IFERROR(W157,MAX($D$16,POWER((ABS(K157)^2)/($I$5*MAX(F157,0.1)^2),1/3))))),IF(IFERROR(V157,0)=1,MAX($D$16,IFERROR(L157,MAX($D$16,POWER((ABS(K157)^2)/($I$5*MAX(F157,0.1)^2),1/3)))),IF(IFERROR(AG157,0)=1,MAX($D$16,IFERROR(W157,MAX($D$16,POWER((ABS(K157)^2)/($I$5*MAX(F157,0.1)^2),1/3)))),MAX($D$16,POWER((ABS(K157)^2)/($I$5*MAX(F157,0.1)^2),1/3))))))),MAX($D$16,POWER((ABS(K157)^2)/($I$5*MAX(F157,0.1)^2),1/3)))</f>
        <v>2.1197164929583718</v>
      </c>
      <c r="AI157">
        <f t="shared" ca="1" si="83"/>
        <v>634.64171649295838</v>
      </c>
      <c r="AJ157">
        <f t="shared" ca="1" si="84"/>
        <v>635.70157473943755</v>
      </c>
      <c r="AM157">
        <v>0</v>
      </c>
      <c r="AN157">
        <v>0</v>
      </c>
      <c r="AO157">
        <f t="shared" si="85"/>
        <v>0</v>
      </c>
      <c r="AP157">
        <f t="shared" si="94"/>
        <v>0</v>
      </c>
      <c r="AQ157">
        <f t="shared" ca="1" si="86"/>
        <v>0.99999999999999978</v>
      </c>
      <c r="AR157" t="str">
        <f t="shared" ca="1" si="87"/>
        <v>Supercritical</v>
      </c>
      <c r="AS157">
        <f t="shared" ca="1" si="88"/>
        <v>3.7742902673664576E-3</v>
      </c>
    </row>
    <row r="158" spans="1:45" x14ac:dyDescent="0.35">
      <c r="A158">
        <v>97</v>
      </c>
      <c r="B158">
        <v>95.998000000000005</v>
      </c>
      <c r="C158">
        <v>616488.55900000001</v>
      </c>
      <c r="D158">
        <v>3097696.9070000001</v>
      </c>
      <c r="E158">
        <v>632.52</v>
      </c>
      <c r="F158">
        <v>5.327</v>
      </c>
      <c r="G158">
        <v>0</v>
      </c>
      <c r="H158" t="s">
        <v>154</v>
      </c>
      <c r="I158">
        <v>2.8809999999999998</v>
      </c>
      <c r="J158">
        <f t="shared" si="89"/>
        <v>1</v>
      </c>
      <c r="K158">
        <f t="shared" ca="1" si="90"/>
        <v>50.95</v>
      </c>
      <c r="L158">
        <f t="shared" ca="1" si="91"/>
        <v>2.1048346857470936</v>
      </c>
      <c r="M158">
        <f t="shared" ca="1" si="64"/>
        <v>11.212454370974768</v>
      </c>
      <c r="N158">
        <f t="shared" ca="1" si="65"/>
        <v>1.1757201528334018</v>
      </c>
      <c r="O158">
        <f t="shared" ca="1" si="66"/>
        <v>4.5440541664001977</v>
      </c>
      <c r="P158">
        <f t="shared" ca="1" si="67"/>
        <v>634.62483468574703</v>
      </c>
      <c r="Q158">
        <f t="shared" ca="1" si="68"/>
        <v>635.67725202862061</v>
      </c>
      <c r="R158">
        <f t="shared" ca="1" si="69"/>
        <v>3.7439574196317348E-3</v>
      </c>
      <c r="S158">
        <f t="shared" ca="1" si="70"/>
        <v>1.0000000000000002</v>
      </c>
      <c r="T158">
        <f t="shared" ca="1" si="71"/>
        <v>35.400544308576457</v>
      </c>
      <c r="U158">
        <f t="shared" ca="1" si="92"/>
        <v>1.3242229878301259E-2</v>
      </c>
      <c r="V158">
        <f t="shared" ca="1" si="93"/>
        <v>1</v>
      </c>
      <c r="W158">
        <f t="shared" ca="1" si="72"/>
        <v>2.1373203735079915</v>
      </c>
      <c r="X158">
        <f t="shared" ca="1" si="73"/>
        <v>11.385505629677072</v>
      </c>
      <c r="Y158">
        <f t="shared" ca="1" si="74"/>
        <v>1.185787505454782</v>
      </c>
      <c r="Z158">
        <f t="shared" ca="1" si="75"/>
        <v>4.4749879063074252</v>
      </c>
      <c r="AA158">
        <f t="shared" ca="1" si="76"/>
        <v>634.65732037350801</v>
      </c>
      <c r="AB158">
        <f t="shared" ca="1" si="77"/>
        <v>635.67798891385451</v>
      </c>
      <c r="AC158">
        <f t="shared" ca="1" si="78"/>
        <v>3.5899667277736105E-3</v>
      </c>
      <c r="AD158">
        <f t="shared" ca="1" si="79"/>
        <v>0.97728796248906225</v>
      </c>
      <c r="AE158">
        <f t="shared" ca="1" si="80"/>
        <v>35.408891396797358</v>
      </c>
      <c r="AF158">
        <f t="shared" ca="1" si="81"/>
        <v>-1.1776071679378219E-2</v>
      </c>
      <c r="AG158">
        <f t="shared" ca="1" si="82"/>
        <v>0</v>
      </c>
      <c r="AH158">
        <f ca="1">IFERROR(IF(V32="Supercritical",MAX($D$16,IFERROR(L158,MAX($D$16,POWER((ABS(K158)^2)/($I$5*MAX(F158,0.1)^2),1/3)))),IF(V32="Subcritical",MAX($D$16,IFERROR(W158,MAX($D$16,POWER((ABS(K158)^2)/($I$5*MAX(F158,0.1)^2),1/3)))),IF(AND(IFERROR(V158,0)=1,IFERROR(AG158,0)=1),IF(IFERROR(T158,-1E+99)&gt;=IFERROR(AE158,-1E+99),MAX($D$16,IFERROR(L158,MAX($D$16,POWER((ABS(K158)^2)/($I$5*MAX(F158,0.1)^2),1/3)))),MAX($D$16,IFERROR(W158,MAX($D$16,POWER((ABS(K158)^2)/($I$5*MAX(F158,0.1)^2),1/3))))),IF(IFERROR(V158,0)=1,MAX($D$16,IFERROR(L158,MAX($D$16,POWER((ABS(K158)^2)/($I$5*MAX(F158,0.1)^2),1/3)))),IF(IFERROR(AG158,0)=1,MAX($D$16,IFERROR(W158,MAX($D$16,POWER((ABS(K158)^2)/($I$5*MAX(F158,0.1)^2),1/3)))),MAX($D$16,POWER((ABS(K158)^2)/($I$5*MAX(F158,0.1)^2),1/3))))))),MAX($D$16,POWER((ABS(K158)^2)/($I$5*MAX(F158,0.1)^2),1/3)))</f>
        <v>2.1048346857470936</v>
      </c>
      <c r="AI158">
        <f t="shared" ca="1" si="83"/>
        <v>634.62483468574703</v>
      </c>
      <c r="AJ158">
        <f t="shared" ca="1" si="84"/>
        <v>635.67725202862061</v>
      </c>
      <c r="AM158">
        <v>0</v>
      </c>
      <c r="AN158">
        <v>0</v>
      </c>
      <c r="AO158">
        <f t="shared" si="85"/>
        <v>0</v>
      </c>
      <c r="AP158">
        <f t="shared" si="94"/>
        <v>0</v>
      </c>
      <c r="AQ158">
        <f t="shared" ca="1" si="86"/>
        <v>1.0000000000000002</v>
      </c>
      <c r="AR158" t="str">
        <f t="shared" ca="1" si="87"/>
        <v>Supercritical</v>
      </c>
      <c r="AS158">
        <f t="shared" ca="1" si="88"/>
        <v>3.7439574196317348E-3</v>
      </c>
    </row>
    <row r="159" spans="1:45" x14ac:dyDescent="0.35">
      <c r="A159">
        <v>98</v>
      </c>
      <c r="B159">
        <v>96.998000000000005</v>
      </c>
      <c r="C159">
        <v>616487.60100000002</v>
      </c>
      <c r="D159">
        <v>3097696.6209999998</v>
      </c>
      <c r="E159">
        <v>632.51800000000003</v>
      </c>
      <c r="F159">
        <v>5.3959999999999999</v>
      </c>
      <c r="G159">
        <v>0</v>
      </c>
      <c r="H159" t="s">
        <v>154</v>
      </c>
      <c r="I159">
        <v>2.85</v>
      </c>
      <c r="J159">
        <f t="shared" si="89"/>
        <v>1</v>
      </c>
      <c r="K159">
        <f t="shared" ca="1" si="90"/>
        <v>50.95</v>
      </c>
      <c r="L159">
        <f t="shared" ca="1" si="91"/>
        <v>2.0868528611018067</v>
      </c>
      <c r="M159">
        <f t="shared" ca="1" si="64"/>
        <v>11.260658038505349</v>
      </c>
      <c r="N159">
        <f t="shared" ca="1" si="65"/>
        <v>1.1766984654897372</v>
      </c>
      <c r="O159">
        <f t="shared" ca="1" si="66"/>
        <v>4.5246023656680281</v>
      </c>
      <c r="P159">
        <f t="shared" ca="1" si="67"/>
        <v>634.60485286110179</v>
      </c>
      <c r="Q159">
        <f t="shared" ca="1" si="68"/>
        <v>635.64827929165267</v>
      </c>
      <c r="R159">
        <f t="shared" ca="1" si="69"/>
        <v>3.7078580984540345E-3</v>
      </c>
      <c r="S159">
        <f t="shared" ca="1" si="70"/>
        <v>0.99999999999999978</v>
      </c>
      <c r="T159">
        <f t="shared" ca="1" si="71"/>
        <v>35.249004668315912</v>
      </c>
      <c r="U159">
        <f t="shared" ca="1" si="92"/>
        <v>1.7550573133462422E-2</v>
      </c>
      <c r="V159">
        <f t="shared" ca="1" si="93"/>
        <v>1</v>
      </c>
      <c r="W159">
        <f t="shared" ca="1" si="72"/>
        <v>2.1381886436890443</v>
      </c>
      <c r="X159">
        <f t="shared" ca="1" si="73"/>
        <v>11.537665921346083</v>
      </c>
      <c r="Y159">
        <f t="shared" ca="1" si="74"/>
        <v>1.1928469680770302</v>
      </c>
      <c r="Z159">
        <f t="shared" ca="1" si="75"/>
        <v>4.4159711632607008</v>
      </c>
      <c r="AA159">
        <f t="shared" ca="1" si="76"/>
        <v>634.65618864368912</v>
      </c>
      <c r="AB159">
        <f t="shared" ca="1" si="77"/>
        <v>635.65011327746845</v>
      </c>
      <c r="AC159">
        <f t="shared" ca="1" si="78"/>
        <v>3.4683426856394425E-3</v>
      </c>
      <c r="AD159">
        <f t="shared" ca="1" si="79"/>
        <v>0.96420352695604084</v>
      </c>
      <c r="AE159">
        <f t="shared" ca="1" si="80"/>
        <v>35.269993874934002</v>
      </c>
      <c r="AF159">
        <f t="shared" ca="1" si="81"/>
        <v>-1.5606152018222019E-2</v>
      </c>
      <c r="AG159">
        <f t="shared" ca="1" si="82"/>
        <v>0</v>
      </c>
      <c r="AH159">
        <f ca="1">IFERROR(IF(V32="Supercritical",MAX($D$16,IFERROR(L159,MAX($D$16,POWER((ABS(K159)^2)/($I$5*MAX(F159,0.1)^2),1/3)))),IF(V32="Subcritical",MAX($D$16,IFERROR(W159,MAX($D$16,POWER((ABS(K159)^2)/($I$5*MAX(F159,0.1)^2),1/3)))),IF(AND(IFERROR(V159,0)=1,IFERROR(AG159,0)=1),IF(IFERROR(T159,-1E+99)&gt;=IFERROR(AE159,-1E+99),MAX($D$16,IFERROR(L159,MAX($D$16,POWER((ABS(K159)^2)/($I$5*MAX(F159,0.1)^2),1/3)))),MAX($D$16,IFERROR(W159,MAX($D$16,POWER((ABS(K159)^2)/($I$5*MAX(F159,0.1)^2),1/3))))),IF(IFERROR(V159,0)=1,MAX($D$16,IFERROR(L159,MAX($D$16,POWER((ABS(K159)^2)/($I$5*MAX(F159,0.1)^2),1/3)))),IF(IFERROR(AG159,0)=1,MAX($D$16,IFERROR(W159,MAX($D$16,POWER((ABS(K159)^2)/($I$5*MAX(F159,0.1)^2),1/3)))),MAX($D$16,POWER((ABS(K159)^2)/($I$5*MAX(F159,0.1)^2),1/3))))))),MAX($D$16,POWER((ABS(K159)^2)/($I$5*MAX(F159,0.1)^2),1/3)))</f>
        <v>2.0868528611018067</v>
      </c>
      <c r="AI159">
        <f t="shared" ca="1" si="83"/>
        <v>634.60485286110179</v>
      </c>
      <c r="AJ159">
        <f t="shared" ca="1" si="84"/>
        <v>635.64827929165267</v>
      </c>
      <c r="AM159">
        <v>0</v>
      </c>
      <c r="AN159">
        <v>0</v>
      </c>
      <c r="AO159">
        <f t="shared" si="85"/>
        <v>0</v>
      </c>
      <c r="AP159">
        <f t="shared" si="94"/>
        <v>0</v>
      </c>
      <c r="AQ159">
        <f t="shared" ca="1" si="86"/>
        <v>0.99999999999999978</v>
      </c>
      <c r="AR159" t="str">
        <f t="shared" ca="1" si="87"/>
        <v>Supercritical</v>
      </c>
      <c r="AS159">
        <f t="shared" ca="1" si="88"/>
        <v>3.7078580984540345E-3</v>
      </c>
    </row>
    <row r="160" spans="1:45" x14ac:dyDescent="0.35">
      <c r="A160">
        <v>99</v>
      </c>
      <c r="B160">
        <v>97.997</v>
      </c>
      <c r="C160">
        <v>616486.63</v>
      </c>
      <c r="D160">
        <v>3097696.3829999999</v>
      </c>
      <c r="E160">
        <v>632.51599999999996</v>
      </c>
      <c r="F160">
        <v>5.4820000000000002</v>
      </c>
      <c r="G160">
        <v>0</v>
      </c>
      <c r="H160" t="s">
        <v>154</v>
      </c>
      <c r="I160">
        <v>2.8109999999999999</v>
      </c>
      <c r="J160">
        <f t="shared" si="89"/>
        <v>0.99899999999999523</v>
      </c>
      <c r="K160">
        <f t="shared" ca="1" si="90"/>
        <v>50.95</v>
      </c>
      <c r="L160">
        <f t="shared" ca="1" si="91"/>
        <v>2.0649701064228565</v>
      </c>
      <c r="M160">
        <f t="shared" ca="1" si="64"/>
        <v>11.3201661234101</v>
      </c>
      <c r="N160">
        <f t="shared" ca="1" si="65"/>
        <v>1.1777191568754721</v>
      </c>
      <c r="O160">
        <f t="shared" ca="1" si="66"/>
        <v>4.5008173417734056</v>
      </c>
      <c r="P160">
        <f t="shared" ca="1" si="67"/>
        <v>634.5809701064228</v>
      </c>
      <c r="Q160">
        <f t="shared" ca="1" si="68"/>
        <v>635.61345515963421</v>
      </c>
      <c r="R160">
        <f t="shared" ca="1" si="69"/>
        <v>3.6647383699564399E-3</v>
      </c>
      <c r="S160">
        <f t="shared" ca="1" si="70"/>
        <v>1</v>
      </c>
      <c r="T160">
        <f t="shared" ca="1" si="71"/>
        <v>35.063706966873852</v>
      </c>
      <c r="U160">
        <f t="shared" ca="1" si="92"/>
        <v>2.2970654053551698E-2</v>
      </c>
      <c r="V160">
        <f t="shared" ca="1" si="93"/>
        <v>1</v>
      </c>
      <c r="W160">
        <f t="shared" ca="1" si="72"/>
        <v>2.1373203735079915</v>
      </c>
      <c r="X160">
        <f t="shared" ca="1" si="73"/>
        <v>11.716790287570809</v>
      </c>
      <c r="Y160">
        <f t="shared" ca="1" si="74"/>
        <v>1.2009041422535034</v>
      </c>
      <c r="Z160">
        <f t="shared" ca="1" si="75"/>
        <v>4.3484605211418561</v>
      </c>
      <c r="AA160">
        <f t="shared" ca="1" si="76"/>
        <v>634.653320373508</v>
      </c>
      <c r="AB160">
        <f t="shared" ca="1" si="77"/>
        <v>635.61708739205687</v>
      </c>
      <c r="AC160">
        <f t="shared" ca="1" si="78"/>
        <v>3.3330548254899019E-3</v>
      </c>
      <c r="AD160">
        <f t="shared" ca="1" si="79"/>
        <v>0.94965577821584002</v>
      </c>
      <c r="AE160">
        <f t="shared" ca="1" si="80"/>
        <v>35.105779381702341</v>
      </c>
      <c r="AF160">
        <f t="shared" ca="1" si="81"/>
        <v>-2.0585775434483367E-2</v>
      </c>
      <c r="AG160">
        <f t="shared" ca="1" si="82"/>
        <v>0</v>
      </c>
      <c r="AH160">
        <f ca="1">IFERROR(IF(V32="Supercritical",MAX($D$16,IFERROR(L160,MAX($D$16,POWER((ABS(K160)^2)/($I$5*MAX(F160,0.1)^2),1/3)))),IF(V32="Subcritical",MAX($D$16,IFERROR(W160,MAX($D$16,POWER((ABS(K160)^2)/($I$5*MAX(F160,0.1)^2),1/3)))),IF(AND(IFERROR(V160,0)=1,IFERROR(AG160,0)=1),IF(IFERROR(T160,-1E+99)&gt;=IFERROR(AE160,-1E+99),MAX($D$16,IFERROR(L160,MAX($D$16,POWER((ABS(K160)^2)/($I$5*MAX(F160,0.1)^2),1/3)))),MAX($D$16,IFERROR(W160,MAX($D$16,POWER((ABS(K160)^2)/($I$5*MAX(F160,0.1)^2),1/3))))),IF(IFERROR(V160,0)=1,MAX($D$16,IFERROR(L160,MAX($D$16,POWER((ABS(K160)^2)/($I$5*MAX(F160,0.1)^2),1/3)))),IF(IFERROR(AG160,0)=1,MAX($D$16,IFERROR(W160,MAX($D$16,POWER((ABS(K160)^2)/($I$5*MAX(F160,0.1)^2),1/3)))),MAX($D$16,POWER((ABS(K160)^2)/($I$5*MAX(F160,0.1)^2),1/3))))))),MAX($D$16,POWER((ABS(K160)^2)/($I$5*MAX(F160,0.1)^2),1/3)))</f>
        <v>2.0649701064228565</v>
      </c>
      <c r="AI160">
        <f t="shared" ca="1" si="83"/>
        <v>634.5809701064228</v>
      </c>
      <c r="AJ160">
        <f t="shared" ca="1" si="84"/>
        <v>635.61345515963421</v>
      </c>
      <c r="AM160">
        <v>0</v>
      </c>
      <c r="AN160">
        <v>0</v>
      </c>
      <c r="AO160">
        <f t="shared" si="85"/>
        <v>0</v>
      </c>
      <c r="AP160">
        <f t="shared" si="94"/>
        <v>0</v>
      </c>
      <c r="AQ160">
        <f t="shared" ca="1" si="86"/>
        <v>1</v>
      </c>
      <c r="AR160" t="str">
        <f t="shared" ca="1" si="87"/>
        <v>Supercritical</v>
      </c>
      <c r="AS160">
        <f t="shared" ca="1" si="88"/>
        <v>3.6647383699564399E-3</v>
      </c>
    </row>
    <row r="161" spans="1:45" x14ac:dyDescent="0.35">
      <c r="A161">
        <v>100</v>
      </c>
      <c r="B161">
        <v>98.997</v>
      </c>
      <c r="C161">
        <v>616485.64899999998</v>
      </c>
      <c r="D161">
        <v>3097696.193</v>
      </c>
      <c r="E161">
        <v>632.51400000000001</v>
      </c>
      <c r="F161">
        <v>5.593</v>
      </c>
      <c r="G161">
        <v>0</v>
      </c>
      <c r="H161" t="s">
        <v>154</v>
      </c>
      <c r="I161">
        <v>2.9119999999999999</v>
      </c>
      <c r="J161">
        <f t="shared" si="89"/>
        <v>1</v>
      </c>
      <c r="K161">
        <f t="shared" ca="1" si="90"/>
        <v>50.95</v>
      </c>
      <c r="L161">
        <f t="shared" ca="1" si="91"/>
        <v>2.0375576727173503</v>
      </c>
      <c r="M161">
        <f t="shared" ca="1" si="64"/>
        <v>11.396060063508139</v>
      </c>
      <c r="N161">
        <f t="shared" ca="1" si="65"/>
        <v>1.1787261173801964</v>
      </c>
      <c r="O161">
        <f t="shared" ca="1" si="66"/>
        <v>4.4708434069375782</v>
      </c>
      <c r="P161">
        <f t="shared" ca="1" si="67"/>
        <v>634.55155767271731</v>
      </c>
      <c r="Q161">
        <f t="shared" ca="1" si="68"/>
        <v>635.57033650907601</v>
      </c>
      <c r="R161">
        <f t="shared" ca="1" si="69"/>
        <v>3.6119707702002503E-3</v>
      </c>
      <c r="S161">
        <f t="shared" ca="1" si="70"/>
        <v>1</v>
      </c>
      <c r="T161">
        <f t="shared" ca="1" si="71"/>
        <v>34.830194431723179</v>
      </c>
      <c r="U161">
        <f t="shared" ca="1" si="92"/>
        <v>3.0357436807435079E-2</v>
      </c>
      <c r="V161">
        <f t="shared" ca="1" si="93"/>
        <v>1</v>
      </c>
      <c r="W161">
        <f t="shared" ca="1" si="72"/>
        <v>2.1381886436890443</v>
      </c>
      <c r="X161">
        <f t="shared" ca="1" si="73"/>
        <v>11.958889084152824</v>
      </c>
      <c r="Y161">
        <f t="shared" ca="1" si="74"/>
        <v>1.2117166803874246</v>
      </c>
      <c r="Z161">
        <f t="shared" ca="1" si="75"/>
        <v>4.26042917878683</v>
      </c>
      <c r="AA161">
        <f t="shared" ca="1" si="76"/>
        <v>634.6521886436891</v>
      </c>
      <c r="AB161">
        <f t="shared" ca="1" si="77"/>
        <v>635.57732915273391</v>
      </c>
      <c r="AC161">
        <f t="shared" ca="1" si="78"/>
        <v>3.1614605757784896E-3</v>
      </c>
      <c r="AD161">
        <f t="shared" ca="1" si="79"/>
        <v>0.93024177211778947</v>
      </c>
      <c r="AE161">
        <f t="shared" ca="1" si="80"/>
        <v>34.912485885282194</v>
      </c>
      <c r="AF161">
        <f t="shared" ca="1" si="81"/>
        <v>-2.0607342780522231E-2</v>
      </c>
      <c r="AG161">
        <f t="shared" ca="1" si="82"/>
        <v>0</v>
      </c>
      <c r="AH161">
        <f ca="1">IFERROR(IF(V32="Supercritical",MAX($D$16,IFERROR(L161,MAX($D$16,POWER((ABS(K161)^2)/($I$5*MAX(F161,0.1)^2),1/3)))),IF(V32="Subcritical",MAX($D$16,IFERROR(W161,MAX($D$16,POWER((ABS(K161)^2)/($I$5*MAX(F161,0.1)^2),1/3)))),IF(AND(IFERROR(V161,0)=1,IFERROR(AG161,0)=1),IF(IFERROR(T161,-1E+99)&gt;=IFERROR(AE161,-1E+99),MAX($D$16,IFERROR(L161,MAX($D$16,POWER((ABS(K161)^2)/($I$5*MAX(F161,0.1)^2),1/3)))),MAX($D$16,IFERROR(W161,MAX($D$16,POWER((ABS(K161)^2)/($I$5*MAX(F161,0.1)^2),1/3))))),IF(IFERROR(V161,0)=1,MAX($D$16,IFERROR(L161,MAX($D$16,POWER((ABS(K161)^2)/($I$5*MAX(F161,0.1)^2),1/3)))),IF(IFERROR(AG161,0)=1,MAX($D$16,IFERROR(W161,MAX($D$16,POWER((ABS(K161)^2)/($I$5*MAX(F161,0.1)^2),1/3)))),MAX($D$16,POWER((ABS(K161)^2)/($I$5*MAX(F161,0.1)^2),1/3))))))),MAX($D$16,POWER((ABS(K161)^2)/($I$5*MAX(F161,0.1)^2),1/3)))</f>
        <v>2.0375576727173503</v>
      </c>
      <c r="AI161">
        <f t="shared" ca="1" si="83"/>
        <v>634.55155767271731</v>
      </c>
      <c r="AJ161">
        <f t="shared" ca="1" si="84"/>
        <v>635.57033650907601</v>
      </c>
      <c r="AM161">
        <v>0</v>
      </c>
      <c r="AN161">
        <v>0</v>
      </c>
      <c r="AO161">
        <f t="shared" si="85"/>
        <v>0</v>
      </c>
      <c r="AP161">
        <f t="shared" si="94"/>
        <v>0</v>
      </c>
      <c r="AQ161">
        <f t="shared" ca="1" si="86"/>
        <v>1</v>
      </c>
      <c r="AR161" t="str">
        <f t="shared" ca="1" si="87"/>
        <v>Supercritical</v>
      </c>
      <c r="AS161">
        <f t="shared" ca="1" si="88"/>
        <v>3.6119707702002503E-3</v>
      </c>
    </row>
    <row r="162" spans="1:45" x14ac:dyDescent="0.35">
      <c r="A162">
        <v>101</v>
      </c>
      <c r="B162">
        <v>99.997</v>
      </c>
      <c r="C162">
        <v>616484.65899999999</v>
      </c>
      <c r="D162">
        <v>3097696.0529999998</v>
      </c>
      <c r="E162">
        <v>632.51199999999994</v>
      </c>
      <c r="F162">
        <v>5.7089999999999996</v>
      </c>
      <c r="G162">
        <v>0</v>
      </c>
      <c r="H162" t="s">
        <v>154</v>
      </c>
      <c r="I162">
        <v>2.8290000000000002</v>
      </c>
      <c r="J162">
        <f t="shared" si="89"/>
        <v>1</v>
      </c>
      <c r="K162">
        <f t="shared" ca="1" si="90"/>
        <v>50.95</v>
      </c>
      <c r="L162">
        <f t="shared" ca="1" si="91"/>
        <v>2.0098628728183998</v>
      </c>
      <c r="M162">
        <f t="shared" ca="1" si="64"/>
        <v>11.474307140920244</v>
      </c>
      <c r="N162">
        <f t="shared" ca="1" si="65"/>
        <v>1.179425491161195</v>
      </c>
      <c r="O162">
        <f t="shared" ca="1" si="66"/>
        <v>4.4403552540701634</v>
      </c>
      <c r="P162">
        <f t="shared" ca="1" si="67"/>
        <v>634.52186287281836</v>
      </c>
      <c r="Q162">
        <f t="shared" ca="1" si="68"/>
        <v>635.52679430922751</v>
      </c>
      <c r="R162">
        <f t="shared" ca="1" si="69"/>
        <v>3.56005963705478E-3</v>
      </c>
      <c r="S162">
        <f t="shared" ca="1" si="70"/>
        <v>1</v>
      </c>
      <c r="T162">
        <f t="shared" ca="1" si="71"/>
        <v>34.592675870775963</v>
      </c>
      <c r="U162">
        <f t="shared" ca="1" si="92"/>
        <v>3.0998422446600671E-2</v>
      </c>
      <c r="V162">
        <f t="shared" ca="1" si="93"/>
        <v>1</v>
      </c>
      <c r="W162">
        <f t="shared" ca="1" si="72"/>
        <v>2.1373203735079915</v>
      </c>
      <c r="X162">
        <f t="shared" ca="1" si="73"/>
        <v>12.201962012357123</v>
      </c>
      <c r="Y162">
        <f t="shared" ca="1" si="74"/>
        <v>1.2221956219732943</v>
      </c>
      <c r="Z162">
        <f t="shared" ca="1" si="75"/>
        <v>4.1755579921001322</v>
      </c>
      <c r="AA162">
        <f t="shared" ca="1" si="76"/>
        <v>634.64932037350798</v>
      </c>
      <c r="AB162">
        <f t="shared" ca="1" si="77"/>
        <v>635.53796892322214</v>
      </c>
      <c r="AC162">
        <f t="shared" ca="1" si="78"/>
        <v>3.0020915078988945E-3</v>
      </c>
      <c r="AD162">
        <f t="shared" ca="1" si="79"/>
        <v>0.91189577442270708</v>
      </c>
      <c r="AE162">
        <f t="shared" ca="1" si="80"/>
        <v>34.726262694786932</v>
      </c>
      <c r="AF162">
        <f t="shared" ca="1" si="81"/>
        <v>0.20774756856258136</v>
      </c>
      <c r="AG162">
        <f t="shared" ca="1" si="82"/>
        <v>0</v>
      </c>
      <c r="AH162">
        <f ca="1">IFERROR(IF(V32="Supercritical",MAX($D$16,IFERROR(L162,MAX($D$16,POWER((ABS(K162)^2)/($I$5*MAX(F162,0.1)^2),1/3)))),IF(V32="Subcritical",MAX($D$16,IFERROR(W162,MAX($D$16,POWER((ABS(K162)^2)/($I$5*MAX(F162,0.1)^2),1/3)))),IF(AND(IFERROR(V162,0)=1,IFERROR(AG162,0)=1),IF(IFERROR(T162,-1E+99)&gt;=IFERROR(AE162,-1E+99),MAX($D$16,IFERROR(L162,MAX($D$16,POWER((ABS(K162)^2)/($I$5*MAX(F162,0.1)^2),1/3)))),MAX($D$16,IFERROR(W162,MAX($D$16,POWER((ABS(K162)^2)/($I$5*MAX(F162,0.1)^2),1/3))))),IF(IFERROR(V162,0)=1,MAX($D$16,IFERROR(L162,MAX($D$16,POWER((ABS(K162)^2)/($I$5*MAX(F162,0.1)^2),1/3)))),IF(IFERROR(AG162,0)=1,MAX($D$16,IFERROR(W162,MAX($D$16,POWER((ABS(K162)^2)/($I$5*MAX(F162,0.1)^2),1/3)))),MAX($D$16,POWER((ABS(K162)^2)/($I$5*MAX(F162,0.1)^2),1/3))))))),MAX($D$16,POWER((ABS(K162)^2)/($I$5*MAX(F162,0.1)^2),1/3)))</f>
        <v>2.0098628728183998</v>
      </c>
      <c r="AI162">
        <f t="shared" ca="1" si="83"/>
        <v>634.52186287281836</v>
      </c>
      <c r="AJ162">
        <f t="shared" ca="1" si="84"/>
        <v>635.52679430922751</v>
      </c>
      <c r="AM162">
        <v>0</v>
      </c>
      <c r="AN162">
        <v>0</v>
      </c>
      <c r="AO162">
        <f t="shared" si="85"/>
        <v>0</v>
      </c>
      <c r="AP162">
        <f t="shared" si="94"/>
        <v>0</v>
      </c>
      <c r="AQ162">
        <f t="shared" ca="1" si="86"/>
        <v>1</v>
      </c>
      <c r="AR162" t="str">
        <f t="shared" ca="1" si="87"/>
        <v>Supercritical</v>
      </c>
      <c r="AS162">
        <f t="shared" ca="1" si="88"/>
        <v>3.56005963705478E-3</v>
      </c>
    </row>
    <row r="163" spans="1:45" x14ac:dyDescent="0.35">
      <c r="A163">
        <v>102</v>
      </c>
      <c r="B163">
        <v>100.997</v>
      </c>
      <c r="C163">
        <v>616483.66299999994</v>
      </c>
      <c r="D163">
        <v>3097695.9619999998</v>
      </c>
      <c r="E163">
        <v>632.51149999999996</v>
      </c>
      <c r="F163">
        <v>5.2</v>
      </c>
      <c r="G163">
        <v>0</v>
      </c>
      <c r="H163" t="s">
        <v>154</v>
      </c>
      <c r="I163">
        <v>2.298</v>
      </c>
      <c r="J163">
        <f t="shared" si="89"/>
        <v>1</v>
      </c>
      <c r="K163">
        <f t="shared" ca="1" si="90"/>
        <v>50.95</v>
      </c>
      <c r="L163">
        <f t="shared" ca="1" si="91"/>
        <v>2.1389677043987478</v>
      </c>
      <c r="M163">
        <f t="shared" ca="1" si="64"/>
        <v>11.122632062873489</v>
      </c>
      <c r="N163">
        <f t="shared" ca="1" si="65"/>
        <v>1.1735290000551568</v>
      </c>
      <c r="O163">
        <f t="shared" ca="1" si="66"/>
        <v>4.5807502857230418</v>
      </c>
      <c r="P163">
        <f t="shared" ca="1" si="67"/>
        <v>634.65046770439869</v>
      </c>
      <c r="Q163">
        <f t="shared" ca="1" si="68"/>
        <v>635.71995155659806</v>
      </c>
      <c r="R163">
        <f t="shared" ca="1" si="69"/>
        <v>3.8141460404132466E-3</v>
      </c>
      <c r="S163">
        <f t="shared" ca="1" si="70"/>
        <v>1.0000000000000004</v>
      </c>
      <c r="T163">
        <f t="shared" ca="1" si="71"/>
        <v>35.686426155594638</v>
      </c>
      <c r="U163">
        <f t="shared" ca="1" si="92"/>
        <v>-0.20739571494220854</v>
      </c>
      <c r="V163">
        <f t="shared" ca="1" si="93"/>
        <v>1</v>
      </c>
      <c r="W163">
        <f t="shared" ca="1" si="72"/>
        <v>2.1381886436890443</v>
      </c>
      <c r="X163">
        <f t="shared" ca="1" si="73"/>
        <v>11.11858094718303</v>
      </c>
      <c r="Y163">
        <f t="shared" ca="1" si="74"/>
        <v>1.1732944573652897</v>
      </c>
      <c r="Z163">
        <f t="shared" ca="1" si="75"/>
        <v>4.5824193071066803</v>
      </c>
      <c r="AA163">
        <f t="shared" ca="1" si="76"/>
        <v>634.64968864368905</v>
      </c>
      <c r="AB163">
        <f t="shared" ca="1" si="77"/>
        <v>635.71995198243235</v>
      </c>
      <c r="AC163">
        <f t="shared" ca="1" si="78"/>
        <v>3.8179433334236904E-3</v>
      </c>
      <c r="AD163">
        <f t="shared" ca="1" si="79"/>
        <v>1.0005465829720761</v>
      </c>
      <c r="AE163">
        <f t="shared" ca="1" si="80"/>
        <v>35.686430890842168</v>
      </c>
      <c r="AF163">
        <f t="shared" ca="1" si="81"/>
        <v>3.7264271743424615E-3</v>
      </c>
      <c r="AG163">
        <f t="shared" ca="1" si="82"/>
        <v>0</v>
      </c>
      <c r="AH163">
        <f ca="1">IFERROR(IF(V32="Supercritical",MAX($D$16,IFERROR(L163,MAX($D$16,POWER((ABS(K163)^2)/($I$5*MAX(F163,0.1)^2),1/3)))),IF(V32="Subcritical",MAX($D$16,IFERROR(W163,MAX($D$16,POWER((ABS(K163)^2)/($I$5*MAX(F163,0.1)^2),1/3)))),IF(AND(IFERROR(V163,0)=1,IFERROR(AG163,0)=1),IF(IFERROR(T163,-1E+99)&gt;=IFERROR(AE163,-1E+99),MAX($D$16,IFERROR(L163,MAX($D$16,POWER((ABS(K163)^2)/($I$5*MAX(F163,0.1)^2),1/3)))),MAX($D$16,IFERROR(W163,MAX($D$16,POWER((ABS(K163)^2)/($I$5*MAX(F163,0.1)^2),1/3))))),IF(IFERROR(V163,0)=1,MAX($D$16,IFERROR(L163,MAX($D$16,POWER((ABS(K163)^2)/($I$5*MAX(F163,0.1)^2),1/3)))),IF(IFERROR(AG163,0)=1,MAX($D$16,IFERROR(W163,MAX($D$16,POWER((ABS(K163)^2)/($I$5*MAX(F163,0.1)^2),1/3)))),MAX($D$16,POWER((ABS(K163)^2)/($I$5*MAX(F163,0.1)^2),1/3))))))),MAX($D$16,POWER((ABS(K163)^2)/($I$5*MAX(F163,0.1)^2),1/3)))</f>
        <v>2.1389677043987478</v>
      </c>
      <c r="AI163">
        <f t="shared" ca="1" si="83"/>
        <v>634.65046770439869</v>
      </c>
      <c r="AJ163">
        <f t="shared" ca="1" si="84"/>
        <v>635.71995155659806</v>
      </c>
      <c r="AM163">
        <v>0</v>
      </c>
      <c r="AN163">
        <v>0</v>
      </c>
      <c r="AO163">
        <f t="shared" si="85"/>
        <v>0</v>
      </c>
      <c r="AP163">
        <f t="shared" si="94"/>
        <v>0</v>
      </c>
      <c r="AQ163">
        <f t="shared" ca="1" si="86"/>
        <v>1.0000000000000004</v>
      </c>
      <c r="AR163" t="str">
        <f t="shared" ca="1" si="87"/>
        <v>Supercritical</v>
      </c>
      <c r="AS163">
        <f t="shared" ca="1" si="88"/>
        <v>3.8141460404132466E-3</v>
      </c>
    </row>
    <row r="164" spans="1:45" x14ac:dyDescent="0.35">
      <c r="A164">
        <v>103</v>
      </c>
      <c r="B164">
        <v>101.997</v>
      </c>
      <c r="C164">
        <v>616482.66399999999</v>
      </c>
      <c r="D164">
        <v>3097695.9109999998</v>
      </c>
      <c r="E164">
        <v>632.51099999999997</v>
      </c>
      <c r="F164">
        <v>5.2</v>
      </c>
      <c r="G164">
        <v>0</v>
      </c>
      <c r="H164" t="s">
        <v>154</v>
      </c>
      <c r="I164">
        <v>0.22900000000000001</v>
      </c>
      <c r="J164">
        <f t="shared" si="89"/>
        <v>1</v>
      </c>
      <c r="K164">
        <f t="shared" ca="1" si="90"/>
        <v>50.95</v>
      </c>
      <c r="L164">
        <f t="shared" ca="1" si="91"/>
        <v>2.1389677043987478</v>
      </c>
      <c r="M164">
        <f t="shared" ca="1" si="64"/>
        <v>11.122632062873489</v>
      </c>
      <c r="N164">
        <f t="shared" ca="1" si="65"/>
        <v>1.1735290000551568</v>
      </c>
      <c r="O164">
        <f t="shared" ca="1" si="66"/>
        <v>4.5807502857230418</v>
      </c>
      <c r="P164">
        <f t="shared" ca="1" si="67"/>
        <v>634.6499677043987</v>
      </c>
      <c r="Q164">
        <f t="shared" ca="1" si="68"/>
        <v>635.71945155659807</v>
      </c>
      <c r="R164">
        <f t="shared" ca="1" si="69"/>
        <v>3.8141460404132466E-3</v>
      </c>
      <c r="S164">
        <f t="shared" ca="1" si="70"/>
        <v>1.0000000000000004</v>
      </c>
      <c r="T164">
        <f t="shared" ca="1" si="71"/>
        <v>35.686426155594638</v>
      </c>
      <c r="U164">
        <f t="shared" ca="1" si="92"/>
        <v>-3.7223323773787342E-3</v>
      </c>
      <c r="V164">
        <f t="shared" ca="1" si="93"/>
        <v>1</v>
      </c>
      <c r="W164">
        <f t="shared" ca="1" si="72"/>
        <v>2.1373203735079915</v>
      </c>
      <c r="X164">
        <f t="shared" ca="1" si="73"/>
        <v>11.114065942241556</v>
      </c>
      <c r="Y164">
        <f t="shared" ca="1" si="74"/>
        <v>1.1730329665261352</v>
      </c>
      <c r="Z164">
        <f t="shared" ca="1" si="75"/>
        <v>4.5842808801730106</v>
      </c>
      <c r="AA164">
        <f t="shared" ca="1" si="76"/>
        <v>634.648320373508</v>
      </c>
      <c r="AB164">
        <f t="shared" ca="1" si="77"/>
        <v>635.71945346159771</v>
      </c>
      <c r="AC164">
        <f t="shared" ca="1" si="78"/>
        <v>3.8221817362197445E-3</v>
      </c>
      <c r="AD164">
        <f t="shared" ca="1" si="79"/>
        <v>1.0011563415729299</v>
      </c>
      <c r="AE164">
        <f t="shared" ca="1" si="80"/>
        <v>35.686447333323514</v>
      </c>
      <c r="AF164">
        <f t="shared" ca="1" si="81"/>
        <v>3.4239393796724471E-3</v>
      </c>
      <c r="AG164">
        <f t="shared" ca="1" si="82"/>
        <v>0</v>
      </c>
      <c r="AH164">
        <f ca="1">IFERROR(IF(V32="Supercritical",MAX($D$16,IFERROR(L164,MAX($D$16,POWER((ABS(K164)^2)/($I$5*MAX(F164,0.1)^2),1/3)))),IF(V32="Subcritical",MAX($D$16,IFERROR(W164,MAX($D$16,POWER((ABS(K164)^2)/($I$5*MAX(F164,0.1)^2),1/3)))),IF(AND(IFERROR(V164,0)=1,IFERROR(AG164,0)=1),IF(IFERROR(T164,-1E+99)&gt;=IFERROR(AE164,-1E+99),MAX($D$16,IFERROR(L164,MAX($D$16,POWER((ABS(K164)^2)/($I$5*MAX(F164,0.1)^2),1/3)))),MAX($D$16,IFERROR(W164,MAX($D$16,POWER((ABS(K164)^2)/($I$5*MAX(F164,0.1)^2),1/3))))),IF(IFERROR(V164,0)=1,MAX($D$16,IFERROR(L164,MAX($D$16,POWER((ABS(K164)^2)/($I$5*MAX(F164,0.1)^2),1/3)))),IF(IFERROR(AG164,0)=1,MAX($D$16,IFERROR(W164,MAX($D$16,POWER((ABS(K164)^2)/($I$5*MAX(F164,0.1)^2),1/3)))),MAX($D$16,POWER((ABS(K164)^2)/($I$5*MAX(F164,0.1)^2),1/3))))))),MAX($D$16,POWER((ABS(K164)^2)/($I$5*MAX(F164,0.1)^2),1/3)))</f>
        <v>2.1389677043987478</v>
      </c>
      <c r="AI164">
        <f t="shared" ca="1" si="83"/>
        <v>634.6499677043987</v>
      </c>
      <c r="AJ164">
        <f t="shared" ca="1" si="84"/>
        <v>635.71945155659807</v>
      </c>
      <c r="AM164">
        <v>0</v>
      </c>
      <c r="AN164">
        <v>0</v>
      </c>
      <c r="AO164">
        <f t="shared" si="85"/>
        <v>0</v>
      </c>
      <c r="AP164">
        <f t="shared" si="94"/>
        <v>0</v>
      </c>
      <c r="AQ164">
        <f t="shared" ca="1" si="86"/>
        <v>1.0000000000000004</v>
      </c>
      <c r="AR164" t="str">
        <f t="shared" ca="1" si="87"/>
        <v>Supercritical</v>
      </c>
      <c r="AS164">
        <f t="shared" ca="1" si="88"/>
        <v>3.8141460404132466E-3</v>
      </c>
    </row>
    <row r="165" spans="1:45" x14ac:dyDescent="0.35">
      <c r="A165">
        <v>104</v>
      </c>
      <c r="B165">
        <v>102.997</v>
      </c>
      <c r="C165">
        <v>616481.66500000004</v>
      </c>
      <c r="D165">
        <v>3097695.8640000001</v>
      </c>
      <c r="E165">
        <v>632.51049999999998</v>
      </c>
      <c r="F165">
        <v>5.2</v>
      </c>
      <c r="G165">
        <v>0</v>
      </c>
      <c r="H165" t="s">
        <v>154</v>
      </c>
      <c r="I165">
        <v>5.7000000000000002E-2</v>
      </c>
      <c r="J165">
        <f t="shared" si="89"/>
        <v>1</v>
      </c>
      <c r="K165">
        <f t="shared" ca="1" si="90"/>
        <v>50.95</v>
      </c>
      <c r="L165">
        <f t="shared" ca="1" si="91"/>
        <v>2.1389677043987478</v>
      </c>
      <c r="M165">
        <f t="shared" ca="1" si="64"/>
        <v>11.122632062873489</v>
      </c>
      <c r="N165">
        <f t="shared" ca="1" si="65"/>
        <v>1.1735290000551568</v>
      </c>
      <c r="O165">
        <f t="shared" ca="1" si="66"/>
        <v>4.5807502857230418</v>
      </c>
      <c r="P165">
        <f t="shared" ca="1" si="67"/>
        <v>634.64946770439872</v>
      </c>
      <c r="Q165">
        <f t="shared" ca="1" si="68"/>
        <v>635.71895155659809</v>
      </c>
      <c r="R165">
        <f t="shared" ca="1" si="69"/>
        <v>3.8141460404132466E-3</v>
      </c>
      <c r="S165">
        <f t="shared" ca="1" si="70"/>
        <v>1.0000000000000004</v>
      </c>
      <c r="T165">
        <f t="shared" ca="1" si="71"/>
        <v>35.686426155594638</v>
      </c>
      <c r="U165">
        <f t="shared" ca="1" si="92"/>
        <v>-3.4157470064428708E-3</v>
      </c>
      <c r="V165">
        <f t="shared" ca="1" si="93"/>
        <v>1</v>
      </c>
      <c r="W165">
        <f t="shared" ca="1" si="72"/>
        <v>2.1381886436890443</v>
      </c>
      <c r="X165">
        <f t="shared" ca="1" si="73"/>
        <v>11.11858094718303</v>
      </c>
      <c r="Y165">
        <f t="shared" ca="1" si="74"/>
        <v>1.1732944573652897</v>
      </c>
      <c r="Z165">
        <f t="shared" ca="1" si="75"/>
        <v>4.5824193071066803</v>
      </c>
      <c r="AA165">
        <f t="shared" ca="1" si="76"/>
        <v>634.64868864368907</v>
      </c>
      <c r="AB165">
        <f t="shared" ca="1" si="77"/>
        <v>635.71895198243237</v>
      </c>
      <c r="AC165">
        <f t="shared" ca="1" si="78"/>
        <v>3.8179433334236904E-3</v>
      </c>
      <c r="AD165">
        <f t="shared" ca="1" si="79"/>
        <v>1.0005465829720761</v>
      </c>
      <c r="AE165">
        <f t="shared" ca="1" si="80"/>
        <v>35.686430890842168</v>
      </c>
      <c r="AF165">
        <f t="shared" ca="1" si="81"/>
        <v>3.3232946500447724E-3</v>
      </c>
      <c r="AG165">
        <f t="shared" ca="1" si="82"/>
        <v>0</v>
      </c>
      <c r="AH165">
        <f ca="1">IFERROR(IF(V32="Supercritical",MAX($D$16,IFERROR(L165,MAX($D$16,POWER((ABS(K165)^2)/($I$5*MAX(F165,0.1)^2),1/3)))),IF(V32="Subcritical",MAX($D$16,IFERROR(W165,MAX($D$16,POWER((ABS(K165)^2)/($I$5*MAX(F165,0.1)^2),1/3)))),IF(AND(IFERROR(V165,0)=1,IFERROR(AG165,0)=1),IF(IFERROR(T165,-1E+99)&gt;=IFERROR(AE165,-1E+99),MAX($D$16,IFERROR(L165,MAX($D$16,POWER((ABS(K165)^2)/($I$5*MAX(F165,0.1)^2),1/3)))),MAX($D$16,IFERROR(W165,MAX($D$16,POWER((ABS(K165)^2)/($I$5*MAX(F165,0.1)^2),1/3))))),IF(IFERROR(V165,0)=1,MAX($D$16,IFERROR(L165,MAX($D$16,POWER((ABS(K165)^2)/($I$5*MAX(F165,0.1)^2),1/3)))),IF(IFERROR(AG165,0)=1,MAX($D$16,IFERROR(W165,MAX($D$16,POWER((ABS(K165)^2)/($I$5*MAX(F165,0.1)^2),1/3)))),MAX($D$16,POWER((ABS(K165)^2)/($I$5*MAX(F165,0.1)^2),1/3))))))),MAX($D$16,POWER((ABS(K165)^2)/($I$5*MAX(F165,0.1)^2),1/3)))</f>
        <v>2.1389677043987478</v>
      </c>
      <c r="AI165">
        <f t="shared" ca="1" si="83"/>
        <v>634.64946770439872</v>
      </c>
      <c r="AJ165">
        <f t="shared" ca="1" si="84"/>
        <v>635.71895155659809</v>
      </c>
      <c r="AM165">
        <v>0</v>
      </c>
      <c r="AN165">
        <v>0</v>
      </c>
      <c r="AO165">
        <f t="shared" si="85"/>
        <v>0</v>
      </c>
      <c r="AP165">
        <f t="shared" si="94"/>
        <v>0</v>
      </c>
      <c r="AQ165">
        <f t="shared" ca="1" si="86"/>
        <v>1.0000000000000004</v>
      </c>
      <c r="AR165" t="str">
        <f t="shared" ca="1" si="87"/>
        <v>Supercritical</v>
      </c>
      <c r="AS165">
        <f t="shared" ca="1" si="88"/>
        <v>3.8141460404132466E-3</v>
      </c>
    </row>
    <row r="166" spans="1:45" x14ac:dyDescent="0.35">
      <c r="A166">
        <v>105</v>
      </c>
      <c r="B166">
        <v>103.997</v>
      </c>
      <c r="C166">
        <v>616480.66599999997</v>
      </c>
      <c r="D166">
        <v>3097695.8160000001</v>
      </c>
      <c r="E166">
        <v>632.51</v>
      </c>
      <c r="F166">
        <v>5.2</v>
      </c>
      <c r="G166">
        <v>0</v>
      </c>
      <c r="H166" t="s">
        <v>154</v>
      </c>
      <c r="I166">
        <v>3.0000000000000001E-3</v>
      </c>
      <c r="J166">
        <f t="shared" si="89"/>
        <v>1</v>
      </c>
      <c r="K166">
        <f t="shared" ca="1" si="90"/>
        <v>50.95</v>
      </c>
      <c r="L166">
        <f t="shared" ca="1" si="91"/>
        <v>2.1389677043987478</v>
      </c>
      <c r="M166">
        <f t="shared" ca="1" si="64"/>
        <v>11.122632062873489</v>
      </c>
      <c r="N166">
        <f t="shared" ca="1" si="65"/>
        <v>1.1735290000551568</v>
      </c>
      <c r="O166">
        <f t="shared" ca="1" si="66"/>
        <v>4.5807502857230418</v>
      </c>
      <c r="P166">
        <f t="shared" ca="1" si="67"/>
        <v>634.64896770439873</v>
      </c>
      <c r="Q166">
        <f t="shared" ca="1" si="68"/>
        <v>635.7184515565981</v>
      </c>
      <c r="R166">
        <f t="shared" ca="1" si="69"/>
        <v>3.8141460404132466E-3</v>
      </c>
      <c r="S166">
        <f t="shared" ca="1" si="70"/>
        <v>1.0000000000000004</v>
      </c>
      <c r="T166">
        <f t="shared" ca="1" si="71"/>
        <v>35.686426155594638</v>
      </c>
      <c r="U166">
        <f t="shared" ca="1" si="92"/>
        <v>-3.3194934596849635E-3</v>
      </c>
      <c r="V166">
        <f t="shared" ca="1" si="93"/>
        <v>1</v>
      </c>
      <c r="W166">
        <f t="shared" ca="1" si="72"/>
        <v>2.1373203735079915</v>
      </c>
      <c r="X166">
        <f t="shared" ca="1" si="73"/>
        <v>11.114065942241556</v>
      </c>
      <c r="Y166">
        <f t="shared" ca="1" si="74"/>
        <v>1.1730329665261352</v>
      </c>
      <c r="Z166">
        <f t="shared" ca="1" si="75"/>
        <v>4.5842808801730106</v>
      </c>
      <c r="AA166">
        <f t="shared" ca="1" si="76"/>
        <v>634.64732037350802</v>
      </c>
      <c r="AB166">
        <f t="shared" ca="1" si="77"/>
        <v>635.71845346159773</v>
      </c>
      <c r="AC166">
        <f t="shared" ca="1" si="78"/>
        <v>3.8221817362197445E-3</v>
      </c>
      <c r="AD166">
        <f t="shared" ca="1" si="79"/>
        <v>1.0011563415729299</v>
      </c>
      <c r="AE166">
        <f t="shared" ca="1" si="80"/>
        <v>35.686447333323514</v>
      </c>
      <c r="AF166">
        <f t="shared" ca="1" si="81"/>
        <v>3.4254728632276965E-3</v>
      </c>
      <c r="AG166">
        <f t="shared" ca="1" si="82"/>
        <v>0</v>
      </c>
      <c r="AH166">
        <f ca="1">IFERROR(IF(V32="Supercritical",MAX($D$16,IFERROR(L166,MAX($D$16,POWER((ABS(K166)^2)/($I$5*MAX(F166,0.1)^2),1/3)))),IF(V32="Subcritical",MAX($D$16,IFERROR(W166,MAX($D$16,POWER((ABS(K166)^2)/($I$5*MAX(F166,0.1)^2),1/3)))),IF(AND(IFERROR(V166,0)=1,IFERROR(AG166,0)=1),IF(IFERROR(T166,-1E+99)&gt;=IFERROR(AE166,-1E+99),MAX($D$16,IFERROR(L166,MAX($D$16,POWER((ABS(K166)^2)/($I$5*MAX(F166,0.1)^2),1/3)))),MAX($D$16,IFERROR(W166,MAX($D$16,POWER((ABS(K166)^2)/($I$5*MAX(F166,0.1)^2),1/3))))),IF(IFERROR(V166,0)=1,MAX($D$16,IFERROR(L166,MAX($D$16,POWER((ABS(K166)^2)/($I$5*MAX(F166,0.1)^2),1/3)))),IF(IFERROR(AG166,0)=1,MAX($D$16,IFERROR(W166,MAX($D$16,POWER((ABS(K166)^2)/($I$5*MAX(F166,0.1)^2),1/3)))),MAX($D$16,POWER((ABS(K166)^2)/($I$5*MAX(F166,0.1)^2),1/3))))))),MAX($D$16,POWER((ABS(K166)^2)/($I$5*MAX(F166,0.1)^2),1/3)))</f>
        <v>2.1389677043987478</v>
      </c>
      <c r="AI166">
        <f t="shared" ca="1" si="83"/>
        <v>634.64896770439873</v>
      </c>
      <c r="AJ166">
        <f t="shared" ca="1" si="84"/>
        <v>635.7184515565981</v>
      </c>
      <c r="AM166">
        <v>0</v>
      </c>
      <c r="AN166">
        <v>0</v>
      </c>
      <c r="AO166">
        <f t="shared" si="85"/>
        <v>0</v>
      </c>
      <c r="AP166">
        <f t="shared" si="94"/>
        <v>0</v>
      </c>
      <c r="AQ166">
        <f t="shared" ca="1" si="86"/>
        <v>1.0000000000000004</v>
      </c>
      <c r="AR166" t="str">
        <f t="shared" ca="1" si="87"/>
        <v>Supercritical</v>
      </c>
      <c r="AS166">
        <f t="shared" ca="1" si="88"/>
        <v>3.8141460404132466E-3</v>
      </c>
    </row>
    <row r="167" spans="1:45" x14ac:dyDescent="0.35">
      <c r="A167">
        <v>106</v>
      </c>
      <c r="B167">
        <v>104.996</v>
      </c>
      <c r="C167">
        <v>616479.66799999995</v>
      </c>
      <c r="D167">
        <v>3097695.7680000002</v>
      </c>
      <c r="E167">
        <v>632.5095</v>
      </c>
      <c r="F167">
        <v>5.2</v>
      </c>
      <c r="G167">
        <v>0</v>
      </c>
      <c r="H167" t="s">
        <v>154</v>
      </c>
      <c r="I167">
        <v>0.06</v>
      </c>
      <c r="J167">
        <f t="shared" si="89"/>
        <v>0.99899999999999523</v>
      </c>
      <c r="K167">
        <f t="shared" ca="1" si="90"/>
        <v>50.95</v>
      </c>
      <c r="L167">
        <f t="shared" ca="1" si="91"/>
        <v>2.1389677043987478</v>
      </c>
      <c r="M167">
        <f t="shared" ca="1" si="64"/>
        <v>11.122632062873489</v>
      </c>
      <c r="N167">
        <f t="shared" ca="1" si="65"/>
        <v>1.1735290000551568</v>
      </c>
      <c r="O167">
        <f t="shared" ca="1" si="66"/>
        <v>4.5807502857230418</v>
      </c>
      <c r="P167">
        <f t="shared" ca="1" si="67"/>
        <v>634.64846770439874</v>
      </c>
      <c r="Q167">
        <f t="shared" ca="1" si="68"/>
        <v>635.71795155659811</v>
      </c>
      <c r="R167">
        <f t="shared" ca="1" si="69"/>
        <v>3.8141460404132466E-3</v>
      </c>
      <c r="S167">
        <f t="shared" ca="1" si="70"/>
        <v>1.0000000000000004</v>
      </c>
      <c r="T167">
        <f t="shared" ca="1" si="71"/>
        <v>35.686426155594638</v>
      </c>
      <c r="U167">
        <f t="shared" ca="1" si="92"/>
        <v>-3.4172802795637836E-3</v>
      </c>
      <c r="V167">
        <f t="shared" ca="1" si="93"/>
        <v>1</v>
      </c>
      <c r="W167">
        <f t="shared" ca="1" si="72"/>
        <v>2.1381886436890443</v>
      </c>
      <c r="X167">
        <f t="shared" ca="1" si="73"/>
        <v>11.11858094718303</v>
      </c>
      <c r="Y167">
        <f t="shared" ca="1" si="74"/>
        <v>1.1732944573652897</v>
      </c>
      <c r="Z167">
        <f t="shared" ca="1" si="75"/>
        <v>4.5824193071066803</v>
      </c>
      <c r="AA167">
        <f t="shared" ca="1" si="76"/>
        <v>634.64768864368909</v>
      </c>
      <c r="AB167">
        <f t="shared" ca="1" si="77"/>
        <v>635.7179519824324</v>
      </c>
      <c r="AC167">
        <f t="shared" ca="1" si="78"/>
        <v>3.8179433334236904E-3</v>
      </c>
      <c r="AD167">
        <f t="shared" ca="1" si="79"/>
        <v>1.0005465829720761</v>
      </c>
      <c r="AE167">
        <f t="shared" ca="1" si="80"/>
        <v>35.686430890842168</v>
      </c>
      <c r="AF167">
        <f t="shared" ca="1" si="81"/>
        <v>3.4234362939287166E-3</v>
      </c>
      <c r="AG167">
        <f t="shared" ca="1" si="82"/>
        <v>0</v>
      </c>
      <c r="AH167">
        <f ca="1">IFERROR(IF(V32="Supercritical",MAX($D$16,IFERROR(L167,MAX($D$16,POWER((ABS(K167)^2)/($I$5*MAX(F167,0.1)^2),1/3)))),IF(V32="Subcritical",MAX($D$16,IFERROR(W167,MAX($D$16,POWER((ABS(K167)^2)/($I$5*MAX(F167,0.1)^2),1/3)))),IF(AND(IFERROR(V167,0)=1,IFERROR(AG167,0)=1),IF(IFERROR(T167,-1E+99)&gt;=IFERROR(AE167,-1E+99),MAX($D$16,IFERROR(L167,MAX($D$16,POWER((ABS(K167)^2)/($I$5*MAX(F167,0.1)^2),1/3)))),MAX($D$16,IFERROR(W167,MAX($D$16,POWER((ABS(K167)^2)/($I$5*MAX(F167,0.1)^2),1/3))))),IF(IFERROR(V167,0)=1,MAX($D$16,IFERROR(L167,MAX($D$16,POWER((ABS(K167)^2)/($I$5*MAX(F167,0.1)^2),1/3)))),IF(IFERROR(AG167,0)=1,MAX($D$16,IFERROR(W167,MAX($D$16,POWER((ABS(K167)^2)/($I$5*MAX(F167,0.1)^2),1/3)))),MAX($D$16,POWER((ABS(K167)^2)/($I$5*MAX(F167,0.1)^2),1/3))))))),MAX($D$16,POWER((ABS(K167)^2)/($I$5*MAX(F167,0.1)^2),1/3)))</f>
        <v>2.1389677043987478</v>
      </c>
      <c r="AI167">
        <f t="shared" ca="1" si="83"/>
        <v>634.64846770439874</v>
      </c>
      <c r="AJ167">
        <f t="shared" ca="1" si="84"/>
        <v>635.71795155659811</v>
      </c>
      <c r="AM167">
        <v>0</v>
      </c>
      <c r="AN167">
        <v>0</v>
      </c>
      <c r="AO167">
        <f t="shared" si="85"/>
        <v>0</v>
      </c>
      <c r="AP167">
        <f t="shared" si="94"/>
        <v>0</v>
      </c>
      <c r="AQ167">
        <f t="shared" ca="1" si="86"/>
        <v>1.0000000000000004</v>
      </c>
      <c r="AR167" t="str">
        <f t="shared" ca="1" si="87"/>
        <v>Supercritical</v>
      </c>
      <c r="AS167">
        <f t="shared" ca="1" si="88"/>
        <v>3.8141460404132466E-3</v>
      </c>
    </row>
    <row r="168" spans="1:45" x14ac:dyDescent="0.35">
      <c r="A168">
        <v>107</v>
      </c>
      <c r="B168">
        <v>105.997</v>
      </c>
      <c r="C168">
        <v>616478.66899999999</v>
      </c>
      <c r="D168">
        <v>3097695.7209999999</v>
      </c>
      <c r="E168">
        <v>632.50900000000001</v>
      </c>
      <c r="F168">
        <v>5.2</v>
      </c>
      <c r="G168">
        <v>0</v>
      </c>
      <c r="H168" t="s">
        <v>154</v>
      </c>
      <c r="I168">
        <v>5.7000000000000002E-2</v>
      </c>
      <c r="J168">
        <f t="shared" si="89"/>
        <v>1.0010000000000048</v>
      </c>
      <c r="K168">
        <f t="shared" ca="1" si="90"/>
        <v>50.95</v>
      </c>
      <c r="L168">
        <f t="shared" ca="1" si="91"/>
        <v>2.1389677043987478</v>
      </c>
      <c r="M168">
        <f t="shared" ca="1" si="64"/>
        <v>11.122632062873489</v>
      </c>
      <c r="N168">
        <f t="shared" ca="1" si="65"/>
        <v>1.1735290000551568</v>
      </c>
      <c r="O168">
        <f t="shared" ca="1" si="66"/>
        <v>4.5807502857230418</v>
      </c>
      <c r="P168">
        <f t="shared" ca="1" si="67"/>
        <v>634.64796770439875</v>
      </c>
      <c r="Q168">
        <f t="shared" ca="1" si="68"/>
        <v>635.71745155659812</v>
      </c>
      <c r="R168">
        <f t="shared" ca="1" si="69"/>
        <v>3.8141460404132466E-3</v>
      </c>
      <c r="S168">
        <f t="shared" ca="1" si="70"/>
        <v>1.0000000000000004</v>
      </c>
      <c r="T168">
        <f t="shared" ca="1" si="71"/>
        <v>35.686426155594638</v>
      </c>
      <c r="U168">
        <f t="shared" ca="1" si="92"/>
        <v>-3.4195611524410197E-3</v>
      </c>
      <c r="V168">
        <f t="shared" ca="1" si="93"/>
        <v>1</v>
      </c>
      <c r="W168">
        <f t="shared" ca="1" si="72"/>
        <v>2.1373203735079915</v>
      </c>
      <c r="X168">
        <f t="shared" ca="1" si="73"/>
        <v>11.114065942241556</v>
      </c>
      <c r="Y168">
        <f t="shared" ca="1" si="74"/>
        <v>1.1730329665261352</v>
      </c>
      <c r="Z168">
        <f t="shared" ca="1" si="75"/>
        <v>4.5842808801730106</v>
      </c>
      <c r="AA168">
        <f t="shared" ca="1" si="76"/>
        <v>634.64632037350805</v>
      </c>
      <c r="AB168">
        <f t="shared" ca="1" si="77"/>
        <v>635.71745346159776</v>
      </c>
      <c r="AC168">
        <f t="shared" ca="1" si="78"/>
        <v>3.8221817362197445E-3</v>
      </c>
      <c r="AD168">
        <f t="shared" ca="1" si="79"/>
        <v>1.0011563415729299</v>
      </c>
      <c r="AE168">
        <f t="shared" ca="1" si="80"/>
        <v>35.686447333323514</v>
      </c>
      <c r="AF168">
        <f t="shared" ca="1" si="81"/>
        <v>3.3221817362800721E-3</v>
      </c>
      <c r="AG168">
        <f t="shared" ca="1" si="82"/>
        <v>0</v>
      </c>
      <c r="AH168">
        <f ca="1">IFERROR(IF(V32="Supercritical",MAX($D$16,IFERROR(L168,MAX($D$16,POWER((ABS(K168)^2)/($I$5*MAX(F168,0.1)^2),1/3)))),IF(V32="Subcritical",MAX($D$16,IFERROR(W168,MAX($D$16,POWER((ABS(K168)^2)/($I$5*MAX(F168,0.1)^2),1/3)))),IF(AND(IFERROR(V168,0)=1,IFERROR(AG168,0)=1),IF(IFERROR(T168,-1E+99)&gt;=IFERROR(AE168,-1E+99),MAX($D$16,IFERROR(L168,MAX($D$16,POWER((ABS(K168)^2)/($I$5*MAX(F168,0.1)^2),1/3)))),MAX($D$16,IFERROR(W168,MAX($D$16,POWER((ABS(K168)^2)/($I$5*MAX(F168,0.1)^2),1/3))))),IF(IFERROR(V168,0)=1,MAX($D$16,IFERROR(L168,MAX($D$16,POWER((ABS(K168)^2)/($I$5*MAX(F168,0.1)^2),1/3)))),IF(IFERROR(AG168,0)=1,MAX($D$16,IFERROR(W168,MAX($D$16,POWER((ABS(K168)^2)/($I$5*MAX(F168,0.1)^2),1/3)))),MAX($D$16,POWER((ABS(K168)^2)/($I$5*MAX(F168,0.1)^2),1/3))))))),MAX($D$16,POWER((ABS(K168)^2)/($I$5*MAX(F168,0.1)^2),1/3)))</f>
        <v>2.1389677043987478</v>
      </c>
      <c r="AI168">
        <f t="shared" ca="1" si="83"/>
        <v>634.64796770439875</v>
      </c>
      <c r="AJ168">
        <f t="shared" ca="1" si="84"/>
        <v>635.71745155659812</v>
      </c>
      <c r="AM168">
        <v>0</v>
      </c>
      <c r="AN168">
        <v>0</v>
      </c>
      <c r="AO168">
        <f t="shared" si="85"/>
        <v>0</v>
      </c>
      <c r="AP168">
        <f t="shared" si="94"/>
        <v>0</v>
      </c>
      <c r="AQ168">
        <f t="shared" ca="1" si="86"/>
        <v>1.0000000000000004</v>
      </c>
      <c r="AR168" t="str">
        <f t="shared" ca="1" si="87"/>
        <v>Supercritical</v>
      </c>
      <c r="AS168">
        <f t="shared" ca="1" si="88"/>
        <v>3.8141460404132466E-3</v>
      </c>
    </row>
    <row r="169" spans="1:45" x14ac:dyDescent="0.35">
      <c r="A169">
        <v>108</v>
      </c>
      <c r="B169">
        <v>106.997</v>
      </c>
      <c r="C169">
        <v>616477.67000000004</v>
      </c>
      <c r="D169">
        <v>3097695.673</v>
      </c>
      <c r="E169">
        <v>632.50850000000003</v>
      </c>
      <c r="F169">
        <v>5.2</v>
      </c>
      <c r="G169">
        <v>0</v>
      </c>
      <c r="H169" t="s">
        <v>154</v>
      </c>
      <c r="I169">
        <v>0</v>
      </c>
      <c r="J169">
        <f t="shared" si="89"/>
        <v>1</v>
      </c>
      <c r="K169">
        <f t="shared" ca="1" si="90"/>
        <v>50.95</v>
      </c>
      <c r="L169">
        <f t="shared" ca="1" si="91"/>
        <v>2.1389677043987478</v>
      </c>
      <c r="M169">
        <f t="shared" ca="1" si="64"/>
        <v>11.122632062873489</v>
      </c>
      <c r="N169">
        <f t="shared" ca="1" si="65"/>
        <v>1.1735290000551568</v>
      </c>
      <c r="O169">
        <f t="shared" ca="1" si="66"/>
        <v>4.5807502857230418</v>
      </c>
      <c r="P169">
        <f t="shared" ca="1" si="67"/>
        <v>634.64746770439876</v>
      </c>
      <c r="Q169">
        <f t="shared" ca="1" si="68"/>
        <v>635.71695155659813</v>
      </c>
      <c r="R169">
        <f t="shared" ca="1" si="69"/>
        <v>3.8141460404132466E-3</v>
      </c>
      <c r="S169">
        <f t="shared" ca="1" si="70"/>
        <v>1.0000000000000004</v>
      </c>
      <c r="T169">
        <f t="shared" ca="1" si="71"/>
        <v>35.686426155594638</v>
      </c>
      <c r="U169">
        <f t="shared" ca="1" si="92"/>
        <v>-3.3141460404522149E-3</v>
      </c>
      <c r="V169">
        <f t="shared" ca="1" si="93"/>
        <v>1</v>
      </c>
      <c r="W169">
        <f t="shared" ca="1" si="72"/>
        <v>2.1381886436890443</v>
      </c>
      <c r="X169">
        <f t="shared" ca="1" si="73"/>
        <v>11.11858094718303</v>
      </c>
      <c r="Y169">
        <f t="shared" ca="1" si="74"/>
        <v>1.1732944573652897</v>
      </c>
      <c r="Z169">
        <f t="shared" ca="1" si="75"/>
        <v>4.5824193071066803</v>
      </c>
      <c r="AA169">
        <f t="shared" ca="1" si="76"/>
        <v>634.64668864368912</v>
      </c>
      <c r="AB169">
        <f t="shared" ca="1" si="77"/>
        <v>635.71695198243242</v>
      </c>
      <c r="AC169">
        <f t="shared" ca="1" si="78"/>
        <v>3.8179433334236904E-3</v>
      </c>
      <c r="AD169">
        <f t="shared" ca="1" si="79"/>
        <v>1.0005465829720761</v>
      </c>
      <c r="AE169">
        <f t="shared" ca="1" si="80"/>
        <v>35.686430890842168</v>
      </c>
      <c r="AF169">
        <f t="shared" ca="1" si="81"/>
        <v>3.4196183505628142E-3</v>
      </c>
      <c r="AG169">
        <f t="shared" ca="1" si="82"/>
        <v>0</v>
      </c>
      <c r="AH169">
        <f ca="1">IFERROR(IF(V32="Supercritical",MAX($D$16,IFERROR(L169,MAX($D$16,POWER((ABS(K169)^2)/($I$5*MAX(F169,0.1)^2),1/3)))),IF(V32="Subcritical",MAX($D$16,IFERROR(W169,MAX($D$16,POWER((ABS(K169)^2)/($I$5*MAX(F169,0.1)^2),1/3)))),IF(AND(IFERROR(V169,0)=1,IFERROR(AG169,0)=1),IF(IFERROR(T169,-1E+99)&gt;=IFERROR(AE169,-1E+99),MAX($D$16,IFERROR(L169,MAX($D$16,POWER((ABS(K169)^2)/($I$5*MAX(F169,0.1)^2),1/3)))),MAX($D$16,IFERROR(W169,MAX($D$16,POWER((ABS(K169)^2)/($I$5*MAX(F169,0.1)^2),1/3))))),IF(IFERROR(V169,0)=1,MAX($D$16,IFERROR(L169,MAX($D$16,POWER((ABS(K169)^2)/($I$5*MAX(F169,0.1)^2),1/3)))),IF(IFERROR(AG169,0)=1,MAX($D$16,IFERROR(W169,MAX($D$16,POWER((ABS(K169)^2)/($I$5*MAX(F169,0.1)^2),1/3)))),MAX($D$16,POWER((ABS(K169)^2)/($I$5*MAX(F169,0.1)^2),1/3))))))),MAX($D$16,POWER((ABS(K169)^2)/($I$5*MAX(F169,0.1)^2),1/3)))</f>
        <v>2.1389677043987478</v>
      </c>
      <c r="AI169">
        <f t="shared" ca="1" si="83"/>
        <v>634.64746770439876</v>
      </c>
      <c r="AJ169">
        <f t="shared" ca="1" si="84"/>
        <v>635.71695155659813</v>
      </c>
      <c r="AM169">
        <v>0</v>
      </c>
      <c r="AN169">
        <v>0</v>
      </c>
      <c r="AO169">
        <f t="shared" si="85"/>
        <v>0</v>
      </c>
      <c r="AP169">
        <f t="shared" si="94"/>
        <v>0</v>
      </c>
      <c r="AQ169">
        <f t="shared" ca="1" si="86"/>
        <v>1.0000000000000004</v>
      </c>
      <c r="AR169" t="str">
        <f t="shared" ca="1" si="87"/>
        <v>Supercritical</v>
      </c>
      <c r="AS169">
        <f t="shared" ca="1" si="88"/>
        <v>3.8141460404132466E-3</v>
      </c>
    </row>
    <row r="170" spans="1:45" x14ac:dyDescent="0.35">
      <c r="A170">
        <v>109</v>
      </c>
      <c r="B170">
        <v>107.997</v>
      </c>
      <c r="C170">
        <v>616476.67099999997</v>
      </c>
      <c r="D170">
        <v>3097695.625</v>
      </c>
      <c r="E170">
        <v>632.50800000000004</v>
      </c>
      <c r="F170">
        <v>5.2</v>
      </c>
      <c r="G170">
        <v>0</v>
      </c>
      <c r="H170" t="s">
        <v>154</v>
      </c>
      <c r="I170">
        <v>5.7000000000000002E-2</v>
      </c>
      <c r="J170">
        <f t="shared" si="89"/>
        <v>1</v>
      </c>
      <c r="K170">
        <f t="shared" ca="1" si="90"/>
        <v>50.95</v>
      </c>
      <c r="L170">
        <f t="shared" ca="1" si="91"/>
        <v>2.1389677043987478</v>
      </c>
      <c r="M170">
        <f t="shared" ca="1" si="64"/>
        <v>11.122632062873489</v>
      </c>
      <c r="N170">
        <f t="shared" ca="1" si="65"/>
        <v>1.1735290000551568</v>
      </c>
      <c r="O170">
        <f t="shared" ca="1" si="66"/>
        <v>4.5807502857230418</v>
      </c>
      <c r="P170">
        <f t="shared" ca="1" si="67"/>
        <v>634.64696770439878</v>
      </c>
      <c r="Q170">
        <f t="shared" ca="1" si="68"/>
        <v>635.71645155659814</v>
      </c>
      <c r="R170">
        <f t="shared" ca="1" si="69"/>
        <v>3.8141460404132466E-3</v>
      </c>
      <c r="S170">
        <f t="shared" ca="1" si="70"/>
        <v>1.0000000000000004</v>
      </c>
      <c r="T170">
        <f t="shared" ca="1" si="71"/>
        <v>35.686426155594638</v>
      </c>
      <c r="U170">
        <f t="shared" ca="1" si="92"/>
        <v>-3.4157470064428708E-3</v>
      </c>
      <c r="V170">
        <f t="shared" ca="1" si="93"/>
        <v>1</v>
      </c>
      <c r="W170">
        <f t="shared" ca="1" si="72"/>
        <v>2.1373203735079915</v>
      </c>
      <c r="X170">
        <f t="shared" ca="1" si="73"/>
        <v>11.114065942241556</v>
      </c>
      <c r="Y170">
        <f t="shared" ca="1" si="74"/>
        <v>1.1730329665261352</v>
      </c>
      <c r="Z170">
        <f t="shared" ca="1" si="75"/>
        <v>4.5842808801730106</v>
      </c>
      <c r="AA170">
        <f t="shared" ca="1" si="76"/>
        <v>634.64532037350807</v>
      </c>
      <c r="AB170">
        <f t="shared" ca="1" si="77"/>
        <v>635.71645346159778</v>
      </c>
      <c r="AC170">
        <f t="shared" ca="1" si="78"/>
        <v>3.8221817362197445E-3</v>
      </c>
      <c r="AD170">
        <f t="shared" ca="1" si="79"/>
        <v>1.0011563415729299</v>
      </c>
      <c r="AE170">
        <f t="shared" ca="1" si="80"/>
        <v>35.686447333323514</v>
      </c>
      <c r="AF170">
        <f t="shared" ca="1" si="81"/>
        <v>3.4239393796724471E-3</v>
      </c>
      <c r="AG170">
        <f t="shared" ca="1" si="82"/>
        <v>0</v>
      </c>
      <c r="AH170">
        <f ca="1">IFERROR(IF(V32="Supercritical",MAX($D$16,IFERROR(L170,MAX($D$16,POWER((ABS(K170)^2)/($I$5*MAX(F170,0.1)^2),1/3)))),IF(V32="Subcritical",MAX($D$16,IFERROR(W170,MAX($D$16,POWER((ABS(K170)^2)/($I$5*MAX(F170,0.1)^2),1/3)))),IF(AND(IFERROR(V170,0)=1,IFERROR(AG170,0)=1),IF(IFERROR(T170,-1E+99)&gt;=IFERROR(AE170,-1E+99),MAX($D$16,IFERROR(L170,MAX($D$16,POWER((ABS(K170)^2)/($I$5*MAX(F170,0.1)^2),1/3)))),MAX($D$16,IFERROR(W170,MAX($D$16,POWER((ABS(K170)^2)/($I$5*MAX(F170,0.1)^2),1/3))))),IF(IFERROR(V170,0)=1,MAX($D$16,IFERROR(L170,MAX($D$16,POWER((ABS(K170)^2)/($I$5*MAX(F170,0.1)^2),1/3)))),IF(IFERROR(AG170,0)=1,MAX($D$16,IFERROR(W170,MAX($D$16,POWER((ABS(K170)^2)/($I$5*MAX(F170,0.1)^2),1/3)))),MAX($D$16,POWER((ABS(K170)^2)/($I$5*MAX(F170,0.1)^2),1/3))))))),MAX($D$16,POWER((ABS(K170)^2)/($I$5*MAX(F170,0.1)^2),1/3)))</f>
        <v>2.1389677043987478</v>
      </c>
      <c r="AI170">
        <f t="shared" ca="1" si="83"/>
        <v>634.64696770439878</v>
      </c>
      <c r="AJ170">
        <f t="shared" ca="1" si="84"/>
        <v>635.71645155659814</v>
      </c>
      <c r="AM170">
        <v>0</v>
      </c>
      <c r="AN170">
        <v>0</v>
      </c>
      <c r="AO170">
        <f t="shared" si="85"/>
        <v>0</v>
      </c>
      <c r="AP170">
        <f t="shared" si="94"/>
        <v>0</v>
      </c>
      <c r="AQ170">
        <f t="shared" ca="1" si="86"/>
        <v>1.0000000000000004</v>
      </c>
      <c r="AR170" t="str">
        <f t="shared" ca="1" si="87"/>
        <v>Supercritical</v>
      </c>
      <c r="AS170">
        <f t="shared" ca="1" si="88"/>
        <v>3.8141460404132466E-3</v>
      </c>
    </row>
    <row r="171" spans="1:45" x14ac:dyDescent="0.35">
      <c r="A171">
        <v>110</v>
      </c>
      <c r="B171">
        <v>108.997</v>
      </c>
      <c r="C171">
        <v>616475.67200000002</v>
      </c>
      <c r="D171">
        <v>3097695.5780000002</v>
      </c>
      <c r="E171">
        <v>632.50750000000005</v>
      </c>
      <c r="F171">
        <v>5.2</v>
      </c>
      <c r="G171">
        <v>0</v>
      </c>
      <c r="H171" t="s">
        <v>154</v>
      </c>
      <c r="I171">
        <v>5.7000000000000002E-2</v>
      </c>
      <c r="J171">
        <f t="shared" si="89"/>
        <v>1</v>
      </c>
      <c r="K171">
        <f t="shared" ca="1" si="90"/>
        <v>50.95</v>
      </c>
      <c r="L171">
        <f t="shared" ca="1" si="91"/>
        <v>2.1389677043987478</v>
      </c>
      <c r="M171">
        <f t="shared" ca="1" si="64"/>
        <v>11.122632062873489</v>
      </c>
      <c r="N171">
        <f t="shared" ca="1" si="65"/>
        <v>1.1735290000551568</v>
      </c>
      <c r="O171">
        <f t="shared" ca="1" si="66"/>
        <v>4.5807502857230418</v>
      </c>
      <c r="P171">
        <f t="shared" ca="1" si="67"/>
        <v>634.64646770439879</v>
      </c>
      <c r="Q171">
        <f t="shared" ca="1" si="68"/>
        <v>635.71595155659816</v>
      </c>
      <c r="R171">
        <f t="shared" ca="1" si="69"/>
        <v>3.8141460404132466E-3</v>
      </c>
      <c r="S171">
        <f t="shared" ca="1" si="70"/>
        <v>1.0000000000000004</v>
      </c>
      <c r="T171">
        <f t="shared" ca="1" si="71"/>
        <v>35.686426155594638</v>
      </c>
      <c r="U171">
        <f t="shared" ca="1" si="92"/>
        <v>-3.4157470064428708E-3</v>
      </c>
      <c r="V171">
        <f t="shared" ca="1" si="93"/>
        <v>1</v>
      </c>
      <c r="W171">
        <f t="shared" ca="1" si="72"/>
        <v>2.1381886436890443</v>
      </c>
      <c r="X171">
        <f t="shared" ca="1" si="73"/>
        <v>11.11858094718303</v>
      </c>
      <c r="Y171">
        <f t="shared" ca="1" si="74"/>
        <v>1.1732944573652897</v>
      </c>
      <c r="Z171">
        <f t="shared" ca="1" si="75"/>
        <v>4.5824193071066803</v>
      </c>
      <c r="AA171">
        <f t="shared" ca="1" si="76"/>
        <v>634.64568864368914</v>
      </c>
      <c r="AB171">
        <f t="shared" ca="1" si="77"/>
        <v>635.71595198243244</v>
      </c>
      <c r="AC171">
        <f t="shared" ca="1" si="78"/>
        <v>3.8179433334236904E-3</v>
      </c>
      <c r="AD171">
        <f t="shared" ca="1" si="79"/>
        <v>1.0005465829720761</v>
      </c>
      <c r="AE171">
        <f t="shared" ca="1" si="80"/>
        <v>35.686430890842168</v>
      </c>
      <c r="AF171">
        <f t="shared" ca="1" si="81"/>
        <v>3.4196183504491273E-3</v>
      </c>
      <c r="AG171">
        <f t="shared" ca="1" si="82"/>
        <v>0</v>
      </c>
      <c r="AH171">
        <f ca="1">IFERROR(IF(V32="Supercritical",MAX($D$16,IFERROR(L171,MAX($D$16,POWER((ABS(K171)^2)/($I$5*MAX(F171,0.1)^2),1/3)))),IF(V32="Subcritical",MAX($D$16,IFERROR(W171,MAX($D$16,POWER((ABS(K171)^2)/($I$5*MAX(F171,0.1)^2),1/3)))),IF(AND(IFERROR(V171,0)=1,IFERROR(AG171,0)=1),IF(IFERROR(T171,-1E+99)&gt;=IFERROR(AE171,-1E+99),MAX($D$16,IFERROR(L171,MAX($D$16,POWER((ABS(K171)^2)/($I$5*MAX(F171,0.1)^2),1/3)))),MAX($D$16,IFERROR(W171,MAX($D$16,POWER((ABS(K171)^2)/($I$5*MAX(F171,0.1)^2),1/3))))),IF(IFERROR(V171,0)=1,MAX($D$16,IFERROR(L171,MAX($D$16,POWER((ABS(K171)^2)/($I$5*MAX(F171,0.1)^2),1/3)))),IF(IFERROR(AG171,0)=1,MAX($D$16,IFERROR(W171,MAX($D$16,POWER((ABS(K171)^2)/($I$5*MAX(F171,0.1)^2),1/3)))),MAX($D$16,POWER((ABS(K171)^2)/($I$5*MAX(F171,0.1)^2),1/3))))))),MAX($D$16,POWER((ABS(K171)^2)/($I$5*MAX(F171,0.1)^2),1/3)))</f>
        <v>2.1389677043987478</v>
      </c>
      <c r="AI171">
        <f t="shared" ca="1" si="83"/>
        <v>634.64646770439879</v>
      </c>
      <c r="AJ171">
        <f t="shared" ca="1" si="84"/>
        <v>635.71595155659816</v>
      </c>
      <c r="AM171">
        <v>0</v>
      </c>
      <c r="AN171">
        <v>0</v>
      </c>
      <c r="AO171">
        <f t="shared" si="85"/>
        <v>0</v>
      </c>
      <c r="AP171">
        <f t="shared" si="94"/>
        <v>0</v>
      </c>
      <c r="AQ171">
        <f t="shared" ca="1" si="86"/>
        <v>1.0000000000000004</v>
      </c>
      <c r="AR171" t="str">
        <f t="shared" ca="1" si="87"/>
        <v>Supercritical</v>
      </c>
      <c r="AS171">
        <f t="shared" ca="1" si="88"/>
        <v>3.8141460404132466E-3</v>
      </c>
    </row>
    <row r="172" spans="1:45" x14ac:dyDescent="0.35">
      <c r="A172">
        <v>111</v>
      </c>
      <c r="B172">
        <v>109.997</v>
      </c>
      <c r="C172">
        <v>616474.67299999995</v>
      </c>
      <c r="D172">
        <v>3097695.53</v>
      </c>
      <c r="E172">
        <v>632.50699999999995</v>
      </c>
      <c r="F172">
        <v>5.2</v>
      </c>
      <c r="G172">
        <v>0</v>
      </c>
      <c r="H172" t="s">
        <v>154</v>
      </c>
      <c r="I172">
        <v>5.7000000000000002E-2</v>
      </c>
      <c r="J172">
        <f t="shared" si="89"/>
        <v>1</v>
      </c>
      <c r="K172">
        <f t="shared" ca="1" si="90"/>
        <v>50.95</v>
      </c>
      <c r="L172">
        <f t="shared" ca="1" si="91"/>
        <v>2.1389677043987478</v>
      </c>
      <c r="M172">
        <f t="shared" ca="1" si="64"/>
        <v>11.122632062873489</v>
      </c>
      <c r="N172">
        <f t="shared" ca="1" si="65"/>
        <v>1.1735290000551568</v>
      </c>
      <c r="O172">
        <f t="shared" ca="1" si="66"/>
        <v>4.5807502857230418</v>
      </c>
      <c r="P172">
        <f t="shared" ca="1" si="67"/>
        <v>634.64596770439869</v>
      </c>
      <c r="Q172">
        <f t="shared" ca="1" si="68"/>
        <v>635.71545155659805</v>
      </c>
      <c r="R172">
        <f t="shared" ca="1" si="69"/>
        <v>3.8141460404132466E-3</v>
      </c>
      <c r="S172">
        <f t="shared" ca="1" si="70"/>
        <v>1.0000000000000004</v>
      </c>
      <c r="T172">
        <f t="shared" ca="1" si="71"/>
        <v>35.686426155594638</v>
      </c>
      <c r="U172">
        <f t="shared" ca="1" si="92"/>
        <v>-3.4157470063291839E-3</v>
      </c>
      <c r="V172">
        <f t="shared" ca="1" si="93"/>
        <v>1</v>
      </c>
      <c r="W172">
        <f t="shared" ca="1" si="72"/>
        <v>2.1373203735079915</v>
      </c>
      <c r="X172">
        <f t="shared" ca="1" si="73"/>
        <v>11.114065942241556</v>
      </c>
      <c r="Y172">
        <f t="shared" ca="1" si="74"/>
        <v>1.1730329665261352</v>
      </c>
      <c r="Z172">
        <f t="shared" ca="1" si="75"/>
        <v>4.5842808801730106</v>
      </c>
      <c r="AA172">
        <f t="shared" ca="1" si="76"/>
        <v>634.64432037350798</v>
      </c>
      <c r="AB172">
        <f t="shared" ca="1" si="77"/>
        <v>635.71545346159769</v>
      </c>
      <c r="AC172">
        <f t="shared" ca="1" si="78"/>
        <v>3.8221817362197445E-3</v>
      </c>
      <c r="AD172">
        <f t="shared" ca="1" si="79"/>
        <v>1.0011563415729299</v>
      </c>
      <c r="AE172">
        <f t="shared" ca="1" si="80"/>
        <v>35.686447333323514</v>
      </c>
      <c r="AF172">
        <f t="shared" ca="1" si="81"/>
        <v>3.4239393796724471E-3</v>
      </c>
      <c r="AG172">
        <f t="shared" ca="1" si="82"/>
        <v>0</v>
      </c>
      <c r="AH172">
        <f ca="1">IFERROR(IF(V32="Supercritical",MAX($D$16,IFERROR(L172,MAX($D$16,POWER((ABS(K172)^2)/($I$5*MAX(F172,0.1)^2),1/3)))),IF(V32="Subcritical",MAX($D$16,IFERROR(W172,MAX($D$16,POWER((ABS(K172)^2)/($I$5*MAX(F172,0.1)^2),1/3)))),IF(AND(IFERROR(V172,0)=1,IFERROR(AG172,0)=1),IF(IFERROR(T172,-1E+99)&gt;=IFERROR(AE172,-1E+99),MAX($D$16,IFERROR(L172,MAX($D$16,POWER((ABS(K172)^2)/($I$5*MAX(F172,0.1)^2),1/3)))),MAX($D$16,IFERROR(W172,MAX($D$16,POWER((ABS(K172)^2)/($I$5*MAX(F172,0.1)^2),1/3))))),IF(IFERROR(V172,0)=1,MAX($D$16,IFERROR(L172,MAX($D$16,POWER((ABS(K172)^2)/($I$5*MAX(F172,0.1)^2),1/3)))),IF(IFERROR(AG172,0)=1,MAX($D$16,IFERROR(W172,MAX($D$16,POWER((ABS(K172)^2)/($I$5*MAX(F172,0.1)^2),1/3)))),MAX($D$16,POWER((ABS(K172)^2)/($I$5*MAX(F172,0.1)^2),1/3))))))),MAX($D$16,POWER((ABS(K172)^2)/($I$5*MAX(F172,0.1)^2),1/3)))</f>
        <v>2.1389677043987478</v>
      </c>
      <c r="AI172">
        <f t="shared" ca="1" si="83"/>
        <v>634.64596770439869</v>
      </c>
      <c r="AJ172">
        <f t="shared" ca="1" si="84"/>
        <v>635.71545155659805</v>
      </c>
      <c r="AM172">
        <v>0</v>
      </c>
      <c r="AN172">
        <v>0</v>
      </c>
      <c r="AO172">
        <f t="shared" si="85"/>
        <v>0</v>
      </c>
      <c r="AP172">
        <f t="shared" si="94"/>
        <v>0</v>
      </c>
      <c r="AQ172">
        <f t="shared" ca="1" si="86"/>
        <v>1.0000000000000004</v>
      </c>
      <c r="AR172" t="str">
        <f t="shared" ca="1" si="87"/>
        <v>Supercritical</v>
      </c>
      <c r="AS172">
        <f t="shared" ca="1" si="88"/>
        <v>3.8141460404132466E-3</v>
      </c>
    </row>
    <row r="173" spans="1:45" x14ac:dyDescent="0.35">
      <c r="A173">
        <v>112</v>
      </c>
      <c r="B173">
        <v>110.997</v>
      </c>
      <c r="C173">
        <v>616473.674</v>
      </c>
      <c r="D173">
        <v>3097695.483</v>
      </c>
      <c r="E173">
        <v>632.50649999999996</v>
      </c>
      <c r="F173">
        <v>5.2</v>
      </c>
      <c r="G173">
        <v>0</v>
      </c>
      <c r="H173" t="s">
        <v>154</v>
      </c>
      <c r="I173">
        <v>5.7000000000000002E-2</v>
      </c>
      <c r="J173">
        <f t="shared" si="89"/>
        <v>1</v>
      </c>
      <c r="K173">
        <f t="shared" ca="1" si="90"/>
        <v>50.95</v>
      </c>
      <c r="L173">
        <f t="shared" ca="1" si="91"/>
        <v>2.1389677043987478</v>
      </c>
      <c r="M173">
        <f t="shared" ca="1" si="64"/>
        <v>11.122632062873489</v>
      </c>
      <c r="N173">
        <f t="shared" ca="1" si="65"/>
        <v>1.1735290000551568</v>
      </c>
      <c r="O173">
        <f t="shared" ca="1" si="66"/>
        <v>4.5807502857230418</v>
      </c>
      <c r="P173">
        <f t="shared" ca="1" si="67"/>
        <v>634.6454677043987</v>
      </c>
      <c r="Q173">
        <f t="shared" ca="1" si="68"/>
        <v>635.71495155659807</v>
      </c>
      <c r="R173">
        <f t="shared" ca="1" si="69"/>
        <v>3.8141460404132466E-3</v>
      </c>
      <c r="S173">
        <f t="shared" ca="1" si="70"/>
        <v>1.0000000000000004</v>
      </c>
      <c r="T173">
        <f t="shared" ca="1" si="71"/>
        <v>35.686426155594638</v>
      </c>
      <c r="U173">
        <f t="shared" ca="1" si="92"/>
        <v>-3.4157470064428708E-3</v>
      </c>
      <c r="V173">
        <f t="shared" ca="1" si="93"/>
        <v>1</v>
      </c>
      <c r="W173">
        <f t="shared" ca="1" si="72"/>
        <v>2.1381886436890443</v>
      </c>
      <c r="X173">
        <f t="shared" ca="1" si="73"/>
        <v>11.11858094718303</v>
      </c>
      <c r="Y173">
        <f t="shared" ca="1" si="74"/>
        <v>1.1732944573652897</v>
      </c>
      <c r="Z173">
        <f t="shared" ca="1" si="75"/>
        <v>4.5824193071066803</v>
      </c>
      <c r="AA173">
        <f t="shared" ca="1" si="76"/>
        <v>634.64468864368905</v>
      </c>
      <c r="AB173">
        <f t="shared" ca="1" si="77"/>
        <v>635.71495198243235</v>
      </c>
      <c r="AC173">
        <f t="shared" ca="1" si="78"/>
        <v>3.8179433334236904E-3</v>
      </c>
      <c r="AD173">
        <f t="shared" ca="1" si="79"/>
        <v>1.0005465829720761</v>
      </c>
      <c r="AE173">
        <f t="shared" ca="1" si="80"/>
        <v>35.686430890842168</v>
      </c>
      <c r="AF173">
        <f t="shared" ca="1" si="81"/>
        <v>3.3232946500447724E-3</v>
      </c>
      <c r="AG173">
        <f t="shared" ca="1" si="82"/>
        <v>0</v>
      </c>
      <c r="AH173">
        <f ca="1">IFERROR(IF(V32="Supercritical",MAX($D$16,IFERROR(L173,MAX($D$16,POWER((ABS(K173)^2)/($I$5*MAX(F173,0.1)^2),1/3)))),IF(V32="Subcritical",MAX($D$16,IFERROR(W173,MAX($D$16,POWER((ABS(K173)^2)/($I$5*MAX(F173,0.1)^2),1/3)))),IF(AND(IFERROR(V173,0)=1,IFERROR(AG173,0)=1),IF(IFERROR(T173,-1E+99)&gt;=IFERROR(AE173,-1E+99),MAX($D$16,IFERROR(L173,MAX($D$16,POWER((ABS(K173)^2)/($I$5*MAX(F173,0.1)^2),1/3)))),MAX($D$16,IFERROR(W173,MAX($D$16,POWER((ABS(K173)^2)/($I$5*MAX(F173,0.1)^2),1/3))))),IF(IFERROR(V173,0)=1,MAX($D$16,IFERROR(L173,MAX($D$16,POWER((ABS(K173)^2)/($I$5*MAX(F173,0.1)^2),1/3)))),IF(IFERROR(AG173,0)=1,MAX($D$16,IFERROR(W173,MAX($D$16,POWER((ABS(K173)^2)/($I$5*MAX(F173,0.1)^2),1/3)))),MAX($D$16,POWER((ABS(K173)^2)/($I$5*MAX(F173,0.1)^2),1/3))))))),MAX($D$16,POWER((ABS(K173)^2)/($I$5*MAX(F173,0.1)^2),1/3)))</f>
        <v>2.1389677043987478</v>
      </c>
      <c r="AI173">
        <f t="shared" ca="1" si="83"/>
        <v>634.6454677043987</v>
      </c>
      <c r="AJ173">
        <f t="shared" ca="1" si="84"/>
        <v>635.71495155659807</v>
      </c>
      <c r="AM173">
        <v>0</v>
      </c>
      <c r="AN173">
        <v>0</v>
      </c>
      <c r="AO173">
        <f t="shared" si="85"/>
        <v>0</v>
      </c>
      <c r="AP173">
        <f t="shared" si="94"/>
        <v>0</v>
      </c>
      <c r="AQ173">
        <f t="shared" ca="1" si="86"/>
        <v>1.0000000000000004</v>
      </c>
      <c r="AR173" t="str">
        <f t="shared" ca="1" si="87"/>
        <v>Supercritical</v>
      </c>
      <c r="AS173">
        <f t="shared" ca="1" si="88"/>
        <v>3.8141460404132466E-3</v>
      </c>
    </row>
    <row r="174" spans="1:45" x14ac:dyDescent="0.35">
      <c r="A174">
        <v>113</v>
      </c>
      <c r="B174">
        <v>111.997</v>
      </c>
      <c r="C174">
        <v>616472.67500000005</v>
      </c>
      <c r="D174">
        <v>3097695.4350000001</v>
      </c>
      <c r="E174">
        <v>632.50599999999997</v>
      </c>
      <c r="F174">
        <v>5.2</v>
      </c>
      <c r="G174">
        <v>0</v>
      </c>
      <c r="H174" t="s">
        <v>154</v>
      </c>
      <c r="I174">
        <v>3.0000000000000001E-3</v>
      </c>
      <c r="J174">
        <f t="shared" si="89"/>
        <v>1</v>
      </c>
      <c r="K174">
        <f t="shared" ca="1" si="90"/>
        <v>50.95</v>
      </c>
      <c r="L174">
        <f t="shared" ca="1" si="91"/>
        <v>2.1389677043987478</v>
      </c>
      <c r="M174">
        <f t="shared" ca="1" si="64"/>
        <v>11.122632062873489</v>
      </c>
      <c r="N174">
        <f t="shared" ca="1" si="65"/>
        <v>1.1735290000551568</v>
      </c>
      <c r="O174">
        <f t="shared" ca="1" si="66"/>
        <v>4.5807502857230418</v>
      </c>
      <c r="P174">
        <f t="shared" ca="1" si="67"/>
        <v>634.64496770439871</v>
      </c>
      <c r="Q174">
        <f t="shared" ca="1" si="68"/>
        <v>635.71445155659808</v>
      </c>
      <c r="R174">
        <f t="shared" ca="1" si="69"/>
        <v>3.8141460404132466E-3</v>
      </c>
      <c r="S174">
        <f t="shared" ca="1" si="70"/>
        <v>1.0000000000000004</v>
      </c>
      <c r="T174">
        <f t="shared" ca="1" si="71"/>
        <v>35.686426155594638</v>
      </c>
      <c r="U174">
        <f t="shared" ca="1" si="92"/>
        <v>-3.3194934596849635E-3</v>
      </c>
      <c r="V174">
        <f t="shared" ca="1" si="93"/>
        <v>1</v>
      </c>
      <c r="W174">
        <f t="shared" ca="1" si="72"/>
        <v>2.1373203735079915</v>
      </c>
      <c r="X174">
        <f t="shared" ca="1" si="73"/>
        <v>11.114065942241556</v>
      </c>
      <c r="Y174">
        <f t="shared" ca="1" si="74"/>
        <v>1.1730329665261352</v>
      </c>
      <c r="Z174">
        <f t="shared" ca="1" si="75"/>
        <v>4.5842808801730106</v>
      </c>
      <c r="AA174">
        <f t="shared" ca="1" si="76"/>
        <v>634.643320373508</v>
      </c>
      <c r="AB174">
        <f t="shared" ca="1" si="77"/>
        <v>635.71445346159771</v>
      </c>
      <c r="AC174">
        <f t="shared" ca="1" si="78"/>
        <v>3.8221817362197445E-3</v>
      </c>
      <c r="AD174">
        <f t="shared" ca="1" si="79"/>
        <v>1.0011563415729299</v>
      </c>
      <c r="AE174">
        <f t="shared" ca="1" si="80"/>
        <v>35.686447333323514</v>
      </c>
      <c r="AF174">
        <f t="shared" ca="1" si="81"/>
        <v>3.4254728632276965E-3</v>
      </c>
      <c r="AG174">
        <f t="shared" ca="1" si="82"/>
        <v>0</v>
      </c>
      <c r="AH174">
        <f ca="1">IFERROR(IF(V32="Supercritical",MAX($D$16,IFERROR(L174,MAX($D$16,POWER((ABS(K174)^2)/($I$5*MAX(F174,0.1)^2),1/3)))),IF(V32="Subcritical",MAX($D$16,IFERROR(W174,MAX($D$16,POWER((ABS(K174)^2)/($I$5*MAX(F174,0.1)^2),1/3)))),IF(AND(IFERROR(V174,0)=1,IFERROR(AG174,0)=1),IF(IFERROR(T174,-1E+99)&gt;=IFERROR(AE174,-1E+99),MAX($D$16,IFERROR(L174,MAX($D$16,POWER((ABS(K174)^2)/($I$5*MAX(F174,0.1)^2),1/3)))),MAX($D$16,IFERROR(W174,MAX($D$16,POWER((ABS(K174)^2)/($I$5*MAX(F174,0.1)^2),1/3))))),IF(IFERROR(V174,0)=1,MAX($D$16,IFERROR(L174,MAX($D$16,POWER((ABS(K174)^2)/($I$5*MAX(F174,0.1)^2),1/3)))),IF(IFERROR(AG174,0)=1,MAX($D$16,IFERROR(W174,MAX($D$16,POWER((ABS(K174)^2)/($I$5*MAX(F174,0.1)^2),1/3)))),MAX($D$16,POWER((ABS(K174)^2)/($I$5*MAX(F174,0.1)^2),1/3))))))),MAX($D$16,POWER((ABS(K174)^2)/($I$5*MAX(F174,0.1)^2),1/3)))</f>
        <v>2.1389677043987478</v>
      </c>
      <c r="AI174">
        <f t="shared" ca="1" si="83"/>
        <v>634.64496770439871</v>
      </c>
      <c r="AJ174">
        <f t="shared" ca="1" si="84"/>
        <v>635.71445155659808</v>
      </c>
      <c r="AM174">
        <v>0</v>
      </c>
      <c r="AN174">
        <v>0</v>
      </c>
      <c r="AO174">
        <f t="shared" si="85"/>
        <v>0</v>
      </c>
      <c r="AP174">
        <f t="shared" si="94"/>
        <v>0</v>
      </c>
      <c r="AQ174">
        <f t="shared" ca="1" si="86"/>
        <v>1.0000000000000004</v>
      </c>
      <c r="AR174" t="str">
        <f t="shared" ca="1" si="87"/>
        <v>Supercritical</v>
      </c>
      <c r="AS174">
        <f t="shared" ca="1" si="88"/>
        <v>3.8141460404132466E-3</v>
      </c>
    </row>
    <row r="175" spans="1:45" x14ac:dyDescent="0.35">
      <c r="A175">
        <v>114</v>
      </c>
      <c r="B175">
        <v>112.996</v>
      </c>
      <c r="C175">
        <v>616471.67700000003</v>
      </c>
      <c r="D175">
        <v>3097695.3870000001</v>
      </c>
      <c r="E175">
        <v>632.50549999999998</v>
      </c>
      <c r="F175">
        <v>5.2</v>
      </c>
      <c r="G175">
        <v>0</v>
      </c>
      <c r="H175" t="s">
        <v>154</v>
      </c>
      <c r="I175">
        <v>0.06</v>
      </c>
      <c r="J175">
        <f t="shared" si="89"/>
        <v>0.99899999999999523</v>
      </c>
      <c r="K175">
        <f t="shared" ca="1" si="90"/>
        <v>50.95</v>
      </c>
      <c r="L175">
        <f t="shared" ca="1" si="91"/>
        <v>2.1389677043987478</v>
      </c>
      <c r="M175">
        <f t="shared" ca="1" si="64"/>
        <v>11.122632062873489</v>
      </c>
      <c r="N175">
        <f t="shared" ca="1" si="65"/>
        <v>1.1735290000551568</v>
      </c>
      <c r="O175">
        <f t="shared" ca="1" si="66"/>
        <v>4.5807502857230418</v>
      </c>
      <c r="P175">
        <f t="shared" ca="1" si="67"/>
        <v>634.64446770439872</v>
      </c>
      <c r="Q175">
        <f t="shared" ca="1" si="68"/>
        <v>635.71395155659809</v>
      </c>
      <c r="R175">
        <f t="shared" ca="1" si="69"/>
        <v>3.8141460404132466E-3</v>
      </c>
      <c r="S175">
        <f t="shared" ca="1" si="70"/>
        <v>1.0000000000000004</v>
      </c>
      <c r="T175">
        <f t="shared" ca="1" si="71"/>
        <v>35.686426155594638</v>
      </c>
      <c r="U175">
        <f t="shared" ca="1" si="92"/>
        <v>-3.4172802795637836E-3</v>
      </c>
      <c r="V175">
        <f t="shared" ca="1" si="93"/>
        <v>1</v>
      </c>
      <c r="W175">
        <f t="shared" ca="1" si="72"/>
        <v>2.1381886436890443</v>
      </c>
      <c r="X175">
        <f t="shared" ca="1" si="73"/>
        <v>11.11858094718303</v>
      </c>
      <c r="Y175">
        <f t="shared" ca="1" si="74"/>
        <v>1.1732944573652897</v>
      </c>
      <c r="Z175">
        <f t="shared" ca="1" si="75"/>
        <v>4.5824193071066803</v>
      </c>
      <c r="AA175">
        <f t="shared" ca="1" si="76"/>
        <v>634.64368864368907</v>
      </c>
      <c r="AB175">
        <f t="shared" ca="1" si="77"/>
        <v>635.71395198243238</v>
      </c>
      <c r="AC175">
        <f t="shared" ca="1" si="78"/>
        <v>3.8179433334236904E-3</v>
      </c>
      <c r="AD175">
        <f t="shared" ca="1" si="79"/>
        <v>1.0005465829720761</v>
      </c>
      <c r="AE175">
        <f t="shared" ca="1" si="80"/>
        <v>35.686430890842168</v>
      </c>
      <c r="AF175">
        <f t="shared" ca="1" si="81"/>
        <v>3.4234362939287166E-3</v>
      </c>
      <c r="AG175">
        <f t="shared" ca="1" si="82"/>
        <v>0</v>
      </c>
      <c r="AH175">
        <f ca="1">IFERROR(IF(V32="Supercritical",MAX($D$16,IFERROR(L175,MAX($D$16,POWER((ABS(K175)^2)/($I$5*MAX(F175,0.1)^2),1/3)))),IF(V32="Subcritical",MAX($D$16,IFERROR(W175,MAX($D$16,POWER((ABS(K175)^2)/($I$5*MAX(F175,0.1)^2),1/3)))),IF(AND(IFERROR(V175,0)=1,IFERROR(AG175,0)=1),IF(IFERROR(T175,-1E+99)&gt;=IFERROR(AE175,-1E+99),MAX($D$16,IFERROR(L175,MAX($D$16,POWER((ABS(K175)^2)/($I$5*MAX(F175,0.1)^2),1/3)))),MAX($D$16,IFERROR(W175,MAX($D$16,POWER((ABS(K175)^2)/($I$5*MAX(F175,0.1)^2),1/3))))),IF(IFERROR(V175,0)=1,MAX($D$16,IFERROR(L175,MAX($D$16,POWER((ABS(K175)^2)/($I$5*MAX(F175,0.1)^2),1/3)))),IF(IFERROR(AG175,0)=1,MAX($D$16,IFERROR(W175,MAX($D$16,POWER((ABS(K175)^2)/($I$5*MAX(F175,0.1)^2),1/3)))),MAX($D$16,POWER((ABS(K175)^2)/($I$5*MAX(F175,0.1)^2),1/3))))))),MAX($D$16,POWER((ABS(K175)^2)/($I$5*MAX(F175,0.1)^2),1/3)))</f>
        <v>2.1389677043987478</v>
      </c>
      <c r="AI175">
        <f t="shared" ca="1" si="83"/>
        <v>634.64446770439872</v>
      </c>
      <c r="AJ175">
        <f t="shared" ca="1" si="84"/>
        <v>635.71395155659809</v>
      </c>
      <c r="AM175">
        <v>0</v>
      </c>
      <c r="AN175">
        <v>0</v>
      </c>
      <c r="AO175">
        <f t="shared" si="85"/>
        <v>0</v>
      </c>
      <c r="AP175">
        <f t="shared" si="94"/>
        <v>0</v>
      </c>
      <c r="AQ175">
        <f t="shared" ca="1" si="86"/>
        <v>1.0000000000000004</v>
      </c>
      <c r="AR175" t="str">
        <f t="shared" ca="1" si="87"/>
        <v>Supercritical</v>
      </c>
      <c r="AS175">
        <f t="shared" ca="1" si="88"/>
        <v>3.8141460404132466E-3</v>
      </c>
    </row>
    <row r="176" spans="1:45" x14ac:dyDescent="0.35">
      <c r="A176">
        <v>115</v>
      </c>
      <c r="B176">
        <v>113.997</v>
      </c>
      <c r="C176">
        <v>616470.67799999996</v>
      </c>
      <c r="D176">
        <v>3097695.34</v>
      </c>
      <c r="E176">
        <v>632.505</v>
      </c>
      <c r="F176">
        <v>5.2</v>
      </c>
      <c r="G176">
        <v>0</v>
      </c>
      <c r="H176" t="s">
        <v>154</v>
      </c>
      <c r="I176">
        <v>5.7000000000000002E-2</v>
      </c>
      <c r="J176">
        <f t="shared" si="89"/>
        <v>1.0010000000000048</v>
      </c>
      <c r="K176">
        <f t="shared" ca="1" si="90"/>
        <v>50.95</v>
      </c>
      <c r="L176">
        <f t="shared" ca="1" si="91"/>
        <v>2.1389677043987478</v>
      </c>
      <c r="M176">
        <f t="shared" ca="1" si="64"/>
        <v>11.122632062873489</v>
      </c>
      <c r="N176">
        <f t="shared" ca="1" si="65"/>
        <v>1.1735290000551568</v>
      </c>
      <c r="O176">
        <f t="shared" ca="1" si="66"/>
        <v>4.5807502857230418</v>
      </c>
      <c r="P176">
        <f t="shared" ca="1" si="67"/>
        <v>634.64396770439873</v>
      </c>
      <c r="Q176">
        <f t="shared" ca="1" si="68"/>
        <v>635.7134515565981</v>
      </c>
      <c r="R176">
        <f t="shared" ca="1" si="69"/>
        <v>3.8141460404132466E-3</v>
      </c>
      <c r="S176">
        <f t="shared" ca="1" si="70"/>
        <v>1.0000000000000004</v>
      </c>
      <c r="T176">
        <f t="shared" ca="1" si="71"/>
        <v>35.686426155594638</v>
      </c>
      <c r="U176">
        <f t="shared" ca="1" si="92"/>
        <v>-3.4195611524410197E-3</v>
      </c>
      <c r="V176">
        <f t="shared" ca="1" si="93"/>
        <v>1</v>
      </c>
      <c r="W176">
        <f t="shared" ca="1" si="72"/>
        <v>2.1373203735079915</v>
      </c>
      <c r="X176">
        <f t="shared" ca="1" si="73"/>
        <v>11.114065942241556</v>
      </c>
      <c r="Y176">
        <f t="shared" ca="1" si="74"/>
        <v>1.1730329665261352</v>
      </c>
      <c r="Z176">
        <f t="shared" ca="1" si="75"/>
        <v>4.5842808801730106</v>
      </c>
      <c r="AA176">
        <f t="shared" ca="1" si="76"/>
        <v>634.64232037350803</v>
      </c>
      <c r="AB176">
        <f t="shared" ca="1" si="77"/>
        <v>635.71345346159774</v>
      </c>
      <c r="AC176">
        <f t="shared" ca="1" si="78"/>
        <v>3.8221817362197445E-3</v>
      </c>
      <c r="AD176">
        <f t="shared" ca="1" si="79"/>
        <v>1.0011563415729299</v>
      </c>
      <c r="AE176">
        <f t="shared" ca="1" si="80"/>
        <v>35.686447333323514</v>
      </c>
      <c r="AF176">
        <f t="shared" ca="1" si="81"/>
        <v>3.4239393796724471E-3</v>
      </c>
      <c r="AG176">
        <f t="shared" ca="1" si="82"/>
        <v>0</v>
      </c>
      <c r="AH176">
        <f ca="1">IFERROR(IF(V32="Supercritical",MAX($D$16,IFERROR(L176,MAX($D$16,POWER((ABS(K176)^2)/($I$5*MAX(F176,0.1)^2),1/3)))),IF(V32="Subcritical",MAX($D$16,IFERROR(W176,MAX($D$16,POWER((ABS(K176)^2)/($I$5*MAX(F176,0.1)^2),1/3)))),IF(AND(IFERROR(V176,0)=1,IFERROR(AG176,0)=1),IF(IFERROR(T176,-1E+99)&gt;=IFERROR(AE176,-1E+99),MAX($D$16,IFERROR(L176,MAX($D$16,POWER((ABS(K176)^2)/($I$5*MAX(F176,0.1)^2),1/3)))),MAX($D$16,IFERROR(W176,MAX($D$16,POWER((ABS(K176)^2)/($I$5*MAX(F176,0.1)^2),1/3))))),IF(IFERROR(V176,0)=1,MAX($D$16,IFERROR(L176,MAX($D$16,POWER((ABS(K176)^2)/($I$5*MAX(F176,0.1)^2),1/3)))),IF(IFERROR(AG176,0)=1,MAX($D$16,IFERROR(W176,MAX($D$16,POWER((ABS(K176)^2)/($I$5*MAX(F176,0.1)^2),1/3)))),MAX($D$16,POWER((ABS(K176)^2)/($I$5*MAX(F176,0.1)^2),1/3))))))),MAX($D$16,POWER((ABS(K176)^2)/($I$5*MAX(F176,0.1)^2),1/3)))</f>
        <v>2.1389677043987478</v>
      </c>
      <c r="AI176">
        <f t="shared" ca="1" si="83"/>
        <v>634.64396770439873</v>
      </c>
      <c r="AJ176">
        <f t="shared" ca="1" si="84"/>
        <v>635.7134515565981</v>
      </c>
      <c r="AM176">
        <v>0</v>
      </c>
      <c r="AN176">
        <v>0</v>
      </c>
      <c r="AO176">
        <f t="shared" si="85"/>
        <v>0</v>
      </c>
      <c r="AP176">
        <f t="shared" si="94"/>
        <v>0</v>
      </c>
      <c r="AQ176">
        <f t="shared" ca="1" si="86"/>
        <v>1.0000000000000004</v>
      </c>
      <c r="AR176" t="str">
        <f t="shared" ca="1" si="87"/>
        <v>Supercritical</v>
      </c>
      <c r="AS176">
        <f t="shared" ca="1" si="88"/>
        <v>3.8141460404132466E-3</v>
      </c>
    </row>
    <row r="177" spans="1:45" x14ac:dyDescent="0.35">
      <c r="A177">
        <v>116</v>
      </c>
      <c r="B177">
        <v>114.997</v>
      </c>
      <c r="C177">
        <v>616469.679</v>
      </c>
      <c r="D177">
        <v>3097695.2919999999</v>
      </c>
      <c r="E177">
        <v>632.50450000000001</v>
      </c>
      <c r="F177">
        <v>5.2</v>
      </c>
      <c r="G177">
        <v>0</v>
      </c>
      <c r="H177" t="s">
        <v>154</v>
      </c>
      <c r="I177">
        <v>5.7000000000000002E-2</v>
      </c>
      <c r="J177">
        <f t="shared" si="89"/>
        <v>1</v>
      </c>
      <c r="K177">
        <f t="shared" ca="1" si="90"/>
        <v>50.95</v>
      </c>
      <c r="L177">
        <f t="shared" ca="1" si="91"/>
        <v>2.1389677043987478</v>
      </c>
      <c r="M177">
        <f t="shared" ca="1" si="64"/>
        <v>11.122632062873489</v>
      </c>
      <c r="N177">
        <f t="shared" ca="1" si="65"/>
        <v>1.1735290000551568</v>
      </c>
      <c r="O177">
        <f t="shared" ca="1" si="66"/>
        <v>4.5807502857230418</v>
      </c>
      <c r="P177">
        <f t="shared" ca="1" si="67"/>
        <v>634.64346770439874</v>
      </c>
      <c r="Q177">
        <f t="shared" ca="1" si="68"/>
        <v>635.71295155659811</v>
      </c>
      <c r="R177">
        <f t="shared" ca="1" si="69"/>
        <v>3.8141460404132466E-3</v>
      </c>
      <c r="S177">
        <f t="shared" ca="1" si="70"/>
        <v>1.0000000000000004</v>
      </c>
      <c r="T177">
        <f t="shared" ca="1" si="71"/>
        <v>35.686426155594638</v>
      </c>
      <c r="U177">
        <f t="shared" ca="1" si="92"/>
        <v>-3.4157470064428708E-3</v>
      </c>
      <c r="V177">
        <f t="shared" ca="1" si="93"/>
        <v>1</v>
      </c>
      <c r="W177">
        <f t="shared" ca="1" si="72"/>
        <v>2.1381886436890443</v>
      </c>
      <c r="X177">
        <f t="shared" ca="1" si="73"/>
        <v>11.11858094718303</v>
      </c>
      <c r="Y177">
        <f t="shared" ca="1" si="74"/>
        <v>1.1732944573652897</v>
      </c>
      <c r="Z177">
        <f t="shared" ca="1" si="75"/>
        <v>4.5824193071066803</v>
      </c>
      <c r="AA177">
        <f t="shared" ca="1" si="76"/>
        <v>634.6426886436891</v>
      </c>
      <c r="AB177">
        <f t="shared" ca="1" si="77"/>
        <v>635.7129519824324</v>
      </c>
      <c r="AC177">
        <f t="shared" ca="1" si="78"/>
        <v>3.8179433334236904E-3</v>
      </c>
      <c r="AD177">
        <f t="shared" ca="1" si="79"/>
        <v>1.0005465829720761</v>
      </c>
      <c r="AE177">
        <f t="shared" ca="1" si="80"/>
        <v>35.686430890842168</v>
      </c>
      <c r="AF177">
        <f t="shared" ca="1" si="81"/>
        <v>3.4196183505628142E-3</v>
      </c>
      <c r="AG177">
        <f t="shared" ca="1" si="82"/>
        <v>0</v>
      </c>
      <c r="AH177">
        <f ca="1">IFERROR(IF(V32="Supercritical",MAX($D$16,IFERROR(L177,MAX($D$16,POWER((ABS(K177)^2)/($I$5*MAX(F177,0.1)^2),1/3)))),IF(V32="Subcritical",MAX($D$16,IFERROR(W177,MAX($D$16,POWER((ABS(K177)^2)/($I$5*MAX(F177,0.1)^2),1/3)))),IF(AND(IFERROR(V177,0)=1,IFERROR(AG177,0)=1),IF(IFERROR(T177,-1E+99)&gt;=IFERROR(AE177,-1E+99),MAX($D$16,IFERROR(L177,MAX($D$16,POWER((ABS(K177)^2)/($I$5*MAX(F177,0.1)^2),1/3)))),MAX($D$16,IFERROR(W177,MAX($D$16,POWER((ABS(K177)^2)/($I$5*MAX(F177,0.1)^2),1/3))))),IF(IFERROR(V177,0)=1,MAX($D$16,IFERROR(L177,MAX($D$16,POWER((ABS(K177)^2)/($I$5*MAX(F177,0.1)^2),1/3)))),IF(IFERROR(AG177,0)=1,MAX($D$16,IFERROR(W177,MAX($D$16,POWER((ABS(K177)^2)/($I$5*MAX(F177,0.1)^2),1/3)))),MAX($D$16,POWER((ABS(K177)^2)/($I$5*MAX(F177,0.1)^2),1/3))))))),MAX($D$16,POWER((ABS(K177)^2)/($I$5*MAX(F177,0.1)^2),1/3)))</f>
        <v>2.1389677043987478</v>
      </c>
      <c r="AI177">
        <f t="shared" ca="1" si="83"/>
        <v>634.64346770439874</v>
      </c>
      <c r="AJ177">
        <f t="shared" ca="1" si="84"/>
        <v>635.71295155659811</v>
      </c>
      <c r="AM177">
        <v>0</v>
      </c>
      <c r="AN177">
        <v>0</v>
      </c>
      <c r="AO177">
        <f t="shared" si="85"/>
        <v>0</v>
      </c>
      <c r="AP177">
        <f t="shared" si="94"/>
        <v>0</v>
      </c>
      <c r="AQ177">
        <f t="shared" ca="1" si="86"/>
        <v>1.0000000000000004</v>
      </c>
      <c r="AR177" t="str">
        <f t="shared" ca="1" si="87"/>
        <v>Supercritical</v>
      </c>
      <c r="AS177">
        <f t="shared" ca="1" si="88"/>
        <v>3.8141460404132466E-3</v>
      </c>
    </row>
    <row r="178" spans="1:45" x14ac:dyDescent="0.35">
      <c r="A178">
        <v>117</v>
      </c>
      <c r="B178">
        <v>115.997</v>
      </c>
      <c r="C178">
        <v>616468.68000000005</v>
      </c>
      <c r="D178">
        <v>3097695.2450000001</v>
      </c>
      <c r="E178">
        <v>632.50400000000002</v>
      </c>
      <c r="F178">
        <v>5.2</v>
      </c>
      <c r="G178">
        <v>0</v>
      </c>
      <c r="H178" t="s">
        <v>154</v>
      </c>
      <c r="I178">
        <v>5.7000000000000002E-2</v>
      </c>
      <c r="J178">
        <f t="shared" si="89"/>
        <v>1</v>
      </c>
      <c r="K178">
        <f t="shared" ca="1" si="90"/>
        <v>50.95</v>
      </c>
      <c r="L178">
        <f t="shared" ca="1" si="91"/>
        <v>2.1389677043987478</v>
      </c>
      <c r="M178">
        <f t="shared" ca="1" si="64"/>
        <v>11.122632062873489</v>
      </c>
      <c r="N178">
        <f t="shared" ca="1" si="65"/>
        <v>1.1735290000551568</v>
      </c>
      <c r="O178">
        <f t="shared" ca="1" si="66"/>
        <v>4.5807502857230418</v>
      </c>
      <c r="P178">
        <f t="shared" ca="1" si="67"/>
        <v>634.64296770439876</v>
      </c>
      <c r="Q178">
        <f t="shared" ca="1" si="68"/>
        <v>635.71245155659813</v>
      </c>
      <c r="R178">
        <f t="shared" ca="1" si="69"/>
        <v>3.8141460404132466E-3</v>
      </c>
      <c r="S178">
        <f t="shared" ca="1" si="70"/>
        <v>1.0000000000000004</v>
      </c>
      <c r="T178">
        <f t="shared" ca="1" si="71"/>
        <v>35.686426155594638</v>
      </c>
      <c r="U178">
        <f t="shared" ca="1" si="92"/>
        <v>-3.4157470064428708E-3</v>
      </c>
      <c r="V178">
        <f t="shared" ca="1" si="93"/>
        <v>1</v>
      </c>
      <c r="W178">
        <f t="shared" ca="1" si="72"/>
        <v>2.1373203735079915</v>
      </c>
      <c r="X178">
        <f t="shared" ca="1" si="73"/>
        <v>11.114065942241556</v>
      </c>
      <c r="Y178">
        <f t="shared" ca="1" si="74"/>
        <v>1.1730329665261352</v>
      </c>
      <c r="Z178">
        <f t="shared" ca="1" si="75"/>
        <v>4.5842808801730106</v>
      </c>
      <c r="AA178">
        <f t="shared" ca="1" si="76"/>
        <v>634.64132037350805</v>
      </c>
      <c r="AB178">
        <f t="shared" ca="1" si="77"/>
        <v>635.71245346159776</v>
      </c>
      <c r="AC178">
        <f t="shared" ca="1" si="78"/>
        <v>3.8221817362197445E-3</v>
      </c>
      <c r="AD178">
        <f t="shared" ca="1" si="79"/>
        <v>1.0011563415729299</v>
      </c>
      <c r="AE178">
        <f t="shared" ca="1" si="80"/>
        <v>35.686447333323514</v>
      </c>
      <c r="AF178">
        <f t="shared" ca="1" si="81"/>
        <v>3.3221817362800721E-3</v>
      </c>
      <c r="AG178">
        <f t="shared" ca="1" si="82"/>
        <v>0</v>
      </c>
      <c r="AH178">
        <f ca="1">IFERROR(IF(V32="Supercritical",MAX($D$16,IFERROR(L178,MAX($D$16,POWER((ABS(K178)^2)/($I$5*MAX(F178,0.1)^2),1/3)))),IF(V32="Subcritical",MAX($D$16,IFERROR(W178,MAX($D$16,POWER((ABS(K178)^2)/($I$5*MAX(F178,0.1)^2),1/3)))),IF(AND(IFERROR(V178,0)=1,IFERROR(AG178,0)=1),IF(IFERROR(T178,-1E+99)&gt;=IFERROR(AE178,-1E+99),MAX($D$16,IFERROR(L178,MAX($D$16,POWER((ABS(K178)^2)/($I$5*MAX(F178,0.1)^2),1/3)))),MAX($D$16,IFERROR(W178,MAX($D$16,POWER((ABS(K178)^2)/($I$5*MAX(F178,0.1)^2),1/3))))),IF(IFERROR(V178,0)=1,MAX($D$16,IFERROR(L178,MAX($D$16,POWER((ABS(K178)^2)/($I$5*MAX(F178,0.1)^2),1/3)))),IF(IFERROR(AG178,0)=1,MAX($D$16,IFERROR(W178,MAX($D$16,POWER((ABS(K178)^2)/($I$5*MAX(F178,0.1)^2),1/3)))),MAX($D$16,POWER((ABS(K178)^2)/($I$5*MAX(F178,0.1)^2),1/3))))))),MAX($D$16,POWER((ABS(K178)^2)/($I$5*MAX(F178,0.1)^2),1/3)))</f>
        <v>2.1389677043987478</v>
      </c>
      <c r="AI178">
        <f t="shared" ca="1" si="83"/>
        <v>634.64296770439876</v>
      </c>
      <c r="AJ178">
        <f t="shared" ca="1" si="84"/>
        <v>635.71245155659813</v>
      </c>
      <c r="AM178">
        <v>0</v>
      </c>
      <c r="AN178">
        <v>0</v>
      </c>
      <c r="AO178">
        <f t="shared" si="85"/>
        <v>0</v>
      </c>
      <c r="AP178">
        <f t="shared" si="94"/>
        <v>0</v>
      </c>
      <c r="AQ178">
        <f t="shared" ca="1" si="86"/>
        <v>1.0000000000000004</v>
      </c>
      <c r="AR178" t="str">
        <f t="shared" ca="1" si="87"/>
        <v>Supercritical</v>
      </c>
      <c r="AS178">
        <f t="shared" ca="1" si="88"/>
        <v>3.8141460404132466E-3</v>
      </c>
    </row>
    <row r="179" spans="1:45" x14ac:dyDescent="0.35">
      <c r="A179">
        <v>118</v>
      </c>
      <c r="B179">
        <v>116.997</v>
      </c>
      <c r="C179">
        <v>616467.68099999998</v>
      </c>
      <c r="D179">
        <v>3097695.1970000002</v>
      </c>
      <c r="E179">
        <v>632.50350000000003</v>
      </c>
      <c r="F179">
        <v>5.2</v>
      </c>
      <c r="G179">
        <v>0</v>
      </c>
      <c r="H179" t="s">
        <v>154</v>
      </c>
      <c r="I179">
        <v>0</v>
      </c>
      <c r="J179">
        <f t="shared" si="89"/>
        <v>1</v>
      </c>
      <c r="K179">
        <f t="shared" ca="1" si="90"/>
        <v>50.95</v>
      </c>
      <c r="L179">
        <f t="shared" ca="1" si="91"/>
        <v>2.1389677043987478</v>
      </c>
      <c r="M179">
        <f t="shared" ca="1" si="64"/>
        <v>11.122632062873489</v>
      </c>
      <c r="N179">
        <f t="shared" ca="1" si="65"/>
        <v>1.1735290000551568</v>
      </c>
      <c r="O179">
        <f t="shared" ca="1" si="66"/>
        <v>4.5807502857230418</v>
      </c>
      <c r="P179">
        <f t="shared" ca="1" si="67"/>
        <v>634.64246770439877</v>
      </c>
      <c r="Q179">
        <f t="shared" ca="1" si="68"/>
        <v>635.71195155659814</v>
      </c>
      <c r="R179">
        <f t="shared" ca="1" si="69"/>
        <v>3.8141460404132466E-3</v>
      </c>
      <c r="S179">
        <f t="shared" ca="1" si="70"/>
        <v>1.0000000000000004</v>
      </c>
      <c r="T179">
        <f t="shared" ca="1" si="71"/>
        <v>35.686426155594638</v>
      </c>
      <c r="U179">
        <f t="shared" ca="1" si="92"/>
        <v>-3.3141460404522149E-3</v>
      </c>
      <c r="V179">
        <f t="shared" ca="1" si="93"/>
        <v>1</v>
      </c>
      <c r="W179">
        <f t="shared" ca="1" si="72"/>
        <v>2.1381886436890443</v>
      </c>
      <c r="X179">
        <f t="shared" ca="1" si="73"/>
        <v>11.11858094718303</v>
      </c>
      <c r="Y179">
        <f t="shared" ca="1" si="74"/>
        <v>1.1732944573652897</v>
      </c>
      <c r="Z179">
        <f t="shared" ca="1" si="75"/>
        <v>4.5824193071066803</v>
      </c>
      <c r="AA179">
        <f t="shared" ca="1" si="76"/>
        <v>634.64168864368912</v>
      </c>
      <c r="AB179">
        <f t="shared" ca="1" si="77"/>
        <v>635.71195198243242</v>
      </c>
      <c r="AC179">
        <f t="shared" ca="1" si="78"/>
        <v>3.8179433334236904E-3</v>
      </c>
      <c r="AD179">
        <f t="shared" ca="1" si="79"/>
        <v>1.0005465829720761</v>
      </c>
      <c r="AE179">
        <f t="shared" ca="1" si="80"/>
        <v>35.686430890842168</v>
      </c>
      <c r="AF179">
        <f t="shared" ca="1" si="81"/>
        <v>3.4196183505628142E-3</v>
      </c>
      <c r="AG179">
        <f t="shared" ca="1" si="82"/>
        <v>0</v>
      </c>
      <c r="AH179">
        <f ca="1">IFERROR(IF(V32="Supercritical",MAX($D$16,IFERROR(L179,MAX($D$16,POWER((ABS(K179)^2)/($I$5*MAX(F179,0.1)^2),1/3)))),IF(V32="Subcritical",MAX($D$16,IFERROR(W179,MAX($D$16,POWER((ABS(K179)^2)/($I$5*MAX(F179,0.1)^2),1/3)))),IF(AND(IFERROR(V179,0)=1,IFERROR(AG179,0)=1),IF(IFERROR(T179,-1E+99)&gt;=IFERROR(AE179,-1E+99),MAX($D$16,IFERROR(L179,MAX($D$16,POWER((ABS(K179)^2)/($I$5*MAX(F179,0.1)^2),1/3)))),MAX($D$16,IFERROR(W179,MAX($D$16,POWER((ABS(K179)^2)/($I$5*MAX(F179,0.1)^2),1/3))))),IF(IFERROR(V179,0)=1,MAX($D$16,IFERROR(L179,MAX($D$16,POWER((ABS(K179)^2)/($I$5*MAX(F179,0.1)^2),1/3)))),IF(IFERROR(AG179,0)=1,MAX($D$16,IFERROR(W179,MAX($D$16,POWER((ABS(K179)^2)/($I$5*MAX(F179,0.1)^2),1/3)))),MAX($D$16,POWER((ABS(K179)^2)/($I$5*MAX(F179,0.1)^2),1/3))))))),MAX($D$16,POWER((ABS(K179)^2)/($I$5*MAX(F179,0.1)^2),1/3)))</f>
        <v>2.1389677043987478</v>
      </c>
      <c r="AI179">
        <f t="shared" ca="1" si="83"/>
        <v>634.64246770439877</v>
      </c>
      <c r="AJ179">
        <f t="shared" ca="1" si="84"/>
        <v>635.71195155659814</v>
      </c>
      <c r="AM179">
        <v>0</v>
      </c>
      <c r="AN179">
        <v>0</v>
      </c>
      <c r="AO179">
        <f t="shared" si="85"/>
        <v>0</v>
      </c>
      <c r="AP179">
        <f t="shared" si="94"/>
        <v>0</v>
      </c>
      <c r="AQ179">
        <f t="shared" ca="1" si="86"/>
        <v>1.0000000000000004</v>
      </c>
      <c r="AR179" t="str">
        <f t="shared" ca="1" si="87"/>
        <v>Supercritical</v>
      </c>
      <c r="AS179">
        <f t="shared" ca="1" si="88"/>
        <v>3.8141460404132466E-3</v>
      </c>
    </row>
    <row r="180" spans="1:45" x14ac:dyDescent="0.35">
      <c r="A180">
        <v>119</v>
      </c>
      <c r="B180">
        <v>117.997</v>
      </c>
      <c r="C180">
        <v>616466.68200000003</v>
      </c>
      <c r="D180">
        <v>3097695.1490000002</v>
      </c>
      <c r="E180">
        <v>632.50300000000004</v>
      </c>
      <c r="F180">
        <v>5.2</v>
      </c>
      <c r="G180">
        <v>0</v>
      </c>
      <c r="H180" t="s">
        <v>154</v>
      </c>
      <c r="I180">
        <v>5.7000000000000002E-2</v>
      </c>
      <c r="J180">
        <f t="shared" si="89"/>
        <v>1</v>
      </c>
      <c r="K180">
        <f t="shared" ca="1" si="90"/>
        <v>50.95</v>
      </c>
      <c r="L180">
        <f t="shared" ca="1" si="91"/>
        <v>2.1389677043987478</v>
      </c>
      <c r="M180">
        <f t="shared" ca="1" si="64"/>
        <v>11.122632062873489</v>
      </c>
      <c r="N180">
        <f t="shared" ca="1" si="65"/>
        <v>1.1735290000551568</v>
      </c>
      <c r="O180">
        <f t="shared" ca="1" si="66"/>
        <v>4.5807502857230418</v>
      </c>
      <c r="P180">
        <f t="shared" ca="1" si="67"/>
        <v>634.64196770439878</v>
      </c>
      <c r="Q180">
        <f t="shared" ca="1" si="68"/>
        <v>635.71145155659815</v>
      </c>
      <c r="R180">
        <f t="shared" ca="1" si="69"/>
        <v>3.8141460404132466E-3</v>
      </c>
      <c r="S180">
        <f t="shared" ca="1" si="70"/>
        <v>1.0000000000000004</v>
      </c>
      <c r="T180">
        <f t="shared" ca="1" si="71"/>
        <v>35.686426155594638</v>
      </c>
      <c r="U180">
        <f t="shared" ca="1" si="92"/>
        <v>-3.4157470064428708E-3</v>
      </c>
      <c r="V180">
        <f t="shared" ca="1" si="93"/>
        <v>1</v>
      </c>
      <c r="W180">
        <f t="shared" ca="1" si="72"/>
        <v>2.1373203735079915</v>
      </c>
      <c r="X180">
        <f t="shared" ca="1" si="73"/>
        <v>11.114065942241556</v>
      </c>
      <c r="Y180">
        <f t="shared" ca="1" si="74"/>
        <v>1.1730329665261352</v>
      </c>
      <c r="Z180">
        <f t="shared" ca="1" si="75"/>
        <v>4.5842808801730106</v>
      </c>
      <c r="AA180">
        <f t="shared" ca="1" si="76"/>
        <v>634.64032037350808</v>
      </c>
      <c r="AB180">
        <f t="shared" ca="1" si="77"/>
        <v>635.71145346159778</v>
      </c>
      <c r="AC180">
        <f t="shared" ca="1" si="78"/>
        <v>3.8221817362197445E-3</v>
      </c>
      <c r="AD180">
        <f t="shared" ca="1" si="79"/>
        <v>1.0011563415729299</v>
      </c>
      <c r="AE180">
        <f t="shared" ca="1" si="80"/>
        <v>35.686447333323514</v>
      </c>
      <c r="AF180">
        <f t="shared" ca="1" si="81"/>
        <v>3.4292950450662829E-3</v>
      </c>
      <c r="AG180">
        <f t="shared" ca="1" si="82"/>
        <v>0</v>
      </c>
      <c r="AH180">
        <f ca="1">IFERROR(IF(V32="Supercritical",MAX($D$16,IFERROR(L180,MAX($D$16,POWER((ABS(K180)^2)/($I$5*MAX(F180,0.1)^2),1/3)))),IF(V32="Subcritical",MAX($D$16,IFERROR(W180,MAX($D$16,POWER((ABS(K180)^2)/($I$5*MAX(F180,0.1)^2),1/3)))),IF(AND(IFERROR(V180,0)=1,IFERROR(AG180,0)=1),IF(IFERROR(T180,-1E+99)&gt;=IFERROR(AE180,-1E+99),MAX($D$16,IFERROR(L180,MAX($D$16,POWER((ABS(K180)^2)/($I$5*MAX(F180,0.1)^2),1/3)))),MAX($D$16,IFERROR(W180,MAX($D$16,POWER((ABS(K180)^2)/($I$5*MAX(F180,0.1)^2),1/3))))),IF(IFERROR(V180,0)=1,MAX($D$16,IFERROR(L180,MAX($D$16,POWER((ABS(K180)^2)/($I$5*MAX(F180,0.1)^2),1/3)))),IF(IFERROR(AG180,0)=1,MAX($D$16,IFERROR(W180,MAX($D$16,POWER((ABS(K180)^2)/($I$5*MAX(F180,0.1)^2),1/3)))),MAX($D$16,POWER((ABS(K180)^2)/($I$5*MAX(F180,0.1)^2),1/3))))))),MAX($D$16,POWER((ABS(K180)^2)/($I$5*MAX(F180,0.1)^2),1/3)))</f>
        <v>2.1389677043987478</v>
      </c>
      <c r="AI180">
        <f t="shared" ca="1" si="83"/>
        <v>634.64196770439878</v>
      </c>
      <c r="AJ180">
        <f t="shared" ca="1" si="84"/>
        <v>635.71145155659815</v>
      </c>
      <c r="AM180">
        <v>0</v>
      </c>
      <c r="AN180">
        <v>0</v>
      </c>
      <c r="AO180">
        <f t="shared" si="85"/>
        <v>0</v>
      </c>
      <c r="AP180">
        <f t="shared" si="94"/>
        <v>0</v>
      </c>
      <c r="AQ180">
        <f t="shared" ca="1" si="86"/>
        <v>1.0000000000000004</v>
      </c>
      <c r="AR180" t="str">
        <f t="shared" ca="1" si="87"/>
        <v>Supercritical</v>
      </c>
      <c r="AS180">
        <f t="shared" ca="1" si="88"/>
        <v>3.8141460404132466E-3</v>
      </c>
    </row>
    <row r="181" spans="1:45" x14ac:dyDescent="0.35">
      <c r="A181">
        <v>120</v>
      </c>
      <c r="B181">
        <v>118.997</v>
      </c>
      <c r="C181">
        <v>616465.68299999996</v>
      </c>
      <c r="D181">
        <v>3097695.102</v>
      </c>
      <c r="E181">
        <v>632.50250000000005</v>
      </c>
      <c r="F181">
        <v>5.2</v>
      </c>
      <c r="G181">
        <v>0</v>
      </c>
      <c r="H181" t="s">
        <v>154</v>
      </c>
      <c r="I181">
        <v>0.06</v>
      </c>
      <c r="J181">
        <f t="shared" si="89"/>
        <v>1</v>
      </c>
      <c r="K181">
        <f t="shared" ca="1" si="90"/>
        <v>50.95</v>
      </c>
      <c r="L181">
        <f t="shared" ca="1" si="91"/>
        <v>2.1389677043987478</v>
      </c>
      <c r="M181">
        <f t="shared" ca="1" si="64"/>
        <v>11.122632062873489</v>
      </c>
      <c r="N181">
        <f t="shared" ca="1" si="65"/>
        <v>1.1735290000551568</v>
      </c>
      <c r="O181">
        <f t="shared" ca="1" si="66"/>
        <v>4.5807502857230418</v>
      </c>
      <c r="P181">
        <f t="shared" ca="1" si="67"/>
        <v>634.64146770439879</v>
      </c>
      <c r="Q181">
        <f t="shared" ca="1" si="68"/>
        <v>635.71095155659816</v>
      </c>
      <c r="R181">
        <f t="shared" ca="1" si="69"/>
        <v>3.8141460404132466E-3</v>
      </c>
      <c r="S181">
        <f t="shared" ca="1" si="70"/>
        <v>1.0000000000000004</v>
      </c>
      <c r="T181">
        <f t="shared" ca="1" si="71"/>
        <v>35.686426155594638</v>
      </c>
      <c r="U181">
        <f t="shared" ca="1" si="92"/>
        <v>-3.4210944256756193E-3</v>
      </c>
      <c r="V181">
        <f t="shared" ca="1" si="93"/>
        <v>1</v>
      </c>
      <c r="W181">
        <f t="shared" ca="1" si="72"/>
        <v>2.1381886436890443</v>
      </c>
      <c r="X181">
        <f t="shared" ca="1" si="73"/>
        <v>11.11858094718303</v>
      </c>
      <c r="Y181">
        <f t="shared" ca="1" si="74"/>
        <v>1.1732944573652897</v>
      </c>
      <c r="Z181">
        <f t="shared" ca="1" si="75"/>
        <v>4.5824193071066803</v>
      </c>
      <c r="AA181">
        <f t="shared" ca="1" si="76"/>
        <v>634.64068864368915</v>
      </c>
      <c r="AB181">
        <f t="shared" ca="1" si="77"/>
        <v>635.71095198243245</v>
      </c>
      <c r="AC181">
        <f t="shared" ca="1" si="78"/>
        <v>3.8179433334236904E-3</v>
      </c>
      <c r="AD181">
        <f t="shared" ca="1" si="79"/>
        <v>1.0005465829720761</v>
      </c>
      <c r="AE181">
        <f t="shared" ca="1" si="80"/>
        <v>35.686430890842168</v>
      </c>
      <c r="AF181">
        <f t="shared" ca="1" si="81"/>
        <v>3.31947670667887E-3</v>
      </c>
      <c r="AG181">
        <f t="shared" ca="1" si="82"/>
        <v>0</v>
      </c>
      <c r="AH181">
        <f ca="1">IFERROR(IF(V32="Supercritical",MAX($D$16,IFERROR(L181,MAX($D$16,POWER((ABS(K181)^2)/($I$5*MAX(F181,0.1)^2),1/3)))),IF(V32="Subcritical",MAX($D$16,IFERROR(W181,MAX($D$16,POWER((ABS(K181)^2)/($I$5*MAX(F181,0.1)^2),1/3)))),IF(AND(IFERROR(V181,0)=1,IFERROR(AG181,0)=1),IF(IFERROR(T181,-1E+99)&gt;=IFERROR(AE181,-1E+99),MAX($D$16,IFERROR(L181,MAX($D$16,POWER((ABS(K181)^2)/($I$5*MAX(F181,0.1)^2),1/3)))),MAX($D$16,IFERROR(W181,MAX($D$16,POWER((ABS(K181)^2)/($I$5*MAX(F181,0.1)^2),1/3))))),IF(IFERROR(V181,0)=1,MAX($D$16,IFERROR(L181,MAX($D$16,POWER((ABS(K181)^2)/($I$5*MAX(F181,0.1)^2),1/3)))),IF(IFERROR(AG181,0)=1,MAX($D$16,IFERROR(W181,MAX($D$16,POWER((ABS(K181)^2)/($I$5*MAX(F181,0.1)^2),1/3)))),MAX($D$16,POWER((ABS(K181)^2)/($I$5*MAX(F181,0.1)^2),1/3))))))),MAX($D$16,POWER((ABS(K181)^2)/($I$5*MAX(F181,0.1)^2),1/3)))</f>
        <v>2.1389677043987478</v>
      </c>
      <c r="AI181">
        <f t="shared" ca="1" si="83"/>
        <v>634.64146770439879</v>
      </c>
      <c r="AJ181">
        <f t="shared" ca="1" si="84"/>
        <v>635.71095155659816</v>
      </c>
      <c r="AM181">
        <v>0</v>
      </c>
      <c r="AN181">
        <v>0</v>
      </c>
      <c r="AO181">
        <f t="shared" si="85"/>
        <v>0</v>
      </c>
      <c r="AP181">
        <f t="shared" si="94"/>
        <v>0</v>
      </c>
      <c r="AQ181">
        <f t="shared" ca="1" si="86"/>
        <v>1.0000000000000004</v>
      </c>
      <c r="AR181" t="str">
        <f t="shared" ca="1" si="87"/>
        <v>Supercritical</v>
      </c>
      <c r="AS181">
        <f t="shared" ca="1" si="88"/>
        <v>3.8141460404132466E-3</v>
      </c>
    </row>
    <row r="182" spans="1:45" x14ac:dyDescent="0.35">
      <c r="A182">
        <v>121</v>
      </c>
      <c r="B182">
        <v>119.996</v>
      </c>
      <c r="C182">
        <v>616464.68500000006</v>
      </c>
      <c r="D182">
        <v>3097695.054</v>
      </c>
      <c r="E182">
        <v>632.50199999999995</v>
      </c>
      <c r="F182">
        <v>5.2</v>
      </c>
      <c r="G182">
        <v>0</v>
      </c>
      <c r="H182" t="s">
        <v>154</v>
      </c>
      <c r="I182">
        <v>3.0000000000000001E-3</v>
      </c>
      <c r="J182">
        <f t="shared" si="89"/>
        <v>0.99899999999999523</v>
      </c>
      <c r="K182">
        <f t="shared" ca="1" si="90"/>
        <v>50.95</v>
      </c>
      <c r="L182">
        <f t="shared" ca="1" si="91"/>
        <v>2.1389677043987478</v>
      </c>
      <c r="M182">
        <f t="shared" ca="1" si="64"/>
        <v>11.122632062873489</v>
      </c>
      <c r="N182">
        <f t="shared" ca="1" si="65"/>
        <v>1.1735290000551568</v>
      </c>
      <c r="O182">
        <f t="shared" ca="1" si="66"/>
        <v>4.5807502857230418</v>
      </c>
      <c r="P182">
        <f t="shared" ca="1" si="67"/>
        <v>634.64096770439869</v>
      </c>
      <c r="Q182">
        <f t="shared" ca="1" si="68"/>
        <v>635.71045155659806</v>
      </c>
      <c r="R182">
        <f t="shared" ca="1" si="69"/>
        <v>3.8141460404132466E-3</v>
      </c>
      <c r="S182">
        <f t="shared" ca="1" si="70"/>
        <v>1.0000000000000004</v>
      </c>
      <c r="T182">
        <f t="shared" ca="1" si="71"/>
        <v>35.686426155594638</v>
      </c>
      <c r="U182">
        <f t="shared" ca="1" si="92"/>
        <v>-3.3156793134594409E-3</v>
      </c>
      <c r="V182">
        <f t="shared" ca="1" si="93"/>
        <v>1</v>
      </c>
      <c r="W182">
        <f t="shared" ca="1" si="72"/>
        <v>2.1373203735079915</v>
      </c>
      <c r="X182">
        <f t="shared" ca="1" si="73"/>
        <v>11.114065942241556</v>
      </c>
      <c r="Y182">
        <f t="shared" ca="1" si="74"/>
        <v>1.1730329665261352</v>
      </c>
      <c r="Z182">
        <f t="shared" ca="1" si="75"/>
        <v>4.5842808801730106</v>
      </c>
      <c r="AA182">
        <f t="shared" ca="1" si="76"/>
        <v>634.63932037350799</v>
      </c>
      <c r="AB182">
        <f t="shared" ca="1" si="77"/>
        <v>635.71045346159769</v>
      </c>
      <c r="AC182">
        <f t="shared" ca="1" si="78"/>
        <v>3.8221817362197445E-3</v>
      </c>
      <c r="AD182">
        <f t="shared" ca="1" si="79"/>
        <v>1.0011563415729299</v>
      </c>
      <c r="AE182">
        <f t="shared" ca="1" si="80"/>
        <v>35.686447333323514</v>
      </c>
      <c r="AF182">
        <f t="shared" ca="1" si="81"/>
        <v>3.4277615613973467E-3</v>
      </c>
      <c r="AG182">
        <f t="shared" ca="1" si="82"/>
        <v>0</v>
      </c>
      <c r="AH182">
        <f ca="1">IFERROR(IF(V32="Supercritical",MAX($D$16,IFERROR(L182,MAX($D$16,POWER((ABS(K182)^2)/($I$5*MAX(F182,0.1)^2),1/3)))),IF(V32="Subcritical",MAX($D$16,IFERROR(W182,MAX($D$16,POWER((ABS(K182)^2)/($I$5*MAX(F182,0.1)^2),1/3)))),IF(AND(IFERROR(V182,0)=1,IFERROR(AG182,0)=1),IF(IFERROR(T182,-1E+99)&gt;=IFERROR(AE182,-1E+99),MAX($D$16,IFERROR(L182,MAX($D$16,POWER((ABS(K182)^2)/($I$5*MAX(F182,0.1)^2),1/3)))),MAX($D$16,IFERROR(W182,MAX($D$16,POWER((ABS(K182)^2)/($I$5*MAX(F182,0.1)^2),1/3))))),IF(IFERROR(V182,0)=1,MAX($D$16,IFERROR(L182,MAX($D$16,POWER((ABS(K182)^2)/($I$5*MAX(F182,0.1)^2),1/3)))),IF(IFERROR(AG182,0)=1,MAX($D$16,IFERROR(W182,MAX($D$16,POWER((ABS(K182)^2)/($I$5*MAX(F182,0.1)^2),1/3)))),MAX($D$16,POWER((ABS(K182)^2)/($I$5*MAX(F182,0.1)^2),1/3))))))),MAX($D$16,POWER((ABS(K182)^2)/($I$5*MAX(F182,0.1)^2),1/3)))</f>
        <v>2.1389677043987478</v>
      </c>
      <c r="AI182">
        <f t="shared" ca="1" si="83"/>
        <v>634.64096770439869</v>
      </c>
      <c r="AJ182">
        <f t="shared" ca="1" si="84"/>
        <v>635.71045155659806</v>
      </c>
      <c r="AM182">
        <v>0</v>
      </c>
      <c r="AN182">
        <v>0</v>
      </c>
      <c r="AO182">
        <f t="shared" si="85"/>
        <v>0</v>
      </c>
      <c r="AP182">
        <f t="shared" si="94"/>
        <v>0</v>
      </c>
      <c r="AQ182">
        <f t="shared" ca="1" si="86"/>
        <v>1.0000000000000004</v>
      </c>
      <c r="AR182" t="str">
        <f t="shared" ca="1" si="87"/>
        <v>Supercritical</v>
      </c>
      <c r="AS182">
        <f t="shared" ca="1" si="88"/>
        <v>3.8141460404132466E-3</v>
      </c>
    </row>
    <row r="183" spans="1:45" x14ac:dyDescent="0.35">
      <c r="A183">
        <v>122</v>
      </c>
      <c r="B183">
        <v>120.997</v>
      </c>
      <c r="C183">
        <v>616463.68599999999</v>
      </c>
      <c r="D183">
        <v>3097695.0060000001</v>
      </c>
      <c r="E183">
        <v>632.50149999999996</v>
      </c>
      <c r="F183">
        <v>5.2</v>
      </c>
      <c r="G183">
        <v>0</v>
      </c>
      <c r="H183" t="s">
        <v>154</v>
      </c>
      <c r="I183">
        <v>5.7000000000000002E-2</v>
      </c>
      <c r="J183">
        <f t="shared" si="89"/>
        <v>1.0010000000000048</v>
      </c>
      <c r="K183">
        <f t="shared" ca="1" si="90"/>
        <v>50.95</v>
      </c>
      <c r="L183">
        <f t="shared" ca="1" si="91"/>
        <v>2.1389677043987478</v>
      </c>
      <c r="M183">
        <f t="shared" ca="1" si="64"/>
        <v>11.122632062873489</v>
      </c>
      <c r="N183">
        <f t="shared" ca="1" si="65"/>
        <v>1.1735290000551568</v>
      </c>
      <c r="O183">
        <f t="shared" ca="1" si="66"/>
        <v>4.5807502857230418</v>
      </c>
      <c r="P183">
        <f t="shared" ca="1" si="67"/>
        <v>634.6404677043987</v>
      </c>
      <c r="Q183">
        <f t="shared" ca="1" si="68"/>
        <v>635.70995155659807</v>
      </c>
      <c r="R183">
        <f t="shared" ca="1" si="69"/>
        <v>3.8141460404132466E-3</v>
      </c>
      <c r="S183">
        <f t="shared" ca="1" si="70"/>
        <v>1.0000000000000004</v>
      </c>
      <c r="T183">
        <f t="shared" ca="1" si="71"/>
        <v>35.686426155594638</v>
      </c>
      <c r="U183">
        <f t="shared" ca="1" si="92"/>
        <v>-3.4195611524410197E-3</v>
      </c>
      <c r="V183">
        <f t="shared" ca="1" si="93"/>
        <v>1</v>
      </c>
      <c r="W183">
        <f t="shared" ca="1" si="72"/>
        <v>2.1381886436890443</v>
      </c>
      <c r="X183">
        <f t="shared" ca="1" si="73"/>
        <v>11.11858094718303</v>
      </c>
      <c r="Y183">
        <f t="shared" ca="1" si="74"/>
        <v>1.1732944573652897</v>
      </c>
      <c r="Z183">
        <f t="shared" ca="1" si="75"/>
        <v>4.5824193071066803</v>
      </c>
      <c r="AA183">
        <f t="shared" ca="1" si="76"/>
        <v>634.63968864368906</v>
      </c>
      <c r="AB183">
        <f t="shared" ca="1" si="77"/>
        <v>635.70995198243236</v>
      </c>
      <c r="AC183">
        <f t="shared" ca="1" si="78"/>
        <v>3.8179433334236904E-3</v>
      </c>
      <c r="AD183">
        <f t="shared" ca="1" si="79"/>
        <v>1.0005465829720761</v>
      </c>
      <c r="AE183">
        <f t="shared" ca="1" si="80"/>
        <v>35.686430890842168</v>
      </c>
      <c r="AF183">
        <f t="shared" ca="1" si="81"/>
        <v>3.4196183505628142E-3</v>
      </c>
      <c r="AG183">
        <f t="shared" ca="1" si="82"/>
        <v>0</v>
      </c>
      <c r="AH183">
        <f ca="1">IFERROR(IF(V32="Supercritical",MAX($D$16,IFERROR(L183,MAX($D$16,POWER((ABS(K183)^2)/($I$5*MAX(F183,0.1)^2),1/3)))),IF(V32="Subcritical",MAX($D$16,IFERROR(W183,MAX($D$16,POWER((ABS(K183)^2)/($I$5*MAX(F183,0.1)^2),1/3)))),IF(AND(IFERROR(V183,0)=1,IFERROR(AG183,0)=1),IF(IFERROR(T183,-1E+99)&gt;=IFERROR(AE183,-1E+99),MAX($D$16,IFERROR(L183,MAX($D$16,POWER((ABS(K183)^2)/($I$5*MAX(F183,0.1)^2),1/3)))),MAX($D$16,IFERROR(W183,MAX($D$16,POWER((ABS(K183)^2)/($I$5*MAX(F183,0.1)^2),1/3))))),IF(IFERROR(V183,0)=1,MAX($D$16,IFERROR(L183,MAX($D$16,POWER((ABS(K183)^2)/($I$5*MAX(F183,0.1)^2),1/3)))),IF(IFERROR(AG183,0)=1,MAX($D$16,IFERROR(W183,MAX($D$16,POWER((ABS(K183)^2)/($I$5*MAX(F183,0.1)^2),1/3)))),MAX($D$16,POWER((ABS(K183)^2)/($I$5*MAX(F183,0.1)^2),1/3))))))),MAX($D$16,POWER((ABS(K183)^2)/($I$5*MAX(F183,0.1)^2),1/3)))</f>
        <v>2.1389677043987478</v>
      </c>
      <c r="AI183">
        <f t="shared" ca="1" si="83"/>
        <v>634.6404677043987</v>
      </c>
      <c r="AJ183">
        <f t="shared" ca="1" si="84"/>
        <v>635.70995155659807</v>
      </c>
      <c r="AM183">
        <v>0</v>
      </c>
      <c r="AN183">
        <v>0</v>
      </c>
      <c r="AO183">
        <f t="shared" si="85"/>
        <v>0</v>
      </c>
      <c r="AP183">
        <f t="shared" si="94"/>
        <v>0</v>
      </c>
      <c r="AQ183">
        <f t="shared" ca="1" si="86"/>
        <v>1.0000000000000004</v>
      </c>
      <c r="AR183" t="str">
        <f t="shared" ca="1" si="87"/>
        <v>Supercritical</v>
      </c>
      <c r="AS183">
        <f t="shared" ca="1" si="88"/>
        <v>3.8141460404132466E-3</v>
      </c>
    </row>
    <row r="184" spans="1:45" x14ac:dyDescent="0.35">
      <c r="A184">
        <v>123</v>
      </c>
      <c r="B184">
        <v>121.997</v>
      </c>
      <c r="C184">
        <v>616462.68700000003</v>
      </c>
      <c r="D184">
        <v>3097694.9589999998</v>
      </c>
      <c r="E184">
        <v>632.50099999999998</v>
      </c>
      <c r="F184">
        <v>5.2</v>
      </c>
      <c r="G184">
        <v>0</v>
      </c>
      <c r="H184" t="s">
        <v>154</v>
      </c>
      <c r="I184">
        <v>5.7000000000000002E-2</v>
      </c>
      <c r="J184">
        <f t="shared" si="89"/>
        <v>1</v>
      </c>
      <c r="K184">
        <f t="shared" ca="1" si="90"/>
        <v>50.95</v>
      </c>
      <c r="L184">
        <f t="shared" ca="1" si="91"/>
        <v>2.1389677043987478</v>
      </c>
      <c r="M184">
        <f t="shared" ca="1" si="64"/>
        <v>11.122632062873489</v>
      </c>
      <c r="N184">
        <f t="shared" ca="1" si="65"/>
        <v>1.1735290000551568</v>
      </c>
      <c r="O184">
        <f t="shared" ca="1" si="66"/>
        <v>4.5807502857230418</v>
      </c>
      <c r="P184">
        <f t="shared" ca="1" si="67"/>
        <v>634.63996770439871</v>
      </c>
      <c r="Q184">
        <f t="shared" ca="1" si="68"/>
        <v>635.70945155659808</v>
      </c>
      <c r="R184">
        <f t="shared" ca="1" si="69"/>
        <v>3.8141460404132466E-3</v>
      </c>
      <c r="S184">
        <f t="shared" ca="1" si="70"/>
        <v>1.0000000000000004</v>
      </c>
      <c r="T184">
        <f t="shared" ca="1" si="71"/>
        <v>35.686426155594638</v>
      </c>
      <c r="U184">
        <f t="shared" ca="1" si="92"/>
        <v>-3.4157470064428708E-3</v>
      </c>
      <c r="V184">
        <f t="shared" ca="1" si="93"/>
        <v>1</v>
      </c>
      <c r="W184">
        <f t="shared" ca="1" si="72"/>
        <v>2.1373203735079915</v>
      </c>
      <c r="X184">
        <f t="shared" ca="1" si="73"/>
        <v>11.114065942241556</v>
      </c>
      <c r="Y184">
        <f t="shared" ca="1" si="74"/>
        <v>1.1730329665261352</v>
      </c>
      <c r="Z184">
        <f t="shared" ca="1" si="75"/>
        <v>4.5842808801730106</v>
      </c>
      <c r="AA184">
        <f t="shared" ca="1" si="76"/>
        <v>634.63832037350801</v>
      </c>
      <c r="AB184">
        <f t="shared" ca="1" si="77"/>
        <v>635.70945346159772</v>
      </c>
      <c r="AC184">
        <f t="shared" ca="1" si="78"/>
        <v>3.8221817362197445E-3</v>
      </c>
      <c r="AD184">
        <f t="shared" ca="1" si="79"/>
        <v>1.0011563415729299</v>
      </c>
      <c r="AE184">
        <f t="shared" ca="1" si="80"/>
        <v>35.686447333323514</v>
      </c>
      <c r="AF184">
        <f t="shared" ca="1" si="81"/>
        <v>3.4239393796724471E-3</v>
      </c>
      <c r="AG184">
        <f t="shared" ca="1" si="82"/>
        <v>0</v>
      </c>
      <c r="AH184">
        <f ca="1">IFERROR(IF(V32="Supercritical",MAX($D$16,IFERROR(L184,MAX($D$16,POWER((ABS(K184)^2)/($I$5*MAX(F184,0.1)^2),1/3)))),IF(V32="Subcritical",MAX($D$16,IFERROR(W184,MAX($D$16,POWER((ABS(K184)^2)/($I$5*MAX(F184,0.1)^2),1/3)))),IF(AND(IFERROR(V184,0)=1,IFERROR(AG184,0)=1),IF(IFERROR(T184,-1E+99)&gt;=IFERROR(AE184,-1E+99),MAX($D$16,IFERROR(L184,MAX($D$16,POWER((ABS(K184)^2)/($I$5*MAX(F184,0.1)^2),1/3)))),MAX($D$16,IFERROR(W184,MAX($D$16,POWER((ABS(K184)^2)/($I$5*MAX(F184,0.1)^2),1/3))))),IF(IFERROR(V184,0)=1,MAX($D$16,IFERROR(L184,MAX($D$16,POWER((ABS(K184)^2)/($I$5*MAX(F184,0.1)^2),1/3)))),IF(IFERROR(AG184,0)=1,MAX($D$16,IFERROR(W184,MAX($D$16,POWER((ABS(K184)^2)/($I$5*MAX(F184,0.1)^2),1/3)))),MAX($D$16,POWER((ABS(K184)^2)/($I$5*MAX(F184,0.1)^2),1/3))))))),MAX($D$16,POWER((ABS(K184)^2)/($I$5*MAX(F184,0.1)^2),1/3)))</f>
        <v>2.1389677043987478</v>
      </c>
      <c r="AI184">
        <f t="shared" ca="1" si="83"/>
        <v>634.63996770439871</v>
      </c>
      <c r="AJ184">
        <f t="shared" ca="1" si="84"/>
        <v>635.70945155659808</v>
      </c>
      <c r="AM184">
        <v>0</v>
      </c>
      <c r="AN184">
        <v>0</v>
      </c>
      <c r="AO184">
        <f t="shared" si="85"/>
        <v>0</v>
      </c>
      <c r="AP184">
        <f t="shared" si="94"/>
        <v>0</v>
      </c>
      <c r="AQ184">
        <f t="shared" ca="1" si="86"/>
        <v>1.0000000000000004</v>
      </c>
      <c r="AR184" t="str">
        <f t="shared" ca="1" si="87"/>
        <v>Supercritical</v>
      </c>
      <c r="AS184">
        <f t="shared" ca="1" si="88"/>
        <v>3.8141460404132466E-3</v>
      </c>
    </row>
    <row r="185" spans="1:45" x14ac:dyDescent="0.35">
      <c r="A185">
        <v>124</v>
      </c>
      <c r="B185">
        <v>122.997</v>
      </c>
      <c r="C185">
        <v>616461.68799999997</v>
      </c>
      <c r="D185">
        <v>3097694.9109999998</v>
      </c>
      <c r="E185">
        <v>632.50049999999999</v>
      </c>
      <c r="F185">
        <v>5.2</v>
      </c>
      <c r="G185">
        <v>0</v>
      </c>
      <c r="H185" t="s">
        <v>154</v>
      </c>
      <c r="I185">
        <v>5.7000000000000002E-2</v>
      </c>
      <c r="J185">
        <f t="shared" si="89"/>
        <v>1</v>
      </c>
      <c r="K185">
        <f t="shared" ca="1" si="90"/>
        <v>50.95</v>
      </c>
      <c r="L185">
        <f t="shared" ca="1" si="91"/>
        <v>2.1389677043987478</v>
      </c>
      <c r="M185">
        <f t="shared" ca="1" si="64"/>
        <v>11.122632062873489</v>
      </c>
      <c r="N185">
        <f t="shared" ca="1" si="65"/>
        <v>1.1735290000551568</v>
      </c>
      <c r="O185">
        <f t="shared" ca="1" si="66"/>
        <v>4.5807502857230418</v>
      </c>
      <c r="P185">
        <f t="shared" ca="1" si="67"/>
        <v>634.63946770439873</v>
      </c>
      <c r="Q185">
        <f t="shared" ca="1" si="68"/>
        <v>635.70895155659809</v>
      </c>
      <c r="R185">
        <f t="shared" ca="1" si="69"/>
        <v>3.8141460404132466E-3</v>
      </c>
      <c r="S185">
        <f t="shared" ca="1" si="70"/>
        <v>1.0000000000000004</v>
      </c>
      <c r="T185">
        <f t="shared" ca="1" si="71"/>
        <v>35.686426155594638</v>
      </c>
      <c r="U185">
        <f t="shared" ca="1" si="92"/>
        <v>-3.4157470064428708E-3</v>
      </c>
      <c r="V185">
        <f t="shared" ca="1" si="93"/>
        <v>1</v>
      </c>
      <c r="W185">
        <f t="shared" ca="1" si="72"/>
        <v>2.1381886436890443</v>
      </c>
      <c r="X185">
        <f t="shared" ca="1" si="73"/>
        <v>11.11858094718303</v>
      </c>
      <c r="Y185">
        <f t="shared" ca="1" si="74"/>
        <v>1.1732944573652897</v>
      </c>
      <c r="Z185">
        <f t="shared" ca="1" si="75"/>
        <v>4.5824193071066803</v>
      </c>
      <c r="AA185">
        <f t="shared" ca="1" si="76"/>
        <v>634.63868864368908</v>
      </c>
      <c r="AB185">
        <f t="shared" ca="1" si="77"/>
        <v>635.70895198243238</v>
      </c>
      <c r="AC185">
        <f t="shared" ca="1" si="78"/>
        <v>3.8179433334236904E-3</v>
      </c>
      <c r="AD185">
        <f t="shared" ca="1" si="79"/>
        <v>1.0005465829720761</v>
      </c>
      <c r="AE185">
        <f t="shared" ca="1" si="80"/>
        <v>35.686430890842168</v>
      </c>
      <c r="AF185">
        <f t="shared" ca="1" si="81"/>
        <v>3.4196183505628142E-3</v>
      </c>
      <c r="AG185">
        <f t="shared" ca="1" si="82"/>
        <v>0</v>
      </c>
      <c r="AH185">
        <f ca="1">IFERROR(IF(V32="Supercritical",MAX($D$16,IFERROR(L185,MAX($D$16,POWER((ABS(K185)^2)/($I$5*MAX(F185,0.1)^2),1/3)))),IF(V32="Subcritical",MAX($D$16,IFERROR(W185,MAX($D$16,POWER((ABS(K185)^2)/($I$5*MAX(F185,0.1)^2),1/3)))),IF(AND(IFERROR(V185,0)=1,IFERROR(AG185,0)=1),IF(IFERROR(T185,-1E+99)&gt;=IFERROR(AE185,-1E+99),MAX($D$16,IFERROR(L185,MAX($D$16,POWER((ABS(K185)^2)/($I$5*MAX(F185,0.1)^2),1/3)))),MAX($D$16,IFERROR(W185,MAX($D$16,POWER((ABS(K185)^2)/($I$5*MAX(F185,0.1)^2),1/3))))),IF(IFERROR(V185,0)=1,MAX($D$16,IFERROR(L185,MAX($D$16,POWER((ABS(K185)^2)/($I$5*MAX(F185,0.1)^2),1/3)))),IF(IFERROR(AG185,0)=1,MAX($D$16,IFERROR(W185,MAX($D$16,POWER((ABS(K185)^2)/($I$5*MAX(F185,0.1)^2),1/3)))),MAX($D$16,POWER((ABS(K185)^2)/($I$5*MAX(F185,0.1)^2),1/3))))))),MAX($D$16,POWER((ABS(K185)^2)/($I$5*MAX(F185,0.1)^2),1/3)))</f>
        <v>2.1389677043987478</v>
      </c>
      <c r="AI185">
        <f t="shared" ca="1" si="83"/>
        <v>634.63946770439873</v>
      </c>
      <c r="AJ185">
        <f t="shared" ca="1" si="84"/>
        <v>635.70895155659809</v>
      </c>
      <c r="AM185">
        <v>0</v>
      </c>
      <c r="AN185">
        <v>0</v>
      </c>
      <c r="AO185">
        <f t="shared" si="85"/>
        <v>0</v>
      </c>
      <c r="AP185">
        <f t="shared" si="94"/>
        <v>0</v>
      </c>
      <c r="AQ185">
        <f t="shared" ca="1" si="86"/>
        <v>1.0000000000000004</v>
      </c>
      <c r="AR185" t="str">
        <f t="shared" ca="1" si="87"/>
        <v>Supercritical</v>
      </c>
      <c r="AS185">
        <f t="shared" ca="1" si="88"/>
        <v>3.8141460404132466E-3</v>
      </c>
    </row>
    <row r="186" spans="1:45" x14ac:dyDescent="0.35">
      <c r="A186">
        <v>125</v>
      </c>
      <c r="B186">
        <v>123.997</v>
      </c>
      <c r="C186">
        <v>616460.68900000001</v>
      </c>
      <c r="D186">
        <v>3097694.8640000001</v>
      </c>
      <c r="E186">
        <v>632.5</v>
      </c>
      <c r="F186">
        <v>5.2</v>
      </c>
      <c r="G186">
        <v>0</v>
      </c>
      <c r="H186" t="s">
        <v>154</v>
      </c>
      <c r="I186">
        <v>5.7000000000000002E-2</v>
      </c>
      <c r="J186">
        <f t="shared" si="89"/>
        <v>1</v>
      </c>
      <c r="K186">
        <f t="shared" ca="1" si="90"/>
        <v>50.95</v>
      </c>
      <c r="L186">
        <f t="shared" ca="1" si="91"/>
        <v>2.1389677043987478</v>
      </c>
      <c r="M186">
        <f t="shared" ca="1" si="64"/>
        <v>11.122632062873489</v>
      </c>
      <c r="N186">
        <f t="shared" ca="1" si="65"/>
        <v>1.1735290000551568</v>
      </c>
      <c r="O186">
        <f t="shared" ca="1" si="66"/>
        <v>4.5807502857230418</v>
      </c>
      <c r="P186">
        <f t="shared" ca="1" si="67"/>
        <v>634.63896770439874</v>
      </c>
      <c r="Q186">
        <f t="shared" ca="1" si="68"/>
        <v>635.70845155659811</v>
      </c>
      <c r="R186">
        <f t="shared" ca="1" si="69"/>
        <v>3.8141460404132466E-3</v>
      </c>
      <c r="S186">
        <f t="shared" ca="1" si="70"/>
        <v>1.0000000000000004</v>
      </c>
      <c r="T186">
        <f t="shared" ca="1" si="71"/>
        <v>35.686426155594638</v>
      </c>
      <c r="U186">
        <f t="shared" ca="1" si="92"/>
        <v>-3.4157470064428708E-3</v>
      </c>
      <c r="V186">
        <f t="shared" ca="1" si="93"/>
        <v>1</v>
      </c>
      <c r="W186">
        <f t="shared" ca="1" si="72"/>
        <v>2.1373203735079915</v>
      </c>
      <c r="X186">
        <f t="shared" ca="1" si="73"/>
        <v>11.114065942241556</v>
      </c>
      <c r="Y186">
        <f t="shared" ca="1" si="74"/>
        <v>1.1730329665261352</v>
      </c>
      <c r="Z186">
        <f t="shared" ca="1" si="75"/>
        <v>4.5842808801730106</v>
      </c>
      <c r="AA186">
        <f t="shared" ca="1" si="76"/>
        <v>634.63732037350803</v>
      </c>
      <c r="AB186">
        <f t="shared" ca="1" si="77"/>
        <v>635.70845346159774</v>
      </c>
      <c r="AC186">
        <f t="shared" ca="1" si="78"/>
        <v>3.8221817362197445E-3</v>
      </c>
      <c r="AD186">
        <f t="shared" ca="1" si="79"/>
        <v>1.0011563415729299</v>
      </c>
      <c r="AE186">
        <f t="shared" ca="1" si="80"/>
        <v>35.686447333323514</v>
      </c>
      <c r="AF186">
        <f t="shared" ca="1" si="81"/>
        <v>3.3221817362800721E-3</v>
      </c>
      <c r="AG186">
        <f t="shared" ca="1" si="82"/>
        <v>0</v>
      </c>
      <c r="AH186">
        <f ca="1">IFERROR(IF(V32="Supercritical",MAX($D$16,IFERROR(L186,MAX($D$16,POWER((ABS(K186)^2)/($I$5*MAX(F186,0.1)^2),1/3)))),IF(V32="Subcritical",MAX($D$16,IFERROR(W186,MAX($D$16,POWER((ABS(K186)^2)/($I$5*MAX(F186,0.1)^2),1/3)))),IF(AND(IFERROR(V186,0)=1,IFERROR(AG186,0)=1),IF(IFERROR(T186,-1E+99)&gt;=IFERROR(AE186,-1E+99),MAX($D$16,IFERROR(L186,MAX($D$16,POWER((ABS(K186)^2)/($I$5*MAX(F186,0.1)^2),1/3)))),MAX($D$16,IFERROR(W186,MAX($D$16,POWER((ABS(K186)^2)/($I$5*MAX(F186,0.1)^2),1/3))))),IF(IFERROR(V186,0)=1,MAX($D$16,IFERROR(L186,MAX($D$16,POWER((ABS(K186)^2)/($I$5*MAX(F186,0.1)^2),1/3)))),IF(IFERROR(AG186,0)=1,MAX($D$16,IFERROR(W186,MAX($D$16,POWER((ABS(K186)^2)/($I$5*MAX(F186,0.1)^2),1/3)))),MAX($D$16,POWER((ABS(K186)^2)/($I$5*MAX(F186,0.1)^2),1/3))))))),MAX($D$16,POWER((ABS(K186)^2)/($I$5*MAX(F186,0.1)^2),1/3)))</f>
        <v>2.1389677043987478</v>
      </c>
      <c r="AI186">
        <f t="shared" ca="1" si="83"/>
        <v>634.63896770439874</v>
      </c>
      <c r="AJ186">
        <f t="shared" ca="1" si="84"/>
        <v>635.70845155659811</v>
      </c>
      <c r="AM186">
        <v>0</v>
      </c>
      <c r="AN186">
        <v>0</v>
      </c>
      <c r="AO186">
        <f t="shared" si="85"/>
        <v>0</v>
      </c>
      <c r="AP186">
        <f t="shared" si="94"/>
        <v>0</v>
      </c>
      <c r="AQ186">
        <f t="shared" ca="1" si="86"/>
        <v>1.0000000000000004</v>
      </c>
      <c r="AR186" t="str">
        <f t="shared" ca="1" si="87"/>
        <v>Supercritical</v>
      </c>
      <c r="AS186">
        <f t="shared" ca="1" si="88"/>
        <v>3.8141460404132466E-3</v>
      </c>
    </row>
    <row r="187" spans="1:45" x14ac:dyDescent="0.35">
      <c r="A187">
        <v>126</v>
      </c>
      <c r="B187">
        <v>124.997</v>
      </c>
      <c r="C187">
        <v>616459.68999999994</v>
      </c>
      <c r="D187">
        <v>3097694.8160000001</v>
      </c>
      <c r="E187">
        <v>632.49950000000001</v>
      </c>
      <c r="F187">
        <v>5.2</v>
      </c>
      <c r="G187">
        <v>0</v>
      </c>
      <c r="H187" t="s">
        <v>154</v>
      </c>
      <c r="I187">
        <v>0</v>
      </c>
      <c r="J187">
        <f t="shared" si="89"/>
        <v>1</v>
      </c>
      <c r="K187">
        <f t="shared" ca="1" si="90"/>
        <v>50.95</v>
      </c>
      <c r="L187">
        <f t="shared" ca="1" si="91"/>
        <v>2.1389677043987478</v>
      </c>
      <c r="M187">
        <f t="shared" ca="1" si="64"/>
        <v>11.122632062873489</v>
      </c>
      <c r="N187">
        <f t="shared" ca="1" si="65"/>
        <v>1.1735290000551568</v>
      </c>
      <c r="O187">
        <f t="shared" ca="1" si="66"/>
        <v>4.5807502857230418</v>
      </c>
      <c r="P187">
        <f t="shared" ca="1" si="67"/>
        <v>634.63846770439875</v>
      </c>
      <c r="Q187">
        <f t="shared" ca="1" si="68"/>
        <v>635.70795155659812</v>
      </c>
      <c r="R187">
        <f t="shared" ca="1" si="69"/>
        <v>3.8141460404132466E-3</v>
      </c>
      <c r="S187">
        <f t="shared" ca="1" si="70"/>
        <v>1.0000000000000004</v>
      </c>
      <c r="T187">
        <f t="shared" ca="1" si="71"/>
        <v>35.686426155594638</v>
      </c>
      <c r="U187">
        <f t="shared" ca="1" si="92"/>
        <v>-3.3141460404522149E-3</v>
      </c>
      <c r="V187">
        <f t="shared" ca="1" si="93"/>
        <v>1</v>
      </c>
      <c r="W187">
        <f t="shared" ca="1" si="72"/>
        <v>2.1381886436890443</v>
      </c>
      <c r="X187">
        <f t="shared" ca="1" si="73"/>
        <v>11.11858094718303</v>
      </c>
      <c r="Y187">
        <f t="shared" ca="1" si="74"/>
        <v>1.1732944573652897</v>
      </c>
      <c r="Z187">
        <f t="shared" ca="1" si="75"/>
        <v>4.5824193071066803</v>
      </c>
      <c r="AA187">
        <f t="shared" ca="1" si="76"/>
        <v>634.6376886436891</v>
      </c>
      <c r="AB187">
        <f t="shared" ca="1" si="77"/>
        <v>635.70795198243241</v>
      </c>
      <c r="AC187">
        <f t="shared" ca="1" si="78"/>
        <v>3.8179433334236904E-3</v>
      </c>
      <c r="AD187">
        <f t="shared" ca="1" si="79"/>
        <v>1.0005465829720761</v>
      </c>
      <c r="AE187">
        <f t="shared" ca="1" si="80"/>
        <v>35.686430890842168</v>
      </c>
      <c r="AF187">
        <f t="shared" ca="1" si="81"/>
        <v>3.4196183505628142E-3</v>
      </c>
      <c r="AG187">
        <f t="shared" ca="1" si="82"/>
        <v>0</v>
      </c>
      <c r="AH187">
        <f ca="1">IFERROR(IF(V32="Supercritical",MAX($D$16,IFERROR(L187,MAX($D$16,POWER((ABS(K187)^2)/($I$5*MAX(F187,0.1)^2),1/3)))),IF(V32="Subcritical",MAX($D$16,IFERROR(W187,MAX($D$16,POWER((ABS(K187)^2)/($I$5*MAX(F187,0.1)^2),1/3)))),IF(AND(IFERROR(V187,0)=1,IFERROR(AG187,0)=1),IF(IFERROR(T187,-1E+99)&gt;=IFERROR(AE187,-1E+99),MAX($D$16,IFERROR(L187,MAX($D$16,POWER((ABS(K187)^2)/($I$5*MAX(F187,0.1)^2),1/3)))),MAX($D$16,IFERROR(W187,MAX($D$16,POWER((ABS(K187)^2)/($I$5*MAX(F187,0.1)^2),1/3))))),IF(IFERROR(V187,0)=1,MAX($D$16,IFERROR(L187,MAX($D$16,POWER((ABS(K187)^2)/($I$5*MAX(F187,0.1)^2),1/3)))),IF(IFERROR(AG187,0)=1,MAX($D$16,IFERROR(W187,MAX($D$16,POWER((ABS(K187)^2)/($I$5*MAX(F187,0.1)^2),1/3)))),MAX($D$16,POWER((ABS(K187)^2)/($I$5*MAX(F187,0.1)^2),1/3))))))),MAX($D$16,POWER((ABS(K187)^2)/($I$5*MAX(F187,0.1)^2),1/3)))</f>
        <v>2.1389677043987478</v>
      </c>
      <c r="AI187">
        <f t="shared" ca="1" si="83"/>
        <v>634.63846770439875</v>
      </c>
      <c r="AJ187">
        <f t="shared" ca="1" si="84"/>
        <v>635.70795155659812</v>
      </c>
      <c r="AM187">
        <v>0</v>
      </c>
      <c r="AN187">
        <v>0</v>
      </c>
      <c r="AO187">
        <f t="shared" si="85"/>
        <v>0</v>
      </c>
      <c r="AP187">
        <f t="shared" si="94"/>
        <v>0</v>
      </c>
      <c r="AQ187">
        <f t="shared" ca="1" si="86"/>
        <v>1.0000000000000004</v>
      </c>
      <c r="AR187" t="str">
        <f t="shared" ca="1" si="87"/>
        <v>Supercritical</v>
      </c>
      <c r="AS187">
        <f t="shared" ca="1" si="88"/>
        <v>3.8141460404132466E-3</v>
      </c>
    </row>
    <row r="188" spans="1:45" x14ac:dyDescent="0.35">
      <c r="A188">
        <v>127</v>
      </c>
      <c r="B188">
        <v>125.997</v>
      </c>
      <c r="C188">
        <v>616458.69099999999</v>
      </c>
      <c r="D188">
        <v>3097694.7680000002</v>
      </c>
      <c r="E188">
        <v>632.49900000000002</v>
      </c>
      <c r="F188">
        <v>5.2</v>
      </c>
      <c r="G188">
        <v>0</v>
      </c>
      <c r="H188" t="s">
        <v>154</v>
      </c>
      <c r="I188">
        <v>5.7000000000000002E-2</v>
      </c>
      <c r="J188">
        <f t="shared" si="89"/>
        <v>1</v>
      </c>
      <c r="K188">
        <f t="shared" ca="1" si="90"/>
        <v>50.95</v>
      </c>
      <c r="L188">
        <f t="shared" ca="1" si="91"/>
        <v>2.1389677043987478</v>
      </c>
      <c r="M188">
        <f t="shared" ca="1" si="64"/>
        <v>11.122632062873489</v>
      </c>
      <c r="N188">
        <f t="shared" ca="1" si="65"/>
        <v>1.1735290000551568</v>
      </c>
      <c r="O188">
        <f t="shared" ca="1" si="66"/>
        <v>4.5807502857230418</v>
      </c>
      <c r="P188">
        <f t="shared" ca="1" si="67"/>
        <v>634.63796770439876</v>
      </c>
      <c r="Q188">
        <f t="shared" ca="1" si="68"/>
        <v>635.70745155659813</v>
      </c>
      <c r="R188">
        <f t="shared" ca="1" si="69"/>
        <v>3.8141460404132466E-3</v>
      </c>
      <c r="S188">
        <f t="shared" ca="1" si="70"/>
        <v>1.0000000000000004</v>
      </c>
      <c r="T188">
        <f t="shared" ca="1" si="71"/>
        <v>35.686426155594638</v>
      </c>
      <c r="U188">
        <f t="shared" ca="1" si="92"/>
        <v>-3.4157470064428708E-3</v>
      </c>
      <c r="V188">
        <f t="shared" ca="1" si="93"/>
        <v>1</v>
      </c>
      <c r="W188">
        <f t="shared" ca="1" si="72"/>
        <v>2.1373203735079915</v>
      </c>
      <c r="X188">
        <f t="shared" ca="1" si="73"/>
        <v>11.114065942241556</v>
      </c>
      <c r="Y188">
        <f t="shared" ca="1" si="74"/>
        <v>1.1730329665261352</v>
      </c>
      <c r="Z188">
        <f t="shared" ca="1" si="75"/>
        <v>4.5842808801730106</v>
      </c>
      <c r="AA188">
        <f t="shared" ca="1" si="76"/>
        <v>634.63632037350806</v>
      </c>
      <c r="AB188">
        <f t="shared" ca="1" si="77"/>
        <v>635.70745346159777</v>
      </c>
      <c r="AC188">
        <f t="shared" ca="1" si="78"/>
        <v>3.8221817362197445E-3</v>
      </c>
      <c r="AD188">
        <f t="shared" ca="1" si="79"/>
        <v>1.0011563415729299</v>
      </c>
      <c r="AE188">
        <f t="shared" ca="1" si="80"/>
        <v>35.686447333323514</v>
      </c>
      <c r="AF188">
        <f t="shared" ca="1" si="81"/>
        <v>3.4292950450662829E-3</v>
      </c>
      <c r="AG188">
        <f t="shared" ca="1" si="82"/>
        <v>0</v>
      </c>
      <c r="AH188">
        <f ca="1">IFERROR(IF(V32="Supercritical",MAX($D$16,IFERROR(L188,MAX($D$16,POWER((ABS(K188)^2)/($I$5*MAX(F188,0.1)^2),1/3)))),IF(V32="Subcritical",MAX($D$16,IFERROR(W188,MAX($D$16,POWER((ABS(K188)^2)/($I$5*MAX(F188,0.1)^2),1/3)))),IF(AND(IFERROR(V188,0)=1,IFERROR(AG188,0)=1),IF(IFERROR(T188,-1E+99)&gt;=IFERROR(AE188,-1E+99),MAX($D$16,IFERROR(L188,MAX($D$16,POWER((ABS(K188)^2)/($I$5*MAX(F188,0.1)^2),1/3)))),MAX($D$16,IFERROR(W188,MAX($D$16,POWER((ABS(K188)^2)/($I$5*MAX(F188,0.1)^2),1/3))))),IF(IFERROR(V188,0)=1,MAX($D$16,IFERROR(L188,MAX($D$16,POWER((ABS(K188)^2)/($I$5*MAX(F188,0.1)^2),1/3)))),IF(IFERROR(AG188,0)=1,MAX($D$16,IFERROR(W188,MAX($D$16,POWER((ABS(K188)^2)/($I$5*MAX(F188,0.1)^2),1/3)))),MAX($D$16,POWER((ABS(K188)^2)/($I$5*MAX(F188,0.1)^2),1/3))))))),MAX($D$16,POWER((ABS(K188)^2)/($I$5*MAX(F188,0.1)^2),1/3)))</f>
        <v>2.1389677043987478</v>
      </c>
      <c r="AI188">
        <f t="shared" ca="1" si="83"/>
        <v>634.63796770439876</v>
      </c>
      <c r="AJ188">
        <f t="shared" ca="1" si="84"/>
        <v>635.70745155659813</v>
      </c>
      <c r="AM188">
        <v>0</v>
      </c>
      <c r="AN188">
        <v>0</v>
      </c>
      <c r="AO188">
        <f t="shared" si="85"/>
        <v>0</v>
      </c>
      <c r="AP188">
        <f t="shared" si="94"/>
        <v>0</v>
      </c>
      <c r="AQ188">
        <f t="shared" ca="1" si="86"/>
        <v>1.0000000000000004</v>
      </c>
      <c r="AR188" t="str">
        <f t="shared" ca="1" si="87"/>
        <v>Supercritical</v>
      </c>
      <c r="AS188">
        <f t="shared" ca="1" si="88"/>
        <v>3.8141460404132466E-3</v>
      </c>
    </row>
    <row r="189" spans="1:45" x14ac:dyDescent="0.35">
      <c r="A189">
        <v>128</v>
      </c>
      <c r="B189">
        <v>126.997</v>
      </c>
      <c r="C189">
        <v>616457.69200000004</v>
      </c>
      <c r="D189">
        <v>3097694.7209999999</v>
      </c>
      <c r="E189">
        <v>632.49850000000004</v>
      </c>
      <c r="F189">
        <v>5.2</v>
      </c>
      <c r="G189">
        <v>0</v>
      </c>
      <c r="H189" t="s">
        <v>154</v>
      </c>
      <c r="I189">
        <v>0.06</v>
      </c>
      <c r="J189">
        <f t="shared" si="89"/>
        <v>1</v>
      </c>
      <c r="K189">
        <f t="shared" ca="1" si="90"/>
        <v>50.95</v>
      </c>
      <c r="L189">
        <f t="shared" ca="1" si="91"/>
        <v>2.1389677043987478</v>
      </c>
      <c r="M189">
        <f t="shared" ca="1" si="64"/>
        <v>11.122632062873489</v>
      </c>
      <c r="N189">
        <f t="shared" ca="1" si="65"/>
        <v>1.1735290000551568</v>
      </c>
      <c r="O189">
        <f t="shared" ca="1" si="66"/>
        <v>4.5807502857230418</v>
      </c>
      <c r="P189">
        <f t="shared" ca="1" si="67"/>
        <v>634.63746770439877</v>
      </c>
      <c r="Q189">
        <f t="shared" ca="1" si="68"/>
        <v>635.70695155659814</v>
      </c>
      <c r="R189">
        <f t="shared" ca="1" si="69"/>
        <v>3.8141460404132466E-3</v>
      </c>
      <c r="S189">
        <f t="shared" ca="1" si="70"/>
        <v>1.0000000000000004</v>
      </c>
      <c r="T189">
        <f t="shared" ca="1" si="71"/>
        <v>35.686426155594638</v>
      </c>
      <c r="U189">
        <f t="shared" ca="1" si="92"/>
        <v>-3.4210944256756193E-3</v>
      </c>
      <c r="V189">
        <f t="shared" ca="1" si="93"/>
        <v>1</v>
      </c>
      <c r="W189">
        <f t="shared" ca="1" si="72"/>
        <v>2.1381886436890443</v>
      </c>
      <c r="X189">
        <f t="shared" ca="1" si="73"/>
        <v>11.11858094718303</v>
      </c>
      <c r="Y189">
        <f t="shared" ca="1" si="74"/>
        <v>1.1732944573652897</v>
      </c>
      <c r="Z189">
        <f t="shared" ca="1" si="75"/>
        <v>4.5824193071066803</v>
      </c>
      <c r="AA189">
        <f t="shared" ca="1" si="76"/>
        <v>634.63668864368913</v>
      </c>
      <c r="AB189">
        <f t="shared" ca="1" si="77"/>
        <v>635.70695198243243</v>
      </c>
      <c r="AC189">
        <f t="shared" ca="1" si="78"/>
        <v>3.8179433334236904E-3</v>
      </c>
      <c r="AD189">
        <f t="shared" ca="1" si="79"/>
        <v>1.0005465829720761</v>
      </c>
      <c r="AE189">
        <f t="shared" ca="1" si="80"/>
        <v>35.686430890842168</v>
      </c>
      <c r="AF189">
        <f t="shared" ca="1" si="81"/>
        <v>3.4211517240692046E-3</v>
      </c>
      <c r="AG189">
        <f t="shared" ca="1" si="82"/>
        <v>0</v>
      </c>
      <c r="AH189">
        <f ca="1">IFERROR(IF(V32="Supercritical",MAX($D$16,IFERROR(L189,MAX($D$16,POWER((ABS(K189)^2)/($I$5*MAX(F189,0.1)^2),1/3)))),IF(V32="Subcritical",MAX($D$16,IFERROR(W189,MAX($D$16,POWER((ABS(K189)^2)/($I$5*MAX(F189,0.1)^2),1/3)))),IF(AND(IFERROR(V189,0)=1,IFERROR(AG189,0)=1),IF(IFERROR(T189,-1E+99)&gt;=IFERROR(AE189,-1E+99),MAX($D$16,IFERROR(L189,MAX($D$16,POWER((ABS(K189)^2)/($I$5*MAX(F189,0.1)^2),1/3)))),MAX($D$16,IFERROR(W189,MAX($D$16,POWER((ABS(K189)^2)/($I$5*MAX(F189,0.1)^2),1/3))))),IF(IFERROR(V189,0)=1,MAX($D$16,IFERROR(L189,MAX($D$16,POWER((ABS(K189)^2)/($I$5*MAX(F189,0.1)^2),1/3)))),IF(IFERROR(AG189,0)=1,MAX($D$16,IFERROR(W189,MAX($D$16,POWER((ABS(K189)^2)/($I$5*MAX(F189,0.1)^2),1/3)))),MAX($D$16,POWER((ABS(K189)^2)/($I$5*MAX(F189,0.1)^2),1/3))))))),MAX($D$16,POWER((ABS(K189)^2)/($I$5*MAX(F189,0.1)^2),1/3)))</f>
        <v>2.1389677043987478</v>
      </c>
      <c r="AI189">
        <f t="shared" ca="1" si="83"/>
        <v>634.63746770439877</v>
      </c>
      <c r="AJ189">
        <f t="shared" ca="1" si="84"/>
        <v>635.70695155659814</v>
      </c>
      <c r="AM189">
        <v>0</v>
      </c>
      <c r="AN189">
        <v>0</v>
      </c>
      <c r="AO189">
        <f t="shared" si="85"/>
        <v>0</v>
      </c>
      <c r="AP189">
        <f t="shared" si="94"/>
        <v>0</v>
      </c>
      <c r="AQ189">
        <f t="shared" ca="1" si="86"/>
        <v>1.0000000000000004</v>
      </c>
      <c r="AR189" t="str">
        <f t="shared" ca="1" si="87"/>
        <v>Supercritical</v>
      </c>
      <c r="AS189">
        <f t="shared" ca="1" si="88"/>
        <v>3.8141460404132466E-3</v>
      </c>
    </row>
    <row r="190" spans="1:45" x14ac:dyDescent="0.35">
      <c r="A190">
        <v>129</v>
      </c>
      <c r="B190">
        <v>127.996</v>
      </c>
      <c r="C190">
        <v>616456.69400000002</v>
      </c>
      <c r="D190">
        <v>3097694.673</v>
      </c>
      <c r="E190">
        <v>632.49800000000005</v>
      </c>
      <c r="F190">
        <v>5.2</v>
      </c>
      <c r="G190">
        <v>0</v>
      </c>
      <c r="H190" t="s">
        <v>154</v>
      </c>
      <c r="I190">
        <v>0.06</v>
      </c>
      <c r="J190">
        <f t="shared" si="89"/>
        <v>0.99899999999999523</v>
      </c>
      <c r="K190">
        <f t="shared" ca="1" si="90"/>
        <v>50.95</v>
      </c>
      <c r="L190">
        <f t="shared" ca="1" si="91"/>
        <v>2.1389677043987478</v>
      </c>
      <c r="M190">
        <f t="shared" ref="M190:M253" ca="1" si="95">((F190)+(G190)*(L190))*(L190)</f>
        <v>11.122632062873489</v>
      </c>
      <c r="N190">
        <f t="shared" ref="N190:N253" ca="1" si="96">(((F190)+(G190)*(L190))*(L190))/MAX((F190)+2*(L190)*SQRT(1+(G190)^2),0.000001)</f>
        <v>1.1735290000551568</v>
      </c>
      <c r="O190">
        <f t="shared" ref="O190:O253" ca="1" si="97">ABS(K190)/MAX(((F190)+(G190)*(L190))*(L190),0.000001)</f>
        <v>4.5807502857230418</v>
      </c>
      <c r="P190">
        <f t="shared" ref="P190:P253" ca="1" si="98">E190+L190</f>
        <v>634.63696770439878</v>
      </c>
      <c r="Q190">
        <f t="shared" ref="Q190:Q253" ca="1" si="99">P190+((ABS(K190)/MAX(((F190)+(G190)*(L190))*(L190),0.000001))^2)/(2*$I$5)</f>
        <v>635.70645155659815</v>
      </c>
      <c r="R190">
        <f t="shared" ref="R190:R253" ca="1" si="100">((ABS(K190)*$D$6)/(MAX(((F190)+(G190)*(L190))*(L190),0.000001)*MAX(((((F190)+(G190)*(L190))*(L190))/MAX((F190)+2*(L190)*SQRT(1+(G190)^2),0.000001))^(2/3),0.000001)))^2</f>
        <v>3.8141460404132466E-3</v>
      </c>
      <c r="S190">
        <f t="shared" ref="S190:S253" ca="1" si="101">ABS(ABS(K190)/MAX(((F190)+(G190)*(L190))*(L190),0.000001))/SQRT($I$5*MAX((((F190)+(G190)*(L190))*(L190))/MAX((F190)+2*(G190)*(L190),0.000001),0.000001))</f>
        <v>1.0000000000000004</v>
      </c>
      <c r="T190">
        <f t="shared" ref="T190:T253" ca="1" si="102">((F190)*(L190)^2)/2+(G190)*(L190)^3/3+(ABS(K190)^2)/($I$5*MAX(((F190)+(G190)*(L190))*(L190),0.000001))</f>
        <v>35.686426155594638</v>
      </c>
      <c r="U190">
        <f t="shared" ca="1" si="92"/>
        <v>-3.4172802795637836E-3</v>
      </c>
      <c r="V190">
        <f t="shared" ca="1" si="93"/>
        <v>1</v>
      </c>
      <c r="W190">
        <f t="shared" ref="W190:W253" ca="1" si="103">IF($D$20=0,IFERROR(W191,MAX($D$16,POWER((ABS(K190)^2)/($I$5*MAX(F190,0.1)^2),1/3))),IF(IFERROR(AG191,0)=0,IFERROR(W191,MAX($D$16,POWER((ABS(K190)^2)/($I$5*MAX(F190,0.1)^2),1/3))),IF(OR(IFERROR(W190,0)=0,IFERROR(AD191,0)&gt;1),MAX($D$16,POWER((ABS(K190)^2)/($I$5*MAX(F190,0.1)^2),1/3)),IF(IFERROR(AF190,0)&gt;0,MAX($D$16,IFERROR(W190,0)+((IFERROR(AF190,0))*$D$18*IF((IFERROR(AD190,0))&lt;1,1,-1))),IF(IFERROR(AF190,0)&lt;0,IF(ABS((MAX($D$16,POWER((ABS(K190)^2)/($I$5*MAX(F190,0.1)^2),1/3)))-IFERROR(W190,0))&gt;$D$19,MAX($D$16,IF((MAX($D$16,POWER((ABS(K190)^2)/($I$5*MAX(F190,0.1)^2),1/3)))&gt;IFERROR(W190,0),MIN((MAX($D$16,POWER((ABS(K190)^2)/($I$5*MAX(F190,0.1)^2),1/3))),IFERROR(W190,0)+(MIN(ABS(IFERROR(AF190,0))*$D$18,ABS((MAX($D$16,POWER((ABS(K190)^2)/($I$5*MAX(F190,0.1)^2),1/3)))-IFERROR(W190,0))))),MAX((MAX($D$16,POWER((ABS(K190)^2)/($I$5*MAX(F190,0.1)^2),1/3))),IFERROR(W190,0)-(MIN(ABS(IFERROR(AF190,0))*$D$18,ABS((MAX($D$16,POWER((ABS(K190)^2)/($I$5*MAX(F190,0.1)^2),1/3)))-IFERROR(W190,0))))))),MAX($D$16,POWER((ABS(K190)^2)/($I$5*MAX(F190,0.1)^2),1/3))),MAX($D$16,IFERROR(W190,0)))))))</f>
        <v>2.1373203735079915</v>
      </c>
      <c r="X190">
        <f t="shared" ref="X190:X253" ca="1" si="104">((F190)+(G190)*(W190))*(W190)</f>
        <v>11.114065942241556</v>
      </c>
      <c r="Y190">
        <f t="shared" ref="Y190:Y253" ca="1" si="105">(((F190)+(G190)*(W190))*(W190))/MAX((F190)+2*(W190)*SQRT(1+(G190)^2),0.000001)</f>
        <v>1.1730329665261352</v>
      </c>
      <c r="Z190">
        <f t="shared" ref="Z190:Z253" ca="1" si="106">ABS(K190)/MAX(((F190)+(G190)*(W190))*(W190),0.000001)</f>
        <v>4.5842808801730106</v>
      </c>
      <c r="AA190">
        <f t="shared" ref="AA190:AA253" ca="1" si="107">E190+W190</f>
        <v>634.63532037350808</v>
      </c>
      <c r="AB190">
        <f t="shared" ref="AB190:AB253" ca="1" si="108">AA190+((ABS(K190)/MAX(((F190)+(G190)*(W190))*(W190),0.000001))^2)/(2*$I$5)</f>
        <v>635.70645346159779</v>
      </c>
      <c r="AC190">
        <f t="shared" ref="AC190:AC253" ca="1" si="109">((ABS(K190)*$D$6)/(MAX(((F190)+(G190)*(W190))*(W190),0.000001)*MAX(((((F190)+(G190)*(W190))*(W190))/MAX((F190)+2*(W190)*SQRT(1+(G190)^2),0.000001))^(2/3),0.000001)))^2</f>
        <v>3.8221817362197445E-3</v>
      </c>
      <c r="AD190">
        <f t="shared" ref="AD190:AD253" ca="1" si="110">ABS(ABS(K190)/MAX(((F190)+(G190)*(W190))*(W190),0.000001))/SQRT($I$5*MAX((((F190)+(G190)*(W190))*(W190))/MAX((F190)+2*(G190)*(W190),0.000001),0.000001))</f>
        <v>1.0011563415729299</v>
      </c>
      <c r="AE190">
        <f t="shared" ref="AE190:AE253" ca="1" si="111">((F190)*(W190)^2)/2+(G190)*(W190)^3/3+(ABS(K190)^2)/($I$5*MAX(((F190)+(G190)*(W190))*(W190),0.000001))</f>
        <v>35.686447333323514</v>
      </c>
      <c r="AF190">
        <f t="shared" ref="AF190:AF253" ca="1" si="112">IF($D$20=0,0,IFERROR(AB191+(((AC190+AC191)/2)*J191)+(IF(Z190&gt;Z191,$D$8*((Z190^2-Z191^2)/(2*$I$5)),$D$9*((Z191^2-Z190^2)/(2*$I$5)))+($D$10*(ABS(I191)/90)*(MAX(Z190^2,Z191^2)/(2*$I$5))))-AB190,0))</f>
        <v>3.4277615612836598E-3</v>
      </c>
      <c r="AG190">
        <f t="shared" ref="AG190:AG253" ca="1" si="113">IF($D$20=0,1,IFERROR(IF(ROUND(AD190,3)=1,1,IF(AND(ABS(AF190)&lt;$D$19,AD190&lt;1),1,0)),0))</f>
        <v>0</v>
      </c>
      <c r="AH190">
        <f ca="1">IFERROR(IF(V32="Supercritical",MAX($D$16,IFERROR(L190,MAX($D$16,POWER((ABS(K190)^2)/($I$5*MAX(F190,0.1)^2),1/3)))),IF(V32="Subcritical",MAX($D$16,IFERROR(W190,MAX($D$16,POWER((ABS(K190)^2)/($I$5*MAX(F190,0.1)^2),1/3)))),IF(AND(IFERROR(V190,0)=1,IFERROR(AG190,0)=1),IF(IFERROR(T190,-1E+99)&gt;=IFERROR(AE190,-1E+99),MAX($D$16,IFERROR(L190,MAX($D$16,POWER((ABS(K190)^2)/($I$5*MAX(F190,0.1)^2),1/3)))),MAX($D$16,IFERROR(W190,MAX($D$16,POWER((ABS(K190)^2)/($I$5*MAX(F190,0.1)^2),1/3))))),IF(IFERROR(V190,0)=1,MAX($D$16,IFERROR(L190,MAX($D$16,POWER((ABS(K190)^2)/($I$5*MAX(F190,0.1)^2),1/3)))),IF(IFERROR(AG190,0)=1,MAX($D$16,IFERROR(W190,MAX($D$16,POWER((ABS(K190)^2)/($I$5*MAX(F190,0.1)^2),1/3)))),MAX($D$16,POWER((ABS(K190)^2)/($I$5*MAX(F190,0.1)^2),1/3))))))),MAX($D$16,POWER((ABS(K190)^2)/($I$5*MAX(F190,0.1)^2),1/3)))</f>
        <v>2.1389677043987478</v>
      </c>
      <c r="AI190">
        <f t="shared" ref="AI190:AI253" ca="1" si="114">E190+AH190</f>
        <v>634.63696770439878</v>
      </c>
      <c r="AJ190">
        <f t="shared" ref="AJ190:AJ253" ca="1" si="115">AI190+((ABS(K190)/MAX(((F190)+(G190)*(AH190))*(AH190),0.000001))^2)/(2*$I$5)</f>
        <v>635.70645155659815</v>
      </c>
      <c r="AM190">
        <v>0</v>
      </c>
      <c r="AN190">
        <v>0</v>
      </c>
      <c r="AO190">
        <f t="shared" ref="AO190:AO253" si="116">AM190+AN190</f>
        <v>0</v>
      </c>
      <c r="AP190">
        <f t="shared" si="94"/>
        <v>0</v>
      </c>
      <c r="AQ190">
        <f t="shared" ref="AQ190:AQ253" ca="1" si="117">ABS(ABS(K190)/MAX(((F190)+(G190)*(AH190))*(AH190),0.000001))/SQRT($I$5*MAX((((F190)+(G190)*(AH190))*(AH190))/MAX((F190)+2*(G190)*(AH190),0.000001),0.000001))</f>
        <v>1.0000000000000004</v>
      </c>
      <c r="AR190" t="str">
        <f t="shared" ref="AR190:AR253" ca="1" si="118">IF(AQ190&lt;1,"Subcritical","Supercritical")</f>
        <v>Supercritical</v>
      </c>
      <c r="AS190">
        <f t="shared" ref="AS190:AS253" ca="1" si="119">((ABS(K190)*$D$6)/(MAX(((F190)+(G190)*(AH190))*(AH190),0.000001)*MAX(((((F190)+(G190)*(AH190))*(AH190))/MAX((F190)+2*(AH190)*SQRT(1+(G190)^2),0.000001))^(2/3),0.000001)))^2</f>
        <v>3.8141460404132466E-3</v>
      </c>
    </row>
    <row r="191" spans="1:45" x14ac:dyDescent="0.35">
      <c r="A191">
        <v>130</v>
      </c>
      <c r="B191">
        <v>128.99700000000001</v>
      </c>
      <c r="C191">
        <v>616455.69499999995</v>
      </c>
      <c r="D191">
        <v>3097694.6260000002</v>
      </c>
      <c r="E191">
        <v>632.49749999999995</v>
      </c>
      <c r="F191">
        <v>5.2</v>
      </c>
      <c r="G191">
        <v>0</v>
      </c>
      <c r="H191" t="s">
        <v>154</v>
      </c>
      <c r="I191">
        <v>5.7000000000000002E-2</v>
      </c>
      <c r="J191">
        <f t="shared" ref="J191:J254" si="120">B191-B190</f>
        <v>1.001000000000019</v>
      </c>
      <c r="K191">
        <f t="shared" ref="K191:K254" ca="1" si="121">MAX(0,K190-AO190)</f>
        <v>50.95</v>
      </c>
      <c r="L191">
        <f t="shared" ref="L191:L254" ca="1" si="122">IF($D$20=0,IFERROR(L190,MAX($D$16,POWER((ABS(K191)^2)/($I$5*MAX(F191,0.1)^2),1/3))),IF(IFERROR(V190,0)=0,IFERROR(L190,MAX($D$16,POWER((ABS(K191)^2)/($I$5*MAX(F191,0.1)^2),1/3))),IF(OR(IFERROR(L191,0)=0,IFERROR(S190,0)&lt;1,IFERROR(S191,0)&lt;1),MAX($D$16,POWER((ABS(K191)^2)/($I$5*MAX(F191,0.1)^2),1/3)),IF(IFERROR(U191,0)&gt;0,MAX($D$16,IFERROR(L191,0)+((IFERROR(U191,0))*$D$18*IF((IFERROR(S191,0))&lt;1,1,-1))),IF(IFERROR(U191,0)&lt;0,IF(ABS((MAX($D$16,POWER((ABS(K191)^2)/($I$5*MAX(F191,0.1)^2),1/3)))-IFERROR(L191,0))&gt;$D$19,MAX($D$16,IF((MAX($D$16,POWER((ABS(K191)^2)/($I$5*MAX(F191,0.1)^2),1/3)))&gt;IFERROR(L191,0),MIN((MAX($D$16,POWER((ABS(K191)^2)/($I$5*MAX(F191,0.1)^2),1/3))),IFERROR(L191,0)+(MIN(ABS(IFERROR(U191,0))*$D$18,ABS((MAX($D$16,POWER((ABS(K191)^2)/($I$5*MAX(F191,0.1)^2),1/3)))-IFERROR(L191,0))))),MAX((MAX($D$16,POWER((ABS(K191)^2)/($I$5*MAX(F191,0.1)^2),1/3))),IFERROR(L191,0)-(MIN(ABS(IFERROR(U191,0))*$D$18,ABS((MAX($D$16,POWER((ABS(K191)^2)/($I$5*MAX(F191,0.1)^2),1/3)))-IFERROR(L191,0))))))),MAX($D$16,POWER((ABS(K191)^2)/($I$5*MAX(F191,0.1)^2),1/3))),MAX($D$16,IFERROR(L191,0)))))))</f>
        <v>2.1389677043987478</v>
      </c>
      <c r="M191">
        <f t="shared" ca="1" si="95"/>
        <v>11.122632062873489</v>
      </c>
      <c r="N191">
        <f t="shared" ca="1" si="96"/>
        <v>1.1735290000551568</v>
      </c>
      <c r="O191">
        <f t="shared" ca="1" si="97"/>
        <v>4.5807502857230418</v>
      </c>
      <c r="P191">
        <f t="shared" ca="1" si="98"/>
        <v>634.63646770439868</v>
      </c>
      <c r="Q191">
        <f t="shared" ca="1" si="99"/>
        <v>635.70595155659805</v>
      </c>
      <c r="R191">
        <f t="shared" ca="1" si="100"/>
        <v>3.8141460404132466E-3</v>
      </c>
      <c r="S191">
        <f t="shared" ca="1" si="101"/>
        <v>1.0000000000000004</v>
      </c>
      <c r="T191">
        <f t="shared" ca="1" si="102"/>
        <v>35.686426155594638</v>
      </c>
      <c r="U191">
        <f t="shared" ref="U191:U254" ca="1" si="123">IF($D$20=0,0,IFERROR(Q190-(((R190+R191)/2)*J191)-(IF(O190&gt;O191,$D$8*((O190^2-O191^2)/(2*$I$5)),$D$9*((O191^2-O190^2)/(2*$I$5)))+($D$10*(ABS(I191)/90)*(MAX(O190^2,O191^2)/(2*$I$5))))-Q191,0))</f>
        <v>-3.4195611523273328E-3</v>
      </c>
      <c r="V191">
        <f t="shared" ref="V191:V254" ca="1" si="124">IF($D$20=0,1,IFERROR(IF(ROUND(S191,3)=1,1,IF(AND(ABS(U191)&lt;$D$19,S191&gt;1),1,0)),0))</f>
        <v>1</v>
      </c>
      <c r="W191">
        <f t="shared" ca="1" si="103"/>
        <v>2.1381886436890443</v>
      </c>
      <c r="X191">
        <f t="shared" ca="1" si="104"/>
        <v>11.11858094718303</v>
      </c>
      <c r="Y191">
        <f t="shared" ca="1" si="105"/>
        <v>1.1732944573652897</v>
      </c>
      <c r="Z191">
        <f t="shared" ca="1" si="106"/>
        <v>4.5824193071066803</v>
      </c>
      <c r="AA191">
        <f t="shared" ca="1" si="107"/>
        <v>634.63568864368904</v>
      </c>
      <c r="AB191">
        <f t="shared" ca="1" si="108"/>
        <v>635.70595198243234</v>
      </c>
      <c r="AC191">
        <f t="shared" ca="1" si="109"/>
        <v>3.8179433334236904E-3</v>
      </c>
      <c r="AD191">
        <f t="shared" ca="1" si="110"/>
        <v>1.0005465829720761</v>
      </c>
      <c r="AE191">
        <f t="shared" ca="1" si="111"/>
        <v>35.686430890842168</v>
      </c>
      <c r="AF191">
        <f t="shared" ca="1" si="112"/>
        <v>3.3179433333998531E-3</v>
      </c>
      <c r="AG191">
        <f t="shared" ca="1" si="113"/>
        <v>0</v>
      </c>
      <c r="AH191">
        <f ca="1">IFERROR(IF(V32="Supercritical",MAX($D$16,IFERROR(L191,MAX($D$16,POWER((ABS(K191)^2)/($I$5*MAX(F191,0.1)^2),1/3)))),IF(V32="Subcritical",MAX($D$16,IFERROR(W191,MAX($D$16,POWER((ABS(K191)^2)/($I$5*MAX(F191,0.1)^2),1/3)))),IF(AND(IFERROR(V191,0)=1,IFERROR(AG191,0)=1),IF(IFERROR(T191,-1E+99)&gt;=IFERROR(AE191,-1E+99),MAX($D$16,IFERROR(L191,MAX($D$16,POWER((ABS(K191)^2)/($I$5*MAX(F191,0.1)^2),1/3)))),MAX($D$16,IFERROR(W191,MAX($D$16,POWER((ABS(K191)^2)/($I$5*MAX(F191,0.1)^2),1/3))))),IF(IFERROR(V191,0)=1,MAX($D$16,IFERROR(L191,MAX($D$16,POWER((ABS(K191)^2)/($I$5*MAX(F191,0.1)^2),1/3)))),IF(IFERROR(AG191,0)=1,MAX($D$16,IFERROR(W191,MAX($D$16,POWER((ABS(K191)^2)/($I$5*MAX(F191,0.1)^2),1/3)))),MAX($D$16,POWER((ABS(K191)^2)/($I$5*MAX(F191,0.1)^2),1/3))))))),MAX($D$16,POWER((ABS(K191)^2)/($I$5*MAX(F191,0.1)^2),1/3)))</f>
        <v>2.1389677043987478</v>
      </c>
      <c r="AI191">
        <f t="shared" ca="1" si="114"/>
        <v>634.63646770439868</v>
      </c>
      <c r="AJ191">
        <f t="shared" ca="1" si="115"/>
        <v>635.70595155659805</v>
      </c>
      <c r="AM191">
        <v>0</v>
      </c>
      <c r="AN191">
        <v>0</v>
      </c>
      <c r="AO191">
        <f t="shared" si="116"/>
        <v>0</v>
      </c>
      <c r="AP191">
        <f t="shared" ref="AP191:AP254" si="125">AP190+AO191</f>
        <v>0</v>
      </c>
      <c r="AQ191">
        <f t="shared" ca="1" si="117"/>
        <v>1.0000000000000004</v>
      </c>
      <c r="AR191" t="str">
        <f t="shared" ca="1" si="118"/>
        <v>Supercritical</v>
      </c>
      <c r="AS191">
        <f t="shared" ca="1" si="119"/>
        <v>3.8141460404132466E-3</v>
      </c>
    </row>
    <row r="192" spans="1:45" x14ac:dyDescent="0.35">
      <c r="A192">
        <v>131</v>
      </c>
      <c r="B192">
        <v>129.99700000000001</v>
      </c>
      <c r="C192">
        <v>616454.696</v>
      </c>
      <c r="D192">
        <v>3097694.5780000002</v>
      </c>
      <c r="E192">
        <v>632.49699999999996</v>
      </c>
      <c r="F192">
        <v>5.2</v>
      </c>
      <c r="G192">
        <v>0</v>
      </c>
      <c r="H192" t="s">
        <v>154</v>
      </c>
      <c r="I192">
        <v>0</v>
      </c>
      <c r="J192">
        <f t="shared" si="120"/>
        <v>1</v>
      </c>
      <c r="K192">
        <f t="shared" ca="1" si="121"/>
        <v>50.95</v>
      </c>
      <c r="L192">
        <f t="shared" ca="1" si="122"/>
        <v>2.1389677043987478</v>
      </c>
      <c r="M192">
        <f t="shared" ca="1" si="95"/>
        <v>11.122632062873489</v>
      </c>
      <c r="N192">
        <f t="shared" ca="1" si="96"/>
        <v>1.1735290000551568</v>
      </c>
      <c r="O192">
        <f t="shared" ca="1" si="97"/>
        <v>4.5807502857230418</v>
      </c>
      <c r="P192">
        <f t="shared" ca="1" si="98"/>
        <v>634.63596770439869</v>
      </c>
      <c r="Q192">
        <f t="shared" ca="1" si="99"/>
        <v>635.70545155659806</v>
      </c>
      <c r="R192">
        <f t="shared" ca="1" si="100"/>
        <v>3.8141460404132466E-3</v>
      </c>
      <c r="S192">
        <f t="shared" ca="1" si="101"/>
        <v>1.0000000000000004</v>
      </c>
      <c r="T192">
        <f t="shared" ca="1" si="102"/>
        <v>35.686426155594638</v>
      </c>
      <c r="U192">
        <f t="shared" ca="1" si="123"/>
        <v>-3.3141460404522149E-3</v>
      </c>
      <c r="V192">
        <f t="shared" ca="1" si="124"/>
        <v>1</v>
      </c>
      <c r="W192">
        <f t="shared" ca="1" si="103"/>
        <v>2.1373203735079915</v>
      </c>
      <c r="X192">
        <f t="shared" ca="1" si="104"/>
        <v>11.114065942241556</v>
      </c>
      <c r="Y192">
        <f t="shared" ca="1" si="105"/>
        <v>1.1730329665261352</v>
      </c>
      <c r="Z192">
        <f t="shared" ca="1" si="106"/>
        <v>4.5842808801730106</v>
      </c>
      <c r="AA192">
        <f t="shared" ca="1" si="107"/>
        <v>634.63432037350799</v>
      </c>
      <c r="AB192">
        <f t="shared" ca="1" si="108"/>
        <v>635.7054534615977</v>
      </c>
      <c r="AC192">
        <f t="shared" ca="1" si="109"/>
        <v>3.8221817362197445E-3</v>
      </c>
      <c r="AD192">
        <f t="shared" ca="1" si="110"/>
        <v>1.0011563415729299</v>
      </c>
      <c r="AE192">
        <f t="shared" ca="1" si="111"/>
        <v>35.686447333323514</v>
      </c>
      <c r="AF192">
        <f t="shared" ca="1" si="112"/>
        <v>3.4239393796724471E-3</v>
      </c>
      <c r="AG192">
        <f t="shared" ca="1" si="113"/>
        <v>0</v>
      </c>
      <c r="AH192">
        <f ca="1">IFERROR(IF(V32="Supercritical",MAX($D$16,IFERROR(L192,MAX($D$16,POWER((ABS(K192)^2)/($I$5*MAX(F192,0.1)^2),1/3)))),IF(V32="Subcritical",MAX($D$16,IFERROR(W192,MAX($D$16,POWER((ABS(K192)^2)/($I$5*MAX(F192,0.1)^2),1/3)))),IF(AND(IFERROR(V192,0)=1,IFERROR(AG192,0)=1),IF(IFERROR(T192,-1E+99)&gt;=IFERROR(AE192,-1E+99),MAX($D$16,IFERROR(L192,MAX($D$16,POWER((ABS(K192)^2)/($I$5*MAX(F192,0.1)^2),1/3)))),MAX($D$16,IFERROR(W192,MAX($D$16,POWER((ABS(K192)^2)/($I$5*MAX(F192,0.1)^2),1/3))))),IF(IFERROR(V192,0)=1,MAX($D$16,IFERROR(L192,MAX($D$16,POWER((ABS(K192)^2)/($I$5*MAX(F192,0.1)^2),1/3)))),IF(IFERROR(AG192,0)=1,MAX($D$16,IFERROR(W192,MAX($D$16,POWER((ABS(K192)^2)/($I$5*MAX(F192,0.1)^2),1/3)))),MAX($D$16,POWER((ABS(K192)^2)/($I$5*MAX(F192,0.1)^2),1/3))))))),MAX($D$16,POWER((ABS(K192)^2)/($I$5*MAX(F192,0.1)^2),1/3)))</f>
        <v>2.1389677043987478</v>
      </c>
      <c r="AI192">
        <f t="shared" ca="1" si="114"/>
        <v>634.63596770439869</v>
      </c>
      <c r="AJ192">
        <f t="shared" ca="1" si="115"/>
        <v>635.70545155659806</v>
      </c>
      <c r="AM192">
        <v>0</v>
      </c>
      <c r="AN192">
        <v>0</v>
      </c>
      <c r="AO192">
        <f t="shared" si="116"/>
        <v>0</v>
      </c>
      <c r="AP192">
        <f t="shared" si="125"/>
        <v>0</v>
      </c>
      <c r="AQ192">
        <f t="shared" ca="1" si="117"/>
        <v>1.0000000000000004</v>
      </c>
      <c r="AR192" t="str">
        <f t="shared" ca="1" si="118"/>
        <v>Supercritical</v>
      </c>
      <c r="AS192">
        <f t="shared" ca="1" si="119"/>
        <v>3.8141460404132466E-3</v>
      </c>
    </row>
    <row r="193" spans="1:45" x14ac:dyDescent="0.35">
      <c r="A193">
        <v>132</v>
      </c>
      <c r="B193">
        <v>130.99700000000001</v>
      </c>
      <c r="C193">
        <v>616453.69700000004</v>
      </c>
      <c r="D193">
        <v>3097694.53</v>
      </c>
      <c r="E193">
        <v>632.49649999999997</v>
      </c>
      <c r="F193">
        <v>5.2</v>
      </c>
      <c r="G193">
        <v>0</v>
      </c>
      <c r="H193" t="s">
        <v>154</v>
      </c>
      <c r="I193">
        <v>5.7000000000000002E-2</v>
      </c>
      <c r="J193">
        <f t="shared" si="120"/>
        <v>1</v>
      </c>
      <c r="K193">
        <f t="shared" ca="1" si="121"/>
        <v>50.95</v>
      </c>
      <c r="L193">
        <f t="shared" ca="1" si="122"/>
        <v>2.1389677043987478</v>
      </c>
      <c r="M193">
        <f t="shared" ca="1" si="95"/>
        <v>11.122632062873489</v>
      </c>
      <c r="N193">
        <f t="shared" ca="1" si="96"/>
        <v>1.1735290000551568</v>
      </c>
      <c r="O193">
        <f t="shared" ca="1" si="97"/>
        <v>4.5807502857230418</v>
      </c>
      <c r="P193">
        <f t="shared" ca="1" si="98"/>
        <v>634.63546770439871</v>
      </c>
      <c r="Q193">
        <f t="shared" ca="1" si="99"/>
        <v>635.70495155659808</v>
      </c>
      <c r="R193">
        <f t="shared" ca="1" si="100"/>
        <v>3.8141460404132466E-3</v>
      </c>
      <c r="S193">
        <f t="shared" ca="1" si="101"/>
        <v>1.0000000000000004</v>
      </c>
      <c r="T193">
        <f t="shared" ca="1" si="102"/>
        <v>35.686426155594638</v>
      </c>
      <c r="U193">
        <f t="shared" ca="1" si="123"/>
        <v>-3.4157470064428708E-3</v>
      </c>
      <c r="V193">
        <f t="shared" ca="1" si="124"/>
        <v>1</v>
      </c>
      <c r="W193">
        <f t="shared" ca="1" si="103"/>
        <v>2.1381886436890443</v>
      </c>
      <c r="X193">
        <f t="shared" ca="1" si="104"/>
        <v>11.11858094718303</v>
      </c>
      <c r="Y193">
        <f t="shared" ca="1" si="105"/>
        <v>1.1732944573652897</v>
      </c>
      <c r="Z193">
        <f t="shared" ca="1" si="106"/>
        <v>4.5824193071066803</v>
      </c>
      <c r="AA193">
        <f t="shared" ca="1" si="107"/>
        <v>634.63468864368906</v>
      </c>
      <c r="AB193">
        <f t="shared" ca="1" si="108"/>
        <v>635.70495198243236</v>
      </c>
      <c r="AC193">
        <f t="shared" ca="1" si="109"/>
        <v>3.8179433334236904E-3</v>
      </c>
      <c r="AD193">
        <f t="shared" ca="1" si="110"/>
        <v>1.0005465829720761</v>
      </c>
      <c r="AE193">
        <f t="shared" ca="1" si="111"/>
        <v>35.686430890842168</v>
      </c>
      <c r="AF193">
        <f t="shared" ca="1" si="112"/>
        <v>3.4196183505628142E-3</v>
      </c>
      <c r="AG193">
        <f t="shared" ca="1" si="113"/>
        <v>0</v>
      </c>
      <c r="AH193">
        <f ca="1">IFERROR(IF(V32="Supercritical",MAX($D$16,IFERROR(L193,MAX($D$16,POWER((ABS(K193)^2)/($I$5*MAX(F193,0.1)^2),1/3)))),IF(V32="Subcritical",MAX($D$16,IFERROR(W193,MAX($D$16,POWER((ABS(K193)^2)/($I$5*MAX(F193,0.1)^2),1/3)))),IF(AND(IFERROR(V193,0)=1,IFERROR(AG193,0)=1),IF(IFERROR(T193,-1E+99)&gt;=IFERROR(AE193,-1E+99),MAX($D$16,IFERROR(L193,MAX($D$16,POWER((ABS(K193)^2)/($I$5*MAX(F193,0.1)^2),1/3)))),MAX($D$16,IFERROR(W193,MAX($D$16,POWER((ABS(K193)^2)/($I$5*MAX(F193,0.1)^2),1/3))))),IF(IFERROR(V193,0)=1,MAX($D$16,IFERROR(L193,MAX($D$16,POWER((ABS(K193)^2)/($I$5*MAX(F193,0.1)^2),1/3)))),IF(IFERROR(AG193,0)=1,MAX($D$16,IFERROR(W193,MAX($D$16,POWER((ABS(K193)^2)/($I$5*MAX(F193,0.1)^2),1/3)))),MAX($D$16,POWER((ABS(K193)^2)/($I$5*MAX(F193,0.1)^2),1/3))))))),MAX($D$16,POWER((ABS(K193)^2)/($I$5*MAX(F193,0.1)^2),1/3)))</f>
        <v>2.1389677043987478</v>
      </c>
      <c r="AI193">
        <f t="shared" ca="1" si="114"/>
        <v>634.63546770439871</v>
      </c>
      <c r="AJ193">
        <f t="shared" ca="1" si="115"/>
        <v>635.70495155659808</v>
      </c>
      <c r="AM193">
        <v>0</v>
      </c>
      <c r="AN193">
        <v>0</v>
      </c>
      <c r="AO193">
        <f t="shared" si="116"/>
        <v>0</v>
      </c>
      <c r="AP193">
        <f t="shared" si="125"/>
        <v>0</v>
      </c>
      <c r="AQ193">
        <f t="shared" ca="1" si="117"/>
        <v>1.0000000000000004</v>
      </c>
      <c r="AR193" t="str">
        <f t="shared" ca="1" si="118"/>
        <v>Supercritical</v>
      </c>
      <c r="AS193">
        <f t="shared" ca="1" si="119"/>
        <v>3.8141460404132466E-3</v>
      </c>
    </row>
    <row r="194" spans="1:45" x14ac:dyDescent="0.35">
      <c r="A194">
        <v>133</v>
      </c>
      <c r="B194">
        <v>131.99700000000001</v>
      </c>
      <c r="C194">
        <v>616452.69799999997</v>
      </c>
      <c r="D194">
        <v>3097694.483</v>
      </c>
      <c r="E194">
        <v>632.49599999999998</v>
      </c>
      <c r="F194">
        <v>5.2</v>
      </c>
      <c r="G194">
        <v>0</v>
      </c>
      <c r="H194" t="s">
        <v>154</v>
      </c>
      <c r="I194">
        <v>5.7000000000000002E-2</v>
      </c>
      <c r="J194">
        <f t="shared" si="120"/>
        <v>1</v>
      </c>
      <c r="K194">
        <f t="shared" ca="1" si="121"/>
        <v>50.95</v>
      </c>
      <c r="L194">
        <f t="shared" ca="1" si="122"/>
        <v>2.1389677043987478</v>
      </c>
      <c r="M194">
        <f t="shared" ca="1" si="95"/>
        <v>11.122632062873489</v>
      </c>
      <c r="N194">
        <f t="shared" ca="1" si="96"/>
        <v>1.1735290000551568</v>
      </c>
      <c r="O194">
        <f t="shared" ca="1" si="97"/>
        <v>4.5807502857230418</v>
      </c>
      <c r="P194">
        <f t="shared" ca="1" si="98"/>
        <v>634.63496770439872</v>
      </c>
      <c r="Q194">
        <f t="shared" ca="1" si="99"/>
        <v>635.70445155659809</v>
      </c>
      <c r="R194">
        <f t="shared" ca="1" si="100"/>
        <v>3.8141460404132466E-3</v>
      </c>
      <c r="S194">
        <f t="shared" ca="1" si="101"/>
        <v>1.0000000000000004</v>
      </c>
      <c r="T194">
        <f t="shared" ca="1" si="102"/>
        <v>35.686426155594638</v>
      </c>
      <c r="U194">
        <f t="shared" ca="1" si="123"/>
        <v>-3.4157470064428708E-3</v>
      </c>
      <c r="V194">
        <f t="shared" ca="1" si="124"/>
        <v>1</v>
      </c>
      <c r="W194">
        <f t="shared" ca="1" si="103"/>
        <v>2.1373203735079915</v>
      </c>
      <c r="X194">
        <f t="shared" ca="1" si="104"/>
        <v>11.114065942241556</v>
      </c>
      <c r="Y194">
        <f t="shared" ca="1" si="105"/>
        <v>1.1730329665261352</v>
      </c>
      <c r="Z194">
        <f t="shared" ca="1" si="106"/>
        <v>4.5842808801730106</v>
      </c>
      <c r="AA194">
        <f t="shared" ca="1" si="107"/>
        <v>634.63332037350801</v>
      </c>
      <c r="AB194">
        <f t="shared" ca="1" si="108"/>
        <v>635.70445346159772</v>
      </c>
      <c r="AC194">
        <f t="shared" ca="1" si="109"/>
        <v>3.8221817362197445E-3</v>
      </c>
      <c r="AD194">
        <f t="shared" ca="1" si="110"/>
        <v>1.0011563415729299</v>
      </c>
      <c r="AE194">
        <f t="shared" ca="1" si="111"/>
        <v>35.686447333323514</v>
      </c>
      <c r="AF194">
        <f t="shared" ca="1" si="112"/>
        <v>3.3221817362800721E-3</v>
      </c>
      <c r="AG194">
        <f t="shared" ca="1" si="113"/>
        <v>0</v>
      </c>
      <c r="AH194">
        <f ca="1">IFERROR(IF(V32="Supercritical",MAX($D$16,IFERROR(L194,MAX($D$16,POWER((ABS(K194)^2)/($I$5*MAX(F194,0.1)^2),1/3)))),IF(V32="Subcritical",MAX($D$16,IFERROR(W194,MAX($D$16,POWER((ABS(K194)^2)/($I$5*MAX(F194,0.1)^2),1/3)))),IF(AND(IFERROR(V194,0)=1,IFERROR(AG194,0)=1),IF(IFERROR(T194,-1E+99)&gt;=IFERROR(AE194,-1E+99),MAX($D$16,IFERROR(L194,MAX($D$16,POWER((ABS(K194)^2)/($I$5*MAX(F194,0.1)^2),1/3)))),MAX($D$16,IFERROR(W194,MAX($D$16,POWER((ABS(K194)^2)/($I$5*MAX(F194,0.1)^2),1/3))))),IF(IFERROR(V194,0)=1,MAX($D$16,IFERROR(L194,MAX($D$16,POWER((ABS(K194)^2)/($I$5*MAX(F194,0.1)^2),1/3)))),IF(IFERROR(AG194,0)=1,MAX($D$16,IFERROR(W194,MAX($D$16,POWER((ABS(K194)^2)/($I$5*MAX(F194,0.1)^2),1/3)))),MAX($D$16,POWER((ABS(K194)^2)/($I$5*MAX(F194,0.1)^2),1/3))))))),MAX($D$16,POWER((ABS(K194)^2)/($I$5*MAX(F194,0.1)^2),1/3)))</f>
        <v>2.1389677043987478</v>
      </c>
      <c r="AI194">
        <f t="shared" ca="1" si="114"/>
        <v>634.63496770439872</v>
      </c>
      <c r="AJ194">
        <f t="shared" ca="1" si="115"/>
        <v>635.70445155659809</v>
      </c>
      <c r="AM194">
        <v>0</v>
      </c>
      <c r="AN194">
        <v>0</v>
      </c>
      <c r="AO194">
        <f t="shared" si="116"/>
        <v>0</v>
      </c>
      <c r="AP194">
        <f t="shared" si="125"/>
        <v>0</v>
      </c>
      <c r="AQ194">
        <f t="shared" ca="1" si="117"/>
        <v>1.0000000000000004</v>
      </c>
      <c r="AR194" t="str">
        <f t="shared" ca="1" si="118"/>
        <v>Supercritical</v>
      </c>
      <c r="AS194">
        <f t="shared" ca="1" si="119"/>
        <v>3.8141460404132466E-3</v>
      </c>
    </row>
    <row r="195" spans="1:45" x14ac:dyDescent="0.35">
      <c r="A195">
        <v>134</v>
      </c>
      <c r="B195">
        <v>132.99700000000001</v>
      </c>
      <c r="C195">
        <v>616451.69900000002</v>
      </c>
      <c r="D195">
        <v>3097694.4350000001</v>
      </c>
      <c r="E195">
        <v>632.49549999999999</v>
      </c>
      <c r="F195">
        <v>5.2</v>
      </c>
      <c r="G195">
        <v>0</v>
      </c>
      <c r="H195" t="s">
        <v>154</v>
      </c>
      <c r="I195">
        <v>0</v>
      </c>
      <c r="J195">
        <f t="shared" si="120"/>
        <v>1</v>
      </c>
      <c r="K195">
        <f t="shared" ca="1" si="121"/>
        <v>50.95</v>
      </c>
      <c r="L195">
        <f t="shared" ca="1" si="122"/>
        <v>2.1389677043987478</v>
      </c>
      <c r="M195">
        <f t="shared" ca="1" si="95"/>
        <v>11.122632062873489</v>
      </c>
      <c r="N195">
        <f t="shared" ca="1" si="96"/>
        <v>1.1735290000551568</v>
      </c>
      <c r="O195">
        <f t="shared" ca="1" si="97"/>
        <v>4.5807502857230418</v>
      </c>
      <c r="P195">
        <f t="shared" ca="1" si="98"/>
        <v>634.63446770439873</v>
      </c>
      <c r="Q195">
        <f t="shared" ca="1" si="99"/>
        <v>635.7039515565981</v>
      </c>
      <c r="R195">
        <f t="shared" ca="1" si="100"/>
        <v>3.8141460404132466E-3</v>
      </c>
      <c r="S195">
        <f t="shared" ca="1" si="101"/>
        <v>1.0000000000000004</v>
      </c>
      <c r="T195">
        <f t="shared" ca="1" si="102"/>
        <v>35.686426155594638</v>
      </c>
      <c r="U195">
        <f t="shared" ca="1" si="123"/>
        <v>-3.3141460404522149E-3</v>
      </c>
      <c r="V195">
        <f t="shared" ca="1" si="124"/>
        <v>1</v>
      </c>
      <c r="W195">
        <f t="shared" ca="1" si="103"/>
        <v>2.1381886436890443</v>
      </c>
      <c r="X195">
        <f t="shared" ca="1" si="104"/>
        <v>11.11858094718303</v>
      </c>
      <c r="Y195">
        <f t="shared" ca="1" si="105"/>
        <v>1.1732944573652897</v>
      </c>
      <c r="Z195">
        <f t="shared" ca="1" si="106"/>
        <v>4.5824193071066803</v>
      </c>
      <c r="AA195">
        <f t="shared" ca="1" si="107"/>
        <v>634.63368864368908</v>
      </c>
      <c r="AB195">
        <f t="shared" ca="1" si="108"/>
        <v>635.70395198243239</v>
      </c>
      <c r="AC195">
        <f t="shared" ca="1" si="109"/>
        <v>3.8179433334236904E-3</v>
      </c>
      <c r="AD195">
        <f t="shared" ca="1" si="110"/>
        <v>1.0005465829720761</v>
      </c>
      <c r="AE195">
        <f t="shared" ca="1" si="111"/>
        <v>35.686430890842168</v>
      </c>
      <c r="AF195">
        <f t="shared" ca="1" si="112"/>
        <v>3.4160508060949724E-3</v>
      </c>
      <c r="AG195">
        <f t="shared" ca="1" si="113"/>
        <v>0</v>
      </c>
      <c r="AH195">
        <f ca="1">IFERROR(IF(V32="Supercritical",MAX($D$16,IFERROR(L195,MAX($D$16,POWER((ABS(K195)^2)/($I$5*MAX(F195,0.1)^2),1/3)))),IF(V32="Subcritical",MAX($D$16,IFERROR(W195,MAX($D$16,POWER((ABS(K195)^2)/($I$5*MAX(F195,0.1)^2),1/3)))),IF(AND(IFERROR(V195,0)=1,IFERROR(AG195,0)=1),IF(IFERROR(T195,-1E+99)&gt;=IFERROR(AE195,-1E+99),MAX($D$16,IFERROR(L195,MAX($D$16,POWER((ABS(K195)^2)/($I$5*MAX(F195,0.1)^2),1/3)))),MAX($D$16,IFERROR(W195,MAX($D$16,POWER((ABS(K195)^2)/($I$5*MAX(F195,0.1)^2),1/3))))),IF(IFERROR(V195,0)=1,MAX($D$16,IFERROR(L195,MAX($D$16,POWER((ABS(K195)^2)/($I$5*MAX(F195,0.1)^2),1/3)))),IF(IFERROR(AG195,0)=1,MAX($D$16,IFERROR(W195,MAX($D$16,POWER((ABS(K195)^2)/($I$5*MAX(F195,0.1)^2),1/3)))),MAX($D$16,POWER((ABS(K195)^2)/($I$5*MAX(F195,0.1)^2),1/3))))))),MAX($D$16,POWER((ABS(K195)^2)/($I$5*MAX(F195,0.1)^2),1/3)))</f>
        <v>2.1389677043987478</v>
      </c>
      <c r="AI195">
        <f t="shared" ca="1" si="114"/>
        <v>634.63446770439873</v>
      </c>
      <c r="AJ195">
        <f t="shared" ca="1" si="115"/>
        <v>635.7039515565981</v>
      </c>
      <c r="AM195">
        <v>0</v>
      </c>
      <c r="AN195">
        <v>0</v>
      </c>
      <c r="AO195">
        <f t="shared" si="116"/>
        <v>0</v>
      </c>
      <c r="AP195">
        <f t="shared" si="125"/>
        <v>0</v>
      </c>
      <c r="AQ195">
        <f t="shared" ca="1" si="117"/>
        <v>1.0000000000000004</v>
      </c>
      <c r="AR195" t="str">
        <f t="shared" ca="1" si="118"/>
        <v>Supercritical</v>
      </c>
      <c r="AS195">
        <f t="shared" ca="1" si="119"/>
        <v>3.8141460404132466E-3</v>
      </c>
    </row>
    <row r="196" spans="1:45" x14ac:dyDescent="0.35">
      <c r="A196">
        <v>135</v>
      </c>
      <c r="B196">
        <v>133.99700000000001</v>
      </c>
      <c r="C196">
        <v>616450.69999999995</v>
      </c>
      <c r="D196">
        <v>3097694.3870000001</v>
      </c>
      <c r="E196">
        <v>632.495</v>
      </c>
      <c r="F196">
        <v>5.2</v>
      </c>
      <c r="G196">
        <v>0</v>
      </c>
      <c r="H196" t="s">
        <v>154</v>
      </c>
      <c r="I196">
        <v>5.5E-2</v>
      </c>
      <c r="J196">
        <f t="shared" si="120"/>
        <v>1</v>
      </c>
      <c r="K196">
        <f t="shared" ca="1" si="121"/>
        <v>50.95</v>
      </c>
      <c r="L196">
        <f t="shared" ca="1" si="122"/>
        <v>2.1389677043987478</v>
      </c>
      <c r="M196">
        <f t="shared" ca="1" si="95"/>
        <v>11.122632062873489</v>
      </c>
      <c r="N196">
        <f t="shared" ca="1" si="96"/>
        <v>1.1735290000551568</v>
      </c>
      <c r="O196">
        <f t="shared" ca="1" si="97"/>
        <v>4.5807502857230418</v>
      </c>
      <c r="P196">
        <f t="shared" ca="1" si="98"/>
        <v>634.63396770439874</v>
      </c>
      <c r="Q196">
        <f t="shared" ca="1" si="99"/>
        <v>635.70345155659811</v>
      </c>
      <c r="R196">
        <f t="shared" ca="1" si="100"/>
        <v>3.8141460404132466E-3</v>
      </c>
      <c r="S196">
        <f t="shared" ca="1" si="101"/>
        <v>1.0000000000000004</v>
      </c>
      <c r="T196">
        <f t="shared" ca="1" si="102"/>
        <v>35.686426155594638</v>
      </c>
      <c r="U196">
        <f t="shared" ca="1" si="123"/>
        <v>-3.4121820602877051E-3</v>
      </c>
      <c r="V196">
        <f t="shared" ca="1" si="124"/>
        <v>1</v>
      </c>
      <c r="W196">
        <f t="shared" ca="1" si="103"/>
        <v>2.1373203735079915</v>
      </c>
      <c r="X196">
        <f t="shared" ca="1" si="104"/>
        <v>11.114065942241556</v>
      </c>
      <c r="Y196">
        <f t="shared" ca="1" si="105"/>
        <v>1.1730329665261352</v>
      </c>
      <c r="Z196">
        <f t="shared" ca="1" si="106"/>
        <v>4.5842808801730106</v>
      </c>
      <c r="AA196">
        <f t="shared" ca="1" si="107"/>
        <v>634.63232037350804</v>
      </c>
      <c r="AB196">
        <f t="shared" ca="1" si="108"/>
        <v>635.70345346159775</v>
      </c>
      <c r="AC196">
        <f t="shared" ca="1" si="109"/>
        <v>3.8221817362197445E-3</v>
      </c>
      <c r="AD196">
        <f t="shared" ca="1" si="110"/>
        <v>1.0011563415729299</v>
      </c>
      <c r="AE196">
        <f t="shared" ca="1" si="111"/>
        <v>35.686447333323514</v>
      </c>
      <c r="AF196">
        <f t="shared" ca="1" si="112"/>
        <v>3.4165467542379702E-3</v>
      </c>
      <c r="AG196">
        <f t="shared" ca="1" si="113"/>
        <v>0</v>
      </c>
      <c r="AH196">
        <f ca="1">IFERROR(IF(V32="Supercritical",MAX($D$16,IFERROR(L196,MAX($D$16,POWER((ABS(K196)^2)/($I$5*MAX(F196,0.1)^2),1/3)))),IF(V32="Subcritical",MAX($D$16,IFERROR(W196,MAX($D$16,POWER((ABS(K196)^2)/($I$5*MAX(F196,0.1)^2),1/3)))),IF(AND(IFERROR(V196,0)=1,IFERROR(AG196,0)=1),IF(IFERROR(T196,-1E+99)&gt;=IFERROR(AE196,-1E+99),MAX($D$16,IFERROR(L196,MAX($D$16,POWER((ABS(K196)^2)/($I$5*MAX(F196,0.1)^2),1/3)))),MAX($D$16,IFERROR(W196,MAX($D$16,POWER((ABS(K196)^2)/($I$5*MAX(F196,0.1)^2),1/3))))),IF(IFERROR(V196,0)=1,MAX($D$16,IFERROR(L196,MAX($D$16,POWER((ABS(K196)^2)/($I$5*MAX(F196,0.1)^2),1/3)))),IF(IFERROR(AG196,0)=1,MAX($D$16,IFERROR(W196,MAX($D$16,POWER((ABS(K196)^2)/($I$5*MAX(F196,0.1)^2),1/3)))),MAX($D$16,POWER((ABS(K196)^2)/($I$5*MAX(F196,0.1)^2),1/3))))))),MAX($D$16,POWER((ABS(K196)^2)/($I$5*MAX(F196,0.1)^2),1/3)))</f>
        <v>2.1389677043987478</v>
      </c>
      <c r="AI196">
        <f t="shared" ca="1" si="114"/>
        <v>634.63396770439874</v>
      </c>
      <c r="AJ196">
        <f t="shared" ca="1" si="115"/>
        <v>635.70345155659811</v>
      </c>
      <c r="AM196">
        <v>0</v>
      </c>
      <c r="AN196">
        <v>0</v>
      </c>
      <c r="AO196">
        <f t="shared" si="116"/>
        <v>0</v>
      </c>
      <c r="AP196">
        <f t="shared" si="125"/>
        <v>0</v>
      </c>
      <c r="AQ196">
        <f t="shared" ca="1" si="117"/>
        <v>1.0000000000000004</v>
      </c>
      <c r="AR196" t="str">
        <f t="shared" ca="1" si="118"/>
        <v>Supercritical</v>
      </c>
      <c r="AS196">
        <f t="shared" ca="1" si="119"/>
        <v>3.8141460404132466E-3</v>
      </c>
    </row>
    <row r="197" spans="1:45" x14ac:dyDescent="0.35">
      <c r="A197">
        <v>136</v>
      </c>
      <c r="B197">
        <v>134.99600000000001</v>
      </c>
      <c r="C197">
        <v>616449.70200000005</v>
      </c>
      <c r="D197">
        <v>3097694.34</v>
      </c>
      <c r="E197">
        <v>632.49450000000002</v>
      </c>
      <c r="F197">
        <v>5.2</v>
      </c>
      <c r="G197">
        <v>0</v>
      </c>
      <c r="H197" t="s">
        <v>154</v>
      </c>
      <c r="I197">
        <v>5.5E-2</v>
      </c>
      <c r="J197">
        <f t="shared" si="120"/>
        <v>0.99899999999999523</v>
      </c>
      <c r="K197">
        <f t="shared" ca="1" si="121"/>
        <v>50.95</v>
      </c>
      <c r="L197">
        <f t="shared" ca="1" si="122"/>
        <v>2.1389677043987478</v>
      </c>
      <c r="M197">
        <f t="shared" ca="1" si="95"/>
        <v>11.122632062873489</v>
      </c>
      <c r="N197">
        <f t="shared" ca="1" si="96"/>
        <v>1.1735290000551568</v>
      </c>
      <c r="O197">
        <f t="shared" ca="1" si="97"/>
        <v>4.5807502857230418</v>
      </c>
      <c r="P197">
        <f t="shared" ca="1" si="98"/>
        <v>634.63346770439875</v>
      </c>
      <c r="Q197">
        <f t="shared" ca="1" si="99"/>
        <v>635.70295155659812</v>
      </c>
      <c r="R197">
        <f t="shared" ca="1" si="100"/>
        <v>3.8141460404132466E-3</v>
      </c>
      <c r="S197">
        <f t="shared" ca="1" si="101"/>
        <v>1.0000000000000004</v>
      </c>
      <c r="T197">
        <f t="shared" ca="1" si="102"/>
        <v>35.686426155594638</v>
      </c>
      <c r="U197">
        <f t="shared" ca="1" si="123"/>
        <v>-3.4083679141758694E-3</v>
      </c>
      <c r="V197">
        <f t="shared" ca="1" si="124"/>
        <v>1</v>
      </c>
      <c r="W197">
        <f t="shared" ca="1" si="103"/>
        <v>2.1381886436890443</v>
      </c>
      <c r="X197">
        <f t="shared" ca="1" si="104"/>
        <v>11.11858094718303</v>
      </c>
      <c r="Y197">
        <f t="shared" ca="1" si="105"/>
        <v>1.1732944573652897</v>
      </c>
      <c r="Z197">
        <f t="shared" ca="1" si="106"/>
        <v>4.5824193071066803</v>
      </c>
      <c r="AA197">
        <f t="shared" ca="1" si="107"/>
        <v>634.63268864368911</v>
      </c>
      <c r="AB197">
        <f t="shared" ca="1" si="108"/>
        <v>635.70295198243241</v>
      </c>
      <c r="AC197">
        <f t="shared" ca="1" si="109"/>
        <v>3.8179433334236904E-3</v>
      </c>
      <c r="AD197">
        <f t="shared" ca="1" si="110"/>
        <v>1.0005465829720761</v>
      </c>
      <c r="AE197">
        <f t="shared" ca="1" si="111"/>
        <v>35.686430890842168</v>
      </c>
      <c r="AF197">
        <f t="shared" ca="1" si="112"/>
        <v>3.4234362939287166E-3</v>
      </c>
      <c r="AG197">
        <f t="shared" ca="1" si="113"/>
        <v>0</v>
      </c>
      <c r="AH197">
        <f ca="1">IFERROR(IF(V32="Supercritical",MAX($D$16,IFERROR(L197,MAX($D$16,POWER((ABS(K197)^2)/($I$5*MAX(F197,0.1)^2),1/3)))),IF(V32="Subcritical",MAX($D$16,IFERROR(W197,MAX($D$16,POWER((ABS(K197)^2)/($I$5*MAX(F197,0.1)^2),1/3)))),IF(AND(IFERROR(V197,0)=1,IFERROR(AG197,0)=1),IF(IFERROR(T197,-1E+99)&gt;=IFERROR(AE197,-1E+99),MAX($D$16,IFERROR(L197,MAX($D$16,POWER((ABS(K197)^2)/($I$5*MAX(F197,0.1)^2),1/3)))),MAX($D$16,IFERROR(W197,MAX($D$16,POWER((ABS(K197)^2)/($I$5*MAX(F197,0.1)^2),1/3))))),IF(IFERROR(V197,0)=1,MAX($D$16,IFERROR(L197,MAX($D$16,POWER((ABS(K197)^2)/($I$5*MAX(F197,0.1)^2),1/3)))),IF(IFERROR(AG197,0)=1,MAX($D$16,IFERROR(W197,MAX($D$16,POWER((ABS(K197)^2)/($I$5*MAX(F197,0.1)^2),1/3)))),MAX($D$16,POWER((ABS(K197)^2)/($I$5*MAX(F197,0.1)^2),1/3))))))),MAX($D$16,POWER((ABS(K197)^2)/($I$5*MAX(F197,0.1)^2),1/3)))</f>
        <v>2.1389677043987478</v>
      </c>
      <c r="AI197">
        <f t="shared" ca="1" si="114"/>
        <v>634.63346770439875</v>
      </c>
      <c r="AJ197">
        <f t="shared" ca="1" si="115"/>
        <v>635.70295155659812</v>
      </c>
      <c r="AM197">
        <v>0</v>
      </c>
      <c r="AN197">
        <v>0</v>
      </c>
      <c r="AO197">
        <f t="shared" si="116"/>
        <v>0</v>
      </c>
      <c r="AP197">
        <f t="shared" si="125"/>
        <v>0</v>
      </c>
      <c r="AQ197">
        <f t="shared" ca="1" si="117"/>
        <v>1.0000000000000004</v>
      </c>
      <c r="AR197" t="str">
        <f t="shared" ca="1" si="118"/>
        <v>Supercritical</v>
      </c>
      <c r="AS197">
        <f t="shared" ca="1" si="119"/>
        <v>3.8141460404132466E-3</v>
      </c>
    </row>
    <row r="198" spans="1:45" x14ac:dyDescent="0.35">
      <c r="A198">
        <v>137</v>
      </c>
      <c r="B198">
        <v>135.99700000000001</v>
      </c>
      <c r="C198">
        <v>616448.70299999998</v>
      </c>
      <c r="D198">
        <v>3097694.2919999999</v>
      </c>
      <c r="E198">
        <v>632.49400000000003</v>
      </c>
      <c r="F198">
        <v>5.2</v>
      </c>
      <c r="G198">
        <v>0</v>
      </c>
      <c r="H198" t="s">
        <v>154</v>
      </c>
      <c r="I198">
        <v>5.7000000000000002E-2</v>
      </c>
      <c r="J198">
        <f t="shared" si="120"/>
        <v>1.0010000000000048</v>
      </c>
      <c r="K198">
        <f t="shared" ca="1" si="121"/>
        <v>50.95</v>
      </c>
      <c r="L198">
        <f t="shared" ca="1" si="122"/>
        <v>2.1389677043987478</v>
      </c>
      <c r="M198">
        <f t="shared" ca="1" si="95"/>
        <v>11.122632062873489</v>
      </c>
      <c r="N198">
        <f t="shared" ca="1" si="96"/>
        <v>1.1735290000551568</v>
      </c>
      <c r="O198">
        <f t="shared" ca="1" si="97"/>
        <v>4.5807502857230418</v>
      </c>
      <c r="P198">
        <f t="shared" ca="1" si="98"/>
        <v>634.63296770439877</v>
      </c>
      <c r="Q198">
        <f t="shared" ca="1" si="99"/>
        <v>635.70245155659813</v>
      </c>
      <c r="R198">
        <f t="shared" ca="1" si="100"/>
        <v>3.8141460404132466E-3</v>
      </c>
      <c r="S198">
        <f t="shared" ca="1" si="101"/>
        <v>1.0000000000000004</v>
      </c>
      <c r="T198">
        <f t="shared" ca="1" si="102"/>
        <v>35.686426155594638</v>
      </c>
      <c r="U198">
        <f t="shared" ca="1" si="123"/>
        <v>-3.4195611524410197E-3</v>
      </c>
      <c r="V198">
        <f t="shared" ca="1" si="124"/>
        <v>1</v>
      </c>
      <c r="W198">
        <f t="shared" ca="1" si="103"/>
        <v>2.1373203735079915</v>
      </c>
      <c r="X198">
        <f t="shared" ca="1" si="104"/>
        <v>11.114065942241556</v>
      </c>
      <c r="Y198">
        <f t="shared" ca="1" si="105"/>
        <v>1.1730329665261352</v>
      </c>
      <c r="Z198">
        <f t="shared" ca="1" si="106"/>
        <v>4.5842808801730106</v>
      </c>
      <c r="AA198">
        <f t="shared" ca="1" si="107"/>
        <v>634.63132037350806</v>
      </c>
      <c r="AB198">
        <f t="shared" ca="1" si="108"/>
        <v>635.70245346159777</v>
      </c>
      <c r="AC198">
        <f t="shared" ca="1" si="109"/>
        <v>3.8221817362197445E-3</v>
      </c>
      <c r="AD198">
        <f t="shared" ca="1" si="110"/>
        <v>1.0011563415729299</v>
      </c>
      <c r="AE198">
        <f t="shared" ca="1" si="111"/>
        <v>35.686447333323514</v>
      </c>
      <c r="AF198">
        <f t="shared" ca="1" si="112"/>
        <v>3.4239393796724471E-3</v>
      </c>
      <c r="AG198">
        <f t="shared" ca="1" si="113"/>
        <v>0</v>
      </c>
      <c r="AH198">
        <f ca="1">IFERROR(IF(V32="Supercritical",MAX($D$16,IFERROR(L198,MAX($D$16,POWER((ABS(K198)^2)/($I$5*MAX(F198,0.1)^2),1/3)))),IF(V32="Subcritical",MAX($D$16,IFERROR(W198,MAX($D$16,POWER((ABS(K198)^2)/($I$5*MAX(F198,0.1)^2),1/3)))),IF(AND(IFERROR(V198,0)=1,IFERROR(AG198,0)=1),IF(IFERROR(T198,-1E+99)&gt;=IFERROR(AE198,-1E+99),MAX($D$16,IFERROR(L198,MAX($D$16,POWER((ABS(K198)^2)/($I$5*MAX(F198,0.1)^2),1/3)))),MAX($D$16,IFERROR(W198,MAX($D$16,POWER((ABS(K198)^2)/($I$5*MAX(F198,0.1)^2),1/3))))),IF(IFERROR(V198,0)=1,MAX($D$16,IFERROR(L198,MAX($D$16,POWER((ABS(K198)^2)/($I$5*MAX(F198,0.1)^2),1/3)))),IF(IFERROR(AG198,0)=1,MAX($D$16,IFERROR(W198,MAX($D$16,POWER((ABS(K198)^2)/($I$5*MAX(F198,0.1)^2),1/3)))),MAX($D$16,POWER((ABS(K198)^2)/($I$5*MAX(F198,0.1)^2),1/3))))))),MAX($D$16,POWER((ABS(K198)^2)/($I$5*MAX(F198,0.1)^2),1/3)))</f>
        <v>2.1389677043987478</v>
      </c>
      <c r="AI198">
        <f t="shared" ca="1" si="114"/>
        <v>634.63296770439877</v>
      </c>
      <c r="AJ198">
        <f t="shared" ca="1" si="115"/>
        <v>635.70245155659813</v>
      </c>
      <c r="AM198">
        <v>0</v>
      </c>
      <c r="AN198">
        <v>0</v>
      </c>
      <c r="AO198">
        <f t="shared" si="116"/>
        <v>0</v>
      </c>
      <c r="AP198">
        <f t="shared" si="125"/>
        <v>0</v>
      </c>
      <c r="AQ198">
        <f t="shared" ca="1" si="117"/>
        <v>1.0000000000000004</v>
      </c>
      <c r="AR198" t="str">
        <f t="shared" ca="1" si="118"/>
        <v>Supercritical</v>
      </c>
      <c r="AS198">
        <f t="shared" ca="1" si="119"/>
        <v>3.8141460404132466E-3</v>
      </c>
    </row>
    <row r="199" spans="1:45" x14ac:dyDescent="0.35">
      <c r="A199">
        <v>138</v>
      </c>
      <c r="B199">
        <v>136.99700000000001</v>
      </c>
      <c r="C199">
        <v>616447.70400000003</v>
      </c>
      <c r="D199">
        <v>3097694.2450000001</v>
      </c>
      <c r="E199">
        <v>632.49350000000004</v>
      </c>
      <c r="F199">
        <v>5.2</v>
      </c>
      <c r="G199">
        <v>0</v>
      </c>
      <c r="H199" t="s">
        <v>154</v>
      </c>
      <c r="I199">
        <v>5.7000000000000002E-2</v>
      </c>
      <c r="J199">
        <f t="shared" si="120"/>
        <v>1</v>
      </c>
      <c r="K199">
        <f t="shared" ca="1" si="121"/>
        <v>50.95</v>
      </c>
      <c r="L199">
        <f t="shared" ca="1" si="122"/>
        <v>2.1389677043987478</v>
      </c>
      <c r="M199">
        <f t="shared" ca="1" si="95"/>
        <v>11.122632062873489</v>
      </c>
      <c r="N199">
        <f t="shared" ca="1" si="96"/>
        <v>1.1735290000551568</v>
      </c>
      <c r="O199">
        <f t="shared" ca="1" si="97"/>
        <v>4.5807502857230418</v>
      </c>
      <c r="P199">
        <f t="shared" ca="1" si="98"/>
        <v>634.63246770439878</v>
      </c>
      <c r="Q199">
        <f t="shared" ca="1" si="99"/>
        <v>635.70195155659815</v>
      </c>
      <c r="R199">
        <f t="shared" ca="1" si="100"/>
        <v>3.8141460404132466E-3</v>
      </c>
      <c r="S199">
        <f t="shared" ca="1" si="101"/>
        <v>1.0000000000000004</v>
      </c>
      <c r="T199">
        <f t="shared" ca="1" si="102"/>
        <v>35.686426155594638</v>
      </c>
      <c r="U199">
        <f t="shared" ca="1" si="123"/>
        <v>-3.4157470064428708E-3</v>
      </c>
      <c r="V199">
        <f t="shared" ca="1" si="124"/>
        <v>1</v>
      </c>
      <c r="W199">
        <f t="shared" ca="1" si="103"/>
        <v>2.1381886436890443</v>
      </c>
      <c r="X199">
        <f t="shared" ca="1" si="104"/>
        <v>11.11858094718303</v>
      </c>
      <c r="Y199">
        <f t="shared" ca="1" si="105"/>
        <v>1.1732944573652897</v>
      </c>
      <c r="Z199">
        <f t="shared" ca="1" si="106"/>
        <v>4.5824193071066803</v>
      </c>
      <c r="AA199">
        <f t="shared" ca="1" si="107"/>
        <v>634.63168864368913</v>
      </c>
      <c r="AB199">
        <f t="shared" ca="1" si="108"/>
        <v>635.70195198243243</v>
      </c>
      <c r="AC199">
        <f t="shared" ca="1" si="109"/>
        <v>3.8179433334236904E-3</v>
      </c>
      <c r="AD199">
        <f t="shared" ca="1" si="110"/>
        <v>1.0005465829720761</v>
      </c>
      <c r="AE199">
        <f t="shared" ca="1" si="111"/>
        <v>35.686430890842168</v>
      </c>
      <c r="AF199">
        <f t="shared" ca="1" si="112"/>
        <v>3.3179433333998531E-3</v>
      </c>
      <c r="AG199">
        <f t="shared" ca="1" si="113"/>
        <v>0</v>
      </c>
      <c r="AH199">
        <f ca="1">IFERROR(IF(V32="Supercritical",MAX($D$16,IFERROR(L199,MAX($D$16,POWER((ABS(K199)^2)/($I$5*MAX(F199,0.1)^2),1/3)))),IF(V32="Subcritical",MAX($D$16,IFERROR(W199,MAX($D$16,POWER((ABS(K199)^2)/($I$5*MAX(F199,0.1)^2),1/3)))),IF(AND(IFERROR(V199,0)=1,IFERROR(AG199,0)=1),IF(IFERROR(T199,-1E+99)&gt;=IFERROR(AE199,-1E+99),MAX($D$16,IFERROR(L199,MAX($D$16,POWER((ABS(K199)^2)/($I$5*MAX(F199,0.1)^2),1/3)))),MAX($D$16,IFERROR(W199,MAX($D$16,POWER((ABS(K199)^2)/($I$5*MAX(F199,0.1)^2),1/3))))),IF(IFERROR(V199,0)=1,MAX($D$16,IFERROR(L199,MAX($D$16,POWER((ABS(K199)^2)/($I$5*MAX(F199,0.1)^2),1/3)))),IF(IFERROR(AG199,0)=1,MAX($D$16,IFERROR(W199,MAX($D$16,POWER((ABS(K199)^2)/($I$5*MAX(F199,0.1)^2),1/3)))),MAX($D$16,POWER((ABS(K199)^2)/($I$5*MAX(F199,0.1)^2),1/3))))))),MAX($D$16,POWER((ABS(K199)^2)/($I$5*MAX(F199,0.1)^2),1/3)))</f>
        <v>2.1389677043987478</v>
      </c>
      <c r="AI199">
        <f t="shared" ca="1" si="114"/>
        <v>634.63246770439878</v>
      </c>
      <c r="AJ199">
        <f t="shared" ca="1" si="115"/>
        <v>635.70195155659815</v>
      </c>
      <c r="AM199">
        <v>0</v>
      </c>
      <c r="AN199">
        <v>0</v>
      </c>
      <c r="AO199">
        <f t="shared" si="116"/>
        <v>0</v>
      </c>
      <c r="AP199">
        <f t="shared" si="125"/>
        <v>0</v>
      </c>
      <c r="AQ199">
        <f t="shared" ca="1" si="117"/>
        <v>1.0000000000000004</v>
      </c>
      <c r="AR199" t="str">
        <f t="shared" ca="1" si="118"/>
        <v>Supercritical</v>
      </c>
      <c r="AS199">
        <f t="shared" ca="1" si="119"/>
        <v>3.8141460404132466E-3</v>
      </c>
    </row>
    <row r="200" spans="1:45" x14ac:dyDescent="0.35">
      <c r="A200">
        <v>139</v>
      </c>
      <c r="B200">
        <v>137.99700000000001</v>
      </c>
      <c r="C200">
        <v>616446.70499999996</v>
      </c>
      <c r="D200">
        <v>3097694.1970000002</v>
      </c>
      <c r="E200">
        <v>632.49300000000005</v>
      </c>
      <c r="F200">
        <v>5.2</v>
      </c>
      <c r="G200">
        <v>0</v>
      </c>
      <c r="H200" t="s">
        <v>154</v>
      </c>
      <c r="I200">
        <v>0</v>
      </c>
      <c r="J200">
        <f t="shared" si="120"/>
        <v>1</v>
      </c>
      <c r="K200">
        <f t="shared" ca="1" si="121"/>
        <v>50.95</v>
      </c>
      <c r="L200">
        <f t="shared" ca="1" si="122"/>
        <v>2.1389677043987478</v>
      </c>
      <c r="M200">
        <f t="shared" ca="1" si="95"/>
        <v>11.122632062873489</v>
      </c>
      <c r="N200">
        <f t="shared" ca="1" si="96"/>
        <v>1.1735290000551568</v>
      </c>
      <c r="O200">
        <f t="shared" ca="1" si="97"/>
        <v>4.5807502857230418</v>
      </c>
      <c r="P200">
        <f t="shared" ca="1" si="98"/>
        <v>634.63196770439879</v>
      </c>
      <c r="Q200">
        <f t="shared" ca="1" si="99"/>
        <v>635.70145155659816</v>
      </c>
      <c r="R200">
        <f t="shared" ca="1" si="100"/>
        <v>3.8141460404132466E-3</v>
      </c>
      <c r="S200">
        <f t="shared" ca="1" si="101"/>
        <v>1.0000000000000004</v>
      </c>
      <c r="T200">
        <f t="shared" ca="1" si="102"/>
        <v>35.686426155594638</v>
      </c>
      <c r="U200">
        <f t="shared" ca="1" si="123"/>
        <v>-3.3141460404522149E-3</v>
      </c>
      <c r="V200">
        <f t="shared" ca="1" si="124"/>
        <v>1</v>
      </c>
      <c r="W200">
        <f t="shared" ca="1" si="103"/>
        <v>2.1373203735079915</v>
      </c>
      <c r="X200">
        <f t="shared" ca="1" si="104"/>
        <v>11.114065942241556</v>
      </c>
      <c r="Y200">
        <f t="shared" ca="1" si="105"/>
        <v>1.1730329665261352</v>
      </c>
      <c r="Z200">
        <f t="shared" ca="1" si="106"/>
        <v>4.5842808801730106</v>
      </c>
      <c r="AA200">
        <f t="shared" ca="1" si="107"/>
        <v>634.63032037350808</v>
      </c>
      <c r="AB200">
        <f t="shared" ca="1" si="108"/>
        <v>635.70145346159779</v>
      </c>
      <c r="AC200">
        <f t="shared" ca="1" si="109"/>
        <v>3.8221817362197445E-3</v>
      </c>
      <c r="AD200">
        <f t="shared" ca="1" si="110"/>
        <v>1.0011563415729299</v>
      </c>
      <c r="AE200">
        <f t="shared" ca="1" si="111"/>
        <v>35.686447333323514</v>
      </c>
      <c r="AF200">
        <f t="shared" ca="1" si="112"/>
        <v>3.4239393795587603E-3</v>
      </c>
      <c r="AG200">
        <f t="shared" ca="1" si="113"/>
        <v>0</v>
      </c>
      <c r="AH200">
        <f ca="1">IFERROR(IF(V32="Supercritical",MAX($D$16,IFERROR(L200,MAX($D$16,POWER((ABS(K200)^2)/($I$5*MAX(F200,0.1)^2),1/3)))),IF(V32="Subcritical",MAX($D$16,IFERROR(W200,MAX($D$16,POWER((ABS(K200)^2)/($I$5*MAX(F200,0.1)^2),1/3)))),IF(AND(IFERROR(V200,0)=1,IFERROR(AG200,0)=1),IF(IFERROR(T200,-1E+99)&gt;=IFERROR(AE200,-1E+99),MAX($D$16,IFERROR(L200,MAX($D$16,POWER((ABS(K200)^2)/($I$5*MAX(F200,0.1)^2),1/3)))),MAX($D$16,IFERROR(W200,MAX($D$16,POWER((ABS(K200)^2)/($I$5*MAX(F200,0.1)^2),1/3))))),IF(IFERROR(V200,0)=1,MAX($D$16,IFERROR(L200,MAX($D$16,POWER((ABS(K200)^2)/($I$5*MAX(F200,0.1)^2),1/3)))),IF(IFERROR(AG200,0)=1,MAX($D$16,IFERROR(W200,MAX($D$16,POWER((ABS(K200)^2)/($I$5*MAX(F200,0.1)^2),1/3)))),MAX($D$16,POWER((ABS(K200)^2)/($I$5*MAX(F200,0.1)^2),1/3))))))),MAX($D$16,POWER((ABS(K200)^2)/($I$5*MAX(F200,0.1)^2),1/3)))</f>
        <v>2.1389677043987478</v>
      </c>
      <c r="AI200">
        <f t="shared" ca="1" si="114"/>
        <v>634.63196770439879</v>
      </c>
      <c r="AJ200">
        <f t="shared" ca="1" si="115"/>
        <v>635.70145155659816</v>
      </c>
      <c r="AM200">
        <v>0</v>
      </c>
      <c r="AN200">
        <v>0</v>
      </c>
      <c r="AO200">
        <f t="shared" si="116"/>
        <v>0</v>
      </c>
      <c r="AP200">
        <f t="shared" si="125"/>
        <v>0</v>
      </c>
      <c r="AQ200">
        <f t="shared" ca="1" si="117"/>
        <v>1.0000000000000004</v>
      </c>
      <c r="AR200" t="str">
        <f t="shared" ca="1" si="118"/>
        <v>Supercritical</v>
      </c>
      <c r="AS200">
        <f t="shared" ca="1" si="119"/>
        <v>3.8141460404132466E-3</v>
      </c>
    </row>
    <row r="201" spans="1:45" x14ac:dyDescent="0.35">
      <c r="A201">
        <v>140</v>
      </c>
      <c r="B201">
        <v>138.99700000000001</v>
      </c>
      <c r="C201">
        <v>616445.70600000001</v>
      </c>
      <c r="D201">
        <v>3097694.1490000002</v>
      </c>
      <c r="E201">
        <v>632.49249999999995</v>
      </c>
      <c r="F201">
        <v>5.2</v>
      </c>
      <c r="G201">
        <v>0</v>
      </c>
      <c r="H201" t="s">
        <v>154</v>
      </c>
      <c r="I201">
        <v>5.7000000000000002E-2</v>
      </c>
      <c r="J201">
        <f t="shared" si="120"/>
        <v>1</v>
      </c>
      <c r="K201">
        <f t="shared" ca="1" si="121"/>
        <v>50.95</v>
      </c>
      <c r="L201">
        <f t="shared" ca="1" si="122"/>
        <v>2.1389677043987478</v>
      </c>
      <c r="M201">
        <f t="shared" ca="1" si="95"/>
        <v>11.122632062873489</v>
      </c>
      <c r="N201">
        <f t="shared" ca="1" si="96"/>
        <v>1.1735290000551568</v>
      </c>
      <c r="O201">
        <f t="shared" ca="1" si="97"/>
        <v>4.5807502857230418</v>
      </c>
      <c r="P201">
        <f t="shared" ca="1" si="98"/>
        <v>634.63146770439869</v>
      </c>
      <c r="Q201">
        <f t="shared" ca="1" si="99"/>
        <v>635.70095155659806</v>
      </c>
      <c r="R201">
        <f t="shared" ca="1" si="100"/>
        <v>3.8141460404132466E-3</v>
      </c>
      <c r="S201">
        <f t="shared" ca="1" si="101"/>
        <v>1.0000000000000004</v>
      </c>
      <c r="T201">
        <f t="shared" ca="1" si="102"/>
        <v>35.686426155594638</v>
      </c>
      <c r="U201">
        <f t="shared" ca="1" si="123"/>
        <v>-3.4157470063291839E-3</v>
      </c>
      <c r="V201">
        <f t="shared" ca="1" si="124"/>
        <v>1</v>
      </c>
      <c r="W201">
        <f t="shared" ca="1" si="103"/>
        <v>2.1381886436890443</v>
      </c>
      <c r="X201">
        <f t="shared" ca="1" si="104"/>
        <v>11.11858094718303</v>
      </c>
      <c r="Y201">
        <f t="shared" ca="1" si="105"/>
        <v>1.1732944573652897</v>
      </c>
      <c r="Z201">
        <f t="shared" ca="1" si="106"/>
        <v>4.5824193071066803</v>
      </c>
      <c r="AA201">
        <f t="shared" ca="1" si="107"/>
        <v>634.63068864368904</v>
      </c>
      <c r="AB201">
        <f t="shared" ca="1" si="108"/>
        <v>635.70095198243234</v>
      </c>
      <c r="AC201">
        <f t="shared" ca="1" si="109"/>
        <v>3.8179433334236904E-3</v>
      </c>
      <c r="AD201">
        <f t="shared" ca="1" si="110"/>
        <v>1.0005465829720761</v>
      </c>
      <c r="AE201">
        <f t="shared" ca="1" si="111"/>
        <v>35.686430890842168</v>
      </c>
      <c r="AF201">
        <f t="shared" ca="1" si="112"/>
        <v>3.4196183505628142E-3</v>
      </c>
      <c r="AG201">
        <f t="shared" ca="1" si="113"/>
        <v>0</v>
      </c>
      <c r="AH201">
        <f ca="1">IFERROR(IF(V32="Supercritical",MAX($D$16,IFERROR(L201,MAX($D$16,POWER((ABS(K201)^2)/($I$5*MAX(F201,0.1)^2),1/3)))),IF(V32="Subcritical",MAX($D$16,IFERROR(W201,MAX($D$16,POWER((ABS(K201)^2)/($I$5*MAX(F201,0.1)^2),1/3)))),IF(AND(IFERROR(V201,0)=1,IFERROR(AG201,0)=1),IF(IFERROR(T201,-1E+99)&gt;=IFERROR(AE201,-1E+99),MAX($D$16,IFERROR(L201,MAX($D$16,POWER((ABS(K201)^2)/($I$5*MAX(F201,0.1)^2),1/3)))),MAX($D$16,IFERROR(W201,MAX($D$16,POWER((ABS(K201)^2)/($I$5*MAX(F201,0.1)^2),1/3))))),IF(IFERROR(V201,0)=1,MAX($D$16,IFERROR(L201,MAX($D$16,POWER((ABS(K201)^2)/($I$5*MAX(F201,0.1)^2),1/3)))),IF(IFERROR(AG201,0)=1,MAX($D$16,IFERROR(W201,MAX($D$16,POWER((ABS(K201)^2)/($I$5*MAX(F201,0.1)^2),1/3)))),MAX($D$16,POWER((ABS(K201)^2)/($I$5*MAX(F201,0.1)^2),1/3))))))),MAX($D$16,POWER((ABS(K201)^2)/($I$5*MAX(F201,0.1)^2),1/3)))</f>
        <v>2.1389677043987478</v>
      </c>
      <c r="AI201">
        <f t="shared" ca="1" si="114"/>
        <v>634.63146770439869</v>
      </c>
      <c r="AJ201">
        <f t="shared" ca="1" si="115"/>
        <v>635.70095155659806</v>
      </c>
      <c r="AM201">
        <v>0</v>
      </c>
      <c r="AN201">
        <v>0</v>
      </c>
      <c r="AO201">
        <f t="shared" si="116"/>
        <v>0</v>
      </c>
      <c r="AP201">
        <f t="shared" si="125"/>
        <v>0</v>
      </c>
      <c r="AQ201">
        <f t="shared" ca="1" si="117"/>
        <v>1.0000000000000004</v>
      </c>
      <c r="AR201" t="str">
        <f t="shared" ca="1" si="118"/>
        <v>Supercritical</v>
      </c>
      <c r="AS201">
        <f t="shared" ca="1" si="119"/>
        <v>3.8141460404132466E-3</v>
      </c>
    </row>
    <row r="202" spans="1:45" x14ac:dyDescent="0.35">
      <c r="A202">
        <v>141</v>
      </c>
      <c r="B202">
        <v>139.99700000000001</v>
      </c>
      <c r="C202">
        <v>616444.70700000005</v>
      </c>
      <c r="D202">
        <v>3097694.102</v>
      </c>
      <c r="E202">
        <v>632.49199999999996</v>
      </c>
      <c r="F202">
        <v>5.2</v>
      </c>
      <c r="G202">
        <v>0</v>
      </c>
      <c r="H202" t="s">
        <v>154</v>
      </c>
      <c r="I202">
        <v>5.7000000000000002E-2</v>
      </c>
      <c r="J202">
        <f t="shared" si="120"/>
        <v>1</v>
      </c>
      <c r="K202">
        <f t="shared" ca="1" si="121"/>
        <v>50.95</v>
      </c>
      <c r="L202">
        <f t="shared" ca="1" si="122"/>
        <v>2.1389677043987478</v>
      </c>
      <c r="M202">
        <f t="shared" ca="1" si="95"/>
        <v>11.122632062873489</v>
      </c>
      <c r="N202">
        <f t="shared" ca="1" si="96"/>
        <v>1.1735290000551568</v>
      </c>
      <c r="O202">
        <f t="shared" ca="1" si="97"/>
        <v>4.5807502857230418</v>
      </c>
      <c r="P202">
        <f t="shared" ca="1" si="98"/>
        <v>634.6309677043987</v>
      </c>
      <c r="Q202">
        <f t="shared" ca="1" si="99"/>
        <v>635.70045155659807</v>
      </c>
      <c r="R202">
        <f t="shared" ca="1" si="100"/>
        <v>3.8141460404132466E-3</v>
      </c>
      <c r="S202">
        <f t="shared" ca="1" si="101"/>
        <v>1.0000000000000004</v>
      </c>
      <c r="T202">
        <f t="shared" ca="1" si="102"/>
        <v>35.686426155594638</v>
      </c>
      <c r="U202">
        <f t="shared" ca="1" si="123"/>
        <v>-3.4157470064428708E-3</v>
      </c>
      <c r="V202">
        <f t="shared" ca="1" si="124"/>
        <v>1</v>
      </c>
      <c r="W202">
        <f t="shared" ca="1" si="103"/>
        <v>2.1373203735079915</v>
      </c>
      <c r="X202">
        <f t="shared" ca="1" si="104"/>
        <v>11.114065942241556</v>
      </c>
      <c r="Y202">
        <f t="shared" ca="1" si="105"/>
        <v>1.1730329665261352</v>
      </c>
      <c r="Z202">
        <f t="shared" ca="1" si="106"/>
        <v>4.5842808801730106</v>
      </c>
      <c r="AA202">
        <f t="shared" ca="1" si="107"/>
        <v>634.62932037350799</v>
      </c>
      <c r="AB202">
        <f t="shared" ca="1" si="108"/>
        <v>635.7004534615977</v>
      </c>
      <c r="AC202">
        <f t="shared" ca="1" si="109"/>
        <v>3.8221817362197445E-3</v>
      </c>
      <c r="AD202">
        <f t="shared" ca="1" si="110"/>
        <v>1.0011563415729299</v>
      </c>
      <c r="AE202">
        <f t="shared" ca="1" si="111"/>
        <v>35.686447333323514</v>
      </c>
      <c r="AF202">
        <f t="shared" ca="1" si="112"/>
        <v>3.3275374016739079E-3</v>
      </c>
      <c r="AG202">
        <f t="shared" ca="1" si="113"/>
        <v>0</v>
      </c>
      <c r="AH202">
        <f ca="1">IFERROR(IF(V32="Supercritical",MAX($D$16,IFERROR(L202,MAX($D$16,POWER((ABS(K202)^2)/($I$5*MAX(F202,0.1)^2),1/3)))),IF(V32="Subcritical",MAX($D$16,IFERROR(W202,MAX($D$16,POWER((ABS(K202)^2)/($I$5*MAX(F202,0.1)^2),1/3)))),IF(AND(IFERROR(V202,0)=1,IFERROR(AG202,0)=1),IF(IFERROR(T202,-1E+99)&gt;=IFERROR(AE202,-1E+99),MAX($D$16,IFERROR(L202,MAX($D$16,POWER((ABS(K202)^2)/($I$5*MAX(F202,0.1)^2),1/3)))),MAX($D$16,IFERROR(W202,MAX($D$16,POWER((ABS(K202)^2)/($I$5*MAX(F202,0.1)^2),1/3))))),IF(IFERROR(V202,0)=1,MAX($D$16,IFERROR(L202,MAX($D$16,POWER((ABS(K202)^2)/($I$5*MAX(F202,0.1)^2),1/3)))),IF(IFERROR(AG202,0)=1,MAX($D$16,IFERROR(W202,MAX($D$16,POWER((ABS(K202)^2)/($I$5*MAX(F202,0.1)^2),1/3)))),MAX($D$16,POWER((ABS(K202)^2)/($I$5*MAX(F202,0.1)^2),1/3))))))),MAX($D$16,POWER((ABS(K202)^2)/($I$5*MAX(F202,0.1)^2),1/3)))</f>
        <v>2.1389677043987478</v>
      </c>
      <c r="AI202">
        <f t="shared" ca="1" si="114"/>
        <v>634.6309677043987</v>
      </c>
      <c r="AJ202">
        <f t="shared" ca="1" si="115"/>
        <v>635.70045155659807</v>
      </c>
      <c r="AM202">
        <v>0</v>
      </c>
      <c r="AN202">
        <v>0</v>
      </c>
      <c r="AO202">
        <f t="shared" si="116"/>
        <v>0</v>
      </c>
      <c r="AP202">
        <f t="shared" si="125"/>
        <v>0</v>
      </c>
      <c r="AQ202">
        <f t="shared" ca="1" si="117"/>
        <v>1.0000000000000004</v>
      </c>
      <c r="AR202" t="str">
        <f t="shared" ca="1" si="118"/>
        <v>Supercritical</v>
      </c>
      <c r="AS202">
        <f t="shared" ca="1" si="119"/>
        <v>3.8141460404132466E-3</v>
      </c>
    </row>
    <row r="203" spans="1:45" x14ac:dyDescent="0.35">
      <c r="A203">
        <v>142</v>
      </c>
      <c r="B203">
        <v>140.99700000000001</v>
      </c>
      <c r="C203">
        <v>616443.70799999998</v>
      </c>
      <c r="D203">
        <v>3097694.054</v>
      </c>
      <c r="E203">
        <v>632.49149999999997</v>
      </c>
      <c r="F203">
        <v>5.2</v>
      </c>
      <c r="G203">
        <v>0</v>
      </c>
      <c r="H203" t="s">
        <v>154</v>
      </c>
      <c r="I203">
        <v>3.0000000000000001E-3</v>
      </c>
      <c r="J203">
        <f t="shared" si="120"/>
        <v>1</v>
      </c>
      <c r="K203">
        <f t="shared" ca="1" si="121"/>
        <v>50.95</v>
      </c>
      <c r="L203">
        <f t="shared" ca="1" si="122"/>
        <v>2.1389677043987478</v>
      </c>
      <c r="M203">
        <f t="shared" ca="1" si="95"/>
        <v>11.122632062873489</v>
      </c>
      <c r="N203">
        <f t="shared" ca="1" si="96"/>
        <v>1.1735290000551568</v>
      </c>
      <c r="O203">
        <f t="shared" ca="1" si="97"/>
        <v>4.5807502857230418</v>
      </c>
      <c r="P203">
        <f t="shared" ca="1" si="98"/>
        <v>634.63046770439871</v>
      </c>
      <c r="Q203">
        <f t="shared" ca="1" si="99"/>
        <v>635.69995155659808</v>
      </c>
      <c r="R203">
        <f t="shared" ca="1" si="100"/>
        <v>3.8141460404132466E-3</v>
      </c>
      <c r="S203">
        <f t="shared" ca="1" si="101"/>
        <v>1.0000000000000004</v>
      </c>
      <c r="T203">
        <f t="shared" ca="1" si="102"/>
        <v>35.686426155594638</v>
      </c>
      <c r="U203">
        <f t="shared" ca="1" si="123"/>
        <v>-3.3194934596849635E-3</v>
      </c>
      <c r="V203">
        <f t="shared" ca="1" si="124"/>
        <v>1</v>
      </c>
      <c r="W203">
        <f t="shared" ca="1" si="103"/>
        <v>2.1381886436890443</v>
      </c>
      <c r="X203">
        <f t="shared" ca="1" si="104"/>
        <v>11.11858094718303</v>
      </c>
      <c r="Y203">
        <f t="shared" ca="1" si="105"/>
        <v>1.1732944573652897</v>
      </c>
      <c r="Z203">
        <f t="shared" ca="1" si="106"/>
        <v>4.5824193071066803</v>
      </c>
      <c r="AA203">
        <f t="shared" ca="1" si="107"/>
        <v>634.62968864368906</v>
      </c>
      <c r="AB203">
        <f t="shared" ca="1" si="108"/>
        <v>635.69995198243237</v>
      </c>
      <c r="AC203">
        <f t="shared" ca="1" si="109"/>
        <v>3.8179433334236904E-3</v>
      </c>
      <c r="AD203">
        <f t="shared" ca="1" si="110"/>
        <v>1.0005465829720761</v>
      </c>
      <c r="AE203">
        <f t="shared" ca="1" si="111"/>
        <v>35.686430890842168</v>
      </c>
      <c r="AF203">
        <f t="shared" ca="1" si="112"/>
        <v>3.4211517240692046E-3</v>
      </c>
      <c r="AG203">
        <f t="shared" ca="1" si="113"/>
        <v>0</v>
      </c>
      <c r="AH203">
        <f ca="1">IFERROR(IF(V32="Supercritical",MAX($D$16,IFERROR(L203,MAX($D$16,POWER((ABS(K203)^2)/($I$5*MAX(F203,0.1)^2),1/3)))),IF(V32="Subcritical",MAX($D$16,IFERROR(W203,MAX($D$16,POWER((ABS(K203)^2)/($I$5*MAX(F203,0.1)^2),1/3)))),IF(AND(IFERROR(V203,0)=1,IFERROR(AG203,0)=1),IF(IFERROR(T203,-1E+99)&gt;=IFERROR(AE203,-1E+99),MAX($D$16,IFERROR(L203,MAX($D$16,POWER((ABS(K203)^2)/($I$5*MAX(F203,0.1)^2),1/3)))),MAX($D$16,IFERROR(W203,MAX($D$16,POWER((ABS(K203)^2)/($I$5*MAX(F203,0.1)^2),1/3))))),IF(IFERROR(V203,0)=1,MAX($D$16,IFERROR(L203,MAX($D$16,POWER((ABS(K203)^2)/($I$5*MAX(F203,0.1)^2),1/3)))),IF(IFERROR(AG203,0)=1,MAX($D$16,IFERROR(W203,MAX($D$16,POWER((ABS(K203)^2)/($I$5*MAX(F203,0.1)^2),1/3)))),MAX($D$16,POWER((ABS(K203)^2)/($I$5*MAX(F203,0.1)^2),1/3))))))),MAX($D$16,POWER((ABS(K203)^2)/($I$5*MAX(F203,0.1)^2),1/3)))</f>
        <v>2.1389677043987478</v>
      </c>
      <c r="AI203">
        <f t="shared" ca="1" si="114"/>
        <v>634.63046770439871</v>
      </c>
      <c r="AJ203">
        <f t="shared" ca="1" si="115"/>
        <v>635.69995155659808</v>
      </c>
      <c r="AM203">
        <v>0</v>
      </c>
      <c r="AN203">
        <v>0</v>
      </c>
      <c r="AO203">
        <f t="shared" si="116"/>
        <v>0</v>
      </c>
      <c r="AP203">
        <f t="shared" si="125"/>
        <v>0</v>
      </c>
      <c r="AQ203">
        <f t="shared" ca="1" si="117"/>
        <v>1.0000000000000004</v>
      </c>
      <c r="AR203" t="str">
        <f t="shared" ca="1" si="118"/>
        <v>Supercritical</v>
      </c>
      <c r="AS203">
        <f t="shared" ca="1" si="119"/>
        <v>3.8141460404132466E-3</v>
      </c>
    </row>
    <row r="204" spans="1:45" x14ac:dyDescent="0.35">
      <c r="A204">
        <v>143</v>
      </c>
      <c r="B204">
        <v>141.99600000000001</v>
      </c>
      <c r="C204">
        <v>616442.71</v>
      </c>
      <c r="D204">
        <v>3097694.0060000001</v>
      </c>
      <c r="E204">
        <v>632.49099999999999</v>
      </c>
      <c r="F204">
        <v>5.2</v>
      </c>
      <c r="G204">
        <v>0</v>
      </c>
      <c r="H204" t="s">
        <v>154</v>
      </c>
      <c r="I204">
        <v>0.06</v>
      </c>
      <c r="J204">
        <f t="shared" si="120"/>
        <v>0.99899999999999523</v>
      </c>
      <c r="K204">
        <f t="shared" ca="1" si="121"/>
        <v>50.95</v>
      </c>
      <c r="L204">
        <f t="shared" ca="1" si="122"/>
        <v>2.1389677043987478</v>
      </c>
      <c r="M204">
        <f t="shared" ca="1" si="95"/>
        <v>11.122632062873489</v>
      </c>
      <c r="N204">
        <f t="shared" ca="1" si="96"/>
        <v>1.1735290000551568</v>
      </c>
      <c r="O204">
        <f t="shared" ca="1" si="97"/>
        <v>4.5807502857230418</v>
      </c>
      <c r="P204">
        <f t="shared" ca="1" si="98"/>
        <v>634.62996770439872</v>
      </c>
      <c r="Q204">
        <f t="shared" ca="1" si="99"/>
        <v>635.69945155659809</v>
      </c>
      <c r="R204">
        <f t="shared" ca="1" si="100"/>
        <v>3.8141460404132466E-3</v>
      </c>
      <c r="S204">
        <f t="shared" ca="1" si="101"/>
        <v>1.0000000000000004</v>
      </c>
      <c r="T204">
        <f t="shared" ca="1" si="102"/>
        <v>35.686426155594638</v>
      </c>
      <c r="U204">
        <f t="shared" ca="1" si="123"/>
        <v>-3.4172802795637836E-3</v>
      </c>
      <c r="V204">
        <f t="shared" ca="1" si="124"/>
        <v>1</v>
      </c>
      <c r="W204">
        <f t="shared" ca="1" si="103"/>
        <v>2.1373203735079915</v>
      </c>
      <c r="X204">
        <f t="shared" ca="1" si="104"/>
        <v>11.114065942241556</v>
      </c>
      <c r="Y204">
        <f t="shared" ca="1" si="105"/>
        <v>1.1730329665261352</v>
      </c>
      <c r="Z204">
        <f t="shared" ca="1" si="106"/>
        <v>4.5842808801730106</v>
      </c>
      <c r="AA204">
        <f t="shared" ca="1" si="107"/>
        <v>634.62832037350802</v>
      </c>
      <c r="AB204">
        <f t="shared" ca="1" si="108"/>
        <v>635.69945346159773</v>
      </c>
      <c r="AC204">
        <f t="shared" ca="1" si="109"/>
        <v>3.8221817362197445E-3</v>
      </c>
      <c r="AD204">
        <f t="shared" ca="1" si="110"/>
        <v>1.0011563415729299</v>
      </c>
      <c r="AE204">
        <f t="shared" ca="1" si="111"/>
        <v>35.686447333323514</v>
      </c>
      <c r="AF204">
        <f t="shared" ca="1" si="112"/>
        <v>3.4239393796724471E-3</v>
      </c>
      <c r="AG204">
        <f t="shared" ca="1" si="113"/>
        <v>0</v>
      </c>
      <c r="AH204">
        <f ca="1">IFERROR(IF(V32="Supercritical",MAX($D$16,IFERROR(L204,MAX($D$16,POWER((ABS(K204)^2)/($I$5*MAX(F204,0.1)^2),1/3)))),IF(V32="Subcritical",MAX($D$16,IFERROR(W204,MAX($D$16,POWER((ABS(K204)^2)/($I$5*MAX(F204,0.1)^2),1/3)))),IF(AND(IFERROR(V204,0)=1,IFERROR(AG204,0)=1),IF(IFERROR(T204,-1E+99)&gt;=IFERROR(AE204,-1E+99),MAX($D$16,IFERROR(L204,MAX($D$16,POWER((ABS(K204)^2)/($I$5*MAX(F204,0.1)^2),1/3)))),MAX($D$16,IFERROR(W204,MAX($D$16,POWER((ABS(K204)^2)/($I$5*MAX(F204,0.1)^2),1/3))))),IF(IFERROR(V204,0)=1,MAX($D$16,IFERROR(L204,MAX($D$16,POWER((ABS(K204)^2)/($I$5*MAX(F204,0.1)^2),1/3)))),IF(IFERROR(AG204,0)=1,MAX($D$16,IFERROR(W204,MAX($D$16,POWER((ABS(K204)^2)/($I$5*MAX(F204,0.1)^2),1/3)))),MAX($D$16,POWER((ABS(K204)^2)/($I$5*MAX(F204,0.1)^2),1/3))))))),MAX($D$16,POWER((ABS(K204)^2)/($I$5*MAX(F204,0.1)^2),1/3)))</f>
        <v>2.1389677043987478</v>
      </c>
      <c r="AI204">
        <f t="shared" ca="1" si="114"/>
        <v>634.62996770439872</v>
      </c>
      <c r="AJ204">
        <f t="shared" ca="1" si="115"/>
        <v>635.69945155659809</v>
      </c>
      <c r="AM204">
        <v>0</v>
      </c>
      <c r="AN204">
        <v>0</v>
      </c>
      <c r="AO204">
        <f t="shared" si="116"/>
        <v>0</v>
      </c>
      <c r="AP204">
        <f t="shared" si="125"/>
        <v>0</v>
      </c>
      <c r="AQ204">
        <f t="shared" ca="1" si="117"/>
        <v>1.0000000000000004</v>
      </c>
      <c r="AR204" t="str">
        <f t="shared" ca="1" si="118"/>
        <v>Supercritical</v>
      </c>
      <c r="AS204">
        <f t="shared" ca="1" si="119"/>
        <v>3.8141460404132466E-3</v>
      </c>
    </row>
    <row r="205" spans="1:45" x14ac:dyDescent="0.35">
      <c r="A205">
        <v>144</v>
      </c>
      <c r="B205">
        <v>142.99600000000001</v>
      </c>
      <c r="C205">
        <v>616441.71100000001</v>
      </c>
      <c r="D205">
        <v>3097693.9589999998</v>
      </c>
      <c r="E205">
        <v>632.4905</v>
      </c>
      <c r="F205">
        <v>5.2</v>
      </c>
      <c r="G205">
        <v>0</v>
      </c>
      <c r="H205" t="s">
        <v>154</v>
      </c>
      <c r="I205">
        <v>5.7000000000000002E-2</v>
      </c>
      <c r="J205">
        <f t="shared" si="120"/>
        <v>1</v>
      </c>
      <c r="K205">
        <f t="shared" ca="1" si="121"/>
        <v>50.95</v>
      </c>
      <c r="L205">
        <f t="shared" ca="1" si="122"/>
        <v>2.1389677043987478</v>
      </c>
      <c r="M205">
        <f t="shared" ca="1" si="95"/>
        <v>11.122632062873489</v>
      </c>
      <c r="N205">
        <f t="shared" ca="1" si="96"/>
        <v>1.1735290000551568</v>
      </c>
      <c r="O205">
        <f t="shared" ca="1" si="97"/>
        <v>4.5807502857230418</v>
      </c>
      <c r="P205">
        <f t="shared" ca="1" si="98"/>
        <v>634.62946770439873</v>
      </c>
      <c r="Q205">
        <f t="shared" ca="1" si="99"/>
        <v>635.6989515565981</v>
      </c>
      <c r="R205">
        <f t="shared" ca="1" si="100"/>
        <v>3.8141460404132466E-3</v>
      </c>
      <c r="S205">
        <f t="shared" ca="1" si="101"/>
        <v>1.0000000000000004</v>
      </c>
      <c r="T205">
        <f t="shared" ca="1" si="102"/>
        <v>35.686426155594638</v>
      </c>
      <c r="U205">
        <f t="shared" ca="1" si="123"/>
        <v>-3.4157470064428708E-3</v>
      </c>
      <c r="V205">
        <f t="shared" ca="1" si="124"/>
        <v>1</v>
      </c>
      <c r="W205">
        <f t="shared" ca="1" si="103"/>
        <v>2.1381886436890443</v>
      </c>
      <c r="X205">
        <f t="shared" ca="1" si="104"/>
        <v>11.11858094718303</v>
      </c>
      <c r="Y205">
        <f t="shared" ca="1" si="105"/>
        <v>1.1732944573652897</v>
      </c>
      <c r="Z205">
        <f t="shared" ca="1" si="106"/>
        <v>4.5824193071066803</v>
      </c>
      <c r="AA205">
        <f t="shared" ca="1" si="107"/>
        <v>634.62868864368909</v>
      </c>
      <c r="AB205">
        <f t="shared" ca="1" si="108"/>
        <v>635.69895198243239</v>
      </c>
      <c r="AC205">
        <f t="shared" ca="1" si="109"/>
        <v>3.8179433334236904E-3</v>
      </c>
      <c r="AD205">
        <f t="shared" ca="1" si="110"/>
        <v>1.0005465829720761</v>
      </c>
      <c r="AE205">
        <f t="shared" ca="1" si="111"/>
        <v>35.686430890842168</v>
      </c>
      <c r="AF205">
        <f t="shared" ca="1" si="112"/>
        <v>3.4234362939287166E-3</v>
      </c>
      <c r="AG205">
        <f t="shared" ca="1" si="113"/>
        <v>0</v>
      </c>
      <c r="AH205">
        <f ca="1">IFERROR(IF(V32="Supercritical",MAX($D$16,IFERROR(L205,MAX($D$16,POWER((ABS(K205)^2)/($I$5*MAX(F205,0.1)^2),1/3)))),IF(V32="Subcritical",MAX($D$16,IFERROR(W205,MAX($D$16,POWER((ABS(K205)^2)/($I$5*MAX(F205,0.1)^2),1/3)))),IF(AND(IFERROR(V205,0)=1,IFERROR(AG205,0)=1),IF(IFERROR(T205,-1E+99)&gt;=IFERROR(AE205,-1E+99),MAX($D$16,IFERROR(L205,MAX($D$16,POWER((ABS(K205)^2)/($I$5*MAX(F205,0.1)^2),1/3)))),MAX($D$16,IFERROR(W205,MAX($D$16,POWER((ABS(K205)^2)/($I$5*MAX(F205,0.1)^2),1/3))))),IF(IFERROR(V205,0)=1,MAX($D$16,IFERROR(L205,MAX($D$16,POWER((ABS(K205)^2)/($I$5*MAX(F205,0.1)^2),1/3)))),IF(IFERROR(AG205,0)=1,MAX($D$16,IFERROR(W205,MAX($D$16,POWER((ABS(K205)^2)/($I$5*MAX(F205,0.1)^2),1/3)))),MAX($D$16,POWER((ABS(K205)^2)/($I$5*MAX(F205,0.1)^2),1/3))))))),MAX($D$16,POWER((ABS(K205)^2)/($I$5*MAX(F205,0.1)^2),1/3)))</f>
        <v>2.1389677043987478</v>
      </c>
      <c r="AI205">
        <f t="shared" ca="1" si="114"/>
        <v>634.62946770439873</v>
      </c>
      <c r="AJ205">
        <f t="shared" ca="1" si="115"/>
        <v>635.6989515565981</v>
      </c>
      <c r="AM205">
        <v>0</v>
      </c>
      <c r="AN205">
        <v>0</v>
      </c>
      <c r="AO205">
        <f t="shared" si="116"/>
        <v>0</v>
      </c>
      <c r="AP205">
        <f t="shared" si="125"/>
        <v>0</v>
      </c>
      <c r="AQ205">
        <f t="shared" ca="1" si="117"/>
        <v>1.0000000000000004</v>
      </c>
      <c r="AR205" t="str">
        <f t="shared" ca="1" si="118"/>
        <v>Supercritical</v>
      </c>
      <c r="AS205">
        <f t="shared" ca="1" si="119"/>
        <v>3.8141460404132466E-3</v>
      </c>
    </row>
    <row r="206" spans="1:45" x14ac:dyDescent="0.35">
      <c r="A206">
        <v>145</v>
      </c>
      <c r="B206">
        <v>143.99700000000001</v>
      </c>
      <c r="C206">
        <v>616440.71200000006</v>
      </c>
      <c r="D206">
        <v>3097693.9109999998</v>
      </c>
      <c r="E206">
        <v>632.49</v>
      </c>
      <c r="F206">
        <v>5.2</v>
      </c>
      <c r="G206">
        <v>0</v>
      </c>
      <c r="H206" t="s">
        <v>154</v>
      </c>
      <c r="I206">
        <v>5.7000000000000002E-2</v>
      </c>
      <c r="J206">
        <f t="shared" si="120"/>
        <v>1.0010000000000048</v>
      </c>
      <c r="K206">
        <f t="shared" ca="1" si="121"/>
        <v>50.95</v>
      </c>
      <c r="L206">
        <f t="shared" ca="1" si="122"/>
        <v>2.1389677043987478</v>
      </c>
      <c r="M206">
        <f t="shared" ca="1" si="95"/>
        <v>11.122632062873489</v>
      </c>
      <c r="N206">
        <f t="shared" ca="1" si="96"/>
        <v>1.1735290000551568</v>
      </c>
      <c r="O206">
        <f t="shared" ca="1" si="97"/>
        <v>4.5807502857230418</v>
      </c>
      <c r="P206">
        <f t="shared" ca="1" si="98"/>
        <v>634.62896770439875</v>
      </c>
      <c r="Q206">
        <f t="shared" ca="1" si="99"/>
        <v>635.69845155659812</v>
      </c>
      <c r="R206">
        <f t="shared" ca="1" si="100"/>
        <v>3.8141460404132466E-3</v>
      </c>
      <c r="S206">
        <f t="shared" ca="1" si="101"/>
        <v>1.0000000000000004</v>
      </c>
      <c r="T206">
        <f t="shared" ca="1" si="102"/>
        <v>35.686426155594638</v>
      </c>
      <c r="U206">
        <f t="shared" ca="1" si="123"/>
        <v>-3.4195611524410197E-3</v>
      </c>
      <c r="V206">
        <f t="shared" ca="1" si="124"/>
        <v>1</v>
      </c>
      <c r="W206">
        <f t="shared" ca="1" si="103"/>
        <v>2.1373203735079915</v>
      </c>
      <c r="X206">
        <f t="shared" ca="1" si="104"/>
        <v>11.114065942241556</v>
      </c>
      <c r="Y206">
        <f t="shared" ca="1" si="105"/>
        <v>1.1730329665261352</v>
      </c>
      <c r="Z206">
        <f t="shared" ca="1" si="106"/>
        <v>4.5842808801730106</v>
      </c>
      <c r="AA206">
        <f t="shared" ca="1" si="107"/>
        <v>634.62732037350804</v>
      </c>
      <c r="AB206">
        <f t="shared" ca="1" si="108"/>
        <v>635.69845346159775</v>
      </c>
      <c r="AC206">
        <f t="shared" ca="1" si="109"/>
        <v>3.8221817362197445E-3</v>
      </c>
      <c r="AD206">
        <f t="shared" ca="1" si="110"/>
        <v>1.0011563415729299</v>
      </c>
      <c r="AE206">
        <f t="shared" ca="1" si="111"/>
        <v>35.686447333323514</v>
      </c>
      <c r="AF206">
        <f t="shared" ca="1" si="112"/>
        <v>3.4239393796724471E-3</v>
      </c>
      <c r="AG206">
        <f t="shared" ca="1" si="113"/>
        <v>0</v>
      </c>
      <c r="AH206">
        <f ca="1">IFERROR(IF(V32="Supercritical",MAX($D$16,IFERROR(L206,MAX($D$16,POWER((ABS(K206)^2)/($I$5*MAX(F206,0.1)^2),1/3)))),IF(V32="Subcritical",MAX($D$16,IFERROR(W206,MAX($D$16,POWER((ABS(K206)^2)/($I$5*MAX(F206,0.1)^2),1/3)))),IF(AND(IFERROR(V206,0)=1,IFERROR(AG206,0)=1),IF(IFERROR(T206,-1E+99)&gt;=IFERROR(AE206,-1E+99),MAX($D$16,IFERROR(L206,MAX($D$16,POWER((ABS(K206)^2)/($I$5*MAX(F206,0.1)^2),1/3)))),MAX($D$16,IFERROR(W206,MAX($D$16,POWER((ABS(K206)^2)/($I$5*MAX(F206,0.1)^2),1/3))))),IF(IFERROR(V206,0)=1,MAX($D$16,IFERROR(L206,MAX($D$16,POWER((ABS(K206)^2)/($I$5*MAX(F206,0.1)^2),1/3)))),IF(IFERROR(AG206,0)=1,MAX($D$16,IFERROR(W206,MAX($D$16,POWER((ABS(K206)^2)/($I$5*MAX(F206,0.1)^2),1/3)))),MAX($D$16,POWER((ABS(K206)^2)/($I$5*MAX(F206,0.1)^2),1/3))))))),MAX($D$16,POWER((ABS(K206)^2)/($I$5*MAX(F206,0.1)^2),1/3)))</f>
        <v>2.1389677043987478</v>
      </c>
      <c r="AI206">
        <f t="shared" ca="1" si="114"/>
        <v>634.62896770439875</v>
      </c>
      <c r="AJ206">
        <f t="shared" ca="1" si="115"/>
        <v>635.69845155659812</v>
      </c>
      <c r="AM206">
        <v>0</v>
      </c>
      <c r="AN206">
        <v>0</v>
      </c>
      <c r="AO206">
        <f t="shared" si="116"/>
        <v>0</v>
      </c>
      <c r="AP206">
        <f t="shared" si="125"/>
        <v>0</v>
      </c>
      <c r="AQ206">
        <f t="shared" ca="1" si="117"/>
        <v>1.0000000000000004</v>
      </c>
      <c r="AR206" t="str">
        <f t="shared" ca="1" si="118"/>
        <v>Supercritical</v>
      </c>
      <c r="AS206">
        <f t="shared" ca="1" si="119"/>
        <v>3.8141460404132466E-3</v>
      </c>
    </row>
    <row r="207" spans="1:45" x14ac:dyDescent="0.35">
      <c r="A207">
        <v>146</v>
      </c>
      <c r="B207">
        <v>144.99700000000001</v>
      </c>
      <c r="C207">
        <v>616439.71299999999</v>
      </c>
      <c r="D207">
        <v>3097693.8640000001</v>
      </c>
      <c r="E207">
        <v>632.48950000000002</v>
      </c>
      <c r="F207">
        <v>5.2</v>
      </c>
      <c r="G207">
        <v>0</v>
      </c>
      <c r="H207" t="s">
        <v>154</v>
      </c>
      <c r="I207">
        <v>5.7000000000000002E-2</v>
      </c>
      <c r="J207">
        <f t="shared" si="120"/>
        <v>1</v>
      </c>
      <c r="K207">
        <f t="shared" ca="1" si="121"/>
        <v>50.95</v>
      </c>
      <c r="L207">
        <f t="shared" ca="1" si="122"/>
        <v>2.1389677043987478</v>
      </c>
      <c r="M207">
        <f t="shared" ca="1" si="95"/>
        <v>11.122632062873489</v>
      </c>
      <c r="N207">
        <f t="shared" ca="1" si="96"/>
        <v>1.1735290000551568</v>
      </c>
      <c r="O207">
        <f t="shared" ca="1" si="97"/>
        <v>4.5807502857230418</v>
      </c>
      <c r="P207">
        <f t="shared" ca="1" si="98"/>
        <v>634.62846770439876</v>
      </c>
      <c r="Q207">
        <f t="shared" ca="1" si="99"/>
        <v>635.69795155659813</v>
      </c>
      <c r="R207">
        <f t="shared" ca="1" si="100"/>
        <v>3.8141460404132466E-3</v>
      </c>
      <c r="S207">
        <f t="shared" ca="1" si="101"/>
        <v>1.0000000000000004</v>
      </c>
      <c r="T207">
        <f t="shared" ca="1" si="102"/>
        <v>35.686426155594638</v>
      </c>
      <c r="U207">
        <f t="shared" ca="1" si="123"/>
        <v>-3.4157470064428708E-3</v>
      </c>
      <c r="V207">
        <f t="shared" ca="1" si="124"/>
        <v>1</v>
      </c>
      <c r="W207">
        <f t="shared" ca="1" si="103"/>
        <v>2.1381886436890443</v>
      </c>
      <c r="X207">
        <f t="shared" ca="1" si="104"/>
        <v>11.11858094718303</v>
      </c>
      <c r="Y207">
        <f t="shared" ca="1" si="105"/>
        <v>1.1732944573652897</v>
      </c>
      <c r="Z207">
        <f t="shared" ca="1" si="106"/>
        <v>4.5824193071066803</v>
      </c>
      <c r="AA207">
        <f t="shared" ca="1" si="107"/>
        <v>634.62768864368911</v>
      </c>
      <c r="AB207">
        <f t="shared" ca="1" si="108"/>
        <v>635.69795198243241</v>
      </c>
      <c r="AC207">
        <f t="shared" ca="1" si="109"/>
        <v>3.8179433334236904E-3</v>
      </c>
      <c r="AD207">
        <f t="shared" ca="1" si="110"/>
        <v>1.0005465829720761</v>
      </c>
      <c r="AE207">
        <f t="shared" ca="1" si="111"/>
        <v>35.686430890842168</v>
      </c>
      <c r="AF207">
        <f t="shared" ca="1" si="112"/>
        <v>3.3179433333998531E-3</v>
      </c>
      <c r="AG207">
        <f t="shared" ca="1" si="113"/>
        <v>0</v>
      </c>
      <c r="AH207">
        <f ca="1">IFERROR(IF(V32="Supercritical",MAX($D$16,IFERROR(L207,MAX($D$16,POWER((ABS(K207)^2)/($I$5*MAX(F207,0.1)^2),1/3)))),IF(V32="Subcritical",MAX($D$16,IFERROR(W207,MAX($D$16,POWER((ABS(K207)^2)/($I$5*MAX(F207,0.1)^2),1/3)))),IF(AND(IFERROR(V207,0)=1,IFERROR(AG207,0)=1),IF(IFERROR(T207,-1E+99)&gt;=IFERROR(AE207,-1E+99),MAX($D$16,IFERROR(L207,MAX($D$16,POWER((ABS(K207)^2)/($I$5*MAX(F207,0.1)^2),1/3)))),MAX($D$16,IFERROR(W207,MAX($D$16,POWER((ABS(K207)^2)/($I$5*MAX(F207,0.1)^2),1/3))))),IF(IFERROR(V207,0)=1,MAX($D$16,IFERROR(L207,MAX($D$16,POWER((ABS(K207)^2)/($I$5*MAX(F207,0.1)^2),1/3)))),IF(IFERROR(AG207,0)=1,MAX($D$16,IFERROR(W207,MAX($D$16,POWER((ABS(K207)^2)/($I$5*MAX(F207,0.1)^2),1/3)))),MAX($D$16,POWER((ABS(K207)^2)/($I$5*MAX(F207,0.1)^2),1/3))))))),MAX($D$16,POWER((ABS(K207)^2)/($I$5*MAX(F207,0.1)^2),1/3)))</f>
        <v>2.1389677043987478</v>
      </c>
      <c r="AI207">
        <f t="shared" ca="1" si="114"/>
        <v>634.62846770439876</v>
      </c>
      <c r="AJ207">
        <f t="shared" ca="1" si="115"/>
        <v>635.69795155659813</v>
      </c>
      <c r="AM207">
        <v>0</v>
      </c>
      <c r="AN207">
        <v>0</v>
      </c>
      <c r="AO207">
        <f t="shared" si="116"/>
        <v>0</v>
      </c>
      <c r="AP207">
        <f t="shared" si="125"/>
        <v>0</v>
      </c>
      <c r="AQ207">
        <f t="shared" ca="1" si="117"/>
        <v>1.0000000000000004</v>
      </c>
      <c r="AR207" t="str">
        <f t="shared" ca="1" si="118"/>
        <v>Supercritical</v>
      </c>
      <c r="AS207">
        <f t="shared" ca="1" si="119"/>
        <v>3.8141460404132466E-3</v>
      </c>
    </row>
    <row r="208" spans="1:45" x14ac:dyDescent="0.35">
      <c r="A208">
        <v>147</v>
      </c>
      <c r="B208">
        <v>145.99700000000001</v>
      </c>
      <c r="C208">
        <v>616438.71400000004</v>
      </c>
      <c r="D208">
        <v>3097693.8160000001</v>
      </c>
      <c r="E208">
        <v>632.48900000000003</v>
      </c>
      <c r="F208">
        <v>5.2</v>
      </c>
      <c r="G208">
        <v>0</v>
      </c>
      <c r="H208" t="s">
        <v>154</v>
      </c>
      <c r="I208">
        <v>0</v>
      </c>
      <c r="J208">
        <f t="shared" si="120"/>
        <v>1</v>
      </c>
      <c r="K208">
        <f t="shared" ca="1" si="121"/>
        <v>50.95</v>
      </c>
      <c r="L208">
        <f t="shared" ca="1" si="122"/>
        <v>2.1389677043987478</v>
      </c>
      <c r="M208">
        <f t="shared" ca="1" si="95"/>
        <v>11.122632062873489</v>
      </c>
      <c r="N208">
        <f t="shared" ca="1" si="96"/>
        <v>1.1735290000551568</v>
      </c>
      <c r="O208">
        <f t="shared" ca="1" si="97"/>
        <v>4.5807502857230418</v>
      </c>
      <c r="P208">
        <f t="shared" ca="1" si="98"/>
        <v>634.62796770439877</v>
      </c>
      <c r="Q208">
        <f t="shared" ca="1" si="99"/>
        <v>635.69745155659814</v>
      </c>
      <c r="R208">
        <f t="shared" ca="1" si="100"/>
        <v>3.8141460404132466E-3</v>
      </c>
      <c r="S208">
        <f t="shared" ca="1" si="101"/>
        <v>1.0000000000000004</v>
      </c>
      <c r="T208">
        <f t="shared" ca="1" si="102"/>
        <v>35.686426155594638</v>
      </c>
      <c r="U208">
        <f t="shared" ca="1" si="123"/>
        <v>-3.3141460404522149E-3</v>
      </c>
      <c r="V208">
        <f t="shared" ca="1" si="124"/>
        <v>1</v>
      </c>
      <c r="W208">
        <f t="shared" ca="1" si="103"/>
        <v>2.1373203735079915</v>
      </c>
      <c r="X208">
        <f t="shared" ca="1" si="104"/>
        <v>11.114065942241556</v>
      </c>
      <c r="Y208">
        <f t="shared" ca="1" si="105"/>
        <v>1.1730329665261352</v>
      </c>
      <c r="Z208">
        <f t="shared" ca="1" si="106"/>
        <v>4.5842808801730106</v>
      </c>
      <c r="AA208">
        <f t="shared" ca="1" si="107"/>
        <v>634.62632037350807</v>
      </c>
      <c r="AB208">
        <f t="shared" ca="1" si="108"/>
        <v>635.69745346159777</v>
      </c>
      <c r="AC208">
        <f t="shared" ca="1" si="109"/>
        <v>3.8221817362197445E-3</v>
      </c>
      <c r="AD208">
        <f t="shared" ca="1" si="110"/>
        <v>1.0011563415729299</v>
      </c>
      <c r="AE208">
        <f t="shared" ca="1" si="111"/>
        <v>35.686447333323514</v>
      </c>
      <c r="AF208">
        <f t="shared" ca="1" si="112"/>
        <v>3.4239393796724471E-3</v>
      </c>
      <c r="AG208">
        <f t="shared" ca="1" si="113"/>
        <v>0</v>
      </c>
      <c r="AH208">
        <f ca="1">IFERROR(IF(V32="Supercritical",MAX($D$16,IFERROR(L208,MAX($D$16,POWER((ABS(K208)^2)/($I$5*MAX(F208,0.1)^2),1/3)))),IF(V32="Subcritical",MAX($D$16,IFERROR(W208,MAX($D$16,POWER((ABS(K208)^2)/($I$5*MAX(F208,0.1)^2),1/3)))),IF(AND(IFERROR(V208,0)=1,IFERROR(AG208,0)=1),IF(IFERROR(T208,-1E+99)&gt;=IFERROR(AE208,-1E+99),MAX($D$16,IFERROR(L208,MAX($D$16,POWER((ABS(K208)^2)/($I$5*MAX(F208,0.1)^2),1/3)))),MAX($D$16,IFERROR(W208,MAX($D$16,POWER((ABS(K208)^2)/($I$5*MAX(F208,0.1)^2),1/3))))),IF(IFERROR(V208,0)=1,MAX($D$16,IFERROR(L208,MAX($D$16,POWER((ABS(K208)^2)/($I$5*MAX(F208,0.1)^2),1/3)))),IF(IFERROR(AG208,0)=1,MAX($D$16,IFERROR(W208,MAX($D$16,POWER((ABS(K208)^2)/($I$5*MAX(F208,0.1)^2),1/3)))),MAX($D$16,POWER((ABS(K208)^2)/($I$5*MAX(F208,0.1)^2),1/3))))))),MAX($D$16,POWER((ABS(K208)^2)/($I$5*MAX(F208,0.1)^2),1/3)))</f>
        <v>2.1389677043987478</v>
      </c>
      <c r="AI208">
        <f t="shared" ca="1" si="114"/>
        <v>634.62796770439877</v>
      </c>
      <c r="AJ208">
        <f t="shared" ca="1" si="115"/>
        <v>635.69745155659814</v>
      </c>
      <c r="AM208">
        <v>0</v>
      </c>
      <c r="AN208">
        <v>0</v>
      </c>
      <c r="AO208">
        <f t="shared" si="116"/>
        <v>0</v>
      </c>
      <c r="AP208">
        <f t="shared" si="125"/>
        <v>0</v>
      </c>
      <c r="AQ208">
        <f t="shared" ca="1" si="117"/>
        <v>1.0000000000000004</v>
      </c>
      <c r="AR208" t="str">
        <f t="shared" ca="1" si="118"/>
        <v>Supercritical</v>
      </c>
      <c r="AS208">
        <f t="shared" ca="1" si="119"/>
        <v>3.8141460404132466E-3</v>
      </c>
    </row>
    <row r="209" spans="1:45" x14ac:dyDescent="0.35">
      <c r="A209">
        <v>148</v>
      </c>
      <c r="B209">
        <v>146.99700000000001</v>
      </c>
      <c r="C209">
        <v>616437.71499999997</v>
      </c>
      <c r="D209">
        <v>3097693.7680000002</v>
      </c>
      <c r="E209">
        <v>632.48850000000004</v>
      </c>
      <c r="F209">
        <v>5.2</v>
      </c>
      <c r="G209">
        <v>0</v>
      </c>
      <c r="H209" t="s">
        <v>154</v>
      </c>
      <c r="I209">
        <v>5.7000000000000002E-2</v>
      </c>
      <c r="J209">
        <f t="shared" si="120"/>
        <v>1</v>
      </c>
      <c r="K209">
        <f t="shared" ca="1" si="121"/>
        <v>50.95</v>
      </c>
      <c r="L209">
        <f t="shared" ca="1" si="122"/>
        <v>2.1389677043987478</v>
      </c>
      <c r="M209">
        <f t="shared" ca="1" si="95"/>
        <v>11.122632062873489</v>
      </c>
      <c r="N209">
        <f t="shared" ca="1" si="96"/>
        <v>1.1735290000551568</v>
      </c>
      <c r="O209">
        <f t="shared" ca="1" si="97"/>
        <v>4.5807502857230418</v>
      </c>
      <c r="P209">
        <f t="shared" ca="1" si="98"/>
        <v>634.62746770439878</v>
      </c>
      <c r="Q209">
        <f t="shared" ca="1" si="99"/>
        <v>635.69695155659815</v>
      </c>
      <c r="R209">
        <f t="shared" ca="1" si="100"/>
        <v>3.8141460404132466E-3</v>
      </c>
      <c r="S209">
        <f t="shared" ca="1" si="101"/>
        <v>1.0000000000000004</v>
      </c>
      <c r="T209">
        <f t="shared" ca="1" si="102"/>
        <v>35.686426155594638</v>
      </c>
      <c r="U209">
        <f t="shared" ca="1" si="123"/>
        <v>-3.4157470064428708E-3</v>
      </c>
      <c r="V209">
        <f t="shared" ca="1" si="124"/>
        <v>1</v>
      </c>
      <c r="W209">
        <f t="shared" ca="1" si="103"/>
        <v>2.1381886436890443</v>
      </c>
      <c r="X209">
        <f t="shared" ca="1" si="104"/>
        <v>11.11858094718303</v>
      </c>
      <c r="Y209">
        <f t="shared" ca="1" si="105"/>
        <v>1.1732944573652897</v>
      </c>
      <c r="Z209">
        <f t="shared" ca="1" si="106"/>
        <v>4.5824193071066803</v>
      </c>
      <c r="AA209">
        <f t="shared" ca="1" si="107"/>
        <v>634.62668864368914</v>
      </c>
      <c r="AB209">
        <f t="shared" ca="1" si="108"/>
        <v>635.69695198243244</v>
      </c>
      <c r="AC209">
        <f t="shared" ca="1" si="109"/>
        <v>3.8179433334236904E-3</v>
      </c>
      <c r="AD209">
        <f t="shared" ca="1" si="110"/>
        <v>1.0005465829720761</v>
      </c>
      <c r="AE209">
        <f t="shared" ca="1" si="111"/>
        <v>35.686430890842168</v>
      </c>
      <c r="AF209">
        <f t="shared" ca="1" si="112"/>
        <v>3.4196183505628142E-3</v>
      </c>
      <c r="AG209">
        <f t="shared" ca="1" si="113"/>
        <v>0</v>
      </c>
      <c r="AH209">
        <f ca="1">IFERROR(IF(V32="Supercritical",MAX($D$16,IFERROR(L209,MAX($D$16,POWER((ABS(K209)^2)/($I$5*MAX(F209,0.1)^2),1/3)))),IF(V32="Subcritical",MAX($D$16,IFERROR(W209,MAX($D$16,POWER((ABS(K209)^2)/($I$5*MAX(F209,0.1)^2),1/3)))),IF(AND(IFERROR(V209,0)=1,IFERROR(AG209,0)=1),IF(IFERROR(T209,-1E+99)&gt;=IFERROR(AE209,-1E+99),MAX($D$16,IFERROR(L209,MAX($D$16,POWER((ABS(K209)^2)/($I$5*MAX(F209,0.1)^2),1/3)))),MAX($D$16,IFERROR(W209,MAX($D$16,POWER((ABS(K209)^2)/($I$5*MAX(F209,0.1)^2),1/3))))),IF(IFERROR(V209,0)=1,MAX($D$16,IFERROR(L209,MAX($D$16,POWER((ABS(K209)^2)/($I$5*MAX(F209,0.1)^2),1/3)))),IF(IFERROR(AG209,0)=1,MAX($D$16,IFERROR(W209,MAX($D$16,POWER((ABS(K209)^2)/($I$5*MAX(F209,0.1)^2),1/3)))),MAX($D$16,POWER((ABS(K209)^2)/($I$5*MAX(F209,0.1)^2),1/3))))))),MAX($D$16,POWER((ABS(K209)^2)/($I$5*MAX(F209,0.1)^2),1/3)))</f>
        <v>2.1389677043987478</v>
      </c>
      <c r="AI209">
        <f t="shared" ca="1" si="114"/>
        <v>634.62746770439878</v>
      </c>
      <c r="AJ209">
        <f t="shared" ca="1" si="115"/>
        <v>635.69695155659815</v>
      </c>
      <c r="AM209">
        <v>0</v>
      </c>
      <c r="AN209">
        <v>0</v>
      </c>
      <c r="AO209">
        <f t="shared" si="116"/>
        <v>0</v>
      </c>
      <c r="AP209">
        <f t="shared" si="125"/>
        <v>0</v>
      </c>
      <c r="AQ209">
        <f t="shared" ca="1" si="117"/>
        <v>1.0000000000000004</v>
      </c>
      <c r="AR209" t="str">
        <f t="shared" ca="1" si="118"/>
        <v>Supercritical</v>
      </c>
      <c r="AS209">
        <f t="shared" ca="1" si="119"/>
        <v>3.8141460404132466E-3</v>
      </c>
    </row>
    <row r="210" spans="1:45" x14ac:dyDescent="0.35">
      <c r="A210">
        <v>149</v>
      </c>
      <c r="B210">
        <v>147.99700000000001</v>
      </c>
      <c r="C210">
        <v>616436.71600000001</v>
      </c>
      <c r="D210">
        <v>3097693.7209999999</v>
      </c>
      <c r="E210">
        <v>632.48800000000006</v>
      </c>
      <c r="F210">
        <v>5.2</v>
      </c>
      <c r="G210">
        <v>0</v>
      </c>
      <c r="H210" t="s">
        <v>154</v>
      </c>
      <c r="I210">
        <v>5.7000000000000002E-2</v>
      </c>
      <c r="J210">
        <f t="shared" si="120"/>
        <v>1</v>
      </c>
      <c r="K210">
        <f t="shared" ca="1" si="121"/>
        <v>50.95</v>
      </c>
      <c r="L210">
        <f t="shared" ca="1" si="122"/>
        <v>2.1389677043987478</v>
      </c>
      <c r="M210">
        <f t="shared" ca="1" si="95"/>
        <v>11.122632062873489</v>
      </c>
      <c r="N210">
        <f t="shared" ca="1" si="96"/>
        <v>1.1735290000551568</v>
      </c>
      <c r="O210">
        <f t="shared" ca="1" si="97"/>
        <v>4.5807502857230418</v>
      </c>
      <c r="P210">
        <f t="shared" ca="1" si="98"/>
        <v>634.62696770439879</v>
      </c>
      <c r="Q210">
        <f t="shared" ca="1" si="99"/>
        <v>635.69645155659816</v>
      </c>
      <c r="R210">
        <f t="shared" ca="1" si="100"/>
        <v>3.8141460404132466E-3</v>
      </c>
      <c r="S210">
        <f t="shared" ca="1" si="101"/>
        <v>1.0000000000000004</v>
      </c>
      <c r="T210">
        <f t="shared" ca="1" si="102"/>
        <v>35.686426155594638</v>
      </c>
      <c r="U210">
        <f t="shared" ca="1" si="123"/>
        <v>-3.4157470064428708E-3</v>
      </c>
      <c r="V210">
        <f t="shared" ca="1" si="124"/>
        <v>1</v>
      </c>
      <c r="W210">
        <f t="shared" ca="1" si="103"/>
        <v>2.1373203735079915</v>
      </c>
      <c r="X210">
        <f t="shared" ca="1" si="104"/>
        <v>11.114065942241556</v>
      </c>
      <c r="Y210">
        <f t="shared" ca="1" si="105"/>
        <v>1.1730329665261352</v>
      </c>
      <c r="Z210">
        <f t="shared" ca="1" si="106"/>
        <v>4.5842808801730106</v>
      </c>
      <c r="AA210">
        <f t="shared" ca="1" si="107"/>
        <v>634.62532037350809</v>
      </c>
      <c r="AB210">
        <f t="shared" ca="1" si="108"/>
        <v>635.6964534615978</v>
      </c>
      <c r="AC210">
        <f t="shared" ca="1" si="109"/>
        <v>3.8221817362197445E-3</v>
      </c>
      <c r="AD210">
        <f t="shared" ca="1" si="110"/>
        <v>1.0011563415729299</v>
      </c>
      <c r="AE210">
        <f t="shared" ca="1" si="111"/>
        <v>35.686447333323514</v>
      </c>
      <c r="AF210">
        <f t="shared" ca="1" si="112"/>
        <v>3.4203689359628697E-3</v>
      </c>
      <c r="AG210">
        <f t="shared" ca="1" si="113"/>
        <v>0</v>
      </c>
      <c r="AH210">
        <f ca="1">IFERROR(IF(V32="Supercritical",MAX($D$16,IFERROR(L210,MAX($D$16,POWER((ABS(K210)^2)/($I$5*MAX(F210,0.1)^2),1/3)))),IF(V32="Subcritical",MAX($D$16,IFERROR(W210,MAX($D$16,POWER((ABS(K210)^2)/($I$5*MAX(F210,0.1)^2),1/3)))),IF(AND(IFERROR(V210,0)=1,IFERROR(AG210,0)=1),IF(IFERROR(T210,-1E+99)&gt;=IFERROR(AE210,-1E+99),MAX($D$16,IFERROR(L210,MAX($D$16,POWER((ABS(K210)^2)/($I$5*MAX(F210,0.1)^2),1/3)))),MAX($D$16,IFERROR(W210,MAX($D$16,POWER((ABS(K210)^2)/($I$5*MAX(F210,0.1)^2),1/3))))),IF(IFERROR(V210,0)=1,MAX($D$16,IFERROR(L210,MAX($D$16,POWER((ABS(K210)^2)/($I$5*MAX(F210,0.1)^2),1/3)))),IF(IFERROR(AG210,0)=1,MAX($D$16,IFERROR(W210,MAX($D$16,POWER((ABS(K210)^2)/($I$5*MAX(F210,0.1)^2),1/3)))),MAX($D$16,POWER((ABS(K210)^2)/($I$5*MAX(F210,0.1)^2),1/3))))))),MAX($D$16,POWER((ABS(K210)^2)/($I$5*MAX(F210,0.1)^2),1/3)))</f>
        <v>2.1389677043987478</v>
      </c>
      <c r="AI210">
        <f t="shared" ca="1" si="114"/>
        <v>634.62696770439879</v>
      </c>
      <c r="AJ210">
        <f t="shared" ca="1" si="115"/>
        <v>635.69645155659816</v>
      </c>
      <c r="AM210">
        <v>0</v>
      </c>
      <c r="AN210">
        <v>0</v>
      </c>
      <c r="AO210">
        <f t="shared" si="116"/>
        <v>0</v>
      </c>
      <c r="AP210">
        <f t="shared" si="125"/>
        <v>0</v>
      </c>
      <c r="AQ210">
        <f t="shared" ca="1" si="117"/>
        <v>1.0000000000000004</v>
      </c>
      <c r="AR210" t="str">
        <f t="shared" ca="1" si="118"/>
        <v>Supercritical</v>
      </c>
      <c r="AS210">
        <f t="shared" ca="1" si="119"/>
        <v>3.8141460404132466E-3</v>
      </c>
    </row>
    <row r="211" spans="1:45" x14ac:dyDescent="0.35">
      <c r="A211">
        <v>150</v>
      </c>
      <c r="B211">
        <v>148.99700000000001</v>
      </c>
      <c r="C211">
        <v>616435.71699999995</v>
      </c>
      <c r="D211">
        <v>3097693.673</v>
      </c>
      <c r="E211">
        <v>632.48749999999995</v>
      </c>
      <c r="F211">
        <v>5.2</v>
      </c>
      <c r="G211">
        <v>0</v>
      </c>
      <c r="H211" t="s">
        <v>154</v>
      </c>
      <c r="I211">
        <v>5.5E-2</v>
      </c>
      <c r="J211">
        <f t="shared" si="120"/>
        <v>1</v>
      </c>
      <c r="K211">
        <f t="shared" ca="1" si="121"/>
        <v>50.95</v>
      </c>
      <c r="L211">
        <f t="shared" ca="1" si="122"/>
        <v>2.1389677043987478</v>
      </c>
      <c r="M211">
        <f t="shared" ca="1" si="95"/>
        <v>11.122632062873489</v>
      </c>
      <c r="N211">
        <f t="shared" ca="1" si="96"/>
        <v>1.1735290000551568</v>
      </c>
      <c r="O211">
        <f t="shared" ca="1" si="97"/>
        <v>4.5807502857230418</v>
      </c>
      <c r="P211">
        <f t="shared" ca="1" si="98"/>
        <v>634.62646770439869</v>
      </c>
      <c r="Q211">
        <f t="shared" ca="1" si="99"/>
        <v>635.69595155659806</v>
      </c>
      <c r="R211">
        <f t="shared" ca="1" si="100"/>
        <v>3.8141460404132466E-3</v>
      </c>
      <c r="S211">
        <f t="shared" ca="1" si="101"/>
        <v>1.0000000000000004</v>
      </c>
      <c r="T211">
        <f t="shared" ca="1" si="102"/>
        <v>35.686426155594638</v>
      </c>
      <c r="U211">
        <f t="shared" ca="1" si="123"/>
        <v>-3.4121820601740183E-3</v>
      </c>
      <c r="V211">
        <f t="shared" ca="1" si="124"/>
        <v>1</v>
      </c>
      <c r="W211">
        <f t="shared" ca="1" si="103"/>
        <v>2.1381886436890443</v>
      </c>
      <c r="X211">
        <f t="shared" ca="1" si="104"/>
        <v>11.11858094718303</v>
      </c>
      <c r="Y211">
        <f t="shared" ca="1" si="105"/>
        <v>1.1732944573652897</v>
      </c>
      <c r="Z211">
        <f t="shared" ca="1" si="106"/>
        <v>4.5824193071066803</v>
      </c>
      <c r="AA211">
        <f t="shared" ca="1" si="107"/>
        <v>634.62568864368905</v>
      </c>
      <c r="AB211">
        <f t="shared" ca="1" si="108"/>
        <v>635.69595198243235</v>
      </c>
      <c r="AC211">
        <f t="shared" ca="1" si="109"/>
        <v>3.8179433334236904E-3</v>
      </c>
      <c r="AD211">
        <f t="shared" ca="1" si="110"/>
        <v>1.0005465829720761</v>
      </c>
      <c r="AE211">
        <f t="shared" ca="1" si="111"/>
        <v>35.686430890842168</v>
      </c>
      <c r="AF211">
        <f t="shared" ca="1" si="112"/>
        <v>3.4122328628427567E-3</v>
      </c>
      <c r="AG211">
        <f t="shared" ca="1" si="113"/>
        <v>0</v>
      </c>
      <c r="AH211">
        <f ca="1">IFERROR(IF(V32="Supercritical",MAX($D$16,IFERROR(L211,MAX($D$16,POWER((ABS(K211)^2)/($I$5*MAX(F211,0.1)^2),1/3)))),IF(V32="Subcritical",MAX($D$16,IFERROR(W211,MAX($D$16,POWER((ABS(K211)^2)/($I$5*MAX(F211,0.1)^2),1/3)))),IF(AND(IFERROR(V211,0)=1,IFERROR(AG211,0)=1),IF(IFERROR(T211,-1E+99)&gt;=IFERROR(AE211,-1E+99),MAX($D$16,IFERROR(L211,MAX($D$16,POWER((ABS(K211)^2)/($I$5*MAX(F211,0.1)^2),1/3)))),MAX($D$16,IFERROR(W211,MAX($D$16,POWER((ABS(K211)^2)/($I$5*MAX(F211,0.1)^2),1/3))))),IF(IFERROR(V211,0)=1,MAX($D$16,IFERROR(L211,MAX($D$16,POWER((ABS(K211)^2)/($I$5*MAX(F211,0.1)^2),1/3)))),IF(IFERROR(AG211,0)=1,MAX($D$16,IFERROR(W211,MAX($D$16,POWER((ABS(K211)^2)/($I$5*MAX(F211,0.1)^2),1/3)))),MAX($D$16,POWER((ABS(K211)^2)/($I$5*MAX(F211,0.1)^2),1/3))))))),MAX($D$16,POWER((ABS(K211)^2)/($I$5*MAX(F211,0.1)^2),1/3)))</f>
        <v>2.1389677043987478</v>
      </c>
      <c r="AI211">
        <f t="shared" ca="1" si="114"/>
        <v>634.62646770439869</v>
      </c>
      <c r="AJ211">
        <f t="shared" ca="1" si="115"/>
        <v>635.69595155659806</v>
      </c>
      <c r="AM211">
        <v>0</v>
      </c>
      <c r="AN211">
        <v>0</v>
      </c>
      <c r="AO211">
        <f t="shared" si="116"/>
        <v>0</v>
      </c>
      <c r="AP211">
        <f t="shared" si="125"/>
        <v>0</v>
      </c>
      <c r="AQ211">
        <f t="shared" ca="1" si="117"/>
        <v>1.0000000000000004</v>
      </c>
      <c r="AR211" t="str">
        <f t="shared" ca="1" si="118"/>
        <v>Supercritical</v>
      </c>
      <c r="AS211">
        <f t="shared" ca="1" si="119"/>
        <v>3.8141460404132466E-3</v>
      </c>
    </row>
    <row r="212" spans="1:45" x14ac:dyDescent="0.35">
      <c r="A212">
        <v>151</v>
      </c>
      <c r="B212">
        <v>149.99600000000001</v>
      </c>
      <c r="C212">
        <v>616434.71900000004</v>
      </c>
      <c r="D212">
        <v>3097693.6260000002</v>
      </c>
      <c r="E212">
        <v>632.48699999999997</v>
      </c>
      <c r="F212">
        <v>5.2</v>
      </c>
      <c r="G212">
        <v>0</v>
      </c>
      <c r="H212" t="s">
        <v>154</v>
      </c>
      <c r="I212">
        <v>5.5E-2</v>
      </c>
      <c r="J212">
        <f t="shared" si="120"/>
        <v>0.99899999999999523</v>
      </c>
      <c r="K212">
        <f t="shared" ca="1" si="121"/>
        <v>50.95</v>
      </c>
      <c r="L212">
        <f t="shared" ca="1" si="122"/>
        <v>2.1389677043987478</v>
      </c>
      <c r="M212">
        <f t="shared" ca="1" si="95"/>
        <v>11.122632062873489</v>
      </c>
      <c r="N212">
        <f t="shared" ca="1" si="96"/>
        <v>1.1735290000551568</v>
      </c>
      <c r="O212">
        <f t="shared" ca="1" si="97"/>
        <v>4.5807502857230418</v>
      </c>
      <c r="P212">
        <f t="shared" ca="1" si="98"/>
        <v>634.6259677043987</v>
      </c>
      <c r="Q212">
        <f t="shared" ca="1" si="99"/>
        <v>635.69545155659807</v>
      </c>
      <c r="R212">
        <f t="shared" ca="1" si="100"/>
        <v>3.8141460404132466E-3</v>
      </c>
      <c r="S212">
        <f t="shared" ca="1" si="101"/>
        <v>1.0000000000000004</v>
      </c>
      <c r="T212">
        <f t="shared" ca="1" si="102"/>
        <v>35.686426155594638</v>
      </c>
      <c r="U212">
        <f t="shared" ca="1" si="123"/>
        <v>-3.4083679141758694E-3</v>
      </c>
      <c r="V212">
        <f t="shared" ca="1" si="124"/>
        <v>1</v>
      </c>
      <c r="W212">
        <f t="shared" ca="1" si="103"/>
        <v>2.1373203735079915</v>
      </c>
      <c r="X212">
        <f t="shared" ca="1" si="104"/>
        <v>11.114065942241556</v>
      </c>
      <c r="Y212">
        <f t="shared" ca="1" si="105"/>
        <v>1.1730329665261352</v>
      </c>
      <c r="Z212">
        <f t="shared" ca="1" si="106"/>
        <v>4.5842808801730106</v>
      </c>
      <c r="AA212">
        <f t="shared" ca="1" si="107"/>
        <v>634.624320373508</v>
      </c>
      <c r="AB212">
        <f t="shared" ca="1" si="108"/>
        <v>635.69545346159771</v>
      </c>
      <c r="AC212">
        <f t="shared" ca="1" si="109"/>
        <v>3.8221817362197445E-3</v>
      </c>
      <c r="AD212">
        <f t="shared" ca="1" si="110"/>
        <v>1.0011563415729299</v>
      </c>
      <c r="AE212">
        <f t="shared" ca="1" si="111"/>
        <v>35.686447333323514</v>
      </c>
      <c r="AF212">
        <f t="shared" ca="1" si="112"/>
        <v>3.3260039180049716E-3</v>
      </c>
      <c r="AG212">
        <f t="shared" ca="1" si="113"/>
        <v>0</v>
      </c>
      <c r="AH212">
        <f ca="1">IFERROR(IF(V32="Supercritical",MAX($D$16,IFERROR(L212,MAX($D$16,POWER((ABS(K212)^2)/($I$5*MAX(F212,0.1)^2),1/3)))),IF(V32="Subcritical",MAX($D$16,IFERROR(W212,MAX($D$16,POWER((ABS(K212)^2)/($I$5*MAX(F212,0.1)^2),1/3)))),IF(AND(IFERROR(V212,0)=1,IFERROR(AG212,0)=1),IF(IFERROR(T212,-1E+99)&gt;=IFERROR(AE212,-1E+99),MAX($D$16,IFERROR(L212,MAX($D$16,POWER((ABS(K212)^2)/($I$5*MAX(F212,0.1)^2),1/3)))),MAX($D$16,IFERROR(W212,MAX($D$16,POWER((ABS(K212)^2)/($I$5*MAX(F212,0.1)^2),1/3))))),IF(IFERROR(V212,0)=1,MAX($D$16,IFERROR(L212,MAX($D$16,POWER((ABS(K212)^2)/($I$5*MAX(F212,0.1)^2),1/3)))),IF(IFERROR(AG212,0)=1,MAX($D$16,IFERROR(W212,MAX($D$16,POWER((ABS(K212)^2)/($I$5*MAX(F212,0.1)^2),1/3)))),MAX($D$16,POWER((ABS(K212)^2)/($I$5*MAX(F212,0.1)^2),1/3))))))),MAX($D$16,POWER((ABS(K212)^2)/($I$5*MAX(F212,0.1)^2),1/3)))</f>
        <v>2.1389677043987478</v>
      </c>
      <c r="AI212">
        <f t="shared" ca="1" si="114"/>
        <v>634.6259677043987</v>
      </c>
      <c r="AJ212">
        <f t="shared" ca="1" si="115"/>
        <v>635.69545155659807</v>
      </c>
      <c r="AM212">
        <v>0</v>
      </c>
      <c r="AN212">
        <v>0</v>
      </c>
      <c r="AO212">
        <f t="shared" si="116"/>
        <v>0</v>
      </c>
      <c r="AP212">
        <f t="shared" si="125"/>
        <v>0</v>
      </c>
      <c r="AQ212">
        <f t="shared" ca="1" si="117"/>
        <v>1.0000000000000004</v>
      </c>
      <c r="AR212" t="str">
        <f t="shared" ca="1" si="118"/>
        <v>Supercritical</v>
      </c>
      <c r="AS212">
        <f t="shared" ca="1" si="119"/>
        <v>3.8141460404132466E-3</v>
      </c>
    </row>
    <row r="213" spans="1:45" x14ac:dyDescent="0.35">
      <c r="A213">
        <v>152</v>
      </c>
      <c r="B213">
        <v>150.99700000000001</v>
      </c>
      <c r="C213">
        <v>616433.72</v>
      </c>
      <c r="D213">
        <v>3097693.5780000002</v>
      </c>
      <c r="E213">
        <v>632.48649999999998</v>
      </c>
      <c r="F213">
        <v>5.2</v>
      </c>
      <c r="G213">
        <v>0</v>
      </c>
      <c r="H213" t="s">
        <v>154</v>
      </c>
      <c r="I213">
        <v>0</v>
      </c>
      <c r="J213">
        <f t="shared" si="120"/>
        <v>1.0010000000000048</v>
      </c>
      <c r="K213">
        <f t="shared" ca="1" si="121"/>
        <v>50.95</v>
      </c>
      <c r="L213">
        <f t="shared" ca="1" si="122"/>
        <v>2.1389677043987478</v>
      </c>
      <c r="M213">
        <f t="shared" ca="1" si="95"/>
        <v>11.122632062873489</v>
      </c>
      <c r="N213">
        <f t="shared" ca="1" si="96"/>
        <v>1.1735290000551568</v>
      </c>
      <c r="O213">
        <f t="shared" ca="1" si="97"/>
        <v>4.5807502857230418</v>
      </c>
      <c r="P213">
        <f t="shared" ca="1" si="98"/>
        <v>634.62546770439872</v>
      </c>
      <c r="Q213">
        <f t="shared" ca="1" si="99"/>
        <v>635.69495155659808</v>
      </c>
      <c r="R213">
        <f t="shared" ca="1" si="100"/>
        <v>3.8141460404132466E-3</v>
      </c>
      <c r="S213">
        <f t="shared" ca="1" si="101"/>
        <v>1.0000000000000004</v>
      </c>
      <c r="T213">
        <f t="shared" ca="1" si="102"/>
        <v>35.686426155594638</v>
      </c>
      <c r="U213">
        <f t="shared" ca="1" si="123"/>
        <v>-3.3179601864503638E-3</v>
      </c>
      <c r="V213">
        <f t="shared" ca="1" si="124"/>
        <v>1</v>
      </c>
      <c r="W213">
        <f t="shared" ca="1" si="103"/>
        <v>2.1381886436890443</v>
      </c>
      <c r="X213">
        <f t="shared" ca="1" si="104"/>
        <v>11.11858094718303</v>
      </c>
      <c r="Y213">
        <f t="shared" ca="1" si="105"/>
        <v>1.1732944573652897</v>
      </c>
      <c r="Z213">
        <f t="shared" ca="1" si="106"/>
        <v>4.5824193071066803</v>
      </c>
      <c r="AA213">
        <f t="shared" ca="1" si="107"/>
        <v>634.62468864368907</v>
      </c>
      <c r="AB213">
        <f t="shared" ca="1" si="108"/>
        <v>635.69495198243237</v>
      </c>
      <c r="AC213">
        <f t="shared" ca="1" si="109"/>
        <v>3.8179433334236904E-3</v>
      </c>
      <c r="AD213">
        <f t="shared" ca="1" si="110"/>
        <v>1.0005465829720761</v>
      </c>
      <c r="AE213">
        <f t="shared" ca="1" si="111"/>
        <v>35.686430890842168</v>
      </c>
      <c r="AF213">
        <f t="shared" ca="1" si="112"/>
        <v>3.4196183505628142E-3</v>
      </c>
      <c r="AG213">
        <f t="shared" ca="1" si="113"/>
        <v>0</v>
      </c>
      <c r="AH213">
        <f ca="1">IFERROR(IF(V32="Supercritical",MAX($D$16,IFERROR(L213,MAX($D$16,POWER((ABS(K213)^2)/($I$5*MAX(F213,0.1)^2),1/3)))),IF(V32="Subcritical",MAX($D$16,IFERROR(W213,MAX($D$16,POWER((ABS(K213)^2)/($I$5*MAX(F213,0.1)^2),1/3)))),IF(AND(IFERROR(V213,0)=1,IFERROR(AG213,0)=1),IF(IFERROR(T213,-1E+99)&gt;=IFERROR(AE213,-1E+99),MAX($D$16,IFERROR(L213,MAX($D$16,POWER((ABS(K213)^2)/($I$5*MAX(F213,0.1)^2),1/3)))),MAX($D$16,IFERROR(W213,MAX($D$16,POWER((ABS(K213)^2)/($I$5*MAX(F213,0.1)^2),1/3))))),IF(IFERROR(V213,0)=1,MAX($D$16,IFERROR(L213,MAX($D$16,POWER((ABS(K213)^2)/($I$5*MAX(F213,0.1)^2),1/3)))),IF(IFERROR(AG213,0)=1,MAX($D$16,IFERROR(W213,MAX($D$16,POWER((ABS(K213)^2)/($I$5*MAX(F213,0.1)^2),1/3)))),MAX($D$16,POWER((ABS(K213)^2)/($I$5*MAX(F213,0.1)^2),1/3))))))),MAX($D$16,POWER((ABS(K213)^2)/($I$5*MAX(F213,0.1)^2),1/3)))</f>
        <v>2.1389677043987478</v>
      </c>
      <c r="AI213">
        <f t="shared" ca="1" si="114"/>
        <v>634.62546770439872</v>
      </c>
      <c r="AJ213">
        <f t="shared" ca="1" si="115"/>
        <v>635.69495155659808</v>
      </c>
      <c r="AM213">
        <v>0</v>
      </c>
      <c r="AN213">
        <v>0</v>
      </c>
      <c r="AO213">
        <f t="shared" si="116"/>
        <v>0</v>
      </c>
      <c r="AP213">
        <f t="shared" si="125"/>
        <v>0</v>
      </c>
      <c r="AQ213">
        <f t="shared" ca="1" si="117"/>
        <v>1.0000000000000004</v>
      </c>
      <c r="AR213" t="str">
        <f t="shared" ca="1" si="118"/>
        <v>Supercritical</v>
      </c>
      <c r="AS213">
        <f t="shared" ca="1" si="119"/>
        <v>3.8141460404132466E-3</v>
      </c>
    </row>
    <row r="214" spans="1:45" x14ac:dyDescent="0.35">
      <c r="A214">
        <v>153</v>
      </c>
      <c r="B214">
        <v>151.99700000000001</v>
      </c>
      <c r="C214">
        <v>616432.72100000002</v>
      </c>
      <c r="D214">
        <v>3097693.53</v>
      </c>
      <c r="E214">
        <v>632.48599999999999</v>
      </c>
      <c r="F214">
        <v>5.2</v>
      </c>
      <c r="G214">
        <v>0</v>
      </c>
      <c r="H214" t="s">
        <v>154</v>
      </c>
      <c r="I214">
        <v>5.7000000000000002E-2</v>
      </c>
      <c r="J214">
        <f t="shared" si="120"/>
        <v>1</v>
      </c>
      <c r="K214">
        <f t="shared" ca="1" si="121"/>
        <v>50.95</v>
      </c>
      <c r="L214">
        <f t="shared" ca="1" si="122"/>
        <v>2.1389677043987478</v>
      </c>
      <c r="M214">
        <f t="shared" ca="1" si="95"/>
        <v>11.122632062873489</v>
      </c>
      <c r="N214">
        <f t="shared" ca="1" si="96"/>
        <v>1.1735290000551568</v>
      </c>
      <c r="O214">
        <f t="shared" ca="1" si="97"/>
        <v>4.5807502857230418</v>
      </c>
      <c r="P214">
        <f t="shared" ca="1" si="98"/>
        <v>634.62496770439873</v>
      </c>
      <c r="Q214">
        <f t="shared" ca="1" si="99"/>
        <v>635.6944515565981</v>
      </c>
      <c r="R214">
        <f t="shared" ca="1" si="100"/>
        <v>3.8141460404132466E-3</v>
      </c>
      <c r="S214">
        <f t="shared" ca="1" si="101"/>
        <v>1.0000000000000004</v>
      </c>
      <c r="T214">
        <f t="shared" ca="1" si="102"/>
        <v>35.686426155594638</v>
      </c>
      <c r="U214">
        <f t="shared" ca="1" si="123"/>
        <v>-3.4157470064428708E-3</v>
      </c>
      <c r="V214">
        <f t="shared" ca="1" si="124"/>
        <v>1</v>
      </c>
      <c r="W214">
        <f t="shared" ca="1" si="103"/>
        <v>2.1373203735079915</v>
      </c>
      <c r="X214">
        <f t="shared" ca="1" si="104"/>
        <v>11.114065942241556</v>
      </c>
      <c r="Y214">
        <f t="shared" ca="1" si="105"/>
        <v>1.1730329665261352</v>
      </c>
      <c r="Z214">
        <f t="shared" ca="1" si="106"/>
        <v>4.5842808801730106</v>
      </c>
      <c r="AA214">
        <f t="shared" ca="1" si="107"/>
        <v>634.62332037350802</v>
      </c>
      <c r="AB214">
        <f t="shared" ca="1" si="108"/>
        <v>635.69445346159773</v>
      </c>
      <c r="AC214">
        <f t="shared" ca="1" si="109"/>
        <v>3.8221817362197445E-3</v>
      </c>
      <c r="AD214">
        <f t="shared" ca="1" si="110"/>
        <v>1.0011563415729299</v>
      </c>
      <c r="AE214">
        <f t="shared" ca="1" si="111"/>
        <v>35.686447333323514</v>
      </c>
      <c r="AF214">
        <f t="shared" ca="1" si="112"/>
        <v>3.4239393796724471E-3</v>
      </c>
      <c r="AG214">
        <f t="shared" ca="1" si="113"/>
        <v>0</v>
      </c>
      <c r="AH214">
        <f ca="1">IFERROR(IF(V32="Supercritical",MAX($D$16,IFERROR(L214,MAX($D$16,POWER((ABS(K214)^2)/($I$5*MAX(F214,0.1)^2),1/3)))),IF(V32="Subcritical",MAX($D$16,IFERROR(W214,MAX($D$16,POWER((ABS(K214)^2)/($I$5*MAX(F214,0.1)^2),1/3)))),IF(AND(IFERROR(V214,0)=1,IFERROR(AG214,0)=1),IF(IFERROR(T214,-1E+99)&gt;=IFERROR(AE214,-1E+99),MAX($D$16,IFERROR(L214,MAX($D$16,POWER((ABS(K214)^2)/($I$5*MAX(F214,0.1)^2),1/3)))),MAX($D$16,IFERROR(W214,MAX($D$16,POWER((ABS(K214)^2)/($I$5*MAX(F214,0.1)^2),1/3))))),IF(IFERROR(V214,0)=1,MAX($D$16,IFERROR(L214,MAX($D$16,POWER((ABS(K214)^2)/($I$5*MAX(F214,0.1)^2),1/3)))),IF(IFERROR(AG214,0)=1,MAX($D$16,IFERROR(W214,MAX($D$16,POWER((ABS(K214)^2)/($I$5*MAX(F214,0.1)^2),1/3)))),MAX($D$16,POWER((ABS(K214)^2)/($I$5*MAX(F214,0.1)^2),1/3))))))),MAX($D$16,POWER((ABS(K214)^2)/($I$5*MAX(F214,0.1)^2),1/3)))</f>
        <v>2.1389677043987478</v>
      </c>
      <c r="AI214">
        <f t="shared" ca="1" si="114"/>
        <v>634.62496770439873</v>
      </c>
      <c r="AJ214">
        <f t="shared" ca="1" si="115"/>
        <v>635.6944515565981</v>
      </c>
      <c r="AM214">
        <v>0</v>
      </c>
      <c r="AN214">
        <v>0</v>
      </c>
      <c r="AO214">
        <f t="shared" si="116"/>
        <v>0</v>
      </c>
      <c r="AP214">
        <f t="shared" si="125"/>
        <v>0</v>
      </c>
      <c r="AQ214">
        <f t="shared" ca="1" si="117"/>
        <v>1.0000000000000004</v>
      </c>
      <c r="AR214" t="str">
        <f t="shared" ca="1" si="118"/>
        <v>Supercritical</v>
      </c>
      <c r="AS214">
        <f t="shared" ca="1" si="119"/>
        <v>3.8141460404132466E-3</v>
      </c>
    </row>
    <row r="215" spans="1:45" x14ac:dyDescent="0.35">
      <c r="A215">
        <v>154</v>
      </c>
      <c r="B215">
        <v>152.99700000000001</v>
      </c>
      <c r="C215">
        <v>616431.72199999995</v>
      </c>
      <c r="D215">
        <v>3097693.483</v>
      </c>
      <c r="E215">
        <v>632.4855</v>
      </c>
      <c r="F215">
        <v>5.2</v>
      </c>
      <c r="G215">
        <v>0</v>
      </c>
      <c r="H215" t="s">
        <v>154</v>
      </c>
      <c r="I215">
        <v>5.7000000000000002E-2</v>
      </c>
      <c r="J215">
        <f t="shared" si="120"/>
        <v>1</v>
      </c>
      <c r="K215">
        <f t="shared" ca="1" si="121"/>
        <v>50.95</v>
      </c>
      <c r="L215">
        <f t="shared" ca="1" si="122"/>
        <v>2.1389677043987478</v>
      </c>
      <c r="M215">
        <f t="shared" ca="1" si="95"/>
        <v>11.122632062873489</v>
      </c>
      <c r="N215">
        <f t="shared" ca="1" si="96"/>
        <v>1.1735290000551568</v>
      </c>
      <c r="O215">
        <f t="shared" ca="1" si="97"/>
        <v>4.5807502857230418</v>
      </c>
      <c r="P215">
        <f t="shared" ca="1" si="98"/>
        <v>634.62446770439874</v>
      </c>
      <c r="Q215">
        <f t="shared" ca="1" si="99"/>
        <v>635.69395155659811</v>
      </c>
      <c r="R215">
        <f t="shared" ca="1" si="100"/>
        <v>3.8141460404132466E-3</v>
      </c>
      <c r="S215">
        <f t="shared" ca="1" si="101"/>
        <v>1.0000000000000004</v>
      </c>
      <c r="T215">
        <f t="shared" ca="1" si="102"/>
        <v>35.686426155594638</v>
      </c>
      <c r="U215">
        <f t="shared" ca="1" si="123"/>
        <v>-3.4157470064428708E-3</v>
      </c>
      <c r="V215">
        <f t="shared" ca="1" si="124"/>
        <v>1</v>
      </c>
      <c r="W215">
        <f t="shared" ca="1" si="103"/>
        <v>2.1381886436890443</v>
      </c>
      <c r="X215">
        <f t="shared" ca="1" si="104"/>
        <v>11.11858094718303</v>
      </c>
      <c r="Y215">
        <f t="shared" ca="1" si="105"/>
        <v>1.1732944573652897</v>
      </c>
      <c r="Z215">
        <f t="shared" ca="1" si="106"/>
        <v>4.5824193071066803</v>
      </c>
      <c r="AA215">
        <f t="shared" ca="1" si="107"/>
        <v>634.62368864368909</v>
      </c>
      <c r="AB215">
        <f t="shared" ca="1" si="108"/>
        <v>635.6939519824324</v>
      </c>
      <c r="AC215">
        <f t="shared" ca="1" si="109"/>
        <v>3.8179433334236904E-3</v>
      </c>
      <c r="AD215">
        <f t="shared" ca="1" si="110"/>
        <v>1.0005465829720761</v>
      </c>
      <c r="AE215">
        <f t="shared" ca="1" si="111"/>
        <v>35.686430890842168</v>
      </c>
      <c r="AF215">
        <f t="shared" ca="1" si="112"/>
        <v>3.3179433333998531E-3</v>
      </c>
      <c r="AG215">
        <f t="shared" ca="1" si="113"/>
        <v>0</v>
      </c>
      <c r="AH215">
        <f ca="1">IFERROR(IF(V32="Supercritical",MAX($D$16,IFERROR(L215,MAX($D$16,POWER((ABS(K215)^2)/($I$5*MAX(F215,0.1)^2),1/3)))),IF(V32="Subcritical",MAX($D$16,IFERROR(W215,MAX($D$16,POWER((ABS(K215)^2)/($I$5*MAX(F215,0.1)^2),1/3)))),IF(AND(IFERROR(V215,0)=1,IFERROR(AG215,0)=1),IF(IFERROR(T215,-1E+99)&gt;=IFERROR(AE215,-1E+99),MAX($D$16,IFERROR(L215,MAX($D$16,POWER((ABS(K215)^2)/($I$5*MAX(F215,0.1)^2),1/3)))),MAX($D$16,IFERROR(W215,MAX($D$16,POWER((ABS(K215)^2)/($I$5*MAX(F215,0.1)^2),1/3))))),IF(IFERROR(V215,0)=1,MAX($D$16,IFERROR(L215,MAX($D$16,POWER((ABS(K215)^2)/($I$5*MAX(F215,0.1)^2),1/3)))),IF(IFERROR(AG215,0)=1,MAX($D$16,IFERROR(W215,MAX($D$16,POWER((ABS(K215)^2)/($I$5*MAX(F215,0.1)^2),1/3)))),MAX($D$16,POWER((ABS(K215)^2)/($I$5*MAX(F215,0.1)^2),1/3))))))),MAX($D$16,POWER((ABS(K215)^2)/($I$5*MAX(F215,0.1)^2),1/3)))</f>
        <v>2.1389677043987478</v>
      </c>
      <c r="AI215">
        <f t="shared" ca="1" si="114"/>
        <v>634.62446770439874</v>
      </c>
      <c r="AJ215">
        <f t="shared" ca="1" si="115"/>
        <v>635.69395155659811</v>
      </c>
      <c r="AM215">
        <v>0</v>
      </c>
      <c r="AN215">
        <v>0</v>
      </c>
      <c r="AO215">
        <f t="shared" si="116"/>
        <v>0</v>
      </c>
      <c r="AP215">
        <f t="shared" si="125"/>
        <v>0</v>
      </c>
      <c r="AQ215">
        <f t="shared" ca="1" si="117"/>
        <v>1.0000000000000004</v>
      </c>
      <c r="AR215" t="str">
        <f t="shared" ca="1" si="118"/>
        <v>Supercritical</v>
      </c>
      <c r="AS215">
        <f t="shared" ca="1" si="119"/>
        <v>3.8141460404132466E-3</v>
      </c>
    </row>
    <row r="216" spans="1:45" x14ac:dyDescent="0.35">
      <c r="A216">
        <v>155</v>
      </c>
      <c r="B216">
        <v>153.99700000000001</v>
      </c>
      <c r="C216">
        <v>616430.723</v>
      </c>
      <c r="D216">
        <v>3097693.4350000001</v>
      </c>
      <c r="E216">
        <v>632.48500000000001</v>
      </c>
      <c r="F216">
        <v>5.2</v>
      </c>
      <c r="G216">
        <v>0</v>
      </c>
      <c r="H216" t="s">
        <v>154</v>
      </c>
      <c r="I216">
        <v>0</v>
      </c>
      <c r="J216">
        <f t="shared" si="120"/>
        <v>1</v>
      </c>
      <c r="K216">
        <f t="shared" ca="1" si="121"/>
        <v>50.95</v>
      </c>
      <c r="L216">
        <f t="shared" ca="1" si="122"/>
        <v>2.1389677043987478</v>
      </c>
      <c r="M216">
        <f t="shared" ca="1" si="95"/>
        <v>11.122632062873489</v>
      </c>
      <c r="N216">
        <f t="shared" ca="1" si="96"/>
        <v>1.1735290000551568</v>
      </c>
      <c r="O216">
        <f t="shared" ca="1" si="97"/>
        <v>4.5807502857230418</v>
      </c>
      <c r="P216">
        <f t="shared" ca="1" si="98"/>
        <v>634.62396770439875</v>
      </c>
      <c r="Q216">
        <f t="shared" ca="1" si="99"/>
        <v>635.69345155659812</v>
      </c>
      <c r="R216">
        <f t="shared" ca="1" si="100"/>
        <v>3.8141460404132466E-3</v>
      </c>
      <c r="S216">
        <f t="shared" ca="1" si="101"/>
        <v>1.0000000000000004</v>
      </c>
      <c r="T216">
        <f t="shared" ca="1" si="102"/>
        <v>35.686426155594638</v>
      </c>
      <c r="U216">
        <f t="shared" ca="1" si="123"/>
        <v>-3.3141460404522149E-3</v>
      </c>
      <c r="V216">
        <f t="shared" ca="1" si="124"/>
        <v>1</v>
      </c>
      <c r="W216">
        <f t="shared" ca="1" si="103"/>
        <v>2.1373203735079915</v>
      </c>
      <c r="X216">
        <f t="shared" ca="1" si="104"/>
        <v>11.114065942241556</v>
      </c>
      <c r="Y216">
        <f t="shared" ca="1" si="105"/>
        <v>1.1730329665261352</v>
      </c>
      <c r="Z216">
        <f t="shared" ca="1" si="106"/>
        <v>4.5842808801730106</v>
      </c>
      <c r="AA216">
        <f t="shared" ca="1" si="107"/>
        <v>634.62232037350805</v>
      </c>
      <c r="AB216">
        <f t="shared" ca="1" si="108"/>
        <v>635.69345346159776</v>
      </c>
      <c r="AC216">
        <f t="shared" ca="1" si="109"/>
        <v>3.8221817362197445E-3</v>
      </c>
      <c r="AD216">
        <f t="shared" ca="1" si="110"/>
        <v>1.0011563415729299</v>
      </c>
      <c r="AE216">
        <f t="shared" ca="1" si="111"/>
        <v>35.686447333323514</v>
      </c>
      <c r="AF216">
        <f t="shared" ca="1" si="112"/>
        <v>3.4239393796724471E-3</v>
      </c>
      <c r="AG216">
        <f t="shared" ca="1" si="113"/>
        <v>0</v>
      </c>
      <c r="AH216">
        <f ca="1">IFERROR(IF(V32="Supercritical",MAX($D$16,IFERROR(L216,MAX($D$16,POWER((ABS(K216)^2)/($I$5*MAX(F216,0.1)^2),1/3)))),IF(V32="Subcritical",MAX($D$16,IFERROR(W216,MAX($D$16,POWER((ABS(K216)^2)/($I$5*MAX(F216,0.1)^2),1/3)))),IF(AND(IFERROR(V216,0)=1,IFERROR(AG216,0)=1),IF(IFERROR(T216,-1E+99)&gt;=IFERROR(AE216,-1E+99),MAX($D$16,IFERROR(L216,MAX($D$16,POWER((ABS(K216)^2)/($I$5*MAX(F216,0.1)^2),1/3)))),MAX($D$16,IFERROR(W216,MAX($D$16,POWER((ABS(K216)^2)/($I$5*MAX(F216,0.1)^2),1/3))))),IF(IFERROR(V216,0)=1,MAX($D$16,IFERROR(L216,MAX($D$16,POWER((ABS(K216)^2)/($I$5*MAX(F216,0.1)^2),1/3)))),IF(IFERROR(AG216,0)=1,MAX($D$16,IFERROR(W216,MAX($D$16,POWER((ABS(K216)^2)/($I$5*MAX(F216,0.1)^2),1/3)))),MAX($D$16,POWER((ABS(K216)^2)/($I$5*MAX(F216,0.1)^2),1/3))))))),MAX($D$16,POWER((ABS(K216)^2)/($I$5*MAX(F216,0.1)^2),1/3)))</f>
        <v>2.1389677043987478</v>
      </c>
      <c r="AI216">
        <f t="shared" ca="1" si="114"/>
        <v>634.62396770439875</v>
      </c>
      <c r="AJ216">
        <f t="shared" ca="1" si="115"/>
        <v>635.69345155659812</v>
      </c>
      <c r="AM216">
        <v>0</v>
      </c>
      <c r="AN216">
        <v>0</v>
      </c>
      <c r="AO216">
        <f t="shared" si="116"/>
        <v>0</v>
      </c>
      <c r="AP216">
        <f t="shared" si="125"/>
        <v>0</v>
      </c>
      <c r="AQ216">
        <f t="shared" ca="1" si="117"/>
        <v>1.0000000000000004</v>
      </c>
      <c r="AR216" t="str">
        <f t="shared" ca="1" si="118"/>
        <v>Supercritical</v>
      </c>
      <c r="AS216">
        <f t="shared" ca="1" si="119"/>
        <v>3.8141460404132466E-3</v>
      </c>
    </row>
    <row r="217" spans="1:45" x14ac:dyDescent="0.35">
      <c r="A217">
        <v>156</v>
      </c>
      <c r="B217">
        <v>154.99700000000001</v>
      </c>
      <c r="C217">
        <v>616429.72400000005</v>
      </c>
      <c r="D217">
        <v>3097693.3870000001</v>
      </c>
      <c r="E217">
        <v>632.48450000000003</v>
      </c>
      <c r="F217">
        <v>5.2</v>
      </c>
      <c r="G217">
        <v>0</v>
      </c>
      <c r="H217" t="s">
        <v>154</v>
      </c>
      <c r="I217">
        <v>5.7000000000000002E-2</v>
      </c>
      <c r="J217">
        <f t="shared" si="120"/>
        <v>1</v>
      </c>
      <c r="K217">
        <f t="shared" ca="1" si="121"/>
        <v>50.95</v>
      </c>
      <c r="L217">
        <f t="shared" ca="1" si="122"/>
        <v>2.1389677043987478</v>
      </c>
      <c r="M217">
        <f t="shared" ca="1" si="95"/>
        <v>11.122632062873489</v>
      </c>
      <c r="N217">
        <f t="shared" ca="1" si="96"/>
        <v>1.1735290000551568</v>
      </c>
      <c r="O217">
        <f t="shared" ca="1" si="97"/>
        <v>4.5807502857230418</v>
      </c>
      <c r="P217">
        <f t="shared" ca="1" si="98"/>
        <v>634.62346770439876</v>
      </c>
      <c r="Q217">
        <f t="shared" ca="1" si="99"/>
        <v>635.69295155659813</v>
      </c>
      <c r="R217">
        <f t="shared" ca="1" si="100"/>
        <v>3.8141460404132466E-3</v>
      </c>
      <c r="S217">
        <f t="shared" ca="1" si="101"/>
        <v>1.0000000000000004</v>
      </c>
      <c r="T217">
        <f t="shared" ca="1" si="102"/>
        <v>35.686426155594638</v>
      </c>
      <c r="U217">
        <f t="shared" ca="1" si="123"/>
        <v>-3.4157470064428708E-3</v>
      </c>
      <c r="V217">
        <f t="shared" ca="1" si="124"/>
        <v>1</v>
      </c>
      <c r="W217">
        <f t="shared" ca="1" si="103"/>
        <v>2.1381886436890443</v>
      </c>
      <c r="X217">
        <f t="shared" ca="1" si="104"/>
        <v>11.11858094718303</v>
      </c>
      <c r="Y217">
        <f t="shared" ca="1" si="105"/>
        <v>1.1732944573652897</v>
      </c>
      <c r="Z217">
        <f t="shared" ca="1" si="106"/>
        <v>4.5824193071066803</v>
      </c>
      <c r="AA217">
        <f t="shared" ca="1" si="107"/>
        <v>634.62268864368912</v>
      </c>
      <c r="AB217">
        <f t="shared" ca="1" si="108"/>
        <v>635.69295198243242</v>
      </c>
      <c r="AC217">
        <f t="shared" ca="1" si="109"/>
        <v>3.8179433334236904E-3</v>
      </c>
      <c r="AD217">
        <f t="shared" ca="1" si="110"/>
        <v>1.0005465829720761</v>
      </c>
      <c r="AE217">
        <f t="shared" ca="1" si="111"/>
        <v>35.686430890842168</v>
      </c>
      <c r="AF217">
        <f t="shared" ca="1" si="112"/>
        <v>3.4249696673214203E-3</v>
      </c>
      <c r="AG217">
        <f t="shared" ca="1" si="113"/>
        <v>0</v>
      </c>
      <c r="AH217">
        <f ca="1">IFERROR(IF(V32="Supercritical",MAX($D$16,IFERROR(L217,MAX($D$16,POWER((ABS(K217)^2)/($I$5*MAX(F217,0.1)^2),1/3)))),IF(V32="Subcritical",MAX($D$16,IFERROR(W217,MAX($D$16,POWER((ABS(K217)^2)/($I$5*MAX(F217,0.1)^2),1/3)))),IF(AND(IFERROR(V217,0)=1,IFERROR(AG217,0)=1),IF(IFERROR(T217,-1E+99)&gt;=IFERROR(AE217,-1E+99),MAX($D$16,IFERROR(L217,MAX($D$16,POWER((ABS(K217)^2)/($I$5*MAX(F217,0.1)^2),1/3)))),MAX($D$16,IFERROR(W217,MAX($D$16,POWER((ABS(K217)^2)/($I$5*MAX(F217,0.1)^2),1/3))))),IF(IFERROR(V217,0)=1,MAX($D$16,IFERROR(L217,MAX($D$16,POWER((ABS(K217)^2)/($I$5*MAX(F217,0.1)^2),1/3)))),IF(IFERROR(AG217,0)=1,MAX($D$16,IFERROR(W217,MAX($D$16,POWER((ABS(K217)^2)/($I$5*MAX(F217,0.1)^2),1/3)))),MAX($D$16,POWER((ABS(K217)^2)/($I$5*MAX(F217,0.1)^2),1/3))))))),MAX($D$16,POWER((ABS(K217)^2)/($I$5*MAX(F217,0.1)^2),1/3)))</f>
        <v>2.1389677043987478</v>
      </c>
      <c r="AI217">
        <f t="shared" ca="1" si="114"/>
        <v>634.62346770439876</v>
      </c>
      <c r="AJ217">
        <f t="shared" ca="1" si="115"/>
        <v>635.69295155659813</v>
      </c>
      <c r="AM217">
        <v>0</v>
      </c>
      <c r="AN217">
        <v>0</v>
      </c>
      <c r="AO217">
        <f t="shared" si="116"/>
        <v>0</v>
      </c>
      <c r="AP217">
        <f t="shared" si="125"/>
        <v>0</v>
      </c>
      <c r="AQ217">
        <f t="shared" ca="1" si="117"/>
        <v>1.0000000000000004</v>
      </c>
      <c r="AR217" t="str">
        <f t="shared" ca="1" si="118"/>
        <v>Supercritical</v>
      </c>
      <c r="AS217">
        <f t="shared" ca="1" si="119"/>
        <v>3.8141460404132466E-3</v>
      </c>
    </row>
    <row r="218" spans="1:45" x14ac:dyDescent="0.35">
      <c r="A218">
        <v>157</v>
      </c>
      <c r="B218">
        <v>155.99700000000001</v>
      </c>
      <c r="C218">
        <v>616428.72499999998</v>
      </c>
      <c r="D218">
        <v>3097693.34</v>
      </c>
      <c r="E218">
        <v>632.48400000000004</v>
      </c>
      <c r="F218">
        <v>5.2</v>
      </c>
      <c r="G218">
        <v>0</v>
      </c>
      <c r="H218" t="s">
        <v>154</v>
      </c>
      <c r="I218">
        <v>0.06</v>
      </c>
      <c r="J218">
        <f t="shared" si="120"/>
        <v>1</v>
      </c>
      <c r="K218">
        <f t="shared" ca="1" si="121"/>
        <v>50.95</v>
      </c>
      <c r="L218">
        <f t="shared" ca="1" si="122"/>
        <v>2.1389677043987478</v>
      </c>
      <c r="M218">
        <f t="shared" ca="1" si="95"/>
        <v>11.122632062873489</v>
      </c>
      <c r="N218">
        <f t="shared" ca="1" si="96"/>
        <v>1.1735290000551568</v>
      </c>
      <c r="O218">
        <f t="shared" ca="1" si="97"/>
        <v>4.5807502857230418</v>
      </c>
      <c r="P218">
        <f t="shared" ca="1" si="98"/>
        <v>634.62296770439877</v>
      </c>
      <c r="Q218">
        <f t="shared" ca="1" si="99"/>
        <v>635.69245155659814</v>
      </c>
      <c r="R218">
        <f t="shared" ca="1" si="100"/>
        <v>3.8141460404132466E-3</v>
      </c>
      <c r="S218">
        <f t="shared" ca="1" si="101"/>
        <v>1.0000000000000004</v>
      </c>
      <c r="T218">
        <f t="shared" ca="1" si="102"/>
        <v>35.686426155594638</v>
      </c>
      <c r="U218">
        <f t="shared" ca="1" si="123"/>
        <v>-3.4210944256756193E-3</v>
      </c>
      <c r="V218">
        <f t="shared" ca="1" si="124"/>
        <v>1</v>
      </c>
      <c r="W218">
        <f t="shared" ca="1" si="103"/>
        <v>2.1373203735079915</v>
      </c>
      <c r="X218">
        <f t="shared" ca="1" si="104"/>
        <v>11.114065942241556</v>
      </c>
      <c r="Y218">
        <f t="shared" ca="1" si="105"/>
        <v>1.1730329665261352</v>
      </c>
      <c r="Z218">
        <f t="shared" ca="1" si="106"/>
        <v>4.5842808801730106</v>
      </c>
      <c r="AA218">
        <f t="shared" ca="1" si="107"/>
        <v>634.62132037350807</v>
      </c>
      <c r="AB218">
        <f t="shared" ca="1" si="108"/>
        <v>635.69245346159778</v>
      </c>
      <c r="AC218">
        <f t="shared" ca="1" si="109"/>
        <v>3.8221817362197445E-3</v>
      </c>
      <c r="AD218">
        <f t="shared" ca="1" si="110"/>
        <v>1.0011563415729299</v>
      </c>
      <c r="AE218">
        <f t="shared" ca="1" si="111"/>
        <v>35.686447333323514</v>
      </c>
      <c r="AF218">
        <f t="shared" ca="1" si="112"/>
        <v>3.4254728632276965E-3</v>
      </c>
      <c r="AG218">
        <f t="shared" ca="1" si="113"/>
        <v>0</v>
      </c>
      <c r="AH218">
        <f ca="1">IFERROR(IF(V32="Supercritical",MAX($D$16,IFERROR(L218,MAX($D$16,POWER((ABS(K218)^2)/($I$5*MAX(F218,0.1)^2),1/3)))),IF(V32="Subcritical",MAX($D$16,IFERROR(W218,MAX($D$16,POWER((ABS(K218)^2)/($I$5*MAX(F218,0.1)^2),1/3)))),IF(AND(IFERROR(V218,0)=1,IFERROR(AG218,0)=1),IF(IFERROR(T218,-1E+99)&gt;=IFERROR(AE218,-1E+99),MAX($D$16,IFERROR(L218,MAX($D$16,POWER((ABS(K218)^2)/($I$5*MAX(F218,0.1)^2),1/3)))),MAX($D$16,IFERROR(W218,MAX($D$16,POWER((ABS(K218)^2)/($I$5*MAX(F218,0.1)^2),1/3))))),IF(IFERROR(V218,0)=1,MAX($D$16,IFERROR(L218,MAX($D$16,POWER((ABS(K218)^2)/($I$5*MAX(F218,0.1)^2),1/3)))),IF(IFERROR(AG218,0)=1,MAX($D$16,IFERROR(W218,MAX($D$16,POWER((ABS(K218)^2)/($I$5*MAX(F218,0.1)^2),1/3)))),MAX($D$16,POWER((ABS(K218)^2)/($I$5*MAX(F218,0.1)^2),1/3))))))),MAX($D$16,POWER((ABS(K218)^2)/($I$5*MAX(F218,0.1)^2),1/3)))</f>
        <v>2.1389677043987478</v>
      </c>
      <c r="AI218">
        <f t="shared" ca="1" si="114"/>
        <v>634.62296770439877</v>
      </c>
      <c r="AJ218">
        <f t="shared" ca="1" si="115"/>
        <v>635.69245155659814</v>
      </c>
      <c r="AM218">
        <v>0</v>
      </c>
      <c r="AN218">
        <v>0</v>
      </c>
      <c r="AO218">
        <f t="shared" si="116"/>
        <v>0</v>
      </c>
      <c r="AP218">
        <f t="shared" si="125"/>
        <v>0</v>
      </c>
      <c r="AQ218">
        <f t="shared" ca="1" si="117"/>
        <v>1.0000000000000004</v>
      </c>
      <c r="AR218" t="str">
        <f t="shared" ca="1" si="118"/>
        <v>Supercritical</v>
      </c>
      <c r="AS218">
        <f t="shared" ca="1" si="119"/>
        <v>3.8141460404132466E-3</v>
      </c>
    </row>
    <row r="219" spans="1:45" x14ac:dyDescent="0.35">
      <c r="A219">
        <v>158</v>
      </c>
      <c r="B219">
        <v>156.99600000000001</v>
      </c>
      <c r="C219">
        <v>616427.72699999996</v>
      </c>
      <c r="D219">
        <v>3097693.2919999999</v>
      </c>
      <c r="E219">
        <v>632.48350000000005</v>
      </c>
      <c r="F219">
        <v>5.2</v>
      </c>
      <c r="G219">
        <v>0</v>
      </c>
      <c r="H219" t="s">
        <v>154</v>
      </c>
      <c r="I219">
        <v>0.06</v>
      </c>
      <c r="J219">
        <f t="shared" si="120"/>
        <v>0.99899999999999523</v>
      </c>
      <c r="K219">
        <f t="shared" ca="1" si="121"/>
        <v>50.95</v>
      </c>
      <c r="L219">
        <f t="shared" ca="1" si="122"/>
        <v>2.1389677043987478</v>
      </c>
      <c r="M219">
        <f t="shared" ca="1" si="95"/>
        <v>11.122632062873489</v>
      </c>
      <c r="N219">
        <f t="shared" ca="1" si="96"/>
        <v>1.1735290000551568</v>
      </c>
      <c r="O219">
        <f t="shared" ca="1" si="97"/>
        <v>4.5807502857230418</v>
      </c>
      <c r="P219">
        <f t="shared" ca="1" si="98"/>
        <v>634.62246770439879</v>
      </c>
      <c r="Q219">
        <f t="shared" ca="1" si="99"/>
        <v>635.69195155659816</v>
      </c>
      <c r="R219">
        <f t="shared" ca="1" si="100"/>
        <v>3.8141460404132466E-3</v>
      </c>
      <c r="S219">
        <f t="shared" ca="1" si="101"/>
        <v>1.0000000000000004</v>
      </c>
      <c r="T219">
        <f t="shared" ca="1" si="102"/>
        <v>35.686426155594638</v>
      </c>
      <c r="U219">
        <f t="shared" ca="1" si="123"/>
        <v>-3.4172802795637836E-3</v>
      </c>
      <c r="V219">
        <f t="shared" ca="1" si="124"/>
        <v>1</v>
      </c>
      <c r="W219">
        <f t="shared" ca="1" si="103"/>
        <v>2.1381886436890443</v>
      </c>
      <c r="X219">
        <f t="shared" ca="1" si="104"/>
        <v>11.11858094718303</v>
      </c>
      <c r="Y219">
        <f t="shared" ca="1" si="105"/>
        <v>1.1732944573652897</v>
      </c>
      <c r="Z219">
        <f t="shared" ca="1" si="106"/>
        <v>4.5824193071066803</v>
      </c>
      <c r="AA219">
        <f t="shared" ca="1" si="107"/>
        <v>634.62168864368914</v>
      </c>
      <c r="AB219">
        <f t="shared" ca="1" si="108"/>
        <v>635.69195198243244</v>
      </c>
      <c r="AC219">
        <f t="shared" ca="1" si="109"/>
        <v>3.8179433334236904E-3</v>
      </c>
      <c r="AD219">
        <f t="shared" ca="1" si="110"/>
        <v>1.0005465829720761</v>
      </c>
      <c r="AE219">
        <f t="shared" ca="1" si="111"/>
        <v>35.686430890842168</v>
      </c>
      <c r="AF219">
        <f t="shared" ca="1" si="112"/>
        <v>3.4196183504491273E-3</v>
      </c>
      <c r="AG219">
        <f t="shared" ca="1" si="113"/>
        <v>0</v>
      </c>
      <c r="AH219">
        <f ca="1">IFERROR(IF(V32="Supercritical",MAX($D$16,IFERROR(L219,MAX($D$16,POWER((ABS(K219)^2)/($I$5*MAX(F219,0.1)^2),1/3)))),IF(V32="Subcritical",MAX($D$16,IFERROR(W219,MAX($D$16,POWER((ABS(K219)^2)/($I$5*MAX(F219,0.1)^2),1/3)))),IF(AND(IFERROR(V219,0)=1,IFERROR(AG219,0)=1),IF(IFERROR(T219,-1E+99)&gt;=IFERROR(AE219,-1E+99),MAX($D$16,IFERROR(L219,MAX($D$16,POWER((ABS(K219)^2)/($I$5*MAX(F219,0.1)^2),1/3)))),MAX($D$16,IFERROR(W219,MAX($D$16,POWER((ABS(K219)^2)/($I$5*MAX(F219,0.1)^2),1/3))))),IF(IFERROR(V219,0)=1,MAX($D$16,IFERROR(L219,MAX($D$16,POWER((ABS(K219)^2)/($I$5*MAX(F219,0.1)^2),1/3)))),IF(IFERROR(AG219,0)=1,MAX($D$16,IFERROR(W219,MAX($D$16,POWER((ABS(K219)^2)/($I$5*MAX(F219,0.1)^2),1/3)))),MAX($D$16,POWER((ABS(K219)^2)/($I$5*MAX(F219,0.1)^2),1/3))))))),MAX($D$16,POWER((ABS(K219)^2)/($I$5*MAX(F219,0.1)^2),1/3)))</f>
        <v>2.1389677043987478</v>
      </c>
      <c r="AI219">
        <f t="shared" ca="1" si="114"/>
        <v>634.62246770439879</v>
      </c>
      <c r="AJ219">
        <f t="shared" ca="1" si="115"/>
        <v>635.69195155659816</v>
      </c>
      <c r="AM219">
        <v>0</v>
      </c>
      <c r="AN219">
        <v>0</v>
      </c>
      <c r="AO219">
        <f t="shared" si="116"/>
        <v>0</v>
      </c>
      <c r="AP219">
        <f t="shared" si="125"/>
        <v>0</v>
      </c>
      <c r="AQ219">
        <f t="shared" ca="1" si="117"/>
        <v>1.0000000000000004</v>
      </c>
      <c r="AR219" t="str">
        <f t="shared" ca="1" si="118"/>
        <v>Supercritical</v>
      </c>
      <c r="AS219">
        <f t="shared" ca="1" si="119"/>
        <v>3.8141460404132466E-3</v>
      </c>
    </row>
    <row r="220" spans="1:45" x14ac:dyDescent="0.35">
      <c r="A220">
        <v>159</v>
      </c>
      <c r="B220">
        <v>157.99600000000001</v>
      </c>
      <c r="C220">
        <v>616426.728</v>
      </c>
      <c r="D220">
        <v>3097693.2450000001</v>
      </c>
      <c r="E220">
        <v>632.48299999999995</v>
      </c>
      <c r="F220">
        <v>5.2</v>
      </c>
      <c r="G220">
        <v>0</v>
      </c>
      <c r="H220" t="s">
        <v>154</v>
      </c>
      <c r="I220">
        <v>5.7000000000000002E-2</v>
      </c>
      <c r="J220">
        <f t="shared" si="120"/>
        <v>1</v>
      </c>
      <c r="K220">
        <f t="shared" ca="1" si="121"/>
        <v>50.95</v>
      </c>
      <c r="L220">
        <f t="shared" ca="1" si="122"/>
        <v>2.1389677043987478</v>
      </c>
      <c r="M220">
        <f t="shared" ca="1" si="95"/>
        <v>11.122632062873489</v>
      </c>
      <c r="N220">
        <f t="shared" ca="1" si="96"/>
        <v>1.1735290000551568</v>
      </c>
      <c r="O220">
        <f t="shared" ca="1" si="97"/>
        <v>4.5807502857230418</v>
      </c>
      <c r="P220">
        <f t="shared" ca="1" si="98"/>
        <v>634.62196770439868</v>
      </c>
      <c r="Q220">
        <f t="shared" ca="1" si="99"/>
        <v>635.69145155659805</v>
      </c>
      <c r="R220">
        <f t="shared" ca="1" si="100"/>
        <v>3.8141460404132466E-3</v>
      </c>
      <c r="S220">
        <f t="shared" ca="1" si="101"/>
        <v>1.0000000000000004</v>
      </c>
      <c r="T220">
        <f t="shared" ca="1" si="102"/>
        <v>35.686426155594638</v>
      </c>
      <c r="U220">
        <f t="shared" ca="1" si="123"/>
        <v>-3.4157470063291839E-3</v>
      </c>
      <c r="V220">
        <f t="shared" ca="1" si="124"/>
        <v>1</v>
      </c>
      <c r="W220">
        <f t="shared" ca="1" si="103"/>
        <v>2.1373203735079915</v>
      </c>
      <c r="X220">
        <f t="shared" ca="1" si="104"/>
        <v>11.114065942241556</v>
      </c>
      <c r="Y220">
        <f t="shared" ca="1" si="105"/>
        <v>1.1730329665261352</v>
      </c>
      <c r="Z220">
        <f t="shared" ca="1" si="106"/>
        <v>4.5842808801730106</v>
      </c>
      <c r="AA220">
        <f t="shared" ca="1" si="107"/>
        <v>634.62032037350798</v>
      </c>
      <c r="AB220">
        <f t="shared" ca="1" si="108"/>
        <v>635.69145346159769</v>
      </c>
      <c r="AC220">
        <f t="shared" ca="1" si="109"/>
        <v>3.8221817362197445E-3</v>
      </c>
      <c r="AD220">
        <f t="shared" ca="1" si="110"/>
        <v>1.0011563415729299</v>
      </c>
      <c r="AE220">
        <f t="shared" ca="1" si="111"/>
        <v>35.686447333323514</v>
      </c>
      <c r="AF220">
        <f t="shared" ca="1" si="112"/>
        <v>3.3260039180049716E-3</v>
      </c>
      <c r="AG220">
        <f t="shared" ca="1" si="113"/>
        <v>0</v>
      </c>
      <c r="AH220">
        <f ca="1">IFERROR(IF(V32="Supercritical",MAX($D$16,IFERROR(L220,MAX($D$16,POWER((ABS(K220)^2)/($I$5*MAX(F220,0.1)^2),1/3)))),IF(V32="Subcritical",MAX($D$16,IFERROR(W220,MAX($D$16,POWER((ABS(K220)^2)/($I$5*MAX(F220,0.1)^2),1/3)))),IF(AND(IFERROR(V220,0)=1,IFERROR(AG220,0)=1),IF(IFERROR(T220,-1E+99)&gt;=IFERROR(AE220,-1E+99),MAX($D$16,IFERROR(L220,MAX($D$16,POWER((ABS(K220)^2)/($I$5*MAX(F220,0.1)^2),1/3)))),MAX($D$16,IFERROR(W220,MAX($D$16,POWER((ABS(K220)^2)/($I$5*MAX(F220,0.1)^2),1/3))))),IF(IFERROR(V220,0)=1,MAX($D$16,IFERROR(L220,MAX($D$16,POWER((ABS(K220)^2)/($I$5*MAX(F220,0.1)^2),1/3)))),IF(IFERROR(AG220,0)=1,MAX($D$16,IFERROR(W220,MAX($D$16,POWER((ABS(K220)^2)/($I$5*MAX(F220,0.1)^2),1/3)))),MAX($D$16,POWER((ABS(K220)^2)/($I$5*MAX(F220,0.1)^2),1/3))))))),MAX($D$16,POWER((ABS(K220)^2)/($I$5*MAX(F220,0.1)^2),1/3)))</f>
        <v>2.1389677043987478</v>
      </c>
      <c r="AI220">
        <f t="shared" ca="1" si="114"/>
        <v>634.62196770439868</v>
      </c>
      <c r="AJ220">
        <f t="shared" ca="1" si="115"/>
        <v>635.69145155659805</v>
      </c>
      <c r="AM220">
        <v>0</v>
      </c>
      <c r="AN220">
        <v>0</v>
      </c>
      <c r="AO220">
        <f t="shared" si="116"/>
        <v>0</v>
      </c>
      <c r="AP220">
        <f t="shared" si="125"/>
        <v>0</v>
      </c>
      <c r="AQ220">
        <f t="shared" ca="1" si="117"/>
        <v>1.0000000000000004</v>
      </c>
      <c r="AR220" t="str">
        <f t="shared" ca="1" si="118"/>
        <v>Supercritical</v>
      </c>
      <c r="AS220">
        <f t="shared" ca="1" si="119"/>
        <v>3.8141460404132466E-3</v>
      </c>
    </row>
    <row r="221" spans="1:45" x14ac:dyDescent="0.35">
      <c r="A221">
        <v>160</v>
      </c>
      <c r="B221">
        <v>158.99700000000001</v>
      </c>
      <c r="C221">
        <v>616425.72900000005</v>
      </c>
      <c r="D221">
        <v>3097693.1970000002</v>
      </c>
      <c r="E221">
        <v>632.48249999999996</v>
      </c>
      <c r="F221">
        <v>5.2</v>
      </c>
      <c r="G221">
        <v>0</v>
      </c>
      <c r="H221" t="s">
        <v>154</v>
      </c>
      <c r="I221">
        <v>0</v>
      </c>
      <c r="J221">
        <f t="shared" si="120"/>
        <v>1.0010000000000048</v>
      </c>
      <c r="K221">
        <f t="shared" ca="1" si="121"/>
        <v>50.95</v>
      </c>
      <c r="L221">
        <f t="shared" ca="1" si="122"/>
        <v>2.1389677043987478</v>
      </c>
      <c r="M221">
        <f t="shared" ca="1" si="95"/>
        <v>11.122632062873489</v>
      </c>
      <c r="N221">
        <f t="shared" ca="1" si="96"/>
        <v>1.1735290000551568</v>
      </c>
      <c r="O221">
        <f t="shared" ca="1" si="97"/>
        <v>4.5807502857230418</v>
      </c>
      <c r="P221">
        <f t="shared" ca="1" si="98"/>
        <v>634.6214677043987</v>
      </c>
      <c r="Q221">
        <f t="shared" ca="1" si="99"/>
        <v>635.69095155659807</v>
      </c>
      <c r="R221">
        <f t="shared" ca="1" si="100"/>
        <v>3.8141460404132466E-3</v>
      </c>
      <c r="S221">
        <f t="shared" ca="1" si="101"/>
        <v>1.0000000000000004</v>
      </c>
      <c r="T221">
        <f t="shared" ca="1" si="102"/>
        <v>35.686426155594638</v>
      </c>
      <c r="U221">
        <f t="shared" ca="1" si="123"/>
        <v>-3.3179601864503638E-3</v>
      </c>
      <c r="V221">
        <f t="shared" ca="1" si="124"/>
        <v>1</v>
      </c>
      <c r="W221">
        <f t="shared" ca="1" si="103"/>
        <v>2.1381886436890443</v>
      </c>
      <c r="X221">
        <f t="shared" ca="1" si="104"/>
        <v>11.11858094718303</v>
      </c>
      <c r="Y221">
        <f t="shared" ca="1" si="105"/>
        <v>1.1732944573652897</v>
      </c>
      <c r="Z221">
        <f t="shared" ca="1" si="106"/>
        <v>4.5824193071066803</v>
      </c>
      <c r="AA221">
        <f t="shared" ca="1" si="107"/>
        <v>634.62068864368905</v>
      </c>
      <c r="AB221">
        <f t="shared" ca="1" si="108"/>
        <v>635.69095198243235</v>
      </c>
      <c r="AC221">
        <f t="shared" ca="1" si="109"/>
        <v>3.8179433334236904E-3</v>
      </c>
      <c r="AD221">
        <f t="shared" ca="1" si="110"/>
        <v>1.0005465829720761</v>
      </c>
      <c r="AE221">
        <f t="shared" ca="1" si="111"/>
        <v>35.686430890842168</v>
      </c>
      <c r="AF221">
        <f t="shared" ca="1" si="112"/>
        <v>3.4196183505628142E-3</v>
      </c>
      <c r="AG221">
        <f t="shared" ca="1" si="113"/>
        <v>0</v>
      </c>
      <c r="AH221">
        <f ca="1">IFERROR(IF(V32="Supercritical",MAX($D$16,IFERROR(L221,MAX($D$16,POWER((ABS(K221)^2)/($I$5*MAX(F221,0.1)^2),1/3)))),IF(V32="Subcritical",MAX($D$16,IFERROR(W221,MAX($D$16,POWER((ABS(K221)^2)/($I$5*MAX(F221,0.1)^2),1/3)))),IF(AND(IFERROR(V221,0)=1,IFERROR(AG221,0)=1),IF(IFERROR(T221,-1E+99)&gt;=IFERROR(AE221,-1E+99),MAX($D$16,IFERROR(L221,MAX($D$16,POWER((ABS(K221)^2)/($I$5*MAX(F221,0.1)^2),1/3)))),MAX($D$16,IFERROR(W221,MAX($D$16,POWER((ABS(K221)^2)/($I$5*MAX(F221,0.1)^2),1/3))))),IF(IFERROR(V221,0)=1,MAX($D$16,IFERROR(L221,MAX($D$16,POWER((ABS(K221)^2)/($I$5*MAX(F221,0.1)^2),1/3)))),IF(IFERROR(AG221,0)=1,MAX($D$16,IFERROR(W221,MAX($D$16,POWER((ABS(K221)^2)/($I$5*MAX(F221,0.1)^2),1/3)))),MAX($D$16,POWER((ABS(K221)^2)/($I$5*MAX(F221,0.1)^2),1/3))))))),MAX($D$16,POWER((ABS(K221)^2)/($I$5*MAX(F221,0.1)^2),1/3)))</f>
        <v>2.1389677043987478</v>
      </c>
      <c r="AI221">
        <f t="shared" ca="1" si="114"/>
        <v>634.6214677043987</v>
      </c>
      <c r="AJ221">
        <f t="shared" ca="1" si="115"/>
        <v>635.69095155659807</v>
      </c>
      <c r="AM221">
        <v>0</v>
      </c>
      <c r="AN221">
        <v>0</v>
      </c>
      <c r="AO221">
        <f t="shared" si="116"/>
        <v>0</v>
      </c>
      <c r="AP221">
        <f t="shared" si="125"/>
        <v>0</v>
      </c>
      <c r="AQ221">
        <f t="shared" ca="1" si="117"/>
        <v>1.0000000000000004</v>
      </c>
      <c r="AR221" t="str">
        <f t="shared" ca="1" si="118"/>
        <v>Supercritical</v>
      </c>
      <c r="AS221">
        <f t="shared" ca="1" si="119"/>
        <v>3.8141460404132466E-3</v>
      </c>
    </row>
    <row r="222" spans="1:45" x14ac:dyDescent="0.35">
      <c r="A222">
        <v>161</v>
      </c>
      <c r="B222">
        <v>159.99700000000001</v>
      </c>
      <c r="C222">
        <v>616424.73</v>
      </c>
      <c r="D222">
        <v>3097693.1490000002</v>
      </c>
      <c r="E222">
        <v>632.48199999999997</v>
      </c>
      <c r="F222">
        <v>5.2</v>
      </c>
      <c r="G222">
        <v>0</v>
      </c>
      <c r="H222" t="s">
        <v>154</v>
      </c>
      <c r="I222">
        <v>5.7000000000000002E-2</v>
      </c>
      <c r="J222">
        <f t="shared" si="120"/>
        <v>1</v>
      </c>
      <c r="K222">
        <f t="shared" ca="1" si="121"/>
        <v>50.95</v>
      </c>
      <c r="L222">
        <f t="shared" ca="1" si="122"/>
        <v>2.1389677043987478</v>
      </c>
      <c r="M222">
        <f t="shared" ca="1" si="95"/>
        <v>11.122632062873489</v>
      </c>
      <c r="N222">
        <f t="shared" ca="1" si="96"/>
        <v>1.1735290000551568</v>
      </c>
      <c r="O222">
        <f t="shared" ca="1" si="97"/>
        <v>4.5807502857230418</v>
      </c>
      <c r="P222">
        <f t="shared" ca="1" si="98"/>
        <v>634.62096770439871</v>
      </c>
      <c r="Q222">
        <f t="shared" ca="1" si="99"/>
        <v>635.69045155659808</v>
      </c>
      <c r="R222">
        <f t="shared" ca="1" si="100"/>
        <v>3.8141460404132466E-3</v>
      </c>
      <c r="S222">
        <f t="shared" ca="1" si="101"/>
        <v>1.0000000000000004</v>
      </c>
      <c r="T222">
        <f t="shared" ca="1" si="102"/>
        <v>35.686426155594638</v>
      </c>
      <c r="U222">
        <f t="shared" ca="1" si="123"/>
        <v>-3.4157470064428708E-3</v>
      </c>
      <c r="V222">
        <f t="shared" ca="1" si="124"/>
        <v>1</v>
      </c>
      <c r="W222">
        <f t="shared" ca="1" si="103"/>
        <v>2.1373203735079915</v>
      </c>
      <c r="X222">
        <f t="shared" ca="1" si="104"/>
        <v>11.114065942241556</v>
      </c>
      <c r="Y222">
        <f t="shared" ca="1" si="105"/>
        <v>1.1730329665261352</v>
      </c>
      <c r="Z222">
        <f t="shared" ca="1" si="106"/>
        <v>4.5842808801730106</v>
      </c>
      <c r="AA222">
        <f t="shared" ca="1" si="107"/>
        <v>634.619320373508</v>
      </c>
      <c r="AB222">
        <f t="shared" ca="1" si="108"/>
        <v>635.69045346159771</v>
      </c>
      <c r="AC222">
        <f t="shared" ca="1" si="109"/>
        <v>3.8221817362197445E-3</v>
      </c>
      <c r="AD222">
        <f t="shared" ca="1" si="110"/>
        <v>1.0011563415729299</v>
      </c>
      <c r="AE222">
        <f t="shared" ca="1" si="111"/>
        <v>35.686447333323514</v>
      </c>
      <c r="AF222">
        <f t="shared" ca="1" si="112"/>
        <v>3.4239393796724471E-3</v>
      </c>
      <c r="AG222">
        <f t="shared" ca="1" si="113"/>
        <v>0</v>
      </c>
      <c r="AH222">
        <f ca="1">IFERROR(IF(V32="Supercritical",MAX($D$16,IFERROR(L222,MAX($D$16,POWER((ABS(K222)^2)/($I$5*MAX(F222,0.1)^2),1/3)))),IF(V32="Subcritical",MAX($D$16,IFERROR(W222,MAX($D$16,POWER((ABS(K222)^2)/($I$5*MAX(F222,0.1)^2),1/3)))),IF(AND(IFERROR(V222,0)=1,IFERROR(AG222,0)=1),IF(IFERROR(T222,-1E+99)&gt;=IFERROR(AE222,-1E+99),MAX($D$16,IFERROR(L222,MAX($D$16,POWER((ABS(K222)^2)/($I$5*MAX(F222,0.1)^2),1/3)))),MAX($D$16,IFERROR(W222,MAX($D$16,POWER((ABS(K222)^2)/($I$5*MAX(F222,0.1)^2),1/3))))),IF(IFERROR(V222,0)=1,MAX($D$16,IFERROR(L222,MAX($D$16,POWER((ABS(K222)^2)/($I$5*MAX(F222,0.1)^2),1/3)))),IF(IFERROR(AG222,0)=1,MAX($D$16,IFERROR(W222,MAX($D$16,POWER((ABS(K222)^2)/($I$5*MAX(F222,0.1)^2),1/3)))),MAX($D$16,POWER((ABS(K222)^2)/($I$5*MAX(F222,0.1)^2),1/3))))))),MAX($D$16,POWER((ABS(K222)^2)/($I$5*MAX(F222,0.1)^2),1/3)))</f>
        <v>2.1389677043987478</v>
      </c>
      <c r="AI222">
        <f t="shared" ca="1" si="114"/>
        <v>634.62096770439871</v>
      </c>
      <c r="AJ222">
        <f t="shared" ca="1" si="115"/>
        <v>635.69045155659808</v>
      </c>
      <c r="AM222">
        <v>0</v>
      </c>
      <c r="AN222">
        <v>0</v>
      </c>
      <c r="AO222">
        <f t="shared" si="116"/>
        <v>0</v>
      </c>
      <c r="AP222">
        <f t="shared" si="125"/>
        <v>0</v>
      </c>
      <c r="AQ222">
        <f t="shared" ca="1" si="117"/>
        <v>1.0000000000000004</v>
      </c>
      <c r="AR222" t="str">
        <f t="shared" ca="1" si="118"/>
        <v>Supercritical</v>
      </c>
      <c r="AS222">
        <f t="shared" ca="1" si="119"/>
        <v>3.8141460404132466E-3</v>
      </c>
    </row>
    <row r="223" spans="1:45" x14ac:dyDescent="0.35">
      <c r="A223">
        <v>162</v>
      </c>
      <c r="B223">
        <v>160.99700000000001</v>
      </c>
      <c r="C223">
        <v>616423.73100000003</v>
      </c>
      <c r="D223">
        <v>3097693.102</v>
      </c>
      <c r="E223">
        <v>632.48149999999998</v>
      </c>
      <c r="F223">
        <v>5.2</v>
      </c>
      <c r="G223">
        <v>0</v>
      </c>
      <c r="H223" t="s">
        <v>154</v>
      </c>
      <c r="I223">
        <v>5.7000000000000002E-2</v>
      </c>
      <c r="J223">
        <f t="shared" si="120"/>
        <v>1</v>
      </c>
      <c r="K223">
        <f t="shared" ca="1" si="121"/>
        <v>50.95</v>
      </c>
      <c r="L223">
        <f t="shared" ca="1" si="122"/>
        <v>2.1389677043987478</v>
      </c>
      <c r="M223">
        <f t="shared" ca="1" si="95"/>
        <v>11.122632062873489</v>
      </c>
      <c r="N223">
        <f t="shared" ca="1" si="96"/>
        <v>1.1735290000551568</v>
      </c>
      <c r="O223">
        <f t="shared" ca="1" si="97"/>
        <v>4.5807502857230418</v>
      </c>
      <c r="P223">
        <f t="shared" ca="1" si="98"/>
        <v>634.62046770439872</v>
      </c>
      <c r="Q223">
        <f t="shared" ca="1" si="99"/>
        <v>635.68995155659809</v>
      </c>
      <c r="R223">
        <f t="shared" ca="1" si="100"/>
        <v>3.8141460404132466E-3</v>
      </c>
      <c r="S223">
        <f t="shared" ca="1" si="101"/>
        <v>1.0000000000000004</v>
      </c>
      <c r="T223">
        <f t="shared" ca="1" si="102"/>
        <v>35.686426155594638</v>
      </c>
      <c r="U223">
        <f t="shared" ca="1" si="123"/>
        <v>-3.4157470064428708E-3</v>
      </c>
      <c r="V223">
        <f t="shared" ca="1" si="124"/>
        <v>1</v>
      </c>
      <c r="W223">
        <f t="shared" ca="1" si="103"/>
        <v>2.1381886436890443</v>
      </c>
      <c r="X223">
        <f t="shared" ca="1" si="104"/>
        <v>11.11858094718303</v>
      </c>
      <c r="Y223">
        <f t="shared" ca="1" si="105"/>
        <v>1.1732944573652897</v>
      </c>
      <c r="Z223">
        <f t="shared" ca="1" si="106"/>
        <v>4.5824193071066803</v>
      </c>
      <c r="AA223">
        <f t="shared" ca="1" si="107"/>
        <v>634.61968864368907</v>
      </c>
      <c r="AB223">
        <f t="shared" ca="1" si="108"/>
        <v>635.68995198243238</v>
      </c>
      <c r="AC223">
        <f t="shared" ca="1" si="109"/>
        <v>3.8179433334236904E-3</v>
      </c>
      <c r="AD223">
        <f t="shared" ca="1" si="110"/>
        <v>1.0005465829720761</v>
      </c>
      <c r="AE223">
        <f t="shared" ca="1" si="111"/>
        <v>35.686430890842168</v>
      </c>
      <c r="AF223">
        <f t="shared" ca="1" si="112"/>
        <v>3.3179433333998531E-3</v>
      </c>
      <c r="AG223">
        <f t="shared" ca="1" si="113"/>
        <v>0</v>
      </c>
      <c r="AH223">
        <f ca="1">IFERROR(IF(V32="Supercritical",MAX($D$16,IFERROR(L223,MAX($D$16,POWER((ABS(K223)^2)/($I$5*MAX(F223,0.1)^2),1/3)))),IF(V32="Subcritical",MAX($D$16,IFERROR(W223,MAX($D$16,POWER((ABS(K223)^2)/($I$5*MAX(F223,0.1)^2),1/3)))),IF(AND(IFERROR(V223,0)=1,IFERROR(AG223,0)=1),IF(IFERROR(T223,-1E+99)&gt;=IFERROR(AE223,-1E+99),MAX($D$16,IFERROR(L223,MAX($D$16,POWER((ABS(K223)^2)/($I$5*MAX(F223,0.1)^2),1/3)))),MAX($D$16,IFERROR(W223,MAX($D$16,POWER((ABS(K223)^2)/($I$5*MAX(F223,0.1)^2),1/3))))),IF(IFERROR(V223,0)=1,MAX($D$16,IFERROR(L223,MAX($D$16,POWER((ABS(K223)^2)/($I$5*MAX(F223,0.1)^2),1/3)))),IF(IFERROR(AG223,0)=1,MAX($D$16,IFERROR(W223,MAX($D$16,POWER((ABS(K223)^2)/($I$5*MAX(F223,0.1)^2),1/3)))),MAX($D$16,POWER((ABS(K223)^2)/($I$5*MAX(F223,0.1)^2),1/3))))))),MAX($D$16,POWER((ABS(K223)^2)/($I$5*MAX(F223,0.1)^2),1/3)))</f>
        <v>2.1389677043987478</v>
      </c>
      <c r="AI223">
        <f t="shared" ca="1" si="114"/>
        <v>634.62046770439872</v>
      </c>
      <c r="AJ223">
        <f t="shared" ca="1" si="115"/>
        <v>635.68995155659809</v>
      </c>
      <c r="AM223">
        <v>0</v>
      </c>
      <c r="AN223">
        <v>0</v>
      </c>
      <c r="AO223">
        <f t="shared" si="116"/>
        <v>0</v>
      </c>
      <c r="AP223">
        <f t="shared" si="125"/>
        <v>0</v>
      </c>
      <c r="AQ223">
        <f t="shared" ca="1" si="117"/>
        <v>1.0000000000000004</v>
      </c>
      <c r="AR223" t="str">
        <f t="shared" ca="1" si="118"/>
        <v>Supercritical</v>
      </c>
      <c r="AS223">
        <f t="shared" ca="1" si="119"/>
        <v>3.8141460404132466E-3</v>
      </c>
    </row>
    <row r="224" spans="1:45" x14ac:dyDescent="0.35">
      <c r="A224">
        <v>163</v>
      </c>
      <c r="B224">
        <v>161.99700000000001</v>
      </c>
      <c r="C224">
        <v>616422.73199999996</v>
      </c>
      <c r="D224">
        <v>3097693.054</v>
      </c>
      <c r="E224">
        <v>632.48099999999999</v>
      </c>
      <c r="F224">
        <v>5.2</v>
      </c>
      <c r="G224">
        <v>0</v>
      </c>
      <c r="H224" t="s">
        <v>154</v>
      </c>
      <c r="I224">
        <v>0</v>
      </c>
      <c r="J224">
        <f t="shared" si="120"/>
        <v>1</v>
      </c>
      <c r="K224">
        <f t="shared" ca="1" si="121"/>
        <v>50.95</v>
      </c>
      <c r="L224">
        <f t="shared" ca="1" si="122"/>
        <v>2.1389677043987478</v>
      </c>
      <c r="M224">
        <f t="shared" ca="1" si="95"/>
        <v>11.122632062873489</v>
      </c>
      <c r="N224">
        <f t="shared" ca="1" si="96"/>
        <v>1.1735290000551568</v>
      </c>
      <c r="O224">
        <f t="shared" ca="1" si="97"/>
        <v>4.5807502857230418</v>
      </c>
      <c r="P224">
        <f t="shared" ca="1" si="98"/>
        <v>634.61996770439873</v>
      </c>
      <c r="Q224">
        <f t="shared" ca="1" si="99"/>
        <v>635.6894515565981</v>
      </c>
      <c r="R224">
        <f t="shared" ca="1" si="100"/>
        <v>3.8141460404132466E-3</v>
      </c>
      <c r="S224">
        <f t="shared" ca="1" si="101"/>
        <v>1.0000000000000004</v>
      </c>
      <c r="T224">
        <f t="shared" ca="1" si="102"/>
        <v>35.686426155594638</v>
      </c>
      <c r="U224">
        <f t="shared" ca="1" si="123"/>
        <v>-3.3141460404522149E-3</v>
      </c>
      <c r="V224">
        <f t="shared" ca="1" si="124"/>
        <v>1</v>
      </c>
      <c r="W224">
        <f t="shared" ca="1" si="103"/>
        <v>2.1373203735079915</v>
      </c>
      <c r="X224">
        <f t="shared" ca="1" si="104"/>
        <v>11.114065942241556</v>
      </c>
      <c r="Y224">
        <f t="shared" ca="1" si="105"/>
        <v>1.1730329665261352</v>
      </c>
      <c r="Z224">
        <f t="shared" ca="1" si="106"/>
        <v>4.5842808801730106</v>
      </c>
      <c r="AA224">
        <f t="shared" ca="1" si="107"/>
        <v>634.61832037350803</v>
      </c>
      <c r="AB224">
        <f t="shared" ca="1" si="108"/>
        <v>635.68945346159774</v>
      </c>
      <c r="AC224">
        <f t="shared" ca="1" si="109"/>
        <v>3.8221817362197445E-3</v>
      </c>
      <c r="AD224">
        <f t="shared" ca="1" si="110"/>
        <v>1.0011563415729299</v>
      </c>
      <c r="AE224">
        <f t="shared" ca="1" si="111"/>
        <v>35.686447333323514</v>
      </c>
      <c r="AF224">
        <f t="shared" ca="1" si="112"/>
        <v>3.4239393796724471E-3</v>
      </c>
      <c r="AG224">
        <f t="shared" ca="1" si="113"/>
        <v>0</v>
      </c>
      <c r="AH224">
        <f ca="1">IFERROR(IF(V32="Supercritical",MAX($D$16,IFERROR(L224,MAX($D$16,POWER((ABS(K224)^2)/($I$5*MAX(F224,0.1)^2),1/3)))),IF(V32="Subcritical",MAX($D$16,IFERROR(W224,MAX($D$16,POWER((ABS(K224)^2)/($I$5*MAX(F224,0.1)^2),1/3)))),IF(AND(IFERROR(V224,0)=1,IFERROR(AG224,0)=1),IF(IFERROR(T224,-1E+99)&gt;=IFERROR(AE224,-1E+99),MAX($D$16,IFERROR(L224,MAX($D$16,POWER((ABS(K224)^2)/($I$5*MAX(F224,0.1)^2),1/3)))),MAX($D$16,IFERROR(W224,MAX($D$16,POWER((ABS(K224)^2)/($I$5*MAX(F224,0.1)^2),1/3))))),IF(IFERROR(V224,0)=1,MAX($D$16,IFERROR(L224,MAX($D$16,POWER((ABS(K224)^2)/($I$5*MAX(F224,0.1)^2),1/3)))),IF(IFERROR(AG224,0)=1,MAX($D$16,IFERROR(W224,MAX($D$16,POWER((ABS(K224)^2)/($I$5*MAX(F224,0.1)^2),1/3)))),MAX($D$16,POWER((ABS(K224)^2)/($I$5*MAX(F224,0.1)^2),1/3))))))),MAX($D$16,POWER((ABS(K224)^2)/($I$5*MAX(F224,0.1)^2),1/3)))</f>
        <v>2.1389677043987478</v>
      </c>
      <c r="AI224">
        <f t="shared" ca="1" si="114"/>
        <v>634.61996770439873</v>
      </c>
      <c r="AJ224">
        <f t="shared" ca="1" si="115"/>
        <v>635.6894515565981</v>
      </c>
      <c r="AM224">
        <v>0</v>
      </c>
      <c r="AN224">
        <v>0</v>
      </c>
      <c r="AO224">
        <f t="shared" si="116"/>
        <v>0</v>
      </c>
      <c r="AP224">
        <f t="shared" si="125"/>
        <v>0</v>
      </c>
      <c r="AQ224">
        <f t="shared" ca="1" si="117"/>
        <v>1.0000000000000004</v>
      </c>
      <c r="AR224" t="str">
        <f t="shared" ca="1" si="118"/>
        <v>Supercritical</v>
      </c>
      <c r="AS224">
        <f t="shared" ca="1" si="119"/>
        <v>3.8141460404132466E-3</v>
      </c>
    </row>
    <row r="225" spans="1:45" x14ac:dyDescent="0.35">
      <c r="A225">
        <v>164</v>
      </c>
      <c r="B225">
        <v>162.99700000000001</v>
      </c>
      <c r="C225">
        <v>616421.73300000001</v>
      </c>
      <c r="D225">
        <v>3097693.0060000001</v>
      </c>
      <c r="E225">
        <v>632.48050000000001</v>
      </c>
      <c r="F225">
        <v>5.2</v>
      </c>
      <c r="G225">
        <v>0</v>
      </c>
      <c r="H225" t="s">
        <v>154</v>
      </c>
      <c r="I225">
        <v>5.7000000000000002E-2</v>
      </c>
      <c r="J225">
        <f t="shared" si="120"/>
        <v>1</v>
      </c>
      <c r="K225">
        <f t="shared" ca="1" si="121"/>
        <v>50.95</v>
      </c>
      <c r="L225">
        <f t="shared" ca="1" si="122"/>
        <v>2.1389677043987478</v>
      </c>
      <c r="M225">
        <f t="shared" ca="1" si="95"/>
        <v>11.122632062873489</v>
      </c>
      <c r="N225">
        <f t="shared" ca="1" si="96"/>
        <v>1.1735290000551568</v>
      </c>
      <c r="O225">
        <f t="shared" ca="1" si="97"/>
        <v>4.5807502857230418</v>
      </c>
      <c r="P225">
        <f t="shared" ca="1" si="98"/>
        <v>634.61946770439874</v>
      </c>
      <c r="Q225">
        <f t="shared" ca="1" si="99"/>
        <v>635.68895155659811</v>
      </c>
      <c r="R225">
        <f t="shared" ca="1" si="100"/>
        <v>3.8141460404132466E-3</v>
      </c>
      <c r="S225">
        <f t="shared" ca="1" si="101"/>
        <v>1.0000000000000004</v>
      </c>
      <c r="T225">
        <f t="shared" ca="1" si="102"/>
        <v>35.686426155594638</v>
      </c>
      <c r="U225">
        <f t="shared" ca="1" si="123"/>
        <v>-3.4157470064428708E-3</v>
      </c>
      <c r="V225">
        <f t="shared" ca="1" si="124"/>
        <v>1</v>
      </c>
      <c r="W225">
        <f t="shared" ca="1" si="103"/>
        <v>2.1381886436890443</v>
      </c>
      <c r="X225">
        <f t="shared" ca="1" si="104"/>
        <v>11.11858094718303</v>
      </c>
      <c r="Y225">
        <f t="shared" ca="1" si="105"/>
        <v>1.1732944573652897</v>
      </c>
      <c r="Z225">
        <f t="shared" ca="1" si="106"/>
        <v>4.5824193071066803</v>
      </c>
      <c r="AA225">
        <f t="shared" ca="1" si="107"/>
        <v>634.6186886436891</v>
      </c>
      <c r="AB225">
        <f t="shared" ca="1" si="108"/>
        <v>635.6889519824324</v>
      </c>
      <c r="AC225">
        <f t="shared" ca="1" si="109"/>
        <v>3.8179433334236904E-3</v>
      </c>
      <c r="AD225">
        <f t="shared" ca="1" si="110"/>
        <v>1.0005465829720761</v>
      </c>
      <c r="AE225">
        <f t="shared" ca="1" si="111"/>
        <v>35.686430890842168</v>
      </c>
      <c r="AF225">
        <f t="shared" ca="1" si="112"/>
        <v>3.4249696673214203E-3</v>
      </c>
      <c r="AG225">
        <f t="shared" ca="1" si="113"/>
        <v>0</v>
      </c>
      <c r="AH225">
        <f ca="1">IFERROR(IF(V32="Supercritical",MAX($D$16,IFERROR(L225,MAX($D$16,POWER((ABS(K225)^2)/($I$5*MAX(F225,0.1)^2),1/3)))),IF(V32="Subcritical",MAX($D$16,IFERROR(W225,MAX($D$16,POWER((ABS(K225)^2)/($I$5*MAX(F225,0.1)^2),1/3)))),IF(AND(IFERROR(V225,0)=1,IFERROR(AG225,0)=1),IF(IFERROR(T225,-1E+99)&gt;=IFERROR(AE225,-1E+99),MAX($D$16,IFERROR(L225,MAX($D$16,POWER((ABS(K225)^2)/($I$5*MAX(F225,0.1)^2),1/3)))),MAX($D$16,IFERROR(W225,MAX($D$16,POWER((ABS(K225)^2)/($I$5*MAX(F225,0.1)^2),1/3))))),IF(IFERROR(V225,0)=1,MAX($D$16,IFERROR(L225,MAX($D$16,POWER((ABS(K225)^2)/($I$5*MAX(F225,0.1)^2),1/3)))),IF(IFERROR(AG225,0)=1,MAX($D$16,IFERROR(W225,MAX($D$16,POWER((ABS(K225)^2)/($I$5*MAX(F225,0.1)^2),1/3)))),MAX($D$16,POWER((ABS(K225)^2)/($I$5*MAX(F225,0.1)^2),1/3))))))),MAX($D$16,POWER((ABS(K225)^2)/($I$5*MAX(F225,0.1)^2),1/3)))</f>
        <v>2.1389677043987478</v>
      </c>
      <c r="AI225">
        <f t="shared" ca="1" si="114"/>
        <v>634.61946770439874</v>
      </c>
      <c r="AJ225">
        <f t="shared" ca="1" si="115"/>
        <v>635.68895155659811</v>
      </c>
      <c r="AM225">
        <v>0</v>
      </c>
      <c r="AN225">
        <v>0</v>
      </c>
      <c r="AO225">
        <f t="shared" si="116"/>
        <v>0</v>
      </c>
      <c r="AP225">
        <f t="shared" si="125"/>
        <v>0</v>
      </c>
      <c r="AQ225">
        <f t="shared" ca="1" si="117"/>
        <v>1.0000000000000004</v>
      </c>
      <c r="AR225" t="str">
        <f t="shared" ca="1" si="118"/>
        <v>Supercritical</v>
      </c>
      <c r="AS225">
        <f t="shared" ca="1" si="119"/>
        <v>3.8141460404132466E-3</v>
      </c>
    </row>
    <row r="226" spans="1:45" x14ac:dyDescent="0.35">
      <c r="A226">
        <v>165</v>
      </c>
      <c r="B226">
        <v>163.99700000000001</v>
      </c>
      <c r="C226">
        <v>616420.73400000005</v>
      </c>
      <c r="D226">
        <v>3097692.9589999998</v>
      </c>
      <c r="E226">
        <v>632.48</v>
      </c>
      <c r="F226">
        <v>5.2</v>
      </c>
      <c r="G226">
        <v>0</v>
      </c>
      <c r="H226" t="s">
        <v>154</v>
      </c>
      <c r="I226">
        <v>0.06</v>
      </c>
      <c r="J226">
        <f t="shared" si="120"/>
        <v>1</v>
      </c>
      <c r="K226">
        <f t="shared" ca="1" si="121"/>
        <v>50.95</v>
      </c>
      <c r="L226">
        <f t="shared" ca="1" si="122"/>
        <v>2.1389677043987478</v>
      </c>
      <c r="M226">
        <f t="shared" ca="1" si="95"/>
        <v>11.122632062873489</v>
      </c>
      <c r="N226">
        <f t="shared" ca="1" si="96"/>
        <v>1.1735290000551568</v>
      </c>
      <c r="O226">
        <f t="shared" ca="1" si="97"/>
        <v>4.5807502857230418</v>
      </c>
      <c r="P226">
        <f t="shared" ca="1" si="98"/>
        <v>634.61896770439876</v>
      </c>
      <c r="Q226">
        <f t="shared" ca="1" si="99"/>
        <v>635.68845155659812</v>
      </c>
      <c r="R226">
        <f t="shared" ca="1" si="100"/>
        <v>3.8141460404132466E-3</v>
      </c>
      <c r="S226">
        <f t="shared" ca="1" si="101"/>
        <v>1.0000000000000004</v>
      </c>
      <c r="T226">
        <f t="shared" ca="1" si="102"/>
        <v>35.686426155594638</v>
      </c>
      <c r="U226">
        <f t="shared" ca="1" si="123"/>
        <v>-3.4210944256756193E-3</v>
      </c>
      <c r="V226">
        <f t="shared" ca="1" si="124"/>
        <v>1</v>
      </c>
      <c r="W226">
        <f t="shared" ca="1" si="103"/>
        <v>2.1373203735079915</v>
      </c>
      <c r="X226">
        <f t="shared" ca="1" si="104"/>
        <v>11.114065942241556</v>
      </c>
      <c r="Y226">
        <f t="shared" ca="1" si="105"/>
        <v>1.1730329665261352</v>
      </c>
      <c r="Z226">
        <f t="shared" ca="1" si="106"/>
        <v>4.5842808801730106</v>
      </c>
      <c r="AA226">
        <f t="shared" ca="1" si="107"/>
        <v>634.61732037350805</v>
      </c>
      <c r="AB226">
        <f t="shared" ca="1" si="108"/>
        <v>635.68845346159776</v>
      </c>
      <c r="AC226">
        <f t="shared" ca="1" si="109"/>
        <v>3.8221817362197445E-3</v>
      </c>
      <c r="AD226">
        <f t="shared" ca="1" si="110"/>
        <v>1.0011563415729299</v>
      </c>
      <c r="AE226">
        <f t="shared" ca="1" si="111"/>
        <v>35.686447333323514</v>
      </c>
      <c r="AF226">
        <f t="shared" ca="1" si="112"/>
        <v>3.4254728632276965E-3</v>
      </c>
      <c r="AG226">
        <f t="shared" ca="1" si="113"/>
        <v>0</v>
      </c>
      <c r="AH226">
        <f ca="1">IFERROR(IF(V32="Supercritical",MAX($D$16,IFERROR(L226,MAX($D$16,POWER((ABS(K226)^2)/($I$5*MAX(F226,0.1)^2),1/3)))),IF(V32="Subcritical",MAX($D$16,IFERROR(W226,MAX($D$16,POWER((ABS(K226)^2)/($I$5*MAX(F226,0.1)^2),1/3)))),IF(AND(IFERROR(V226,0)=1,IFERROR(AG226,0)=1),IF(IFERROR(T226,-1E+99)&gt;=IFERROR(AE226,-1E+99),MAX($D$16,IFERROR(L226,MAX($D$16,POWER((ABS(K226)^2)/($I$5*MAX(F226,0.1)^2),1/3)))),MAX($D$16,IFERROR(W226,MAX($D$16,POWER((ABS(K226)^2)/($I$5*MAX(F226,0.1)^2),1/3))))),IF(IFERROR(V226,0)=1,MAX($D$16,IFERROR(L226,MAX($D$16,POWER((ABS(K226)^2)/($I$5*MAX(F226,0.1)^2),1/3)))),IF(IFERROR(AG226,0)=1,MAX($D$16,IFERROR(W226,MAX($D$16,POWER((ABS(K226)^2)/($I$5*MAX(F226,0.1)^2),1/3)))),MAX($D$16,POWER((ABS(K226)^2)/($I$5*MAX(F226,0.1)^2),1/3))))))),MAX($D$16,POWER((ABS(K226)^2)/($I$5*MAX(F226,0.1)^2),1/3)))</f>
        <v>2.1389677043987478</v>
      </c>
      <c r="AI226">
        <f t="shared" ca="1" si="114"/>
        <v>634.61896770439876</v>
      </c>
      <c r="AJ226">
        <f t="shared" ca="1" si="115"/>
        <v>635.68845155659812</v>
      </c>
      <c r="AM226">
        <v>0</v>
      </c>
      <c r="AN226">
        <v>0</v>
      </c>
      <c r="AO226">
        <f t="shared" si="116"/>
        <v>0</v>
      </c>
      <c r="AP226">
        <f t="shared" si="125"/>
        <v>0</v>
      </c>
      <c r="AQ226">
        <f t="shared" ca="1" si="117"/>
        <v>1.0000000000000004</v>
      </c>
      <c r="AR226" t="str">
        <f t="shared" ca="1" si="118"/>
        <v>Supercritical</v>
      </c>
      <c r="AS226">
        <f t="shared" ca="1" si="119"/>
        <v>3.8141460404132466E-3</v>
      </c>
    </row>
    <row r="227" spans="1:45" x14ac:dyDescent="0.35">
      <c r="A227">
        <v>166</v>
      </c>
      <c r="B227">
        <v>164.99600000000001</v>
      </c>
      <c r="C227">
        <v>616419.73600000003</v>
      </c>
      <c r="D227">
        <v>3097692.9109999998</v>
      </c>
      <c r="E227">
        <v>632.47950000000003</v>
      </c>
      <c r="F227">
        <v>5.2</v>
      </c>
      <c r="G227">
        <v>0</v>
      </c>
      <c r="H227" t="s">
        <v>154</v>
      </c>
      <c r="I227">
        <v>0.06</v>
      </c>
      <c r="J227">
        <f t="shared" si="120"/>
        <v>0.99899999999999523</v>
      </c>
      <c r="K227">
        <f t="shared" ca="1" si="121"/>
        <v>50.95</v>
      </c>
      <c r="L227">
        <f t="shared" ca="1" si="122"/>
        <v>2.1389677043987478</v>
      </c>
      <c r="M227">
        <f t="shared" ca="1" si="95"/>
        <v>11.122632062873489</v>
      </c>
      <c r="N227">
        <f t="shared" ca="1" si="96"/>
        <v>1.1735290000551568</v>
      </c>
      <c r="O227">
        <f t="shared" ca="1" si="97"/>
        <v>4.5807502857230418</v>
      </c>
      <c r="P227">
        <f t="shared" ca="1" si="98"/>
        <v>634.61846770439877</v>
      </c>
      <c r="Q227">
        <f t="shared" ca="1" si="99"/>
        <v>635.68795155659814</v>
      </c>
      <c r="R227">
        <f t="shared" ca="1" si="100"/>
        <v>3.8141460404132466E-3</v>
      </c>
      <c r="S227">
        <f t="shared" ca="1" si="101"/>
        <v>1.0000000000000004</v>
      </c>
      <c r="T227">
        <f t="shared" ca="1" si="102"/>
        <v>35.686426155594638</v>
      </c>
      <c r="U227">
        <f t="shared" ca="1" si="123"/>
        <v>-3.4172802795637836E-3</v>
      </c>
      <c r="V227">
        <f t="shared" ca="1" si="124"/>
        <v>1</v>
      </c>
      <c r="W227">
        <f t="shared" ca="1" si="103"/>
        <v>2.1381886436890443</v>
      </c>
      <c r="X227">
        <f t="shared" ca="1" si="104"/>
        <v>11.11858094718303</v>
      </c>
      <c r="Y227">
        <f t="shared" ca="1" si="105"/>
        <v>1.1732944573652897</v>
      </c>
      <c r="Z227">
        <f t="shared" ca="1" si="106"/>
        <v>4.5824193071066803</v>
      </c>
      <c r="AA227">
        <f t="shared" ca="1" si="107"/>
        <v>634.61768864368912</v>
      </c>
      <c r="AB227">
        <f t="shared" ca="1" si="108"/>
        <v>635.68795198243242</v>
      </c>
      <c r="AC227">
        <f t="shared" ca="1" si="109"/>
        <v>3.8179433334236904E-3</v>
      </c>
      <c r="AD227">
        <f t="shared" ca="1" si="110"/>
        <v>1.0005465829720761</v>
      </c>
      <c r="AE227">
        <f t="shared" ca="1" si="111"/>
        <v>35.686430890842168</v>
      </c>
      <c r="AF227">
        <f t="shared" ca="1" si="112"/>
        <v>3.4234362939287166E-3</v>
      </c>
      <c r="AG227">
        <f t="shared" ca="1" si="113"/>
        <v>0</v>
      </c>
      <c r="AH227">
        <f ca="1">IFERROR(IF(V32="Supercritical",MAX($D$16,IFERROR(L227,MAX($D$16,POWER((ABS(K227)^2)/($I$5*MAX(F227,0.1)^2),1/3)))),IF(V32="Subcritical",MAX($D$16,IFERROR(W227,MAX($D$16,POWER((ABS(K227)^2)/($I$5*MAX(F227,0.1)^2),1/3)))),IF(AND(IFERROR(V227,0)=1,IFERROR(AG227,0)=1),IF(IFERROR(T227,-1E+99)&gt;=IFERROR(AE227,-1E+99),MAX($D$16,IFERROR(L227,MAX($D$16,POWER((ABS(K227)^2)/($I$5*MAX(F227,0.1)^2),1/3)))),MAX($D$16,IFERROR(W227,MAX($D$16,POWER((ABS(K227)^2)/($I$5*MAX(F227,0.1)^2),1/3))))),IF(IFERROR(V227,0)=1,MAX($D$16,IFERROR(L227,MAX($D$16,POWER((ABS(K227)^2)/($I$5*MAX(F227,0.1)^2),1/3)))),IF(IFERROR(AG227,0)=1,MAX($D$16,IFERROR(W227,MAX($D$16,POWER((ABS(K227)^2)/($I$5*MAX(F227,0.1)^2),1/3)))),MAX($D$16,POWER((ABS(K227)^2)/($I$5*MAX(F227,0.1)^2),1/3))))))),MAX($D$16,POWER((ABS(K227)^2)/($I$5*MAX(F227,0.1)^2),1/3)))</f>
        <v>2.1389677043987478</v>
      </c>
      <c r="AI227">
        <f t="shared" ca="1" si="114"/>
        <v>634.61846770439877</v>
      </c>
      <c r="AJ227">
        <f t="shared" ca="1" si="115"/>
        <v>635.68795155659814</v>
      </c>
      <c r="AM227">
        <v>0</v>
      </c>
      <c r="AN227">
        <v>0</v>
      </c>
      <c r="AO227">
        <f t="shared" si="116"/>
        <v>0</v>
      </c>
      <c r="AP227">
        <f t="shared" si="125"/>
        <v>0</v>
      </c>
      <c r="AQ227">
        <f t="shared" ca="1" si="117"/>
        <v>1.0000000000000004</v>
      </c>
      <c r="AR227" t="str">
        <f t="shared" ca="1" si="118"/>
        <v>Supercritical</v>
      </c>
      <c r="AS227">
        <f t="shared" ca="1" si="119"/>
        <v>3.8141460404132466E-3</v>
      </c>
    </row>
    <row r="228" spans="1:45" x14ac:dyDescent="0.35">
      <c r="A228">
        <v>167</v>
      </c>
      <c r="B228">
        <v>165.99700000000001</v>
      </c>
      <c r="C228">
        <v>616418.73699999996</v>
      </c>
      <c r="D228">
        <v>3097692.8640000001</v>
      </c>
      <c r="E228">
        <v>632.47900000000004</v>
      </c>
      <c r="F228">
        <v>5.2</v>
      </c>
      <c r="G228">
        <v>0</v>
      </c>
      <c r="H228" t="s">
        <v>154</v>
      </c>
      <c r="I228">
        <v>5.7000000000000002E-2</v>
      </c>
      <c r="J228">
        <f t="shared" si="120"/>
        <v>1.0010000000000048</v>
      </c>
      <c r="K228">
        <f t="shared" ca="1" si="121"/>
        <v>50.95</v>
      </c>
      <c r="L228">
        <f t="shared" ca="1" si="122"/>
        <v>2.1389677043987478</v>
      </c>
      <c r="M228">
        <f t="shared" ca="1" si="95"/>
        <v>11.122632062873489</v>
      </c>
      <c r="N228">
        <f t="shared" ca="1" si="96"/>
        <v>1.1735290000551568</v>
      </c>
      <c r="O228">
        <f t="shared" ca="1" si="97"/>
        <v>4.5807502857230418</v>
      </c>
      <c r="P228">
        <f t="shared" ca="1" si="98"/>
        <v>634.61796770439878</v>
      </c>
      <c r="Q228">
        <f t="shared" ca="1" si="99"/>
        <v>635.68745155659815</v>
      </c>
      <c r="R228">
        <f t="shared" ca="1" si="100"/>
        <v>3.8141460404132466E-3</v>
      </c>
      <c r="S228">
        <f t="shared" ca="1" si="101"/>
        <v>1.0000000000000004</v>
      </c>
      <c r="T228">
        <f t="shared" ca="1" si="102"/>
        <v>35.686426155594638</v>
      </c>
      <c r="U228">
        <f t="shared" ca="1" si="123"/>
        <v>-3.4195611524410197E-3</v>
      </c>
      <c r="V228">
        <f t="shared" ca="1" si="124"/>
        <v>1</v>
      </c>
      <c r="W228">
        <f t="shared" ca="1" si="103"/>
        <v>2.1373203735079915</v>
      </c>
      <c r="X228">
        <f t="shared" ca="1" si="104"/>
        <v>11.114065942241556</v>
      </c>
      <c r="Y228">
        <f t="shared" ca="1" si="105"/>
        <v>1.1730329665261352</v>
      </c>
      <c r="Z228">
        <f t="shared" ca="1" si="106"/>
        <v>4.5842808801730106</v>
      </c>
      <c r="AA228">
        <f t="shared" ca="1" si="107"/>
        <v>634.61632037350807</v>
      </c>
      <c r="AB228">
        <f t="shared" ca="1" si="108"/>
        <v>635.68745346159778</v>
      </c>
      <c r="AC228">
        <f t="shared" ca="1" si="109"/>
        <v>3.8221817362197445E-3</v>
      </c>
      <c r="AD228">
        <f t="shared" ca="1" si="110"/>
        <v>1.0011563415729299</v>
      </c>
      <c r="AE228">
        <f t="shared" ca="1" si="111"/>
        <v>35.686447333323514</v>
      </c>
      <c r="AF228">
        <f t="shared" ca="1" si="112"/>
        <v>3.3221817362800721E-3</v>
      </c>
      <c r="AG228">
        <f t="shared" ca="1" si="113"/>
        <v>0</v>
      </c>
      <c r="AH228">
        <f ca="1">IFERROR(IF(V32="Supercritical",MAX($D$16,IFERROR(L228,MAX($D$16,POWER((ABS(K228)^2)/($I$5*MAX(F228,0.1)^2),1/3)))),IF(V32="Subcritical",MAX($D$16,IFERROR(W228,MAX($D$16,POWER((ABS(K228)^2)/($I$5*MAX(F228,0.1)^2),1/3)))),IF(AND(IFERROR(V228,0)=1,IFERROR(AG228,0)=1),IF(IFERROR(T228,-1E+99)&gt;=IFERROR(AE228,-1E+99),MAX($D$16,IFERROR(L228,MAX($D$16,POWER((ABS(K228)^2)/($I$5*MAX(F228,0.1)^2),1/3)))),MAX($D$16,IFERROR(W228,MAX($D$16,POWER((ABS(K228)^2)/($I$5*MAX(F228,0.1)^2),1/3))))),IF(IFERROR(V228,0)=1,MAX($D$16,IFERROR(L228,MAX($D$16,POWER((ABS(K228)^2)/($I$5*MAX(F228,0.1)^2),1/3)))),IF(IFERROR(AG228,0)=1,MAX($D$16,IFERROR(W228,MAX($D$16,POWER((ABS(K228)^2)/($I$5*MAX(F228,0.1)^2),1/3)))),MAX($D$16,POWER((ABS(K228)^2)/($I$5*MAX(F228,0.1)^2),1/3))))))),MAX($D$16,POWER((ABS(K228)^2)/($I$5*MAX(F228,0.1)^2),1/3)))</f>
        <v>2.1389677043987478</v>
      </c>
      <c r="AI228">
        <f t="shared" ca="1" si="114"/>
        <v>634.61796770439878</v>
      </c>
      <c r="AJ228">
        <f t="shared" ca="1" si="115"/>
        <v>635.68745155659815</v>
      </c>
      <c r="AM228">
        <v>0</v>
      </c>
      <c r="AN228">
        <v>0</v>
      </c>
      <c r="AO228">
        <f t="shared" si="116"/>
        <v>0</v>
      </c>
      <c r="AP228">
        <f t="shared" si="125"/>
        <v>0</v>
      </c>
      <c r="AQ228">
        <f t="shared" ca="1" si="117"/>
        <v>1.0000000000000004</v>
      </c>
      <c r="AR228" t="str">
        <f t="shared" ca="1" si="118"/>
        <v>Supercritical</v>
      </c>
      <c r="AS228">
        <f t="shared" ca="1" si="119"/>
        <v>3.8141460404132466E-3</v>
      </c>
    </row>
    <row r="229" spans="1:45" x14ac:dyDescent="0.35">
      <c r="A229">
        <v>168</v>
      </c>
      <c r="B229">
        <v>166.99700000000001</v>
      </c>
      <c r="C229">
        <v>616417.73800000001</v>
      </c>
      <c r="D229">
        <v>3097692.8160000001</v>
      </c>
      <c r="E229">
        <v>632.47850000000005</v>
      </c>
      <c r="F229">
        <v>5.2</v>
      </c>
      <c r="G229">
        <v>0</v>
      </c>
      <c r="H229" t="s">
        <v>154</v>
      </c>
      <c r="I229">
        <v>0</v>
      </c>
      <c r="J229">
        <f t="shared" si="120"/>
        <v>1</v>
      </c>
      <c r="K229">
        <f t="shared" ca="1" si="121"/>
        <v>50.95</v>
      </c>
      <c r="L229">
        <f t="shared" ca="1" si="122"/>
        <v>2.1389677043987478</v>
      </c>
      <c r="M229">
        <f t="shared" ca="1" si="95"/>
        <v>11.122632062873489</v>
      </c>
      <c r="N229">
        <f t="shared" ca="1" si="96"/>
        <v>1.1735290000551568</v>
      </c>
      <c r="O229">
        <f t="shared" ca="1" si="97"/>
        <v>4.5807502857230418</v>
      </c>
      <c r="P229">
        <f t="shared" ca="1" si="98"/>
        <v>634.61746770439879</v>
      </c>
      <c r="Q229">
        <f t="shared" ca="1" si="99"/>
        <v>635.68695155659816</v>
      </c>
      <c r="R229">
        <f t="shared" ca="1" si="100"/>
        <v>3.8141460404132466E-3</v>
      </c>
      <c r="S229">
        <f t="shared" ca="1" si="101"/>
        <v>1.0000000000000004</v>
      </c>
      <c r="T229">
        <f t="shared" ca="1" si="102"/>
        <v>35.686426155594638</v>
      </c>
      <c r="U229">
        <f t="shared" ca="1" si="123"/>
        <v>-3.3141460404522149E-3</v>
      </c>
      <c r="V229">
        <f t="shared" ca="1" si="124"/>
        <v>1</v>
      </c>
      <c r="W229">
        <f t="shared" ca="1" si="103"/>
        <v>2.1381886436890443</v>
      </c>
      <c r="X229">
        <f t="shared" ca="1" si="104"/>
        <v>11.11858094718303</v>
      </c>
      <c r="Y229">
        <f t="shared" ca="1" si="105"/>
        <v>1.1732944573652897</v>
      </c>
      <c r="Z229">
        <f t="shared" ca="1" si="106"/>
        <v>4.5824193071066803</v>
      </c>
      <c r="AA229">
        <f t="shared" ca="1" si="107"/>
        <v>634.61668864368914</v>
      </c>
      <c r="AB229">
        <f t="shared" ca="1" si="108"/>
        <v>635.68695198243245</v>
      </c>
      <c r="AC229">
        <f t="shared" ca="1" si="109"/>
        <v>3.8179433334236904E-3</v>
      </c>
      <c r="AD229">
        <f t="shared" ca="1" si="110"/>
        <v>1.0005465829720761</v>
      </c>
      <c r="AE229">
        <f t="shared" ca="1" si="111"/>
        <v>35.686430890842168</v>
      </c>
      <c r="AF229">
        <f t="shared" ca="1" si="112"/>
        <v>3.4196183504491273E-3</v>
      </c>
      <c r="AG229">
        <f t="shared" ca="1" si="113"/>
        <v>0</v>
      </c>
      <c r="AH229">
        <f ca="1">IFERROR(IF(V32="Supercritical",MAX($D$16,IFERROR(L229,MAX($D$16,POWER((ABS(K229)^2)/($I$5*MAX(F229,0.1)^2),1/3)))),IF(V32="Subcritical",MAX($D$16,IFERROR(W229,MAX($D$16,POWER((ABS(K229)^2)/($I$5*MAX(F229,0.1)^2),1/3)))),IF(AND(IFERROR(V229,0)=1,IFERROR(AG229,0)=1),IF(IFERROR(T229,-1E+99)&gt;=IFERROR(AE229,-1E+99),MAX($D$16,IFERROR(L229,MAX($D$16,POWER((ABS(K229)^2)/($I$5*MAX(F229,0.1)^2),1/3)))),MAX($D$16,IFERROR(W229,MAX($D$16,POWER((ABS(K229)^2)/($I$5*MAX(F229,0.1)^2),1/3))))),IF(IFERROR(V229,0)=1,MAX($D$16,IFERROR(L229,MAX($D$16,POWER((ABS(K229)^2)/($I$5*MAX(F229,0.1)^2),1/3)))),IF(IFERROR(AG229,0)=1,MAX($D$16,IFERROR(W229,MAX($D$16,POWER((ABS(K229)^2)/($I$5*MAX(F229,0.1)^2),1/3)))),MAX($D$16,POWER((ABS(K229)^2)/($I$5*MAX(F229,0.1)^2),1/3))))))),MAX($D$16,POWER((ABS(K229)^2)/($I$5*MAX(F229,0.1)^2),1/3)))</f>
        <v>2.1389677043987478</v>
      </c>
      <c r="AI229">
        <f t="shared" ca="1" si="114"/>
        <v>634.61746770439879</v>
      </c>
      <c r="AJ229">
        <f t="shared" ca="1" si="115"/>
        <v>635.68695155659816</v>
      </c>
      <c r="AM229">
        <v>0</v>
      </c>
      <c r="AN229">
        <v>0</v>
      </c>
      <c r="AO229">
        <f t="shared" si="116"/>
        <v>0</v>
      </c>
      <c r="AP229">
        <f t="shared" si="125"/>
        <v>0</v>
      </c>
      <c r="AQ229">
        <f t="shared" ca="1" si="117"/>
        <v>1.0000000000000004</v>
      </c>
      <c r="AR229" t="str">
        <f t="shared" ca="1" si="118"/>
        <v>Supercritical</v>
      </c>
      <c r="AS229">
        <f t="shared" ca="1" si="119"/>
        <v>3.8141460404132466E-3</v>
      </c>
    </row>
    <row r="230" spans="1:45" x14ac:dyDescent="0.35">
      <c r="A230">
        <v>169</v>
      </c>
      <c r="B230">
        <v>167.99700000000001</v>
      </c>
      <c r="C230">
        <v>616416.73899999994</v>
      </c>
      <c r="D230">
        <v>3097692.7680000002</v>
      </c>
      <c r="E230">
        <v>632.47799999999995</v>
      </c>
      <c r="F230">
        <v>5.2</v>
      </c>
      <c r="G230">
        <v>0</v>
      </c>
      <c r="H230" t="s">
        <v>154</v>
      </c>
      <c r="I230">
        <v>5.7000000000000002E-2</v>
      </c>
      <c r="J230">
        <f t="shared" si="120"/>
        <v>1</v>
      </c>
      <c r="K230">
        <f t="shared" ca="1" si="121"/>
        <v>50.95</v>
      </c>
      <c r="L230">
        <f t="shared" ca="1" si="122"/>
        <v>2.1389677043987478</v>
      </c>
      <c r="M230">
        <f t="shared" ca="1" si="95"/>
        <v>11.122632062873489</v>
      </c>
      <c r="N230">
        <f t="shared" ca="1" si="96"/>
        <v>1.1735290000551568</v>
      </c>
      <c r="O230">
        <f t="shared" ca="1" si="97"/>
        <v>4.5807502857230418</v>
      </c>
      <c r="P230">
        <f t="shared" ca="1" si="98"/>
        <v>634.61696770439869</v>
      </c>
      <c r="Q230">
        <f t="shared" ca="1" si="99"/>
        <v>635.68645155659806</v>
      </c>
      <c r="R230">
        <f t="shared" ca="1" si="100"/>
        <v>3.8141460404132466E-3</v>
      </c>
      <c r="S230">
        <f t="shared" ca="1" si="101"/>
        <v>1.0000000000000004</v>
      </c>
      <c r="T230">
        <f t="shared" ca="1" si="102"/>
        <v>35.686426155594638</v>
      </c>
      <c r="U230">
        <f t="shared" ca="1" si="123"/>
        <v>-3.4157470063291839E-3</v>
      </c>
      <c r="V230">
        <f t="shared" ca="1" si="124"/>
        <v>1</v>
      </c>
      <c r="W230">
        <f t="shared" ca="1" si="103"/>
        <v>2.1373203735079915</v>
      </c>
      <c r="X230">
        <f t="shared" ca="1" si="104"/>
        <v>11.114065942241556</v>
      </c>
      <c r="Y230">
        <f t="shared" ca="1" si="105"/>
        <v>1.1730329665261352</v>
      </c>
      <c r="Z230">
        <f t="shared" ca="1" si="106"/>
        <v>4.5842808801730106</v>
      </c>
      <c r="AA230">
        <f t="shared" ca="1" si="107"/>
        <v>634.61532037350798</v>
      </c>
      <c r="AB230">
        <f t="shared" ca="1" si="108"/>
        <v>635.68645346159769</v>
      </c>
      <c r="AC230">
        <f t="shared" ca="1" si="109"/>
        <v>3.8221817362197445E-3</v>
      </c>
      <c r="AD230">
        <f t="shared" ca="1" si="110"/>
        <v>1.0011563415729299</v>
      </c>
      <c r="AE230">
        <f t="shared" ca="1" si="111"/>
        <v>35.686447333323514</v>
      </c>
      <c r="AF230">
        <f t="shared" ca="1" si="112"/>
        <v>3.4239393796724471E-3</v>
      </c>
      <c r="AG230">
        <f t="shared" ca="1" si="113"/>
        <v>0</v>
      </c>
      <c r="AH230">
        <f ca="1">IFERROR(IF(V32="Supercritical",MAX($D$16,IFERROR(L230,MAX($D$16,POWER((ABS(K230)^2)/($I$5*MAX(F230,0.1)^2),1/3)))),IF(V32="Subcritical",MAX($D$16,IFERROR(W230,MAX($D$16,POWER((ABS(K230)^2)/($I$5*MAX(F230,0.1)^2),1/3)))),IF(AND(IFERROR(V230,0)=1,IFERROR(AG230,0)=1),IF(IFERROR(T230,-1E+99)&gt;=IFERROR(AE230,-1E+99),MAX($D$16,IFERROR(L230,MAX($D$16,POWER((ABS(K230)^2)/($I$5*MAX(F230,0.1)^2),1/3)))),MAX($D$16,IFERROR(W230,MAX($D$16,POWER((ABS(K230)^2)/($I$5*MAX(F230,0.1)^2),1/3))))),IF(IFERROR(V230,0)=1,MAX($D$16,IFERROR(L230,MAX($D$16,POWER((ABS(K230)^2)/($I$5*MAX(F230,0.1)^2),1/3)))),IF(IFERROR(AG230,0)=1,MAX($D$16,IFERROR(W230,MAX($D$16,POWER((ABS(K230)^2)/($I$5*MAX(F230,0.1)^2),1/3)))),MAX($D$16,POWER((ABS(K230)^2)/($I$5*MAX(F230,0.1)^2),1/3))))))),MAX($D$16,POWER((ABS(K230)^2)/($I$5*MAX(F230,0.1)^2),1/3)))</f>
        <v>2.1389677043987478</v>
      </c>
      <c r="AI230">
        <f t="shared" ca="1" si="114"/>
        <v>634.61696770439869</v>
      </c>
      <c r="AJ230">
        <f t="shared" ca="1" si="115"/>
        <v>635.68645155659806</v>
      </c>
      <c r="AM230">
        <v>0</v>
      </c>
      <c r="AN230">
        <v>0</v>
      </c>
      <c r="AO230">
        <f t="shared" si="116"/>
        <v>0</v>
      </c>
      <c r="AP230">
        <f t="shared" si="125"/>
        <v>0</v>
      </c>
      <c r="AQ230">
        <f t="shared" ca="1" si="117"/>
        <v>1.0000000000000004</v>
      </c>
      <c r="AR230" t="str">
        <f t="shared" ca="1" si="118"/>
        <v>Supercritical</v>
      </c>
      <c r="AS230">
        <f t="shared" ca="1" si="119"/>
        <v>3.8141460404132466E-3</v>
      </c>
    </row>
    <row r="231" spans="1:45" x14ac:dyDescent="0.35">
      <c r="A231">
        <v>170</v>
      </c>
      <c r="B231">
        <v>168.99700000000001</v>
      </c>
      <c r="C231">
        <v>616415.74</v>
      </c>
      <c r="D231">
        <v>3097692.7209999999</v>
      </c>
      <c r="E231">
        <v>632.47749999999996</v>
      </c>
      <c r="F231">
        <v>5.2</v>
      </c>
      <c r="G231">
        <v>0</v>
      </c>
      <c r="H231" t="s">
        <v>154</v>
      </c>
      <c r="I231">
        <v>5.7000000000000002E-2</v>
      </c>
      <c r="J231">
        <f t="shared" si="120"/>
        <v>1</v>
      </c>
      <c r="K231">
        <f t="shared" ca="1" si="121"/>
        <v>50.95</v>
      </c>
      <c r="L231">
        <f t="shared" ca="1" si="122"/>
        <v>2.1389677043987478</v>
      </c>
      <c r="M231">
        <f t="shared" ca="1" si="95"/>
        <v>11.122632062873489</v>
      </c>
      <c r="N231">
        <f t="shared" ca="1" si="96"/>
        <v>1.1735290000551568</v>
      </c>
      <c r="O231">
        <f t="shared" ca="1" si="97"/>
        <v>4.5807502857230418</v>
      </c>
      <c r="P231">
        <f t="shared" ca="1" si="98"/>
        <v>634.6164677043987</v>
      </c>
      <c r="Q231">
        <f t="shared" ca="1" si="99"/>
        <v>635.68595155659807</v>
      </c>
      <c r="R231">
        <f t="shared" ca="1" si="100"/>
        <v>3.8141460404132466E-3</v>
      </c>
      <c r="S231">
        <f t="shared" ca="1" si="101"/>
        <v>1.0000000000000004</v>
      </c>
      <c r="T231">
        <f t="shared" ca="1" si="102"/>
        <v>35.686426155594638</v>
      </c>
      <c r="U231">
        <f t="shared" ca="1" si="123"/>
        <v>-3.4157470064428708E-3</v>
      </c>
      <c r="V231">
        <f t="shared" ca="1" si="124"/>
        <v>1</v>
      </c>
      <c r="W231">
        <f t="shared" ca="1" si="103"/>
        <v>2.1381886436890443</v>
      </c>
      <c r="X231">
        <f t="shared" ca="1" si="104"/>
        <v>11.11858094718303</v>
      </c>
      <c r="Y231">
        <f t="shared" ca="1" si="105"/>
        <v>1.1732944573652897</v>
      </c>
      <c r="Z231">
        <f t="shared" ca="1" si="106"/>
        <v>4.5824193071066803</v>
      </c>
      <c r="AA231">
        <f t="shared" ca="1" si="107"/>
        <v>634.61568864368905</v>
      </c>
      <c r="AB231">
        <f t="shared" ca="1" si="108"/>
        <v>635.68595198243236</v>
      </c>
      <c r="AC231">
        <f t="shared" ca="1" si="109"/>
        <v>3.8179433334236904E-3</v>
      </c>
      <c r="AD231">
        <f t="shared" ca="1" si="110"/>
        <v>1.0005465829720761</v>
      </c>
      <c r="AE231">
        <f t="shared" ca="1" si="111"/>
        <v>35.686430890842168</v>
      </c>
      <c r="AF231">
        <f t="shared" ca="1" si="112"/>
        <v>3.4196183505628142E-3</v>
      </c>
      <c r="AG231">
        <f t="shared" ca="1" si="113"/>
        <v>0</v>
      </c>
      <c r="AH231">
        <f ca="1">IFERROR(IF(V32="Supercritical",MAX($D$16,IFERROR(L231,MAX($D$16,POWER((ABS(K231)^2)/($I$5*MAX(F231,0.1)^2),1/3)))),IF(V32="Subcritical",MAX($D$16,IFERROR(W231,MAX($D$16,POWER((ABS(K231)^2)/($I$5*MAX(F231,0.1)^2),1/3)))),IF(AND(IFERROR(V231,0)=1,IFERROR(AG231,0)=1),IF(IFERROR(T231,-1E+99)&gt;=IFERROR(AE231,-1E+99),MAX($D$16,IFERROR(L231,MAX($D$16,POWER((ABS(K231)^2)/($I$5*MAX(F231,0.1)^2),1/3)))),MAX($D$16,IFERROR(W231,MAX($D$16,POWER((ABS(K231)^2)/($I$5*MAX(F231,0.1)^2),1/3))))),IF(IFERROR(V231,0)=1,MAX($D$16,IFERROR(L231,MAX($D$16,POWER((ABS(K231)^2)/($I$5*MAX(F231,0.1)^2),1/3)))),IF(IFERROR(AG231,0)=1,MAX($D$16,IFERROR(W231,MAX($D$16,POWER((ABS(K231)^2)/($I$5*MAX(F231,0.1)^2),1/3)))),MAX($D$16,POWER((ABS(K231)^2)/($I$5*MAX(F231,0.1)^2),1/3))))))),MAX($D$16,POWER((ABS(K231)^2)/($I$5*MAX(F231,0.1)^2),1/3)))</f>
        <v>2.1389677043987478</v>
      </c>
      <c r="AI231">
        <f t="shared" ca="1" si="114"/>
        <v>634.6164677043987</v>
      </c>
      <c r="AJ231">
        <f t="shared" ca="1" si="115"/>
        <v>635.68595155659807</v>
      </c>
      <c r="AM231">
        <v>0</v>
      </c>
      <c r="AN231">
        <v>0</v>
      </c>
      <c r="AO231">
        <f t="shared" si="116"/>
        <v>0</v>
      </c>
      <c r="AP231">
        <f t="shared" si="125"/>
        <v>0</v>
      </c>
      <c r="AQ231">
        <f t="shared" ca="1" si="117"/>
        <v>1.0000000000000004</v>
      </c>
      <c r="AR231" t="str">
        <f t="shared" ca="1" si="118"/>
        <v>Supercritical</v>
      </c>
      <c r="AS231">
        <f t="shared" ca="1" si="119"/>
        <v>3.8141460404132466E-3</v>
      </c>
    </row>
    <row r="232" spans="1:45" x14ac:dyDescent="0.35">
      <c r="A232">
        <v>171</v>
      </c>
      <c r="B232">
        <v>169.99700000000001</v>
      </c>
      <c r="C232">
        <v>616414.74100000004</v>
      </c>
      <c r="D232">
        <v>3097692.673</v>
      </c>
      <c r="E232">
        <v>632.47699999999998</v>
      </c>
      <c r="F232">
        <v>5.2</v>
      </c>
      <c r="G232">
        <v>0</v>
      </c>
      <c r="H232" t="s">
        <v>154</v>
      </c>
      <c r="I232">
        <v>5.7000000000000002E-2</v>
      </c>
      <c r="J232">
        <f t="shared" si="120"/>
        <v>1</v>
      </c>
      <c r="K232">
        <f t="shared" ca="1" si="121"/>
        <v>50.95</v>
      </c>
      <c r="L232">
        <f t="shared" ca="1" si="122"/>
        <v>2.1389677043987478</v>
      </c>
      <c r="M232">
        <f t="shared" ca="1" si="95"/>
        <v>11.122632062873489</v>
      </c>
      <c r="N232">
        <f t="shared" ca="1" si="96"/>
        <v>1.1735290000551568</v>
      </c>
      <c r="O232">
        <f t="shared" ca="1" si="97"/>
        <v>4.5807502857230418</v>
      </c>
      <c r="P232">
        <f t="shared" ca="1" si="98"/>
        <v>634.61596770439871</v>
      </c>
      <c r="Q232">
        <f t="shared" ca="1" si="99"/>
        <v>635.68545155659808</v>
      </c>
      <c r="R232">
        <f t="shared" ca="1" si="100"/>
        <v>3.8141460404132466E-3</v>
      </c>
      <c r="S232">
        <f t="shared" ca="1" si="101"/>
        <v>1.0000000000000004</v>
      </c>
      <c r="T232">
        <f t="shared" ca="1" si="102"/>
        <v>35.686426155594638</v>
      </c>
      <c r="U232">
        <f t="shared" ca="1" si="123"/>
        <v>-3.4157470064428708E-3</v>
      </c>
      <c r="V232">
        <f t="shared" ca="1" si="124"/>
        <v>1</v>
      </c>
      <c r="W232">
        <f t="shared" ca="1" si="103"/>
        <v>2.1373203735079915</v>
      </c>
      <c r="X232">
        <f t="shared" ca="1" si="104"/>
        <v>11.114065942241556</v>
      </c>
      <c r="Y232">
        <f t="shared" ca="1" si="105"/>
        <v>1.1730329665261352</v>
      </c>
      <c r="Z232">
        <f t="shared" ca="1" si="106"/>
        <v>4.5842808801730106</v>
      </c>
      <c r="AA232">
        <f t="shared" ca="1" si="107"/>
        <v>634.61432037350801</v>
      </c>
      <c r="AB232">
        <f t="shared" ca="1" si="108"/>
        <v>635.68545346159772</v>
      </c>
      <c r="AC232">
        <f t="shared" ca="1" si="109"/>
        <v>3.8221817362197445E-3</v>
      </c>
      <c r="AD232">
        <f t="shared" ca="1" si="110"/>
        <v>1.0011563415729299</v>
      </c>
      <c r="AE232">
        <f t="shared" ca="1" si="111"/>
        <v>35.686447333323514</v>
      </c>
      <c r="AF232">
        <f t="shared" ca="1" si="112"/>
        <v>3.4292950450662829E-3</v>
      </c>
      <c r="AG232">
        <f t="shared" ca="1" si="113"/>
        <v>0</v>
      </c>
      <c r="AH232">
        <f ca="1">IFERROR(IF(V32="Supercritical",MAX($D$16,IFERROR(L232,MAX($D$16,POWER((ABS(K232)^2)/($I$5*MAX(F232,0.1)^2),1/3)))),IF(V32="Subcritical",MAX($D$16,IFERROR(W232,MAX($D$16,POWER((ABS(K232)^2)/($I$5*MAX(F232,0.1)^2),1/3)))),IF(AND(IFERROR(V232,0)=1,IFERROR(AG232,0)=1),IF(IFERROR(T232,-1E+99)&gt;=IFERROR(AE232,-1E+99),MAX($D$16,IFERROR(L232,MAX($D$16,POWER((ABS(K232)^2)/($I$5*MAX(F232,0.1)^2),1/3)))),MAX($D$16,IFERROR(W232,MAX($D$16,POWER((ABS(K232)^2)/($I$5*MAX(F232,0.1)^2),1/3))))),IF(IFERROR(V232,0)=1,MAX($D$16,IFERROR(L232,MAX($D$16,POWER((ABS(K232)^2)/($I$5*MAX(F232,0.1)^2),1/3)))),IF(IFERROR(AG232,0)=1,MAX($D$16,IFERROR(W232,MAX($D$16,POWER((ABS(K232)^2)/($I$5*MAX(F232,0.1)^2),1/3)))),MAX($D$16,POWER((ABS(K232)^2)/($I$5*MAX(F232,0.1)^2),1/3))))))),MAX($D$16,POWER((ABS(K232)^2)/($I$5*MAX(F232,0.1)^2),1/3)))</f>
        <v>2.1389677043987478</v>
      </c>
      <c r="AI232">
        <f t="shared" ca="1" si="114"/>
        <v>634.61596770439871</v>
      </c>
      <c r="AJ232">
        <f t="shared" ca="1" si="115"/>
        <v>635.68545155659808</v>
      </c>
      <c r="AM232">
        <v>0</v>
      </c>
      <c r="AN232">
        <v>0</v>
      </c>
      <c r="AO232">
        <f t="shared" si="116"/>
        <v>0</v>
      </c>
      <c r="AP232">
        <f t="shared" si="125"/>
        <v>0</v>
      </c>
      <c r="AQ232">
        <f t="shared" ca="1" si="117"/>
        <v>1.0000000000000004</v>
      </c>
      <c r="AR232" t="str">
        <f t="shared" ca="1" si="118"/>
        <v>Supercritical</v>
      </c>
      <c r="AS232">
        <f t="shared" ca="1" si="119"/>
        <v>3.8141460404132466E-3</v>
      </c>
    </row>
    <row r="233" spans="1:45" x14ac:dyDescent="0.35">
      <c r="A233">
        <v>172</v>
      </c>
      <c r="B233">
        <v>170.99700000000001</v>
      </c>
      <c r="C233">
        <v>616413.74199999997</v>
      </c>
      <c r="D233">
        <v>3097692.6260000002</v>
      </c>
      <c r="E233">
        <v>632.47649999999999</v>
      </c>
      <c r="F233">
        <v>5.2</v>
      </c>
      <c r="G233">
        <v>0</v>
      </c>
      <c r="H233" t="s">
        <v>154</v>
      </c>
      <c r="I233">
        <v>0.06</v>
      </c>
      <c r="J233">
        <f t="shared" si="120"/>
        <v>1</v>
      </c>
      <c r="K233">
        <f t="shared" ca="1" si="121"/>
        <v>50.95</v>
      </c>
      <c r="L233">
        <f t="shared" ca="1" si="122"/>
        <v>2.1389677043987478</v>
      </c>
      <c r="M233">
        <f t="shared" ca="1" si="95"/>
        <v>11.122632062873489</v>
      </c>
      <c r="N233">
        <f t="shared" ca="1" si="96"/>
        <v>1.1735290000551568</v>
      </c>
      <c r="O233">
        <f t="shared" ca="1" si="97"/>
        <v>4.5807502857230418</v>
      </c>
      <c r="P233">
        <f t="shared" ca="1" si="98"/>
        <v>634.61546770439872</v>
      </c>
      <c r="Q233">
        <f t="shared" ca="1" si="99"/>
        <v>635.68495155659809</v>
      </c>
      <c r="R233">
        <f t="shared" ca="1" si="100"/>
        <v>3.8141460404132466E-3</v>
      </c>
      <c r="S233">
        <f t="shared" ca="1" si="101"/>
        <v>1.0000000000000004</v>
      </c>
      <c r="T233">
        <f t="shared" ca="1" si="102"/>
        <v>35.686426155594638</v>
      </c>
      <c r="U233">
        <f t="shared" ca="1" si="123"/>
        <v>-3.4210944256756193E-3</v>
      </c>
      <c r="V233">
        <f t="shared" ca="1" si="124"/>
        <v>1</v>
      </c>
      <c r="W233">
        <f t="shared" ca="1" si="103"/>
        <v>2.1381886436890443</v>
      </c>
      <c r="X233">
        <f t="shared" ca="1" si="104"/>
        <v>11.11858094718303</v>
      </c>
      <c r="Y233">
        <f t="shared" ca="1" si="105"/>
        <v>1.1732944573652897</v>
      </c>
      <c r="Z233">
        <f t="shared" ca="1" si="106"/>
        <v>4.5824193071066803</v>
      </c>
      <c r="AA233">
        <f t="shared" ca="1" si="107"/>
        <v>634.61468864368908</v>
      </c>
      <c r="AB233">
        <f t="shared" ca="1" si="108"/>
        <v>635.68495198243238</v>
      </c>
      <c r="AC233">
        <f t="shared" ca="1" si="109"/>
        <v>3.8179433334236904E-3</v>
      </c>
      <c r="AD233">
        <f t="shared" ca="1" si="110"/>
        <v>1.0005465829720761</v>
      </c>
      <c r="AE233">
        <f t="shared" ca="1" si="111"/>
        <v>35.686430890842168</v>
      </c>
      <c r="AF233">
        <f t="shared" ca="1" si="112"/>
        <v>3.3194767067925568E-3</v>
      </c>
      <c r="AG233">
        <f t="shared" ca="1" si="113"/>
        <v>0</v>
      </c>
      <c r="AH233">
        <f ca="1">IFERROR(IF(V32="Supercritical",MAX($D$16,IFERROR(L233,MAX($D$16,POWER((ABS(K233)^2)/($I$5*MAX(F233,0.1)^2),1/3)))),IF(V32="Subcritical",MAX($D$16,IFERROR(W233,MAX($D$16,POWER((ABS(K233)^2)/($I$5*MAX(F233,0.1)^2),1/3)))),IF(AND(IFERROR(V233,0)=1,IFERROR(AG233,0)=1),IF(IFERROR(T233,-1E+99)&gt;=IFERROR(AE233,-1E+99),MAX($D$16,IFERROR(L233,MAX($D$16,POWER((ABS(K233)^2)/($I$5*MAX(F233,0.1)^2),1/3)))),MAX($D$16,IFERROR(W233,MAX($D$16,POWER((ABS(K233)^2)/($I$5*MAX(F233,0.1)^2),1/3))))),IF(IFERROR(V233,0)=1,MAX($D$16,IFERROR(L233,MAX($D$16,POWER((ABS(K233)^2)/($I$5*MAX(F233,0.1)^2),1/3)))),IF(IFERROR(AG233,0)=1,MAX($D$16,IFERROR(W233,MAX($D$16,POWER((ABS(K233)^2)/($I$5*MAX(F233,0.1)^2),1/3)))),MAX($D$16,POWER((ABS(K233)^2)/($I$5*MAX(F233,0.1)^2),1/3))))))),MAX($D$16,POWER((ABS(K233)^2)/($I$5*MAX(F233,0.1)^2),1/3)))</f>
        <v>2.1389677043987478</v>
      </c>
      <c r="AI233">
        <f t="shared" ca="1" si="114"/>
        <v>634.61546770439872</v>
      </c>
      <c r="AJ233">
        <f t="shared" ca="1" si="115"/>
        <v>635.68495155659809</v>
      </c>
      <c r="AM233">
        <v>0</v>
      </c>
      <c r="AN233">
        <v>0</v>
      </c>
      <c r="AO233">
        <f t="shared" si="116"/>
        <v>0</v>
      </c>
      <c r="AP233">
        <f t="shared" si="125"/>
        <v>0</v>
      </c>
      <c r="AQ233">
        <f t="shared" ca="1" si="117"/>
        <v>1.0000000000000004</v>
      </c>
      <c r="AR233" t="str">
        <f t="shared" ca="1" si="118"/>
        <v>Supercritical</v>
      </c>
      <c r="AS233">
        <f t="shared" ca="1" si="119"/>
        <v>3.8141460404132466E-3</v>
      </c>
    </row>
    <row r="234" spans="1:45" x14ac:dyDescent="0.35">
      <c r="A234">
        <v>173</v>
      </c>
      <c r="B234">
        <v>171.99600000000001</v>
      </c>
      <c r="C234">
        <v>616412.74399999995</v>
      </c>
      <c r="D234">
        <v>3097692.5780000002</v>
      </c>
      <c r="E234">
        <v>632.476</v>
      </c>
      <c r="F234">
        <v>5.2</v>
      </c>
      <c r="G234">
        <v>0</v>
      </c>
      <c r="H234" t="s">
        <v>154</v>
      </c>
      <c r="I234">
        <v>3.0000000000000001E-3</v>
      </c>
      <c r="J234">
        <f t="shared" si="120"/>
        <v>0.99899999999999523</v>
      </c>
      <c r="K234">
        <f t="shared" ca="1" si="121"/>
        <v>50.95</v>
      </c>
      <c r="L234">
        <f t="shared" ca="1" si="122"/>
        <v>2.1389677043987478</v>
      </c>
      <c r="M234">
        <f t="shared" ca="1" si="95"/>
        <v>11.122632062873489</v>
      </c>
      <c r="N234">
        <f t="shared" ca="1" si="96"/>
        <v>1.1735290000551568</v>
      </c>
      <c r="O234">
        <f t="shared" ca="1" si="97"/>
        <v>4.5807502857230418</v>
      </c>
      <c r="P234">
        <f t="shared" ca="1" si="98"/>
        <v>634.61496770439874</v>
      </c>
      <c r="Q234">
        <f t="shared" ca="1" si="99"/>
        <v>635.68445155659811</v>
      </c>
      <c r="R234">
        <f t="shared" ca="1" si="100"/>
        <v>3.8141460404132466E-3</v>
      </c>
      <c r="S234">
        <f t="shared" ca="1" si="101"/>
        <v>1.0000000000000004</v>
      </c>
      <c r="T234">
        <f t="shared" ca="1" si="102"/>
        <v>35.686426155594638</v>
      </c>
      <c r="U234">
        <f t="shared" ca="1" si="123"/>
        <v>-3.3156793135731277E-3</v>
      </c>
      <c r="V234">
        <f t="shared" ca="1" si="124"/>
        <v>1</v>
      </c>
      <c r="W234">
        <f t="shared" ca="1" si="103"/>
        <v>2.1373203735079915</v>
      </c>
      <c r="X234">
        <f t="shared" ca="1" si="104"/>
        <v>11.114065942241556</v>
      </c>
      <c r="Y234">
        <f t="shared" ca="1" si="105"/>
        <v>1.1730329665261352</v>
      </c>
      <c r="Z234">
        <f t="shared" ca="1" si="106"/>
        <v>4.5842808801730106</v>
      </c>
      <c r="AA234">
        <f t="shared" ca="1" si="107"/>
        <v>634.61332037350803</v>
      </c>
      <c r="AB234">
        <f t="shared" ca="1" si="108"/>
        <v>635.68445346159774</v>
      </c>
      <c r="AC234">
        <f t="shared" ca="1" si="109"/>
        <v>3.8221817362197445E-3</v>
      </c>
      <c r="AD234">
        <f t="shared" ca="1" si="110"/>
        <v>1.0011563415729299</v>
      </c>
      <c r="AE234">
        <f t="shared" ca="1" si="111"/>
        <v>35.686447333323514</v>
      </c>
      <c r="AF234">
        <f t="shared" ca="1" si="112"/>
        <v>3.4277615613973467E-3</v>
      </c>
      <c r="AG234">
        <f t="shared" ca="1" si="113"/>
        <v>0</v>
      </c>
      <c r="AH234">
        <f ca="1">IFERROR(IF(V32="Supercritical",MAX($D$16,IFERROR(L234,MAX($D$16,POWER((ABS(K234)^2)/($I$5*MAX(F234,0.1)^2),1/3)))),IF(V32="Subcritical",MAX($D$16,IFERROR(W234,MAX($D$16,POWER((ABS(K234)^2)/($I$5*MAX(F234,0.1)^2),1/3)))),IF(AND(IFERROR(V234,0)=1,IFERROR(AG234,0)=1),IF(IFERROR(T234,-1E+99)&gt;=IFERROR(AE234,-1E+99),MAX($D$16,IFERROR(L234,MAX($D$16,POWER((ABS(K234)^2)/($I$5*MAX(F234,0.1)^2),1/3)))),MAX($D$16,IFERROR(W234,MAX($D$16,POWER((ABS(K234)^2)/($I$5*MAX(F234,0.1)^2),1/3))))),IF(IFERROR(V234,0)=1,MAX($D$16,IFERROR(L234,MAX($D$16,POWER((ABS(K234)^2)/($I$5*MAX(F234,0.1)^2),1/3)))),IF(IFERROR(AG234,0)=1,MAX($D$16,IFERROR(W234,MAX($D$16,POWER((ABS(K234)^2)/($I$5*MAX(F234,0.1)^2),1/3)))),MAX($D$16,POWER((ABS(K234)^2)/($I$5*MAX(F234,0.1)^2),1/3))))))),MAX($D$16,POWER((ABS(K234)^2)/($I$5*MAX(F234,0.1)^2),1/3)))</f>
        <v>2.1389677043987478</v>
      </c>
      <c r="AI234">
        <f t="shared" ca="1" si="114"/>
        <v>634.61496770439874</v>
      </c>
      <c r="AJ234">
        <f t="shared" ca="1" si="115"/>
        <v>635.68445155659811</v>
      </c>
      <c r="AM234">
        <v>0</v>
      </c>
      <c r="AN234">
        <v>0</v>
      </c>
      <c r="AO234">
        <f t="shared" si="116"/>
        <v>0</v>
      </c>
      <c r="AP234">
        <f t="shared" si="125"/>
        <v>0</v>
      </c>
      <c r="AQ234">
        <f t="shared" ca="1" si="117"/>
        <v>1.0000000000000004</v>
      </c>
      <c r="AR234" t="str">
        <f t="shared" ca="1" si="118"/>
        <v>Supercritical</v>
      </c>
      <c r="AS234">
        <f t="shared" ca="1" si="119"/>
        <v>3.8141460404132466E-3</v>
      </c>
    </row>
    <row r="235" spans="1:45" x14ac:dyDescent="0.35">
      <c r="A235">
        <v>174</v>
      </c>
      <c r="B235">
        <v>172.99700000000001</v>
      </c>
      <c r="C235">
        <v>616411.745</v>
      </c>
      <c r="D235">
        <v>3097692.53</v>
      </c>
      <c r="E235">
        <v>632.47550000000001</v>
      </c>
      <c r="F235">
        <v>5.2</v>
      </c>
      <c r="G235">
        <v>0</v>
      </c>
      <c r="H235" t="s">
        <v>154</v>
      </c>
      <c r="I235">
        <v>5.7000000000000002E-2</v>
      </c>
      <c r="J235">
        <f t="shared" si="120"/>
        <v>1.0010000000000048</v>
      </c>
      <c r="K235">
        <f t="shared" ca="1" si="121"/>
        <v>50.95</v>
      </c>
      <c r="L235">
        <f t="shared" ca="1" si="122"/>
        <v>2.1389677043987478</v>
      </c>
      <c r="M235">
        <f t="shared" ca="1" si="95"/>
        <v>11.122632062873489</v>
      </c>
      <c r="N235">
        <f t="shared" ca="1" si="96"/>
        <v>1.1735290000551568</v>
      </c>
      <c r="O235">
        <f t="shared" ca="1" si="97"/>
        <v>4.5807502857230418</v>
      </c>
      <c r="P235">
        <f t="shared" ca="1" si="98"/>
        <v>634.61446770439875</v>
      </c>
      <c r="Q235">
        <f t="shared" ca="1" si="99"/>
        <v>635.68395155659812</v>
      </c>
      <c r="R235">
        <f t="shared" ca="1" si="100"/>
        <v>3.8141460404132466E-3</v>
      </c>
      <c r="S235">
        <f t="shared" ca="1" si="101"/>
        <v>1.0000000000000004</v>
      </c>
      <c r="T235">
        <f t="shared" ca="1" si="102"/>
        <v>35.686426155594638</v>
      </c>
      <c r="U235">
        <f t="shared" ca="1" si="123"/>
        <v>-3.4195611524410197E-3</v>
      </c>
      <c r="V235">
        <f t="shared" ca="1" si="124"/>
        <v>1</v>
      </c>
      <c r="W235">
        <f t="shared" ca="1" si="103"/>
        <v>2.1381886436890443</v>
      </c>
      <c r="X235">
        <f t="shared" ca="1" si="104"/>
        <v>11.11858094718303</v>
      </c>
      <c r="Y235">
        <f t="shared" ca="1" si="105"/>
        <v>1.1732944573652897</v>
      </c>
      <c r="Z235">
        <f t="shared" ca="1" si="106"/>
        <v>4.5824193071066803</v>
      </c>
      <c r="AA235">
        <f t="shared" ca="1" si="107"/>
        <v>634.6136886436891</v>
      </c>
      <c r="AB235">
        <f t="shared" ca="1" si="108"/>
        <v>635.6839519824324</v>
      </c>
      <c r="AC235">
        <f t="shared" ca="1" si="109"/>
        <v>3.8179433334236904E-3</v>
      </c>
      <c r="AD235">
        <f t="shared" ca="1" si="110"/>
        <v>1.0005465829720761</v>
      </c>
      <c r="AE235">
        <f t="shared" ca="1" si="111"/>
        <v>35.686430890842168</v>
      </c>
      <c r="AF235">
        <f t="shared" ca="1" si="112"/>
        <v>3.4196183505628142E-3</v>
      </c>
      <c r="AG235">
        <f t="shared" ca="1" si="113"/>
        <v>0</v>
      </c>
      <c r="AH235">
        <f ca="1">IFERROR(IF(V32="Supercritical",MAX($D$16,IFERROR(L235,MAX($D$16,POWER((ABS(K235)^2)/($I$5*MAX(F235,0.1)^2),1/3)))),IF(V32="Subcritical",MAX($D$16,IFERROR(W235,MAX($D$16,POWER((ABS(K235)^2)/($I$5*MAX(F235,0.1)^2),1/3)))),IF(AND(IFERROR(V235,0)=1,IFERROR(AG235,0)=1),IF(IFERROR(T235,-1E+99)&gt;=IFERROR(AE235,-1E+99),MAX($D$16,IFERROR(L235,MAX($D$16,POWER((ABS(K235)^2)/($I$5*MAX(F235,0.1)^2),1/3)))),MAX($D$16,IFERROR(W235,MAX($D$16,POWER((ABS(K235)^2)/($I$5*MAX(F235,0.1)^2),1/3))))),IF(IFERROR(V235,0)=1,MAX($D$16,IFERROR(L235,MAX($D$16,POWER((ABS(K235)^2)/($I$5*MAX(F235,0.1)^2),1/3)))),IF(IFERROR(AG235,0)=1,MAX($D$16,IFERROR(W235,MAX($D$16,POWER((ABS(K235)^2)/($I$5*MAX(F235,0.1)^2),1/3)))),MAX($D$16,POWER((ABS(K235)^2)/($I$5*MAX(F235,0.1)^2),1/3))))))),MAX($D$16,POWER((ABS(K235)^2)/($I$5*MAX(F235,0.1)^2),1/3)))</f>
        <v>2.1389677043987478</v>
      </c>
      <c r="AI235">
        <f t="shared" ca="1" si="114"/>
        <v>634.61446770439875</v>
      </c>
      <c r="AJ235">
        <f t="shared" ca="1" si="115"/>
        <v>635.68395155659812</v>
      </c>
      <c r="AM235">
        <v>0</v>
      </c>
      <c r="AN235">
        <v>0</v>
      </c>
      <c r="AO235">
        <f t="shared" si="116"/>
        <v>0</v>
      </c>
      <c r="AP235">
        <f t="shared" si="125"/>
        <v>0</v>
      </c>
      <c r="AQ235">
        <f t="shared" ca="1" si="117"/>
        <v>1.0000000000000004</v>
      </c>
      <c r="AR235" t="str">
        <f t="shared" ca="1" si="118"/>
        <v>Supercritical</v>
      </c>
      <c r="AS235">
        <f t="shared" ca="1" si="119"/>
        <v>3.8141460404132466E-3</v>
      </c>
    </row>
    <row r="236" spans="1:45" x14ac:dyDescent="0.35">
      <c r="A236">
        <v>175</v>
      </c>
      <c r="B236">
        <v>173.99700000000001</v>
      </c>
      <c r="C236">
        <v>616410.74600000004</v>
      </c>
      <c r="D236">
        <v>3097692.483</v>
      </c>
      <c r="E236">
        <v>632.47500000000002</v>
      </c>
      <c r="F236">
        <v>5.2</v>
      </c>
      <c r="G236">
        <v>0</v>
      </c>
      <c r="H236" t="s">
        <v>154</v>
      </c>
      <c r="I236">
        <v>5.7000000000000002E-2</v>
      </c>
      <c r="J236">
        <f t="shared" si="120"/>
        <v>1</v>
      </c>
      <c r="K236">
        <f t="shared" ca="1" si="121"/>
        <v>50.95</v>
      </c>
      <c r="L236">
        <f t="shared" ca="1" si="122"/>
        <v>2.1389677043987478</v>
      </c>
      <c r="M236">
        <f t="shared" ca="1" si="95"/>
        <v>11.122632062873489</v>
      </c>
      <c r="N236">
        <f t="shared" ca="1" si="96"/>
        <v>1.1735290000551568</v>
      </c>
      <c r="O236">
        <f t="shared" ca="1" si="97"/>
        <v>4.5807502857230418</v>
      </c>
      <c r="P236">
        <f t="shared" ca="1" si="98"/>
        <v>634.61396770439876</v>
      </c>
      <c r="Q236">
        <f t="shared" ca="1" si="99"/>
        <v>635.68345155659813</v>
      </c>
      <c r="R236">
        <f t="shared" ca="1" si="100"/>
        <v>3.8141460404132466E-3</v>
      </c>
      <c r="S236">
        <f t="shared" ca="1" si="101"/>
        <v>1.0000000000000004</v>
      </c>
      <c r="T236">
        <f t="shared" ca="1" si="102"/>
        <v>35.686426155594638</v>
      </c>
      <c r="U236">
        <f t="shared" ca="1" si="123"/>
        <v>-3.4157470064428708E-3</v>
      </c>
      <c r="V236">
        <f t="shared" ca="1" si="124"/>
        <v>1</v>
      </c>
      <c r="W236">
        <f t="shared" ca="1" si="103"/>
        <v>2.1373203735079915</v>
      </c>
      <c r="X236">
        <f t="shared" ca="1" si="104"/>
        <v>11.114065942241556</v>
      </c>
      <c r="Y236">
        <f t="shared" ca="1" si="105"/>
        <v>1.1730329665261352</v>
      </c>
      <c r="Z236">
        <f t="shared" ca="1" si="106"/>
        <v>4.5842808801730106</v>
      </c>
      <c r="AA236">
        <f t="shared" ca="1" si="107"/>
        <v>634.61232037350806</v>
      </c>
      <c r="AB236">
        <f t="shared" ca="1" si="108"/>
        <v>635.68345346159776</v>
      </c>
      <c r="AC236">
        <f t="shared" ca="1" si="109"/>
        <v>3.8221817362197445E-3</v>
      </c>
      <c r="AD236">
        <f t="shared" ca="1" si="110"/>
        <v>1.0011563415729299</v>
      </c>
      <c r="AE236">
        <f t="shared" ca="1" si="111"/>
        <v>35.686447333323514</v>
      </c>
      <c r="AF236">
        <f t="shared" ca="1" si="112"/>
        <v>3.3221817362800721E-3</v>
      </c>
      <c r="AG236">
        <f t="shared" ca="1" si="113"/>
        <v>0</v>
      </c>
      <c r="AH236">
        <f ca="1">IFERROR(IF(V32="Supercritical",MAX($D$16,IFERROR(L236,MAX($D$16,POWER((ABS(K236)^2)/($I$5*MAX(F236,0.1)^2),1/3)))),IF(V32="Subcritical",MAX($D$16,IFERROR(W236,MAX($D$16,POWER((ABS(K236)^2)/($I$5*MAX(F236,0.1)^2),1/3)))),IF(AND(IFERROR(V236,0)=1,IFERROR(AG236,0)=1),IF(IFERROR(T236,-1E+99)&gt;=IFERROR(AE236,-1E+99),MAX($D$16,IFERROR(L236,MAX($D$16,POWER((ABS(K236)^2)/($I$5*MAX(F236,0.1)^2),1/3)))),MAX($D$16,IFERROR(W236,MAX($D$16,POWER((ABS(K236)^2)/($I$5*MAX(F236,0.1)^2),1/3))))),IF(IFERROR(V236,0)=1,MAX($D$16,IFERROR(L236,MAX($D$16,POWER((ABS(K236)^2)/($I$5*MAX(F236,0.1)^2),1/3)))),IF(IFERROR(AG236,0)=1,MAX($D$16,IFERROR(W236,MAX($D$16,POWER((ABS(K236)^2)/($I$5*MAX(F236,0.1)^2),1/3)))),MAX($D$16,POWER((ABS(K236)^2)/($I$5*MAX(F236,0.1)^2),1/3))))))),MAX($D$16,POWER((ABS(K236)^2)/($I$5*MAX(F236,0.1)^2),1/3)))</f>
        <v>2.1389677043987478</v>
      </c>
      <c r="AI236">
        <f t="shared" ca="1" si="114"/>
        <v>634.61396770439876</v>
      </c>
      <c r="AJ236">
        <f t="shared" ca="1" si="115"/>
        <v>635.68345155659813</v>
      </c>
      <c r="AM236">
        <v>0</v>
      </c>
      <c r="AN236">
        <v>0</v>
      </c>
      <c r="AO236">
        <f t="shared" si="116"/>
        <v>0</v>
      </c>
      <c r="AP236">
        <f t="shared" si="125"/>
        <v>0</v>
      </c>
      <c r="AQ236">
        <f t="shared" ca="1" si="117"/>
        <v>1.0000000000000004</v>
      </c>
      <c r="AR236" t="str">
        <f t="shared" ca="1" si="118"/>
        <v>Supercritical</v>
      </c>
      <c r="AS236">
        <f t="shared" ca="1" si="119"/>
        <v>3.8141460404132466E-3</v>
      </c>
    </row>
    <row r="237" spans="1:45" x14ac:dyDescent="0.35">
      <c r="A237">
        <v>176</v>
      </c>
      <c r="B237">
        <v>174.99700000000001</v>
      </c>
      <c r="C237">
        <v>616409.74699999997</v>
      </c>
      <c r="D237">
        <v>3097692.4350000001</v>
      </c>
      <c r="E237">
        <v>632.47450000000003</v>
      </c>
      <c r="F237">
        <v>5.2</v>
      </c>
      <c r="G237">
        <v>0</v>
      </c>
      <c r="H237" t="s">
        <v>154</v>
      </c>
      <c r="I237">
        <v>0</v>
      </c>
      <c r="J237">
        <f t="shared" si="120"/>
        <v>1</v>
      </c>
      <c r="K237">
        <f t="shared" ca="1" si="121"/>
        <v>50.95</v>
      </c>
      <c r="L237">
        <f t="shared" ca="1" si="122"/>
        <v>2.1389677043987478</v>
      </c>
      <c r="M237">
        <f t="shared" ca="1" si="95"/>
        <v>11.122632062873489</v>
      </c>
      <c r="N237">
        <f t="shared" ca="1" si="96"/>
        <v>1.1735290000551568</v>
      </c>
      <c r="O237">
        <f t="shared" ca="1" si="97"/>
        <v>4.5807502857230418</v>
      </c>
      <c r="P237">
        <f t="shared" ca="1" si="98"/>
        <v>634.61346770439877</v>
      </c>
      <c r="Q237">
        <f t="shared" ca="1" si="99"/>
        <v>635.68295155659814</v>
      </c>
      <c r="R237">
        <f t="shared" ca="1" si="100"/>
        <v>3.8141460404132466E-3</v>
      </c>
      <c r="S237">
        <f t="shared" ca="1" si="101"/>
        <v>1.0000000000000004</v>
      </c>
      <c r="T237">
        <f t="shared" ca="1" si="102"/>
        <v>35.686426155594638</v>
      </c>
      <c r="U237">
        <f t="shared" ca="1" si="123"/>
        <v>-3.3141460404522149E-3</v>
      </c>
      <c r="V237">
        <f t="shared" ca="1" si="124"/>
        <v>1</v>
      </c>
      <c r="W237">
        <f t="shared" ca="1" si="103"/>
        <v>2.1381886436890443</v>
      </c>
      <c r="X237">
        <f t="shared" ca="1" si="104"/>
        <v>11.11858094718303</v>
      </c>
      <c r="Y237">
        <f t="shared" ca="1" si="105"/>
        <v>1.1732944573652897</v>
      </c>
      <c r="Z237">
        <f t="shared" ca="1" si="106"/>
        <v>4.5824193071066803</v>
      </c>
      <c r="AA237">
        <f t="shared" ca="1" si="107"/>
        <v>634.61268864368913</v>
      </c>
      <c r="AB237">
        <f t="shared" ca="1" si="108"/>
        <v>635.68295198243243</v>
      </c>
      <c r="AC237">
        <f t="shared" ca="1" si="109"/>
        <v>3.8179433334236904E-3</v>
      </c>
      <c r="AD237">
        <f t="shared" ca="1" si="110"/>
        <v>1.0005465829720761</v>
      </c>
      <c r="AE237">
        <f t="shared" ca="1" si="111"/>
        <v>35.686430890842168</v>
      </c>
      <c r="AF237">
        <f t="shared" ca="1" si="112"/>
        <v>3.4196183505628142E-3</v>
      </c>
      <c r="AG237">
        <f t="shared" ca="1" si="113"/>
        <v>0</v>
      </c>
      <c r="AH237">
        <f ca="1">IFERROR(IF(V32="Supercritical",MAX($D$16,IFERROR(L237,MAX($D$16,POWER((ABS(K237)^2)/($I$5*MAX(F237,0.1)^2),1/3)))),IF(V32="Subcritical",MAX($D$16,IFERROR(W237,MAX($D$16,POWER((ABS(K237)^2)/($I$5*MAX(F237,0.1)^2),1/3)))),IF(AND(IFERROR(V237,0)=1,IFERROR(AG237,0)=1),IF(IFERROR(T237,-1E+99)&gt;=IFERROR(AE237,-1E+99),MAX($D$16,IFERROR(L237,MAX($D$16,POWER((ABS(K237)^2)/($I$5*MAX(F237,0.1)^2),1/3)))),MAX($D$16,IFERROR(W237,MAX($D$16,POWER((ABS(K237)^2)/($I$5*MAX(F237,0.1)^2),1/3))))),IF(IFERROR(V237,0)=1,MAX($D$16,IFERROR(L237,MAX($D$16,POWER((ABS(K237)^2)/($I$5*MAX(F237,0.1)^2),1/3)))),IF(IFERROR(AG237,0)=1,MAX($D$16,IFERROR(W237,MAX($D$16,POWER((ABS(K237)^2)/($I$5*MAX(F237,0.1)^2),1/3)))),MAX($D$16,POWER((ABS(K237)^2)/($I$5*MAX(F237,0.1)^2),1/3))))))),MAX($D$16,POWER((ABS(K237)^2)/($I$5*MAX(F237,0.1)^2),1/3)))</f>
        <v>2.1389677043987478</v>
      </c>
      <c r="AI237">
        <f t="shared" ca="1" si="114"/>
        <v>634.61346770439877</v>
      </c>
      <c r="AJ237">
        <f t="shared" ca="1" si="115"/>
        <v>635.68295155659814</v>
      </c>
      <c r="AM237">
        <v>0</v>
      </c>
      <c r="AN237">
        <v>0</v>
      </c>
      <c r="AO237">
        <f t="shared" si="116"/>
        <v>0</v>
      </c>
      <c r="AP237">
        <f t="shared" si="125"/>
        <v>0</v>
      </c>
      <c r="AQ237">
        <f t="shared" ca="1" si="117"/>
        <v>1.0000000000000004</v>
      </c>
      <c r="AR237" t="str">
        <f t="shared" ca="1" si="118"/>
        <v>Supercritical</v>
      </c>
      <c r="AS237">
        <f t="shared" ca="1" si="119"/>
        <v>3.8141460404132466E-3</v>
      </c>
    </row>
    <row r="238" spans="1:45" x14ac:dyDescent="0.35">
      <c r="A238">
        <v>177</v>
      </c>
      <c r="B238">
        <v>175.99700000000001</v>
      </c>
      <c r="C238">
        <v>616408.74800000002</v>
      </c>
      <c r="D238">
        <v>3097692.3870000001</v>
      </c>
      <c r="E238">
        <v>632.47400000000005</v>
      </c>
      <c r="F238">
        <v>5.2</v>
      </c>
      <c r="G238">
        <v>0</v>
      </c>
      <c r="H238" t="s">
        <v>154</v>
      </c>
      <c r="I238">
        <v>5.7000000000000002E-2</v>
      </c>
      <c r="J238">
        <f t="shared" si="120"/>
        <v>1</v>
      </c>
      <c r="K238">
        <f t="shared" ca="1" si="121"/>
        <v>50.95</v>
      </c>
      <c r="L238">
        <f t="shared" ca="1" si="122"/>
        <v>2.1389677043987478</v>
      </c>
      <c r="M238">
        <f t="shared" ca="1" si="95"/>
        <v>11.122632062873489</v>
      </c>
      <c r="N238">
        <f t="shared" ca="1" si="96"/>
        <v>1.1735290000551568</v>
      </c>
      <c r="O238">
        <f t="shared" ca="1" si="97"/>
        <v>4.5807502857230418</v>
      </c>
      <c r="P238">
        <f t="shared" ca="1" si="98"/>
        <v>634.61296770439878</v>
      </c>
      <c r="Q238">
        <f t="shared" ca="1" si="99"/>
        <v>635.68245155659815</v>
      </c>
      <c r="R238">
        <f t="shared" ca="1" si="100"/>
        <v>3.8141460404132466E-3</v>
      </c>
      <c r="S238">
        <f t="shared" ca="1" si="101"/>
        <v>1.0000000000000004</v>
      </c>
      <c r="T238">
        <f t="shared" ca="1" si="102"/>
        <v>35.686426155594638</v>
      </c>
      <c r="U238">
        <f t="shared" ca="1" si="123"/>
        <v>-3.4157470064428708E-3</v>
      </c>
      <c r="V238">
        <f t="shared" ca="1" si="124"/>
        <v>1</v>
      </c>
      <c r="W238">
        <f t="shared" ca="1" si="103"/>
        <v>2.1373203735079915</v>
      </c>
      <c r="X238">
        <f t="shared" ca="1" si="104"/>
        <v>11.114065942241556</v>
      </c>
      <c r="Y238">
        <f t="shared" ca="1" si="105"/>
        <v>1.1730329665261352</v>
      </c>
      <c r="Z238">
        <f t="shared" ca="1" si="106"/>
        <v>4.5842808801730106</v>
      </c>
      <c r="AA238">
        <f t="shared" ca="1" si="107"/>
        <v>634.61132037350808</v>
      </c>
      <c r="AB238">
        <f t="shared" ca="1" si="108"/>
        <v>635.68245346159779</v>
      </c>
      <c r="AC238">
        <f t="shared" ca="1" si="109"/>
        <v>3.8221817362197445E-3</v>
      </c>
      <c r="AD238">
        <f t="shared" ca="1" si="110"/>
        <v>1.0011563415729299</v>
      </c>
      <c r="AE238">
        <f t="shared" ca="1" si="111"/>
        <v>35.686447333323514</v>
      </c>
      <c r="AF238">
        <f t="shared" ca="1" si="112"/>
        <v>3.4239393795587603E-3</v>
      </c>
      <c r="AG238">
        <f t="shared" ca="1" si="113"/>
        <v>0</v>
      </c>
      <c r="AH238">
        <f ca="1">IFERROR(IF(V32="Supercritical",MAX($D$16,IFERROR(L238,MAX($D$16,POWER((ABS(K238)^2)/($I$5*MAX(F238,0.1)^2),1/3)))),IF(V32="Subcritical",MAX($D$16,IFERROR(W238,MAX($D$16,POWER((ABS(K238)^2)/($I$5*MAX(F238,0.1)^2),1/3)))),IF(AND(IFERROR(V238,0)=1,IFERROR(AG238,0)=1),IF(IFERROR(T238,-1E+99)&gt;=IFERROR(AE238,-1E+99),MAX($D$16,IFERROR(L238,MAX($D$16,POWER((ABS(K238)^2)/($I$5*MAX(F238,0.1)^2),1/3)))),MAX($D$16,IFERROR(W238,MAX($D$16,POWER((ABS(K238)^2)/($I$5*MAX(F238,0.1)^2),1/3))))),IF(IFERROR(V238,0)=1,MAX($D$16,IFERROR(L238,MAX($D$16,POWER((ABS(K238)^2)/($I$5*MAX(F238,0.1)^2),1/3)))),IF(IFERROR(AG238,0)=1,MAX($D$16,IFERROR(W238,MAX($D$16,POWER((ABS(K238)^2)/($I$5*MAX(F238,0.1)^2),1/3)))),MAX($D$16,POWER((ABS(K238)^2)/($I$5*MAX(F238,0.1)^2),1/3))))))),MAX($D$16,POWER((ABS(K238)^2)/($I$5*MAX(F238,0.1)^2),1/3)))</f>
        <v>2.1389677043987478</v>
      </c>
      <c r="AI238">
        <f t="shared" ca="1" si="114"/>
        <v>634.61296770439878</v>
      </c>
      <c r="AJ238">
        <f t="shared" ca="1" si="115"/>
        <v>635.68245155659815</v>
      </c>
      <c r="AM238">
        <v>0</v>
      </c>
      <c r="AN238">
        <v>0</v>
      </c>
      <c r="AO238">
        <f t="shared" si="116"/>
        <v>0</v>
      </c>
      <c r="AP238">
        <f t="shared" si="125"/>
        <v>0</v>
      </c>
      <c r="AQ238">
        <f t="shared" ca="1" si="117"/>
        <v>1.0000000000000004</v>
      </c>
      <c r="AR238" t="str">
        <f t="shared" ca="1" si="118"/>
        <v>Supercritical</v>
      </c>
      <c r="AS238">
        <f t="shared" ca="1" si="119"/>
        <v>3.8141460404132466E-3</v>
      </c>
    </row>
    <row r="239" spans="1:45" x14ac:dyDescent="0.35">
      <c r="A239">
        <v>178</v>
      </c>
      <c r="B239">
        <v>176.99700000000001</v>
      </c>
      <c r="C239">
        <v>616407.74899999995</v>
      </c>
      <c r="D239">
        <v>3097692.34</v>
      </c>
      <c r="E239">
        <v>632.47349999999994</v>
      </c>
      <c r="F239">
        <v>5.2</v>
      </c>
      <c r="G239">
        <v>0</v>
      </c>
      <c r="H239" t="s">
        <v>154</v>
      </c>
      <c r="I239">
        <v>5.7000000000000002E-2</v>
      </c>
      <c r="J239">
        <f t="shared" si="120"/>
        <v>1</v>
      </c>
      <c r="K239">
        <f t="shared" ca="1" si="121"/>
        <v>50.95</v>
      </c>
      <c r="L239">
        <f t="shared" ca="1" si="122"/>
        <v>2.1389677043987478</v>
      </c>
      <c r="M239">
        <f t="shared" ca="1" si="95"/>
        <v>11.122632062873489</v>
      </c>
      <c r="N239">
        <f t="shared" ca="1" si="96"/>
        <v>1.1735290000551568</v>
      </c>
      <c r="O239">
        <f t="shared" ca="1" si="97"/>
        <v>4.5807502857230418</v>
      </c>
      <c r="P239">
        <f t="shared" ca="1" si="98"/>
        <v>634.61246770439868</v>
      </c>
      <c r="Q239">
        <f t="shared" ca="1" si="99"/>
        <v>635.68195155659805</v>
      </c>
      <c r="R239">
        <f t="shared" ca="1" si="100"/>
        <v>3.8141460404132466E-3</v>
      </c>
      <c r="S239">
        <f t="shared" ca="1" si="101"/>
        <v>1.0000000000000004</v>
      </c>
      <c r="T239">
        <f t="shared" ca="1" si="102"/>
        <v>35.686426155594638</v>
      </c>
      <c r="U239">
        <f t="shared" ca="1" si="123"/>
        <v>-3.4157470063291839E-3</v>
      </c>
      <c r="V239">
        <f t="shared" ca="1" si="124"/>
        <v>1</v>
      </c>
      <c r="W239">
        <f t="shared" ca="1" si="103"/>
        <v>2.1381886436890443</v>
      </c>
      <c r="X239">
        <f t="shared" ca="1" si="104"/>
        <v>11.11858094718303</v>
      </c>
      <c r="Y239">
        <f t="shared" ca="1" si="105"/>
        <v>1.1732944573652897</v>
      </c>
      <c r="Z239">
        <f t="shared" ca="1" si="106"/>
        <v>4.5824193071066803</v>
      </c>
      <c r="AA239">
        <f t="shared" ca="1" si="107"/>
        <v>634.61168864368904</v>
      </c>
      <c r="AB239">
        <f t="shared" ca="1" si="108"/>
        <v>635.68195198243234</v>
      </c>
      <c r="AC239">
        <f t="shared" ca="1" si="109"/>
        <v>3.8179433334236904E-3</v>
      </c>
      <c r="AD239">
        <f t="shared" ca="1" si="110"/>
        <v>1.0005465829720761</v>
      </c>
      <c r="AE239">
        <f t="shared" ca="1" si="111"/>
        <v>35.686430890842168</v>
      </c>
      <c r="AF239">
        <f t="shared" ca="1" si="112"/>
        <v>3.4196183505628142E-3</v>
      </c>
      <c r="AG239">
        <f t="shared" ca="1" si="113"/>
        <v>0</v>
      </c>
      <c r="AH239">
        <f ca="1">IFERROR(IF(V32="Supercritical",MAX($D$16,IFERROR(L239,MAX($D$16,POWER((ABS(K239)^2)/($I$5*MAX(F239,0.1)^2),1/3)))),IF(V32="Subcritical",MAX($D$16,IFERROR(W239,MAX($D$16,POWER((ABS(K239)^2)/($I$5*MAX(F239,0.1)^2),1/3)))),IF(AND(IFERROR(V239,0)=1,IFERROR(AG239,0)=1),IF(IFERROR(T239,-1E+99)&gt;=IFERROR(AE239,-1E+99),MAX($D$16,IFERROR(L239,MAX($D$16,POWER((ABS(K239)^2)/($I$5*MAX(F239,0.1)^2),1/3)))),MAX($D$16,IFERROR(W239,MAX($D$16,POWER((ABS(K239)^2)/($I$5*MAX(F239,0.1)^2),1/3))))),IF(IFERROR(V239,0)=1,MAX($D$16,IFERROR(L239,MAX($D$16,POWER((ABS(K239)^2)/($I$5*MAX(F239,0.1)^2),1/3)))),IF(IFERROR(AG239,0)=1,MAX($D$16,IFERROR(W239,MAX($D$16,POWER((ABS(K239)^2)/($I$5*MAX(F239,0.1)^2),1/3)))),MAX($D$16,POWER((ABS(K239)^2)/($I$5*MAX(F239,0.1)^2),1/3))))))),MAX($D$16,POWER((ABS(K239)^2)/($I$5*MAX(F239,0.1)^2),1/3)))</f>
        <v>2.1389677043987478</v>
      </c>
      <c r="AI239">
        <f t="shared" ca="1" si="114"/>
        <v>634.61246770439868</v>
      </c>
      <c r="AJ239">
        <f t="shared" ca="1" si="115"/>
        <v>635.68195155659805</v>
      </c>
      <c r="AM239">
        <v>0</v>
      </c>
      <c r="AN239">
        <v>0</v>
      </c>
      <c r="AO239">
        <f t="shared" si="116"/>
        <v>0</v>
      </c>
      <c r="AP239">
        <f t="shared" si="125"/>
        <v>0</v>
      </c>
      <c r="AQ239">
        <f t="shared" ca="1" si="117"/>
        <v>1.0000000000000004</v>
      </c>
      <c r="AR239" t="str">
        <f t="shared" ca="1" si="118"/>
        <v>Supercritical</v>
      </c>
      <c r="AS239">
        <f t="shared" ca="1" si="119"/>
        <v>3.8141460404132466E-3</v>
      </c>
    </row>
    <row r="240" spans="1:45" x14ac:dyDescent="0.35">
      <c r="A240">
        <v>179</v>
      </c>
      <c r="B240">
        <v>177.99700000000001</v>
      </c>
      <c r="C240">
        <v>616406.75</v>
      </c>
      <c r="D240">
        <v>3097692.2919999999</v>
      </c>
      <c r="E240">
        <v>632.47299999999996</v>
      </c>
      <c r="F240">
        <v>5.2</v>
      </c>
      <c r="G240">
        <v>0</v>
      </c>
      <c r="H240" t="s">
        <v>154</v>
      </c>
      <c r="I240">
        <v>5.7000000000000002E-2</v>
      </c>
      <c r="J240">
        <f t="shared" si="120"/>
        <v>1</v>
      </c>
      <c r="K240">
        <f t="shared" ca="1" si="121"/>
        <v>50.95</v>
      </c>
      <c r="L240">
        <f t="shared" ca="1" si="122"/>
        <v>2.1389677043987478</v>
      </c>
      <c r="M240">
        <f t="shared" ca="1" si="95"/>
        <v>11.122632062873489</v>
      </c>
      <c r="N240">
        <f t="shared" ca="1" si="96"/>
        <v>1.1735290000551568</v>
      </c>
      <c r="O240">
        <f t="shared" ca="1" si="97"/>
        <v>4.5807502857230418</v>
      </c>
      <c r="P240">
        <f t="shared" ca="1" si="98"/>
        <v>634.61196770439869</v>
      </c>
      <c r="Q240">
        <f t="shared" ca="1" si="99"/>
        <v>635.68145155659806</v>
      </c>
      <c r="R240">
        <f t="shared" ca="1" si="100"/>
        <v>3.8141460404132466E-3</v>
      </c>
      <c r="S240">
        <f t="shared" ca="1" si="101"/>
        <v>1.0000000000000004</v>
      </c>
      <c r="T240">
        <f t="shared" ca="1" si="102"/>
        <v>35.686426155594638</v>
      </c>
      <c r="U240">
        <f t="shared" ca="1" si="123"/>
        <v>-3.4157470064428708E-3</v>
      </c>
      <c r="V240">
        <f t="shared" ca="1" si="124"/>
        <v>1</v>
      </c>
      <c r="W240">
        <f t="shared" ca="1" si="103"/>
        <v>2.1373203735079915</v>
      </c>
      <c r="X240">
        <f t="shared" ca="1" si="104"/>
        <v>11.114065942241556</v>
      </c>
      <c r="Y240">
        <f t="shared" ca="1" si="105"/>
        <v>1.1730329665261352</v>
      </c>
      <c r="Z240">
        <f t="shared" ca="1" si="106"/>
        <v>4.5842808801730106</v>
      </c>
      <c r="AA240">
        <f t="shared" ca="1" si="107"/>
        <v>634.61032037350799</v>
      </c>
      <c r="AB240">
        <f t="shared" ca="1" si="108"/>
        <v>635.6814534615977</v>
      </c>
      <c r="AC240">
        <f t="shared" ca="1" si="109"/>
        <v>3.8221817362197445E-3</v>
      </c>
      <c r="AD240">
        <f t="shared" ca="1" si="110"/>
        <v>1.0011563415729299</v>
      </c>
      <c r="AE240">
        <f t="shared" ca="1" si="111"/>
        <v>35.686447333323514</v>
      </c>
      <c r="AF240">
        <f t="shared" ca="1" si="112"/>
        <v>3.4292950450662829E-3</v>
      </c>
      <c r="AG240">
        <f t="shared" ca="1" si="113"/>
        <v>0</v>
      </c>
      <c r="AH240">
        <f ca="1">IFERROR(IF(V32="Supercritical",MAX($D$16,IFERROR(L240,MAX($D$16,POWER((ABS(K240)^2)/($I$5*MAX(F240,0.1)^2),1/3)))),IF(V32="Subcritical",MAX($D$16,IFERROR(W240,MAX($D$16,POWER((ABS(K240)^2)/($I$5*MAX(F240,0.1)^2),1/3)))),IF(AND(IFERROR(V240,0)=1,IFERROR(AG240,0)=1),IF(IFERROR(T240,-1E+99)&gt;=IFERROR(AE240,-1E+99),MAX($D$16,IFERROR(L240,MAX($D$16,POWER((ABS(K240)^2)/($I$5*MAX(F240,0.1)^2),1/3)))),MAX($D$16,IFERROR(W240,MAX($D$16,POWER((ABS(K240)^2)/($I$5*MAX(F240,0.1)^2),1/3))))),IF(IFERROR(V240,0)=1,MAX($D$16,IFERROR(L240,MAX($D$16,POWER((ABS(K240)^2)/($I$5*MAX(F240,0.1)^2),1/3)))),IF(IFERROR(AG240,0)=1,MAX($D$16,IFERROR(W240,MAX($D$16,POWER((ABS(K240)^2)/($I$5*MAX(F240,0.1)^2),1/3)))),MAX($D$16,POWER((ABS(K240)^2)/($I$5*MAX(F240,0.1)^2),1/3))))))),MAX($D$16,POWER((ABS(K240)^2)/($I$5*MAX(F240,0.1)^2),1/3)))</f>
        <v>2.1389677043987478</v>
      </c>
      <c r="AI240">
        <f t="shared" ca="1" si="114"/>
        <v>634.61196770439869</v>
      </c>
      <c r="AJ240">
        <f t="shared" ca="1" si="115"/>
        <v>635.68145155659806</v>
      </c>
      <c r="AM240">
        <v>0</v>
      </c>
      <c r="AN240">
        <v>0</v>
      </c>
      <c r="AO240">
        <f t="shared" si="116"/>
        <v>0</v>
      </c>
      <c r="AP240">
        <f t="shared" si="125"/>
        <v>0</v>
      </c>
      <c r="AQ240">
        <f t="shared" ca="1" si="117"/>
        <v>1.0000000000000004</v>
      </c>
      <c r="AR240" t="str">
        <f t="shared" ca="1" si="118"/>
        <v>Supercritical</v>
      </c>
      <c r="AS240">
        <f t="shared" ca="1" si="119"/>
        <v>3.8141460404132466E-3</v>
      </c>
    </row>
    <row r="241" spans="1:45" x14ac:dyDescent="0.35">
      <c r="A241">
        <v>180</v>
      </c>
      <c r="B241">
        <v>178.99700000000001</v>
      </c>
      <c r="C241">
        <v>616405.75100000005</v>
      </c>
      <c r="D241">
        <v>3097692.2450000001</v>
      </c>
      <c r="E241">
        <v>632.47249999999997</v>
      </c>
      <c r="F241">
        <v>5.2</v>
      </c>
      <c r="G241">
        <v>0</v>
      </c>
      <c r="H241" t="s">
        <v>154</v>
      </c>
      <c r="I241">
        <v>0.06</v>
      </c>
      <c r="J241">
        <f t="shared" si="120"/>
        <v>1</v>
      </c>
      <c r="K241">
        <f t="shared" ca="1" si="121"/>
        <v>50.95</v>
      </c>
      <c r="L241">
        <f t="shared" ca="1" si="122"/>
        <v>2.1389677043987478</v>
      </c>
      <c r="M241">
        <f t="shared" ca="1" si="95"/>
        <v>11.122632062873489</v>
      </c>
      <c r="N241">
        <f t="shared" ca="1" si="96"/>
        <v>1.1735290000551568</v>
      </c>
      <c r="O241">
        <f t="shared" ca="1" si="97"/>
        <v>4.5807502857230418</v>
      </c>
      <c r="P241">
        <f t="shared" ca="1" si="98"/>
        <v>634.61146770439871</v>
      </c>
      <c r="Q241">
        <f t="shared" ca="1" si="99"/>
        <v>635.68095155659807</v>
      </c>
      <c r="R241">
        <f t="shared" ca="1" si="100"/>
        <v>3.8141460404132466E-3</v>
      </c>
      <c r="S241">
        <f t="shared" ca="1" si="101"/>
        <v>1.0000000000000004</v>
      </c>
      <c r="T241">
        <f t="shared" ca="1" si="102"/>
        <v>35.686426155594638</v>
      </c>
      <c r="U241">
        <f t="shared" ca="1" si="123"/>
        <v>-3.4210944256756193E-3</v>
      </c>
      <c r="V241">
        <f t="shared" ca="1" si="124"/>
        <v>1</v>
      </c>
      <c r="W241">
        <f t="shared" ca="1" si="103"/>
        <v>2.1381886436890443</v>
      </c>
      <c r="X241">
        <f t="shared" ca="1" si="104"/>
        <v>11.11858094718303</v>
      </c>
      <c r="Y241">
        <f t="shared" ca="1" si="105"/>
        <v>1.1732944573652897</v>
      </c>
      <c r="Z241">
        <f t="shared" ca="1" si="106"/>
        <v>4.5824193071066803</v>
      </c>
      <c r="AA241">
        <f t="shared" ca="1" si="107"/>
        <v>634.61068864368906</v>
      </c>
      <c r="AB241">
        <f t="shared" ca="1" si="108"/>
        <v>635.68095198243236</v>
      </c>
      <c r="AC241">
        <f t="shared" ca="1" si="109"/>
        <v>3.8179433334236904E-3</v>
      </c>
      <c r="AD241">
        <f t="shared" ca="1" si="110"/>
        <v>1.0005465829720761</v>
      </c>
      <c r="AE241">
        <f t="shared" ca="1" si="111"/>
        <v>35.686430890842168</v>
      </c>
      <c r="AF241">
        <f t="shared" ca="1" si="112"/>
        <v>3.3194767067925568E-3</v>
      </c>
      <c r="AG241">
        <f t="shared" ca="1" si="113"/>
        <v>0</v>
      </c>
      <c r="AH241">
        <f ca="1">IFERROR(IF(V32="Supercritical",MAX($D$16,IFERROR(L241,MAX($D$16,POWER((ABS(K241)^2)/($I$5*MAX(F241,0.1)^2),1/3)))),IF(V32="Subcritical",MAX($D$16,IFERROR(W241,MAX($D$16,POWER((ABS(K241)^2)/($I$5*MAX(F241,0.1)^2),1/3)))),IF(AND(IFERROR(V241,0)=1,IFERROR(AG241,0)=1),IF(IFERROR(T241,-1E+99)&gt;=IFERROR(AE241,-1E+99),MAX($D$16,IFERROR(L241,MAX($D$16,POWER((ABS(K241)^2)/($I$5*MAX(F241,0.1)^2),1/3)))),MAX($D$16,IFERROR(W241,MAX($D$16,POWER((ABS(K241)^2)/($I$5*MAX(F241,0.1)^2),1/3))))),IF(IFERROR(V241,0)=1,MAX($D$16,IFERROR(L241,MAX($D$16,POWER((ABS(K241)^2)/($I$5*MAX(F241,0.1)^2),1/3)))),IF(IFERROR(AG241,0)=1,MAX($D$16,IFERROR(W241,MAX($D$16,POWER((ABS(K241)^2)/($I$5*MAX(F241,0.1)^2),1/3)))),MAX($D$16,POWER((ABS(K241)^2)/($I$5*MAX(F241,0.1)^2),1/3))))))),MAX($D$16,POWER((ABS(K241)^2)/($I$5*MAX(F241,0.1)^2),1/3)))</f>
        <v>2.1389677043987478</v>
      </c>
      <c r="AI241">
        <f t="shared" ca="1" si="114"/>
        <v>634.61146770439871</v>
      </c>
      <c r="AJ241">
        <f t="shared" ca="1" si="115"/>
        <v>635.68095155659807</v>
      </c>
      <c r="AM241">
        <v>0</v>
      </c>
      <c r="AN241">
        <v>0</v>
      </c>
      <c r="AO241">
        <f t="shared" si="116"/>
        <v>0</v>
      </c>
      <c r="AP241">
        <f t="shared" si="125"/>
        <v>0</v>
      </c>
      <c r="AQ241">
        <f t="shared" ca="1" si="117"/>
        <v>1.0000000000000004</v>
      </c>
      <c r="AR241" t="str">
        <f t="shared" ca="1" si="118"/>
        <v>Supercritical</v>
      </c>
      <c r="AS241">
        <f t="shared" ca="1" si="119"/>
        <v>3.8141460404132466E-3</v>
      </c>
    </row>
    <row r="242" spans="1:45" x14ac:dyDescent="0.35">
      <c r="A242">
        <v>181</v>
      </c>
      <c r="B242">
        <v>179.99600000000001</v>
      </c>
      <c r="C242">
        <v>616404.75300000003</v>
      </c>
      <c r="D242">
        <v>3097692.1970000002</v>
      </c>
      <c r="E242">
        <v>632.47199999999998</v>
      </c>
      <c r="F242">
        <v>5.2</v>
      </c>
      <c r="G242">
        <v>0</v>
      </c>
      <c r="H242" t="s">
        <v>154</v>
      </c>
      <c r="I242">
        <v>3.0000000000000001E-3</v>
      </c>
      <c r="J242">
        <f t="shared" si="120"/>
        <v>0.99899999999999523</v>
      </c>
      <c r="K242">
        <f t="shared" ca="1" si="121"/>
        <v>50.95</v>
      </c>
      <c r="L242">
        <f t="shared" ca="1" si="122"/>
        <v>2.1389677043987478</v>
      </c>
      <c r="M242">
        <f t="shared" ca="1" si="95"/>
        <v>11.122632062873489</v>
      </c>
      <c r="N242">
        <f t="shared" ca="1" si="96"/>
        <v>1.1735290000551568</v>
      </c>
      <c r="O242">
        <f t="shared" ca="1" si="97"/>
        <v>4.5807502857230418</v>
      </c>
      <c r="P242">
        <f t="shared" ca="1" si="98"/>
        <v>634.61096770439872</v>
      </c>
      <c r="Q242">
        <f t="shared" ca="1" si="99"/>
        <v>635.68045155659809</v>
      </c>
      <c r="R242">
        <f t="shared" ca="1" si="100"/>
        <v>3.8141460404132466E-3</v>
      </c>
      <c r="S242">
        <f t="shared" ca="1" si="101"/>
        <v>1.0000000000000004</v>
      </c>
      <c r="T242">
        <f t="shared" ca="1" si="102"/>
        <v>35.686426155594638</v>
      </c>
      <c r="U242">
        <f t="shared" ca="1" si="123"/>
        <v>-3.3156793135731277E-3</v>
      </c>
      <c r="V242">
        <f t="shared" ca="1" si="124"/>
        <v>1</v>
      </c>
      <c r="W242">
        <f t="shared" ca="1" si="103"/>
        <v>2.1373203735079915</v>
      </c>
      <c r="X242">
        <f t="shared" ca="1" si="104"/>
        <v>11.114065942241556</v>
      </c>
      <c r="Y242">
        <f t="shared" ca="1" si="105"/>
        <v>1.1730329665261352</v>
      </c>
      <c r="Z242">
        <f t="shared" ca="1" si="106"/>
        <v>4.5842808801730106</v>
      </c>
      <c r="AA242">
        <f t="shared" ca="1" si="107"/>
        <v>634.60932037350801</v>
      </c>
      <c r="AB242">
        <f t="shared" ca="1" si="108"/>
        <v>635.68045346159772</v>
      </c>
      <c r="AC242">
        <f t="shared" ca="1" si="109"/>
        <v>3.8221817362197445E-3</v>
      </c>
      <c r="AD242">
        <f t="shared" ca="1" si="110"/>
        <v>1.0011563415729299</v>
      </c>
      <c r="AE242">
        <f t="shared" ca="1" si="111"/>
        <v>35.686447333323514</v>
      </c>
      <c r="AF242">
        <f t="shared" ca="1" si="112"/>
        <v>3.4277615613973467E-3</v>
      </c>
      <c r="AG242">
        <f t="shared" ca="1" si="113"/>
        <v>0</v>
      </c>
      <c r="AH242">
        <f ca="1">IFERROR(IF(V32="Supercritical",MAX($D$16,IFERROR(L242,MAX($D$16,POWER((ABS(K242)^2)/($I$5*MAX(F242,0.1)^2),1/3)))),IF(V32="Subcritical",MAX($D$16,IFERROR(W242,MAX($D$16,POWER((ABS(K242)^2)/($I$5*MAX(F242,0.1)^2),1/3)))),IF(AND(IFERROR(V242,0)=1,IFERROR(AG242,0)=1),IF(IFERROR(T242,-1E+99)&gt;=IFERROR(AE242,-1E+99),MAX($D$16,IFERROR(L242,MAX($D$16,POWER((ABS(K242)^2)/($I$5*MAX(F242,0.1)^2),1/3)))),MAX($D$16,IFERROR(W242,MAX($D$16,POWER((ABS(K242)^2)/($I$5*MAX(F242,0.1)^2),1/3))))),IF(IFERROR(V242,0)=1,MAX($D$16,IFERROR(L242,MAX($D$16,POWER((ABS(K242)^2)/($I$5*MAX(F242,0.1)^2),1/3)))),IF(IFERROR(AG242,0)=1,MAX($D$16,IFERROR(W242,MAX($D$16,POWER((ABS(K242)^2)/($I$5*MAX(F242,0.1)^2),1/3)))),MAX($D$16,POWER((ABS(K242)^2)/($I$5*MAX(F242,0.1)^2),1/3))))))),MAX($D$16,POWER((ABS(K242)^2)/($I$5*MAX(F242,0.1)^2),1/3)))</f>
        <v>2.1389677043987478</v>
      </c>
      <c r="AI242">
        <f t="shared" ca="1" si="114"/>
        <v>634.61096770439872</v>
      </c>
      <c r="AJ242">
        <f t="shared" ca="1" si="115"/>
        <v>635.68045155659809</v>
      </c>
      <c r="AM242">
        <v>0</v>
      </c>
      <c r="AN242">
        <v>0</v>
      </c>
      <c r="AO242">
        <f t="shared" si="116"/>
        <v>0</v>
      </c>
      <c r="AP242">
        <f t="shared" si="125"/>
        <v>0</v>
      </c>
      <c r="AQ242">
        <f t="shared" ca="1" si="117"/>
        <v>1.0000000000000004</v>
      </c>
      <c r="AR242" t="str">
        <f t="shared" ca="1" si="118"/>
        <v>Supercritical</v>
      </c>
      <c r="AS242">
        <f t="shared" ca="1" si="119"/>
        <v>3.8141460404132466E-3</v>
      </c>
    </row>
    <row r="243" spans="1:45" x14ac:dyDescent="0.35">
      <c r="A243">
        <v>182</v>
      </c>
      <c r="B243">
        <v>180.99700000000001</v>
      </c>
      <c r="C243">
        <v>616403.75399999996</v>
      </c>
      <c r="D243">
        <v>3097692.1490000002</v>
      </c>
      <c r="E243">
        <v>632.47149999999999</v>
      </c>
      <c r="F243">
        <v>5.2</v>
      </c>
      <c r="G243">
        <v>0</v>
      </c>
      <c r="H243" t="s">
        <v>154</v>
      </c>
      <c r="I243">
        <v>5.7000000000000002E-2</v>
      </c>
      <c r="J243">
        <f t="shared" si="120"/>
        <v>1.0010000000000048</v>
      </c>
      <c r="K243">
        <f t="shared" ca="1" si="121"/>
        <v>50.95</v>
      </c>
      <c r="L243">
        <f t="shared" ca="1" si="122"/>
        <v>2.1389677043987478</v>
      </c>
      <c r="M243">
        <f t="shared" ca="1" si="95"/>
        <v>11.122632062873489</v>
      </c>
      <c r="N243">
        <f t="shared" ca="1" si="96"/>
        <v>1.1735290000551568</v>
      </c>
      <c r="O243">
        <f t="shared" ca="1" si="97"/>
        <v>4.5807502857230418</v>
      </c>
      <c r="P243">
        <f t="shared" ca="1" si="98"/>
        <v>634.61046770439873</v>
      </c>
      <c r="Q243">
        <f t="shared" ca="1" si="99"/>
        <v>635.6799515565981</v>
      </c>
      <c r="R243">
        <f t="shared" ca="1" si="100"/>
        <v>3.8141460404132466E-3</v>
      </c>
      <c r="S243">
        <f t="shared" ca="1" si="101"/>
        <v>1.0000000000000004</v>
      </c>
      <c r="T243">
        <f t="shared" ca="1" si="102"/>
        <v>35.686426155594638</v>
      </c>
      <c r="U243">
        <f t="shared" ca="1" si="123"/>
        <v>-3.4195611524410197E-3</v>
      </c>
      <c r="V243">
        <f t="shared" ca="1" si="124"/>
        <v>1</v>
      </c>
      <c r="W243">
        <f t="shared" ca="1" si="103"/>
        <v>2.1381886436890443</v>
      </c>
      <c r="X243">
        <f t="shared" ca="1" si="104"/>
        <v>11.11858094718303</v>
      </c>
      <c r="Y243">
        <f t="shared" ca="1" si="105"/>
        <v>1.1732944573652897</v>
      </c>
      <c r="Z243">
        <f t="shared" ca="1" si="106"/>
        <v>4.5824193071066803</v>
      </c>
      <c r="AA243">
        <f t="shared" ca="1" si="107"/>
        <v>634.60968864368908</v>
      </c>
      <c r="AB243">
        <f t="shared" ca="1" si="108"/>
        <v>635.67995198243239</v>
      </c>
      <c r="AC243">
        <f t="shared" ca="1" si="109"/>
        <v>3.8179433334236904E-3</v>
      </c>
      <c r="AD243">
        <f t="shared" ca="1" si="110"/>
        <v>1.0005465829720761</v>
      </c>
      <c r="AE243">
        <f t="shared" ca="1" si="111"/>
        <v>35.686430890842168</v>
      </c>
      <c r="AF243">
        <f t="shared" ca="1" si="112"/>
        <v>3.4196183505628142E-3</v>
      </c>
      <c r="AG243">
        <f t="shared" ca="1" si="113"/>
        <v>0</v>
      </c>
      <c r="AH243">
        <f ca="1">IFERROR(IF(V32="Supercritical",MAX($D$16,IFERROR(L243,MAX($D$16,POWER((ABS(K243)^2)/($I$5*MAX(F243,0.1)^2),1/3)))),IF(V32="Subcritical",MAX($D$16,IFERROR(W243,MAX($D$16,POWER((ABS(K243)^2)/($I$5*MAX(F243,0.1)^2),1/3)))),IF(AND(IFERROR(V243,0)=1,IFERROR(AG243,0)=1),IF(IFERROR(T243,-1E+99)&gt;=IFERROR(AE243,-1E+99),MAX($D$16,IFERROR(L243,MAX($D$16,POWER((ABS(K243)^2)/($I$5*MAX(F243,0.1)^2),1/3)))),MAX($D$16,IFERROR(W243,MAX($D$16,POWER((ABS(K243)^2)/($I$5*MAX(F243,0.1)^2),1/3))))),IF(IFERROR(V243,0)=1,MAX($D$16,IFERROR(L243,MAX($D$16,POWER((ABS(K243)^2)/($I$5*MAX(F243,0.1)^2),1/3)))),IF(IFERROR(AG243,0)=1,MAX($D$16,IFERROR(W243,MAX($D$16,POWER((ABS(K243)^2)/($I$5*MAX(F243,0.1)^2),1/3)))),MAX($D$16,POWER((ABS(K243)^2)/($I$5*MAX(F243,0.1)^2),1/3))))))),MAX($D$16,POWER((ABS(K243)^2)/($I$5*MAX(F243,0.1)^2),1/3)))</f>
        <v>2.1389677043987478</v>
      </c>
      <c r="AI243">
        <f t="shared" ca="1" si="114"/>
        <v>634.61046770439873</v>
      </c>
      <c r="AJ243">
        <f t="shared" ca="1" si="115"/>
        <v>635.6799515565981</v>
      </c>
      <c r="AM243">
        <v>0</v>
      </c>
      <c r="AN243">
        <v>0</v>
      </c>
      <c r="AO243">
        <f t="shared" si="116"/>
        <v>0</v>
      </c>
      <c r="AP243">
        <f t="shared" si="125"/>
        <v>0</v>
      </c>
      <c r="AQ243">
        <f t="shared" ca="1" si="117"/>
        <v>1.0000000000000004</v>
      </c>
      <c r="AR243" t="str">
        <f t="shared" ca="1" si="118"/>
        <v>Supercritical</v>
      </c>
      <c r="AS243">
        <f t="shared" ca="1" si="119"/>
        <v>3.8141460404132466E-3</v>
      </c>
    </row>
    <row r="244" spans="1:45" x14ac:dyDescent="0.35">
      <c r="A244">
        <v>183</v>
      </c>
      <c r="B244">
        <v>181.99700000000001</v>
      </c>
      <c r="C244">
        <v>616402.755</v>
      </c>
      <c r="D244">
        <v>3097692.102</v>
      </c>
      <c r="E244">
        <v>632.471</v>
      </c>
      <c r="F244">
        <v>5.2</v>
      </c>
      <c r="G244">
        <v>0</v>
      </c>
      <c r="H244" t="s">
        <v>154</v>
      </c>
      <c r="I244">
        <v>5.7000000000000002E-2</v>
      </c>
      <c r="J244">
        <f t="shared" si="120"/>
        <v>1</v>
      </c>
      <c r="K244">
        <f t="shared" ca="1" si="121"/>
        <v>50.95</v>
      </c>
      <c r="L244">
        <f t="shared" ca="1" si="122"/>
        <v>2.1389677043987478</v>
      </c>
      <c r="M244">
        <f t="shared" ca="1" si="95"/>
        <v>11.122632062873489</v>
      </c>
      <c r="N244">
        <f t="shared" ca="1" si="96"/>
        <v>1.1735290000551568</v>
      </c>
      <c r="O244">
        <f t="shared" ca="1" si="97"/>
        <v>4.5807502857230418</v>
      </c>
      <c r="P244">
        <f t="shared" ca="1" si="98"/>
        <v>634.60996770439874</v>
      </c>
      <c r="Q244">
        <f t="shared" ca="1" si="99"/>
        <v>635.67945155659811</v>
      </c>
      <c r="R244">
        <f t="shared" ca="1" si="100"/>
        <v>3.8141460404132466E-3</v>
      </c>
      <c r="S244">
        <f t="shared" ca="1" si="101"/>
        <v>1.0000000000000004</v>
      </c>
      <c r="T244">
        <f t="shared" ca="1" si="102"/>
        <v>35.686426155594638</v>
      </c>
      <c r="U244">
        <f t="shared" ca="1" si="123"/>
        <v>-3.4157470064428708E-3</v>
      </c>
      <c r="V244">
        <f t="shared" ca="1" si="124"/>
        <v>1</v>
      </c>
      <c r="W244">
        <f t="shared" ca="1" si="103"/>
        <v>2.1373203735079915</v>
      </c>
      <c r="X244">
        <f t="shared" ca="1" si="104"/>
        <v>11.114065942241556</v>
      </c>
      <c r="Y244">
        <f t="shared" ca="1" si="105"/>
        <v>1.1730329665261352</v>
      </c>
      <c r="Z244">
        <f t="shared" ca="1" si="106"/>
        <v>4.5842808801730106</v>
      </c>
      <c r="AA244">
        <f t="shared" ca="1" si="107"/>
        <v>634.60832037350804</v>
      </c>
      <c r="AB244">
        <f t="shared" ca="1" si="108"/>
        <v>635.67945346159775</v>
      </c>
      <c r="AC244">
        <f t="shared" ca="1" si="109"/>
        <v>3.8221817362197445E-3</v>
      </c>
      <c r="AD244">
        <f t="shared" ca="1" si="110"/>
        <v>1.0011563415729299</v>
      </c>
      <c r="AE244">
        <f t="shared" ca="1" si="111"/>
        <v>35.686447333323514</v>
      </c>
      <c r="AF244">
        <f t="shared" ca="1" si="112"/>
        <v>3.3221817362800721E-3</v>
      </c>
      <c r="AG244">
        <f t="shared" ca="1" si="113"/>
        <v>0</v>
      </c>
      <c r="AH244">
        <f ca="1">IFERROR(IF(V32="Supercritical",MAX($D$16,IFERROR(L244,MAX($D$16,POWER((ABS(K244)^2)/($I$5*MAX(F244,0.1)^2),1/3)))),IF(V32="Subcritical",MAX($D$16,IFERROR(W244,MAX($D$16,POWER((ABS(K244)^2)/($I$5*MAX(F244,0.1)^2),1/3)))),IF(AND(IFERROR(V244,0)=1,IFERROR(AG244,0)=1),IF(IFERROR(T244,-1E+99)&gt;=IFERROR(AE244,-1E+99),MAX($D$16,IFERROR(L244,MAX($D$16,POWER((ABS(K244)^2)/($I$5*MAX(F244,0.1)^2),1/3)))),MAX($D$16,IFERROR(W244,MAX($D$16,POWER((ABS(K244)^2)/($I$5*MAX(F244,0.1)^2),1/3))))),IF(IFERROR(V244,0)=1,MAX($D$16,IFERROR(L244,MAX($D$16,POWER((ABS(K244)^2)/($I$5*MAX(F244,0.1)^2),1/3)))),IF(IFERROR(AG244,0)=1,MAX($D$16,IFERROR(W244,MAX($D$16,POWER((ABS(K244)^2)/($I$5*MAX(F244,0.1)^2),1/3)))),MAX($D$16,POWER((ABS(K244)^2)/($I$5*MAX(F244,0.1)^2),1/3))))))),MAX($D$16,POWER((ABS(K244)^2)/($I$5*MAX(F244,0.1)^2),1/3)))</f>
        <v>2.1389677043987478</v>
      </c>
      <c r="AI244">
        <f t="shared" ca="1" si="114"/>
        <v>634.60996770439874</v>
      </c>
      <c r="AJ244">
        <f t="shared" ca="1" si="115"/>
        <v>635.67945155659811</v>
      </c>
      <c r="AM244">
        <v>0</v>
      </c>
      <c r="AN244">
        <v>0</v>
      </c>
      <c r="AO244">
        <f t="shared" si="116"/>
        <v>0</v>
      </c>
      <c r="AP244">
        <f t="shared" si="125"/>
        <v>0</v>
      </c>
      <c r="AQ244">
        <f t="shared" ca="1" si="117"/>
        <v>1.0000000000000004</v>
      </c>
      <c r="AR244" t="str">
        <f t="shared" ca="1" si="118"/>
        <v>Supercritical</v>
      </c>
      <c r="AS244">
        <f t="shared" ca="1" si="119"/>
        <v>3.8141460404132466E-3</v>
      </c>
    </row>
    <row r="245" spans="1:45" x14ac:dyDescent="0.35">
      <c r="A245">
        <v>184</v>
      </c>
      <c r="B245">
        <v>182.99700000000001</v>
      </c>
      <c r="C245">
        <v>616401.75600000005</v>
      </c>
      <c r="D245">
        <v>3097692.054</v>
      </c>
      <c r="E245">
        <v>632.47050000000002</v>
      </c>
      <c r="F245">
        <v>5.2</v>
      </c>
      <c r="G245">
        <v>0</v>
      </c>
      <c r="H245" t="s">
        <v>154</v>
      </c>
      <c r="I245">
        <v>0</v>
      </c>
      <c r="J245">
        <f t="shared" si="120"/>
        <v>1</v>
      </c>
      <c r="K245">
        <f t="shared" ca="1" si="121"/>
        <v>50.95</v>
      </c>
      <c r="L245">
        <f t="shared" ca="1" si="122"/>
        <v>2.1389677043987478</v>
      </c>
      <c r="M245">
        <f t="shared" ca="1" si="95"/>
        <v>11.122632062873489</v>
      </c>
      <c r="N245">
        <f t="shared" ca="1" si="96"/>
        <v>1.1735290000551568</v>
      </c>
      <c r="O245">
        <f t="shared" ca="1" si="97"/>
        <v>4.5807502857230418</v>
      </c>
      <c r="P245">
        <f t="shared" ca="1" si="98"/>
        <v>634.60946770439875</v>
      </c>
      <c r="Q245">
        <f t="shared" ca="1" si="99"/>
        <v>635.67895155659812</v>
      </c>
      <c r="R245">
        <f t="shared" ca="1" si="100"/>
        <v>3.8141460404132466E-3</v>
      </c>
      <c r="S245">
        <f t="shared" ca="1" si="101"/>
        <v>1.0000000000000004</v>
      </c>
      <c r="T245">
        <f t="shared" ca="1" si="102"/>
        <v>35.686426155594638</v>
      </c>
      <c r="U245">
        <f t="shared" ca="1" si="123"/>
        <v>-3.3141460404522149E-3</v>
      </c>
      <c r="V245">
        <f t="shared" ca="1" si="124"/>
        <v>1</v>
      </c>
      <c r="W245">
        <f t="shared" ca="1" si="103"/>
        <v>2.1381886436890443</v>
      </c>
      <c r="X245">
        <f t="shared" ca="1" si="104"/>
        <v>11.11858094718303</v>
      </c>
      <c r="Y245">
        <f t="shared" ca="1" si="105"/>
        <v>1.1732944573652897</v>
      </c>
      <c r="Z245">
        <f t="shared" ca="1" si="106"/>
        <v>4.5824193071066803</v>
      </c>
      <c r="AA245">
        <f t="shared" ca="1" si="107"/>
        <v>634.60868864368911</v>
      </c>
      <c r="AB245">
        <f t="shared" ca="1" si="108"/>
        <v>635.67895198243241</v>
      </c>
      <c r="AC245">
        <f t="shared" ca="1" si="109"/>
        <v>3.8179433334236904E-3</v>
      </c>
      <c r="AD245">
        <f t="shared" ca="1" si="110"/>
        <v>1.0005465829720761</v>
      </c>
      <c r="AE245">
        <f t="shared" ca="1" si="111"/>
        <v>35.686430890842168</v>
      </c>
      <c r="AF245">
        <f t="shared" ca="1" si="112"/>
        <v>3.4196183505628142E-3</v>
      </c>
      <c r="AG245">
        <f t="shared" ca="1" si="113"/>
        <v>0</v>
      </c>
      <c r="AH245">
        <f ca="1">IFERROR(IF(V32="Supercritical",MAX($D$16,IFERROR(L245,MAX($D$16,POWER((ABS(K245)^2)/($I$5*MAX(F245,0.1)^2),1/3)))),IF(V32="Subcritical",MAX($D$16,IFERROR(W245,MAX($D$16,POWER((ABS(K245)^2)/($I$5*MAX(F245,0.1)^2),1/3)))),IF(AND(IFERROR(V245,0)=1,IFERROR(AG245,0)=1),IF(IFERROR(T245,-1E+99)&gt;=IFERROR(AE245,-1E+99),MAX($D$16,IFERROR(L245,MAX($D$16,POWER((ABS(K245)^2)/($I$5*MAX(F245,0.1)^2),1/3)))),MAX($D$16,IFERROR(W245,MAX($D$16,POWER((ABS(K245)^2)/($I$5*MAX(F245,0.1)^2),1/3))))),IF(IFERROR(V245,0)=1,MAX($D$16,IFERROR(L245,MAX($D$16,POWER((ABS(K245)^2)/($I$5*MAX(F245,0.1)^2),1/3)))),IF(IFERROR(AG245,0)=1,MAX($D$16,IFERROR(W245,MAX($D$16,POWER((ABS(K245)^2)/($I$5*MAX(F245,0.1)^2),1/3)))),MAX($D$16,POWER((ABS(K245)^2)/($I$5*MAX(F245,0.1)^2),1/3))))))),MAX($D$16,POWER((ABS(K245)^2)/($I$5*MAX(F245,0.1)^2),1/3)))</f>
        <v>2.1389677043987478</v>
      </c>
      <c r="AI245">
        <f t="shared" ca="1" si="114"/>
        <v>634.60946770439875</v>
      </c>
      <c r="AJ245">
        <f t="shared" ca="1" si="115"/>
        <v>635.67895155659812</v>
      </c>
      <c r="AM245">
        <v>0</v>
      </c>
      <c r="AN245">
        <v>0</v>
      </c>
      <c r="AO245">
        <f t="shared" si="116"/>
        <v>0</v>
      </c>
      <c r="AP245">
        <f t="shared" si="125"/>
        <v>0</v>
      </c>
      <c r="AQ245">
        <f t="shared" ca="1" si="117"/>
        <v>1.0000000000000004</v>
      </c>
      <c r="AR245" t="str">
        <f t="shared" ca="1" si="118"/>
        <v>Supercritical</v>
      </c>
      <c r="AS245">
        <f t="shared" ca="1" si="119"/>
        <v>3.8141460404132466E-3</v>
      </c>
    </row>
    <row r="246" spans="1:45" x14ac:dyDescent="0.35">
      <c r="A246">
        <v>185</v>
      </c>
      <c r="B246">
        <v>183.99700000000001</v>
      </c>
      <c r="C246">
        <v>616400.75699999998</v>
      </c>
      <c r="D246">
        <v>3097692.0060000001</v>
      </c>
      <c r="E246">
        <v>632.47</v>
      </c>
      <c r="F246">
        <v>5.2</v>
      </c>
      <c r="G246">
        <v>0</v>
      </c>
      <c r="H246" t="s">
        <v>154</v>
      </c>
      <c r="I246">
        <v>5.7000000000000002E-2</v>
      </c>
      <c r="J246">
        <f t="shared" si="120"/>
        <v>1</v>
      </c>
      <c r="K246">
        <f t="shared" ca="1" si="121"/>
        <v>50.95</v>
      </c>
      <c r="L246">
        <f t="shared" ca="1" si="122"/>
        <v>2.1389677043987478</v>
      </c>
      <c r="M246">
        <f t="shared" ca="1" si="95"/>
        <v>11.122632062873489</v>
      </c>
      <c r="N246">
        <f t="shared" ca="1" si="96"/>
        <v>1.1735290000551568</v>
      </c>
      <c r="O246">
        <f t="shared" ca="1" si="97"/>
        <v>4.5807502857230418</v>
      </c>
      <c r="P246">
        <f t="shared" ca="1" si="98"/>
        <v>634.60896770439876</v>
      </c>
      <c r="Q246">
        <f t="shared" ca="1" si="99"/>
        <v>635.67845155659813</v>
      </c>
      <c r="R246">
        <f t="shared" ca="1" si="100"/>
        <v>3.8141460404132466E-3</v>
      </c>
      <c r="S246">
        <f t="shared" ca="1" si="101"/>
        <v>1.0000000000000004</v>
      </c>
      <c r="T246">
        <f t="shared" ca="1" si="102"/>
        <v>35.686426155594638</v>
      </c>
      <c r="U246">
        <f t="shared" ca="1" si="123"/>
        <v>-3.4157470064428708E-3</v>
      </c>
      <c r="V246">
        <f t="shared" ca="1" si="124"/>
        <v>1</v>
      </c>
      <c r="W246">
        <f t="shared" ca="1" si="103"/>
        <v>2.1373203735079915</v>
      </c>
      <c r="X246">
        <f t="shared" ca="1" si="104"/>
        <v>11.114065942241556</v>
      </c>
      <c r="Y246">
        <f t="shared" ca="1" si="105"/>
        <v>1.1730329665261352</v>
      </c>
      <c r="Z246">
        <f t="shared" ca="1" si="106"/>
        <v>4.5842808801730106</v>
      </c>
      <c r="AA246">
        <f t="shared" ca="1" si="107"/>
        <v>634.60732037350806</v>
      </c>
      <c r="AB246">
        <f t="shared" ca="1" si="108"/>
        <v>635.67845346159777</v>
      </c>
      <c r="AC246">
        <f t="shared" ca="1" si="109"/>
        <v>3.8221817362197445E-3</v>
      </c>
      <c r="AD246">
        <f t="shared" ca="1" si="110"/>
        <v>1.0011563415729299</v>
      </c>
      <c r="AE246">
        <f t="shared" ca="1" si="111"/>
        <v>35.686447333323514</v>
      </c>
      <c r="AF246">
        <f t="shared" ca="1" si="112"/>
        <v>3.4239393796724471E-3</v>
      </c>
      <c r="AG246">
        <f t="shared" ca="1" si="113"/>
        <v>0</v>
      </c>
      <c r="AH246">
        <f ca="1">IFERROR(IF(V32="Supercritical",MAX($D$16,IFERROR(L246,MAX($D$16,POWER((ABS(K246)^2)/($I$5*MAX(F246,0.1)^2),1/3)))),IF(V32="Subcritical",MAX($D$16,IFERROR(W246,MAX($D$16,POWER((ABS(K246)^2)/($I$5*MAX(F246,0.1)^2),1/3)))),IF(AND(IFERROR(V246,0)=1,IFERROR(AG246,0)=1),IF(IFERROR(T246,-1E+99)&gt;=IFERROR(AE246,-1E+99),MAX($D$16,IFERROR(L246,MAX($D$16,POWER((ABS(K246)^2)/($I$5*MAX(F246,0.1)^2),1/3)))),MAX($D$16,IFERROR(W246,MAX($D$16,POWER((ABS(K246)^2)/($I$5*MAX(F246,0.1)^2),1/3))))),IF(IFERROR(V246,0)=1,MAX($D$16,IFERROR(L246,MAX($D$16,POWER((ABS(K246)^2)/($I$5*MAX(F246,0.1)^2),1/3)))),IF(IFERROR(AG246,0)=1,MAX($D$16,IFERROR(W246,MAX($D$16,POWER((ABS(K246)^2)/($I$5*MAX(F246,0.1)^2),1/3)))),MAX($D$16,POWER((ABS(K246)^2)/($I$5*MAX(F246,0.1)^2),1/3))))))),MAX($D$16,POWER((ABS(K246)^2)/($I$5*MAX(F246,0.1)^2),1/3)))</f>
        <v>2.1389677043987478</v>
      </c>
      <c r="AI246">
        <f t="shared" ca="1" si="114"/>
        <v>634.60896770439876</v>
      </c>
      <c r="AJ246">
        <f t="shared" ca="1" si="115"/>
        <v>635.67845155659813</v>
      </c>
      <c r="AM246">
        <v>0</v>
      </c>
      <c r="AN246">
        <v>0</v>
      </c>
      <c r="AO246">
        <f t="shared" si="116"/>
        <v>0</v>
      </c>
      <c r="AP246">
        <f t="shared" si="125"/>
        <v>0</v>
      </c>
      <c r="AQ246">
        <f t="shared" ca="1" si="117"/>
        <v>1.0000000000000004</v>
      </c>
      <c r="AR246" t="str">
        <f t="shared" ca="1" si="118"/>
        <v>Supercritical</v>
      </c>
      <c r="AS246">
        <f t="shared" ca="1" si="119"/>
        <v>3.8141460404132466E-3</v>
      </c>
    </row>
    <row r="247" spans="1:45" x14ac:dyDescent="0.35">
      <c r="A247">
        <v>186</v>
      </c>
      <c r="B247">
        <v>184.99700000000001</v>
      </c>
      <c r="C247">
        <v>616399.75800000003</v>
      </c>
      <c r="D247">
        <v>3097691.9589999998</v>
      </c>
      <c r="E247">
        <v>632.46950000000004</v>
      </c>
      <c r="F247">
        <v>5.2</v>
      </c>
      <c r="G247">
        <v>0</v>
      </c>
      <c r="H247" t="s">
        <v>154</v>
      </c>
      <c r="I247">
        <v>5.7000000000000002E-2</v>
      </c>
      <c r="J247">
        <f t="shared" si="120"/>
        <v>1</v>
      </c>
      <c r="K247">
        <f t="shared" ca="1" si="121"/>
        <v>50.95</v>
      </c>
      <c r="L247">
        <f t="shared" ca="1" si="122"/>
        <v>2.1389677043987478</v>
      </c>
      <c r="M247">
        <f t="shared" ca="1" si="95"/>
        <v>11.122632062873489</v>
      </c>
      <c r="N247">
        <f t="shared" ca="1" si="96"/>
        <v>1.1735290000551568</v>
      </c>
      <c r="O247">
        <f t="shared" ca="1" si="97"/>
        <v>4.5807502857230418</v>
      </c>
      <c r="P247">
        <f t="shared" ca="1" si="98"/>
        <v>634.60846770439878</v>
      </c>
      <c r="Q247">
        <f t="shared" ca="1" si="99"/>
        <v>635.67795155659815</v>
      </c>
      <c r="R247">
        <f t="shared" ca="1" si="100"/>
        <v>3.8141460404132466E-3</v>
      </c>
      <c r="S247">
        <f t="shared" ca="1" si="101"/>
        <v>1.0000000000000004</v>
      </c>
      <c r="T247">
        <f t="shared" ca="1" si="102"/>
        <v>35.686426155594638</v>
      </c>
      <c r="U247">
        <f t="shared" ca="1" si="123"/>
        <v>-3.4157470064428708E-3</v>
      </c>
      <c r="V247">
        <f t="shared" ca="1" si="124"/>
        <v>1</v>
      </c>
      <c r="W247">
        <f t="shared" ca="1" si="103"/>
        <v>2.1381886436890443</v>
      </c>
      <c r="X247">
        <f t="shared" ca="1" si="104"/>
        <v>11.11858094718303</v>
      </c>
      <c r="Y247">
        <f t="shared" ca="1" si="105"/>
        <v>1.1732944573652897</v>
      </c>
      <c r="Z247">
        <f t="shared" ca="1" si="106"/>
        <v>4.5824193071066803</v>
      </c>
      <c r="AA247">
        <f t="shared" ca="1" si="107"/>
        <v>634.60768864368913</v>
      </c>
      <c r="AB247">
        <f t="shared" ca="1" si="108"/>
        <v>635.67795198243243</v>
      </c>
      <c r="AC247">
        <f t="shared" ca="1" si="109"/>
        <v>3.8179433334236904E-3</v>
      </c>
      <c r="AD247">
        <f t="shared" ca="1" si="110"/>
        <v>1.0005465829720761</v>
      </c>
      <c r="AE247">
        <f t="shared" ca="1" si="111"/>
        <v>35.686430890842168</v>
      </c>
      <c r="AF247">
        <f t="shared" ca="1" si="112"/>
        <v>3.4160508060949724E-3</v>
      </c>
      <c r="AG247">
        <f t="shared" ca="1" si="113"/>
        <v>0</v>
      </c>
      <c r="AH247">
        <f ca="1">IFERROR(IF(V32="Supercritical",MAX($D$16,IFERROR(L247,MAX($D$16,POWER((ABS(K247)^2)/($I$5*MAX(F247,0.1)^2),1/3)))),IF(V32="Subcritical",MAX($D$16,IFERROR(W247,MAX($D$16,POWER((ABS(K247)^2)/($I$5*MAX(F247,0.1)^2),1/3)))),IF(AND(IFERROR(V247,0)=1,IFERROR(AG247,0)=1),IF(IFERROR(T247,-1E+99)&gt;=IFERROR(AE247,-1E+99),MAX($D$16,IFERROR(L247,MAX($D$16,POWER((ABS(K247)^2)/($I$5*MAX(F247,0.1)^2),1/3)))),MAX($D$16,IFERROR(W247,MAX($D$16,POWER((ABS(K247)^2)/($I$5*MAX(F247,0.1)^2),1/3))))),IF(IFERROR(V247,0)=1,MAX($D$16,IFERROR(L247,MAX($D$16,POWER((ABS(K247)^2)/($I$5*MAX(F247,0.1)^2),1/3)))),IF(IFERROR(AG247,0)=1,MAX($D$16,IFERROR(W247,MAX($D$16,POWER((ABS(K247)^2)/($I$5*MAX(F247,0.1)^2),1/3)))),MAX($D$16,POWER((ABS(K247)^2)/($I$5*MAX(F247,0.1)^2),1/3))))))),MAX($D$16,POWER((ABS(K247)^2)/($I$5*MAX(F247,0.1)^2),1/3)))</f>
        <v>2.1389677043987478</v>
      </c>
      <c r="AI247">
        <f t="shared" ca="1" si="114"/>
        <v>634.60846770439878</v>
      </c>
      <c r="AJ247">
        <f t="shared" ca="1" si="115"/>
        <v>635.67795155659815</v>
      </c>
      <c r="AM247">
        <v>0</v>
      </c>
      <c r="AN247">
        <v>0</v>
      </c>
      <c r="AO247">
        <f t="shared" si="116"/>
        <v>0</v>
      </c>
      <c r="AP247">
        <f t="shared" si="125"/>
        <v>0</v>
      </c>
      <c r="AQ247">
        <f t="shared" ca="1" si="117"/>
        <v>1.0000000000000004</v>
      </c>
      <c r="AR247" t="str">
        <f t="shared" ca="1" si="118"/>
        <v>Supercritical</v>
      </c>
      <c r="AS247">
        <f t="shared" ca="1" si="119"/>
        <v>3.8141460404132466E-3</v>
      </c>
    </row>
    <row r="248" spans="1:45" x14ac:dyDescent="0.35">
      <c r="A248">
        <v>187</v>
      </c>
      <c r="B248">
        <v>185.99700000000001</v>
      </c>
      <c r="C248">
        <v>616398.75899999996</v>
      </c>
      <c r="D248">
        <v>3097691.9109999998</v>
      </c>
      <c r="E248">
        <v>632.46900000000005</v>
      </c>
      <c r="F248">
        <v>5.2</v>
      </c>
      <c r="G248">
        <v>0</v>
      </c>
      <c r="H248" t="s">
        <v>154</v>
      </c>
      <c r="I248">
        <v>5.5E-2</v>
      </c>
      <c r="J248">
        <f t="shared" si="120"/>
        <v>1</v>
      </c>
      <c r="K248">
        <f t="shared" ca="1" si="121"/>
        <v>50.95</v>
      </c>
      <c r="L248">
        <f t="shared" ca="1" si="122"/>
        <v>2.1389677043987478</v>
      </c>
      <c r="M248">
        <f t="shared" ca="1" si="95"/>
        <v>11.122632062873489</v>
      </c>
      <c r="N248">
        <f t="shared" ca="1" si="96"/>
        <v>1.1735290000551568</v>
      </c>
      <c r="O248">
        <f t="shared" ca="1" si="97"/>
        <v>4.5807502857230418</v>
      </c>
      <c r="P248">
        <f t="shared" ca="1" si="98"/>
        <v>634.60796770439879</v>
      </c>
      <c r="Q248">
        <f t="shared" ca="1" si="99"/>
        <v>635.67745155659816</v>
      </c>
      <c r="R248">
        <f t="shared" ca="1" si="100"/>
        <v>3.8141460404132466E-3</v>
      </c>
      <c r="S248">
        <f t="shared" ca="1" si="101"/>
        <v>1.0000000000000004</v>
      </c>
      <c r="T248">
        <f t="shared" ca="1" si="102"/>
        <v>35.686426155594638</v>
      </c>
      <c r="U248">
        <f t="shared" ca="1" si="123"/>
        <v>-3.4121820602877051E-3</v>
      </c>
      <c r="V248">
        <f t="shared" ca="1" si="124"/>
        <v>1</v>
      </c>
      <c r="W248">
        <f t="shared" ca="1" si="103"/>
        <v>2.1373203735079915</v>
      </c>
      <c r="X248">
        <f t="shared" ca="1" si="104"/>
        <v>11.114065942241556</v>
      </c>
      <c r="Y248">
        <f t="shared" ca="1" si="105"/>
        <v>1.1730329665261352</v>
      </c>
      <c r="Z248">
        <f t="shared" ca="1" si="106"/>
        <v>4.5842808801730106</v>
      </c>
      <c r="AA248">
        <f t="shared" ca="1" si="107"/>
        <v>634.60632037350808</v>
      </c>
      <c r="AB248">
        <f t="shared" ca="1" si="108"/>
        <v>635.67745346159779</v>
      </c>
      <c r="AC248">
        <f t="shared" ca="1" si="109"/>
        <v>3.8221817362197445E-3</v>
      </c>
      <c r="AD248">
        <f t="shared" ca="1" si="110"/>
        <v>1.0011563415729299</v>
      </c>
      <c r="AE248">
        <f t="shared" ca="1" si="111"/>
        <v>35.686447333323514</v>
      </c>
      <c r="AF248">
        <f t="shared" ca="1" si="112"/>
        <v>3.4165467541242833E-3</v>
      </c>
      <c r="AG248">
        <f t="shared" ca="1" si="113"/>
        <v>0</v>
      </c>
      <c r="AH248">
        <f ca="1">IFERROR(IF(V32="Supercritical",MAX($D$16,IFERROR(L248,MAX($D$16,POWER((ABS(K248)^2)/($I$5*MAX(F248,0.1)^2),1/3)))),IF(V32="Subcritical",MAX($D$16,IFERROR(W248,MAX($D$16,POWER((ABS(K248)^2)/($I$5*MAX(F248,0.1)^2),1/3)))),IF(AND(IFERROR(V248,0)=1,IFERROR(AG248,0)=1),IF(IFERROR(T248,-1E+99)&gt;=IFERROR(AE248,-1E+99),MAX($D$16,IFERROR(L248,MAX($D$16,POWER((ABS(K248)^2)/($I$5*MAX(F248,0.1)^2),1/3)))),MAX($D$16,IFERROR(W248,MAX($D$16,POWER((ABS(K248)^2)/($I$5*MAX(F248,0.1)^2),1/3))))),IF(IFERROR(V248,0)=1,MAX($D$16,IFERROR(L248,MAX($D$16,POWER((ABS(K248)^2)/($I$5*MAX(F248,0.1)^2),1/3)))),IF(IFERROR(AG248,0)=1,MAX($D$16,IFERROR(W248,MAX($D$16,POWER((ABS(K248)^2)/($I$5*MAX(F248,0.1)^2),1/3)))),MAX($D$16,POWER((ABS(K248)^2)/($I$5*MAX(F248,0.1)^2),1/3))))))),MAX($D$16,POWER((ABS(K248)^2)/($I$5*MAX(F248,0.1)^2),1/3)))</f>
        <v>2.1389677043987478</v>
      </c>
      <c r="AI248">
        <f t="shared" ca="1" si="114"/>
        <v>634.60796770439879</v>
      </c>
      <c r="AJ248">
        <f t="shared" ca="1" si="115"/>
        <v>635.67745155659816</v>
      </c>
      <c r="AM248">
        <v>0</v>
      </c>
      <c r="AN248">
        <v>0</v>
      </c>
      <c r="AO248">
        <f t="shared" si="116"/>
        <v>0</v>
      </c>
      <c r="AP248">
        <f t="shared" si="125"/>
        <v>0</v>
      </c>
      <c r="AQ248">
        <f t="shared" ca="1" si="117"/>
        <v>1.0000000000000004</v>
      </c>
      <c r="AR248" t="str">
        <f t="shared" ca="1" si="118"/>
        <v>Supercritical</v>
      </c>
      <c r="AS248">
        <f t="shared" ca="1" si="119"/>
        <v>3.8141460404132466E-3</v>
      </c>
    </row>
    <row r="249" spans="1:45" x14ac:dyDescent="0.35">
      <c r="A249">
        <v>188</v>
      </c>
      <c r="B249">
        <v>186.99600000000001</v>
      </c>
      <c r="C249">
        <v>616397.76100000006</v>
      </c>
      <c r="D249">
        <v>3097691.8640000001</v>
      </c>
      <c r="E249">
        <v>632.46849999999995</v>
      </c>
      <c r="F249">
        <v>5.2</v>
      </c>
      <c r="G249">
        <v>0</v>
      </c>
      <c r="H249" t="s">
        <v>154</v>
      </c>
      <c r="I249">
        <v>5.5E-2</v>
      </c>
      <c r="J249">
        <f t="shared" si="120"/>
        <v>0.99899999999999523</v>
      </c>
      <c r="K249">
        <f t="shared" ca="1" si="121"/>
        <v>50.95</v>
      </c>
      <c r="L249">
        <f t="shared" ca="1" si="122"/>
        <v>2.1389677043987478</v>
      </c>
      <c r="M249">
        <f t="shared" ca="1" si="95"/>
        <v>11.122632062873489</v>
      </c>
      <c r="N249">
        <f t="shared" ca="1" si="96"/>
        <v>1.1735290000551568</v>
      </c>
      <c r="O249">
        <f t="shared" ca="1" si="97"/>
        <v>4.5807502857230418</v>
      </c>
      <c r="P249">
        <f t="shared" ca="1" si="98"/>
        <v>634.60746770439869</v>
      </c>
      <c r="Q249">
        <f t="shared" ca="1" si="99"/>
        <v>635.67695155659806</v>
      </c>
      <c r="R249">
        <f t="shared" ca="1" si="100"/>
        <v>3.8141460404132466E-3</v>
      </c>
      <c r="S249">
        <f t="shared" ca="1" si="101"/>
        <v>1.0000000000000004</v>
      </c>
      <c r="T249">
        <f t="shared" ca="1" si="102"/>
        <v>35.686426155594638</v>
      </c>
      <c r="U249">
        <f t="shared" ca="1" si="123"/>
        <v>-3.4083679140621825E-3</v>
      </c>
      <c r="V249">
        <f t="shared" ca="1" si="124"/>
        <v>1</v>
      </c>
      <c r="W249">
        <f t="shared" ca="1" si="103"/>
        <v>2.1381886436890443</v>
      </c>
      <c r="X249">
        <f t="shared" ca="1" si="104"/>
        <v>11.11858094718303</v>
      </c>
      <c r="Y249">
        <f t="shared" ca="1" si="105"/>
        <v>1.1732944573652897</v>
      </c>
      <c r="Z249">
        <f t="shared" ca="1" si="106"/>
        <v>4.5824193071066803</v>
      </c>
      <c r="AA249">
        <f t="shared" ca="1" si="107"/>
        <v>634.60668864368904</v>
      </c>
      <c r="AB249">
        <f t="shared" ca="1" si="108"/>
        <v>635.67695198243234</v>
      </c>
      <c r="AC249">
        <f t="shared" ca="1" si="109"/>
        <v>3.8179433334236904E-3</v>
      </c>
      <c r="AD249">
        <f t="shared" ca="1" si="110"/>
        <v>1.0005465829720761</v>
      </c>
      <c r="AE249">
        <f t="shared" ca="1" si="111"/>
        <v>35.686430890842168</v>
      </c>
      <c r="AF249">
        <f t="shared" ca="1" si="112"/>
        <v>3.3217612767657556E-3</v>
      </c>
      <c r="AG249">
        <f t="shared" ca="1" si="113"/>
        <v>0</v>
      </c>
      <c r="AH249">
        <f ca="1">IFERROR(IF(V32="Supercritical",MAX($D$16,IFERROR(L249,MAX($D$16,POWER((ABS(K249)^2)/($I$5*MAX(F249,0.1)^2),1/3)))),IF(V32="Subcritical",MAX($D$16,IFERROR(W249,MAX($D$16,POWER((ABS(K249)^2)/($I$5*MAX(F249,0.1)^2),1/3)))),IF(AND(IFERROR(V249,0)=1,IFERROR(AG249,0)=1),IF(IFERROR(T249,-1E+99)&gt;=IFERROR(AE249,-1E+99),MAX($D$16,IFERROR(L249,MAX($D$16,POWER((ABS(K249)^2)/($I$5*MAX(F249,0.1)^2),1/3)))),MAX($D$16,IFERROR(W249,MAX($D$16,POWER((ABS(K249)^2)/($I$5*MAX(F249,0.1)^2),1/3))))),IF(IFERROR(V249,0)=1,MAX($D$16,IFERROR(L249,MAX($D$16,POWER((ABS(K249)^2)/($I$5*MAX(F249,0.1)^2),1/3)))),IF(IFERROR(AG249,0)=1,MAX($D$16,IFERROR(W249,MAX($D$16,POWER((ABS(K249)^2)/($I$5*MAX(F249,0.1)^2),1/3)))),MAX($D$16,POWER((ABS(K249)^2)/($I$5*MAX(F249,0.1)^2),1/3))))))),MAX($D$16,POWER((ABS(K249)^2)/($I$5*MAX(F249,0.1)^2),1/3)))</f>
        <v>2.1389677043987478</v>
      </c>
      <c r="AI249">
        <f t="shared" ca="1" si="114"/>
        <v>634.60746770439869</v>
      </c>
      <c r="AJ249">
        <f t="shared" ca="1" si="115"/>
        <v>635.67695155659806</v>
      </c>
      <c r="AM249">
        <v>0</v>
      </c>
      <c r="AN249">
        <v>0</v>
      </c>
      <c r="AO249">
        <f t="shared" si="116"/>
        <v>0</v>
      </c>
      <c r="AP249">
        <f t="shared" si="125"/>
        <v>0</v>
      </c>
      <c r="AQ249">
        <f t="shared" ca="1" si="117"/>
        <v>1.0000000000000004</v>
      </c>
      <c r="AR249" t="str">
        <f t="shared" ca="1" si="118"/>
        <v>Supercritical</v>
      </c>
      <c r="AS249">
        <f t="shared" ca="1" si="119"/>
        <v>3.8141460404132466E-3</v>
      </c>
    </row>
    <row r="250" spans="1:45" x14ac:dyDescent="0.35">
      <c r="A250">
        <v>189</v>
      </c>
      <c r="B250">
        <v>187.99700000000001</v>
      </c>
      <c r="C250">
        <v>616396.76199999999</v>
      </c>
      <c r="D250">
        <v>3097691.8160000001</v>
      </c>
      <c r="E250">
        <v>632.46799999999996</v>
      </c>
      <c r="F250">
        <v>5.2</v>
      </c>
      <c r="G250">
        <v>0</v>
      </c>
      <c r="H250" t="s">
        <v>154</v>
      </c>
      <c r="I250">
        <v>0</v>
      </c>
      <c r="J250">
        <f t="shared" si="120"/>
        <v>1.0010000000000048</v>
      </c>
      <c r="K250">
        <f t="shared" ca="1" si="121"/>
        <v>50.95</v>
      </c>
      <c r="L250">
        <f t="shared" ca="1" si="122"/>
        <v>2.1389677043987478</v>
      </c>
      <c r="M250">
        <f t="shared" ca="1" si="95"/>
        <v>11.122632062873489</v>
      </c>
      <c r="N250">
        <f t="shared" ca="1" si="96"/>
        <v>1.1735290000551568</v>
      </c>
      <c r="O250">
        <f t="shared" ca="1" si="97"/>
        <v>4.5807502857230418</v>
      </c>
      <c r="P250">
        <f t="shared" ca="1" si="98"/>
        <v>634.6069677043987</v>
      </c>
      <c r="Q250">
        <f t="shared" ca="1" si="99"/>
        <v>635.67645155659807</v>
      </c>
      <c r="R250">
        <f t="shared" ca="1" si="100"/>
        <v>3.8141460404132466E-3</v>
      </c>
      <c r="S250">
        <f t="shared" ca="1" si="101"/>
        <v>1.0000000000000004</v>
      </c>
      <c r="T250">
        <f t="shared" ca="1" si="102"/>
        <v>35.686426155594638</v>
      </c>
      <c r="U250">
        <f t="shared" ca="1" si="123"/>
        <v>-3.3179601864503638E-3</v>
      </c>
      <c r="V250">
        <f t="shared" ca="1" si="124"/>
        <v>1</v>
      </c>
      <c r="W250">
        <f t="shared" ca="1" si="103"/>
        <v>2.1373203735079915</v>
      </c>
      <c r="X250">
        <f t="shared" ca="1" si="104"/>
        <v>11.114065942241556</v>
      </c>
      <c r="Y250">
        <f t="shared" ca="1" si="105"/>
        <v>1.1730329665261352</v>
      </c>
      <c r="Z250">
        <f t="shared" ca="1" si="106"/>
        <v>4.5842808801730106</v>
      </c>
      <c r="AA250">
        <f t="shared" ca="1" si="107"/>
        <v>634.60532037350799</v>
      </c>
      <c r="AB250">
        <f t="shared" ca="1" si="108"/>
        <v>635.6764534615977</v>
      </c>
      <c r="AC250">
        <f t="shared" ca="1" si="109"/>
        <v>3.8221817362197445E-3</v>
      </c>
      <c r="AD250">
        <f t="shared" ca="1" si="110"/>
        <v>1.0011563415729299</v>
      </c>
      <c r="AE250">
        <f t="shared" ca="1" si="111"/>
        <v>35.686447333323514</v>
      </c>
      <c r="AF250">
        <f t="shared" ca="1" si="112"/>
        <v>3.4239393796724471E-3</v>
      </c>
      <c r="AG250">
        <f t="shared" ca="1" si="113"/>
        <v>0</v>
      </c>
      <c r="AH250">
        <f ca="1">IFERROR(IF(V32="Supercritical",MAX($D$16,IFERROR(L250,MAX($D$16,POWER((ABS(K250)^2)/($I$5*MAX(F250,0.1)^2),1/3)))),IF(V32="Subcritical",MAX($D$16,IFERROR(W250,MAX($D$16,POWER((ABS(K250)^2)/($I$5*MAX(F250,0.1)^2),1/3)))),IF(AND(IFERROR(V250,0)=1,IFERROR(AG250,0)=1),IF(IFERROR(T250,-1E+99)&gt;=IFERROR(AE250,-1E+99),MAX($D$16,IFERROR(L250,MAX($D$16,POWER((ABS(K250)^2)/($I$5*MAX(F250,0.1)^2),1/3)))),MAX($D$16,IFERROR(W250,MAX($D$16,POWER((ABS(K250)^2)/($I$5*MAX(F250,0.1)^2),1/3))))),IF(IFERROR(V250,0)=1,MAX($D$16,IFERROR(L250,MAX($D$16,POWER((ABS(K250)^2)/($I$5*MAX(F250,0.1)^2),1/3)))),IF(IFERROR(AG250,0)=1,MAX($D$16,IFERROR(W250,MAX($D$16,POWER((ABS(K250)^2)/($I$5*MAX(F250,0.1)^2),1/3)))),MAX($D$16,POWER((ABS(K250)^2)/($I$5*MAX(F250,0.1)^2),1/3))))))),MAX($D$16,POWER((ABS(K250)^2)/($I$5*MAX(F250,0.1)^2),1/3)))</f>
        <v>2.1389677043987478</v>
      </c>
      <c r="AI250">
        <f t="shared" ca="1" si="114"/>
        <v>634.6069677043987</v>
      </c>
      <c r="AJ250">
        <f t="shared" ca="1" si="115"/>
        <v>635.67645155659807</v>
      </c>
      <c r="AM250">
        <v>0</v>
      </c>
      <c r="AN250">
        <v>0</v>
      </c>
      <c r="AO250">
        <f t="shared" si="116"/>
        <v>0</v>
      </c>
      <c r="AP250">
        <f t="shared" si="125"/>
        <v>0</v>
      </c>
      <c r="AQ250">
        <f t="shared" ca="1" si="117"/>
        <v>1.0000000000000004</v>
      </c>
      <c r="AR250" t="str">
        <f t="shared" ca="1" si="118"/>
        <v>Supercritical</v>
      </c>
      <c r="AS250">
        <f t="shared" ca="1" si="119"/>
        <v>3.8141460404132466E-3</v>
      </c>
    </row>
    <row r="251" spans="1:45" x14ac:dyDescent="0.35">
      <c r="A251">
        <v>190</v>
      </c>
      <c r="B251">
        <v>188.99700000000001</v>
      </c>
      <c r="C251">
        <v>616395.76300000004</v>
      </c>
      <c r="D251">
        <v>3097691.7680000002</v>
      </c>
      <c r="E251">
        <v>632.46749999999997</v>
      </c>
      <c r="F251">
        <v>5.2</v>
      </c>
      <c r="G251">
        <v>0</v>
      </c>
      <c r="H251" t="s">
        <v>154</v>
      </c>
      <c r="I251">
        <v>5.7000000000000002E-2</v>
      </c>
      <c r="J251">
        <f t="shared" si="120"/>
        <v>1</v>
      </c>
      <c r="K251">
        <f t="shared" ca="1" si="121"/>
        <v>50.95</v>
      </c>
      <c r="L251">
        <f t="shared" ca="1" si="122"/>
        <v>2.1389677043987478</v>
      </c>
      <c r="M251">
        <f t="shared" ca="1" si="95"/>
        <v>11.122632062873489</v>
      </c>
      <c r="N251">
        <f t="shared" ca="1" si="96"/>
        <v>1.1735290000551568</v>
      </c>
      <c r="O251">
        <f t="shared" ca="1" si="97"/>
        <v>4.5807502857230418</v>
      </c>
      <c r="P251">
        <f t="shared" ca="1" si="98"/>
        <v>634.60646770439871</v>
      </c>
      <c r="Q251">
        <f t="shared" ca="1" si="99"/>
        <v>635.67595155659808</v>
      </c>
      <c r="R251">
        <f t="shared" ca="1" si="100"/>
        <v>3.8141460404132466E-3</v>
      </c>
      <c r="S251">
        <f t="shared" ca="1" si="101"/>
        <v>1.0000000000000004</v>
      </c>
      <c r="T251">
        <f t="shared" ca="1" si="102"/>
        <v>35.686426155594638</v>
      </c>
      <c r="U251">
        <f t="shared" ca="1" si="123"/>
        <v>-3.4157470064428708E-3</v>
      </c>
      <c r="V251">
        <f t="shared" ca="1" si="124"/>
        <v>1</v>
      </c>
      <c r="W251">
        <f t="shared" ca="1" si="103"/>
        <v>2.1381886436890443</v>
      </c>
      <c r="X251">
        <f t="shared" ca="1" si="104"/>
        <v>11.11858094718303</v>
      </c>
      <c r="Y251">
        <f t="shared" ca="1" si="105"/>
        <v>1.1732944573652897</v>
      </c>
      <c r="Z251">
        <f t="shared" ca="1" si="106"/>
        <v>4.5824193071066803</v>
      </c>
      <c r="AA251">
        <f t="shared" ca="1" si="107"/>
        <v>634.60568864368906</v>
      </c>
      <c r="AB251">
        <f t="shared" ca="1" si="108"/>
        <v>635.67595198243237</v>
      </c>
      <c r="AC251">
        <f t="shared" ca="1" si="109"/>
        <v>3.8179433334236904E-3</v>
      </c>
      <c r="AD251">
        <f t="shared" ca="1" si="110"/>
        <v>1.0005465829720761</v>
      </c>
      <c r="AE251">
        <f t="shared" ca="1" si="111"/>
        <v>35.686430890842168</v>
      </c>
      <c r="AF251">
        <f t="shared" ca="1" si="112"/>
        <v>3.4196183505628142E-3</v>
      </c>
      <c r="AG251">
        <f t="shared" ca="1" si="113"/>
        <v>0</v>
      </c>
      <c r="AH251">
        <f ca="1">IFERROR(IF(V32="Supercritical",MAX($D$16,IFERROR(L251,MAX($D$16,POWER((ABS(K251)^2)/($I$5*MAX(F251,0.1)^2),1/3)))),IF(V32="Subcritical",MAX($D$16,IFERROR(W251,MAX($D$16,POWER((ABS(K251)^2)/($I$5*MAX(F251,0.1)^2),1/3)))),IF(AND(IFERROR(V251,0)=1,IFERROR(AG251,0)=1),IF(IFERROR(T251,-1E+99)&gt;=IFERROR(AE251,-1E+99),MAX($D$16,IFERROR(L251,MAX($D$16,POWER((ABS(K251)^2)/($I$5*MAX(F251,0.1)^2),1/3)))),MAX($D$16,IFERROR(W251,MAX($D$16,POWER((ABS(K251)^2)/($I$5*MAX(F251,0.1)^2),1/3))))),IF(IFERROR(V251,0)=1,MAX($D$16,IFERROR(L251,MAX($D$16,POWER((ABS(K251)^2)/($I$5*MAX(F251,0.1)^2),1/3)))),IF(IFERROR(AG251,0)=1,MAX($D$16,IFERROR(W251,MAX($D$16,POWER((ABS(K251)^2)/($I$5*MAX(F251,0.1)^2),1/3)))),MAX($D$16,POWER((ABS(K251)^2)/($I$5*MAX(F251,0.1)^2),1/3))))))),MAX($D$16,POWER((ABS(K251)^2)/($I$5*MAX(F251,0.1)^2),1/3)))</f>
        <v>2.1389677043987478</v>
      </c>
      <c r="AI251">
        <f t="shared" ca="1" si="114"/>
        <v>634.60646770439871</v>
      </c>
      <c r="AJ251">
        <f t="shared" ca="1" si="115"/>
        <v>635.67595155659808</v>
      </c>
      <c r="AM251">
        <v>0</v>
      </c>
      <c r="AN251">
        <v>0</v>
      </c>
      <c r="AO251">
        <f t="shared" si="116"/>
        <v>0</v>
      </c>
      <c r="AP251">
        <f t="shared" si="125"/>
        <v>0</v>
      </c>
      <c r="AQ251">
        <f t="shared" ca="1" si="117"/>
        <v>1.0000000000000004</v>
      </c>
      <c r="AR251" t="str">
        <f t="shared" ca="1" si="118"/>
        <v>Supercritical</v>
      </c>
      <c r="AS251">
        <f t="shared" ca="1" si="119"/>
        <v>3.8141460404132466E-3</v>
      </c>
    </row>
    <row r="252" spans="1:45" x14ac:dyDescent="0.35">
      <c r="A252">
        <v>191</v>
      </c>
      <c r="B252">
        <v>189.99700000000001</v>
      </c>
      <c r="C252">
        <v>616394.76399999997</v>
      </c>
      <c r="D252">
        <v>3097691.7209999999</v>
      </c>
      <c r="E252">
        <v>632.46699999999998</v>
      </c>
      <c r="F252">
        <v>5.2</v>
      </c>
      <c r="G252">
        <v>0</v>
      </c>
      <c r="H252" t="s">
        <v>154</v>
      </c>
      <c r="I252">
        <v>5.7000000000000002E-2</v>
      </c>
      <c r="J252">
        <f t="shared" si="120"/>
        <v>1</v>
      </c>
      <c r="K252">
        <f t="shared" ca="1" si="121"/>
        <v>50.95</v>
      </c>
      <c r="L252">
        <f t="shared" ca="1" si="122"/>
        <v>2.1389677043987478</v>
      </c>
      <c r="M252">
        <f t="shared" ca="1" si="95"/>
        <v>11.122632062873489</v>
      </c>
      <c r="N252">
        <f t="shared" ca="1" si="96"/>
        <v>1.1735290000551568</v>
      </c>
      <c r="O252">
        <f t="shared" ca="1" si="97"/>
        <v>4.5807502857230418</v>
      </c>
      <c r="P252">
        <f t="shared" ca="1" si="98"/>
        <v>634.60596770439872</v>
      </c>
      <c r="Q252">
        <f t="shared" ca="1" si="99"/>
        <v>635.67545155659809</v>
      </c>
      <c r="R252">
        <f t="shared" ca="1" si="100"/>
        <v>3.8141460404132466E-3</v>
      </c>
      <c r="S252">
        <f t="shared" ca="1" si="101"/>
        <v>1.0000000000000004</v>
      </c>
      <c r="T252">
        <f t="shared" ca="1" si="102"/>
        <v>35.686426155594638</v>
      </c>
      <c r="U252">
        <f t="shared" ca="1" si="123"/>
        <v>-3.4157470064428708E-3</v>
      </c>
      <c r="V252">
        <f t="shared" ca="1" si="124"/>
        <v>1</v>
      </c>
      <c r="W252">
        <f t="shared" ca="1" si="103"/>
        <v>2.1373203735079915</v>
      </c>
      <c r="X252">
        <f t="shared" ca="1" si="104"/>
        <v>11.114065942241556</v>
      </c>
      <c r="Y252">
        <f t="shared" ca="1" si="105"/>
        <v>1.1730329665261352</v>
      </c>
      <c r="Z252">
        <f t="shared" ca="1" si="106"/>
        <v>4.5842808801730106</v>
      </c>
      <c r="AA252">
        <f t="shared" ca="1" si="107"/>
        <v>634.60432037350802</v>
      </c>
      <c r="AB252">
        <f t="shared" ca="1" si="108"/>
        <v>635.67545346159773</v>
      </c>
      <c r="AC252">
        <f t="shared" ca="1" si="109"/>
        <v>3.8221817362197445E-3</v>
      </c>
      <c r="AD252">
        <f t="shared" ca="1" si="110"/>
        <v>1.0011563415729299</v>
      </c>
      <c r="AE252">
        <f t="shared" ca="1" si="111"/>
        <v>35.686447333323514</v>
      </c>
      <c r="AF252">
        <f t="shared" ca="1" si="112"/>
        <v>3.4239393796724471E-3</v>
      </c>
      <c r="AG252">
        <f t="shared" ca="1" si="113"/>
        <v>0</v>
      </c>
      <c r="AH252">
        <f ca="1">IFERROR(IF(V32="Supercritical",MAX($D$16,IFERROR(L252,MAX($D$16,POWER((ABS(K252)^2)/($I$5*MAX(F252,0.1)^2),1/3)))),IF(V32="Subcritical",MAX($D$16,IFERROR(W252,MAX($D$16,POWER((ABS(K252)^2)/($I$5*MAX(F252,0.1)^2),1/3)))),IF(AND(IFERROR(V252,0)=1,IFERROR(AG252,0)=1),IF(IFERROR(T252,-1E+99)&gt;=IFERROR(AE252,-1E+99),MAX($D$16,IFERROR(L252,MAX($D$16,POWER((ABS(K252)^2)/($I$5*MAX(F252,0.1)^2),1/3)))),MAX($D$16,IFERROR(W252,MAX($D$16,POWER((ABS(K252)^2)/($I$5*MAX(F252,0.1)^2),1/3))))),IF(IFERROR(V252,0)=1,MAX($D$16,IFERROR(L252,MAX($D$16,POWER((ABS(K252)^2)/($I$5*MAX(F252,0.1)^2),1/3)))),IF(IFERROR(AG252,0)=1,MAX($D$16,IFERROR(W252,MAX($D$16,POWER((ABS(K252)^2)/($I$5*MAX(F252,0.1)^2),1/3)))),MAX($D$16,POWER((ABS(K252)^2)/($I$5*MAX(F252,0.1)^2),1/3))))))),MAX($D$16,POWER((ABS(K252)^2)/($I$5*MAX(F252,0.1)^2),1/3)))</f>
        <v>2.1389677043987478</v>
      </c>
      <c r="AI252">
        <f t="shared" ca="1" si="114"/>
        <v>634.60596770439872</v>
      </c>
      <c r="AJ252">
        <f t="shared" ca="1" si="115"/>
        <v>635.67545155659809</v>
      </c>
      <c r="AM252">
        <v>0</v>
      </c>
      <c r="AN252">
        <v>0</v>
      </c>
      <c r="AO252">
        <f t="shared" si="116"/>
        <v>0</v>
      </c>
      <c r="AP252">
        <f t="shared" si="125"/>
        <v>0</v>
      </c>
      <c r="AQ252">
        <f t="shared" ca="1" si="117"/>
        <v>1.0000000000000004</v>
      </c>
      <c r="AR252" t="str">
        <f t="shared" ca="1" si="118"/>
        <v>Supercritical</v>
      </c>
      <c r="AS252">
        <f t="shared" ca="1" si="119"/>
        <v>3.8141460404132466E-3</v>
      </c>
    </row>
    <row r="253" spans="1:45" x14ac:dyDescent="0.35">
      <c r="A253">
        <v>192</v>
      </c>
      <c r="B253">
        <v>190.99700000000001</v>
      </c>
      <c r="C253">
        <v>616393.76500000001</v>
      </c>
      <c r="D253">
        <v>3097691.673</v>
      </c>
      <c r="E253">
        <v>632.4665</v>
      </c>
      <c r="F253">
        <v>5.2</v>
      </c>
      <c r="G253">
        <v>0</v>
      </c>
      <c r="H253" t="s">
        <v>154</v>
      </c>
      <c r="I253">
        <v>5.7000000000000002E-2</v>
      </c>
      <c r="J253">
        <f t="shared" si="120"/>
        <v>1</v>
      </c>
      <c r="K253">
        <f t="shared" ca="1" si="121"/>
        <v>50.95</v>
      </c>
      <c r="L253">
        <f t="shared" ca="1" si="122"/>
        <v>2.1389677043987478</v>
      </c>
      <c r="M253">
        <f t="shared" ca="1" si="95"/>
        <v>11.122632062873489</v>
      </c>
      <c r="N253">
        <f t="shared" ca="1" si="96"/>
        <v>1.1735290000551568</v>
      </c>
      <c r="O253">
        <f t="shared" ca="1" si="97"/>
        <v>4.5807502857230418</v>
      </c>
      <c r="P253">
        <f t="shared" ca="1" si="98"/>
        <v>634.60546770439873</v>
      </c>
      <c r="Q253">
        <f t="shared" ca="1" si="99"/>
        <v>635.6749515565981</v>
      </c>
      <c r="R253">
        <f t="shared" ca="1" si="100"/>
        <v>3.8141460404132466E-3</v>
      </c>
      <c r="S253">
        <f t="shared" ca="1" si="101"/>
        <v>1.0000000000000004</v>
      </c>
      <c r="T253">
        <f t="shared" ca="1" si="102"/>
        <v>35.686426155594638</v>
      </c>
      <c r="U253">
        <f t="shared" ca="1" si="123"/>
        <v>-3.4157470064428708E-3</v>
      </c>
      <c r="V253">
        <f t="shared" ca="1" si="124"/>
        <v>1</v>
      </c>
      <c r="W253">
        <f t="shared" ca="1" si="103"/>
        <v>2.1381886436890443</v>
      </c>
      <c r="X253">
        <f t="shared" ca="1" si="104"/>
        <v>11.11858094718303</v>
      </c>
      <c r="Y253">
        <f t="shared" ca="1" si="105"/>
        <v>1.1732944573652897</v>
      </c>
      <c r="Z253">
        <f t="shared" ca="1" si="106"/>
        <v>4.5824193071066803</v>
      </c>
      <c r="AA253">
        <f t="shared" ca="1" si="107"/>
        <v>634.60468864368909</v>
      </c>
      <c r="AB253">
        <f t="shared" ca="1" si="108"/>
        <v>635.67495198243239</v>
      </c>
      <c r="AC253">
        <f t="shared" ca="1" si="109"/>
        <v>3.8179433334236904E-3</v>
      </c>
      <c r="AD253">
        <f t="shared" ca="1" si="110"/>
        <v>1.0005465829720761</v>
      </c>
      <c r="AE253">
        <f t="shared" ca="1" si="111"/>
        <v>35.686430890842168</v>
      </c>
      <c r="AF253">
        <f t="shared" ca="1" si="112"/>
        <v>3.4196183505628142E-3</v>
      </c>
      <c r="AG253">
        <f t="shared" ca="1" si="113"/>
        <v>0</v>
      </c>
      <c r="AH253">
        <f ca="1">IFERROR(IF(V32="Supercritical",MAX($D$16,IFERROR(L253,MAX($D$16,POWER((ABS(K253)^2)/($I$5*MAX(F253,0.1)^2),1/3)))),IF(V32="Subcritical",MAX($D$16,IFERROR(W253,MAX($D$16,POWER((ABS(K253)^2)/($I$5*MAX(F253,0.1)^2),1/3)))),IF(AND(IFERROR(V253,0)=1,IFERROR(AG253,0)=1),IF(IFERROR(T253,-1E+99)&gt;=IFERROR(AE253,-1E+99),MAX($D$16,IFERROR(L253,MAX($D$16,POWER((ABS(K253)^2)/($I$5*MAX(F253,0.1)^2),1/3)))),MAX($D$16,IFERROR(W253,MAX($D$16,POWER((ABS(K253)^2)/($I$5*MAX(F253,0.1)^2),1/3))))),IF(IFERROR(V253,0)=1,MAX($D$16,IFERROR(L253,MAX($D$16,POWER((ABS(K253)^2)/($I$5*MAX(F253,0.1)^2),1/3)))),IF(IFERROR(AG253,0)=1,MAX($D$16,IFERROR(W253,MAX($D$16,POWER((ABS(K253)^2)/($I$5*MAX(F253,0.1)^2),1/3)))),MAX($D$16,POWER((ABS(K253)^2)/($I$5*MAX(F253,0.1)^2),1/3))))))),MAX($D$16,POWER((ABS(K253)^2)/($I$5*MAX(F253,0.1)^2),1/3)))</f>
        <v>2.1389677043987478</v>
      </c>
      <c r="AI253">
        <f t="shared" ca="1" si="114"/>
        <v>634.60546770439873</v>
      </c>
      <c r="AJ253">
        <f t="shared" ca="1" si="115"/>
        <v>635.6749515565981</v>
      </c>
      <c r="AM253">
        <v>0</v>
      </c>
      <c r="AN253">
        <v>0</v>
      </c>
      <c r="AO253">
        <f t="shared" si="116"/>
        <v>0</v>
      </c>
      <c r="AP253">
        <f t="shared" si="125"/>
        <v>0</v>
      </c>
      <c r="AQ253">
        <f t="shared" ca="1" si="117"/>
        <v>1.0000000000000004</v>
      </c>
      <c r="AR253" t="str">
        <f t="shared" ca="1" si="118"/>
        <v>Supercritical</v>
      </c>
      <c r="AS253">
        <f t="shared" ca="1" si="119"/>
        <v>3.8141460404132466E-3</v>
      </c>
    </row>
    <row r="254" spans="1:45" x14ac:dyDescent="0.35">
      <c r="A254">
        <v>193</v>
      </c>
      <c r="B254">
        <v>191.99700000000001</v>
      </c>
      <c r="C254">
        <v>616392.76599999995</v>
      </c>
      <c r="D254">
        <v>3097691.6260000002</v>
      </c>
      <c r="E254">
        <v>632.46600000000001</v>
      </c>
      <c r="F254">
        <v>5.2</v>
      </c>
      <c r="G254">
        <v>0</v>
      </c>
      <c r="H254" t="s">
        <v>154</v>
      </c>
      <c r="I254">
        <v>5.7000000000000002E-2</v>
      </c>
      <c r="J254">
        <f t="shared" si="120"/>
        <v>1</v>
      </c>
      <c r="K254">
        <f t="shared" ca="1" si="121"/>
        <v>50.95</v>
      </c>
      <c r="L254">
        <f t="shared" ca="1" si="122"/>
        <v>2.1389677043987478</v>
      </c>
      <c r="M254">
        <f t="shared" ref="M254:M317" ca="1" si="126">((F254)+(G254)*(L254))*(L254)</f>
        <v>11.122632062873489</v>
      </c>
      <c r="N254">
        <f t="shared" ref="N254:N317" ca="1" si="127">(((F254)+(G254)*(L254))*(L254))/MAX((F254)+2*(L254)*SQRT(1+(G254)^2),0.000001)</f>
        <v>1.1735290000551568</v>
      </c>
      <c r="O254">
        <f t="shared" ref="O254:O317" ca="1" si="128">ABS(K254)/MAX(((F254)+(G254)*(L254))*(L254),0.000001)</f>
        <v>4.5807502857230418</v>
      </c>
      <c r="P254">
        <f t="shared" ref="P254:P317" ca="1" si="129">E254+L254</f>
        <v>634.60496770439875</v>
      </c>
      <c r="Q254">
        <f t="shared" ref="Q254:Q317" ca="1" si="130">P254+((ABS(K254)/MAX(((F254)+(G254)*(L254))*(L254),0.000001))^2)/(2*$I$5)</f>
        <v>635.67445155659811</v>
      </c>
      <c r="R254">
        <f t="shared" ref="R254:R317" ca="1" si="131">((ABS(K254)*$D$6)/(MAX(((F254)+(G254)*(L254))*(L254),0.000001)*MAX(((((F254)+(G254)*(L254))*(L254))/MAX((F254)+2*(L254)*SQRT(1+(G254)^2),0.000001))^(2/3),0.000001)))^2</f>
        <v>3.8141460404132466E-3</v>
      </c>
      <c r="S254">
        <f t="shared" ref="S254:S317" ca="1" si="132">ABS(ABS(K254)/MAX(((F254)+(G254)*(L254))*(L254),0.000001))/SQRT($I$5*MAX((((F254)+(G254)*(L254))*(L254))/MAX((F254)+2*(G254)*(L254),0.000001),0.000001))</f>
        <v>1.0000000000000004</v>
      </c>
      <c r="T254">
        <f t="shared" ref="T254:T317" ca="1" si="133">((F254)*(L254)^2)/2+(G254)*(L254)^3/3+(ABS(K254)^2)/($I$5*MAX(((F254)+(G254)*(L254))*(L254),0.000001))</f>
        <v>35.686426155594638</v>
      </c>
      <c r="U254">
        <f t="shared" ca="1" si="123"/>
        <v>-3.4157470064428708E-3</v>
      </c>
      <c r="V254">
        <f t="shared" ca="1" si="124"/>
        <v>1</v>
      </c>
      <c r="W254">
        <f t="shared" ref="W254:W317" ca="1" si="134">IF($D$20=0,IFERROR(W255,MAX($D$16,POWER((ABS(K254)^2)/($I$5*MAX(F254,0.1)^2),1/3))),IF(IFERROR(AG255,0)=0,IFERROR(W255,MAX($D$16,POWER((ABS(K254)^2)/($I$5*MAX(F254,0.1)^2),1/3))),IF(OR(IFERROR(W254,0)=0,IFERROR(AD255,0)&gt;1),MAX($D$16,POWER((ABS(K254)^2)/($I$5*MAX(F254,0.1)^2),1/3)),IF(IFERROR(AF254,0)&gt;0,MAX($D$16,IFERROR(W254,0)+((IFERROR(AF254,0))*$D$18*IF((IFERROR(AD254,0))&lt;1,1,-1))),IF(IFERROR(AF254,0)&lt;0,IF(ABS((MAX($D$16,POWER((ABS(K254)^2)/($I$5*MAX(F254,0.1)^2),1/3)))-IFERROR(W254,0))&gt;$D$19,MAX($D$16,IF((MAX($D$16,POWER((ABS(K254)^2)/($I$5*MAX(F254,0.1)^2),1/3)))&gt;IFERROR(W254,0),MIN((MAX($D$16,POWER((ABS(K254)^2)/($I$5*MAX(F254,0.1)^2),1/3))),IFERROR(W254,0)+(MIN(ABS(IFERROR(AF254,0))*$D$18,ABS((MAX($D$16,POWER((ABS(K254)^2)/($I$5*MAX(F254,0.1)^2),1/3)))-IFERROR(W254,0))))),MAX((MAX($D$16,POWER((ABS(K254)^2)/($I$5*MAX(F254,0.1)^2),1/3))),IFERROR(W254,0)-(MIN(ABS(IFERROR(AF254,0))*$D$18,ABS((MAX($D$16,POWER((ABS(K254)^2)/($I$5*MAX(F254,0.1)^2),1/3)))-IFERROR(W254,0))))))),MAX($D$16,POWER((ABS(K254)^2)/($I$5*MAX(F254,0.1)^2),1/3))),MAX($D$16,IFERROR(W254,0)))))))</f>
        <v>2.1373203735079915</v>
      </c>
      <c r="X254">
        <f t="shared" ref="X254:X317" ca="1" si="135">((F254)+(G254)*(W254))*(W254)</f>
        <v>11.114065942241556</v>
      </c>
      <c r="Y254">
        <f t="shared" ref="Y254:Y317" ca="1" si="136">(((F254)+(G254)*(W254))*(W254))/MAX((F254)+2*(W254)*SQRT(1+(G254)^2),0.000001)</f>
        <v>1.1730329665261352</v>
      </c>
      <c r="Z254">
        <f t="shared" ref="Z254:Z317" ca="1" si="137">ABS(K254)/MAX(((F254)+(G254)*(W254))*(W254),0.000001)</f>
        <v>4.5842808801730106</v>
      </c>
      <c r="AA254">
        <f t="shared" ref="AA254:AA317" ca="1" si="138">E254+W254</f>
        <v>634.60332037350804</v>
      </c>
      <c r="AB254">
        <f t="shared" ref="AB254:AB317" ca="1" si="139">AA254+((ABS(K254)/MAX(((F254)+(G254)*(W254))*(W254),0.000001))^2)/(2*$I$5)</f>
        <v>635.67445346159775</v>
      </c>
      <c r="AC254">
        <f t="shared" ref="AC254:AC317" ca="1" si="140">((ABS(K254)*$D$6)/(MAX(((F254)+(G254)*(W254))*(W254),0.000001)*MAX(((((F254)+(G254)*(W254))*(W254))/MAX((F254)+2*(W254)*SQRT(1+(G254)^2),0.000001))^(2/3),0.000001)))^2</f>
        <v>3.8221817362197445E-3</v>
      </c>
      <c r="AD254">
        <f t="shared" ref="AD254:AD317" ca="1" si="141">ABS(ABS(K254)/MAX(((F254)+(G254)*(W254))*(W254),0.000001))/SQRT($I$5*MAX((((F254)+(G254)*(W254))*(W254))/MAX((F254)+2*(G254)*(W254),0.000001),0.000001))</f>
        <v>1.0011563415729299</v>
      </c>
      <c r="AE254">
        <f t="shared" ref="AE254:AE317" ca="1" si="142">((F254)*(W254)^2)/2+(G254)*(W254)^3/3+(ABS(K254)^2)/($I$5*MAX(((F254)+(G254)*(W254))*(W254),0.000001))</f>
        <v>35.686447333323514</v>
      </c>
      <c r="AF254">
        <f t="shared" ref="AF254:AF317" ca="1" si="143">IF($D$20=0,0,IFERROR(AB255+(((AC254+AC255)/2)*J255)+(IF(Z254&gt;Z255,$D$8*((Z254^2-Z255^2)/(2*$I$5)),$D$9*((Z255^2-Z254^2)/(2*$I$5)))+($D$10*(ABS(I255)/90)*(MAX(Z254^2,Z255^2)/(2*$I$5))))-AB254,0))</f>
        <v>3.3275374016739079E-3</v>
      </c>
      <c r="AG254">
        <f t="shared" ref="AG254:AG317" ca="1" si="144">IF($D$20=0,1,IFERROR(IF(ROUND(AD254,3)=1,1,IF(AND(ABS(AF254)&lt;$D$19,AD254&lt;1),1,0)),0))</f>
        <v>0</v>
      </c>
      <c r="AH254">
        <f ca="1">IFERROR(IF(V32="Supercritical",MAX($D$16,IFERROR(L254,MAX($D$16,POWER((ABS(K254)^2)/($I$5*MAX(F254,0.1)^2),1/3)))),IF(V32="Subcritical",MAX($D$16,IFERROR(W254,MAX($D$16,POWER((ABS(K254)^2)/($I$5*MAX(F254,0.1)^2),1/3)))),IF(AND(IFERROR(V254,0)=1,IFERROR(AG254,0)=1),IF(IFERROR(T254,-1E+99)&gt;=IFERROR(AE254,-1E+99),MAX($D$16,IFERROR(L254,MAX($D$16,POWER((ABS(K254)^2)/($I$5*MAX(F254,0.1)^2),1/3)))),MAX($D$16,IFERROR(W254,MAX($D$16,POWER((ABS(K254)^2)/($I$5*MAX(F254,0.1)^2),1/3))))),IF(IFERROR(V254,0)=1,MAX($D$16,IFERROR(L254,MAX($D$16,POWER((ABS(K254)^2)/($I$5*MAX(F254,0.1)^2),1/3)))),IF(IFERROR(AG254,0)=1,MAX($D$16,IFERROR(W254,MAX($D$16,POWER((ABS(K254)^2)/($I$5*MAX(F254,0.1)^2),1/3)))),MAX($D$16,POWER((ABS(K254)^2)/($I$5*MAX(F254,0.1)^2),1/3))))))),MAX($D$16,POWER((ABS(K254)^2)/($I$5*MAX(F254,0.1)^2),1/3)))</f>
        <v>2.1389677043987478</v>
      </c>
      <c r="AI254">
        <f t="shared" ref="AI254:AI317" ca="1" si="145">E254+AH254</f>
        <v>634.60496770439875</v>
      </c>
      <c r="AJ254">
        <f t="shared" ref="AJ254:AJ317" ca="1" si="146">AI254+((ABS(K254)/MAX(((F254)+(G254)*(AH254))*(AH254),0.000001))^2)/(2*$I$5)</f>
        <v>635.67445155659811</v>
      </c>
      <c r="AM254">
        <v>0</v>
      </c>
      <c r="AN254">
        <v>0</v>
      </c>
      <c r="AO254">
        <f t="shared" ref="AO254:AO317" si="147">AM254+AN254</f>
        <v>0</v>
      </c>
      <c r="AP254">
        <f t="shared" si="125"/>
        <v>0</v>
      </c>
      <c r="AQ254">
        <f t="shared" ref="AQ254:AQ317" ca="1" si="148">ABS(ABS(K254)/MAX(((F254)+(G254)*(AH254))*(AH254),0.000001))/SQRT($I$5*MAX((((F254)+(G254)*(AH254))*(AH254))/MAX((F254)+2*(G254)*(AH254),0.000001),0.000001))</f>
        <v>1.0000000000000004</v>
      </c>
      <c r="AR254" t="str">
        <f t="shared" ref="AR254:AR317" ca="1" si="149">IF(AQ254&lt;1,"Subcritical","Supercritical")</f>
        <v>Supercritical</v>
      </c>
      <c r="AS254">
        <f t="shared" ref="AS254:AS317" ca="1" si="150">((ABS(K254)*$D$6)/(MAX(((F254)+(G254)*(AH254))*(AH254),0.000001)*MAX(((((F254)+(G254)*(AH254))*(AH254))/MAX((F254)+2*(AH254)*SQRT(1+(G254)^2),0.000001))^(2/3),0.000001)))^2</f>
        <v>3.8141460404132466E-3</v>
      </c>
    </row>
    <row r="255" spans="1:45" x14ac:dyDescent="0.35">
      <c r="A255">
        <v>194</v>
      </c>
      <c r="B255">
        <v>192.99700000000001</v>
      </c>
      <c r="C255">
        <v>616391.76699999999</v>
      </c>
      <c r="D255">
        <v>3097691.5780000002</v>
      </c>
      <c r="E255">
        <v>632.46550000000002</v>
      </c>
      <c r="F255">
        <v>5.2</v>
      </c>
      <c r="G255">
        <v>0</v>
      </c>
      <c r="H255" t="s">
        <v>154</v>
      </c>
      <c r="I255">
        <v>3.0000000000000001E-3</v>
      </c>
      <c r="J255">
        <f t="shared" ref="J255:J318" si="151">B255-B254</f>
        <v>1</v>
      </c>
      <c r="K255">
        <f t="shared" ref="K255:K318" ca="1" si="152">MAX(0,K254-AO254)</f>
        <v>50.95</v>
      </c>
      <c r="L255">
        <f t="shared" ref="L255:L318" ca="1" si="153">IF($D$20=0,IFERROR(L254,MAX($D$16,POWER((ABS(K255)^2)/($I$5*MAX(F255,0.1)^2),1/3))),IF(IFERROR(V254,0)=0,IFERROR(L254,MAX($D$16,POWER((ABS(K255)^2)/($I$5*MAX(F255,0.1)^2),1/3))),IF(OR(IFERROR(L255,0)=0,IFERROR(S254,0)&lt;1,IFERROR(S255,0)&lt;1),MAX($D$16,POWER((ABS(K255)^2)/($I$5*MAX(F255,0.1)^2),1/3)),IF(IFERROR(U255,0)&gt;0,MAX($D$16,IFERROR(L255,0)+((IFERROR(U255,0))*$D$18*IF((IFERROR(S255,0))&lt;1,1,-1))),IF(IFERROR(U255,0)&lt;0,IF(ABS((MAX($D$16,POWER((ABS(K255)^2)/($I$5*MAX(F255,0.1)^2),1/3)))-IFERROR(L255,0))&gt;$D$19,MAX($D$16,IF((MAX($D$16,POWER((ABS(K255)^2)/($I$5*MAX(F255,0.1)^2),1/3)))&gt;IFERROR(L255,0),MIN((MAX($D$16,POWER((ABS(K255)^2)/($I$5*MAX(F255,0.1)^2),1/3))),IFERROR(L255,0)+(MIN(ABS(IFERROR(U255,0))*$D$18,ABS((MAX($D$16,POWER((ABS(K255)^2)/($I$5*MAX(F255,0.1)^2),1/3)))-IFERROR(L255,0))))),MAX((MAX($D$16,POWER((ABS(K255)^2)/($I$5*MAX(F255,0.1)^2),1/3))),IFERROR(L255,0)-(MIN(ABS(IFERROR(U255,0))*$D$18,ABS((MAX($D$16,POWER((ABS(K255)^2)/($I$5*MAX(F255,0.1)^2),1/3)))-IFERROR(L255,0))))))),MAX($D$16,POWER((ABS(K255)^2)/($I$5*MAX(F255,0.1)^2),1/3))),MAX($D$16,IFERROR(L255,0)))))))</f>
        <v>2.1389677043987478</v>
      </c>
      <c r="M255">
        <f t="shared" ca="1" si="126"/>
        <v>11.122632062873489</v>
      </c>
      <c r="N255">
        <f t="shared" ca="1" si="127"/>
        <v>1.1735290000551568</v>
      </c>
      <c r="O255">
        <f t="shared" ca="1" si="128"/>
        <v>4.5807502857230418</v>
      </c>
      <c r="P255">
        <f t="shared" ca="1" si="129"/>
        <v>634.60446770439876</v>
      </c>
      <c r="Q255">
        <f t="shared" ca="1" si="130"/>
        <v>635.67395155659813</v>
      </c>
      <c r="R255">
        <f t="shared" ca="1" si="131"/>
        <v>3.8141460404132466E-3</v>
      </c>
      <c r="S255">
        <f t="shared" ca="1" si="132"/>
        <v>1.0000000000000004</v>
      </c>
      <c r="T255">
        <f t="shared" ca="1" si="133"/>
        <v>35.686426155594638</v>
      </c>
      <c r="U255">
        <f t="shared" ref="U255:U318" ca="1" si="154">IF($D$20=0,0,IFERROR(Q254-(((R254+R255)/2)*J255)-(IF(O254&gt;O255,$D$8*((O254^2-O255^2)/(2*$I$5)),$D$9*((O255^2-O254^2)/(2*$I$5)))+($D$10*(ABS(I255)/90)*(MAX(O254^2,O255^2)/(2*$I$5))))-Q255,0))</f>
        <v>-3.3194934596849635E-3</v>
      </c>
      <c r="V255">
        <f t="shared" ref="V255:V318" ca="1" si="155">IF($D$20=0,1,IFERROR(IF(ROUND(S255,3)=1,1,IF(AND(ABS(U255)&lt;$D$19,S255&gt;1),1,0)),0))</f>
        <v>1</v>
      </c>
      <c r="W255">
        <f t="shared" ca="1" si="134"/>
        <v>2.1381886436890443</v>
      </c>
      <c r="X255">
        <f t="shared" ca="1" si="135"/>
        <v>11.11858094718303</v>
      </c>
      <c r="Y255">
        <f t="shared" ca="1" si="136"/>
        <v>1.1732944573652897</v>
      </c>
      <c r="Z255">
        <f t="shared" ca="1" si="137"/>
        <v>4.5824193071066803</v>
      </c>
      <c r="AA255">
        <f t="shared" ca="1" si="138"/>
        <v>634.60368864368911</v>
      </c>
      <c r="AB255">
        <f t="shared" ca="1" si="139"/>
        <v>635.67395198243241</v>
      </c>
      <c r="AC255">
        <f t="shared" ca="1" si="140"/>
        <v>3.8179433334236904E-3</v>
      </c>
      <c r="AD255">
        <f t="shared" ca="1" si="141"/>
        <v>1.0005465829720761</v>
      </c>
      <c r="AE255">
        <f t="shared" ca="1" si="142"/>
        <v>35.686430890842168</v>
      </c>
      <c r="AF255">
        <f t="shared" ca="1" si="143"/>
        <v>3.4211517240692046E-3</v>
      </c>
      <c r="AG255">
        <f t="shared" ca="1" si="144"/>
        <v>0</v>
      </c>
      <c r="AH255">
        <f ca="1">IFERROR(IF(V32="Supercritical",MAX($D$16,IFERROR(L255,MAX($D$16,POWER((ABS(K255)^2)/($I$5*MAX(F255,0.1)^2),1/3)))),IF(V32="Subcritical",MAX($D$16,IFERROR(W255,MAX($D$16,POWER((ABS(K255)^2)/($I$5*MAX(F255,0.1)^2),1/3)))),IF(AND(IFERROR(V255,0)=1,IFERROR(AG255,0)=1),IF(IFERROR(T255,-1E+99)&gt;=IFERROR(AE255,-1E+99),MAX($D$16,IFERROR(L255,MAX($D$16,POWER((ABS(K255)^2)/($I$5*MAX(F255,0.1)^2),1/3)))),MAX($D$16,IFERROR(W255,MAX($D$16,POWER((ABS(K255)^2)/($I$5*MAX(F255,0.1)^2),1/3))))),IF(IFERROR(V255,0)=1,MAX($D$16,IFERROR(L255,MAX($D$16,POWER((ABS(K255)^2)/($I$5*MAX(F255,0.1)^2),1/3)))),IF(IFERROR(AG255,0)=1,MAX($D$16,IFERROR(W255,MAX($D$16,POWER((ABS(K255)^2)/($I$5*MAX(F255,0.1)^2),1/3)))),MAX($D$16,POWER((ABS(K255)^2)/($I$5*MAX(F255,0.1)^2),1/3))))))),MAX($D$16,POWER((ABS(K255)^2)/($I$5*MAX(F255,0.1)^2),1/3)))</f>
        <v>2.1389677043987478</v>
      </c>
      <c r="AI255">
        <f t="shared" ca="1" si="145"/>
        <v>634.60446770439876</v>
      </c>
      <c r="AJ255">
        <f t="shared" ca="1" si="146"/>
        <v>635.67395155659813</v>
      </c>
      <c r="AM255">
        <v>0</v>
      </c>
      <c r="AN255">
        <v>0</v>
      </c>
      <c r="AO255">
        <f t="shared" si="147"/>
        <v>0</v>
      </c>
      <c r="AP255">
        <f t="shared" ref="AP255:AP318" si="156">AP254+AO255</f>
        <v>0</v>
      </c>
      <c r="AQ255">
        <f t="shared" ca="1" si="148"/>
        <v>1.0000000000000004</v>
      </c>
      <c r="AR255" t="str">
        <f t="shared" ca="1" si="149"/>
        <v>Supercritical</v>
      </c>
      <c r="AS255">
        <f t="shared" ca="1" si="150"/>
        <v>3.8141460404132466E-3</v>
      </c>
    </row>
    <row r="256" spans="1:45" x14ac:dyDescent="0.35">
      <c r="A256">
        <v>195</v>
      </c>
      <c r="B256">
        <v>193.99600000000001</v>
      </c>
      <c r="C256">
        <v>616390.76899999997</v>
      </c>
      <c r="D256">
        <v>3097691.53</v>
      </c>
      <c r="E256">
        <v>632.46500000000003</v>
      </c>
      <c r="F256">
        <v>5.2</v>
      </c>
      <c r="G256">
        <v>0</v>
      </c>
      <c r="H256" t="s">
        <v>154</v>
      </c>
      <c r="I256">
        <v>0.06</v>
      </c>
      <c r="J256">
        <f t="shared" si="151"/>
        <v>0.99899999999999523</v>
      </c>
      <c r="K256">
        <f t="shared" ca="1" si="152"/>
        <v>50.95</v>
      </c>
      <c r="L256">
        <f t="shared" ca="1" si="153"/>
        <v>2.1389677043987478</v>
      </c>
      <c r="M256">
        <f t="shared" ca="1" si="126"/>
        <v>11.122632062873489</v>
      </c>
      <c r="N256">
        <f t="shared" ca="1" si="127"/>
        <v>1.1735290000551568</v>
      </c>
      <c r="O256">
        <f t="shared" ca="1" si="128"/>
        <v>4.5807502857230418</v>
      </c>
      <c r="P256">
        <f t="shared" ca="1" si="129"/>
        <v>634.60396770439877</v>
      </c>
      <c r="Q256">
        <f t="shared" ca="1" si="130"/>
        <v>635.67345155659814</v>
      </c>
      <c r="R256">
        <f t="shared" ca="1" si="131"/>
        <v>3.8141460404132466E-3</v>
      </c>
      <c r="S256">
        <f t="shared" ca="1" si="132"/>
        <v>1.0000000000000004</v>
      </c>
      <c r="T256">
        <f t="shared" ca="1" si="133"/>
        <v>35.686426155594638</v>
      </c>
      <c r="U256">
        <f t="shared" ca="1" si="154"/>
        <v>-3.4172802795637836E-3</v>
      </c>
      <c r="V256">
        <f t="shared" ca="1" si="155"/>
        <v>1</v>
      </c>
      <c r="W256">
        <f t="shared" ca="1" si="134"/>
        <v>2.1373203735079915</v>
      </c>
      <c r="X256">
        <f t="shared" ca="1" si="135"/>
        <v>11.114065942241556</v>
      </c>
      <c r="Y256">
        <f t="shared" ca="1" si="136"/>
        <v>1.1730329665261352</v>
      </c>
      <c r="Z256">
        <f t="shared" ca="1" si="137"/>
        <v>4.5842808801730106</v>
      </c>
      <c r="AA256">
        <f t="shared" ca="1" si="138"/>
        <v>634.60232037350806</v>
      </c>
      <c r="AB256">
        <f t="shared" ca="1" si="139"/>
        <v>635.67345346159777</v>
      </c>
      <c r="AC256">
        <f t="shared" ca="1" si="140"/>
        <v>3.8221817362197445E-3</v>
      </c>
      <c r="AD256">
        <f t="shared" ca="1" si="141"/>
        <v>1.0011563415729299</v>
      </c>
      <c r="AE256">
        <f t="shared" ca="1" si="142"/>
        <v>35.686447333323514</v>
      </c>
      <c r="AF256">
        <f t="shared" ca="1" si="143"/>
        <v>3.4239393796724471E-3</v>
      </c>
      <c r="AG256">
        <f t="shared" ca="1" si="144"/>
        <v>0</v>
      </c>
      <c r="AH256">
        <f ca="1">IFERROR(IF(V32="Supercritical",MAX($D$16,IFERROR(L256,MAX($D$16,POWER((ABS(K256)^2)/($I$5*MAX(F256,0.1)^2),1/3)))),IF(V32="Subcritical",MAX($D$16,IFERROR(W256,MAX($D$16,POWER((ABS(K256)^2)/($I$5*MAX(F256,0.1)^2),1/3)))),IF(AND(IFERROR(V256,0)=1,IFERROR(AG256,0)=1),IF(IFERROR(T256,-1E+99)&gt;=IFERROR(AE256,-1E+99),MAX($D$16,IFERROR(L256,MAX($D$16,POWER((ABS(K256)^2)/($I$5*MAX(F256,0.1)^2),1/3)))),MAX($D$16,IFERROR(W256,MAX($D$16,POWER((ABS(K256)^2)/($I$5*MAX(F256,0.1)^2),1/3))))),IF(IFERROR(V256,0)=1,MAX($D$16,IFERROR(L256,MAX($D$16,POWER((ABS(K256)^2)/($I$5*MAX(F256,0.1)^2),1/3)))),IF(IFERROR(AG256,0)=1,MAX($D$16,IFERROR(W256,MAX($D$16,POWER((ABS(K256)^2)/($I$5*MAX(F256,0.1)^2),1/3)))),MAX($D$16,POWER((ABS(K256)^2)/($I$5*MAX(F256,0.1)^2),1/3))))))),MAX($D$16,POWER((ABS(K256)^2)/($I$5*MAX(F256,0.1)^2),1/3)))</f>
        <v>2.1389677043987478</v>
      </c>
      <c r="AI256">
        <f t="shared" ca="1" si="145"/>
        <v>634.60396770439877</v>
      </c>
      <c r="AJ256">
        <f t="shared" ca="1" si="146"/>
        <v>635.67345155659814</v>
      </c>
      <c r="AM256">
        <v>0</v>
      </c>
      <c r="AN256">
        <v>0</v>
      </c>
      <c r="AO256">
        <f t="shared" si="147"/>
        <v>0</v>
      </c>
      <c r="AP256">
        <f t="shared" si="156"/>
        <v>0</v>
      </c>
      <c r="AQ256">
        <f t="shared" ca="1" si="148"/>
        <v>1.0000000000000004</v>
      </c>
      <c r="AR256" t="str">
        <f t="shared" ca="1" si="149"/>
        <v>Supercritical</v>
      </c>
      <c r="AS256">
        <f t="shared" ca="1" si="150"/>
        <v>3.8141460404132466E-3</v>
      </c>
    </row>
    <row r="257" spans="1:45" x14ac:dyDescent="0.35">
      <c r="A257">
        <v>196</v>
      </c>
      <c r="B257">
        <v>194.99600000000001</v>
      </c>
      <c r="C257">
        <v>616389.77</v>
      </c>
      <c r="D257">
        <v>3097691.483</v>
      </c>
      <c r="E257">
        <v>632.46450000000004</v>
      </c>
      <c r="F257">
        <v>5.2</v>
      </c>
      <c r="G257">
        <v>0</v>
      </c>
      <c r="H257" t="s">
        <v>154</v>
      </c>
      <c r="I257">
        <v>5.7000000000000002E-2</v>
      </c>
      <c r="J257">
        <f t="shared" si="151"/>
        <v>1</v>
      </c>
      <c r="K257">
        <f t="shared" ca="1" si="152"/>
        <v>50.95</v>
      </c>
      <c r="L257">
        <f t="shared" ca="1" si="153"/>
        <v>2.1389677043987478</v>
      </c>
      <c r="M257">
        <f t="shared" ca="1" si="126"/>
        <v>11.122632062873489</v>
      </c>
      <c r="N257">
        <f t="shared" ca="1" si="127"/>
        <v>1.1735290000551568</v>
      </c>
      <c r="O257">
        <f t="shared" ca="1" si="128"/>
        <v>4.5807502857230418</v>
      </c>
      <c r="P257">
        <f t="shared" ca="1" si="129"/>
        <v>634.60346770439878</v>
      </c>
      <c r="Q257">
        <f t="shared" ca="1" si="130"/>
        <v>635.67295155659815</v>
      </c>
      <c r="R257">
        <f t="shared" ca="1" si="131"/>
        <v>3.8141460404132466E-3</v>
      </c>
      <c r="S257">
        <f t="shared" ca="1" si="132"/>
        <v>1.0000000000000004</v>
      </c>
      <c r="T257">
        <f t="shared" ca="1" si="133"/>
        <v>35.686426155594638</v>
      </c>
      <c r="U257">
        <f t="shared" ca="1" si="154"/>
        <v>-3.4157470064428708E-3</v>
      </c>
      <c r="V257">
        <f t="shared" ca="1" si="155"/>
        <v>1</v>
      </c>
      <c r="W257">
        <f t="shared" ca="1" si="134"/>
        <v>2.1381886436890443</v>
      </c>
      <c r="X257">
        <f t="shared" ca="1" si="135"/>
        <v>11.11858094718303</v>
      </c>
      <c r="Y257">
        <f t="shared" ca="1" si="136"/>
        <v>1.1732944573652897</v>
      </c>
      <c r="Z257">
        <f t="shared" ca="1" si="137"/>
        <v>4.5824193071066803</v>
      </c>
      <c r="AA257">
        <f t="shared" ca="1" si="138"/>
        <v>634.60268864368913</v>
      </c>
      <c r="AB257">
        <f t="shared" ca="1" si="139"/>
        <v>635.67295198243244</v>
      </c>
      <c r="AC257">
        <f t="shared" ca="1" si="140"/>
        <v>3.8179433334236904E-3</v>
      </c>
      <c r="AD257">
        <f t="shared" ca="1" si="141"/>
        <v>1.0005465829720761</v>
      </c>
      <c r="AE257">
        <f t="shared" ca="1" si="142"/>
        <v>35.686430890842168</v>
      </c>
      <c r="AF257">
        <f t="shared" ca="1" si="143"/>
        <v>3.3217612767657556E-3</v>
      </c>
      <c r="AG257">
        <f t="shared" ca="1" si="144"/>
        <v>0</v>
      </c>
      <c r="AH257">
        <f ca="1">IFERROR(IF(V32="Supercritical",MAX($D$16,IFERROR(L257,MAX($D$16,POWER((ABS(K257)^2)/($I$5*MAX(F257,0.1)^2),1/3)))),IF(V32="Subcritical",MAX($D$16,IFERROR(W257,MAX($D$16,POWER((ABS(K257)^2)/($I$5*MAX(F257,0.1)^2),1/3)))),IF(AND(IFERROR(V257,0)=1,IFERROR(AG257,0)=1),IF(IFERROR(T257,-1E+99)&gt;=IFERROR(AE257,-1E+99),MAX($D$16,IFERROR(L257,MAX($D$16,POWER((ABS(K257)^2)/($I$5*MAX(F257,0.1)^2),1/3)))),MAX($D$16,IFERROR(W257,MAX($D$16,POWER((ABS(K257)^2)/($I$5*MAX(F257,0.1)^2),1/3))))),IF(IFERROR(V257,0)=1,MAX($D$16,IFERROR(L257,MAX($D$16,POWER((ABS(K257)^2)/($I$5*MAX(F257,0.1)^2),1/3)))),IF(IFERROR(AG257,0)=1,MAX($D$16,IFERROR(W257,MAX($D$16,POWER((ABS(K257)^2)/($I$5*MAX(F257,0.1)^2),1/3)))),MAX($D$16,POWER((ABS(K257)^2)/($I$5*MAX(F257,0.1)^2),1/3))))))),MAX($D$16,POWER((ABS(K257)^2)/($I$5*MAX(F257,0.1)^2),1/3)))</f>
        <v>2.1389677043987478</v>
      </c>
      <c r="AI257">
        <f t="shared" ca="1" si="145"/>
        <v>634.60346770439878</v>
      </c>
      <c r="AJ257">
        <f t="shared" ca="1" si="146"/>
        <v>635.67295155659815</v>
      </c>
      <c r="AM257">
        <v>0</v>
      </c>
      <c r="AN257">
        <v>0</v>
      </c>
      <c r="AO257">
        <f t="shared" si="147"/>
        <v>0</v>
      </c>
      <c r="AP257">
        <f t="shared" si="156"/>
        <v>0</v>
      </c>
      <c r="AQ257">
        <f t="shared" ca="1" si="148"/>
        <v>1.0000000000000004</v>
      </c>
      <c r="AR257" t="str">
        <f t="shared" ca="1" si="149"/>
        <v>Supercritical</v>
      </c>
      <c r="AS257">
        <f t="shared" ca="1" si="150"/>
        <v>3.8141460404132466E-3</v>
      </c>
    </row>
    <row r="258" spans="1:45" x14ac:dyDescent="0.35">
      <c r="A258">
        <v>197</v>
      </c>
      <c r="B258">
        <v>195.99700000000001</v>
      </c>
      <c r="C258">
        <v>616388.77099999995</v>
      </c>
      <c r="D258">
        <v>3097691.4350000001</v>
      </c>
      <c r="E258">
        <v>632.46400000000006</v>
      </c>
      <c r="F258">
        <v>5.2</v>
      </c>
      <c r="G258">
        <v>0</v>
      </c>
      <c r="H258" t="s">
        <v>154</v>
      </c>
      <c r="I258">
        <v>0</v>
      </c>
      <c r="J258">
        <f t="shared" si="151"/>
        <v>1.0010000000000048</v>
      </c>
      <c r="K258">
        <f t="shared" ca="1" si="152"/>
        <v>50.95</v>
      </c>
      <c r="L258">
        <f t="shared" ca="1" si="153"/>
        <v>2.1389677043987478</v>
      </c>
      <c r="M258">
        <f t="shared" ca="1" si="126"/>
        <v>11.122632062873489</v>
      </c>
      <c r="N258">
        <f t="shared" ca="1" si="127"/>
        <v>1.1735290000551568</v>
      </c>
      <c r="O258">
        <f t="shared" ca="1" si="128"/>
        <v>4.5807502857230418</v>
      </c>
      <c r="P258">
        <f t="shared" ca="1" si="129"/>
        <v>634.60296770439879</v>
      </c>
      <c r="Q258">
        <f t="shared" ca="1" si="130"/>
        <v>635.67245155659816</v>
      </c>
      <c r="R258">
        <f t="shared" ca="1" si="131"/>
        <v>3.8141460404132466E-3</v>
      </c>
      <c r="S258">
        <f t="shared" ca="1" si="132"/>
        <v>1.0000000000000004</v>
      </c>
      <c r="T258">
        <f t="shared" ca="1" si="133"/>
        <v>35.686426155594638</v>
      </c>
      <c r="U258">
        <f t="shared" ca="1" si="154"/>
        <v>-3.3179601864503638E-3</v>
      </c>
      <c r="V258">
        <f t="shared" ca="1" si="155"/>
        <v>1</v>
      </c>
      <c r="W258">
        <f t="shared" ca="1" si="134"/>
        <v>2.1373203735079915</v>
      </c>
      <c r="X258">
        <f t="shared" ca="1" si="135"/>
        <v>11.114065942241556</v>
      </c>
      <c r="Y258">
        <f t="shared" ca="1" si="136"/>
        <v>1.1730329665261352</v>
      </c>
      <c r="Z258">
        <f t="shared" ca="1" si="137"/>
        <v>4.5842808801730106</v>
      </c>
      <c r="AA258">
        <f t="shared" ca="1" si="138"/>
        <v>634.60132037350809</v>
      </c>
      <c r="AB258">
        <f t="shared" ca="1" si="139"/>
        <v>635.6724534615978</v>
      </c>
      <c r="AC258">
        <f t="shared" ca="1" si="140"/>
        <v>3.8221817362197445E-3</v>
      </c>
      <c r="AD258">
        <f t="shared" ca="1" si="141"/>
        <v>1.0011563415729299</v>
      </c>
      <c r="AE258">
        <f t="shared" ca="1" si="142"/>
        <v>35.686447333323514</v>
      </c>
      <c r="AF258">
        <f t="shared" ca="1" si="143"/>
        <v>3.4239393795587603E-3</v>
      </c>
      <c r="AG258">
        <f t="shared" ca="1" si="144"/>
        <v>0</v>
      </c>
      <c r="AH258">
        <f ca="1">IFERROR(IF(V32="Supercritical",MAX($D$16,IFERROR(L258,MAX($D$16,POWER((ABS(K258)^2)/($I$5*MAX(F258,0.1)^2),1/3)))),IF(V32="Subcritical",MAX($D$16,IFERROR(W258,MAX($D$16,POWER((ABS(K258)^2)/($I$5*MAX(F258,0.1)^2),1/3)))),IF(AND(IFERROR(V258,0)=1,IFERROR(AG258,0)=1),IF(IFERROR(T258,-1E+99)&gt;=IFERROR(AE258,-1E+99),MAX($D$16,IFERROR(L258,MAX($D$16,POWER((ABS(K258)^2)/($I$5*MAX(F258,0.1)^2),1/3)))),MAX($D$16,IFERROR(W258,MAX($D$16,POWER((ABS(K258)^2)/($I$5*MAX(F258,0.1)^2),1/3))))),IF(IFERROR(V258,0)=1,MAX($D$16,IFERROR(L258,MAX($D$16,POWER((ABS(K258)^2)/($I$5*MAX(F258,0.1)^2),1/3)))),IF(IFERROR(AG258,0)=1,MAX($D$16,IFERROR(W258,MAX($D$16,POWER((ABS(K258)^2)/($I$5*MAX(F258,0.1)^2),1/3)))),MAX($D$16,POWER((ABS(K258)^2)/($I$5*MAX(F258,0.1)^2),1/3))))))),MAX($D$16,POWER((ABS(K258)^2)/($I$5*MAX(F258,0.1)^2),1/3)))</f>
        <v>2.1389677043987478</v>
      </c>
      <c r="AI258">
        <f t="shared" ca="1" si="145"/>
        <v>634.60296770439879</v>
      </c>
      <c r="AJ258">
        <f t="shared" ca="1" si="146"/>
        <v>635.67245155659816</v>
      </c>
      <c r="AM258">
        <v>0</v>
      </c>
      <c r="AN258">
        <v>0</v>
      </c>
      <c r="AO258">
        <f t="shared" si="147"/>
        <v>0</v>
      </c>
      <c r="AP258">
        <f t="shared" si="156"/>
        <v>0</v>
      </c>
      <c r="AQ258">
        <f t="shared" ca="1" si="148"/>
        <v>1.0000000000000004</v>
      </c>
      <c r="AR258" t="str">
        <f t="shared" ca="1" si="149"/>
        <v>Supercritical</v>
      </c>
      <c r="AS258">
        <f t="shared" ca="1" si="150"/>
        <v>3.8141460404132466E-3</v>
      </c>
    </row>
    <row r="259" spans="1:45" x14ac:dyDescent="0.35">
      <c r="A259">
        <v>198</v>
      </c>
      <c r="B259">
        <v>196.99700000000001</v>
      </c>
      <c r="C259">
        <v>616387.772</v>
      </c>
      <c r="D259">
        <v>3097691.3870000001</v>
      </c>
      <c r="E259">
        <v>632.46349999999995</v>
      </c>
      <c r="F259">
        <v>5.2</v>
      </c>
      <c r="G259">
        <v>0</v>
      </c>
      <c r="H259" t="s">
        <v>154</v>
      </c>
      <c r="I259">
        <v>5.7000000000000002E-2</v>
      </c>
      <c r="J259">
        <f t="shared" si="151"/>
        <v>1</v>
      </c>
      <c r="K259">
        <f t="shared" ca="1" si="152"/>
        <v>50.95</v>
      </c>
      <c r="L259">
        <f t="shared" ca="1" si="153"/>
        <v>2.1389677043987478</v>
      </c>
      <c r="M259">
        <f t="shared" ca="1" si="126"/>
        <v>11.122632062873489</v>
      </c>
      <c r="N259">
        <f t="shared" ca="1" si="127"/>
        <v>1.1735290000551568</v>
      </c>
      <c r="O259">
        <f t="shared" ca="1" si="128"/>
        <v>4.5807502857230418</v>
      </c>
      <c r="P259">
        <f t="shared" ca="1" si="129"/>
        <v>634.60246770439869</v>
      </c>
      <c r="Q259">
        <f t="shared" ca="1" si="130"/>
        <v>635.67195155659806</v>
      </c>
      <c r="R259">
        <f t="shared" ca="1" si="131"/>
        <v>3.8141460404132466E-3</v>
      </c>
      <c r="S259">
        <f t="shared" ca="1" si="132"/>
        <v>1.0000000000000004</v>
      </c>
      <c r="T259">
        <f t="shared" ca="1" si="133"/>
        <v>35.686426155594638</v>
      </c>
      <c r="U259">
        <f t="shared" ca="1" si="154"/>
        <v>-3.4157470063291839E-3</v>
      </c>
      <c r="V259">
        <f t="shared" ca="1" si="155"/>
        <v>1</v>
      </c>
      <c r="W259">
        <f t="shared" ca="1" si="134"/>
        <v>2.1381886436890443</v>
      </c>
      <c r="X259">
        <f t="shared" ca="1" si="135"/>
        <v>11.11858094718303</v>
      </c>
      <c r="Y259">
        <f t="shared" ca="1" si="136"/>
        <v>1.1732944573652897</v>
      </c>
      <c r="Z259">
        <f t="shared" ca="1" si="137"/>
        <v>4.5824193071066803</v>
      </c>
      <c r="AA259">
        <f t="shared" ca="1" si="138"/>
        <v>634.60168864368904</v>
      </c>
      <c r="AB259">
        <f t="shared" ca="1" si="139"/>
        <v>635.67195198243235</v>
      </c>
      <c r="AC259">
        <f t="shared" ca="1" si="140"/>
        <v>3.8179433334236904E-3</v>
      </c>
      <c r="AD259">
        <f t="shared" ca="1" si="141"/>
        <v>1.0005465829720761</v>
      </c>
      <c r="AE259">
        <f t="shared" ca="1" si="142"/>
        <v>35.686430890842168</v>
      </c>
      <c r="AF259">
        <f t="shared" ca="1" si="143"/>
        <v>3.4196183505628142E-3</v>
      </c>
      <c r="AG259">
        <f t="shared" ca="1" si="144"/>
        <v>0</v>
      </c>
      <c r="AH259">
        <f ca="1">IFERROR(IF(V32="Supercritical",MAX($D$16,IFERROR(L259,MAX($D$16,POWER((ABS(K259)^2)/($I$5*MAX(F259,0.1)^2),1/3)))),IF(V32="Subcritical",MAX($D$16,IFERROR(W259,MAX($D$16,POWER((ABS(K259)^2)/($I$5*MAX(F259,0.1)^2),1/3)))),IF(AND(IFERROR(V259,0)=1,IFERROR(AG259,0)=1),IF(IFERROR(T259,-1E+99)&gt;=IFERROR(AE259,-1E+99),MAX($D$16,IFERROR(L259,MAX($D$16,POWER((ABS(K259)^2)/($I$5*MAX(F259,0.1)^2),1/3)))),MAX($D$16,IFERROR(W259,MAX($D$16,POWER((ABS(K259)^2)/($I$5*MAX(F259,0.1)^2),1/3))))),IF(IFERROR(V259,0)=1,MAX($D$16,IFERROR(L259,MAX($D$16,POWER((ABS(K259)^2)/($I$5*MAX(F259,0.1)^2),1/3)))),IF(IFERROR(AG259,0)=1,MAX($D$16,IFERROR(W259,MAX($D$16,POWER((ABS(K259)^2)/($I$5*MAX(F259,0.1)^2),1/3)))),MAX($D$16,POWER((ABS(K259)^2)/($I$5*MAX(F259,0.1)^2),1/3))))))),MAX($D$16,POWER((ABS(K259)^2)/($I$5*MAX(F259,0.1)^2),1/3)))</f>
        <v>2.1389677043987478</v>
      </c>
      <c r="AI259">
        <f t="shared" ca="1" si="145"/>
        <v>634.60246770439869</v>
      </c>
      <c r="AJ259">
        <f t="shared" ca="1" si="146"/>
        <v>635.67195155659806</v>
      </c>
      <c r="AM259">
        <v>0</v>
      </c>
      <c r="AN259">
        <v>0</v>
      </c>
      <c r="AO259">
        <f t="shared" si="147"/>
        <v>0</v>
      </c>
      <c r="AP259">
        <f t="shared" si="156"/>
        <v>0</v>
      </c>
      <c r="AQ259">
        <f t="shared" ca="1" si="148"/>
        <v>1.0000000000000004</v>
      </c>
      <c r="AR259" t="str">
        <f t="shared" ca="1" si="149"/>
        <v>Supercritical</v>
      </c>
      <c r="AS259">
        <f t="shared" ca="1" si="150"/>
        <v>3.8141460404132466E-3</v>
      </c>
    </row>
    <row r="260" spans="1:45" x14ac:dyDescent="0.35">
      <c r="A260">
        <v>199</v>
      </c>
      <c r="B260">
        <v>197.99700000000001</v>
      </c>
      <c r="C260">
        <v>616386.77300000004</v>
      </c>
      <c r="D260">
        <v>3097691.34</v>
      </c>
      <c r="E260">
        <v>632.46299999999997</v>
      </c>
      <c r="F260">
        <v>5.2</v>
      </c>
      <c r="G260">
        <v>0</v>
      </c>
      <c r="H260" t="s">
        <v>154</v>
      </c>
      <c r="I260">
        <v>5.7000000000000002E-2</v>
      </c>
      <c r="J260">
        <f t="shared" si="151"/>
        <v>1</v>
      </c>
      <c r="K260">
        <f t="shared" ca="1" si="152"/>
        <v>50.95</v>
      </c>
      <c r="L260">
        <f t="shared" ca="1" si="153"/>
        <v>2.1389677043987478</v>
      </c>
      <c r="M260">
        <f t="shared" ca="1" si="126"/>
        <v>11.122632062873489</v>
      </c>
      <c r="N260">
        <f t="shared" ca="1" si="127"/>
        <v>1.1735290000551568</v>
      </c>
      <c r="O260">
        <f t="shared" ca="1" si="128"/>
        <v>4.5807502857230418</v>
      </c>
      <c r="P260">
        <f t="shared" ca="1" si="129"/>
        <v>634.6019677043987</v>
      </c>
      <c r="Q260">
        <f t="shared" ca="1" si="130"/>
        <v>635.67145155659807</v>
      </c>
      <c r="R260">
        <f t="shared" ca="1" si="131"/>
        <v>3.8141460404132466E-3</v>
      </c>
      <c r="S260">
        <f t="shared" ca="1" si="132"/>
        <v>1.0000000000000004</v>
      </c>
      <c r="T260">
        <f t="shared" ca="1" si="133"/>
        <v>35.686426155594638</v>
      </c>
      <c r="U260">
        <f t="shared" ca="1" si="154"/>
        <v>-3.4157470064428708E-3</v>
      </c>
      <c r="V260">
        <f t="shared" ca="1" si="155"/>
        <v>1</v>
      </c>
      <c r="W260">
        <f t="shared" ca="1" si="134"/>
        <v>2.1373203735079915</v>
      </c>
      <c r="X260">
        <f t="shared" ca="1" si="135"/>
        <v>11.114065942241556</v>
      </c>
      <c r="Y260">
        <f t="shared" ca="1" si="136"/>
        <v>1.1730329665261352</v>
      </c>
      <c r="Z260">
        <f t="shared" ca="1" si="137"/>
        <v>4.5842808801730106</v>
      </c>
      <c r="AA260">
        <f t="shared" ca="1" si="138"/>
        <v>634.600320373508</v>
      </c>
      <c r="AB260">
        <f t="shared" ca="1" si="139"/>
        <v>635.67145346159771</v>
      </c>
      <c r="AC260">
        <f t="shared" ca="1" si="140"/>
        <v>3.8221817362197445E-3</v>
      </c>
      <c r="AD260">
        <f t="shared" ca="1" si="141"/>
        <v>1.0011563415729299</v>
      </c>
      <c r="AE260">
        <f t="shared" ca="1" si="142"/>
        <v>35.686447333323514</v>
      </c>
      <c r="AF260">
        <f t="shared" ca="1" si="143"/>
        <v>3.4239393796724471E-3</v>
      </c>
      <c r="AG260">
        <f t="shared" ca="1" si="144"/>
        <v>0</v>
      </c>
      <c r="AH260">
        <f ca="1">IFERROR(IF(V32="Supercritical",MAX($D$16,IFERROR(L260,MAX($D$16,POWER((ABS(K260)^2)/($I$5*MAX(F260,0.1)^2),1/3)))),IF(V32="Subcritical",MAX($D$16,IFERROR(W260,MAX($D$16,POWER((ABS(K260)^2)/($I$5*MAX(F260,0.1)^2),1/3)))),IF(AND(IFERROR(V260,0)=1,IFERROR(AG260,0)=1),IF(IFERROR(T260,-1E+99)&gt;=IFERROR(AE260,-1E+99),MAX($D$16,IFERROR(L260,MAX($D$16,POWER((ABS(K260)^2)/($I$5*MAX(F260,0.1)^2),1/3)))),MAX($D$16,IFERROR(W260,MAX($D$16,POWER((ABS(K260)^2)/($I$5*MAX(F260,0.1)^2),1/3))))),IF(IFERROR(V260,0)=1,MAX($D$16,IFERROR(L260,MAX($D$16,POWER((ABS(K260)^2)/($I$5*MAX(F260,0.1)^2),1/3)))),IF(IFERROR(AG260,0)=1,MAX($D$16,IFERROR(W260,MAX($D$16,POWER((ABS(K260)^2)/($I$5*MAX(F260,0.1)^2),1/3)))),MAX($D$16,POWER((ABS(K260)^2)/($I$5*MAX(F260,0.1)^2),1/3))))))),MAX($D$16,POWER((ABS(K260)^2)/($I$5*MAX(F260,0.1)^2),1/3)))</f>
        <v>2.1389677043987478</v>
      </c>
      <c r="AI260">
        <f t="shared" ca="1" si="145"/>
        <v>634.6019677043987</v>
      </c>
      <c r="AJ260">
        <f t="shared" ca="1" si="146"/>
        <v>635.67145155659807</v>
      </c>
      <c r="AM260">
        <v>0</v>
      </c>
      <c r="AN260">
        <v>0</v>
      </c>
      <c r="AO260">
        <f t="shared" si="147"/>
        <v>0</v>
      </c>
      <c r="AP260">
        <f t="shared" si="156"/>
        <v>0</v>
      </c>
      <c r="AQ260">
        <f t="shared" ca="1" si="148"/>
        <v>1.0000000000000004</v>
      </c>
      <c r="AR260" t="str">
        <f t="shared" ca="1" si="149"/>
        <v>Supercritical</v>
      </c>
      <c r="AS260">
        <f t="shared" ca="1" si="150"/>
        <v>3.8141460404132466E-3</v>
      </c>
    </row>
    <row r="261" spans="1:45" x14ac:dyDescent="0.35">
      <c r="A261">
        <v>200</v>
      </c>
      <c r="B261">
        <v>198.99700000000001</v>
      </c>
      <c r="C261">
        <v>616385.77399999998</v>
      </c>
      <c r="D261">
        <v>3097691.2919999999</v>
      </c>
      <c r="E261">
        <v>632.46249999999998</v>
      </c>
      <c r="F261">
        <v>5.2</v>
      </c>
      <c r="G261">
        <v>0</v>
      </c>
      <c r="H261" t="s">
        <v>154</v>
      </c>
      <c r="I261">
        <v>5.7000000000000002E-2</v>
      </c>
      <c r="J261">
        <f t="shared" si="151"/>
        <v>1</v>
      </c>
      <c r="K261">
        <f t="shared" ca="1" si="152"/>
        <v>50.95</v>
      </c>
      <c r="L261">
        <f t="shared" ca="1" si="153"/>
        <v>2.1389677043987478</v>
      </c>
      <c r="M261">
        <f t="shared" ca="1" si="126"/>
        <v>11.122632062873489</v>
      </c>
      <c r="N261">
        <f t="shared" ca="1" si="127"/>
        <v>1.1735290000551568</v>
      </c>
      <c r="O261">
        <f t="shared" ca="1" si="128"/>
        <v>4.5807502857230418</v>
      </c>
      <c r="P261">
        <f t="shared" ca="1" si="129"/>
        <v>634.60146770439871</v>
      </c>
      <c r="Q261">
        <f t="shared" ca="1" si="130"/>
        <v>635.67095155659808</v>
      </c>
      <c r="R261">
        <f t="shared" ca="1" si="131"/>
        <v>3.8141460404132466E-3</v>
      </c>
      <c r="S261">
        <f t="shared" ca="1" si="132"/>
        <v>1.0000000000000004</v>
      </c>
      <c r="T261">
        <f t="shared" ca="1" si="133"/>
        <v>35.686426155594638</v>
      </c>
      <c r="U261">
        <f t="shared" ca="1" si="154"/>
        <v>-3.4157470064428708E-3</v>
      </c>
      <c r="V261">
        <f t="shared" ca="1" si="155"/>
        <v>1</v>
      </c>
      <c r="W261">
        <f t="shared" ca="1" si="134"/>
        <v>2.1381886436890443</v>
      </c>
      <c r="X261">
        <f t="shared" ca="1" si="135"/>
        <v>11.11858094718303</v>
      </c>
      <c r="Y261">
        <f t="shared" ca="1" si="136"/>
        <v>1.1732944573652897</v>
      </c>
      <c r="Z261">
        <f t="shared" ca="1" si="137"/>
        <v>4.5824193071066803</v>
      </c>
      <c r="AA261">
        <f t="shared" ca="1" si="138"/>
        <v>634.60068864368907</v>
      </c>
      <c r="AB261">
        <f t="shared" ca="1" si="139"/>
        <v>635.67095198243237</v>
      </c>
      <c r="AC261">
        <f t="shared" ca="1" si="140"/>
        <v>3.8179433334236904E-3</v>
      </c>
      <c r="AD261">
        <f t="shared" ca="1" si="141"/>
        <v>1.0005465829720761</v>
      </c>
      <c r="AE261">
        <f t="shared" ca="1" si="142"/>
        <v>35.686430890842168</v>
      </c>
      <c r="AF261">
        <f t="shared" ca="1" si="143"/>
        <v>3.4196183505628142E-3</v>
      </c>
      <c r="AG261">
        <f t="shared" ca="1" si="144"/>
        <v>0</v>
      </c>
      <c r="AH261">
        <f ca="1">IFERROR(IF(V32="Supercritical",MAX($D$16,IFERROR(L261,MAX($D$16,POWER((ABS(K261)^2)/($I$5*MAX(F261,0.1)^2),1/3)))),IF(V32="Subcritical",MAX($D$16,IFERROR(W261,MAX($D$16,POWER((ABS(K261)^2)/($I$5*MAX(F261,0.1)^2),1/3)))),IF(AND(IFERROR(V261,0)=1,IFERROR(AG261,0)=1),IF(IFERROR(T261,-1E+99)&gt;=IFERROR(AE261,-1E+99),MAX($D$16,IFERROR(L261,MAX($D$16,POWER((ABS(K261)^2)/($I$5*MAX(F261,0.1)^2),1/3)))),MAX($D$16,IFERROR(W261,MAX($D$16,POWER((ABS(K261)^2)/($I$5*MAX(F261,0.1)^2),1/3))))),IF(IFERROR(V261,0)=1,MAX($D$16,IFERROR(L261,MAX($D$16,POWER((ABS(K261)^2)/($I$5*MAX(F261,0.1)^2),1/3)))),IF(IFERROR(AG261,0)=1,MAX($D$16,IFERROR(W261,MAX($D$16,POWER((ABS(K261)^2)/($I$5*MAX(F261,0.1)^2),1/3)))),MAX($D$16,POWER((ABS(K261)^2)/($I$5*MAX(F261,0.1)^2),1/3))))))),MAX($D$16,POWER((ABS(K261)^2)/($I$5*MAX(F261,0.1)^2),1/3)))</f>
        <v>2.1389677043987478</v>
      </c>
      <c r="AI261">
        <f t="shared" ca="1" si="145"/>
        <v>634.60146770439871</v>
      </c>
      <c r="AJ261">
        <f t="shared" ca="1" si="146"/>
        <v>635.67095155659808</v>
      </c>
      <c r="AM261">
        <v>0</v>
      </c>
      <c r="AN261">
        <v>0</v>
      </c>
      <c r="AO261">
        <f t="shared" si="147"/>
        <v>0</v>
      </c>
      <c r="AP261">
        <f t="shared" si="156"/>
        <v>0</v>
      </c>
      <c r="AQ261">
        <f t="shared" ca="1" si="148"/>
        <v>1.0000000000000004</v>
      </c>
      <c r="AR261" t="str">
        <f t="shared" ca="1" si="149"/>
        <v>Supercritical</v>
      </c>
      <c r="AS261">
        <f t="shared" ca="1" si="150"/>
        <v>3.8141460404132466E-3</v>
      </c>
    </row>
    <row r="262" spans="1:45" x14ac:dyDescent="0.35">
      <c r="A262">
        <v>201</v>
      </c>
      <c r="B262">
        <v>199.99700000000001</v>
      </c>
      <c r="C262">
        <v>616384.77500000002</v>
      </c>
      <c r="D262">
        <v>3097691.2450000001</v>
      </c>
      <c r="E262">
        <v>632.46199999999999</v>
      </c>
      <c r="F262">
        <v>5.2</v>
      </c>
      <c r="G262">
        <v>0</v>
      </c>
      <c r="H262" t="s">
        <v>154</v>
      </c>
      <c r="I262">
        <v>5.7000000000000002E-2</v>
      </c>
      <c r="J262">
        <f t="shared" si="151"/>
        <v>1</v>
      </c>
      <c r="K262">
        <f t="shared" ca="1" si="152"/>
        <v>50.95</v>
      </c>
      <c r="L262">
        <f t="shared" ca="1" si="153"/>
        <v>2.1389677043987478</v>
      </c>
      <c r="M262">
        <f t="shared" ca="1" si="126"/>
        <v>11.122632062873489</v>
      </c>
      <c r="N262">
        <f t="shared" ca="1" si="127"/>
        <v>1.1735290000551568</v>
      </c>
      <c r="O262">
        <f t="shared" ca="1" si="128"/>
        <v>4.5807502857230418</v>
      </c>
      <c r="P262">
        <f t="shared" ca="1" si="129"/>
        <v>634.60096770439873</v>
      </c>
      <c r="Q262">
        <f t="shared" ca="1" si="130"/>
        <v>635.6704515565981</v>
      </c>
      <c r="R262">
        <f t="shared" ca="1" si="131"/>
        <v>3.8141460404132466E-3</v>
      </c>
      <c r="S262">
        <f t="shared" ca="1" si="132"/>
        <v>1.0000000000000004</v>
      </c>
      <c r="T262">
        <f t="shared" ca="1" si="133"/>
        <v>35.686426155594638</v>
      </c>
      <c r="U262">
        <f t="shared" ca="1" si="154"/>
        <v>-3.4157470064428708E-3</v>
      </c>
      <c r="V262">
        <f t="shared" ca="1" si="155"/>
        <v>1</v>
      </c>
      <c r="W262">
        <f t="shared" ca="1" si="134"/>
        <v>2.1373203735079915</v>
      </c>
      <c r="X262">
        <f t="shared" ca="1" si="135"/>
        <v>11.114065942241556</v>
      </c>
      <c r="Y262">
        <f t="shared" ca="1" si="136"/>
        <v>1.1730329665261352</v>
      </c>
      <c r="Z262">
        <f t="shared" ca="1" si="137"/>
        <v>4.5842808801730106</v>
      </c>
      <c r="AA262">
        <f t="shared" ca="1" si="138"/>
        <v>634.59932037350802</v>
      </c>
      <c r="AB262">
        <f t="shared" ca="1" si="139"/>
        <v>635.67045346159773</v>
      </c>
      <c r="AC262">
        <f t="shared" ca="1" si="140"/>
        <v>3.8221817362197445E-3</v>
      </c>
      <c r="AD262">
        <f t="shared" ca="1" si="141"/>
        <v>1.0011563415729299</v>
      </c>
      <c r="AE262">
        <f t="shared" ca="1" si="142"/>
        <v>35.686447333323514</v>
      </c>
      <c r="AF262">
        <f t="shared" ca="1" si="143"/>
        <v>3.3275374016739079E-3</v>
      </c>
      <c r="AG262">
        <f t="shared" ca="1" si="144"/>
        <v>0</v>
      </c>
      <c r="AH262">
        <f ca="1">IFERROR(IF(V32="Supercritical",MAX($D$16,IFERROR(L262,MAX($D$16,POWER((ABS(K262)^2)/($I$5*MAX(F262,0.1)^2),1/3)))),IF(V32="Subcritical",MAX($D$16,IFERROR(W262,MAX($D$16,POWER((ABS(K262)^2)/($I$5*MAX(F262,0.1)^2),1/3)))),IF(AND(IFERROR(V262,0)=1,IFERROR(AG262,0)=1),IF(IFERROR(T262,-1E+99)&gt;=IFERROR(AE262,-1E+99),MAX($D$16,IFERROR(L262,MAX($D$16,POWER((ABS(K262)^2)/($I$5*MAX(F262,0.1)^2),1/3)))),MAX($D$16,IFERROR(W262,MAX($D$16,POWER((ABS(K262)^2)/($I$5*MAX(F262,0.1)^2),1/3))))),IF(IFERROR(V262,0)=1,MAX($D$16,IFERROR(L262,MAX($D$16,POWER((ABS(K262)^2)/($I$5*MAX(F262,0.1)^2),1/3)))),IF(IFERROR(AG262,0)=1,MAX($D$16,IFERROR(W262,MAX($D$16,POWER((ABS(K262)^2)/($I$5*MAX(F262,0.1)^2),1/3)))),MAX($D$16,POWER((ABS(K262)^2)/($I$5*MAX(F262,0.1)^2),1/3))))))),MAX($D$16,POWER((ABS(K262)^2)/($I$5*MAX(F262,0.1)^2),1/3)))</f>
        <v>2.1389677043987478</v>
      </c>
      <c r="AI262">
        <f t="shared" ca="1" si="145"/>
        <v>634.60096770439873</v>
      </c>
      <c r="AJ262">
        <f t="shared" ca="1" si="146"/>
        <v>635.6704515565981</v>
      </c>
      <c r="AM262">
        <v>0</v>
      </c>
      <c r="AN262">
        <v>0</v>
      </c>
      <c r="AO262">
        <f t="shared" si="147"/>
        <v>0</v>
      </c>
      <c r="AP262">
        <f t="shared" si="156"/>
        <v>0</v>
      </c>
      <c r="AQ262">
        <f t="shared" ca="1" si="148"/>
        <v>1.0000000000000004</v>
      </c>
      <c r="AR262" t="str">
        <f t="shared" ca="1" si="149"/>
        <v>Supercritical</v>
      </c>
      <c r="AS262">
        <f t="shared" ca="1" si="150"/>
        <v>3.8141460404132466E-3</v>
      </c>
    </row>
    <row r="263" spans="1:45" x14ac:dyDescent="0.35">
      <c r="A263">
        <v>202</v>
      </c>
      <c r="B263">
        <v>200.99700000000001</v>
      </c>
      <c r="C263">
        <v>616383.77599999995</v>
      </c>
      <c r="D263">
        <v>3097691.1970000002</v>
      </c>
      <c r="E263">
        <v>632.4615</v>
      </c>
      <c r="F263">
        <v>5.2</v>
      </c>
      <c r="G263">
        <v>0</v>
      </c>
      <c r="H263" t="s">
        <v>154</v>
      </c>
      <c r="I263">
        <v>3.0000000000000001E-3</v>
      </c>
      <c r="J263">
        <f t="shared" si="151"/>
        <v>1</v>
      </c>
      <c r="K263">
        <f t="shared" ca="1" si="152"/>
        <v>50.95</v>
      </c>
      <c r="L263">
        <f t="shared" ca="1" si="153"/>
        <v>2.1389677043987478</v>
      </c>
      <c r="M263">
        <f t="shared" ca="1" si="126"/>
        <v>11.122632062873489</v>
      </c>
      <c r="N263">
        <f t="shared" ca="1" si="127"/>
        <v>1.1735290000551568</v>
      </c>
      <c r="O263">
        <f t="shared" ca="1" si="128"/>
        <v>4.5807502857230418</v>
      </c>
      <c r="P263">
        <f t="shared" ca="1" si="129"/>
        <v>634.60046770439874</v>
      </c>
      <c r="Q263">
        <f t="shared" ca="1" si="130"/>
        <v>635.66995155659811</v>
      </c>
      <c r="R263">
        <f t="shared" ca="1" si="131"/>
        <v>3.8141460404132466E-3</v>
      </c>
      <c r="S263">
        <f t="shared" ca="1" si="132"/>
        <v>1.0000000000000004</v>
      </c>
      <c r="T263">
        <f t="shared" ca="1" si="133"/>
        <v>35.686426155594638</v>
      </c>
      <c r="U263">
        <f t="shared" ca="1" si="154"/>
        <v>-3.3194934596849635E-3</v>
      </c>
      <c r="V263">
        <f t="shared" ca="1" si="155"/>
        <v>1</v>
      </c>
      <c r="W263">
        <f t="shared" ca="1" si="134"/>
        <v>2.1381886436890443</v>
      </c>
      <c r="X263">
        <f t="shared" ca="1" si="135"/>
        <v>11.11858094718303</v>
      </c>
      <c r="Y263">
        <f t="shared" ca="1" si="136"/>
        <v>1.1732944573652897</v>
      </c>
      <c r="Z263">
        <f t="shared" ca="1" si="137"/>
        <v>4.5824193071066803</v>
      </c>
      <c r="AA263">
        <f t="shared" ca="1" si="138"/>
        <v>634.59968864368909</v>
      </c>
      <c r="AB263">
        <f t="shared" ca="1" si="139"/>
        <v>635.66995198243239</v>
      </c>
      <c r="AC263">
        <f t="shared" ca="1" si="140"/>
        <v>3.8179433334236904E-3</v>
      </c>
      <c r="AD263">
        <f t="shared" ca="1" si="141"/>
        <v>1.0005465829720761</v>
      </c>
      <c r="AE263">
        <f t="shared" ca="1" si="142"/>
        <v>35.686430890842168</v>
      </c>
      <c r="AF263">
        <f t="shared" ca="1" si="143"/>
        <v>3.4211517240692046E-3</v>
      </c>
      <c r="AG263">
        <f t="shared" ca="1" si="144"/>
        <v>0</v>
      </c>
      <c r="AH263">
        <f ca="1">IFERROR(IF(V32="Supercritical",MAX($D$16,IFERROR(L263,MAX($D$16,POWER((ABS(K263)^2)/($I$5*MAX(F263,0.1)^2),1/3)))),IF(V32="Subcritical",MAX($D$16,IFERROR(W263,MAX($D$16,POWER((ABS(K263)^2)/($I$5*MAX(F263,0.1)^2),1/3)))),IF(AND(IFERROR(V263,0)=1,IFERROR(AG263,0)=1),IF(IFERROR(T263,-1E+99)&gt;=IFERROR(AE263,-1E+99),MAX($D$16,IFERROR(L263,MAX($D$16,POWER((ABS(K263)^2)/($I$5*MAX(F263,0.1)^2),1/3)))),MAX($D$16,IFERROR(W263,MAX($D$16,POWER((ABS(K263)^2)/($I$5*MAX(F263,0.1)^2),1/3))))),IF(IFERROR(V263,0)=1,MAX($D$16,IFERROR(L263,MAX($D$16,POWER((ABS(K263)^2)/($I$5*MAX(F263,0.1)^2),1/3)))),IF(IFERROR(AG263,0)=1,MAX($D$16,IFERROR(W263,MAX($D$16,POWER((ABS(K263)^2)/($I$5*MAX(F263,0.1)^2),1/3)))),MAX($D$16,POWER((ABS(K263)^2)/($I$5*MAX(F263,0.1)^2),1/3))))))),MAX($D$16,POWER((ABS(K263)^2)/($I$5*MAX(F263,0.1)^2),1/3)))</f>
        <v>2.1389677043987478</v>
      </c>
      <c r="AI263">
        <f t="shared" ca="1" si="145"/>
        <v>634.60046770439874</v>
      </c>
      <c r="AJ263">
        <f t="shared" ca="1" si="146"/>
        <v>635.66995155659811</v>
      </c>
      <c r="AM263">
        <v>0</v>
      </c>
      <c r="AN263">
        <v>0</v>
      </c>
      <c r="AO263">
        <f t="shared" si="147"/>
        <v>0</v>
      </c>
      <c r="AP263">
        <f t="shared" si="156"/>
        <v>0</v>
      </c>
      <c r="AQ263">
        <f t="shared" ca="1" si="148"/>
        <v>1.0000000000000004</v>
      </c>
      <c r="AR263" t="str">
        <f t="shared" ca="1" si="149"/>
        <v>Supercritical</v>
      </c>
      <c r="AS263">
        <f t="shared" ca="1" si="150"/>
        <v>3.8141460404132466E-3</v>
      </c>
    </row>
    <row r="264" spans="1:45" x14ac:dyDescent="0.35">
      <c r="A264">
        <v>203</v>
      </c>
      <c r="B264">
        <v>201.99600000000001</v>
      </c>
      <c r="C264">
        <v>616382.77800000005</v>
      </c>
      <c r="D264">
        <v>3097691.1490000002</v>
      </c>
      <c r="E264">
        <v>632.46100000000001</v>
      </c>
      <c r="F264">
        <v>5.2</v>
      </c>
      <c r="G264">
        <v>0</v>
      </c>
      <c r="H264" t="s">
        <v>154</v>
      </c>
      <c r="I264">
        <v>0.06</v>
      </c>
      <c r="J264">
        <f t="shared" si="151"/>
        <v>0.99899999999999523</v>
      </c>
      <c r="K264">
        <f t="shared" ca="1" si="152"/>
        <v>50.95</v>
      </c>
      <c r="L264">
        <f t="shared" ca="1" si="153"/>
        <v>2.1389677043987478</v>
      </c>
      <c r="M264">
        <f t="shared" ca="1" si="126"/>
        <v>11.122632062873489</v>
      </c>
      <c r="N264">
        <f t="shared" ca="1" si="127"/>
        <v>1.1735290000551568</v>
      </c>
      <c r="O264">
        <f t="shared" ca="1" si="128"/>
        <v>4.5807502857230418</v>
      </c>
      <c r="P264">
        <f t="shared" ca="1" si="129"/>
        <v>634.59996770439875</v>
      </c>
      <c r="Q264">
        <f t="shared" ca="1" si="130"/>
        <v>635.66945155659812</v>
      </c>
      <c r="R264">
        <f t="shared" ca="1" si="131"/>
        <v>3.8141460404132466E-3</v>
      </c>
      <c r="S264">
        <f t="shared" ca="1" si="132"/>
        <v>1.0000000000000004</v>
      </c>
      <c r="T264">
        <f t="shared" ca="1" si="133"/>
        <v>35.686426155594638</v>
      </c>
      <c r="U264">
        <f t="shared" ca="1" si="154"/>
        <v>-3.4172802795637836E-3</v>
      </c>
      <c r="V264">
        <f t="shared" ca="1" si="155"/>
        <v>1</v>
      </c>
      <c r="W264">
        <f t="shared" ca="1" si="134"/>
        <v>2.1373203735079915</v>
      </c>
      <c r="X264">
        <f t="shared" ca="1" si="135"/>
        <v>11.114065942241556</v>
      </c>
      <c r="Y264">
        <f t="shared" ca="1" si="136"/>
        <v>1.1730329665261352</v>
      </c>
      <c r="Z264">
        <f t="shared" ca="1" si="137"/>
        <v>4.5842808801730106</v>
      </c>
      <c r="AA264">
        <f t="shared" ca="1" si="138"/>
        <v>634.59832037350805</v>
      </c>
      <c r="AB264">
        <f t="shared" ca="1" si="139"/>
        <v>635.66945346159775</v>
      </c>
      <c r="AC264">
        <f t="shared" ca="1" si="140"/>
        <v>3.8221817362197445E-3</v>
      </c>
      <c r="AD264">
        <f t="shared" ca="1" si="141"/>
        <v>1.0011563415729299</v>
      </c>
      <c r="AE264">
        <f t="shared" ca="1" si="142"/>
        <v>35.686447333323514</v>
      </c>
      <c r="AF264">
        <f t="shared" ca="1" si="143"/>
        <v>3.4277615613973467E-3</v>
      </c>
      <c r="AG264">
        <f t="shared" ca="1" si="144"/>
        <v>0</v>
      </c>
      <c r="AH264">
        <f ca="1">IFERROR(IF(V32="Supercritical",MAX($D$16,IFERROR(L264,MAX($D$16,POWER((ABS(K264)^2)/($I$5*MAX(F264,0.1)^2),1/3)))),IF(V32="Subcritical",MAX($D$16,IFERROR(W264,MAX($D$16,POWER((ABS(K264)^2)/($I$5*MAX(F264,0.1)^2),1/3)))),IF(AND(IFERROR(V264,0)=1,IFERROR(AG264,0)=1),IF(IFERROR(T264,-1E+99)&gt;=IFERROR(AE264,-1E+99),MAX($D$16,IFERROR(L264,MAX($D$16,POWER((ABS(K264)^2)/($I$5*MAX(F264,0.1)^2),1/3)))),MAX($D$16,IFERROR(W264,MAX($D$16,POWER((ABS(K264)^2)/($I$5*MAX(F264,0.1)^2),1/3))))),IF(IFERROR(V264,0)=1,MAX($D$16,IFERROR(L264,MAX($D$16,POWER((ABS(K264)^2)/($I$5*MAX(F264,0.1)^2),1/3)))),IF(IFERROR(AG264,0)=1,MAX($D$16,IFERROR(W264,MAX($D$16,POWER((ABS(K264)^2)/($I$5*MAX(F264,0.1)^2),1/3)))),MAX($D$16,POWER((ABS(K264)^2)/($I$5*MAX(F264,0.1)^2),1/3))))))),MAX($D$16,POWER((ABS(K264)^2)/($I$5*MAX(F264,0.1)^2),1/3)))</f>
        <v>2.1389677043987478</v>
      </c>
      <c r="AI264">
        <f t="shared" ca="1" si="145"/>
        <v>634.59996770439875</v>
      </c>
      <c r="AJ264">
        <f t="shared" ca="1" si="146"/>
        <v>635.66945155659812</v>
      </c>
      <c r="AM264">
        <v>0</v>
      </c>
      <c r="AN264">
        <v>0</v>
      </c>
      <c r="AO264">
        <f t="shared" si="147"/>
        <v>0</v>
      </c>
      <c r="AP264">
        <f t="shared" si="156"/>
        <v>0</v>
      </c>
      <c r="AQ264">
        <f t="shared" ca="1" si="148"/>
        <v>1.0000000000000004</v>
      </c>
      <c r="AR264" t="str">
        <f t="shared" ca="1" si="149"/>
        <v>Supercritical</v>
      </c>
      <c r="AS264">
        <f t="shared" ca="1" si="150"/>
        <v>3.8141460404132466E-3</v>
      </c>
    </row>
    <row r="265" spans="1:45" x14ac:dyDescent="0.35">
      <c r="A265">
        <v>204</v>
      </c>
      <c r="B265">
        <v>202.99700000000001</v>
      </c>
      <c r="C265">
        <v>616381.77899999998</v>
      </c>
      <c r="D265">
        <v>3097691.102</v>
      </c>
      <c r="E265">
        <v>632.46050000000002</v>
      </c>
      <c r="F265">
        <v>5.2</v>
      </c>
      <c r="G265">
        <v>0</v>
      </c>
      <c r="H265" t="s">
        <v>154</v>
      </c>
      <c r="I265">
        <v>5.7000000000000002E-2</v>
      </c>
      <c r="J265">
        <f t="shared" si="151"/>
        <v>1.0010000000000048</v>
      </c>
      <c r="K265">
        <f t="shared" ca="1" si="152"/>
        <v>50.95</v>
      </c>
      <c r="L265">
        <f t="shared" ca="1" si="153"/>
        <v>2.1389677043987478</v>
      </c>
      <c r="M265">
        <f t="shared" ca="1" si="126"/>
        <v>11.122632062873489</v>
      </c>
      <c r="N265">
        <f t="shared" ca="1" si="127"/>
        <v>1.1735290000551568</v>
      </c>
      <c r="O265">
        <f t="shared" ca="1" si="128"/>
        <v>4.5807502857230418</v>
      </c>
      <c r="P265">
        <f t="shared" ca="1" si="129"/>
        <v>634.59946770439876</v>
      </c>
      <c r="Q265">
        <f t="shared" ca="1" si="130"/>
        <v>635.66895155659813</v>
      </c>
      <c r="R265">
        <f t="shared" ca="1" si="131"/>
        <v>3.8141460404132466E-3</v>
      </c>
      <c r="S265">
        <f t="shared" ca="1" si="132"/>
        <v>1.0000000000000004</v>
      </c>
      <c r="T265">
        <f t="shared" ca="1" si="133"/>
        <v>35.686426155594638</v>
      </c>
      <c r="U265">
        <f t="shared" ca="1" si="154"/>
        <v>-3.4195611524410197E-3</v>
      </c>
      <c r="V265">
        <f t="shared" ca="1" si="155"/>
        <v>1</v>
      </c>
      <c r="W265">
        <f t="shared" ca="1" si="134"/>
        <v>2.1381886436890443</v>
      </c>
      <c r="X265">
        <f t="shared" ca="1" si="135"/>
        <v>11.11858094718303</v>
      </c>
      <c r="Y265">
        <f t="shared" ca="1" si="136"/>
        <v>1.1732944573652897</v>
      </c>
      <c r="Z265">
        <f t="shared" ca="1" si="137"/>
        <v>4.5824193071066803</v>
      </c>
      <c r="AA265">
        <f t="shared" ca="1" si="138"/>
        <v>634.59868864368912</v>
      </c>
      <c r="AB265">
        <f t="shared" ca="1" si="139"/>
        <v>635.66895198243242</v>
      </c>
      <c r="AC265">
        <f t="shared" ca="1" si="140"/>
        <v>3.8179433334236904E-3</v>
      </c>
      <c r="AD265">
        <f t="shared" ca="1" si="141"/>
        <v>1.0005465829720761</v>
      </c>
      <c r="AE265">
        <f t="shared" ca="1" si="142"/>
        <v>35.686430890842168</v>
      </c>
      <c r="AF265">
        <f t="shared" ca="1" si="143"/>
        <v>3.3179433333998531E-3</v>
      </c>
      <c r="AG265">
        <f t="shared" ca="1" si="144"/>
        <v>0</v>
      </c>
      <c r="AH265">
        <f ca="1">IFERROR(IF(V32="Supercritical",MAX($D$16,IFERROR(L265,MAX($D$16,POWER((ABS(K265)^2)/($I$5*MAX(F265,0.1)^2),1/3)))),IF(V32="Subcritical",MAX($D$16,IFERROR(W265,MAX($D$16,POWER((ABS(K265)^2)/($I$5*MAX(F265,0.1)^2),1/3)))),IF(AND(IFERROR(V265,0)=1,IFERROR(AG265,0)=1),IF(IFERROR(T265,-1E+99)&gt;=IFERROR(AE265,-1E+99),MAX($D$16,IFERROR(L265,MAX($D$16,POWER((ABS(K265)^2)/($I$5*MAX(F265,0.1)^2),1/3)))),MAX($D$16,IFERROR(W265,MAX($D$16,POWER((ABS(K265)^2)/($I$5*MAX(F265,0.1)^2),1/3))))),IF(IFERROR(V265,0)=1,MAX($D$16,IFERROR(L265,MAX($D$16,POWER((ABS(K265)^2)/($I$5*MAX(F265,0.1)^2),1/3)))),IF(IFERROR(AG265,0)=1,MAX($D$16,IFERROR(W265,MAX($D$16,POWER((ABS(K265)^2)/($I$5*MAX(F265,0.1)^2),1/3)))),MAX($D$16,POWER((ABS(K265)^2)/($I$5*MAX(F265,0.1)^2),1/3))))))),MAX($D$16,POWER((ABS(K265)^2)/($I$5*MAX(F265,0.1)^2),1/3)))</f>
        <v>2.1389677043987478</v>
      </c>
      <c r="AI265">
        <f t="shared" ca="1" si="145"/>
        <v>634.59946770439876</v>
      </c>
      <c r="AJ265">
        <f t="shared" ca="1" si="146"/>
        <v>635.66895155659813</v>
      </c>
      <c r="AM265">
        <v>0</v>
      </c>
      <c r="AN265">
        <v>0</v>
      </c>
      <c r="AO265">
        <f t="shared" si="147"/>
        <v>0</v>
      </c>
      <c r="AP265">
        <f t="shared" si="156"/>
        <v>0</v>
      </c>
      <c r="AQ265">
        <f t="shared" ca="1" si="148"/>
        <v>1.0000000000000004</v>
      </c>
      <c r="AR265" t="str">
        <f t="shared" ca="1" si="149"/>
        <v>Supercritical</v>
      </c>
      <c r="AS265">
        <f t="shared" ca="1" si="150"/>
        <v>3.8141460404132466E-3</v>
      </c>
    </row>
    <row r="266" spans="1:45" x14ac:dyDescent="0.35">
      <c r="A266">
        <v>205</v>
      </c>
      <c r="B266">
        <v>203.99700000000001</v>
      </c>
      <c r="C266">
        <v>616380.78</v>
      </c>
      <c r="D266">
        <v>3097691.054</v>
      </c>
      <c r="E266">
        <v>632.46</v>
      </c>
      <c r="F266">
        <v>5.2</v>
      </c>
      <c r="G266">
        <v>0</v>
      </c>
      <c r="H266" t="s">
        <v>154</v>
      </c>
      <c r="I266">
        <v>0</v>
      </c>
      <c r="J266">
        <f t="shared" si="151"/>
        <v>1</v>
      </c>
      <c r="K266">
        <f t="shared" ca="1" si="152"/>
        <v>50.95</v>
      </c>
      <c r="L266">
        <f t="shared" ca="1" si="153"/>
        <v>2.1389677043987478</v>
      </c>
      <c r="M266">
        <f t="shared" ca="1" si="126"/>
        <v>11.122632062873489</v>
      </c>
      <c r="N266">
        <f t="shared" ca="1" si="127"/>
        <v>1.1735290000551568</v>
      </c>
      <c r="O266">
        <f t="shared" ca="1" si="128"/>
        <v>4.5807502857230418</v>
      </c>
      <c r="P266">
        <f t="shared" ca="1" si="129"/>
        <v>634.59896770439877</v>
      </c>
      <c r="Q266">
        <f t="shared" ca="1" si="130"/>
        <v>635.66845155659814</v>
      </c>
      <c r="R266">
        <f t="shared" ca="1" si="131"/>
        <v>3.8141460404132466E-3</v>
      </c>
      <c r="S266">
        <f t="shared" ca="1" si="132"/>
        <v>1.0000000000000004</v>
      </c>
      <c r="T266">
        <f t="shared" ca="1" si="133"/>
        <v>35.686426155594638</v>
      </c>
      <c r="U266">
        <f t="shared" ca="1" si="154"/>
        <v>-3.3141460404522149E-3</v>
      </c>
      <c r="V266">
        <f t="shared" ca="1" si="155"/>
        <v>1</v>
      </c>
      <c r="W266">
        <f t="shared" ca="1" si="134"/>
        <v>2.1373203735079915</v>
      </c>
      <c r="X266">
        <f t="shared" ca="1" si="135"/>
        <v>11.114065942241556</v>
      </c>
      <c r="Y266">
        <f t="shared" ca="1" si="136"/>
        <v>1.1730329665261352</v>
      </c>
      <c r="Z266">
        <f t="shared" ca="1" si="137"/>
        <v>4.5842808801730106</v>
      </c>
      <c r="AA266">
        <f t="shared" ca="1" si="138"/>
        <v>634.59732037350807</v>
      </c>
      <c r="AB266">
        <f t="shared" ca="1" si="139"/>
        <v>635.66845346159778</v>
      </c>
      <c r="AC266">
        <f t="shared" ca="1" si="140"/>
        <v>3.8221817362197445E-3</v>
      </c>
      <c r="AD266">
        <f t="shared" ca="1" si="141"/>
        <v>1.0011563415729299</v>
      </c>
      <c r="AE266">
        <f t="shared" ca="1" si="142"/>
        <v>35.686447333323514</v>
      </c>
      <c r="AF266">
        <f t="shared" ca="1" si="143"/>
        <v>3.4239393796724471E-3</v>
      </c>
      <c r="AG266">
        <f t="shared" ca="1" si="144"/>
        <v>0</v>
      </c>
      <c r="AH266">
        <f ca="1">IFERROR(IF(V32="Supercritical",MAX($D$16,IFERROR(L266,MAX($D$16,POWER((ABS(K266)^2)/($I$5*MAX(F266,0.1)^2),1/3)))),IF(V32="Subcritical",MAX($D$16,IFERROR(W266,MAX($D$16,POWER((ABS(K266)^2)/($I$5*MAX(F266,0.1)^2),1/3)))),IF(AND(IFERROR(V266,0)=1,IFERROR(AG266,0)=1),IF(IFERROR(T266,-1E+99)&gt;=IFERROR(AE266,-1E+99),MAX($D$16,IFERROR(L266,MAX($D$16,POWER((ABS(K266)^2)/($I$5*MAX(F266,0.1)^2),1/3)))),MAX($D$16,IFERROR(W266,MAX($D$16,POWER((ABS(K266)^2)/($I$5*MAX(F266,0.1)^2),1/3))))),IF(IFERROR(V266,0)=1,MAX($D$16,IFERROR(L266,MAX($D$16,POWER((ABS(K266)^2)/($I$5*MAX(F266,0.1)^2),1/3)))),IF(IFERROR(AG266,0)=1,MAX($D$16,IFERROR(W266,MAX($D$16,POWER((ABS(K266)^2)/($I$5*MAX(F266,0.1)^2),1/3)))),MAX($D$16,POWER((ABS(K266)^2)/($I$5*MAX(F266,0.1)^2),1/3))))))),MAX($D$16,POWER((ABS(K266)^2)/($I$5*MAX(F266,0.1)^2),1/3)))</f>
        <v>2.1389677043987478</v>
      </c>
      <c r="AI266">
        <f t="shared" ca="1" si="145"/>
        <v>634.59896770439877</v>
      </c>
      <c r="AJ266">
        <f t="shared" ca="1" si="146"/>
        <v>635.66845155659814</v>
      </c>
      <c r="AM266">
        <v>0</v>
      </c>
      <c r="AN266">
        <v>0</v>
      </c>
      <c r="AO266">
        <f t="shared" si="147"/>
        <v>0</v>
      </c>
      <c r="AP266">
        <f t="shared" si="156"/>
        <v>0</v>
      </c>
      <c r="AQ266">
        <f t="shared" ca="1" si="148"/>
        <v>1.0000000000000004</v>
      </c>
      <c r="AR266" t="str">
        <f t="shared" ca="1" si="149"/>
        <v>Supercritical</v>
      </c>
      <c r="AS266">
        <f t="shared" ca="1" si="150"/>
        <v>3.8141460404132466E-3</v>
      </c>
    </row>
    <row r="267" spans="1:45" x14ac:dyDescent="0.35">
      <c r="A267">
        <v>206</v>
      </c>
      <c r="B267">
        <v>204.99700000000001</v>
      </c>
      <c r="C267">
        <v>616379.78099999996</v>
      </c>
      <c r="D267">
        <v>3097691.0060000001</v>
      </c>
      <c r="E267">
        <v>632.45950000000005</v>
      </c>
      <c r="F267">
        <v>5.2</v>
      </c>
      <c r="G267">
        <v>0</v>
      </c>
      <c r="H267" t="s">
        <v>154</v>
      </c>
      <c r="I267">
        <v>5.7000000000000002E-2</v>
      </c>
      <c r="J267">
        <f t="shared" si="151"/>
        <v>1</v>
      </c>
      <c r="K267">
        <f t="shared" ca="1" si="152"/>
        <v>50.95</v>
      </c>
      <c r="L267">
        <f t="shared" ca="1" si="153"/>
        <v>2.1389677043987478</v>
      </c>
      <c r="M267">
        <f t="shared" ca="1" si="126"/>
        <v>11.122632062873489</v>
      </c>
      <c r="N267">
        <f t="shared" ca="1" si="127"/>
        <v>1.1735290000551568</v>
      </c>
      <c r="O267">
        <f t="shared" ca="1" si="128"/>
        <v>4.5807502857230418</v>
      </c>
      <c r="P267">
        <f t="shared" ca="1" si="129"/>
        <v>634.59846770439879</v>
      </c>
      <c r="Q267">
        <f t="shared" ca="1" si="130"/>
        <v>635.66795155659815</v>
      </c>
      <c r="R267">
        <f t="shared" ca="1" si="131"/>
        <v>3.8141460404132466E-3</v>
      </c>
      <c r="S267">
        <f t="shared" ca="1" si="132"/>
        <v>1.0000000000000004</v>
      </c>
      <c r="T267">
        <f t="shared" ca="1" si="133"/>
        <v>35.686426155594638</v>
      </c>
      <c r="U267">
        <f t="shared" ca="1" si="154"/>
        <v>-3.4157470064428708E-3</v>
      </c>
      <c r="V267">
        <f t="shared" ca="1" si="155"/>
        <v>1</v>
      </c>
      <c r="W267">
        <f t="shared" ca="1" si="134"/>
        <v>2.1381886436890443</v>
      </c>
      <c r="X267">
        <f t="shared" ca="1" si="135"/>
        <v>11.11858094718303</v>
      </c>
      <c r="Y267">
        <f t="shared" ca="1" si="136"/>
        <v>1.1732944573652897</v>
      </c>
      <c r="Z267">
        <f t="shared" ca="1" si="137"/>
        <v>4.5824193071066803</v>
      </c>
      <c r="AA267">
        <f t="shared" ca="1" si="138"/>
        <v>634.59768864368914</v>
      </c>
      <c r="AB267">
        <f t="shared" ca="1" si="139"/>
        <v>635.66795198243244</v>
      </c>
      <c r="AC267">
        <f t="shared" ca="1" si="140"/>
        <v>3.8179433334236904E-3</v>
      </c>
      <c r="AD267">
        <f t="shared" ca="1" si="141"/>
        <v>1.0005465829720761</v>
      </c>
      <c r="AE267">
        <f t="shared" ca="1" si="142"/>
        <v>35.686430890842168</v>
      </c>
      <c r="AF267">
        <f t="shared" ca="1" si="143"/>
        <v>3.4196183504491273E-3</v>
      </c>
      <c r="AG267">
        <f t="shared" ca="1" si="144"/>
        <v>0</v>
      </c>
      <c r="AH267">
        <f ca="1">IFERROR(IF(V32="Supercritical",MAX($D$16,IFERROR(L267,MAX($D$16,POWER((ABS(K267)^2)/($I$5*MAX(F267,0.1)^2),1/3)))),IF(V32="Subcritical",MAX($D$16,IFERROR(W267,MAX($D$16,POWER((ABS(K267)^2)/($I$5*MAX(F267,0.1)^2),1/3)))),IF(AND(IFERROR(V267,0)=1,IFERROR(AG267,0)=1),IF(IFERROR(T267,-1E+99)&gt;=IFERROR(AE267,-1E+99),MAX($D$16,IFERROR(L267,MAX($D$16,POWER((ABS(K267)^2)/($I$5*MAX(F267,0.1)^2),1/3)))),MAX($D$16,IFERROR(W267,MAX($D$16,POWER((ABS(K267)^2)/($I$5*MAX(F267,0.1)^2),1/3))))),IF(IFERROR(V267,0)=1,MAX($D$16,IFERROR(L267,MAX($D$16,POWER((ABS(K267)^2)/($I$5*MAX(F267,0.1)^2),1/3)))),IF(IFERROR(AG267,0)=1,MAX($D$16,IFERROR(W267,MAX($D$16,POWER((ABS(K267)^2)/($I$5*MAX(F267,0.1)^2),1/3)))),MAX($D$16,POWER((ABS(K267)^2)/($I$5*MAX(F267,0.1)^2),1/3))))))),MAX($D$16,POWER((ABS(K267)^2)/($I$5*MAX(F267,0.1)^2),1/3)))</f>
        <v>2.1389677043987478</v>
      </c>
      <c r="AI267">
        <f t="shared" ca="1" si="145"/>
        <v>634.59846770439879</v>
      </c>
      <c r="AJ267">
        <f t="shared" ca="1" si="146"/>
        <v>635.66795155659815</v>
      </c>
      <c r="AM267">
        <v>0</v>
      </c>
      <c r="AN267">
        <v>0</v>
      </c>
      <c r="AO267">
        <f t="shared" si="147"/>
        <v>0</v>
      </c>
      <c r="AP267">
        <f t="shared" si="156"/>
        <v>0</v>
      </c>
      <c r="AQ267">
        <f t="shared" ca="1" si="148"/>
        <v>1.0000000000000004</v>
      </c>
      <c r="AR267" t="str">
        <f t="shared" ca="1" si="149"/>
        <v>Supercritical</v>
      </c>
      <c r="AS267">
        <f t="shared" ca="1" si="150"/>
        <v>3.8141460404132466E-3</v>
      </c>
    </row>
    <row r="268" spans="1:45" x14ac:dyDescent="0.35">
      <c r="A268">
        <v>207</v>
      </c>
      <c r="B268">
        <v>205.99700000000001</v>
      </c>
      <c r="C268">
        <v>616378.78200000001</v>
      </c>
      <c r="D268">
        <v>3097690.9589999998</v>
      </c>
      <c r="E268">
        <v>632.45899999999995</v>
      </c>
      <c r="F268">
        <v>5.2</v>
      </c>
      <c r="G268">
        <v>0</v>
      </c>
      <c r="H268" t="s">
        <v>154</v>
      </c>
      <c r="I268">
        <v>5.7000000000000002E-2</v>
      </c>
      <c r="J268">
        <f t="shared" si="151"/>
        <v>1</v>
      </c>
      <c r="K268">
        <f t="shared" ca="1" si="152"/>
        <v>50.95</v>
      </c>
      <c r="L268">
        <f t="shared" ca="1" si="153"/>
        <v>2.1389677043987478</v>
      </c>
      <c r="M268">
        <f t="shared" ca="1" si="126"/>
        <v>11.122632062873489</v>
      </c>
      <c r="N268">
        <f t="shared" ca="1" si="127"/>
        <v>1.1735290000551568</v>
      </c>
      <c r="O268">
        <f t="shared" ca="1" si="128"/>
        <v>4.5807502857230418</v>
      </c>
      <c r="P268">
        <f t="shared" ca="1" si="129"/>
        <v>634.59796770439868</v>
      </c>
      <c r="Q268">
        <f t="shared" ca="1" si="130"/>
        <v>635.66745155659805</v>
      </c>
      <c r="R268">
        <f t="shared" ca="1" si="131"/>
        <v>3.8141460404132466E-3</v>
      </c>
      <c r="S268">
        <f t="shared" ca="1" si="132"/>
        <v>1.0000000000000004</v>
      </c>
      <c r="T268">
        <f t="shared" ca="1" si="133"/>
        <v>35.686426155594638</v>
      </c>
      <c r="U268">
        <f t="shared" ca="1" si="154"/>
        <v>-3.4157470063291839E-3</v>
      </c>
      <c r="V268">
        <f t="shared" ca="1" si="155"/>
        <v>1</v>
      </c>
      <c r="W268">
        <f t="shared" ca="1" si="134"/>
        <v>2.1373203735079915</v>
      </c>
      <c r="X268">
        <f t="shared" ca="1" si="135"/>
        <v>11.114065942241556</v>
      </c>
      <c r="Y268">
        <f t="shared" ca="1" si="136"/>
        <v>1.1730329665261352</v>
      </c>
      <c r="Z268">
        <f t="shared" ca="1" si="137"/>
        <v>4.5842808801730106</v>
      </c>
      <c r="AA268">
        <f t="shared" ca="1" si="138"/>
        <v>634.59632037350798</v>
      </c>
      <c r="AB268">
        <f t="shared" ca="1" si="139"/>
        <v>635.66745346159769</v>
      </c>
      <c r="AC268">
        <f t="shared" ca="1" si="140"/>
        <v>3.8221817362197445E-3</v>
      </c>
      <c r="AD268">
        <f t="shared" ca="1" si="141"/>
        <v>1.0011563415729299</v>
      </c>
      <c r="AE268">
        <f t="shared" ca="1" si="142"/>
        <v>35.686447333323514</v>
      </c>
      <c r="AF268">
        <f t="shared" ca="1" si="143"/>
        <v>3.4239393796724471E-3</v>
      </c>
      <c r="AG268">
        <f t="shared" ca="1" si="144"/>
        <v>0</v>
      </c>
      <c r="AH268">
        <f ca="1">IFERROR(IF(V32="Supercritical",MAX($D$16,IFERROR(L268,MAX($D$16,POWER((ABS(K268)^2)/($I$5*MAX(F268,0.1)^2),1/3)))),IF(V32="Subcritical",MAX($D$16,IFERROR(W268,MAX($D$16,POWER((ABS(K268)^2)/($I$5*MAX(F268,0.1)^2),1/3)))),IF(AND(IFERROR(V268,0)=1,IFERROR(AG268,0)=1),IF(IFERROR(T268,-1E+99)&gt;=IFERROR(AE268,-1E+99),MAX($D$16,IFERROR(L268,MAX($D$16,POWER((ABS(K268)^2)/($I$5*MAX(F268,0.1)^2),1/3)))),MAX($D$16,IFERROR(W268,MAX($D$16,POWER((ABS(K268)^2)/($I$5*MAX(F268,0.1)^2),1/3))))),IF(IFERROR(V268,0)=1,MAX($D$16,IFERROR(L268,MAX($D$16,POWER((ABS(K268)^2)/($I$5*MAX(F268,0.1)^2),1/3)))),IF(IFERROR(AG268,0)=1,MAX($D$16,IFERROR(W268,MAX($D$16,POWER((ABS(K268)^2)/($I$5*MAX(F268,0.1)^2),1/3)))),MAX($D$16,POWER((ABS(K268)^2)/($I$5*MAX(F268,0.1)^2),1/3))))))),MAX($D$16,POWER((ABS(K268)^2)/($I$5*MAX(F268,0.1)^2),1/3)))</f>
        <v>2.1389677043987478</v>
      </c>
      <c r="AI268">
        <f t="shared" ca="1" si="145"/>
        <v>634.59796770439868</v>
      </c>
      <c r="AJ268">
        <f t="shared" ca="1" si="146"/>
        <v>635.66745155659805</v>
      </c>
      <c r="AM268">
        <v>0</v>
      </c>
      <c r="AN268">
        <v>0</v>
      </c>
      <c r="AO268">
        <f t="shared" si="147"/>
        <v>0</v>
      </c>
      <c r="AP268">
        <f t="shared" si="156"/>
        <v>0</v>
      </c>
      <c r="AQ268">
        <f t="shared" ca="1" si="148"/>
        <v>1.0000000000000004</v>
      </c>
      <c r="AR268" t="str">
        <f t="shared" ca="1" si="149"/>
        <v>Supercritical</v>
      </c>
      <c r="AS268">
        <f t="shared" ca="1" si="150"/>
        <v>3.8141460404132466E-3</v>
      </c>
    </row>
    <row r="269" spans="1:45" x14ac:dyDescent="0.35">
      <c r="A269">
        <v>208</v>
      </c>
      <c r="B269">
        <v>206.99700000000001</v>
      </c>
      <c r="C269">
        <v>616377.78300000005</v>
      </c>
      <c r="D269">
        <v>3097690.9109999998</v>
      </c>
      <c r="E269">
        <v>632.45849999999996</v>
      </c>
      <c r="F269">
        <v>5.2</v>
      </c>
      <c r="G269">
        <v>0</v>
      </c>
      <c r="H269" t="s">
        <v>154</v>
      </c>
      <c r="I269">
        <v>5.7000000000000002E-2</v>
      </c>
      <c r="J269">
        <f t="shared" si="151"/>
        <v>1</v>
      </c>
      <c r="K269">
        <f t="shared" ca="1" si="152"/>
        <v>50.95</v>
      </c>
      <c r="L269">
        <f t="shared" ca="1" si="153"/>
        <v>2.1389677043987478</v>
      </c>
      <c r="M269">
        <f t="shared" ca="1" si="126"/>
        <v>11.122632062873489</v>
      </c>
      <c r="N269">
        <f t="shared" ca="1" si="127"/>
        <v>1.1735290000551568</v>
      </c>
      <c r="O269">
        <f t="shared" ca="1" si="128"/>
        <v>4.5807502857230418</v>
      </c>
      <c r="P269">
        <f t="shared" ca="1" si="129"/>
        <v>634.5974677043987</v>
      </c>
      <c r="Q269">
        <f t="shared" ca="1" si="130"/>
        <v>635.66695155659806</v>
      </c>
      <c r="R269">
        <f t="shared" ca="1" si="131"/>
        <v>3.8141460404132466E-3</v>
      </c>
      <c r="S269">
        <f t="shared" ca="1" si="132"/>
        <v>1.0000000000000004</v>
      </c>
      <c r="T269">
        <f t="shared" ca="1" si="133"/>
        <v>35.686426155594638</v>
      </c>
      <c r="U269">
        <f t="shared" ca="1" si="154"/>
        <v>-3.4157470064428708E-3</v>
      </c>
      <c r="V269">
        <f t="shared" ca="1" si="155"/>
        <v>1</v>
      </c>
      <c r="W269">
        <f t="shared" ca="1" si="134"/>
        <v>2.1381886436890443</v>
      </c>
      <c r="X269">
        <f t="shared" ca="1" si="135"/>
        <v>11.11858094718303</v>
      </c>
      <c r="Y269">
        <f t="shared" ca="1" si="136"/>
        <v>1.1732944573652897</v>
      </c>
      <c r="Z269">
        <f t="shared" ca="1" si="137"/>
        <v>4.5824193071066803</v>
      </c>
      <c r="AA269">
        <f t="shared" ca="1" si="138"/>
        <v>634.59668864368905</v>
      </c>
      <c r="AB269">
        <f t="shared" ca="1" si="139"/>
        <v>635.66695198243235</v>
      </c>
      <c r="AC269">
        <f t="shared" ca="1" si="140"/>
        <v>3.8179433334236904E-3</v>
      </c>
      <c r="AD269">
        <f t="shared" ca="1" si="141"/>
        <v>1.0005465829720761</v>
      </c>
      <c r="AE269">
        <f t="shared" ca="1" si="142"/>
        <v>35.686430890842168</v>
      </c>
      <c r="AF269">
        <f t="shared" ca="1" si="143"/>
        <v>3.4249696673214203E-3</v>
      </c>
      <c r="AG269">
        <f t="shared" ca="1" si="144"/>
        <v>0</v>
      </c>
      <c r="AH269">
        <f ca="1">IFERROR(IF(V32="Supercritical",MAX($D$16,IFERROR(L269,MAX($D$16,POWER((ABS(K269)^2)/($I$5*MAX(F269,0.1)^2),1/3)))),IF(V32="Subcritical",MAX($D$16,IFERROR(W269,MAX($D$16,POWER((ABS(K269)^2)/($I$5*MAX(F269,0.1)^2),1/3)))),IF(AND(IFERROR(V269,0)=1,IFERROR(AG269,0)=1),IF(IFERROR(T269,-1E+99)&gt;=IFERROR(AE269,-1E+99),MAX($D$16,IFERROR(L269,MAX($D$16,POWER((ABS(K269)^2)/($I$5*MAX(F269,0.1)^2),1/3)))),MAX($D$16,IFERROR(W269,MAX($D$16,POWER((ABS(K269)^2)/($I$5*MAX(F269,0.1)^2),1/3))))),IF(IFERROR(V269,0)=1,MAX($D$16,IFERROR(L269,MAX($D$16,POWER((ABS(K269)^2)/($I$5*MAX(F269,0.1)^2),1/3)))),IF(IFERROR(AG269,0)=1,MAX($D$16,IFERROR(W269,MAX($D$16,POWER((ABS(K269)^2)/($I$5*MAX(F269,0.1)^2),1/3)))),MAX($D$16,POWER((ABS(K269)^2)/($I$5*MAX(F269,0.1)^2),1/3))))))),MAX($D$16,POWER((ABS(K269)^2)/($I$5*MAX(F269,0.1)^2),1/3)))</f>
        <v>2.1389677043987478</v>
      </c>
      <c r="AI269">
        <f t="shared" ca="1" si="145"/>
        <v>634.5974677043987</v>
      </c>
      <c r="AJ269">
        <f t="shared" ca="1" si="146"/>
        <v>635.66695155659806</v>
      </c>
      <c r="AM269">
        <v>0</v>
      </c>
      <c r="AN269">
        <v>0</v>
      </c>
      <c r="AO269">
        <f t="shared" si="147"/>
        <v>0</v>
      </c>
      <c r="AP269">
        <f t="shared" si="156"/>
        <v>0</v>
      </c>
      <c r="AQ269">
        <f t="shared" ca="1" si="148"/>
        <v>1.0000000000000004</v>
      </c>
      <c r="AR269" t="str">
        <f t="shared" ca="1" si="149"/>
        <v>Supercritical</v>
      </c>
      <c r="AS269">
        <f t="shared" ca="1" si="150"/>
        <v>3.8141460404132466E-3</v>
      </c>
    </row>
    <row r="270" spans="1:45" x14ac:dyDescent="0.35">
      <c r="A270">
        <v>209</v>
      </c>
      <c r="B270">
        <v>207.99700000000001</v>
      </c>
      <c r="C270">
        <v>616376.78399999999</v>
      </c>
      <c r="D270">
        <v>3097690.8640000001</v>
      </c>
      <c r="E270">
        <v>632.45799999999997</v>
      </c>
      <c r="F270">
        <v>5.2</v>
      </c>
      <c r="G270">
        <v>0</v>
      </c>
      <c r="H270" t="s">
        <v>154</v>
      </c>
      <c r="I270">
        <v>0.06</v>
      </c>
      <c r="J270">
        <f t="shared" si="151"/>
        <v>1</v>
      </c>
      <c r="K270">
        <f t="shared" ca="1" si="152"/>
        <v>50.95</v>
      </c>
      <c r="L270">
        <f t="shared" ca="1" si="153"/>
        <v>2.1389677043987478</v>
      </c>
      <c r="M270">
        <f t="shared" ca="1" si="126"/>
        <v>11.122632062873489</v>
      </c>
      <c r="N270">
        <f t="shared" ca="1" si="127"/>
        <v>1.1735290000551568</v>
      </c>
      <c r="O270">
        <f t="shared" ca="1" si="128"/>
        <v>4.5807502857230418</v>
      </c>
      <c r="P270">
        <f t="shared" ca="1" si="129"/>
        <v>634.59696770439871</v>
      </c>
      <c r="Q270">
        <f t="shared" ca="1" si="130"/>
        <v>635.66645155659808</v>
      </c>
      <c r="R270">
        <f t="shared" ca="1" si="131"/>
        <v>3.8141460404132466E-3</v>
      </c>
      <c r="S270">
        <f t="shared" ca="1" si="132"/>
        <v>1.0000000000000004</v>
      </c>
      <c r="T270">
        <f t="shared" ca="1" si="133"/>
        <v>35.686426155594638</v>
      </c>
      <c r="U270">
        <f t="shared" ca="1" si="154"/>
        <v>-3.4210944256756193E-3</v>
      </c>
      <c r="V270">
        <f t="shared" ca="1" si="155"/>
        <v>1</v>
      </c>
      <c r="W270">
        <f t="shared" ca="1" si="134"/>
        <v>2.1373203735079915</v>
      </c>
      <c r="X270">
        <f t="shared" ca="1" si="135"/>
        <v>11.114065942241556</v>
      </c>
      <c r="Y270">
        <f t="shared" ca="1" si="136"/>
        <v>1.1730329665261352</v>
      </c>
      <c r="Z270">
        <f t="shared" ca="1" si="137"/>
        <v>4.5842808801730106</v>
      </c>
      <c r="AA270">
        <f t="shared" ca="1" si="138"/>
        <v>634.595320373508</v>
      </c>
      <c r="AB270">
        <f t="shared" ca="1" si="139"/>
        <v>635.66645346159771</v>
      </c>
      <c r="AC270">
        <f t="shared" ca="1" si="140"/>
        <v>3.8221817362197445E-3</v>
      </c>
      <c r="AD270">
        <f t="shared" ca="1" si="141"/>
        <v>1.0011563415729299</v>
      </c>
      <c r="AE270">
        <f t="shared" ca="1" si="142"/>
        <v>35.686447333323514</v>
      </c>
      <c r="AF270">
        <f t="shared" ca="1" si="143"/>
        <v>3.3237152198353215E-3</v>
      </c>
      <c r="AG270">
        <f t="shared" ca="1" si="144"/>
        <v>0</v>
      </c>
      <c r="AH270">
        <f ca="1">IFERROR(IF(V32="Supercritical",MAX($D$16,IFERROR(L270,MAX($D$16,POWER((ABS(K270)^2)/($I$5*MAX(F270,0.1)^2),1/3)))),IF(V32="Subcritical",MAX($D$16,IFERROR(W270,MAX($D$16,POWER((ABS(K270)^2)/($I$5*MAX(F270,0.1)^2),1/3)))),IF(AND(IFERROR(V270,0)=1,IFERROR(AG270,0)=1),IF(IFERROR(T270,-1E+99)&gt;=IFERROR(AE270,-1E+99),MAX($D$16,IFERROR(L270,MAX($D$16,POWER((ABS(K270)^2)/($I$5*MAX(F270,0.1)^2),1/3)))),MAX($D$16,IFERROR(W270,MAX($D$16,POWER((ABS(K270)^2)/($I$5*MAX(F270,0.1)^2),1/3))))),IF(IFERROR(V270,0)=1,MAX($D$16,IFERROR(L270,MAX($D$16,POWER((ABS(K270)^2)/($I$5*MAX(F270,0.1)^2),1/3)))),IF(IFERROR(AG270,0)=1,MAX($D$16,IFERROR(W270,MAX($D$16,POWER((ABS(K270)^2)/($I$5*MAX(F270,0.1)^2),1/3)))),MAX($D$16,POWER((ABS(K270)^2)/($I$5*MAX(F270,0.1)^2),1/3))))))),MAX($D$16,POWER((ABS(K270)^2)/($I$5*MAX(F270,0.1)^2),1/3)))</f>
        <v>2.1389677043987478</v>
      </c>
      <c r="AI270">
        <f t="shared" ca="1" si="145"/>
        <v>634.59696770439871</v>
      </c>
      <c r="AJ270">
        <f t="shared" ca="1" si="146"/>
        <v>635.66645155659808</v>
      </c>
      <c r="AM270">
        <v>0</v>
      </c>
      <c r="AN270">
        <v>0</v>
      </c>
      <c r="AO270">
        <f t="shared" si="147"/>
        <v>0</v>
      </c>
      <c r="AP270">
        <f t="shared" si="156"/>
        <v>0</v>
      </c>
      <c r="AQ270">
        <f t="shared" ca="1" si="148"/>
        <v>1.0000000000000004</v>
      </c>
      <c r="AR270" t="str">
        <f t="shared" ca="1" si="149"/>
        <v>Supercritical</v>
      </c>
      <c r="AS270">
        <f t="shared" ca="1" si="150"/>
        <v>3.8141460404132466E-3</v>
      </c>
    </row>
    <row r="271" spans="1:45" x14ac:dyDescent="0.35">
      <c r="A271">
        <v>210</v>
      </c>
      <c r="B271">
        <v>208.99600000000001</v>
      </c>
      <c r="C271">
        <v>616375.78599999996</v>
      </c>
      <c r="D271">
        <v>3097690.8160000001</v>
      </c>
      <c r="E271">
        <v>632.45749999999998</v>
      </c>
      <c r="F271">
        <v>5.2</v>
      </c>
      <c r="G271">
        <v>0</v>
      </c>
      <c r="H271" t="s">
        <v>154</v>
      </c>
      <c r="I271">
        <v>3.0000000000000001E-3</v>
      </c>
      <c r="J271">
        <f t="shared" si="151"/>
        <v>0.99899999999999523</v>
      </c>
      <c r="K271">
        <f t="shared" ca="1" si="152"/>
        <v>50.95</v>
      </c>
      <c r="L271">
        <f t="shared" ca="1" si="153"/>
        <v>2.1389677043987478</v>
      </c>
      <c r="M271">
        <f t="shared" ca="1" si="126"/>
        <v>11.122632062873489</v>
      </c>
      <c r="N271">
        <f t="shared" ca="1" si="127"/>
        <v>1.1735290000551568</v>
      </c>
      <c r="O271">
        <f t="shared" ca="1" si="128"/>
        <v>4.5807502857230418</v>
      </c>
      <c r="P271">
        <f t="shared" ca="1" si="129"/>
        <v>634.59646770439872</v>
      </c>
      <c r="Q271">
        <f t="shared" ca="1" si="130"/>
        <v>635.66595155659809</v>
      </c>
      <c r="R271">
        <f t="shared" ca="1" si="131"/>
        <v>3.8141460404132466E-3</v>
      </c>
      <c r="S271">
        <f t="shared" ca="1" si="132"/>
        <v>1.0000000000000004</v>
      </c>
      <c r="T271">
        <f t="shared" ca="1" si="133"/>
        <v>35.686426155594638</v>
      </c>
      <c r="U271">
        <f t="shared" ca="1" si="154"/>
        <v>-3.3156793135731277E-3</v>
      </c>
      <c r="V271">
        <f t="shared" ca="1" si="155"/>
        <v>1</v>
      </c>
      <c r="W271">
        <f t="shared" ca="1" si="134"/>
        <v>2.1381886436890443</v>
      </c>
      <c r="X271">
        <f t="shared" ca="1" si="135"/>
        <v>11.11858094718303</v>
      </c>
      <c r="Y271">
        <f t="shared" ca="1" si="136"/>
        <v>1.1732944573652897</v>
      </c>
      <c r="Z271">
        <f t="shared" ca="1" si="137"/>
        <v>4.5824193071066803</v>
      </c>
      <c r="AA271">
        <f t="shared" ca="1" si="138"/>
        <v>634.59568864368907</v>
      </c>
      <c r="AB271">
        <f t="shared" ca="1" si="139"/>
        <v>635.66595198243238</v>
      </c>
      <c r="AC271">
        <f t="shared" ca="1" si="140"/>
        <v>3.8179433334236904E-3</v>
      </c>
      <c r="AD271">
        <f t="shared" ca="1" si="141"/>
        <v>1.0005465829720761</v>
      </c>
      <c r="AE271">
        <f t="shared" ca="1" si="142"/>
        <v>35.686430890842168</v>
      </c>
      <c r="AF271">
        <f t="shared" ca="1" si="143"/>
        <v>3.4234362939287166E-3</v>
      </c>
      <c r="AG271">
        <f t="shared" ca="1" si="144"/>
        <v>0</v>
      </c>
      <c r="AH271">
        <f ca="1">IFERROR(IF(V32="Supercritical",MAX($D$16,IFERROR(L271,MAX($D$16,POWER((ABS(K271)^2)/($I$5*MAX(F271,0.1)^2),1/3)))),IF(V32="Subcritical",MAX($D$16,IFERROR(W271,MAX($D$16,POWER((ABS(K271)^2)/($I$5*MAX(F271,0.1)^2),1/3)))),IF(AND(IFERROR(V271,0)=1,IFERROR(AG271,0)=1),IF(IFERROR(T271,-1E+99)&gt;=IFERROR(AE271,-1E+99),MAX($D$16,IFERROR(L271,MAX($D$16,POWER((ABS(K271)^2)/($I$5*MAX(F271,0.1)^2),1/3)))),MAX($D$16,IFERROR(W271,MAX($D$16,POWER((ABS(K271)^2)/($I$5*MAX(F271,0.1)^2),1/3))))),IF(IFERROR(V271,0)=1,MAX($D$16,IFERROR(L271,MAX($D$16,POWER((ABS(K271)^2)/($I$5*MAX(F271,0.1)^2),1/3)))),IF(IFERROR(AG271,0)=1,MAX($D$16,IFERROR(W271,MAX($D$16,POWER((ABS(K271)^2)/($I$5*MAX(F271,0.1)^2),1/3)))),MAX($D$16,POWER((ABS(K271)^2)/($I$5*MAX(F271,0.1)^2),1/3))))))),MAX($D$16,POWER((ABS(K271)^2)/($I$5*MAX(F271,0.1)^2),1/3)))</f>
        <v>2.1389677043987478</v>
      </c>
      <c r="AI271">
        <f t="shared" ca="1" si="145"/>
        <v>634.59646770439872</v>
      </c>
      <c r="AJ271">
        <f t="shared" ca="1" si="146"/>
        <v>635.66595155659809</v>
      </c>
      <c r="AM271">
        <v>0</v>
      </c>
      <c r="AN271">
        <v>0</v>
      </c>
      <c r="AO271">
        <f t="shared" si="147"/>
        <v>0</v>
      </c>
      <c r="AP271">
        <f t="shared" si="156"/>
        <v>0</v>
      </c>
      <c r="AQ271">
        <f t="shared" ca="1" si="148"/>
        <v>1.0000000000000004</v>
      </c>
      <c r="AR271" t="str">
        <f t="shared" ca="1" si="149"/>
        <v>Supercritical</v>
      </c>
      <c r="AS271">
        <f t="shared" ca="1" si="150"/>
        <v>3.8141460404132466E-3</v>
      </c>
    </row>
    <row r="272" spans="1:45" x14ac:dyDescent="0.35">
      <c r="A272">
        <v>211</v>
      </c>
      <c r="B272">
        <v>209.99700000000001</v>
      </c>
      <c r="C272">
        <v>616374.78700000001</v>
      </c>
      <c r="D272">
        <v>3097690.7680000002</v>
      </c>
      <c r="E272">
        <v>632.45699999999999</v>
      </c>
      <c r="F272">
        <v>5.2</v>
      </c>
      <c r="G272">
        <v>0</v>
      </c>
      <c r="H272" t="s">
        <v>154</v>
      </c>
      <c r="I272">
        <v>5.7000000000000002E-2</v>
      </c>
      <c r="J272">
        <f t="shared" si="151"/>
        <v>1.0010000000000048</v>
      </c>
      <c r="K272">
        <f t="shared" ca="1" si="152"/>
        <v>50.95</v>
      </c>
      <c r="L272">
        <f t="shared" ca="1" si="153"/>
        <v>2.1389677043987478</v>
      </c>
      <c r="M272">
        <f t="shared" ca="1" si="126"/>
        <v>11.122632062873489</v>
      </c>
      <c r="N272">
        <f t="shared" ca="1" si="127"/>
        <v>1.1735290000551568</v>
      </c>
      <c r="O272">
        <f t="shared" ca="1" si="128"/>
        <v>4.5807502857230418</v>
      </c>
      <c r="P272">
        <f t="shared" ca="1" si="129"/>
        <v>634.59596770439873</v>
      </c>
      <c r="Q272">
        <f t="shared" ca="1" si="130"/>
        <v>635.6654515565981</v>
      </c>
      <c r="R272">
        <f t="shared" ca="1" si="131"/>
        <v>3.8141460404132466E-3</v>
      </c>
      <c r="S272">
        <f t="shared" ca="1" si="132"/>
        <v>1.0000000000000004</v>
      </c>
      <c r="T272">
        <f t="shared" ca="1" si="133"/>
        <v>35.686426155594638</v>
      </c>
      <c r="U272">
        <f t="shared" ca="1" si="154"/>
        <v>-3.4195611524410197E-3</v>
      </c>
      <c r="V272">
        <f t="shared" ca="1" si="155"/>
        <v>1</v>
      </c>
      <c r="W272">
        <f t="shared" ca="1" si="134"/>
        <v>2.1373203735079915</v>
      </c>
      <c r="X272">
        <f t="shared" ca="1" si="135"/>
        <v>11.114065942241556</v>
      </c>
      <c r="Y272">
        <f t="shared" ca="1" si="136"/>
        <v>1.1730329665261352</v>
      </c>
      <c r="Z272">
        <f t="shared" ca="1" si="137"/>
        <v>4.5842808801730106</v>
      </c>
      <c r="AA272">
        <f t="shared" ca="1" si="138"/>
        <v>634.59432037350803</v>
      </c>
      <c r="AB272">
        <f t="shared" ca="1" si="139"/>
        <v>635.66545346159774</v>
      </c>
      <c r="AC272">
        <f t="shared" ca="1" si="140"/>
        <v>3.8221817362197445E-3</v>
      </c>
      <c r="AD272">
        <f t="shared" ca="1" si="141"/>
        <v>1.0011563415729299</v>
      </c>
      <c r="AE272">
        <f t="shared" ca="1" si="142"/>
        <v>35.686447333323514</v>
      </c>
      <c r="AF272">
        <f t="shared" ca="1" si="143"/>
        <v>3.4239393796724471E-3</v>
      </c>
      <c r="AG272">
        <f t="shared" ca="1" si="144"/>
        <v>0</v>
      </c>
      <c r="AH272">
        <f ca="1">IFERROR(IF(V32="Supercritical",MAX($D$16,IFERROR(L272,MAX($D$16,POWER((ABS(K272)^2)/($I$5*MAX(F272,0.1)^2),1/3)))),IF(V32="Subcritical",MAX($D$16,IFERROR(W272,MAX($D$16,POWER((ABS(K272)^2)/($I$5*MAX(F272,0.1)^2),1/3)))),IF(AND(IFERROR(V272,0)=1,IFERROR(AG272,0)=1),IF(IFERROR(T272,-1E+99)&gt;=IFERROR(AE272,-1E+99),MAX($D$16,IFERROR(L272,MAX($D$16,POWER((ABS(K272)^2)/($I$5*MAX(F272,0.1)^2),1/3)))),MAX($D$16,IFERROR(W272,MAX($D$16,POWER((ABS(K272)^2)/($I$5*MAX(F272,0.1)^2),1/3))))),IF(IFERROR(V272,0)=1,MAX($D$16,IFERROR(L272,MAX($D$16,POWER((ABS(K272)^2)/($I$5*MAX(F272,0.1)^2),1/3)))),IF(IFERROR(AG272,0)=1,MAX($D$16,IFERROR(W272,MAX($D$16,POWER((ABS(K272)^2)/($I$5*MAX(F272,0.1)^2),1/3)))),MAX($D$16,POWER((ABS(K272)^2)/($I$5*MAX(F272,0.1)^2),1/3))))))),MAX($D$16,POWER((ABS(K272)^2)/($I$5*MAX(F272,0.1)^2),1/3)))</f>
        <v>2.1389677043987478</v>
      </c>
      <c r="AI272">
        <f t="shared" ca="1" si="145"/>
        <v>634.59596770439873</v>
      </c>
      <c r="AJ272">
        <f t="shared" ca="1" si="146"/>
        <v>635.6654515565981</v>
      </c>
      <c r="AM272">
        <v>0</v>
      </c>
      <c r="AN272">
        <v>0</v>
      </c>
      <c r="AO272">
        <f t="shared" si="147"/>
        <v>0</v>
      </c>
      <c r="AP272">
        <f t="shared" si="156"/>
        <v>0</v>
      </c>
      <c r="AQ272">
        <f t="shared" ca="1" si="148"/>
        <v>1.0000000000000004</v>
      </c>
      <c r="AR272" t="str">
        <f t="shared" ca="1" si="149"/>
        <v>Supercritical</v>
      </c>
      <c r="AS272">
        <f t="shared" ca="1" si="150"/>
        <v>3.8141460404132466E-3</v>
      </c>
    </row>
    <row r="273" spans="1:45" x14ac:dyDescent="0.35">
      <c r="A273">
        <v>212</v>
      </c>
      <c r="B273">
        <v>210.99700000000001</v>
      </c>
      <c r="C273">
        <v>616373.78799999994</v>
      </c>
      <c r="D273">
        <v>3097690.7209999999</v>
      </c>
      <c r="E273">
        <v>632.45650000000001</v>
      </c>
      <c r="F273">
        <v>5.2</v>
      </c>
      <c r="G273">
        <v>0</v>
      </c>
      <c r="H273" t="s">
        <v>154</v>
      </c>
      <c r="I273">
        <v>5.7000000000000002E-2</v>
      </c>
      <c r="J273">
        <f t="shared" si="151"/>
        <v>1</v>
      </c>
      <c r="K273">
        <f t="shared" ca="1" si="152"/>
        <v>50.95</v>
      </c>
      <c r="L273">
        <f t="shared" ca="1" si="153"/>
        <v>2.1389677043987478</v>
      </c>
      <c r="M273">
        <f t="shared" ca="1" si="126"/>
        <v>11.122632062873489</v>
      </c>
      <c r="N273">
        <f t="shared" ca="1" si="127"/>
        <v>1.1735290000551568</v>
      </c>
      <c r="O273">
        <f t="shared" ca="1" si="128"/>
        <v>4.5807502857230418</v>
      </c>
      <c r="P273">
        <f t="shared" ca="1" si="129"/>
        <v>634.59546770439874</v>
      </c>
      <c r="Q273">
        <f t="shared" ca="1" si="130"/>
        <v>635.66495155659811</v>
      </c>
      <c r="R273">
        <f t="shared" ca="1" si="131"/>
        <v>3.8141460404132466E-3</v>
      </c>
      <c r="S273">
        <f t="shared" ca="1" si="132"/>
        <v>1.0000000000000004</v>
      </c>
      <c r="T273">
        <f t="shared" ca="1" si="133"/>
        <v>35.686426155594638</v>
      </c>
      <c r="U273">
        <f t="shared" ca="1" si="154"/>
        <v>-3.4157470064428708E-3</v>
      </c>
      <c r="V273">
        <f t="shared" ca="1" si="155"/>
        <v>1</v>
      </c>
      <c r="W273">
        <f t="shared" ca="1" si="134"/>
        <v>2.1381886436890443</v>
      </c>
      <c r="X273">
        <f t="shared" ca="1" si="135"/>
        <v>11.11858094718303</v>
      </c>
      <c r="Y273">
        <f t="shared" ca="1" si="136"/>
        <v>1.1732944573652897</v>
      </c>
      <c r="Z273">
        <f t="shared" ca="1" si="137"/>
        <v>4.5824193071066803</v>
      </c>
      <c r="AA273">
        <f t="shared" ca="1" si="138"/>
        <v>634.5946886436891</v>
      </c>
      <c r="AB273">
        <f t="shared" ca="1" si="139"/>
        <v>635.6649519824324</v>
      </c>
      <c r="AC273">
        <f t="shared" ca="1" si="140"/>
        <v>3.8179433334236904E-3</v>
      </c>
      <c r="AD273">
        <f t="shared" ca="1" si="141"/>
        <v>1.0005465829720761</v>
      </c>
      <c r="AE273">
        <f t="shared" ca="1" si="142"/>
        <v>35.686430890842168</v>
      </c>
      <c r="AF273">
        <f t="shared" ca="1" si="143"/>
        <v>3.4196183505628142E-3</v>
      </c>
      <c r="AG273">
        <f t="shared" ca="1" si="144"/>
        <v>0</v>
      </c>
      <c r="AH273">
        <f ca="1">IFERROR(IF(V32="Supercritical",MAX($D$16,IFERROR(L273,MAX($D$16,POWER((ABS(K273)^2)/($I$5*MAX(F273,0.1)^2),1/3)))),IF(V32="Subcritical",MAX($D$16,IFERROR(W273,MAX($D$16,POWER((ABS(K273)^2)/($I$5*MAX(F273,0.1)^2),1/3)))),IF(AND(IFERROR(V273,0)=1,IFERROR(AG273,0)=1),IF(IFERROR(T273,-1E+99)&gt;=IFERROR(AE273,-1E+99),MAX($D$16,IFERROR(L273,MAX($D$16,POWER((ABS(K273)^2)/($I$5*MAX(F273,0.1)^2),1/3)))),MAX($D$16,IFERROR(W273,MAX($D$16,POWER((ABS(K273)^2)/($I$5*MAX(F273,0.1)^2),1/3))))),IF(IFERROR(V273,0)=1,MAX($D$16,IFERROR(L273,MAX($D$16,POWER((ABS(K273)^2)/($I$5*MAX(F273,0.1)^2),1/3)))),IF(IFERROR(AG273,0)=1,MAX($D$16,IFERROR(W273,MAX($D$16,POWER((ABS(K273)^2)/($I$5*MAX(F273,0.1)^2),1/3)))),MAX($D$16,POWER((ABS(K273)^2)/($I$5*MAX(F273,0.1)^2),1/3))))))),MAX($D$16,POWER((ABS(K273)^2)/($I$5*MAX(F273,0.1)^2),1/3)))</f>
        <v>2.1389677043987478</v>
      </c>
      <c r="AI273">
        <f t="shared" ca="1" si="145"/>
        <v>634.59546770439874</v>
      </c>
      <c r="AJ273">
        <f t="shared" ca="1" si="146"/>
        <v>635.66495155659811</v>
      </c>
      <c r="AM273">
        <v>0</v>
      </c>
      <c r="AN273">
        <v>0</v>
      </c>
      <c r="AO273">
        <f t="shared" si="147"/>
        <v>0</v>
      </c>
      <c r="AP273">
        <f t="shared" si="156"/>
        <v>0</v>
      </c>
      <c r="AQ273">
        <f t="shared" ca="1" si="148"/>
        <v>1.0000000000000004</v>
      </c>
      <c r="AR273" t="str">
        <f t="shared" ca="1" si="149"/>
        <v>Supercritical</v>
      </c>
      <c r="AS273">
        <f t="shared" ca="1" si="150"/>
        <v>3.8141460404132466E-3</v>
      </c>
    </row>
    <row r="274" spans="1:45" x14ac:dyDescent="0.35">
      <c r="A274">
        <v>213</v>
      </c>
      <c r="B274">
        <v>211.99700000000001</v>
      </c>
      <c r="C274">
        <v>616372.78899999999</v>
      </c>
      <c r="D274">
        <v>3097690.673</v>
      </c>
      <c r="E274">
        <v>632.45600000000002</v>
      </c>
      <c r="F274">
        <v>5.2</v>
      </c>
      <c r="G274">
        <v>0</v>
      </c>
      <c r="H274" t="s">
        <v>154</v>
      </c>
      <c r="I274">
        <v>5.7000000000000002E-2</v>
      </c>
      <c r="J274">
        <f t="shared" si="151"/>
        <v>1</v>
      </c>
      <c r="K274">
        <f t="shared" ca="1" si="152"/>
        <v>50.95</v>
      </c>
      <c r="L274">
        <f t="shared" ca="1" si="153"/>
        <v>2.1389677043987478</v>
      </c>
      <c r="M274">
        <f t="shared" ca="1" si="126"/>
        <v>11.122632062873489</v>
      </c>
      <c r="N274">
        <f t="shared" ca="1" si="127"/>
        <v>1.1735290000551568</v>
      </c>
      <c r="O274">
        <f t="shared" ca="1" si="128"/>
        <v>4.5807502857230418</v>
      </c>
      <c r="P274">
        <f t="shared" ca="1" si="129"/>
        <v>634.59496770439875</v>
      </c>
      <c r="Q274">
        <f t="shared" ca="1" si="130"/>
        <v>635.66445155659812</v>
      </c>
      <c r="R274">
        <f t="shared" ca="1" si="131"/>
        <v>3.8141460404132466E-3</v>
      </c>
      <c r="S274">
        <f t="shared" ca="1" si="132"/>
        <v>1.0000000000000004</v>
      </c>
      <c r="T274">
        <f t="shared" ca="1" si="133"/>
        <v>35.686426155594638</v>
      </c>
      <c r="U274">
        <f t="shared" ca="1" si="154"/>
        <v>-3.4157470064428708E-3</v>
      </c>
      <c r="V274">
        <f t="shared" ca="1" si="155"/>
        <v>1</v>
      </c>
      <c r="W274">
        <f t="shared" ca="1" si="134"/>
        <v>2.1373203735079915</v>
      </c>
      <c r="X274">
        <f t="shared" ca="1" si="135"/>
        <v>11.114065942241556</v>
      </c>
      <c r="Y274">
        <f t="shared" ca="1" si="136"/>
        <v>1.1730329665261352</v>
      </c>
      <c r="Z274">
        <f t="shared" ca="1" si="137"/>
        <v>4.5842808801730106</v>
      </c>
      <c r="AA274">
        <f t="shared" ca="1" si="138"/>
        <v>634.59332037350805</v>
      </c>
      <c r="AB274">
        <f t="shared" ca="1" si="139"/>
        <v>635.66445346159776</v>
      </c>
      <c r="AC274">
        <f t="shared" ca="1" si="140"/>
        <v>3.8221817362197445E-3</v>
      </c>
      <c r="AD274">
        <f t="shared" ca="1" si="141"/>
        <v>1.0011563415729299</v>
      </c>
      <c r="AE274">
        <f t="shared" ca="1" si="142"/>
        <v>35.686447333323514</v>
      </c>
      <c r="AF274">
        <f t="shared" ca="1" si="143"/>
        <v>3.4239393796724471E-3</v>
      </c>
      <c r="AG274">
        <f t="shared" ca="1" si="144"/>
        <v>0</v>
      </c>
      <c r="AH274">
        <f ca="1">IFERROR(IF(V32="Supercritical",MAX($D$16,IFERROR(L274,MAX($D$16,POWER((ABS(K274)^2)/($I$5*MAX(F274,0.1)^2),1/3)))),IF(V32="Subcritical",MAX($D$16,IFERROR(W274,MAX($D$16,POWER((ABS(K274)^2)/($I$5*MAX(F274,0.1)^2),1/3)))),IF(AND(IFERROR(V274,0)=1,IFERROR(AG274,0)=1),IF(IFERROR(T274,-1E+99)&gt;=IFERROR(AE274,-1E+99),MAX($D$16,IFERROR(L274,MAX($D$16,POWER((ABS(K274)^2)/($I$5*MAX(F274,0.1)^2),1/3)))),MAX($D$16,IFERROR(W274,MAX($D$16,POWER((ABS(K274)^2)/($I$5*MAX(F274,0.1)^2),1/3))))),IF(IFERROR(V274,0)=1,MAX($D$16,IFERROR(L274,MAX($D$16,POWER((ABS(K274)^2)/($I$5*MAX(F274,0.1)^2),1/3)))),IF(IFERROR(AG274,0)=1,MAX($D$16,IFERROR(W274,MAX($D$16,POWER((ABS(K274)^2)/($I$5*MAX(F274,0.1)^2),1/3)))),MAX($D$16,POWER((ABS(K274)^2)/($I$5*MAX(F274,0.1)^2),1/3))))))),MAX($D$16,POWER((ABS(K274)^2)/($I$5*MAX(F274,0.1)^2),1/3)))</f>
        <v>2.1389677043987478</v>
      </c>
      <c r="AI274">
        <f t="shared" ca="1" si="145"/>
        <v>634.59496770439875</v>
      </c>
      <c r="AJ274">
        <f t="shared" ca="1" si="146"/>
        <v>635.66445155659812</v>
      </c>
      <c r="AM274">
        <v>0</v>
      </c>
      <c r="AN274">
        <v>0</v>
      </c>
      <c r="AO274">
        <f t="shared" si="147"/>
        <v>0</v>
      </c>
      <c r="AP274">
        <f t="shared" si="156"/>
        <v>0</v>
      </c>
      <c r="AQ274">
        <f t="shared" ca="1" si="148"/>
        <v>1.0000000000000004</v>
      </c>
      <c r="AR274" t="str">
        <f t="shared" ca="1" si="149"/>
        <v>Supercritical</v>
      </c>
      <c r="AS274">
        <f t="shared" ca="1" si="150"/>
        <v>3.8141460404132466E-3</v>
      </c>
    </row>
    <row r="275" spans="1:45" x14ac:dyDescent="0.35">
      <c r="A275">
        <v>214</v>
      </c>
      <c r="B275">
        <v>212.99700000000001</v>
      </c>
      <c r="C275">
        <v>616371.79</v>
      </c>
      <c r="D275">
        <v>3097690.6260000002</v>
      </c>
      <c r="E275">
        <v>632.45550000000003</v>
      </c>
      <c r="F275">
        <v>5.2</v>
      </c>
      <c r="G275">
        <v>0</v>
      </c>
      <c r="H275" t="s">
        <v>154</v>
      </c>
      <c r="I275">
        <v>5.7000000000000002E-2</v>
      </c>
      <c r="J275">
        <f t="shared" si="151"/>
        <v>1</v>
      </c>
      <c r="K275">
        <f t="shared" ca="1" si="152"/>
        <v>50.95</v>
      </c>
      <c r="L275">
        <f t="shared" ca="1" si="153"/>
        <v>2.1389677043987478</v>
      </c>
      <c r="M275">
        <f t="shared" ca="1" si="126"/>
        <v>11.122632062873489</v>
      </c>
      <c r="N275">
        <f t="shared" ca="1" si="127"/>
        <v>1.1735290000551568</v>
      </c>
      <c r="O275">
        <f t="shared" ca="1" si="128"/>
        <v>4.5807502857230418</v>
      </c>
      <c r="P275">
        <f t="shared" ca="1" si="129"/>
        <v>634.59446770439877</v>
      </c>
      <c r="Q275">
        <f t="shared" ca="1" si="130"/>
        <v>635.66395155659814</v>
      </c>
      <c r="R275">
        <f t="shared" ca="1" si="131"/>
        <v>3.8141460404132466E-3</v>
      </c>
      <c r="S275">
        <f t="shared" ca="1" si="132"/>
        <v>1.0000000000000004</v>
      </c>
      <c r="T275">
        <f t="shared" ca="1" si="133"/>
        <v>35.686426155594638</v>
      </c>
      <c r="U275">
        <f t="shared" ca="1" si="154"/>
        <v>-3.4157470064428708E-3</v>
      </c>
      <c r="V275">
        <f t="shared" ca="1" si="155"/>
        <v>1</v>
      </c>
      <c r="W275">
        <f t="shared" ca="1" si="134"/>
        <v>2.1381886436890443</v>
      </c>
      <c r="X275">
        <f t="shared" ca="1" si="135"/>
        <v>11.11858094718303</v>
      </c>
      <c r="Y275">
        <f t="shared" ca="1" si="136"/>
        <v>1.1732944573652897</v>
      </c>
      <c r="Z275">
        <f t="shared" ca="1" si="137"/>
        <v>4.5824193071066803</v>
      </c>
      <c r="AA275">
        <f t="shared" ca="1" si="138"/>
        <v>634.59368864368912</v>
      </c>
      <c r="AB275">
        <f t="shared" ca="1" si="139"/>
        <v>635.66395198243242</v>
      </c>
      <c r="AC275">
        <f t="shared" ca="1" si="140"/>
        <v>3.8179433334236904E-3</v>
      </c>
      <c r="AD275">
        <f t="shared" ca="1" si="141"/>
        <v>1.0005465829720761</v>
      </c>
      <c r="AE275">
        <f t="shared" ca="1" si="142"/>
        <v>35.686430890842168</v>
      </c>
      <c r="AF275">
        <f t="shared" ca="1" si="143"/>
        <v>3.3179433333998531E-3</v>
      </c>
      <c r="AG275">
        <f t="shared" ca="1" si="144"/>
        <v>0</v>
      </c>
      <c r="AH275">
        <f ca="1">IFERROR(IF(V32="Supercritical",MAX($D$16,IFERROR(L275,MAX($D$16,POWER((ABS(K275)^2)/($I$5*MAX(F275,0.1)^2),1/3)))),IF(V32="Subcritical",MAX($D$16,IFERROR(W275,MAX($D$16,POWER((ABS(K275)^2)/($I$5*MAX(F275,0.1)^2),1/3)))),IF(AND(IFERROR(V275,0)=1,IFERROR(AG275,0)=1),IF(IFERROR(T275,-1E+99)&gt;=IFERROR(AE275,-1E+99),MAX($D$16,IFERROR(L275,MAX($D$16,POWER((ABS(K275)^2)/($I$5*MAX(F275,0.1)^2),1/3)))),MAX($D$16,IFERROR(W275,MAX($D$16,POWER((ABS(K275)^2)/($I$5*MAX(F275,0.1)^2),1/3))))),IF(IFERROR(V275,0)=1,MAX($D$16,IFERROR(L275,MAX($D$16,POWER((ABS(K275)^2)/($I$5*MAX(F275,0.1)^2),1/3)))),IF(IFERROR(AG275,0)=1,MAX($D$16,IFERROR(W275,MAX($D$16,POWER((ABS(K275)^2)/($I$5*MAX(F275,0.1)^2),1/3)))),MAX($D$16,POWER((ABS(K275)^2)/($I$5*MAX(F275,0.1)^2),1/3))))))),MAX($D$16,POWER((ABS(K275)^2)/($I$5*MAX(F275,0.1)^2),1/3)))</f>
        <v>2.1389677043987478</v>
      </c>
      <c r="AI275">
        <f t="shared" ca="1" si="145"/>
        <v>634.59446770439877</v>
      </c>
      <c r="AJ275">
        <f t="shared" ca="1" si="146"/>
        <v>635.66395155659814</v>
      </c>
      <c r="AM275">
        <v>0</v>
      </c>
      <c r="AN275">
        <v>0</v>
      </c>
      <c r="AO275">
        <f t="shared" si="147"/>
        <v>0</v>
      </c>
      <c r="AP275">
        <f t="shared" si="156"/>
        <v>0</v>
      </c>
      <c r="AQ275">
        <f t="shared" ca="1" si="148"/>
        <v>1.0000000000000004</v>
      </c>
      <c r="AR275" t="str">
        <f t="shared" ca="1" si="149"/>
        <v>Supercritical</v>
      </c>
      <c r="AS275">
        <f t="shared" ca="1" si="150"/>
        <v>3.8141460404132466E-3</v>
      </c>
    </row>
    <row r="276" spans="1:45" x14ac:dyDescent="0.35">
      <c r="A276">
        <v>215</v>
      </c>
      <c r="B276">
        <v>213.99700000000001</v>
      </c>
      <c r="C276">
        <v>616370.79099999997</v>
      </c>
      <c r="D276">
        <v>3097690.5780000002</v>
      </c>
      <c r="E276">
        <v>632.45500000000004</v>
      </c>
      <c r="F276">
        <v>5.2</v>
      </c>
      <c r="G276">
        <v>0</v>
      </c>
      <c r="H276" t="s">
        <v>154</v>
      </c>
      <c r="I276">
        <v>0</v>
      </c>
      <c r="J276">
        <f t="shared" si="151"/>
        <v>1</v>
      </c>
      <c r="K276">
        <f t="shared" ca="1" si="152"/>
        <v>50.95</v>
      </c>
      <c r="L276">
        <f t="shared" ca="1" si="153"/>
        <v>2.1389677043987478</v>
      </c>
      <c r="M276">
        <f t="shared" ca="1" si="126"/>
        <v>11.122632062873489</v>
      </c>
      <c r="N276">
        <f t="shared" ca="1" si="127"/>
        <v>1.1735290000551568</v>
      </c>
      <c r="O276">
        <f t="shared" ca="1" si="128"/>
        <v>4.5807502857230418</v>
      </c>
      <c r="P276">
        <f t="shared" ca="1" si="129"/>
        <v>634.59396770439878</v>
      </c>
      <c r="Q276">
        <f t="shared" ca="1" si="130"/>
        <v>635.66345155659815</v>
      </c>
      <c r="R276">
        <f t="shared" ca="1" si="131"/>
        <v>3.8141460404132466E-3</v>
      </c>
      <c r="S276">
        <f t="shared" ca="1" si="132"/>
        <v>1.0000000000000004</v>
      </c>
      <c r="T276">
        <f t="shared" ca="1" si="133"/>
        <v>35.686426155594638</v>
      </c>
      <c r="U276">
        <f t="shared" ca="1" si="154"/>
        <v>-3.3141460404522149E-3</v>
      </c>
      <c r="V276">
        <f t="shared" ca="1" si="155"/>
        <v>1</v>
      </c>
      <c r="W276">
        <f t="shared" ca="1" si="134"/>
        <v>2.1373203735079915</v>
      </c>
      <c r="X276">
        <f t="shared" ca="1" si="135"/>
        <v>11.114065942241556</v>
      </c>
      <c r="Y276">
        <f t="shared" ca="1" si="136"/>
        <v>1.1730329665261352</v>
      </c>
      <c r="Z276">
        <f t="shared" ca="1" si="137"/>
        <v>4.5842808801730106</v>
      </c>
      <c r="AA276">
        <f t="shared" ca="1" si="138"/>
        <v>634.59232037350807</v>
      </c>
      <c r="AB276">
        <f t="shared" ca="1" si="139"/>
        <v>635.66345346159778</v>
      </c>
      <c r="AC276">
        <f t="shared" ca="1" si="140"/>
        <v>3.8221817362197445E-3</v>
      </c>
      <c r="AD276">
        <f t="shared" ca="1" si="141"/>
        <v>1.0011563415729299</v>
      </c>
      <c r="AE276">
        <f t="shared" ca="1" si="142"/>
        <v>35.686447333323514</v>
      </c>
      <c r="AF276">
        <f t="shared" ca="1" si="143"/>
        <v>3.4239393796724471E-3</v>
      </c>
      <c r="AG276">
        <f t="shared" ca="1" si="144"/>
        <v>0</v>
      </c>
      <c r="AH276">
        <f ca="1">IFERROR(IF(V32="Supercritical",MAX($D$16,IFERROR(L276,MAX($D$16,POWER((ABS(K276)^2)/($I$5*MAX(F276,0.1)^2),1/3)))),IF(V32="Subcritical",MAX($D$16,IFERROR(W276,MAX($D$16,POWER((ABS(K276)^2)/($I$5*MAX(F276,0.1)^2),1/3)))),IF(AND(IFERROR(V276,0)=1,IFERROR(AG276,0)=1),IF(IFERROR(T276,-1E+99)&gt;=IFERROR(AE276,-1E+99),MAX($D$16,IFERROR(L276,MAX($D$16,POWER((ABS(K276)^2)/($I$5*MAX(F276,0.1)^2),1/3)))),MAX($D$16,IFERROR(W276,MAX($D$16,POWER((ABS(K276)^2)/($I$5*MAX(F276,0.1)^2),1/3))))),IF(IFERROR(V276,0)=1,MAX($D$16,IFERROR(L276,MAX($D$16,POWER((ABS(K276)^2)/($I$5*MAX(F276,0.1)^2),1/3)))),IF(IFERROR(AG276,0)=1,MAX($D$16,IFERROR(W276,MAX($D$16,POWER((ABS(K276)^2)/($I$5*MAX(F276,0.1)^2),1/3)))),MAX($D$16,POWER((ABS(K276)^2)/($I$5*MAX(F276,0.1)^2),1/3))))))),MAX($D$16,POWER((ABS(K276)^2)/($I$5*MAX(F276,0.1)^2),1/3)))</f>
        <v>2.1389677043987478</v>
      </c>
      <c r="AI276">
        <f t="shared" ca="1" si="145"/>
        <v>634.59396770439878</v>
      </c>
      <c r="AJ276">
        <f t="shared" ca="1" si="146"/>
        <v>635.66345155659815</v>
      </c>
      <c r="AM276">
        <v>0</v>
      </c>
      <c r="AN276">
        <v>0</v>
      </c>
      <c r="AO276">
        <f t="shared" si="147"/>
        <v>0</v>
      </c>
      <c r="AP276">
        <f t="shared" si="156"/>
        <v>0</v>
      </c>
      <c r="AQ276">
        <f t="shared" ca="1" si="148"/>
        <v>1.0000000000000004</v>
      </c>
      <c r="AR276" t="str">
        <f t="shared" ca="1" si="149"/>
        <v>Supercritical</v>
      </c>
      <c r="AS276">
        <f t="shared" ca="1" si="150"/>
        <v>3.8141460404132466E-3</v>
      </c>
    </row>
    <row r="277" spans="1:45" x14ac:dyDescent="0.35">
      <c r="A277">
        <v>216</v>
      </c>
      <c r="B277">
        <v>214.99700000000001</v>
      </c>
      <c r="C277">
        <v>616369.79200000002</v>
      </c>
      <c r="D277">
        <v>3097690.53</v>
      </c>
      <c r="E277">
        <v>632.45450000000005</v>
      </c>
      <c r="F277">
        <v>5.2</v>
      </c>
      <c r="G277">
        <v>0</v>
      </c>
      <c r="H277" t="s">
        <v>154</v>
      </c>
      <c r="I277">
        <v>5.7000000000000002E-2</v>
      </c>
      <c r="J277">
        <f t="shared" si="151"/>
        <v>1</v>
      </c>
      <c r="K277">
        <f t="shared" ca="1" si="152"/>
        <v>50.95</v>
      </c>
      <c r="L277">
        <f t="shared" ca="1" si="153"/>
        <v>2.1389677043987478</v>
      </c>
      <c r="M277">
        <f t="shared" ca="1" si="126"/>
        <v>11.122632062873489</v>
      </c>
      <c r="N277">
        <f t="shared" ca="1" si="127"/>
        <v>1.1735290000551568</v>
      </c>
      <c r="O277">
        <f t="shared" ca="1" si="128"/>
        <v>4.5807502857230418</v>
      </c>
      <c r="P277">
        <f t="shared" ca="1" si="129"/>
        <v>634.59346770439879</v>
      </c>
      <c r="Q277">
        <f t="shared" ca="1" si="130"/>
        <v>635.66295155659816</v>
      </c>
      <c r="R277">
        <f t="shared" ca="1" si="131"/>
        <v>3.8141460404132466E-3</v>
      </c>
      <c r="S277">
        <f t="shared" ca="1" si="132"/>
        <v>1.0000000000000004</v>
      </c>
      <c r="T277">
        <f t="shared" ca="1" si="133"/>
        <v>35.686426155594638</v>
      </c>
      <c r="U277">
        <f t="shared" ca="1" si="154"/>
        <v>-3.4157470064428708E-3</v>
      </c>
      <c r="V277">
        <f t="shared" ca="1" si="155"/>
        <v>1</v>
      </c>
      <c r="W277">
        <f t="shared" ca="1" si="134"/>
        <v>2.1381886436890443</v>
      </c>
      <c r="X277">
        <f t="shared" ca="1" si="135"/>
        <v>11.11858094718303</v>
      </c>
      <c r="Y277">
        <f t="shared" ca="1" si="136"/>
        <v>1.1732944573652897</v>
      </c>
      <c r="Z277">
        <f t="shared" ca="1" si="137"/>
        <v>4.5824193071066803</v>
      </c>
      <c r="AA277">
        <f t="shared" ca="1" si="138"/>
        <v>634.59268864368914</v>
      </c>
      <c r="AB277">
        <f t="shared" ca="1" si="139"/>
        <v>635.66295198243245</v>
      </c>
      <c r="AC277">
        <f t="shared" ca="1" si="140"/>
        <v>3.8179433334236904E-3</v>
      </c>
      <c r="AD277">
        <f t="shared" ca="1" si="141"/>
        <v>1.0005465829720761</v>
      </c>
      <c r="AE277">
        <f t="shared" ca="1" si="142"/>
        <v>35.686430890842168</v>
      </c>
      <c r="AF277">
        <f t="shared" ca="1" si="143"/>
        <v>3.4249696672077334E-3</v>
      </c>
      <c r="AG277">
        <f t="shared" ca="1" si="144"/>
        <v>0</v>
      </c>
      <c r="AH277">
        <f ca="1">IFERROR(IF(V32="Supercritical",MAX($D$16,IFERROR(L277,MAX($D$16,POWER((ABS(K277)^2)/($I$5*MAX(F277,0.1)^2),1/3)))),IF(V32="Subcritical",MAX($D$16,IFERROR(W277,MAX($D$16,POWER((ABS(K277)^2)/($I$5*MAX(F277,0.1)^2),1/3)))),IF(AND(IFERROR(V277,0)=1,IFERROR(AG277,0)=1),IF(IFERROR(T277,-1E+99)&gt;=IFERROR(AE277,-1E+99),MAX($D$16,IFERROR(L277,MAX($D$16,POWER((ABS(K277)^2)/($I$5*MAX(F277,0.1)^2),1/3)))),MAX($D$16,IFERROR(W277,MAX($D$16,POWER((ABS(K277)^2)/($I$5*MAX(F277,0.1)^2),1/3))))),IF(IFERROR(V277,0)=1,MAX($D$16,IFERROR(L277,MAX($D$16,POWER((ABS(K277)^2)/($I$5*MAX(F277,0.1)^2),1/3)))),IF(IFERROR(AG277,0)=1,MAX($D$16,IFERROR(W277,MAX($D$16,POWER((ABS(K277)^2)/($I$5*MAX(F277,0.1)^2),1/3)))),MAX($D$16,POWER((ABS(K277)^2)/($I$5*MAX(F277,0.1)^2),1/3))))))),MAX($D$16,POWER((ABS(K277)^2)/($I$5*MAX(F277,0.1)^2),1/3)))</f>
        <v>2.1389677043987478</v>
      </c>
      <c r="AI277">
        <f t="shared" ca="1" si="145"/>
        <v>634.59346770439879</v>
      </c>
      <c r="AJ277">
        <f t="shared" ca="1" si="146"/>
        <v>635.66295155659816</v>
      </c>
      <c r="AM277">
        <v>0</v>
      </c>
      <c r="AN277">
        <v>0</v>
      </c>
      <c r="AO277">
        <f t="shared" si="147"/>
        <v>0</v>
      </c>
      <c r="AP277">
        <f t="shared" si="156"/>
        <v>0</v>
      </c>
      <c r="AQ277">
        <f t="shared" ca="1" si="148"/>
        <v>1.0000000000000004</v>
      </c>
      <c r="AR277" t="str">
        <f t="shared" ca="1" si="149"/>
        <v>Supercritical</v>
      </c>
      <c r="AS277">
        <f t="shared" ca="1" si="150"/>
        <v>3.8141460404132466E-3</v>
      </c>
    </row>
    <row r="278" spans="1:45" x14ac:dyDescent="0.35">
      <c r="A278">
        <v>217</v>
      </c>
      <c r="B278">
        <v>215.99700000000001</v>
      </c>
      <c r="C278">
        <v>616368.79299999995</v>
      </c>
      <c r="D278">
        <v>3097690.483</v>
      </c>
      <c r="E278">
        <v>632.45399999999995</v>
      </c>
      <c r="F278">
        <v>5.2</v>
      </c>
      <c r="G278">
        <v>0</v>
      </c>
      <c r="H278" t="s">
        <v>154</v>
      </c>
      <c r="I278">
        <v>0.06</v>
      </c>
      <c r="J278">
        <f t="shared" si="151"/>
        <v>1</v>
      </c>
      <c r="K278">
        <f t="shared" ca="1" si="152"/>
        <v>50.95</v>
      </c>
      <c r="L278">
        <f t="shared" ca="1" si="153"/>
        <v>2.1389677043987478</v>
      </c>
      <c r="M278">
        <f t="shared" ca="1" si="126"/>
        <v>11.122632062873489</v>
      </c>
      <c r="N278">
        <f t="shared" ca="1" si="127"/>
        <v>1.1735290000551568</v>
      </c>
      <c r="O278">
        <f t="shared" ca="1" si="128"/>
        <v>4.5807502857230418</v>
      </c>
      <c r="P278">
        <f t="shared" ca="1" si="129"/>
        <v>634.59296770439869</v>
      </c>
      <c r="Q278">
        <f t="shared" ca="1" si="130"/>
        <v>635.66245155659806</v>
      </c>
      <c r="R278">
        <f t="shared" ca="1" si="131"/>
        <v>3.8141460404132466E-3</v>
      </c>
      <c r="S278">
        <f t="shared" ca="1" si="132"/>
        <v>1.0000000000000004</v>
      </c>
      <c r="T278">
        <f t="shared" ca="1" si="133"/>
        <v>35.686426155594638</v>
      </c>
      <c r="U278">
        <f t="shared" ca="1" si="154"/>
        <v>-3.4210944255619324E-3</v>
      </c>
      <c r="V278">
        <f t="shared" ca="1" si="155"/>
        <v>1</v>
      </c>
      <c r="W278">
        <f t="shared" ca="1" si="134"/>
        <v>2.1373203735079915</v>
      </c>
      <c r="X278">
        <f t="shared" ca="1" si="135"/>
        <v>11.114065942241556</v>
      </c>
      <c r="Y278">
        <f t="shared" ca="1" si="136"/>
        <v>1.1730329665261352</v>
      </c>
      <c r="Z278">
        <f t="shared" ca="1" si="137"/>
        <v>4.5842808801730106</v>
      </c>
      <c r="AA278">
        <f t="shared" ca="1" si="138"/>
        <v>634.59132037350798</v>
      </c>
      <c r="AB278">
        <f t="shared" ca="1" si="139"/>
        <v>635.66245346159769</v>
      </c>
      <c r="AC278">
        <f t="shared" ca="1" si="140"/>
        <v>3.8221817362197445E-3</v>
      </c>
      <c r="AD278">
        <f t="shared" ca="1" si="141"/>
        <v>1.0011563415729299</v>
      </c>
      <c r="AE278">
        <f t="shared" ca="1" si="142"/>
        <v>35.686447333323514</v>
      </c>
      <c r="AF278">
        <f t="shared" ca="1" si="143"/>
        <v>3.3237152198353215E-3</v>
      </c>
      <c r="AG278">
        <f t="shared" ca="1" si="144"/>
        <v>0</v>
      </c>
      <c r="AH278">
        <f ca="1">IFERROR(IF(V32="Supercritical",MAX($D$16,IFERROR(L278,MAX($D$16,POWER((ABS(K278)^2)/($I$5*MAX(F278,0.1)^2),1/3)))),IF(V32="Subcritical",MAX($D$16,IFERROR(W278,MAX($D$16,POWER((ABS(K278)^2)/($I$5*MAX(F278,0.1)^2),1/3)))),IF(AND(IFERROR(V278,0)=1,IFERROR(AG278,0)=1),IF(IFERROR(T278,-1E+99)&gt;=IFERROR(AE278,-1E+99),MAX($D$16,IFERROR(L278,MAX($D$16,POWER((ABS(K278)^2)/($I$5*MAX(F278,0.1)^2),1/3)))),MAX($D$16,IFERROR(W278,MAX($D$16,POWER((ABS(K278)^2)/($I$5*MAX(F278,0.1)^2),1/3))))),IF(IFERROR(V278,0)=1,MAX($D$16,IFERROR(L278,MAX($D$16,POWER((ABS(K278)^2)/($I$5*MAX(F278,0.1)^2),1/3)))),IF(IFERROR(AG278,0)=1,MAX($D$16,IFERROR(W278,MAX($D$16,POWER((ABS(K278)^2)/($I$5*MAX(F278,0.1)^2),1/3)))),MAX($D$16,POWER((ABS(K278)^2)/($I$5*MAX(F278,0.1)^2),1/3))))))),MAX($D$16,POWER((ABS(K278)^2)/($I$5*MAX(F278,0.1)^2),1/3)))</f>
        <v>2.1389677043987478</v>
      </c>
      <c r="AI278">
        <f t="shared" ca="1" si="145"/>
        <v>634.59296770439869</v>
      </c>
      <c r="AJ278">
        <f t="shared" ca="1" si="146"/>
        <v>635.66245155659806</v>
      </c>
      <c r="AM278">
        <v>0</v>
      </c>
      <c r="AN278">
        <v>0</v>
      </c>
      <c r="AO278">
        <f t="shared" si="147"/>
        <v>0</v>
      </c>
      <c r="AP278">
        <f t="shared" si="156"/>
        <v>0</v>
      </c>
      <c r="AQ278">
        <f t="shared" ca="1" si="148"/>
        <v>1.0000000000000004</v>
      </c>
      <c r="AR278" t="str">
        <f t="shared" ca="1" si="149"/>
        <v>Supercritical</v>
      </c>
      <c r="AS278">
        <f t="shared" ca="1" si="150"/>
        <v>3.8141460404132466E-3</v>
      </c>
    </row>
    <row r="279" spans="1:45" x14ac:dyDescent="0.35">
      <c r="A279">
        <v>218</v>
      </c>
      <c r="B279">
        <v>216.99600000000001</v>
      </c>
      <c r="C279">
        <v>616367.79500000004</v>
      </c>
      <c r="D279">
        <v>3097690.4350000001</v>
      </c>
      <c r="E279">
        <v>632.45349999999996</v>
      </c>
      <c r="F279">
        <v>5.2</v>
      </c>
      <c r="G279">
        <v>0</v>
      </c>
      <c r="H279" t="s">
        <v>154</v>
      </c>
      <c r="I279">
        <v>3.0000000000000001E-3</v>
      </c>
      <c r="J279">
        <f t="shared" si="151"/>
        <v>0.99899999999999523</v>
      </c>
      <c r="K279">
        <f t="shared" ca="1" si="152"/>
        <v>50.95</v>
      </c>
      <c r="L279">
        <f t="shared" ca="1" si="153"/>
        <v>2.1389677043987478</v>
      </c>
      <c r="M279">
        <f t="shared" ca="1" si="126"/>
        <v>11.122632062873489</v>
      </c>
      <c r="N279">
        <f t="shared" ca="1" si="127"/>
        <v>1.1735290000551568</v>
      </c>
      <c r="O279">
        <f t="shared" ca="1" si="128"/>
        <v>4.5807502857230418</v>
      </c>
      <c r="P279">
        <f t="shared" ca="1" si="129"/>
        <v>634.5924677043987</v>
      </c>
      <c r="Q279">
        <f t="shared" ca="1" si="130"/>
        <v>635.66195155659807</v>
      </c>
      <c r="R279">
        <f t="shared" ca="1" si="131"/>
        <v>3.8141460404132466E-3</v>
      </c>
      <c r="S279">
        <f t="shared" ca="1" si="132"/>
        <v>1.0000000000000004</v>
      </c>
      <c r="T279">
        <f t="shared" ca="1" si="133"/>
        <v>35.686426155594638</v>
      </c>
      <c r="U279">
        <f t="shared" ca="1" si="154"/>
        <v>-3.3156793135731277E-3</v>
      </c>
      <c r="V279">
        <f t="shared" ca="1" si="155"/>
        <v>1</v>
      </c>
      <c r="W279">
        <f t="shared" ca="1" si="134"/>
        <v>2.1297930922976707</v>
      </c>
      <c r="X279">
        <f t="shared" ca="1" si="135"/>
        <v>11.074924079947888</v>
      </c>
      <c r="Y279">
        <f t="shared" ca="1" si="136"/>
        <v>1.1707620041543758</v>
      </c>
      <c r="Z279">
        <f t="shared" ca="1" si="137"/>
        <v>4.6004830039647322</v>
      </c>
      <c r="AA279">
        <f t="shared" ca="1" si="138"/>
        <v>634.58329309229759</v>
      </c>
      <c r="AB279">
        <f t="shared" ca="1" si="139"/>
        <v>635.66201092459971</v>
      </c>
      <c r="AC279">
        <f t="shared" ca="1" si="140"/>
        <v>3.8592053369353755E-3</v>
      </c>
      <c r="AD279">
        <f t="shared" ca="1" si="141"/>
        <v>1.0064685758898628</v>
      </c>
      <c r="AE279">
        <f t="shared" ca="1" si="142"/>
        <v>35.687084594461808</v>
      </c>
      <c r="AF279">
        <f t="shared" ca="1" si="143"/>
        <v>3.465542736421412E-3</v>
      </c>
      <c r="AG279">
        <f t="shared" ca="1" si="144"/>
        <v>0</v>
      </c>
      <c r="AH279">
        <f ca="1">IFERROR(IF(V32="Supercritical",MAX($D$16,IFERROR(L279,MAX($D$16,POWER((ABS(K279)^2)/($I$5*MAX(F279,0.1)^2),1/3)))),IF(V32="Subcritical",MAX($D$16,IFERROR(W279,MAX($D$16,POWER((ABS(K279)^2)/($I$5*MAX(F279,0.1)^2),1/3)))),IF(AND(IFERROR(V279,0)=1,IFERROR(AG279,0)=1),IF(IFERROR(T279,-1E+99)&gt;=IFERROR(AE279,-1E+99),MAX($D$16,IFERROR(L279,MAX($D$16,POWER((ABS(K279)^2)/($I$5*MAX(F279,0.1)^2),1/3)))),MAX($D$16,IFERROR(W279,MAX($D$16,POWER((ABS(K279)^2)/($I$5*MAX(F279,0.1)^2),1/3))))),IF(IFERROR(V279,0)=1,MAX($D$16,IFERROR(L279,MAX($D$16,POWER((ABS(K279)^2)/($I$5*MAX(F279,0.1)^2),1/3)))),IF(IFERROR(AG279,0)=1,MAX($D$16,IFERROR(W279,MAX($D$16,POWER((ABS(K279)^2)/($I$5*MAX(F279,0.1)^2),1/3)))),MAX($D$16,POWER((ABS(K279)^2)/($I$5*MAX(F279,0.1)^2),1/3))))))),MAX($D$16,POWER((ABS(K279)^2)/($I$5*MAX(F279,0.1)^2),1/3)))</f>
        <v>2.1389677043987478</v>
      </c>
      <c r="AI279">
        <f t="shared" ca="1" si="145"/>
        <v>634.5924677043987</v>
      </c>
      <c r="AJ279">
        <f t="shared" ca="1" si="146"/>
        <v>635.66195155659807</v>
      </c>
      <c r="AM279">
        <v>0</v>
      </c>
      <c r="AN279">
        <v>0</v>
      </c>
      <c r="AO279">
        <f t="shared" si="147"/>
        <v>0</v>
      </c>
      <c r="AP279">
        <f t="shared" si="156"/>
        <v>0</v>
      </c>
      <c r="AQ279">
        <f t="shared" ca="1" si="148"/>
        <v>1.0000000000000004</v>
      </c>
      <c r="AR279" t="str">
        <f t="shared" ca="1" si="149"/>
        <v>Supercritical</v>
      </c>
      <c r="AS279">
        <f t="shared" ca="1" si="150"/>
        <v>3.8141460404132466E-3</v>
      </c>
    </row>
    <row r="280" spans="1:45" x14ac:dyDescent="0.35">
      <c r="A280">
        <v>219</v>
      </c>
      <c r="B280">
        <v>217.99700000000001</v>
      </c>
      <c r="C280">
        <v>616366.79599999997</v>
      </c>
      <c r="D280">
        <v>3097690.3870000001</v>
      </c>
      <c r="E280">
        <v>632.45299999999997</v>
      </c>
      <c r="F280">
        <v>5.2</v>
      </c>
      <c r="G280">
        <v>0</v>
      </c>
      <c r="H280" t="s">
        <v>154</v>
      </c>
      <c r="I280">
        <v>5.7000000000000002E-2</v>
      </c>
      <c r="J280">
        <f t="shared" si="151"/>
        <v>1.0010000000000048</v>
      </c>
      <c r="K280">
        <f t="shared" ca="1" si="152"/>
        <v>50.95</v>
      </c>
      <c r="L280">
        <f t="shared" ca="1" si="153"/>
        <v>2.1389677043987478</v>
      </c>
      <c r="M280">
        <f t="shared" ca="1" si="126"/>
        <v>11.122632062873489</v>
      </c>
      <c r="N280">
        <f t="shared" ca="1" si="127"/>
        <v>1.1735290000551568</v>
      </c>
      <c r="O280">
        <f t="shared" ca="1" si="128"/>
        <v>4.5807502857230418</v>
      </c>
      <c r="P280">
        <f t="shared" ca="1" si="129"/>
        <v>634.59196770439871</v>
      </c>
      <c r="Q280">
        <f t="shared" ca="1" si="130"/>
        <v>635.66145155659808</v>
      </c>
      <c r="R280">
        <f t="shared" ca="1" si="131"/>
        <v>3.8141460404132466E-3</v>
      </c>
      <c r="S280">
        <f t="shared" ca="1" si="132"/>
        <v>1.0000000000000004</v>
      </c>
      <c r="T280">
        <f t="shared" ca="1" si="133"/>
        <v>35.686426155594638</v>
      </c>
      <c r="U280">
        <f t="shared" ca="1" si="154"/>
        <v>-3.4195611524410197E-3</v>
      </c>
      <c r="V280">
        <f t="shared" ca="1" si="155"/>
        <v>1</v>
      </c>
      <c r="W280">
        <f t="shared" ca="1" si="134"/>
        <v>2.1292835877504035</v>
      </c>
      <c r="X280">
        <f t="shared" ca="1" si="135"/>
        <v>11.072274656302099</v>
      </c>
      <c r="Y280">
        <f t="shared" ca="1" si="136"/>
        <v>1.1706080266555647</v>
      </c>
      <c r="Z280">
        <f t="shared" ca="1" si="137"/>
        <v>4.6015838282154933</v>
      </c>
      <c r="AA280">
        <f t="shared" ca="1" si="138"/>
        <v>634.58228358775034</v>
      </c>
      <c r="AB280">
        <f t="shared" ca="1" si="139"/>
        <v>635.66151772271951</v>
      </c>
      <c r="AC280">
        <f t="shared" ca="1" si="140"/>
        <v>3.8617296270372779E-3</v>
      </c>
      <c r="AD280">
        <f t="shared" ca="1" si="141"/>
        <v>1.0068298459861398</v>
      </c>
      <c r="AE280">
        <f t="shared" ca="1" si="142"/>
        <v>35.687159874034066</v>
      </c>
      <c r="AF280">
        <f t="shared" ca="1" si="143"/>
        <v>3.4642568698473042E-3</v>
      </c>
      <c r="AG280">
        <f t="shared" ca="1" si="144"/>
        <v>0</v>
      </c>
      <c r="AH280">
        <f ca="1">IFERROR(IF(V32="Supercritical",MAX($D$16,IFERROR(L280,MAX($D$16,POWER((ABS(K280)^2)/($I$5*MAX(F280,0.1)^2),1/3)))),IF(V32="Subcritical",MAX($D$16,IFERROR(W280,MAX($D$16,POWER((ABS(K280)^2)/($I$5*MAX(F280,0.1)^2),1/3)))),IF(AND(IFERROR(V280,0)=1,IFERROR(AG280,0)=1),IF(IFERROR(T280,-1E+99)&gt;=IFERROR(AE280,-1E+99),MAX($D$16,IFERROR(L280,MAX($D$16,POWER((ABS(K280)^2)/($I$5*MAX(F280,0.1)^2),1/3)))),MAX($D$16,IFERROR(W280,MAX($D$16,POWER((ABS(K280)^2)/($I$5*MAX(F280,0.1)^2),1/3))))),IF(IFERROR(V280,0)=1,MAX($D$16,IFERROR(L280,MAX($D$16,POWER((ABS(K280)^2)/($I$5*MAX(F280,0.1)^2),1/3)))),IF(IFERROR(AG280,0)=1,MAX($D$16,IFERROR(W280,MAX($D$16,POWER((ABS(K280)^2)/($I$5*MAX(F280,0.1)^2),1/3)))),MAX($D$16,POWER((ABS(K280)^2)/($I$5*MAX(F280,0.1)^2),1/3))))))),MAX($D$16,POWER((ABS(K280)^2)/($I$5*MAX(F280,0.1)^2),1/3)))</f>
        <v>2.1389677043987478</v>
      </c>
      <c r="AI280">
        <f t="shared" ca="1" si="145"/>
        <v>634.59196770439871</v>
      </c>
      <c r="AJ280">
        <f t="shared" ca="1" si="146"/>
        <v>635.66145155659808</v>
      </c>
      <c r="AM280">
        <v>0</v>
      </c>
      <c r="AN280">
        <v>0</v>
      </c>
      <c r="AO280">
        <f t="shared" si="147"/>
        <v>0</v>
      </c>
      <c r="AP280">
        <f t="shared" si="156"/>
        <v>0</v>
      </c>
      <c r="AQ280">
        <f t="shared" ca="1" si="148"/>
        <v>1.0000000000000004</v>
      </c>
      <c r="AR280" t="str">
        <f t="shared" ca="1" si="149"/>
        <v>Supercritical</v>
      </c>
      <c r="AS280">
        <f t="shared" ca="1" si="150"/>
        <v>3.8141460404132466E-3</v>
      </c>
    </row>
    <row r="281" spans="1:45" x14ac:dyDescent="0.35">
      <c r="A281">
        <v>220</v>
      </c>
      <c r="B281">
        <v>218.99700000000001</v>
      </c>
      <c r="C281">
        <v>616365.79700000002</v>
      </c>
      <c r="D281">
        <v>3097690.34</v>
      </c>
      <c r="E281">
        <v>632.45249999999999</v>
      </c>
      <c r="F281">
        <v>5.2</v>
      </c>
      <c r="G281">
        <v>0</v>
      </c>
      <c r="H281" t="s">
        <v>154</v>
      </c>
      <c r="I281">
        <v>5.7000000000000002E-2</v>
      </c>
      <c r="J281">
        <f t="shared" si="151"/>
        <v>1</v>
      </c>
      <c r="K281">
        <f t="shared" ca="1" si="152"/>
        <v>50.95</v>
      </c>
      <c r="L281">
        <f t="shared" ca="1" si="153"/>
        <v>2.1389677043987478</v>
      </c>
      <c r="M281">
        <f t="shared" ca="1" si="126"/>
        <v>11.122632062873489</v>
      </c>
      <c r="N281">
        <f t="shared" ca="1" si="127"/>
        <v>1.1735290000551568</v>
      </c>
      <c r="O281">
        <f t="shared" ca="1" si="128"/>
        <v>4.5807502857230418</v>
      </c>
      <c r="P281">
        <f t="shared" ca="1" si="129"/>
        <v>634.59146770439872</v>
      </c>
      <c r="Q281">
        <f t="shared" ca="1" si="130"/>
        <v>635.66095155659809</v>
      </c>
      <c r="R281">
        <f t="shared" ca="1" si="131"/>
        <v>3.8141460404132466E-3</v>
      </c>
      <c r="S281">
        <f t="shared" ca="1" si="132"/>
        <v>1.0000000000000004</v>
      </c>
      <c r="T281">
        <f t="shared" ca="1" si="133"/>
        <v>35.686426155594638</v>
      </c>
      <c r="U281">
        <f t="shared" ca="1" si="154"/>
        <v>-3.4157470064428708E-3</v>
      </c>
      <c r="V281">
        <f t="shared" ca="1" si="155"/>
        <v>1</v>
      </c>
      <c r="W281">
        <f t="shared" ca="1" si="134"/>
        <v>2.129783506225873</v>
      </c>
      <c r="X281">
        <f t="shared" ca="1" si="135"/>
        <v>11.07487423237454</v>
      </c>
      <c r="Y281">
        <f t="shared" ca="1" si="136"/>
        <v>1.1707591074513817</v>
      </c>
      <c r="Z281">
        <f t="shared" ca="1" si="137"/>
        <v>4.6005037105577964</v>
      </c>
      <c r="AA281">
        <f t="shared" ca="1" si="138"/>
        <v>634.58228350622585</v>
      </c>
      <c r="AB281">
        <f t="shared" ca="1" si="139"/>
        <v>635.66101104908296</v>
      </c>
      <c r="AC281">
        <f t="shared" ca="1" si="140"/>
        <v>3.8592528087049334E-3</v>
      </c>
      <c r="AD281">
        <f t="shared" ca="1" si="141"/>
        <v>1.0064753710107228</v>
      </c>
      <c r="AE281">
        <f t="shared" ca="1" si="142"/>
        <v>35.687085973099926</v>
      </c>
      <c r="AF281">
        <f t="shared" ca="1" si="143"/>
        <v>3.4617319253129608E-3</v>
      </c>
      <c r="AG281">
        <f t="shared" ca="1" si="144"/>
        <v>0</v>
      </c>
      <c r="AH281">
        <f ca="1">IFERROR(IF(V32="Supercritical",MAX($D$16,IFERROR(L281,MAX($D$16,POWER((ABS(K281)^2)/($I$5*MAX(F281,0.1)^2),1/3)))),IF(V32="Subcritical",MAX($D$16,IFERROR(W281,MAX($D$16,POWER((ABS(K281)^2)/($I$5*MAX(F281,0.1)^2),1/3)))),IF(AND(IFERROR(V281,0)=1,IFERROR(AG281,0)=1),IF(IFERROR(T281,-1E+99)&gt;=IFERROR(AE281,-1E+99),MAX($D$16,IFERROR(L281,MAX($D$16,POWER((ABS(K281)^2)/($I$5*MAX(F281,0.1)^2),1/3)))),MAX($D$16,IFERROR(W281,MAX($D$16,POWER((ABS(K281)^2)/($I$5*MAX(F281,0.1)^2),1/3))))),IF(IFERROR(V281,0)=1,MAX($D$16,IFERROR(L281,MAX($D$16,POWER((ABS(K281)^2)/($I$5*MAX(F281,0.1)^2),1/3)))),IF(IFERROR(AG281,0)=1,MAX($D$16,IFERROR(W281,MAX($D$16,POWER((ABS(K281)^2)/($I$5*MAX(F281,0.1)^2),1/3)))),MAX($D$16,POWER((ABS(K281)^2)/($I$5*MAX(F281,0.1)^2),1/3))))))),MAX($D$16,POWER((ABS(K281)^2)/($I$5*MAX(F281,0.1)^2),1/3)))</f>
        <v>2.1389677043987478</v>
      </c>
      <c r="AI281">
        <f t="shared" ca="1" si="145"/>
        <v>634.59146770439872</v>
      </c>
      <c r="AJ281">
        <f t="shared" ca="1" si="146"/>
        <v>635.66095155659809</v>
      </c>
      <c r="AM281">
        <v>0</v>
      </c>
      <c r="AN281">
        <v>0</v>
      </c>
      <c r="AO281">
        <f t="shared" si="147"/>
        <v>0</v>
      </c>
      <c r="AP281">
        <f t="shared" si="156"/>
        <v>0</v>
      </c>
      <c r="AQ281">
        <f t="shared" ca="1" si="148"/>
        <v>1.0000000000000004</v>
      </c>
      <c r="AR281" t="str">
        <f t="shared" ca="1" si="149"/>
        <v>Supercritical</v>
      </c>
      <c r="AS281">
        <f t="shared" ca="1" si="150"/>
        <v>3.8141460404132466E-3</v>
      </c>
    </row>
    <row r="282" spans="1:45" x14ac:dyDescent="0.35">
      <c r="A282">
        <v>221</v>
      </c>
      <c r="B282">
        <v>219.99700000000001</v>
      </c>
      <c r="C282">
        <v>616364.79799999995</v>
      </c>
      <c r="D282">
        <v>3097690.2919999999</v>
      </c>
      <c r="E282">
        <v>632.452</v>
      </c>
      <c r="F282">
        <v>5.2</v>
      </c>
      <c r="G282">
        <v>0</v>
      </c>
      <c r="H282" t="s">
        <v>154</v>
      </c>
      <c r="I282">
        <v>5.7000000000000002E-2</v>
      </c>
      <c r="J282">
        <f t="shared" si="151"/>
        <v>1</v>
      </c>
      <c r="K282">
        <f t="shared" ca="1" si="152"/>
        <v>50.95</v>
      </c>
      <c r="L282">
        <f t="shared" ca="1" si="153"/>
        <v>2.1389677043987478</v>
      </c>
      <c r="M282">
        <f t="shared" ca="1" si="126"/>
        <v>11.122632062873489</v>
      </c>
      <c r="N282">
        <f t="shared" ca="1" si="127"/>
        <v>1.1735290000551568</v>
      </c>
      <c r="O282">
        <f t="shared" ca="1" si="128"/>
        <v>4.5807502857230418</v>
      </c>
      <c r="P282">
        <f t="shared" ca="1" si="129"/>
        <v>634.59096770439874</v>
      </c>
      <c r="Q282">
        <f t="shared" ca="1" si="130"/>
        <v>635.6604515565981</v>
      </c>
      <c r="R282">
        <f t="shared" ca="1" si="131"/>
        <v>3.8141460404132466E-3</v>
      </c>
      <c r="S282">
        <f t="shared" ca="1" si="132"/>
        <v>1.0000000000000004</v>
      </c>
      <c r="T282">
        <f t="shared" ca="1" si="133"/>
        <v>35.686426155594638</v>
      </c>
      <c r="U282">
        <f t="shared" ca="1" si="154"/>
        <v>-3.4157470064428708E-3</v>
      </c>
      <c r="V282">
        <f t="shared" ca="1" si="155"/>
        <v>1</v>
      </c>
      <c r="W282">
        <f t="shared" ca="1" si="134"/>
        <v>2.1292739945091217</v>
      </c>
      <c r="X282">
        <f t="shared" ca="1" si="135"/>
        <v>11.072224771447432</v>
      </c>
      <c r="Y282">
        <f t="shared" ca="1" si="136"/>
        <v>1.1706051271614559</v>
      </c>
      <c r="Z282">
        <f t="shared" ca="1" si="137"/>
        <v>4.6016045602133753</v>
      </c>
      <c r="AA282">
        <f t="shared" ca="1" si="138"/>
        <v>634.58127399450916</v>
      </c>
      <c r="AB282">
        <f t="shared" ca="1" si="139"/>
        <v>635.66051785427351</v>
      </c>
      <c r="AC282">
        <f t="shared" ca="1" si="140"/>
        <v>3.8617771781350417E-3</v>
      </c>
      <c r="AD282">
        <f t="shared" ca="1" si="141"/>
        <v>1.0068366502578399</v>
      </c>
      <c r="AE282">
        <f t="shared" ca="1" si="142"/>
        <v>35.687161330632094</v>
      </c>
      <c r="AF282">
        <f t="shared" ca="1" si="143"/>
        <v>3.4643053447780403E-3</v>
      </c>
      <c r="AG282">
        <f t="shared" ca="1" si="144"/>
        <v>0</v>
      </c>
      <c r="AH282">
        <f ca="1">IFERROR(IF(V32="Supercritical",MAX($D$16,IFERROR(L282,MAX($D$16,POWER((ABS(K282)^2)/($I$5*MAX(F282,0.1)^2),1/3)))),IF(V32="Subcritical",MAX($D$16,IFERROR(W282,MAX($D$16,POWER((ABS(K282)^2)/($I$5*MAX(F282,0.1)^2),1/3)))),IF(AND(IFERROR(V282,0)=1,IFERROR(AG282,0)=1),IF(IFERROR(T282,-1E+99)&gt;=IFERROR(AE282,-1E+99),MAX($D$16,IFERROR(L282,MAX($D$16,POWER((ABS(K282)^2)/($I$5*MAX(F282,0.1)^2),1/3)))),MAX($D$16,IFERROR(W282,MAX($D$16,POWER((ABS(K282)^2)/($I$5*MAX(F282,0.1)^2),1/3))))),IF(IFERROR(V282,0)=1,MAX($D$16,IFERROR(L282,MAX($D$16,POWER((ABS(K282)^2)/($I$5*MAX(F282,0.1)^2),1/3)))),IF(IFERROR(AG282,0)=1,MAX($D$16,IFERROR(W282,MAX($D$16,POWER((ABS(K282)^2)/($I$5*MAX(F282,0.1)^2),1/3)))),MAX($D$16,POWER((ABS(K282)^2)/($I$5*MAX(F282,0.1)^2),1/3))))))),MAX($D$16,POWER((ABS(K282)^2)/($I$5*MAX(F282,0.1)^2),1/3)))</f>
        <v>2.1389677043987478</v>
      </c>
      <c r="AI282">
        <f t="shared" ca="1" si="145"/>
        <v>634.59096770439874</v>
      </c>
      <c r="AJ282">
        <f t="shared" ca="1" si="146"/>
        <v>635.6604515565981</v>
      </c>
      <c r="AM282">
        <v>0</v>
      </c>
      <c r="AN282">
        <v>0</v>
      </c>
      <c r="AO282">
        <f t="shared" si="147"/>
        <v>0</v>
      </c>
      <c r="AP282">
        <f t="shared" si="156"/>
        <v>0</v>
      </c>
      <c r="AQ282">
        <f t="shared" ca="1" si="148"/>
        <v>1.0000000000000004</v>
      </c>
      <c r="AR282" t="str">
        <f t="shared" ca="1" si="149"/>
        <v>Supercritical</v>
      </c>
      <c r="AS282">
        <f t="shared" ca="1" si="150"/>
        <v>3.8141460404132466E-3</v>
      </c>
    </row>
    <row r="283" spans="1:45" x14ac:dyDescent="0.35">
      <c r="A283">
        <v>222</v>
      </c>
      <c r="B283">
        <v>220.99700000000001</v>
      </c>
      <c r="C283">
        <v>616363.799</v>
      </c>
      <c r="D283">
        <v>3097690.2450000001</v>
      </c>
      <c r="E283">
        <v>632.45150000000001</v>
      </c>
      <c r="F283">
        <v>5.2</v>
      </c>
      <c r="G283">
        <v>0</v>
      </c>
      <c r="H283" t="s">
        <v>154</v>
      </c>
      <c r="I283">
        <v>5.7000000000000002E-2</v>
      </c>
      <c r="J283">
        <f t="shared" si="151"/>
        <v>1</v>
      </c>
      <c r="K283">
        <f t="shared" ca="1" si="152"/>
        <v>50.95</v>
      </c>
      <c r="L283">
        <f t="shared" ca="1" si="153"/>
        <v>2.1389677043987478</v>
      </c>
      <c r="M283">
        <f t="shared" ca="1" si="126"/>
        <v>11.122632062873489</v>
      </c>
      <c r="N283">
        <f t="shared" ca="1" si="127"/>
        <v>1.1735290000551568</v>
      </c>
      <c r="O283">
        <f t="shared" ca="1" si="128"/>
        <v>4.5807502857230418</v>
      </c>
      <c r="P283">
        <f t="shared" ca="1" si="129"/>
        <v>634.59046770439875</v>
      </c>
      <c r="Q283">
        <f t="shared" ca="1" si="130"/>
        <v>635.65995155659812</v>
      </c>
      <c r="R283">
        <f t="shared" ca="1" si="131"/>
        <v>3.8141460404132466E-3</v>
      </c>
      <c r="S283">
        <f t="shared" ca="1" si="132"/>
        <v>1.0000000000000004</v>
      </c>
      <c r="T283">
        <f t="shared" ca="1" si="133"/>
        <v>35.686426155594638</v>
      </c>
      <c r="U283">
        <f t="shared" ca="1" si="154"/>
        <v>-3.4157470064428708E-3</v>
      </c>
      <c r="V283">
        <f t="shared" ca="1" si="155"/>
        <v>1</v>
      </c>
      <c r="W283">
        <f t="shared" ca="1" si="134"/>
        <v>2.1297833465649423</v>
      </c>
      <c r="X283">
        <f t="shared" ca="1" si="135"/>
        <v>11.074873402137701</v>
      </c>
      <c r="Y283">
        <f t="shared" ca="1" si="136"/>
        <v>1.1707590592052119</v>
      </c>
      <c r="Z283">
        <f t="shared" ca="1" si="137"/>
        <v>4.600504055438277</v>
      </c>
      <c r="AA283">
        <f t="shared" ca="1" si="138"/>
        <v>634.58128334656499</v>
      </c>
      <c r="AB283">
        <f t="shared" ca="1" si="139"/>
        <v>635.66001105115743</v>
      </c>
      <c r="AC283">
        <f t="shared" ca="1" si="140"/>
        <v>3.8592535993785147E-3</v>
      </c>
      <c r="AD283">
        <f t="shared" ca="1" si="141"/>
        <v>1.0064754841875849</v>
      </c>
      <c r="AE283">
        <f t="shared" ca="1" si="142"/>
        <v>35.687085996074089</v>
      </c>
      <c r="AF283">
        <f t="shared" ca="1" si="143"/>
        <v>3.3592535993420825E-3</v>
      </c>
      <c r="AG283">
        <f t="shared" ca="1" si="144"/>
        <v>0</v>
      </c>
      <c r="AH283">
        <f ca="1">IFERROR(IF(V32="Supercritical",MAX($D$16,IFERROR(L283,MAX($D$16,POWER((ABS(K283)^2)/($I$5*MAX(F283,0.1)^2),1/3)))),IF(V32="Subcritical",MAX($D$16,IFERROR(W283,MAX($D$16,POWER((ABS(K283)^2)/($I$5*MAX(F283,0.1)^2),1/3)))),IF(AND(IFERROR(V283,0)=1,IFERROR(AG283,0)=1),IF(IFERROR(T283,-1E+99)&gt;=IFERROR(AE283,-1E+99),MAX($D$16,IFERROR(L283,MAX($D$16,POWER((ABS(K283)^2)/($I$5*MAX(F283,0.1)^2),1/3)))),MAX($D$16,IFERROR(W283,MAX($D$16,POWER((ABS(K283)^2)/($I$5*MAX(F283,0.1)^2),1/3))))),IF(IFERROR(V283,0)=1,MAX($D$16,IFERROR(L283,MAX($D$16,POWER((ABS(K283)^2)/($I$5*MAX(F283,0.1)^2),1/3)))),IF(IFERROR(AG283,0)=1,MAX($D$16,IFERROR(W283,MAX($D$16,POWER((ABS(K283)^2)/($I$5*MAX(F283,0.1)^2),1/3)))),MAX($D$16,POWER((ABS(K283)^2)/($I$5*MAX(F283,0.1)^2),1/3))))))),MAX($D$16,POWER((ABS(K283)^2)/($I$5*MAX(F283,0.1)^2),1/3)))</f>
        <v>2.1389677043987478</v>
      </c>
      <c r="AI283">
        <f t="shared" ca="1" si="145"/>
        <v>634.59046770439875</v>
      </c>
      <c r="AJ283">
        <f t="shared" ca="1" si="146"/>
        <v>635.65995155659812</v>
      </c>
      <c r="AM283">
        <v>0</v>
      </c>
      <c r="AN283">
        <v>0</v>
      </c>
      <c r="AO283">
        <f t="shared" si="147"/>
        <v>0</v>
      </c>
      <c r="AP283">
        <f t="shared" si="156"/>
        <v>0</v>
      </c>
      <c r="AQ283">
        <f t="shared" ca="1" si="148"/>
        <v>1.0000000000000004</v>
      </c>
      <c r="AR283" t="str">
        <f t="shared" ca="1" si="149"/>
        <v>Supercritical</v>
      </c>
      <c r="AS283">
        <f t="shared" ca="1" si="150"/>
        <v>3.8141460404132466E-3</v>
      </c>
    </row>
    <row r="284" spans="1:45" x14ac:dyDescent="0.35">
      <c r="A284">
        <v>223</v>
      </c>
      <c r="B284">
        <v>221.99700000000001</v>
      </c>
      <c r="C284">
        <v>616362.80000000005</v>
      </c>
      <c r="D284">
        <v>3097690.1970000002</v>
      </c>
      <c r="E284">
        <v>632.45100000000002</v>
      </c>
      <c r="F284">
        <v>5.2</v>
      </c>
      <c r="G284">
        <v>0</v>
      </c>
      <c r="H284" t="s">
        <v>154</v>
      </c>
      <c r="I284">
        <v>0</v>
      </c>
      <c r="J284">
        <f t="shared" si="151"/>
        <v>1</v>
      </c>
      <c r="K284">
        <f t="shared" ca="1" si="152"/>
        <v>50.95</v>
      </c>
      <c r="L284">
        <f t="shared" ca="1" si="153"/>
        <v>2.1389677043987478</v>
      </c>
      <c r="M284">
        <f t="shared" ca="1" si="126"/>
        <v>11.122632062873489</v>
      </c>
      <c r="N284">
        <f t="shared" ca="1" si="127"/>
        <v>1.1735290000551568</v>
      </c>
      <c r="O284">
        <f t="shared" ca="1" si="128"/>
        <v>4.5807502857230418</v>
      </c>
      <c r="P284">
        <f t="shared" ca="1" si="129"/>
        <v>634.58996770439876</v>
      </c>
      <c r="Q284">
        <f t="shared" ca="1" si="130"/>
        <v>635.65945155659813</v>
      </c>
      <c r="R284">
        <f t="shared" ca="1" si="131"/>
        <v>3.8141460404132466E-3</v>
      </c>
      <c r="S284">
        <f t="shared" ca="1" si="132"/>
        <v>1.0000000000000004</v>
      </c>
      <c r="T284">
        <f t="shared" ca="1" si="133"/>
        <v>35.686426155594638</v>
      </c>
      <c r="U284">
        <f t="shared" ca="1" si="154"/>
        <v>-3.3141460404522149E-3</v>
      </c>
      <c r="V284">
        <f t="shared" ca="1" si="155"/>
        <v>1</v>
      </c>
      <c r="W284">
        <f t="shared" ca="1" si="134"/>
        <v>2.1292738347287687</v>
      </c>
      <c r="X284">
        <f t="shared" ca="1" si="135"/>
        <v>11.072223940589598</v>
      </c>
      <c r="Y284">
        <f t="shared" ca="1" si="136"/>
        <v>1.1706050788687949</v>
      </c>
      <c r="Z284">
        <f t="shared" ca="1" si="137"/>
        <v>4.6016049055170125</v>
      </c>
      <c r="AA284">
        <f t="shared" ca="1" si="138"/>
        <v>634.58027383472881</v>
      </c>
      <c r="AB284">
        <f t="shared" ca="1" si="139"/>
        <v>635.65951785646575</v>
      </c>
      <c r="AC284">
        <f t="shared" ca="1" si="140"/>
        <v>3.8617779701299493E-3</v>
      </c>
      <c r="AD284">
        <f t="shared" ca="1" si="141"/>
        <v>1.0068367635871229</v>
      </c>
      <c r="AE284">
        <f t="shared" ca="1" si="142"/>
        <v>35.687161354904745</v>
      </c>
      <c r="AF284">
        <f t="shared" ca="1" si="143"/>
        <v>3.4607086720370717E-3</v>
      </c>
      <c r="AG284">
        <f t="shared" ca="1" si="144"/>
        <v>0</v>
      </c>
      <c r="AH284">
        <f ca="1">IFERROR(IF(V32="Supercritical",MAX($D$16,IFERROR(L284,MAX($D$16,POWER((ABS(K284)^2)/($I$5*MAX(F284,0.1)^2),1/3)))),IF(V32="Subcritical",MAX($D$16,IFERROR(W284,MAX($D$16,POWER((ABS(K284)^2)/($I$5*MAX(F284,0.1)^2),1/3)))),IF(AND(IFERROR(V284,0)=1,IFERROR(AG284,0)=1),IF(IFERROR(T284,-1E+99)&gt;=IFERROR(AE284,-1E+99),MAX($D$16,IFERROR(L284,MAX($D$16,POWER((ABS(K284)^2)/($I$5*MAX(F284,0.1)^2),1/3)))),MAX($D$16,IFERROR(W284,MAX($D$16,POWER((ABS(K284)^2)/($I$5*MAX(F284,0.1)^2),1/3))))),IF(IFERROR(V284,0)=1,MAX($D$16,IFERROR(L284,MAX($D$16,POWER((ABS(K284)^2)/($I$5*MAX(F284,0.1)^2),1/3)))),IF(IFERROR(AG284,0)=1,MAX($D$16,IFERROR(W284,MAX($D$16,POWER((ABS(K284)^2)/($I$5*MAX(F284,0.1)^2),1/3)))),MAX($D$16,POWER((ABS(K284)^2)/($I$5*MAX(F284,0.1)^2),1/3))))))),MAX($D$16,POWER((ABS(K284)^2)/($I$5*MAX(F284,0.1)^2),1/3)))</f>
        <v>2.1389677043987478</v>
      </c>
      <c r="AI284">
        <f t="shared" ca="1" si="145"/>
        <v>634.58996770439876</v>
      </c>
      <c r="AJ284">
        <f t="shared" ca="1" si="146"/>
        <v>635.65945155659813</v>
      </c>
      <c r="AM284">
        <v>0</v>
      </c>
      <c r="AN284">
        <v>0</v>
      </c>
      <c r="AO284">
        <f t="shared" si="147"/>
        <v>0</v>
      </c>
      <c r="AP284">
        <f t="shared" si="156"/>
        <v>0</v>
      </c>
      <c r="AQ284">
        <f t="shared" ca="1" si="148"/>
        <v>1.0000000000000004</v>
      </c>
      <c r="AR284" t="str">
        <f t="shared" ca="1" si="149"/>
        <v>Supercritical</v>
      </c>
      <c r="AS284">
        <f t="shared" ca="1" si="150"/>
        <v>3.8141460404132466E-3</v>
      </c>
    </row>
    <row r="285" spans="1:45" x14ac:dyDescent="0.35">
      <c r="A285">
        <v>224</v>
      </c>
      <c r="B285">
        <v>222.99700000000001</v>
      </c>
      <c r="C285">
        <v>616361.80099999998</v>
      </c>
      <c r="D285">
        <v>3097690.1490000002</v>
      </c>
      <c r="E285">
        <v>632.45050000000003</v>
      </c>
      <c r="F285">
        <v>5.2</v>
      </c>
      <c r="G285">
        <v>0</v>
      </c>
      <c r="H285" t="s">
        <v>154</v>
      </c>
      <c r="I285">
        <v>5.5E-2</v>
      </c>
      <c r="J285">
        <f t="shared" si="151"/>
        <v>1</v>
      </c>
      <c r="K285">
        <f t="shared" ca="1" si="152"/>
        <v>50.95</v>
      </c>
      <c r="L285">
        <f t="shared" ca="1" si="153"/>
        <v>2.1389677043987478</v>
      </c>
      <c r="M285">
        <f t="shared" ca="1" si="126"/>
        <v>11.122632062873489</v>
      </c>
      <c r="N285">
        <f t="shared" ca="1" si="127"/>
        <v>1.1735290000551568</v>
      </c>
      <c r="O285">
        <f t="shared" ca="1" si="128"/>
        <v>4.5807502857230418</v>
      </c>
      <c r="P285">
        <f t="shared" ca="1" si="129"/>
        <v>634.58946770439877</v>
      </c>
      <c r="Q285">
        <f t="shared" ca="1" si="130"/>
        <v>635.65895155659814</v>
      </c>
      <c r="R285">
        <f t="shared" ca="1" si="131"/>
        <v>3.8141460404132466E-3</v>
      </c>
      <c r="S285">
        <f t="shared" ca="1" si="132"/>
        <v>1.0000000000000004</v>
      </c>
      <c r="T285">
        <f t="shared" ca="1" si="133"/>
        <v>35.686426155594638</v>
      </c>
      <c r="U285">
        <f t="shared" ca="1" si="154"/>
        <v>-3.4121820602877051E-3</v>
      </c>
      <c r="V285">
        <f t="shared" ca="1" si="155"/>
        <v>1</v>
      </c>
      <c r="W285">
        <f t="shared" ca="1" si="134"/>
        <v>2.1297833440895761</v>
      </c>
      <c r="X285">
        <f t="shared" ca="1" si="135"/>
        <v>11.074873389265797</v>
      </c>
      <c r="Y285">
        <f t="shared" ca="1" si="136"/>
        <v>1.1707590584572085</v>
      </c>
      <c r="Z285">
        <f t="shared" ca="1" si="137"/>
        <v>4.6005040607852683</v>
      </c>
      <c r="AA285">
        <f t="shared" ca="1" si="138"/>
        <v>634.58028334408959</v>
      </c>
      <c r="AB285">
        <f t="shared" ca="1" si="139"/>
        <v>635.65901105118962</v>
      </c>
      <c r="AC285">
        <f t="shared" ca="1" si="140"/>
        <v>3.859253611637037E-3</v>
      </c>
      <c r="AD285">
        <f t="shared" ca="1" si="141"/>
        <v>1.0064754859422673</v>
      </c>
      <c r="AE285">
        <f t="shared" ca="1" si="142"/>
        <v>35.687085996430284</v>
      </c>
      <c r="AF285">
        <f t="shared" ca="1" si="143"/>
        <v>3.4542777311799E-3</v>
      </c>
      <c r="AG285">
        <f t="shared" ca="1" si="144"/>
        <v>0</v>
      </c>
      <c r="AH285">
        <f ca="1">IFERROR(IF(V32="Supercritical",MAX($D$16,IFERROR(L285,MAX($D$16,POWER((ABS(K285)^2)/($I$5*MAX(F285,0.1)^2),1/3)))),IF(V32="Subcritical",MAX($D$16,IFERROR(W285,MAX($D$16,POWER((ABS(K285)^2)/($I$5*MAX(F285,0.1)^2),1/3)))),IF(AND(IFERROR(V285,0)=1,IFERROR(AG285,0)=1),IF(IFERROR(T285,-1E+99)&gt;=IFERROR(AE285,-1E+99),MAX($D$16,IFERROR(L285,MAX($D$16,POWER((ABS(K285)^2)/($I$5*MAX(F285,0.1)^2),1/3)))),MAX($D$16,IFERROR(W285,MAX($D$16,POWER((ABS(K285)^2)/($I$5*MAX(F285,0.1)^2),1/3))))),IF(IFERROR(V285,0)=1,MAX($D$16,IFERROR(L285,MAX($D$16,POWER((ABS(K285)^2)/($I$5*MAX(F285,0.1)^2),1/3)))),IF(IFERROR(AG285,0)=1,MAX($D$16,IFERROR(W285,MAX($D$16,POWER((ABS(K285)^2)/($I$5*MAX(F285,0.1)^2),1/3)))),MAX($D$16,POWER((ABS(K285)^2)/($I$5*MAX(F285,0.1)^2),1/3))))))),MAX($D$16,POWER((ABS(K285)^2)/($I$5*MAX(F285,0.1)^2),1/3)))</f>
        <v>2.1389677043987478</v>
      </c>
      <c r="AI285">
        <f t="shared" ca="1" si="145"/>
        <v>634.58946770439877</v>
      </c>
      <c r="AJ285">
        <f t="shared" ca="1" si="146"/>
        <v>635.65895155659814</v>
      </c>
      <c r="AM285">
        <v>0</v>
      </c>
      <c r="AN285">
        <v>0</v>
      </c>
      <c r="AO285">
        <f t="shared" si="147"/>
        <v>0</v>
      </c>
      <c r="AP285">
        <f t="shared" si="156"/>
        <v>0</v>
      </c>
      <c r="AQ285">
        <f t="shared" ca="1" si="148"/>
        <v>1.0000000000000004</v>
      </c>
      <c r="AR285" t="str">
        <f t="shared" ca="1" si="149"/>
        <v>Supercritical</v>
      </c>
      <c r="AS285">
        <f t="shared" ca="1" si="150"/>
        <v>3.8141460404132466E-3</v>
      </c>
    </row>
    <row r="286" spans="1:45" x14ac:dyDescent="0.35">
      <c r="A286">
        <v>225</v>
      </c>
      <c r="B286">
        <v>223.99600000000001</v>
      </c>
      <c r="C286">
        <v>616360.80299999996</v>
      </c>
      <c r="D286">
        <v>3097690.102</v>
      </c>
      <c r="E286">
        <v>632.45000000000005</v>
      </c>
      <c r="F286">
        <v>5.2</v>
      </c>
      <c r="G286">
        <v>0</v>
      </c>
      <c r="H286" t="s">
        <v>154</v>
      </c>
      <c r="I286">
        <v>5.5E-2</v>
      </c>
      <c r="J286">
        <f t="shared" si="151"/>
        <v>0.99899999999999523</v>
      </c>
      <c r="K286">
        <f t="shared" ca="1" si="152"/>
        <v>50.95</v>
      </c>
      <c r="L286">
        <f t="shared" ca="1" si="153"/>
        <v>2.1389677043987478</v>
      </c>
      <c r="M286">
        <f t="shared" ca="1" si="126"/>
        <v>11.122632062873489</v>
      </c>
      <c r="N286">
        <f t="shared" ca="1" si="127"/>
        <v>1.1735290000551568</v>
      </c>
      <c r="O286">
        <f t="shared" ca="1" si="128"/>
        <v>4.5807502857230418</v>
      </c>
      <c r="P286">
        <f t="shared" ca="1" si="129"/>
        <v>634.58896770439878</v>
      </c>
      <c r="Q286">
        <f t="shared" ca="1" si="130"/>
        <v>635.65845155659815</v>
      </c>
      <c r="R286">
        <f t="shared" ca="1" si="131"/>
        <v>3.8141460404132466E-3</v>
      </c>
      <c r="S286">
        <f t="shared" ca="1" si="132"/>
        <v>1.0000000000000004</v>
      </c>
      <c r="T286">
        <f t="shared" ca="1" si="133"/>
        <v>35.686426155594638</v>
      </c>
      <c r="U286">
        <f t="shared" ca="1" si="154"/>
        <v>-3.4083679141758694E-3</v>
      </c>
      <c r="V286">
        <f t="shared" ca="1" si="155"/>
        <v>1</v>
      </c>
      <c r="W286">
        <f t="shared" ca="1" si="134"/>
        <v>2.1292738322515605</v>
      </c>
      <c r="X286">
        <f t="shared" ca="1" si="135"/>
        <v>11.072223927708116</v>
      </c>
      <c r="Y286">
        <f t="shared" ca="1" si="136"/>
        <v>1.1706050781200734</v>
      </c>
      <c r="Z286">
        <f t="shared" ca="1" si="137"/>
        <v>4.6016049108705435</v>
      </c>
      <c r="AA286">
        <f t="shared" ca="1" si="138"/>
        <v>634.5792738322516</v>
      </c>
      <c r="AB286">
        <f t="shared" ca="1" si="139"/>
        <v>635.65851785649966</v>
      </c>
      <c r="AC286">
        <f t="shared" ca="1" si="140"/>
        <v>3.8617779824089106E-3</v>
      </c>
      <c r="AD286">
        <f t="shared" ca="1" si="141"/>
        <v>1.0068367653441617</v>
      </c>
      <c r="AE286">
        <f t="shared" ca="1" si="142"/>
        <v>35.687161355281063</v>
      </c>
      <c r="AF286">
        <f t="shared" ca="1" si="143"/>
        <v>3.3656397603181176E-3</v>
      </c>
      <c r="AG286">
        <f t="shared" ca="1" si="144"/>
        <v>0</v>
      </c>
      <c r="AH286">
        <f ca="1">IFERROR(IF(V32="Supercritical",MAX($D$16,IFERROR(L286,MAX($D$16,POWER((ABS(K286)^2)/($I$5*MAX(F286,0.1)^2),1/3)))),IF(V32="Subcritical",MAX($D$16,IFERROR(W286,MAX($D$16,POWER((ABS(K286)^2)/($I$5*MAX(F286,0.1)^2),1/3)))),IF(AND(IFERROR(V286,0)=1,IFERROR(AG286,0)=1),IF(IFERROR(T286,-1E+99)&gt;=IFERROR(AE286,-1E+99),MAX($D$16,IFERROR(L286,MAX($D$16,POWER((ABS(K286)^2)/($I$5*MAX(F286,0.1)^2),1/3)))),MAX($D$16,IFERROR(W286,MAX($D$16,POWER((ABS(K286)^2)/($I$5*MAX(F286,0.1)^2),1/3))))),IF(IFERROR(V286,0)=1,MAX($D$16,IFERROR(L286,MAX($D$16,POWER((ABS(K286)^2)/($I$5*MAX(F286,0.1)^2),1/3)))),IF(IFERROR(AG286,0)=1,MAX($D$16,IFERROR(W286,MAX($D$16,POWER((ABS(K286)^2)/($I$5*MAX(F286,0.1)^2),1/3)))),MAX($D$16,POWER((ABS(K286)^2)/($I$5*MAX(F286,0.1)^2),1/3))))))),MAX($D$16,POWER((ABS(K286)^2)/($I$5*MAX(F286,0.1)^2),1/3)))</f>
        <v>2.1389677043987478</v>
      </c>
      <c r="AI286">
        <f t="shared" ca="1" si="145"/>
        <v>634.58896770439878</v>
      </c>
      <c r="AJ286">
        <f t="shared" ca="1" si="146"/>
        <v>635.65845155659815</v>
      </c>
      <c r="AM286">
        <v>0</v>
      </c>
      <c r="AN286">
        <v>0</v>
      </c>
      <c r="AO286">
        <f t="shared" si="147"/>
        <v>0</v>
      </c>
      <c r="AP286">
        <f t="shared" si="156"/>
        <v>0</v>
      </c>
      <c r="AQ286">
        <f t="shared" ca="1" si="148"/>
        <v>1.0000000000000004</v>
      </c>
      <c r="AR286" t="str">
        <f t="shared" ca="1" si="149"/>
        <v>Supercritical</v>
      </c>
      <c r="AS286">
        <f t="shared" ca="1" si="150"/>
        <v>3.8141460404132466E-3</v>
      </c>
    </row>
    <row r="287" spans="1:45" x14ac:dyDescent="0.35">
      <c r="A287">
        <v>226</v>
      </c>
      <c r="B287">
        <v>224.99700000000001</v>
      </c>
      <c r="C287">
        <v>616359.804</v>
      </c>
      <c r="D287">
        <v>3097690.054</v>
      </c>
      <c r="E287">
        <v>632.44949999999994</v>
      </c>
      <c r="F287">
        <v>5.2</v>
      </c>
      <c r="G287">
        <v>0</v>
      </c>
      <c r="H287" t="s">
        <v>154</v>
      </c>
      <c r="I287">
        <v>0</v>
      </c>
      <c r="J287">
        <f t="shared" si="151"/>
        <v>1.0010000000000048</v>
      </c>
      <c r="K287">
        <f t="shared" ca="1" si="152"/>
        <v>50.95</v>
      </c>
      <c r="L287">
        <f t="shared" ca="1" si="153"/>
        <v>2.1389677043987478</v>
      </c>
      <c r="M287">
        <f t="shared" ca="1" si="126"/>
        <v>11.122632062873489</v>
      </c>
      <c r="N287">
        <f t="shared" ca="1" si="127"/>
        <v>1.1735290000551568</v>
      </c>
      <c r="O287">
        <f t="shared" ca="1" si="128"/>
        <v>4.5807502857230418</v>
      </c>
      <c r="P287">
        <f t="shared" ca="1" si="129"/>
        <v>634.58846770439868</v>
      </c>
      <c r="Q287">
        <f t="shared" ca="1" si="130"/>
        <v>635.65795155659805</v>
      </c>
      <c r="R287">
        <f t="shared" ca="1" si="131"/>
        <v>3.8141460404132466E-3</v>
      </c>
      <c r="S287">
        <f t="shared" ca="1" si="132"/>
        <v>1.0000000000000004</v>
      </c>
      <c r="T287">
        <f t="shared" ca="1" si="133"/>
        <v>35.686426155594638</v>
      </c>
      <c r="U287">
        <f t="shared" ca="1" si="154"/>
        <v>-3.317960186336677E-3</v>
      </c>
      <c r="V287">
        <f t="shared" ca="1" si="155"/>
        <v>1</v>
      </c>
      <c r="W287">
        <f t="shared" ca="1" si="134"/>
        <v>2.1297833440504221</v>
      </c>
      <c r="X287">
        <f t="shared" ca="1" si="135"/>
        <v>11.074873389062196</v>
      </c>
      <c r="Y287">
        <f t="shared" ca="1" si="136"/>
        <v>1.1707590584453769</v>
      </c>
      <c r="Z287">
        <f t="shared" ca="1" si="137"/>
        <v>4.6005040608698442</v>
      </c>
      <c r="AA287">
        <f t="shared" ca="1" si="138"/>
        <v>634.5792833440504</v>
      </c>
      <c r="AB287">
        <f t="shared" ca="1" si="139"/>
        <v>635.6580110511901</v>
      </c>
      <c r="AC287">
        <f t="shared" ca="1" si="140"/>
        <v>3.8592536118309366E-3</v>
      </c>
      <c r="AD287">
        <f t="shared" ca="1" si="141"/>
        <v>1.006475485970022</v>
      </c>
      <c r="AE287">
        <f t="shared" ca="1" si="142"/>
        <v>35.687085996435925</v>
      </c>
      <c r="AF287">
        <f t="shared" ca="1" si="143"/>
        <v>3.4617327439718792E-3</v>
      </c>
      <c r="AG287">
        <f t="shared" ca="1" si="144"/>
        <v>0</v>
      </c>
      <c r="AH287">
        <f ca="1">IFERROR(IF(V32="Supercritical",MAX($D$16,IFERROR(L287,MAX($D$16,POWER((ABS(K287)^2)/($I$5*MAX(F287,0.1)^2),1/3)))),IF(V32="Subcritical",MAX($D$16,IFERROR(W287,MAX($D$16,POWER((ABS(K287)^2)/($I$5*MAX(F287,0.1)^2),1/3)))),IF(AND(IFERROR(V287,0)=1,IFERROR(AG287,0)=1),IF(IFERROR(T287,-1E+99)&gt;=IFERROR(AE287,-1E+99),MAX($D$16,IFERROR(L287,MAX($D$16,POWER((ABS(K287)^2)/($I$5*MAX(F287,0.1)^2),1/3)))),MAX($D$16,IFERROR(W287,MAX($D$16,POWER((ABS(K287)^2)/($I$5*MAX(F287,0.1)^2),1/3))))),IF(IFERROR(V287,0)=1,MAX($D$16,IFERROR(L287,MAX($D$16,POWER((ABS(K287)^2)/($I$5*MAX(F287,0.1)^2),1/3)))),IF(IFERROR(AG287,0)=1,MAX($D$16,IFERROR(W287,MAX($D$16,POWER((ABS(K287)^2)/($I$5*MAX(F287,0.1)^2),1/3)))),MAX($D$16,POWER((ABS(K287)^2)/($I$5*MAX(F287,0.1)^2),1/3))))))),MAX($D$16,POWER((ABS(K287)^2)/($I$5*MAX(F287,0.1)^2),1/3)))</f>
        <v>2.1389677043987478</v>
      </c>
      <c r="AI287">
        <f t="shared" ca="1" si="145"/>
        <v>634.58846770439868</v>
      </c>
      <c r="AJ287">
        <f t="shared" ca="1" si="146"/>
        <v>635.65795155659805</v>
      </c>
      <c r="AM287">
        <v>0</v>
      </c>
      <c r="AN287">
        <v>0</v>
      </c>
      <c r="AO287">
        <f t="shared" si="147"/>
        <v>0</v>
      </c>
      <c r="AP287">
        <f t="shared" si="156"/>
        <v>0</v>
      </c>
      <c r="AQ287">
        <f t="shared" ca="1" si="148"/>
        <v>1.0000000000000004</v>
      </c>
      <c r="AR287" t="str">
        <f t="shared" ca="1" si="149"/>
        <v>Supercritical</v>
      </c>
      <c r="AS287">
        <f t="shared" ca="1" si="150"/>
        <v>3.8141460404132466E-3</v>
      </c>
    </row>
    <row r="288" spans="1:45" x14ac:dyDescent="0.35">
      <c r="A288">
        <v>227</v>
      </c>
      <c r="B288">
        <v>225.99700000000001</v>
      </c>
      <c r="C288">
        <v>616358.80500000005</v>
      </c>
      <c r="D288">
        <v>3097690.0060000001</v>
      </c>
      <c r="E288">
        <v>632.44899999999996</v>
      </c>
      <c r="F288">
        <v>5.2</v>
      </c>
      <c r="G288">
        <v>0</v>
      </c>
      <c r="H288" t="s">
        <v>154</v>
      </c>
      <c r="I288">
        <v>5.7000000000000002E-2</v>
      </c>
      <c r="J288">
        <f t="shared" si="151"/>
        <v>1</v>
      </c>
      <c r="K288">
        <f t="shared" ca="1" si="152"/>
        <v>50.95</v>
      </c>
      <c r="L288">
        <f t="shared" ca="1" si="153"/>
        <v>2.1389677043987478</v>
      </c>
      <c r="M288">
        <f t="shared" ca="1" si="126"/>
        <v>11.122632062873489</v>
      </c>
      <c r="N288">
        <f t="shared" ca="1" si="127"/>
        <v>1.1735290000551568</v>
      </c>
      <c r="O288">
        <f t="shared" ca="1" si="128"/>
        <v>4.5807502857230418</v>
      </c>
      <c r="P288">
        <f t="shared" ca="1" si="129"/>
        <v>634.58796770439869</v>
      </c>
      <c r="Q288">
        <f t="shared" ca="1" si="130"/>
        <v>635.65745155659806</v>
      </c>
      <c r="R288">
        <f t="shared" ca="1" si="131"/>
        <v>3.8141460404132466E-3</v>
      </c>
      <c r="S288">
        <f t="shared" ca="1" si="132"/>
        <v>1.0000000000000004</v>
      </c>
      <c r="T288">
        <f t="shared" ca="1" si="133"/>
        <v>35.686426155594638</v>
      </c>
      <c r="U288">
        <f t="shared" ca="1" si="154"/>
        <v>-3.4157470064428708E-3</v>
      </c>
      <c r="V288">
        <f t="shared" ca="1" si="155"/>
        <v>1</v>
      </c>
      <c r="W288">
        <f t="shared" ca="1" si="134"/>
        <v>2.1292738322123728</v>
      </c>
      <c r="X288">
        <f t="shared" ca="1" si="135"/>
        <v>11.072223927504339</v>
      </c>
      <c r="Y288">
        <f t="shared" ca="1" si="136"/>
        <v>1.1706050781082293</v>
      </c>
      <c r="Z288">
        <f t="shared" ca="1" si="137"/>
        <v>4.6016049109552331</v>
      </c>
      <c r="AA288">
        <f t="shared" ca="1" si="138"/>
        <v>634.57827383221229</v>
      </c>
      <c r="AB288">
        <f t="shared" ca="1" si="139"/>
        <v>635.65751785650014</v>
      </c>
      <c r="AC288">
        <f t="shared" ca="1" si="140"/>
        <v>3.8617779826031532E-3</v>
      </c>
      <c r="AD288">
        <f t="shared" ca="1" si="141"/>
        <v>1.006836765371957</v>
      </c>
      <c r="AE288">
        <f t="shared" ca="1" si="142"/>
        <v>35.687161355287017</v>
      </c>
      <c r="AF288">
        <f t="shared" ca="1" si="143"/>
        <v>3.4643061649148876E-3</v>
      </c>
      <c r="AG288">
        <f t="shared" ca="1" si="144"/>
        <v>0</v>
      </c>
      <c r="AH288">
        <f ca="1">IFERROR(IF(V32="Supercritical",MAX($D$16,IFERROR(L288,MAX($D$16,POWER((ABS(K288)^2)/($I$5*MAX(F288,0.1)^2),1/3)))),IF(V32="Subcritical",MAX($D$16,IFERROR(W288,MAX($D$16,POWER((ABS(K288)^2)/($I$5*MAX(F288,0.1)^2),1/3)))),IF(AND(IFERROR(V288,0)=1,IFERROR(AG288,0)=1),IF(IFERROR(T288,-1E+99)&gt;=IFERROR(AE288,-1E+99),MAX($D$16,IFERROR(L288,MAX($D$16,POWER((ABS(K288)^2)/($I$5*MAX(F288,0.1)^2),1/3)))),MAX($D$16,IFERROR(W288,MAX($D$16,POWER((ABS(K288)^2)/($I$5*MAX(F288,0.1)^2),1/3))))),IF(IFERROR(V288,0)=1,MAX($D$16,IFERROR(L288,MAX($D$16,POWER((ABS(K288)^2)/($I$5*MAX(F288,0.1)^2),1/3)))),IF(IFERROR(AG288,0)=1,MAX($D$16,IFERROR(W288,MAX($D$16,POWER((ABS(K288)^2)/($I$5*MAX(F288,0.1)^2),1/3)))),MAX($D$16,POWER((ABS(K288)^2)/($I$5*MAX(F288,0.1)^2),1/3))))))),MAX($D$16,POWER((ABS(K288)^2)/($I$5*MAX(F288,0.1)^2),1/3)))</f>
        <v>2.1389677043987478</v>
      </c>
      <c r="AI288">
        <f t="shared" ca="1" si="145"/>
        <v>634.58796770439869</v>
      </c>
      <c r="AJ288">
        <f t="shared" ca="1" si="146"/>
        <v>635.65745155659806</v>
      </c>
      <c r="AM288">
        <v>0</v>
      </c>
      <c r="AN288">
        <v>0</v>
      </c>
      <c r="AO288">
        <f t="shared" si="147"/>
        <v>0</v>
      </c>
      <c r="AP288">
        <f t="shared" si="156"/>
        <v>0</v>
      </c>
      <c r="AQ288">
        <f t="shared" ca="1" si="148"/>
        <v>1.0000000000000004</v>
      </c>
      <c r="AR288" t="str">
        <f t="shared" ca="1" si="149"/>
        <v>Supercritical</v>
      </c>
      <c r="AS288">
        <f t="shared" ca="1" si="150"/>
        <v>3.8141460404132466E-3</v>
      </c>
    </row>
    <row r="289" spans="1:45" x14ac:dyDescent="0.35">
      <c r="A289">
        <v>228</v>
      </c>
      <c r="B289">
        <v>226.99700000000001</v>
      </c>
      <c r="C289">
        <v>616357.80599999998</v>
      </c>
      <c r="D289">
        <v>3097689.9589999998</v>
      </c>
      <c r="E289">
        <v>632.44849999999997</v>
      </c>
      <c r="F289">
        <v>5.2</v>
      </c>
      <c r="G289">
        <v>0</v>
      </c>
      <c r="H289" t="s">
        <v>154</v>
      </c>
      <c r="I289">
        <v>5.7000000000000002E-2</v>
      </c>
      <c r="J289">
        <f t="shared" si="151"/>
        <v>1</v>
      </c>
      <c r="K289">
        <f t="shared" ca="1" si="152"/>
        <v>50.95</v>
      </c>
      <c r="L289">
        <f t="shared" ca="1" si="153"/>
        <v>2.1389677043987478</v>
      </c>
      <c r="M289">
        <f t="shared" ca="1" si="126"/>
        <v>11.122632062873489</v>
      </c>
      <c r="N289">
        <f t="shared" ca="1" si="127"/>
        <v>1.1735290000551568</v>
      </c>
      <c r="O289">
        <f t="shared" ca="1" si="128"/>
        <v>4.5807502857230418</v>
      </c>
      <c r="P289">
        <f t="shared" ca="1" si="129"/>
        <v>634.5874677043987</v>
      </c>
      <c r="Q289">
        <f t="shared" ca="1" si="130"/>
        <v>635.65695155659807</v>
      </c>
      <c r="R289">
        <f t="shared" ca="1" si="131"/>
        <v>3.8141460404132466E-3</v>
      </c>
      <c r="S289">
        <f t="shared" ca="1" si="132"/>
        <v>1.0000000000000004</v>
      </c>
      <c r="T289">
        <f t="shared" ca="1" si="133"/>
        <v>35.686426155594638</v>
      </c>
      <c r="U289">
        <f t="shared" ca="1" si="154"/>
        <v>-3.4157470064428708E-3</v>
      </c>
      <c r="V289">
        <f t="shared" ca="1" si="155"/>
        <v>1</v>
      </c>
      <c r="W289">
        <f t="shared" ca="1" si="134"/>
        <v>2.1297833440497915</v>
      </c>
      <c r="X289">
        <f t="shared" ca="1" si="135"/>
        <v>11.074873389058917</v>
      </c>
      <c r="Y289">
        <f t="shared" ca="1" si="136"/>
        <v>1.1707590584451864</v>
      </c>
      <c r="Z289">
        <f t="shared" ca="1" si="137"/>
        <v>4.6005040608712058</v>
      </c>
      <c r="AA289">
        <f t="shared" ca="1" si="138"/>
        <v>634.57828334404974</v>
      </c>
      <c r="AB289">
        <f t="shared" ca="1" si="139"/>
        <v>635.65701105119001</v>
      </c>
      <c r="AC289">
        <f t="shared" ca="1" si="140"/>
        <v>3.8592536118340582E-3</v>
      </c>
      <c r="AD289">
        <f t="shared" ca="1" si="141"/>
        <v>1.0064754859704685</v>
      </c>
      <c r="AE289">
        <f t="shared" ca="1" si="142"/>
        <v>35.687085996436011</v>
      </c>
      <c r="AF289">
        <f t="shared" ca="1" si="143"/>
        <v>3.4617327439718792E-3</v>
      </c>
      <c r="AG289">
        <f t="shared" ca="1" si="144"/>
        <v>0</v>
      </c>
      <c r="AH289">
        <f ca="1">IFERROR(IF(V32="Supercritical",MAX($D$16,IFERROR(L289,MAX($D$16,POWER((ABS(K289)^2)/($I$5*MAX(F289,0.1)^2),1/3)))),IF(V32="Subcritical",MAX($D$16,IFERROR(W289,MAX($D$16,POWER((ABS(K289)^2)/($I$5*MAX(F289,0.1)^2),1/3)))),IF(AND(IFERROR(V289,0)=1,IFERROR(AG289,0)=1),IF(IFERROR(T289,-1E+99)&gt;=IFERROR(AE289,-1E+99),MAX($D$16,IFERROR(L289,MAX($D$16,POWER((ABS(K289)^2)/($I$5*MAX(F289,0.1)^2),1/3)))),MAX($D$16,IFERROR(W289,MAX($D$16,POWER((ABS(K289)^2)/($I$5*MAX(F289,0.1)^2),1/3))))),IF(IFERROR(V289,0)=1,MAX($D$16,IFERROR(L289,MAX($D$16,POWER((ABS(K289)^2)/($I$5*MAX(F289,0.1)^2),1/3)))),IF(IFERROR(AG289,0)=1,MAX($D$16,IFERROR(W289,MAX($D$16,POWER((ABS(K289)^2)/($I$5*MAX(F289,0.1)^2),1/3)))),MAX($D$16,POWER((ABS(K289)^2)/($I$5*MAX(F289,0.1)^2),1/3))))))),MAX($D$16,POWER((ABS(K289)^2)/($I$5*MAX(F289,0.1)^2),1/3)))</f>
        <v>2.1389677043987478</v>
      </c>
      <c r="AI289">
        <f t="shared" ca="1" si="145"/>
        <v>634.5874677043987</v>
      </c>
      <c r="AJ289">
        <f t="shared" ca="1" si="146"/>
        <v>635.65695155659807</v>
      </c>
      <c r="AM289">
        <v>0</v>
      </c>
      <c r="AN289">
        <v>0</v>
      </c>
      <c r="AO289">
        <f t="shared" si="147"/>
        <v>0</v>
      </c>
      <c r="AP289">
        <f t="shared" si="156"/>
        <v>0</v>
      </c>
      <c r="AQ289">
        <f t="shared" ca="1" si="148"/>
        <v>1.0000000000000004</v>
      </c>
      <c r="AR289" t="str">
        <f t="shared" ca="1" si="149"/>
        <v>Supercritical</v>
      </c>
      <c r="AS289">
        <f t="shared" ca="1" si="150"/>
        <v>3.8141460404132466E-3</v>
      </c>
    </row>
    <row r="290" spans="1:45" x14ac:dyDescent="0.35">
      <c r="A290">
        <v>229</v>
      </c>
      <c r="B290">
        <v>227.99700000000001</v>
      </c>
      <c r="C290">
        <v>616356.80700000003</v>
      </c>
      <c r="D290">
        <v>3097689.9109999998</v>
      </c>
      <c r="E290">
        <v>632.44799999999998</v>
      </c>
      <c r="F290">
        <v>5.2</v>
      </c>
      <c r="G290">
        <v>0</v>
      </c>
      <c r="H290" t="s">
        <v>154</v>
      </c>
      <c r="I290">
        <v>5.7000000000000002E-2</v>
      </c>
      <c r="J290">
        <f t="shared" si="151"/>
        <v>1</v>
      </c>
      <c r="K290">
        <f t="shared" ca="1" si="152"/>
        <v>50.95</v>
      </c>
      <c r="L290">
        <f t="shared" ca="1" si="153"/>
        <v>2.1389677043987478</v>
      </c>
      <c r="M290">
        <f t="shared" ca="1" si="126"/>
        <v>11.122632062873489</v>
      </c>
      <c r="N290">
        <f t="shared" ca="1" si="127"/>
        <v>1.1735290000551568</v>
      </c>
      <c r="O290">
        <f t="shared" ca="1" si="128"/>
        <v>4.5807502857230418</v>
      </c>
      <c r="P290">
        <f t="shared" ca="1" si="129"/>
        <v>634.58696770439872</v>
      </c>
      <c r="Q290">
        <f t="shared" ca="1" si="130"/>
        <v>635.65645155659809</v>
      </c>
      <c r="R290">
        <f t="shared" ca="1" si="131"/>
        <v>3.8141460404132466E-3</v>
      </c>
      <c r="S290">
        <f t="shared" ca="1" si="132"/>
        <v>1.0000000000000004</v>
      </c>
      <c r="T290">
        <f t="shared" ca="1" si="133"/>
        <v>35.686426155594638</v>
      </c>
      <c r="U290">
        <f t="shared" ca="1" si="154"/>
        <v>-3.4157470064428708E-3</v>
      </c>
      <c r="V290">
        <f t="shared" ca="1" si="155"/>
        <v>1</v>
      </c>
      <c r="W290">
        <f t="shared" ca="1" si="134"/>
        <v>2.1292738322117422</v>
      </c>
      <c r="X290">
        <f t="shared" ca="1" si="135"/>
        <v>11.07222392750106</v>
      </c>
      <c r="Y290">
        <f t="shared" ca="1" si="136"/>
        <v>1.1706050781080386</v>
      </c>
      <c r="Z290">
        <f t="shared" ca="1" si="137"/>
        <v>4.6016049109565955</v>
      </c>
      <c r="AA290">
        <f t="shared" ca="1" si="138"/>
        <v>634.57727383221174</v>
      </c>
      <c r="AB290">
        <f t="shared" ca="1" si="139"/>
        <v>635.65651785650027</v>
      </c>
      <c r="AC290">
        <f t="shared" ca="1" si="140"/>
        <v>3.86177798260628E-3</v>
      </c>
      <c r="AD290">
        <f t="shared" ca="1" si="141"/>
        <v>1.0068367653724042</v>
      </c>
      <c r="AE290">
        <f t="shared" ca="1" si="142"/>
        <v>35.68716135528711</v>
      </c>
      <c r="AF290">
        <f t="shared" ca="1" si="143"/>
        <v>3.4643061649148876E-3</v>
      </c>
      <c r="AG290">
        <f t="shared" ca="1" si="144"/>
        <v>0</v>
      </c>
      <c r="AH290">
        <f ca="1">IFERROR(IF(V32="Supercritical",MAX($D$16,IFERROR(L290,MAX($D$16,POWER((ABS(K290)^2)/($I$5*MAX(F290,0.1)^2),1/3)))),IF(V32="Subcritical",MAX($D$16,IFERROR(W290,MAX($D$16,POWER((ABS(K290)^2)/($I$5*MAX(F290,0.1)^2),1/3)))),IF(AND(IFERROR(V290,0)=1,IFERROR(AG290,0)=1),IF(IFERROR(T290,-1E+99)&gt;=IFERROR(AE290,-1E+99),MAX($D$16,IFERROR(L290,MAX($D$16,POWER((ABS(K290)^2)/($I$5*MAX(F290,0.1)^2),1/3)))),MAX($D$16,IFERROR(W290,MAX($D$16,POWER((ABS(K290)^2)/($I$5*MAX(F290,0.1)^2),1/3))))),IF(IFERROR(V290,0)=1,MAX($D$16,IFERROR(L290,MAX($D$16,POWER((ABS(K290)^2)/($I$5*MAX(F290,0.1)^2),1/3)))),IF(IFERROR(AG290,0)=1,MAX($D$16,IFERROR(W290,MAX($D$16,POWER((ABS(K290)^2)/($I$5*MAX(F290,0.1)^2),1/3)))),MAX($D$16,POWER((ABS(K290)^2)/($I$5*MAX(F290,0.1)^2),1/3))))))),MAX($D$16,POWER((ABS(K290)^2)/($I$5*MAX(F290,0.1)^2),1/3)))</f>
        <v>2.1389677043987478</v>
      </c>
      <c r="AI290">
        <f t="shared" ca="1" si="145"/>
        <v>634.58696770439872</v>
      </c>
      <c r="AJ290">
        <f t="shared" ca="1" si="146"/>
        <v>635.65645155659809</v>
      </c>
      <c r="AM290">
        <v>0</v>
      </c>
      <c r="AN290">
        <v>0</v>
      </c>
      <c r="AO290">
        <f t="shared" si="147"/>
        <v>0</v>
      </c>
      <c r="AP290">
        <f t="shared" si="156"/>
        <v>0</v>
      </c>
      <c r="AQ290">
        <f t="shared" ca="1" si="148"/>
        <v>1.0000000000000004</v>
      </c>
      <c r="AR290" t="str">
        <f t="shared" ca="1" si="149"/>
        <v>Supercritical</v>
      </c>
      <c r="AS290">
        <f t="shared" ca="1" si="150"/>
        <v>3.8141460404132466E-3</v>
      </c>
    </row>
    <row r="291" spans="1:45" x14ac:dyDescent="0.35">
      <c r="A291">
        <v>230</v>
      </c>
      <c r="B291">
        <v>228.99700000000001</v>
      </c>
      <c r="C291">
        <v>616355.80799999996</v>
      </c>
      <c r="D291">
        <v>3097689.8640000001</v>
      </c>
      <c r="E291">
        <v>632.44749999999999</v>
      </c>
      <c r="F291">
        <v>5.2</v>
      </c>
      <c r="G291">
        <v>0</v>
      </c>
      <c r="H291" t="s">
        <v>154</v>
      </c>
      <c r="I291">
        <v>5.7000000000000002E-2</v>
      </c>
      <c r="J291">
        <f t="shared" si="151"/>
        <v>1</v>
      </c>
      <c r="K291">
        <f t="shared" ca="1" si="152"/>
        <v>50.95</v>
      </c>
      <c r="L291">
        <f t="shared" ca="1" si="153"/>
        <v>2.1389677043987478</v>
      </c>
      <c r="M291">
        <f t="shared" ca="1" si="126"/>
        <v>11.122632062873489</v>
      </c>
      <c r="N291">
        <f t="shared" ca="1" si="127"/>
        <v>1.1735290000551568</v>
      </c>
      <c r="O291">
        <f t="shared" ca="1" si="128"/>
        <v>4.5807502857230418</v>
      </c>
      <c r="P291">
        <f t="shared" ca="1" si="129"/>
        <v>634.58646770439873</v>
      </c>
      <c r="Q291">
        <f t="shared" ca="1" si="130"/>
        <v>635.6559515565981</v>
      </c>
      <c r="R291">
        <f t="shared" ca="1" si="131"/>
        <v>3.8141460404132466E-3</v>
      </c>
      <c r="S291">
        <f t="shared" ca="1" si="132"/>
        <v>1.0000000000000004</v>
      </c>
      <c r="T291">
        <f t="shared" ca="1" si="133"/>
        <v>35.686426155594638</v>
      </c>
      <c r="U291">
        <f t="shared" ca="1" si="154"/>
        <v>-3.4157470064428708E-3</v>
      </c>
      <c r="V291">
        <f t="shared" ca="1" si="155"/>
        <v>1</v>
      </c>
      <c r="W291">
        <f t="shared" ca="1" si="134"/>
        <v>2.1297833440497915</v>
      </c>
      <c r="X291">
        <f t="shared" ca="1" si="135"/>
        <v>11.074873389058917</v>
      </c>
      <c r="Y291">
        <f t="shared" ca="1" si="136"/>
        <v>1.1707590584451864</v>
      </c>
      <c r="Z291">
        <f t="shared" ca="1" si="137"/>
        <v>4.6005040608712058</v>
      </c>
      <c r="AA291">
        <f t="shared" ca="1" si="138"/>
        <v>634.57728334404976</v>
      </c>
      <c r="AB291">
        <f t="shared" ca="1" si="139"/>
        <v>635.65601105119003</v>
      </c>
      <c r="AC291">
        <f t="shared" ca="1" si="140"/>
        <v>3.8592536118340582E-3</v>
      </c>
      <c r="AD291">
        <f t="shared" ca="1" si="141"/>
        <v>1.0064754859704685</v>
      </c>
      <c r="AE291">
        <f t="shared" ca="1" si="142"/>
        <v>35.687085996436011</v>
      </c>
      <c r="AF291">
        <f t="shared" ca="1" si="143"/>
        <v>3.3592536118476346E-3</v>
      </c>
      <c r="AG291">
        <f t="shared" ca="1" si="144"/>
        <v>0</v>
      </c>
      <c r="AH291">
        <f ca="1">IFERROR(IF(V32="Supercritical",MAX($D$16,IFERROR(L291,MAX($D$16,POWER((ABS(K291)^2)/($I$5*MAX(F291,0.1)^2),1/3)))),IF(V32="Subcritical",MAX($D$16,IFERROR(W291,MAX($D$16,POWER((ABS(K291)^2)/($I$5*MAX(F291,0.1)^2),1/3)))),IF(AND(IFERROR(V291,0)=1,IFERROR(AG291,0)=1),IF(IFERROR(T291,-1E+99)&gt;=IFERROR(AE291,-1E+99),MAX($D$16,IFERROR(L291,MAX($D$16,POWER((ABS(K291)^2)/($I$5*MAX(F291,0.1)^2),1/3)))),MAX($D$16,IFERROR(W291,MAX($D$16,POWER((ABS(K291)^2)/($I$5*MAX(F291,0.1)^2),1/3))))),IF(IFERROR(V291,0)=1,MAX($D$16,IFERROR(L291,MAX($D$16,POWER((ABS(K291)^2)/($I$5*MAX(F291,0.1)^2),1/3)))),IF(IFERROR(AG291,0)=1,MAX($D$16,IFERROR(W291,MAX($D$16,POWER((ABS(K291)^2)/($I$5*MAX(F291,0.1)^2),1/3)))),MAX($D$16,POWER((ABS(K291)^2)/($I$5*MAX(F291,0.1)^2),1/3))))))),MAX($D$16,POWER((ABS(K291)^2)/($I$5*MAX(F291,0.1)^2),1/3)))</f>
        <v>2.1389677043987478</v>
      </c>
      <c r="AI291">
        <f t="shared" ca="1" si="145"/>
        <v>634.58646770439873</v>
      </c>
      <c r="AJ291">
        <f t="shared" ca="1" si="146"/>
        <v>635.6559515565981</v>
      </c>
      <c r="AM291">
        <v>0</v>
      </c>
      <c r="AN291">
        <v>0</v>
      </c>
      <c r="AO291">
        <f t="shared" si="147"/>
        <v>0</v>
      </c>
      <c r="AP291">
        <f t="shared" si="156"/>
        <v>0</v>
      </c>
      <c r="AQ291">
        <f t="shared" ca="1" si="148"/>
        <v>1.0000000000000004</v>
      </c>
      <c r="AR291" t="str">
        <f t="shared" ca="1" si="149"/>
        <v>Supercritical</v>
      </c>
      <c r="AS291">
        <f t="shared" ca="1" si="150"/>
        <v>3.8141460404132466E-3</v>
      </c>
    </row>
    <row r="292" spans="1:45" x14ac:dyDescent="0.35">
      <c r="A292">
        <v>231</v>
      </c>
      <c r="B292">
        <v>229.99700000000001</v>
      </c>
      <c r="C292">
        <v>616354.80900000001</v>
      </c>
      <c r="D292">
        <v>3097689.8160000001</v>
      </c>
      <c r="E292">
        <v>632.447</v>
      </c>
      <c r="F292">
        <v>5.2</v>
      </c>
      <c r="G292">
        <v>0</v>
      </c>
      <c r="H292" t="s">
        <v>154</v>
      </c>
      <c r="I292">
        <v>0</v>
      </c>
      <c r="J292">
        <f t="shared" si="151"/>
        <v>1</v>
      </c>
      <c r="K292">
        <f t="shared" ca="1" si="152"/>
        <v>50.95</v>
      </c>
      <c r="L292">
        <f t="shared" ca="1" si="153"/>
        <v>2.1389677043987478</v>
      </c>
      <c r="M292">
        <f t="shared" ca="1" si="126"/>
        <v>11.122632062873489</v>
      </c>
      <c r="N292">
        <f t="shared" ca="1" si="127"/>
        <v>1.1735290000551568</v>
      </c>
      <c r="O292">
        <f t="shared" ca="1" si="128"/>
        <v>4.5807502857230418</v>
      </c>
      <c r="P292">
        <f t="shared" ca="1" si="129"/>
        <v>634.58596770439874</v>
      </c>
      <c r="Q292">
        <f t="shared" ca="1" si="130"/>
        <v>635.65545155659811</v>
      </c>
      <c r="R292">
        <f t="shared" ca="1" si="131"/>
        <v>3.8141460404132466E-3</v>
      </c>
      <c r="S292">
        <f t="shared" ca="1" si="132"/>
        <v>1.0000000000000004</v>
      </c>
      <c r="T292">
        <f t="shared" ca="1" si="133"/>
        <v>35.686426155594638</v>
      </c>
      <c r="U292">
        <f t="shared" ca="1" si="154"/>
        <v>-3.3141460404522149E-3</v>
      </c>
      <c r="V292">
        <f t="shared" ca="1" si="155"/>
        <v>1</v>
      </c>
      <c r="W292">
        <f t="shared" ca="1" si="134"/>
        <v>2.1292738322117422</v>
      </c>
      <c r="X292">
        <f t="shared" ca="1" si="135"/>
        <v>11.07222392750106</v>
      </c>
      <c r="Y292">
        <f t="shared" ca="1" si="136"/>
        <v>1.1706050781080386</v>
      </c>
      <c r="Z292">
        <f t="shared" ca="1" si="137"/>
        <v>4.6016049109565955</v>
      </c>
      <c r="AA292">
        <f t="shared" ca="1" si="138"/>
        <v>634.57627383221177</v>
      </c>
      <c r="AB292">
        <f t="shared" ca="1" si="139"/>
        <v>635.6555178565003</v>
      </c>
      <c r="AC292">
        <f t="shared" ca="1" si="140"/>
        <v>3.86177798260628E-3</v>
      </c>
      <c r="AD292">
        <f t="shared" ca="1" si="141"/>
        <v>1.0068367653724042</v>
      </c>
      <c r="AE292">
        <f t="shared" ca="1" si="142"/>
        <v>35.68716135528711</v>
      </c>
      <c r="AF292">
        <f t="shared" ca="1" si="143"/>
        <v>3.4607086848836843E-3</v>
      </c>
      <c r="AG292">
        <f t="shared" ca="1" si="144"/>
        <v>0</v>
      </c>
      <c r="AH292">
        <f ca="1">IFERROR(IF(V32="Supercritical",MAX($D$16,IFERROR(L292,MAX($D$16,POWER((ABS(K292)^2)/($I$5*MAX(F292,0.1)^2),1/3)))),IF(V32="Subcritical",MAX($D$16,IFERROR(W292,MAX($D$16,POWER((ABS(K292)^2)/($I$5*MAX(F292,0.1)^2),1/3)))),IF(AND(IFERROR(V292,0)=1,IFERROR(AG292,0)=1),IF(IFERROR(T292,-1E+99)&gt;=IFERROR(AE292,-1E+99),MAX($D$16,IFERROR(L292,MAX($D$16,POWER((ABS(K292)^2)/($I$5*MAX(F292,0.1)^2),1/3)))),MAX($D$16,IFERROR(W292,MAX($D$16,POWER((ABS(K292)^2)/($I$5*MAX(F292,0.1)^2),1/3))))),IF(IFERROR(V292,0)=1,MAX($D$16,IFERROR(L292,MAX($D$16,POWER((ABS(K292)^2)/($I$5*MAX(F292,0.1)^2),1/3)))),IF(IFERROR(AG292,0)=1,MAX($D$16,IFERROR(W292,MAX($D$16,POWER((ABS(K292)^2)/($I$5*MAX(F292,0.1)^2),1/3)))),MAX($D$16,POWER((ABS(K292)^2)/($I$5*MAX(F292,0.1)^2),1/3))))))),MAX($D$16,POWER((ABS(K292)^2)/($I$5*MAX(F292,0.1)^2),1/3)))</f>
        <v>2.1389677043987478</v>
      </c>
      <c r="AI292">
        <f t="shared" ca="1" si="145"/>
        <v>634.58596770439874</v>
      </c>
      <c r="AJ292">
        <f t="shared" ca="1" si="146"/>
        <v>635.65545155659811</v>
      </c>
      <c r="AM292">
        <v>0</v>
      </c>
      <c r="AN292">
        <v>0</v>
      </c>
      <c r="AO292">
        <f t="shared" si="147"/>
        <v>0</v>
      </c>
      <c r="AP292">
        <f t="shared" si="156"/>
        <v>0</v>
      </c>
      <c r="AQ292">
        <f t="shared" ca="1" si="148"/>
        <v>1.0000000000000004</v>
      </c>
      <c r="AR292" t="str">
        <f t="shared" ca="1" si="149"/>
        <v>Supercritical</v>
      </c>
      <c r="AS292">
        <f t="shared" ca="1" si="150"/>
        <v>3.8141460404132466E-3</v>
      </c>
    </row>
    <row r="293" spans="1:45" x14ac:dyDescent="0.35">
      <c r="A293">
        <v>232</v>
      </c>
      <c r="B293">
        <v>230.99700000000001</v>
      </c>
      <c r="C293">
        <v>616353.81000000006</v>
      </c>
      <c r="D293">
        <v>3097689.7680000002</v>
      </c>
      <c r="E293">
        <v>632.44650000000001</v>
      </c>
      <c r="F293">
        <v>5.2</v>
      </c>
      <c r="G293">
        <v>0</v>
      </c>
      <c r="H293" t="s">
        <v>154</v>
      </c>
      <c r="I293">
        <v>5.5E-2</v>
      </c>
      <c r="J293">
        <f t="shared" si="151"/>
        <v>1</v>
      </c>
      <c r="K293">
        <f t="shared" ca="1" si="152"/>
        <v>50.95</v>
      </c>
      <c r="L293">
        <f t="shared" ca="1" si="153"/>
        <v>2.1389677043987478</v>
      </c>
      <c r="M293">
        <f t="shared" ca="1" si="126"/>
        <v>11.122632062873489</v>
      </c>
      <c r="N293">
        <f t="shared" ca="1" si="127"/>
        <v>1.1735290000551568</v>
      </c>
      <c r="O293">
        <f t="shared" ca="1" si="128"/>
        <v>4.5807502857230418</v>
      </c>
      <c r="P293">
        <f t="shared" ca="1" si="129"/>
        <v>634.58546770439875</v>
      </c>
      <c r="Q293">
        <f t="shared" ca="1" si="130"/>
        <v>635.65495155659812</v>
      </c>
      <c r="R293">
        <f t="shared" ca="1" si="131"/>
        <v>3.8141460404132466E-3</v>
      </c>
      <c r="S293">
        <f t="shared" ca="1" si="132"/>
        <v>1.0000000000000004</v>
      </c>
      <c r="T293">
        <f t="shared" ca="1" si="133"/>
        <v>35.686426155594638</v>
      </c>
      <c r="U293">
        <f t="shared" ca="1" si="154"/>
        <v>-3.4121820602877051E-3</v>
      </c>
      <c r="V293">
        <f t="shared" ca="1" si="155"/>
        <v>1</v>
      </c>
      <c r="W293">
        <f t="shared" ca="1" si="134"/>
        <v>2.1297833440497915</v>
      </c>
      <c r="X293">
        <f t="shared" ca="1" si="135"/>
        <v>11.074873389058917</v>
      </c>
      <c r="Y293">
        <f t="shared" ca="1" si="136"/>
        <v>1.1707590584451864</v>
      </c>
      <c r="Z293">
        <f t="shared" ca="1" si="137"/>
        <v>4.6005040608712058</v>
      </c>
      <c r="AA293">
        <f t="shared" ca="1" si="138"/>
        <v>634.57628334404978</v>
      </c>
      <c r="AB293">
        <f t="shared" ca="1" si="139"/>
        <v>635.65501105119006</v>
      </c>
      <c r="AC293">
        <f t="shared" ca="1" si="140"/>
        <v>3.8592536118340582E-3</v>
      </c>
      <c r="AD293">
        <f t="shared" ca="1" si="141"/>
        <v>1.0064754859704685</v>
      </c>
      <c r="AE293">
        <f t="shared" ca="1" si="142"/>
        <v>35.687085996436011</v>
      </c>
      <c r="AF293">
        <f t="shared" ca="1" si="143"/>
        <v>3.4542777314072737E-3</v>
      </c>
      <c r="AG293">
        <f t="shared" ca="1" si="144"/>
        <v>0</v>
      </c>
      <c r="AH293">
        <f ca="1">IFERROR(IF(V32="Supercritical",MAX($D$16,IFERROR(L293,MAX($D$16,POWER((ABS(K293)^2)/($I$5*MAX(F293,0.1)^2),1/3)))),IF(V32="Subcritical",MAX($D$16,IFERROR(W293,MAX($D$16,POWER((ABS(K293)^2)/($I$5*MAX(F293,0.1)^2),1/3)))),IF(AND(IFERROR(V293,0)=1,IFERROR(AG293,0)=1),IF(IFERROR(T293,-1E+99)&gt;=IFERROR(AE293,-1E+99),MAX($D$16,IFERROR(L293,MAX($D$16,POWER((ABS(K293)^2)/($I$5*MAX(F293,0.1)^2),1/3)))),MAX($D$16,IFERROR(W293,MAX($D$16,POWER((ABS(K293)^2)/($I$5*MAX(F293,0.1)^2),1/3))))),IF(IFERROR(V293,0)=1,MAX($D$16,IFERROR(L293,MAX($D$16,POWER((ABS(K293)^2)/($I$5*MAX(F293,0.1)^2),1/3)))),IF(IFERROR(AG293,0)=1,MAX($D$16,IFERROR(W293,MAX($D$16,POWER((ABS(K293)^2)/($I$5*MAX(F293,0.1)^2),1/3)))),MAX($D$16,POWER((ABS(K293)^2)/($I$5*MAX(F293,0.1)^2),1/3))))))),MAX($D$16,POWER((ABS(K293)^2)/($I$5*MAX(F293,0.1)^2),1/3)))</f>
        <v>2.1389677043987478</v>
      </c>
      <c r="AI293">
        <f t="shared" ca="1" si="145"/>
        <v>634.58546770439875</v>
      </c>
      <c r="AJ293">
        <f t="shared" ca="1" si="146"/>
        <v>635.65495155659812</v>
      </c>
      <c r="AM293">
        <v>0</v>
      </c>
      <c r="AN293">
        <v>0</v>
      </c>
      <c r="AO293">
        <f t="shared" si="147"/>
        <v>0</v>
      </c>
      <c r="AP293">
        <f t="shared" si="156"/>
        <v>0</v>
      </c>
      <c r="AQ293">
        <f t="shared" ca="1" si="148"/>
        <v>1.0000000000000004</v>
      </c>
      <c r="AR293" t="str">
        <f t="shared" ca="1" si="149"/>
        <v>Supercritical</v>
      </c>
      <c r="AS293">
        <f t="shared" ca="1" si="150"/>
        <v>3.8141460404132466E-3</v>
      </c>
    </row>
    <row r="294" spans="1:45" x14ac:dyDescent="0.35">
      <c r="A294">
        <v>233</v>
      </c>
      <c r="B294">
        <v>231.99600000000001</v>
      </c>
      <c r="C294">
        <v>616352.81200000003</v>
      </c>
      <c r="D294">
        <v>3097689.7209999999</v>
      </c>
      <c r="E294">
        <v>632.44600000000003</v>
      </c>
      <c r="F294">
        <v>5.2</v>
      </c>
      <c r="G294">
        <v>0</v>
      </c>
      <c r="H294" t="s">
        <v>154</v>
      </c>
      <c r="I294">
        <v>5.5E-2</v>
      </c>
      <c r="J294">
        <f t="shared" si="151"/>
        <v>0.99899999999999523</v>
      </c>
      <c r="K294">
        <f t="shared" ca="1" si="152"/>
        <v>50.95</v>
      </c>
      <c r="L294">
        <f t="shared" ca="1" si="153"/>
        <v>2.1389677043987478</v>
      </c>
      <c r="M294">
        <f t="shared" ca="1" si="126"/>
        <v>11.122632062873489</v>
      </c>
      <c r="N294">
        <f t="shared" ca="1" si="127"/>
        <v>1.1735290000551568</v>
      </c>
      <c r="O294">
        <f t="shared" ca="1" si="128"/>
        <v>4.5807502857230418</v>
      </c>
      <c r="P294">
        <f t="shared" ca="1" si="129"/>
        <v>634.58496770439876</v>
      </c>
      <c r="Q294">
        <f t="shared" ca="1" si="130"/>
        <v>635.65445155659813</v>
      </c>
      <c r="R294">
        <f t="shared" ca="1" si="131"/>
        <v>3.8141460404132466E-3</v>
      </c>
      <c r="S294">
        <f t="shared" ca="1" si="132"/>
        <v>1.0000000000000004</v>
      </c>
      <c r="T294">
        <f t="shared" ca="1" si="133"/>
        <v>35.686426155594638</v>
      </c>
      <c r="U294">
        <f t="shared" ca="1" si="154"/>
        <v>-3.4083679141758694E-3</v>
      </c>
      <c r="V294">
        <f t="shared" ca="1" si="155"/>
        <v>1</v>
      </c>
      <c r="W294">
        <f t="shared" ca="1" si="134"/>
        <v>2.1292738322117422</v>
      </c>
      <c r="X294">
        <f t="shared" ca="1" si="135"/>
        <v>11.07222392750106</v>
      </c>
      <c r="Y294">
        <f t="shared" ca="1" si="136"/>
        <v>1.1706050781080386</v>
      </c>
      <c r="Z294">
        <f t="shared" ca="1" si="137"/>
        <v>4.6016049109565955</v>
      </c>
      <c r="AA294">
        <f t="shared" ca="1" si="138"/>
        <v>634.57527383221179</v>
      </c>
      <c r="AB294">
        <f t="shared" ca="1" si="139"/>
        <v>635.65451785650032</v>
      </c>
      <c r="AC294">
        <f t="shared" ca="1" si="140"/>
        <v>3.86177798260628E-3</v>
      </c>
      <c r="AD294">
        <f t="shared" ca="1" si="141"/>
        <v>1.0068367653724042</v>
      </c>
      <c r="AE294">
        <f t="shared" ca="1" si="142"/>
        <v>35.68716135528711</v>
      </c>
      <c r="AF294">
        <f t="shared" ca="1" si="143"/>
        <v>3.4681679428558709E-3</v>
      </c>
      <c r="AG294">
        <f t="shared" ca="1" si="144"/>
        <v>0</v>
      </c>
      <c r="AH294">
        <f ca="1">IFERROR(IF(V32="Supercritical",MAX($D$16,IFERROR(L294,MAX($D$16,POWER((ABS(K294)^2)/($I$5*MAX(F294,0.1)^2),1/3)))),IF(V32="Subcritical",MAX($D$16,IFERROR(W294,MAX($D$16,POWER((ABS(K294)^2)/($I$5*MAX(F294,0.1)^2),1/3)))),IF(AND(IFERROR(V294,0)=1,IFERROR(AG294,0)=1),IF(IFERROR(T294,-1E+99)&gt;=IFERROR(AE294,-1E+99),MAX($D$16,IFERROR(L294,MAX($D$16,POWER((ABS(K294)^2)/($I$5*MAX(F294,0.1)^2),1/3)))),MAX($D$16,IFERROR(W294,MAX($D$16,POWER((ABS(K294)^2)/($I$5*MAX(F294,0.1)^2),1/3))))),IF(IFERROR(V294,0)=1,MAX($D$16,IFERROR(L294,MAX($D$16,POWER((ABS(K294)^2)/($I$5*MAX(F294,0.1)^2),1/3)))),IF(IFERROR(AG294,0)=1,MAX($D$16,IFERROR(W294,MAX($D$16,POWER((ABS(K294)^2)/($I$5*MAX(F294,0.1)^2),1/3)))),MAX($D$16,POWER((ABS(K294)^2)/($I$5*MAX(F294,0.1)^2),1/3))))))),MAX($D$16,POWER((ABS(K294)^2)/($I$5*MAX(F294,0.1)^2),1/3)))</f>
        <v>2.1389677043987478</v>
      </c>
      <c r="AI294">
        <f t="shared" ca="1" si="145"/>
        <v>634.58496770439876</v>
      </c>
      <c r="AJ294">
        <f t="shared" ca="1" si="146"/>
        <v>635.65445155659813</v>
      </c>
      <c r="AM294">
        <v>0</v>
      </c>
      <c r="AN294">
        <v>0</v>
      </c>
      <c r="AO294">
        <f t="shared" si="147"/>
        <v>0</v>
      </c>
      <c r="AP294">
        <f t="shared" si="156"/>
        <v>0</v>
      </c>
      <c r="AQ294">
        <f t="shared" ca="1" si="148"/>
        <v>1.0000000000000004</v>
      </c>
      <c r="AR294" t="str">
        <f t="shared" ca="1" si="149"/>
        <v>Supercritical</v>
      </c>
      <c r="AS294">
        <f t="shared" ca="1" si="150"/>
        <v>3.8141460404132466E-3</v>
      </c>
    </row>
    <row r="295" spans="1:45" x14ac:dyDescent="0.35">
      <c r="A295">
        <v>234</v>
      </c>
      <c r="B295">
        <v>232.99700000000001</v>
      </c>
      <c r="C295">
        <v>616351.81299999997</v>
      </c>
      <c r="D295">
        <v>3097689.673</v>
      </c>
      <c r="E295">
        <v>632.44550000000004</v>
      </c>
      <c r="F295">
        <v>5.2</v>
      </c>
      <c r="G295">
        <v>0</v>
      </c>
      <c r="H295" t="s">
        <v>154</v>
      </c>
      <c r="I295">
        <v>5.7000000000000002E-2</v>
      </c>
      <c r="J295">
        <f t="shared" si="151"/>
        <v>1.0010000000000048</v>
      </c>
      <c r="K295">
        <f t="shared" ca="1" si="152"/>
        <v>50.95</v>
      </c>
      <c r="L295">
        <f t="shared" ca="1" si="153"/>
        <v>2.1389677043987478</v>
      </c>
      <c r="M295">
        <f t="shared" ca="1" si="126"/>
        <v>11.122632062873489</v>
      </c>
      <c r="N295">
        <f t="shared" ca="1" si="127"/>
        <v>1.1735290000551568</v>
      </c>
      <c r="O295">
        <f t="shared" ca="1" si="128"/>
        <v>4.5807502857230418</v>
      </c>
      <c r="P295">
        <f t="shared" ca="1" si="129"/>
        <v>634.58446770439878</v>
      </c>
      <c r="Q295">
        <f t="shared" ca="1" si="130"/>
        <v>635.65395155659814</v>
      </c>
      <c r="R295">
        <f t="shared" ca="1" si="131"/>
        <v>3.8141460404132466E-3</v>
      </c>
      <c r="S295">
        <f t="shared" ca="1" si="132"/>
        <v>1.0000000000000004</v>
      </c>
      <c r="T295">
        <f t="shared" ca="1" si="133"/>
        <v>35.686426155594638</v>
      </c>
      <c r="U295">
        <f t="shared" ca="1" si="154"/>
        <v>-3.4195611524410197E-3</v>
      </c>
      <c r="V295">
        <f t="shared" ca="1" si="155"/>
        <v>1</v>
      </c>
      <c r="W295">
        <f t="shared" ca="1" si="134"/>
        <v>2.1297833440497915</v>
      </c>
      <c r="X295">
        <f t="shared" ca="1" si="135"/>
        <v>11.074873389058917</v>
      </c>
      <c r="Y295">
        <f t="shared" ca="1" si="136"/>
        <v>1.1707590584451864</v>
      </c>
      <c r="Z295">
        <f t="shared" ca="1" si="137"/>
        <v>4.6005040608712058</v>
      </c>
      <c r="AA295">
        <f t="shared" ca="1" si="138"/>
        <v>634.57528334404981</v>
      </c>
      <c r="AB295">
        <f t="shared" ca="1" si="139"/>
        <v>635.65401105119008</v>
      </c>
      <c r="AC295">
        <f t="shared" ca="1" si="140"/>
        <v>3.8592536118340582E-3</v>
      </c>
      <c r="AD295">
        <f t="shared" ca="1" si="141"/>
        <v>1.0064754859704685</v>
      </c>
      <c r="AE295">
        <f t="shared" ca="1" si="142"/>
        <v>35.687085996436011</v>
      </c>
      <c r="AF295">
        <f t="shared" ca="1" si="143"/>
        <v>3.4617327439718792E-3</v>
      </c>
      <c r="AG295">
        <f t="shared" ca="1" si="144"/>
        <v>0</v>
      </c>
      <c r="AH295">
        <f ca="1">IFERROR(IF(V32="Supercritical",MAX($D$16,IFERROR(L295,MAX($D$16,POWER((ABS(K295)^2)/($I$5*MAX(F295,0.1)^2),1/3)))),IF(V32="Subcritical",MAX($D$16,IFERROR(W295,MAX($D$16,POWER((ABS(K295)^2)/($I$5*MAX(F295,0.1)^2),1/3)))),IF(AND(IFERROR(V295,0)=1,IFERROR(AG295,0)=1),IF(IFERROR(T295,-1E+99)&gt;=IFERROR(AE295,-1E+99),MAX($D$16,IFERROR(L295,MAX($D$16,POWER((ABS(K295)^2)/($I$5*MAX(F295,0.1)^2),1/3)))),MAX($D$16,IFERROR(W295,MAX($D$16,POWER((ABS(K295)^2)/($I$5*MAX(F295,0.1)^2),1/3))))),IF(IFERROR(V295,0)=1,MAX($D$16,IFERROR(L295,MAX($D$16,POWER((ABS(K295)^2)/($I$5*MAX(F295,0.1)^2),1/3)))),IF(IFERROR(AG295,0)=1,MAX($D$16,IFERROR(W295,MAX($D$16,POWER((ABS(K295)^2)/($I$5*MAX(F295,0.1)^2),1/3)))),MAX($D$16,POWER((ABS(K295)^2)/($I$5*MAX(F295,0.1)^2),1/3))))))),MAX($D$16,POWER((ABS(K295)^2)/($I$5*MAX(F295,0.1)^2),1/3)))</f>
        <v>2.1389677043987478</v>
      </c>
      <c r="AI295">
        <f t="shared" ca="1" si="145"/>
        <v>634.58446770439878</v>
      </c>
      <c r="AJ295">
        <f t="shared" ca="1" si="146"/>
        <v>635.65395155659814</v>
      </c>
      <c r="AM295">
        <v>0</v>
      </c>
      <c r="AN295">
        <v>0</v>
      </c>
      <c r="AO295">
        <f t="shared" si="147"/>
        <v>0</v>
      </c>
      <c r="AP295">
        <f t="shared" si="156"/>
        <v>0</v>
      </c>
      <c r="AQ295">
        <f t="shared" ca="1" si="148"/>
        <v>1.0000000000000004</v>
      </c>
      <c r="AR295" t="str">
        <f t="shared" ca="1" si="149"/>
        <v>Supercritical</v>
      </c>
      <c r="AS295">
        <f t="shared" ca="1" si="150"/>
        <v>3.8141460404132466E-3</v>
      </c>
    </row>
    <row r="296" spans="1:45" x14ac:dyDescent="0.35">
      <c r="A296">
        <v>235</v>
      </c>
      <c r="B296">
        <v>233.99700000000001</v>
      </c>
      <c r="C296">
        <v>616350.81400000001</v>
      </c>
      <c r="D296">
        <v>3097689.6260000002</v>
      </c>
      <c r="E296">
        <v>632.44500000000005</v>
      </c>
      <c r="F296">
        <v>5.2</v>
      </c>
      <c r="G296">
        <v>0</v>
      </c>
      <c r="H296" t="s">
        <v>154</v>
      </c>
      <c r="I296">
        <v>5.7000000000000002E-2</v>
      </c>
      <c r="J296">
        <f t="shared" si="151"/>
        <v>1</v>
      </c>
      <c r="K296">
        <f t="shared" ca="1" si="152"/>
        <v>50.95</v>
      </c>
      <c r="L296">
        <f t="shared" ca="1" si="153"/>
        <v>2.1389677043987478</v>
      </c>
      <c r="M296">
        <f t="shared" ca="1" si="126"/>
        <v>11.122632062873489</v>
      </c>
      <c r="N296">
        <f t="shared" ca="1" si="127"/>
        <v>1.1735290000551568</v>
      </c>
      <c r="O296">
        <f t="shared" ca="1" si="128"/>
        <v>4.5807502857230418</v>
      </c>
      <c r="P296">
        <f t="shared" ca="1" si="129"/>
        <v>634.58396770439879</v>
      </c>
      <c r="Q296">
        <f t="shared" ca="1" si="130"/>
        <v>635.65345155659816</v>
      </c>
      <c r="R296">
        <f t="shared" ca="1" si="131"/>
        <v>3.8141460404132466E-3</v>
      </c>
      <c r="S296">
        <f t="shared" ca="1" si="132"/>
        <v>1.0000000000000004</v>
      </c>
      <c r="T296">
        <f t="shared" ca="1" si="133"/>
        <v>35.686426155594638</v>
      </c>
      <c r="U296">
        <f t="shared" ca="1" si="154"/>
        <v>-3.4157470064428708E-3</v>
      </c>
      <c r="V296">
        <f t="shared" ca="1" si="155"/>
        <v>1</v>
      </c>
      <c r="W296">
        <f t="shared" ca="1" si="134"/>
        <v>2.1292738322117422</v>
      </c>
      <c r="X296">
        <f t="shared" ca="1" si="135"/>
        <v>11.07222392750106</v>
      </c>
      <c r="Y296">
        <f t="shared" ca="1" si="136"/>
        <v>1.1706050781080386</v>
      </c>
      <c r="Z296">
        <f t="shared" ca="1" si="137"/>
        <v>4.6016049109565955</v>
      </c>
      <c r="AA296">
        <f t="shared" ca="1" si="138"/>
        <v>634.57427383221182</v>
      </c>
      <c r="AB296">
        <f t="shared" ca="1" si="139"/>
        <v>635.65351785650034</v>
      </c>
      <c r="AC296">
        <f t="shared" ca="1" si="140"/>
        <v>3.86177798260628E-3</v>
      </c>
      <c r="AD296">
        <f t="shared" ca="1" si="141"/>
        <v>1.0068367653724042</v>
      </c>
      <c r="AE296">
        <f t="shared" ca="1" si="142"/>
        <v>35.68716135528711</v>
      </c>
      <c r="AF296">
        <f t="shared" ca="1" si="143"/>
        <v>3.3617779824908212E-3</v>
      </c>
      <c r="AG296">
        <f t="shared" ca="1" si="144"/>
        <v>0</v>
      </c>
      <c r="AH296">
        <f ca="1">IFERROR(IF(V32="Supercritical",MAX($D$16,IFERROR(L296,MAX($D$16,POWER((ABS(K296)^2)/($I$5*MAX(F296,0.1)^2),1/3)))),IF(V32="Subcritical",MAX($D$16,IFERROR(W296,MAX($D$16,POWER((ABS(K296)^2)/($I$5*MAX(F296,0.1)^2),1/3)))),IF(AND(IFERROR(V296,0)=1,IFERROR(AG296,0)=1),IF(IFERROR(T296,-1E+99)&gt;=IFERROR(AE296,-1E+99),MAX($D$16,IFERROR(L296,MAX($D$16,POWER((ABS(K296)^2)/($I$5*MAX(F296,0.1)^2),1/3)))),MAX($D$16,IFERROR(W296,MAX($D$16,POWER((ABS(K296)^2)/($I$5*MAX(F296,0.1)^2),1/3))))),IF(IFERROR(V296,0)=1,MAX($D$16,IFERROR(L296,MAX($D$16,POWER((ABS(K296)^2)/($I$5*MAX(F296,0.1)^2),1/3)))),IF(IFERROR(AG296,0)=1,MAX($D$16,IFERROR(W296,MAX($D$16,POWER((ABS(K296)^2)/($I$5*MAX(F296,0.1)^2),1/3)))),MAX($D$16,POWER((ABS(K296)^2)/($I$5*MAX(F296,0.1)^2),1/3))))))),MAX($D$16,POWER((ABS(K296)^2)/($I$5*MAX(F296,0.1)^2),1/3)))</f>
        <v>2.1389677043987478</v>
      </c>
      <c r="AI296">
        <f t="shared" ca="1" si="145"/>
        <v>634.58396770439879</v>
      </c>
      <c r="AJ296">
        <f t="shared" ca="1" si="146"/>
        <v>635.65345155659816</v>
      </c>
      <c r="AM296">
        <v>0</v>
      </c>
      <c r="AN296">
        <v>0</v>
      </c>
      <c r="AO296">
        <f t="shared" si="147"/>
        <v>0</v>
      </c>
      <c r="AP296">
        <f t="shared" si="156"/>
        <v>0</v>
      </c>
      <c r="AQ296">
        <f t="shared" ca="1" si="148"/>
        <v>1.0000000000000004</v>
      </c>
      <c r="AR296" t="str">
        <f t="shared" ca="1" si="149"/>
        <v>Supercritical</v>
      </c>
      <c r="AS296">
        <f t="shared" ca="1" si="150"/>
        <v>3.8141460404132466E-3</v>
      </c>
    </row>
    <row r="297" spans="1:45" x14ac:dyDescent="0.35">
      <c r="A297">
        <v>236</v>
      </c>
      <c r="B297">
        <v>234.99700000000001</v>
      </c>
      <c r="C297">
        <v>616349.81499999994</v>
      </c>
      <c r="D297">
        <v>3097689.5780000002</v>
      </c>
      <c r="E297">
        <v>632.44449999999995</v>
      </c>
      <c r="F297">
        <v>5.2</v>
      </c>
      <c r="G297">
        <v>0</v>
      </c>
      <c r="H297" t="s">
        <v>154</v>
      </c>
      <c r="I297">
        <v>0</v>
      </c>
      <c r="J297">
        <f t="shared" si="151"/>
        <v>1</v>
      </c>
      <c r="K297">
        <f t="shared" ca="1" si="152"/>
        <v>50.95</v>
      </c>
      <c r="L297">
        <f t="shared" ca="1" si="153"/>
        <v>2.1389677043987478</v>
      </c>
      <c r="M297">
        <f t="shared" ca="1" si="126"/>
        <v>11.122632062873489</v>
      </c>
      <c r="N297">
        <f t="shared" ca="1" si="127"/>
        <v>1.1735290000551568</v>
      </c>
      <c r="O297">
        <f t="shared" ca="1" si="128"/>
        <v>4.5807502857230418</v>
      </c>
      <c r="P297">
        <f t="shared" ca="1" si="129"/>
        <v>634.58346770439869</v>
      </c>
      <c r="Q297">
        <f t="shared" ca="1" si="130"/>
        <v>635.65295155659805</v>
      </c>
      <c r="R297">
        <f t="shared" ca="1" si="131"/>
        <v>3.8141460404132466E-3</v>
      </c>
      <c r="S297">
        <f t="shared" ca="1" si="132"/>
        <v>1.0000000000000004</v>
      </c>
      <c r="T297">
        <f t="shared" ca="1" si="133"/>
        <v>35.686426155594638</v>
      </c>
      <c r="U297">
        <f t="shared" ca="1" si="154"/>
        <v>-3.3141460403385281E-3</v>
      </c>
      <c r="V297">
        <f t="shared" ca="1" si="155"/>
        <v>1</v>
      </c>
      <c r="W297">
        <f t="shared" ca="1" si="134"/>
        <v>2.1297833440497915</v>
      </c>
      <c r="X297">
        <f t="shared" ca="1" si="135"/>
        <v>11.074873389058917</v>
      </c>
      <c r="Y297">
        <f t="shared" ca="1" si="136"/>
        <v>1.1707590584451864</v>
      </c>
      <c r="Z297">
        <f t="shared" ca="1" si="137"/>
        <v>4.6005040608712058</v>
      </c>
      <c r="AA297">
        <f t="shared" ca="1" si="138"/>
        <v>634.57428334404972</v>
      </c>
      <c r="AB297">
        <f t="shared" ca="1" si="139"/>
        <v>635.65301105118999</v>
      </c>
      <c r="AC297">
        <f t="shared" ca="1" si="140"/>
        <v>3.8592536118340582E-3</v>
      </c>
      <c r="AD297">
        <f t="shared" ca="1" si="141"/>
        <v>1.0064754859704685</v>
      </c>
      <c r="AE297">
        <f t="shared" ca="1" si="142"/>
        <v>35.687085996436011</v>
      </c>
      <c r="AF297">
        <f t="shared" ca="1" si="143"/>
        <v>3.4617327439718792E-3</v>
      </c>
      <c r="AG297">
        <f t="shared" ca="1" si="144"/>
        <v>0</v>
      </c>
      <c r="AH297">
        <f ca="1">IFERROR(IF(V32="Supercritical",MAX($D$16,IFERROR(L297,MAX($D$16,POWER((ABS(K297)^2)/($I$5*MAX(F297,0.1)^2),1/3)))),IF(V32="Subcritical",MAX($D$16,IFERROR(W297,MAX($D$16,POWER((ABS(K297)^2)/($I$5*MAX(F297,0.1)^2),1/3)))),IF(AND(IFERROR(V297,0)=1,IFERROR(AG297,0)=1),IF(IFERROR(T297,-1E+99)&gt;=IFERROR(AE297,-1E+99),MAX($D$16,IFERROR(L297,MAX($D$16,POWER((ABS(K297)^2)/($I$5*MAX(F297,0.1)^2),1/3)))),MAX($D$16,IFERROR(W297,MAX($D$16,POWER((ABS(K297)^2)/($I$5*MAX(F297,0.1)^2),1/3))))),IF(IFERROR(V297,0)=1,MAX($D$16,IFERROR(L297,MAX($D$16,POWER((ABS(K297)^2)/($I$5*MAX(F297,0.1)^2),1/3)))),IF(IFERROR(AG297,0)=1,MAX($D$16,IFERROR(W297,MAX($D$16,POWER((ABS(K297)^2)/($I$5*MAX(F297,0.1)^2),1/3)))),MAX($D$16,POWER((ABS(K297)^2)/($I$5*MAX(F297,0.1)^2),1/3))))))),MAX($D$16,POWER((ABS(K297)^2)/($I$5*MAX(F297,0.1)^2),1/3)))</f>
        <v>2.1389677043987478</v>
      </c>
      <c r="AI297">
        <f t="shared" ca="1" si="145"/>
        <v>634.58346770439869</v>
      </c>
      <c r="AJ297">
        <f t="shared" ca="1" si="146"/>
        <v>635.65295155659805</v>
      </c>
      <c r="AM297">
        <v>0</v>
      </c>
      <c r="AN297">
        <v>0</v>
      </c>
      <c r="AO297">
        <f t="shared" si="147"/>
        <v>0</v>
      </c>
      <c r="AP297">
        <f t="shared" si="156"/>
        <v>0</v>
      </c>
      <c r="AQ297">
        <f t="shared" ca="1" si="148"/>
        <v>1.0000000000000004</v>
      </c>
      <c r="AR297" t="str">
        <f t="shared" ca="1" si="149"/>
        <v>Supercritical</v>
      </c>
      <c r="AS297">
        <f t="shared" ca="1" si="150"/>
        <v>3.8141460404132466E-3</v>
      </c>
    </row>
    <row r="298" spans="1:45" x14ac:dyDescent="0.35">
      <c r="A298">
        <v>237</v>
      </c>
      <c r="B298">
        <v>235.99700000000001</v>
      </c>
      <c r="C298">
        <v>616348.81599999999</v>
      </c>
      <c r="D298">
        <v>3097689.53</v>
      </c>
      <c r="E298">
        <v>632.44399999999996</v>
      </c>
      <c r="F298">
        <v>5.2</v>
      </c>
      <c r="G298">
        <v>0</v>
      </c>
      <c r="H298" t="s">
        <v>154</v>
      </c>
      <c r="I298">
        <v>5.7000000000000002E-2</v>
      </c>
      <c r="J298">
        <f t="shared" si="151"/>
        <v>1</v>
      </c>
      <c r="K298">
        <f t="shared" ca="1" si="152"/>
        <v>50.95</v>
      </c>
      <c r="L298">
        <f t="shared" ca="1" si="153"/>
        <v>2.1389677043987478</v>
      </c>
      <c r="M298">
        <f t="shared" ca="1" si="126"/>
        <v>11.122632062873489</v>
      </c>
      <c r="N298">
        <f t="shared" ca="1" si="127"/>
        <v>1.1735290000551568</v>
      </c>
      <c r="O298">
        <f t="shared" ca="1" si="128"/>
        <v>4.5807502857230418</v>
      </c>
      <c r="P298">
        <f t="shared" ca="1" si="129"/>
        <v>634.5829677043987</v>
      </c>
      <c r="Q298">
        <f t="shared" ca="1" si="130"/>
        <v>635.65245155659807</v>
      </c>
      <c r="R298">
        <f t="shared" ca="1" si="131"/>
        <v>3.8141460404132466E-3</v>
      </c>
      <c r="S298">
        <f t="shared" ca="1" si="132"/>
        <v>1.0000000000000004</v>
      </c>
      <c r="T298">
        <f t="shared" ca="1" si="133"/>
        <v>35.686426155594638</v>
      </c>
      <c r="U298">
        <f t="shared" ca="1" si="154"/>
        <v>-3.4157470064428708E-3</v>
      </c>
      <c r="V298">
        <f t="shared" ca="1" si="155"/>
        <v>1</v>
      </c>
      <c r="W298">
        <f t="shared" ca="1" si="134"/>
        <v>2.1292738322117422</v>
      </c>
      <c r="X298">
        <f t="shared" ca="1" si="135"/>
        <v>11.07222392750106</v>
      </c>
      <c r="Y298">
        <f t="shared" ca="1" si="136"/>
        <v>1.1706050781080386</v>
      </c>
      <c r="Z298">
        <f t="shared" ca="1" si="137"/>
        <v>4.6016049109565955</v>
      </c>
      <c r="AA298">
        <f t="shared" ca="1" si="138"/>
        <v>634.57327383221173</v>
      </c>
      <c r="AB298">
        <f t="shared" ca="1" si="139"/>
        <v>635.65251785650025</v>
      </c>
      <c r="AC298">
        <f t="shared" ca="1" si="140"/>
        <v>3.86177798260628E-3</v>
      </c>
      <c r="AD298">
        <f t="shared" ca="1" si="141"/>
        <v>1.0068367653724042</v>
      </c>
      <c r="AE298">
        <f t="shared" ca="1" si="142"/>
        <v>35.68716135528711</v>
      </c>
      <c r="AF298">
        <f t="shared" ca="1" si="143"/>
        <v>3.4643061649148876E-3</v>
      </c>
      <c r="AG298">
        <f t="shared" ca="1" si="144"/>
        <v>0</v>
      </c>
      <c r="AH298">
        <f ca="1">IFERROR(IF(V32="Supercritical",MAX($D$16,IFERROR(L298,MAX($D$16,POWER((ABS(K298)^2)/($I$5*MAX(F298,0.1)^2),1/3)))),IF(V32="Subcritical",MAX($D$16,IFERROR(W298,MAX($D$16,POWER((ABS(K298)^2)/($I$5*MAX(F298,0.1)^2),1/3)))),IF(AND(IFERROR(V298,0)=1,IFERROR(AG298,0)=1),IF(IFERROR(T298,-1E+99)&gt;=IFERROR(AE298,-1E+99),MAX($D$16,IFERROR(L298,MAX($D$16,POWER((ABS(K298)^2)/($I$5*MAX(F298,0.1)^2),1/3)))),MAX($D$16,IFERROR(W298,MAX($D$16,POWER((ABS(K298)^2)/($I$5*MAX(F298,0.1)^2),1/3))))),IF(IFERROR(V298,0)=1,MAX($D$16,IFERROR(L298,MAX($D$16,POWER((ABS(K298)^2)/($I$5*MAX(F298,0.1)^2),1/3)))),IF(IFERROR(AG298,0)=1,MAX($D$16,IFERROR(W298,MAX($D$16,POWER((ABS(K298)^2)/($I$5*MAX(F298,0.1)^2),1/3)))),MAX($D$16,POWER((ABS(K298)^2)/($I$5*MAX(F298,0.1)^2),1/3))))))),MAX($D$16,POWER((ABS(K298)^2)/($I$5*MAX(F298,0.1)^2),1/3)))</f>
        <v>2.1389677043987478</v>
      </c>
      <c r="AI298">
        <f t="shared" ca="1" si="145"/>
        <v>634.5829677043987</v>
      </c>
      <c r="AJ298">
        <f t="shared" ca="1" si="146"/>
        <v>635.65245155659807</v>
      </c>
      <c r="AM298">
        <v>0</v>
      </c>
      <c r="AN298">
        <v>0</v>
      </c>
      <c r="AO298">
        <f t="shared" si="147"/>
        <v>0</v>
      </c>
      <c r="AP298">
        <f t="shared" si="156"/>
        <v>0</v>
      </c>
      <c r="AQ298">
        <f t="shared" ca="1" si="148"/>
        <v>1.0000000000000004</v>
      </c>
      <c r="AR298" t="str">
        <f t="shared" ca="1" si="149"/>
        <v>Supercritical</v>
      </c>
      <c r="AS298">
        <f t="shared" ca="1" si="150"/>
        <v>3.8141460404132466E-3</v>
      </c>
    </row>
    <row r="299" spans="1:45" x14ac:dyDescent="0.35">
      <c r="A299">
        <v>238</v>
      </c>
      <c r="B299">
        <v>236.99700000000001</v>
      </c>
      <c r="C299">
        <v>616347.81700000004</v>
      </c>
      <c r="D299">
        <v>3097689.483</v>
      </c>
      <c r="E299">
        <v>632.44349999999997</v>
      </c>
      <c r="F299">
        <v>5.2</v>
      </c>
      <c r="G299">
        <v>0</v>
      </c>
      <c r="H299" t="s">
        <v>154</v>
      </c>
      <c r="I299">
        <v>5.7000000000000002E-2</v>
      </c>
      <c r="J299">
        <f t="shared" si="151"/>
        <v>1</v>
      </c>
      <c r="K299">
        <f t="shared" ca="1" si="152"/>
        <v>50.95</v>
      </c>
      <c r="L299">
        <f t="shared" ca="1" si="153"/>
        <v>2.1389677043987478</v>
      </c>
      <c r="M299">
        <f t="shared" ca="1" si="126"/>
        <v>11.122632062873489</v>
      </c>
      <c r="N299">
        <f t="shared" ca="1" si="127"/>
        <v>1.1735290000551568</v>
      </c>
      <c r="O299">
        <f t="shared" ca="1" si="128"/>
        <v>4.5807502857230418</v>
      </c>
      <c r="P299">
        <f t="shared" ca="1" si="129"/>
        <v>634.58246770439871</v>
      </c>
      <c r="Q299">
        <f t="shared" ca="1" si="130"/>
        <v>635.65195155659808</v>
      </c>
      <c r="R299">
        <f t="shared" ca="1" si="131"/>
        <v>3.8141460404132466E-3</v>
      </c>
      <c r="S299">
        <f t="shared" ca="1" si="132"/>
        <v>1.0000000000000004</v>
      </c>
      <c r="T299">
        <f t="shared" ca="1" si="133"/>
        <v>35.686426155594638</v>
      </c>
      <c r="U299">
        <f t="shared" ca="1" si="154"/>
        <v>-3.4157470064428708E-3</v>
      </c>
      <c r="V299">
        <f t="shared" ca="1" si="155"/>
        <v>1</v>
      </c>
      <c r="W299">
        <f t="shared" ca="1" si="134"/>
        <v>2.1297833440497915</v>
      </c>
      <c r="X299">
        <f t="shared" ca="1" si="135"/>
        <v>11.074873389058917</v>
      </c>
      <c r="Y299">
        <f t="shared" ca="1" si="136"/>
        <v>1.1707590584451864</v>
      </c>
      <c r="Z299">
        <f t="shared" ca="1" si="137"/>
        <v>4.6005040608712058</v>
      </c>
      <c r="AA299">
        <f t="shared" ca="1" si="138"/>
        <v>634.57328334404974</v>
      </c>
      <c r="AB299">
        <f t="shared" ca="1" si="139"/>
        <v>635.65201105119002</v>
      </c>
      <c r="AC299">
        <f t="shared" ca="1" si="140"/>
        <v>3.8592536118340582E-3</v>
      </c>
      <c r="AD299">
        <f t="shared" ca="1" si="141"/>
        <v>1.0064754859704685</v>
      </c>
      <c r="AE299">
        <f t="shared" ca="1" si="142"/>
        <v>35.687085996436011</v>
      </c>
      <c r="AF299">
        <f t="shared" ca="1" si="143"/>
        <v>3.364647250350572E-3</v>
      </c>
      <c r="AG299">
        <f t="shared" ca="1" si="144"/>
        <v>0</v>
      </c>
      <c r="AH299">
        <f ca="1">IFERROR(IF(V32="Supercritical",MAX($D$16,IFERROR(L299,MAX($D$16,POWER((ABS(K299)^2)/($I$5*MAX(F299,0.1)^2),1/3)))),IF(V32="Subcritical",MAX($D$16,IFERROR(W299,MAX($D$16,POWER((ABS(K299)^2)/($I$5*MAX(F299,0.1)^2),1/3)))),IF(AND(IFERROR(V299,0)=1,IFERROR(AG299,0)=1),IF(IFERROR(T299,-1E+99)&gt;=IFERROR(AE299,-1E+99),MAX($D$16,IFERROR(L299,MAX($D$16,POWER((ABS(K299)^2)/($I$5*MAX(F299,0.1)^2),1/3)))),MAX($D$16,IFERROR(W299,MAX($D$16,POWER((ABS(K299)^2)/($I$5*MAX(F299,0.1)^2),1/3))))),IF(IFERROR(V299,0)=1,MAX($D$16,IFERROR(L299,MAX($D$16,POWER((ABS(K299)^2)/($I$5*MAX(F299,0.1)^2),1/3)))),IF(IFERROR(AG299,0)=1,MAX($D$16,IFERROR(W299,MAX($D$16,POWER((ABS(K299)^2)/($I$5*MAX(F299,0.1)^2),1/3)))),MAX($D$16,POWER((ABS(K299)^2)/($I$5*MAX(F299,0.1)^2),1/3))))))),MAX($D$16,POWER((ABS(K299)^2)/($I$5*MAX(F299,0.1)^2),1/3)))</f>
        <v>2.1389677043987478</v>
      </c>
      <c r="AI299">
        <f t="shared" ca="1" si="145"/>
        <v>634.58246770439871</v>
      </c>
      <c r="AJ299">
        <f t="shared" ca="1" si="146"/>
        <v>635.65195155659808</v>
      </c>
      <c r="AM299">
        <v>0</v>
      </c>
      <c r="AN299">
        <v>0</v>
      </c>
      <c r="AO299">
        <f t="shared" si="147"/>
        <v>0</v>
      </c>
      <c r="AP299">
        <f t="shared" si="156"/>
        <v>0</v>
      </c>
      <c r="AQ299">
        <f t="shared" ca="1" si="148"/>
        <v>1.0000000000000004</v>
      </c>
      <c r="AR299" t="str">
        <f t="shared" ca="1" si="149"/>
        <v>Supercritical</v>
      </c>
      <c r="AS299">
        <f t="shared" ca="1" si="150"/>
        <v>3.8141460404132466E-3</v>
      </c>
    </row>
    <row r="300" spans="1:45" x14ac:dyDescent="0.35">
      <c r="A300">
        <v>239</v>
      </c>
      <c r="B300">
        <v>237.99700000000001</v>
      </c>
      <c r="C300">
        <v>616346.81799999997</v>
      </c>
      <c r="D300">
        <v>3097689.4350000001</v>
      </c>
      <c r="E300">
        <v>632.44299999999998</v>
      </c>
      <c r="F300">
        <v>5.2</v>
      </c>
      <c r="G300">
        <v>0</v>
      </c>
      <c r="H300" t="s">
        <v>154</v>
      </c>
      <c r="I300">
        <v>3.0000000000000001E-3</v>
      </c>
      <c r="J300">
        <f t="shared" si="151"/>
        <v>1</v>
      </c>
      <c r="K300">
        <f t="shared" ca="1" si="152"/>
        <v>50.95</v>
      </c>
      <c r="L300">
        <f t="shared" ca="1" si="153"/>
        <v>2.1389677043987478</v>
      </c>
      <c r="M300">
        <f t="shared" ca="1" si="126"/>
        <v>11.122632062873489</v>
      </c>
      <c r="N300">
        <f t="shared" ca="1" si="127"/>
        <v>1.1735290000551568</v>
      </c>
      <c r="O300">
        <f t="shared" ca="1" si="128"/>
        <v>4.5807502857230418</v>
      </c>
      <c r="P300">
        <f t="shared" ca="1" si="129"/>
        <v>634.58196770439872</v>
      </c>
      <c r="Q300">
        <f t="shared" ca="1" si="130"/>
        <v>635.65145155659809</v>
      </c>
      <c r="R300">
        <f t="shared" ca="1" si="131"/>
        <v>3.8141460404132466E-3</v>
      </c>
      <c r="S300">
        <f t="shared" ca="1" si="132"/>
        <v>1.0000000000000004</v>
      </c>
      <c r="T300">
        <f t="shared" ca="1" si="133"/>
        <v>35.686426155594638</v>
      </c>
      <c r="U300">
        <f t="shared" ca="1" si="154"/>
        <v>-3.3194934596849635E-3</v>
      </c>
      <c r="V300">
        <f t="shared" ca="1" si="155"/>
        <v>1</v>
      </c>
      <c r="W300">
        <f t="shared" ca="1" si="134"/>
        <v>2.1292738322117422</v>
      </c>
      <c r="X300">
        <f t="shared" ca="1" si="135"/>
        <v>11.07222392750106</v>
      </c>
      <c r="Y300">
        <f t="shared" ca="1" si="136"/>
        <v>1.1706050781080386</v>
      </c>
      <c r="Z300">
        <f t="shared" ca="1" si="137"/>
        <v>4.6016049109565955</v>
      </c>
      <c r="AA300">
        <f t="shared" ca="1" si="138"/>
        <v>634.57227383221175</v>
      </c>
      <c r="AB300">
        <f t="shared" ca="1" si="139"/>
        <v>635.65151785650028</v>
      </c>
      <c r="AC300">
        <f t="shared" ca="1" si="140"/>
        <v>3.86177798260628E-3</v>
      </c>
      <c r="AD300">
        <f t="shared" ca="1" si="141"/>
        <v>1.0068367653724042</v>
      </c>
      <c r="AE300">
        <f t="shared" ca="1" si="142"/>
        <v>35.68716135528711</v>
      </c>
      <c r="AF300">
        <f t="shared" ca="1" si="143"/>
        <v>3.4658406070775527E-3</v>
      </c>
      <c r="AG300">
        <f t="shared" ca="1" si="144"/>
        <v>0</v>
      </c>
      <c r="AH300">
        <f ca="1">IFERROR(IF(V32="Supercritical",MAX($D$16,IFERROR(L300,MAX($D$16,POWER((ABS(K300)^2)/($I$5*MAX(F300,0.1)^2),1/3)))),IF(V32="Subcritical",MAX($D$16,IFERROR(W300,MAX($D$16,POWER((ABS(K300)^2)/($I$5*MAX(F300,0.1)^2),1/3)))),IF(AND(IFERROR(V300,0)=1,IFERROR(AG300,0)=1),IF(IFERROR(T300,-1E+99)&gt;=IFERROR(AE300,-1E+99),MAX($D$16,IFERROR(L300,MAX($D$16,POWER((ABS(K300)^2)/($I$5*MAX(F300,0.1)^2),1/3)))),MAX($D$16,IFERROR(W300,MAX($D$16,POWER((ABS(K300)^2)/($I$5*MAX(F300,0.1)^2),1/3))))),IF(IFERROR(V300,0)=1,MAX($D$16,IFERROR(L300,MAX($D$16,POWER((ABS(K300)^2)/($I$5*MAX(F300,0.1)^2),1/3)))),IF(IFERROR(AG300,0)=1,MAX($D$16,IFERROR(W300,MAX($D$16,POWER((ABS(K300)^2)/($I$5*MAX(F300,0.1)^2),1/3)))),MAX($D$16,POWER((ABS(K300)^2)/($I$5*MAX(F300,0.1)^2),1/3))))))),MAX($D$16,POWER((ABS(K300)^2)/($I$5*MAX(F300,0.1)^2),1/3)))</f>
        <v>2.1389677043987478</v>
      </c>
      <c r="AI300">
        <f t="shared" ca="1" si="145"/>
        <v>634.58196770439872</v>
      </c>
      <c r="AJ300">
        <f t="shared" ca="1" si="146"/>
        <v>635.65145155659809</v>
      </c>
      <c r="AM300">
        <v>0</v>
      </c>
      <c r="AN300">
        <v>0</v>
      </c>
      <c r="AO300">
        <f t="shared" si="147"/>
        <v>0</v>
      </c>
      <c r="AP300">
        <f t="shared" si="156"/>
        <v>0</v>
      </c>
      <c r="AQ300">
        <f t="shared" ca="1" si="148"/>
        <v>1.0000000000000004</v>
      </c>
      <c r="AR300" t="str">
        <f t="shared" ca="1" si="149"/>
        <v>Supercritical</v>
      </c>
      <c r="AS300">
        <f t="shared" ca="1" si="150"/>
        <v>3.8141460404132466E-3</v>
      </c>
    </row>
    <row r="301" spans="1:45" x14ac:dyDescent="0.35">
      <c r="A301">
        <v>240</v>
      </c>
      <c r="B301">
        <v>238.99600000000001</v>
      </c>
      <c r="C301">
        <v>616345.81999999995</v>
      </c>
      <c r="D301">
        <v>3097689.3870000001</v>
      </c>
      <c r="E301">
        <v>632.4425</v>
      </c>
      <c r="F301">
        <v>5.2</v>
      </c>
      <c r="G301">
        <v>0</v>
      </c>
      <c r="H301" t="s">
        <v>154</v>
      </c>
      <c r="I301">
        <v>0.06</v>
      </c>
      <c r="J301">
        <f t="shared" si="151"/>
        <v>0.99899999999999523</v>
      </c>
      <c r="K301">
        <f t="shared" ca="1" si="152"/>
        <v>50.95</v>
      </c>
      <c r="L301">
        <f t="shared" ca="1" si="153"/>
        <v>2.1389677043987478</v>
      </c>
      <c r="M301">
        <f t="shared" ca="1" si="126"/>
        <v>11.122632062873489</v>
      </c>
      <c r="N301">
        <f t="shared" ca="1" si="127"/>
        <v>1.1735290000551568</v>
      </c>
      <c r="O301">
        <f t="shared" ca="1" si="128"/>
        <v>4.5807502857230418</v>
      </c>
      <c r="P301">
        <f t="shared" ca="1" si="129"/>
        <v>634.58146770439873</v>
      </c>
      <c r="Q301">
        <f t="shared" ca="1" si="130"/>
        <v>635.6509515565981</v>
      </c>
      <c r="R301">
        <f t="shared" ca="1" si="131"/>
        <v>3.8141460404132466E-3</v>
      </c>
      <c r="S301">
        <f t="shared" ca="1" si="132"/>
        <v>1.0000000000000004</v>
      </c>
      <c r="T301">
        <f t="shared" ca="1" si="133"/>
        <v>35.686426155594638</v>
      </c>
      <c r="U301">
        <f t="shared" ca="1" si="154"/>
        <v>-3.4172802795637836E-3</v>
      </c>
      <c r="V301">
        <f t="shared" ca="1" si="155"/>
        <v>1</v>
      </c>
      <c r="W301">
        <f t="shared" ca="1" si="134"/>
        <v>2.1297833440497915</v>
      </c>
      <c r="X301">
        <f t="shared" ca="1" si="135"/>
        <v>11.074873389058917</v>
      </c>
      <c r="Y301">
        <f t="shared" ca="1" si="136"/>
        <v>1.1707590584451864</v>
      </c>
      <c r="Z301">
        <f t="shared" ca="1" si="137"/>
        <v>4.6005040608712058</v>
      </c>
      <c r="AA301">
        <f t="shared" ca="1" si="138"/>
        <v>634.57228334404977</v>
      </c>
      <c r="AB301">
        <f t="shared" ca="1" si="139"/>
        <v>635.65101105119004</v>
      </c>
      <c r="AC301">
        <f t="shared" ca="1" si="140"/>
        <v>3.8592536118340582E-3</v>
      </c>
      <c r="AD301">
        <f t="shared" ca="1" si="141"/>
        <v>1.0064754859704685</v>
      </c>
      <c r="AE301">
        <f t="shared" ca="1" si="142"/>
        <v>35.687085996436011</v>
      </c>
      <c r="AF301">
        <f t="shared" ca="1" si="143"/>
        <v>3.4655919976103178E-3</v>
      </c>
      <c r="AG301">
        <f t="shared" ca="1" si="144"/>
        <v>0</v>
      </c>
      <c r="AH301">
        <f ca="1">IFERROR(IF(V32="Supercritical",MAX($D$16,IFERROR(L301,MAX($D$16,POWER((ABS(K301)^2)/($I$5*MAX(F301,0.1)^2),1/3)))),IF(V32="Subcritical",MAX($D$16,IFERROR(W301,MAX($D$16,POWER((ABS(K301)^2)/($I$5*MAX(F301,0.1)^2),1/3)))),IF(AND(IFERROR(V301,0)=1,IFERROR(AG301,0)=1),IF(IFERROR(T301,-1E+99)&gt;=IFERROR(AE301,-1E+99),MAX($D$16,IFERROR(L301,MAX($D$16,POWER((ABS(K301)^2)/($I$5*MAX(F301,0.1)^2),1/3)))),MAX($D$16,IFERROR(W301,MAX($D$16,POWER((ABS(K301)^2)/($I$5*MAX(F301,0.1)^2),1/3))))),IF(IFERROR(V301,0)=1,MAX($D$16,IFERROR(L301,MAX($D$16,POWER((ABS(K301)^2)/($I$5*MAX(F301,0.1)^2),1/3)))),IF(IFERROR(AG301,0)=1,MAX($D$16,IFERROR(W301,MAX($D$16,POWER((ABS(K301)^2)/($I$5*MAX(F301,0.1)^2),1/3)))),MAX($D$16,POWER((ABS(K301)^2)/($I$5*MAX(F301,0.1)^2),1/3))))))),MAX($D$16,POWER((ABS(K301)^2)/($I$5*MAX(F301,0.1)^2),1/3)))</f>
        <v>2.1389677043987478</v>
      </c>
      <c r="AI301">
        <f t="shared" ca="1" si="145"/>
        <v>634.58146770439873</v>
      </c>
      <c r="AJ301">
        <f t="shared" ca="1" si="146"/>
        <v>635.6509515565981</v>
      </c>
      <c r="AM301">
        <v>0</v>
      </c>
      <c r="AN301">
        <v>0</v>
      </c>
      <c r="AO301">
        <f t="shared" si="147"/>
        <v>0</v>
      </c>
      <c r="AP301">
        <f t="shared" si="156"/>
        <v>0</v>
      </c>
      <c r="AQ301">
        <f t="shared" ca="1" si="148"/>
        <v>1.0000000000000004</v>
      </c>
      <c r="AR301" t="str">
        <f t="shared" ca="1" si="149"/>
        <v>Supercritical</v>
      </c>
      <c r="AS301">
        <f t="shared" ca="1" si="150"/>
        <v>3.8141460404132466E-3</v>
      </c>
    </row>
    <row r="302" spans="1:45" x14ac:dyDescent="0.35">
      <c r="A302">
        <v>241</v>
      </c>
      <c r="B302">
        <v>239.99700000000001</v>
      </c>
      <c r="C302">
        <v>616344.821</v>
      </c>
      <c r="D302">
        <v>3097689.34</v>
      </c>
      <c r="E302">
        <v>632.44200000000001</v>
      </c>
      <c r="F302">
        <v>5.2</v>
      </c>
      <c r="G302">
        <v>0</v>
      </c>
      <c r="H302" t="s">
        <v>154</v>
      </c>
      <c r="I302">
        <v>5.7000000000000002E-2</v>
      </c>
      <c r="J302">
        <f t="shared" si="151"/>
        <v>1.0010000000000048</v>
      </c>
      <c r="K302">
        <f t="shared" ca="1" si="152"/>
        <v>50.95</v>
      </c>
      <c r="L302">
        <f t="shared" ca="1" si="153"/>
        <v>2.1389677043987478</v>
      </c>
      <c r="M302">
        <f t="shared" ca="1" si="126"/>
        <v>11.122632062873489</v>
      </c>
      <c r="N302">
        <f t="shared" ca="1" si="127"/>
        <v>1.1735290000551568</v>
      </c>
      <c r="O302">
        <f t="shared" ca="1" si="128"/>
        <v>4.5807502857230418</v>
      </c>
      <c r="P302">
        <f t="shared" ca="1" si="129"/>
        <v>634.58096770439874</v>
      </c>
      <c r="Q302">
        <f t="shared" ca="1" si="130"/>
        <v>635.65045155659811</v>
      </c>
      <c r="R302">
        <f t="shared" ca="1" si="131"/>
        <v>3.8141460404132466E-3</v>
      </c>
      <c r="S302">
        <f t="shared" ca="1" si="132"/>
        <v>1.0000000000000004</v>
      </c>
      <c r="T302">
        <f t="shared" ca="1" si="133"/>
        <v>35.686426155594638</v>
      </c>
      <c r="U302">
        <f t="shared" ca="1" si="154"/>
        <v>-3.4195611524410197E-3</v>
      </c>
      <c r="V302">
        <f t="shared" ca="1" si="155"/>
        <v>1</v>
      </c>
      <c r="W302">
        <f t="shared" ca="1" si="134"/>
        <v>2.1292738322117422</v>
      </c>
      <c r="X302">
        <f t="shared" ca="1" si="135"/>
        <v>11.07222392750106</v>
      </c>
      <c r="Y302">
        <f t="shared" ca="1" si="136"/>
        <v>1.1706050781080386</v>
      </c>
      <c r="Z302">
        <f t="shared" ca="1" si="137"/>
        <v>4.6016049109565955</v>
      </c>
      <c r="AA302">
        <f t="shared" ca="1" si="138"/>
        <v>634.57127383221177</v>
      </c>
      <c r="AB302">
        <f t="shared" ca="1" si="139"/>
        <v>635.6505178565003</v>
      </c>
      <c r="AC302">
        <f t="shared" ca="1" si="140"/>
        <v>3.86177798260628E-3</v>
      </c>
      <c r="AD302">
        <f t="shared" ca="1" si="141"/>
        <v>1.0068367653724042</v>
      </c>
      <c r="AE302">
        <f t="shared" ca="1" si="142"/>
        <v>35.68716135528711</v>
      </c>
      <c r="AF302">
        <f t="shared" ca="1" si="143"/>
        <v>3.4643061649148876E-3</v>
      </c>
      <c r="AG302">
        <f t="shared" ca="1" si="144"/>
        <v>0</v>
      </c>
      <c r="AH302">
        <f ca="1">IFERROR(IF(V32="Supercritical",MAX($D$16,IFERROR(L302,MAX($D$16,POWER((ABS(K302)^2)/($I$5*MAX(F302,0.1)^2),1/3)))),IF(V32="Subcritical",MAX($D$16,IFERROR(W302,MAX($D$16,POWER((ABS(K302)^2)/($I$5*MAX(F302,0.1)^2),1/3)))),IF(AND(IFERROR(V302,0)=1,IFERROR(AG302,0)=1),IF(IFERROR(T302,-1E+99)&gt;=IFERROR(AE302,-1E+99),MAX($D$16,IFERROR(L302,MAX($D$16,POWER((ABS(K302)^2)/($I$5*MAX(F302,0.1)^2),1/3)))),MAX($D$16,IFERROR(W302,MAX($D$16,POWER((ABS(K302)^2)/($I$5*MAX(F302,0.1)^2),1/3))))),IF(IFERROR(V302,0)=1,MAX($D$16,IFERROR(L302,MAX($D$16,POWER((ABS(K302)^2)/($I$5*MAX(F302,0.1)^2),1/3)))),IF(IFERROR(AG302,0)=1,MAX($D$16,IFERROR(W302,MAX($D$16,POWER((ABS(K302)^2)/($I$5*MAX(F302,0.1)^2),1/3)))),MAX($D$16,POWER((ABS(K302)^2)/($I$5*MAX(F302,0.1)^2),1/3))))))),MAX($D$16,POWER((ABS(K302)^2)/($I$5*MAX(F302,0.1)^2),1/3)))</f>
        <v>2.1389677043987478</v>
      </c>
      <c r="AI302">
        <f t="shared" ca="1" si="145"/>
        <v>634.58096770439874</v>
      </c>
      <c r="AJ302">
        <f t="shared" ca="1" si="146"/>
        <v>635.65045155659811</v>
      </c>
      <c r="AM302">
        <v>0</v>
      </c>
      <c r="AN302">
        <v>0</v>
      </c>
      <c r="AO302">
        <f t="shared" si="147"/>
        <v>0</v>
      </c>
      <c r="AP302">
        <f t="shared" si="156"/>
        <v>0</v>
      </c>
      <c r="AQ302">
        <f t="shared" ca="1" si="148"/>
        <v>1.0000000000000004</v>
      </c>
      <c r="AR302" t="str">
        <f t="shared" ca="1" si="149"/>
        <v>Supercritical</v>
      </c>
      <c r="AS302">
        <f t="shared" ca="1" si="150"/>
        <v>3.8141460404132466E-3</v>
      </c>
    </row>
    <row r="303" spans="1:45" x14ac:dyDescent="0.35">
      <c r="A303">
        <v>242</v>
      </c>
      <c r="B303">
        <v>240.99700000000001</v>
      </c>
      <c r="C303">
        <v>616343.82200000004</v>
      </c>
      <c r="D303">
        <v>3097689.2919999999</v>
      </c>
      <c r="E303">
        <v>632.44150000000002</v>
      </c>
      <c r="F303">
        <v>5.2</v>
      </c>
      <c r="G303">
        <v>0</v>
      </c>
      <c r="H303" t="s">
        <v>154</v>
      </c>
      <c r="I303">
        <v>5.7000000000000002E-2</v>
      </c>
      <c r="J303">
        <f t="shared" si="151"/>
        <v>1</v>
      </c>
      <c r="K303">
        <f t="shared" ca="1" si="152"/>
        <v>50.95</v>
      </c>
      <c r="L303">
        <f t="shared" ca="1" si="153"/>
        <v>2.1389677043987478</v>
      </c>
      <c r="M303">
        <f t="shared" ca="1" si="126"/>
        <v>11.122632062873489</v>
      </c>
      <c r="N303">
        <f t="shared" ca="1" si="127"/>
        <v>1.1735290000551568</v>
      </c>
      <c r="O303">
        <f t="shared" ca="1" si="128"/>
        <v>4.5807502857230418</v>
      </c>
      <c r="P303">
        <f t="shared" ca="1" si="129"/>
        <v>634.58046770439876</v>
      </c>
      <c r="Q303">
        <f t="shared" ca="1" si="130"/>
        <v>635.64995155659813</v>
      </c>
      <c r="R303">
        <f t="shared" ca="1" si="131"/>
        <v>3.8141460404132466E-3</v>
      </c>
      <c r="S303">
        <f t="shared" ca="1" si="132"/>
        <v>1.0000000000000004</v>
      </c>
      <c r="T303">
        <f t="shared" ca="1" si="133"/>
        <v>35.686426155594638</v>
      </c>
      <c r="U303">
        <f t="shared" ca="1" si="154"/>
        <v>-3.4157470064428708E-3</v>
      </c>
      <c r="V303">
        <f t="shared" ca="1" si="155"/>
        <v>1</v>
      </c>
      <c r="W303">
        <f t="shared" ca="1" si="134"/>
        <v>2.1297833440497915</v>
      </c>
      <c r="X303">
        <f t="shared" ca="1" si="135"/>
        <v>11.074873389058917</v>
      </c>
      <c r="Y303">
        <f t="shared" ca="1" si="136"/>
        <v>1.1707590584451864</v>
      </c>
      <c r="Z303">
        <f t="shared" ca="1" si="137"/>
        <v>4.6005040608712058</v>
      </c>
      <c r="AA303">
        <f t="shared" ca="1" si="138"/>
        <v>634.57128334404979</v>
      </c>
      <c r="AB303">
        <f t="shared" ca="1" si="139"/>
        <v>635.65001105119006</v>
      </c>
      <c r="AC303">
        <f t="shared" ca="1" si="140"/>
        <v>3.8592536118340582E-3</v>
      </c>
      <c r="AD303">
        <f t="shared" ca="1" si="141"/>
        <v>1.0064754859704685</v>
      </c>
      <c r="AE303">
        <f t="shared" ca="1" si="142"/>
        <v>35.687085996436011</v>
      </c>
      <c r="AF303">
        <f t="shared" ca="1" si="143"/>
        <v>3.4617327439718792E-3</v>
      </c>
      <c r="AG303">
        <f t="shared" ca="1" si="144"/>
        <v>0</v>
      </c>
      <c r="AH303">
        <f ca="1">IFERROR(IF(V32="Supercritical",MAX($D$16,IFERROR(L303,MAX($D$16,POWER((ABS(K303)^2)/($I$5*MAX(F303,0.1)^2),1/3)))),IF(V32="Subcritical",MAX($D$16,IFERROR(W303,MAX($D$16,POWER((ABS(K303)^2)/($I$5*MAX(F303,0.1)^2),1/3)))),IF(AND(IFERROR(V303,0)=1,IFERROR(AG303,0)=1),IF(IFERROR(T303,-1E+99)&gt;=IFERROR(AE303,-1E+99),MAX($D$16,IFERROR(L303,MAX($D$16,POWER((ABS(K303)^2)/($I$5*MAX(F303,0.1)^2),1/3)))),MAX($D$16,IFERROR(W303,MAX($D$16,POWER((ABS(K303)^2)/($I$5*MAX(F303,0.1)^2),1/3))))),IF(IFERROR(V303,0)=1,MAX($D$16,IFERROR(L303,MAX($D$16,POWER((ABS(K303)^2)/($I$5*MAX(F303,0.1)^2),1/3)))),IF(IFERROR(AG303,0)=1,MAX($D$16,IFERROR(W303,MAX($D$16,POWER((ABS(K303)^2)/($I$5*MAX(F303,0.1)^2),1/3)))),MAX($D$16,POWER((ABS(K303)^2)/($I$5*MAX(F303,0.1)^2),1/3))))))),MAX($D$16,POWER((ABS(K303)^2)/($I$5*MAX(F303,0.1)^2),1/3)))</f>
        <v>2.1389677043987478</v>
      </c>
      <c r="AI303">
        <f t="shared" ca="1" si="145"/>
        <v>634.58046770439876</v>
      </c>
      <c r="AJ303">
        <f t="shared" ca="1" si="146"/>
        <v>635.64995155659813</v>
      </c>
      <c r="AM303">
        <v>0</v>
      </c>
      <c r="AN303">
        <v>0</v>
      </c>
      <c r="AO303">
        <f t="shared" si="147"/>
        <v>0</v>
      </c>
      <c r="AP303">
        <f t="shared" si="156"/>
        <v>0</v>
      </c>
      <c r="AQ303">
        <f t="shared" ca="1" si="148"/>
        <v>1.0000000000000004</v>
      </c>
      <c r="AR303" t="str">
        <f t="shared" ca="1" si="149"/>
        <v>Supercritical</v>
      </c>
      <c r="AS303">
        <f t="shared" ca="1" si="150"/>
        <v>3.8141460404132466E-3</v>
      </c>
    </row>
    <row r="304" spans="1:45" x14ac:dyDescent="0.35">
      <c r="A304">
        <v>243</v>
      </c>
      <c r="B304">
        <v>241.99700000000001</v>
      </c>
      <c r="C304">
        <v>616342.82299999997</v>
      </c>
      <c r="D304">
        <v>3097689.2450000001</v>
      </c>
      <c r="E304">
        <v>632.44100000000003</v>
      </c>
      <c r="F304">
        <v>5.2</v>
      </c>
      <c r="G304">
        <v>0</v>
      </c>
      <c r="H304" t="s">
        <v>154</v>
      </c>
      <c r="I304">
        <v>5.7000000000000002E-2</v>
      </c>
      <c r="J304">
        <f t="shared" si="151"/>
        <v>1</v>
      </c>
      <c r="K304">
        <f t="shared" ca="1" si="152"/>
        <v>50.95</v>
      </c>
      <c r="L304">
        <f t="shared" ca="1" si="153"/>
        <v>2.1389677043987478</v>
      </c>
      <c r="M304">
        <f t="shared" ca="1" si="126"/>
        <v>11.122632062873489</v>
      </c>
      <c r="N304">
        <f t="shared" ca="1" si="127"/>
        <v>1.1735290000551568</v>
      </c>
      <c r="O304">
        <f t="shared" ca="1" si="128"/>
        <v>4.5807502857230418</v>
      </c>
      <c r="P304">
        <f t="shared" ca="1" si="129"/>
        <v>634.57996770439877</v>
      </c>
      <c r="Q304">
        <f t="shared" ca="1" si="130"/>
        <v>635.64945155659814</v>
      </c>
      <c r="R304">
        <f t="shared" ca="1" si="131"/>
        <v>3.8141460404132466E-3</v>
      </c>
      <c r="S304">
        <f t="shared" ca="1" si="132"/>
        <v>1.0000000000000004</v>
      </c>
      <c r="T304">
        <f t="shared" ca="1" si="133"/>
        <v>35.686426155594638</v>
      </c>
      <c r="U304">
        <f t="shared" ca="1" si="154"/>
        <v>-3.4157470064428708E-3</v>
      </c>
      <c r="V304">
        <f t="shared" ca="1" si="155"/>
        <v>1</v>
      </c>
      <c r="W304">
        <f t="shared" ca="1" si="134"/>
        <v>2.1292738322117422</v>
      </c>
      <c r="X304">
        <f t="shared" ca="1" si="135"/>
        <v>11.07222392750106</v>
      </c>
      <c r="Y304">
        <f t="shared" ca="1" si="136"/>
        <v>1.1706050781080386</v>
      </c>
      <c r="Z304">
        <f t="shared" ca="1" si="137"/>
        <v>4.6016049109565955</v>
      </c>
      <c r="AA304">
        <f t="shared" ca="1" si="138"/>
        <v>634.5702738322118</v>
      </c>
      <c r="AB304">
        <f t="shared" ca="1" si="139"/>
        <v>635.64951785650032</v>
      </c>
      <c r="AC304">
        <f t="shared" ca="1" si="140"/>
        <v>3.86177798260628E-3</v>
      </c>
      <c r="AD304">
        <f t="shared" ca="1" si="141"/>
        <v>1.0068367653724042</v>
      </c>
      <c r="AE304">
        <f t="shared" ca="1" si="142"/>
        <v>35.68716135528711</v>
      </c>
      <c r="AF304">
        <f t="shared" ca="1" si="143"/>
        <v>3.361777982604508E-3</v>
      </c>
      <c r="AG304">
        <f t="shared" ca="1" si="144"/>
        <v>0</v>
      </c>
      <c r="AH304">
        <f ca="1">IFERROR(IF(V32="Supercritical",MAX($D$16,IFERROR(L304,MAX($D$16,POWER((ABS(K304)^2)/($I$5*MAX(F304,0.1)^2),1/3)))),IF(V32="Subcritical",MAX($D$16,IFERROR(W304,MAX($D$16,POWER((ABS(K304)^2)/($I$5*MAX(F304,0.1)^2),1/3)))),IF(AND(IFERROR(V304,0)=1,IFERROR(AG304,0)=1),IF(IFERROR(T304,-1E+99)&gt;=IFERROR(AE304,-1E+99),MAX($D$16,IFERROR(L304,MAX($D$16,POWER((ABS(K304)^2)/($I$5*MAX(F304,0.1)^2),1/3)))),MAX($D$16,IFERROR(W304,MAX($D$16,POWER((ABS(K304)^2)/($I$5*MAX(F304,0.1)^2),1/3))))),IF(IFERROR(V304,0)=1,MAX($D$16,IFERROR(L304,MAX($D$16,POWER((ABS(K304)^2)/($I$5*MAX(F304,0.1)^2),1/3)))),IF(IFERROR(AG304,0)=1,MAX($D$16,IFERROR(W304,MAX($D$16,POWER((ABS(K304)^2)/($I$5*MAX(F304,0.1)^2),1/3)))),MAX($D$16,POWER((ABS(K304)^2)/($I$5*MAX(F304,0.1)^2),1/3))))))),MAX($D$16,POWER((ABS(K304)^2)/($I$5*MAX(F304,0.1)^2),1/3)))</f>
        <v>2.1389677043987478</v>
      </c>
      <c r="AI304">
        <f t="shared" ca="1" si="145"/>
        <v>634.57996770439877</v>
      </c>
      <c r="AJ304">
        <f t="shared" ca="1" si="146"/>
        <v>635.64945155659814</v>
      </c>
      <c r="AM304">
        <v>0</v>
      </c>
      <c r="AN304">
        <v>0</v>
      </c>
      <c r="AO304">
        <f t="shared" si="147"/>
        <v>0</v>
      </c>
      <c r="AP304">
        <f t="shared" si="156"/>
        <v>0</v>
      </c>
      <c r="AQ304">
        <f t="shared" ca="1" si="148"/>
        <v>1.0000000000000004</v>
      </c>
      <c r="AR304" t="str">
        <f t="shared" ca="1" si="149"/>
        <v>Supercritical</v>
      </c>
      <c r="AS304">
        <f t="shared" ca="1" si="150"/>
        <v>3.8141460404132466E-3</v>
      </c>
    </row>
    <row r="305" spans="1:45" x14ac:dyDescent="0.35">
      <c r="A305">
        <v>244</v>
      </c>
      <c r="B305">
        <v>242.99700000000001</v>
      </c>
      <c r="C305">
        <v>616341.82400000002</v>
      </c>
      <c r="D305">
        <v>3097689.1970000002</v>
      </c>
      <c r="E305">
        <v>632.44050000000004</v>
      </c>
      <c r="F305">
        <v>5.2</v>
      </c>
      <c r="G305">
        <v>0</v>
      </c>
      <c r="H305" t="s">
        <v>154</v>
      </c>
      <c r="I305">
        <v>0</v>
      </c>
      <c r="J305">
        <f t="shared" si="151"/>
        <v>1</v>
      </c>
      <c r="K305">
        <f t="shared" ca="1" si="152"/>
        <v>50.95</v>
      </c>
      <c r="L305">
        <f t="shared" ca="1" si="153"/>
        <v>2.1389677043987478</v>
      </c>
      <c r="M305">
        <f t="shared" ca="1" si="126"/>
        <v>11.122632062873489</v>
      </c>
      <c r="N305">
        <f t="shared" ca="1" si="127"/>
        <v>1.1735290000551568</v>
      </c>
      <c r="O305">
        <f t="shared" ca="1" si="128"/>
        <v>4.5807502857230418</v>
      </c>
      <c r="P305">
        <f t="shared" ca="1" si="129"/>
        <v>634.57946770439878</v>
      </c>
      <c r="Q305">
        <f t="shared" ca="1" si="130"/>
        <v>635.64895155659815</v>
      </c>
      <c r="R305">
        <f t="shared" ca="1" si="131"/>
        <v>3.8141460404132466E-3</v>
      </c>
      <c r="S305">
        <f t="shared" ca="1" si="132"/>
        <v>1.0000000000000004</v>
      </c>
      <c r="T305">
        <f t="shared" ca="1" si="133"/>
        <v>35.686426155594638</v>
      </c>
      <c r="U305">
        <f t="shared" ca="1" si="154"/>
        <v>-3.3141460404522149E-3</v>
      </c>
      <c r="V305">
        <f t="shared" ca="1" si="155"/>
        <v>1</v>
      </c>
      <c r="W305">
        <f t="shared" ca="1" si="134"/>
        <v>2.1297833440497915</v>
      </c>
      <c r="X305">
        <f t="shared" ca="1" si="135"/>
        <v>11.074873389058917</v>
      </c>
      <c r="Y305">
        <f t="shared" ca="1" si="136"/>
        <v>1.1707590584451864</v>
      </c>
      <c r="Z305">
        <f t="shared" ca="1" si="137"/>
        <v>4.6005040608712058</v>
      </c>
      <c r="AA305">
        <f t="shared" ca="1" si="138"/>
        <v>634.57028334404981</v>
      </c>
      <c r="AB305">
        <f t="shared" ca="1" si="139"/>
        <v>635.64901105119009</v>
      </c>
      <c r="AC305">
        <f t="shared" ca="1" si="140"/>
        <v>3.8592536118340582E-3</v>
      </c>
      <c r="AD305">
        <f t="shared" ca="1" si="141"/>
        <v>1.0064754859704685</v>
      </c>
      <c r="AE305">
        <f t="shared" ca="1" si="142"/>
        <v>35.687085996436011</v>
      </c>
      <c r="AF305">
        <f t="shared" ca="1" si="143"/>
        <v>0.21348017820662335</v>
      </c>
      <c r="AG305">
        <f t="shared" ca="1" si="144"/>
        <v>0</v>
      </c>
      <c r="AH305">
        <f ca="1">IFERROR(IF(V32="Supercritical",MAX($D$16,IFERROR(L305,MAX($D$16,POWER((ABS(K305)^2)/($I$5*MAX(F305,0.1)^2),1/3)))),IF(V32="Subcritical",MAX($D$16,IFERROR(W305,MAX($D$16,POWER((ABS(K305)^2)/($I$5*MAX(F305,0.1)^2),1/3)))),IF(AND(IFERROR(V305,0)=1,IFERROR(AG305,0)=1),IF(IFERROR(T305,-1E+99)&gt;=IFERROR(AE305,-1E+99),MAX($D$16,IFERROR(L305,MAX($D$16,POWER((ABS(K305)^2)/($I$5*MAX(F305,0.1)^2),1/3)))),MAX($D$16,IFERROR(W305,MAX($D$16,POWER((ABS(K305)^2)/($I$5*MAX(F305,0.1)^2),1/3))))),IF(IFERROR(V305,0)=1,MAX($D$16,IFERROR(L305,MAX($D$16,POWER((ABS(K305)^2)/($I$5*MAX(F305,0.1)^2),1/3)))),IF(IFERROR(AG305,0)=1,MAX($D$16,IFERROR(W305,MAX($D$16,POWER((ABS(K305)^2)/($I$5*MAX(F305,0.1)^2),1/3)))),MAX($D$16,POWER((ABS(K305)^2)/($I$5*MAX(F305,0.1)^2),1/3))))))),MAX($D$16,POWER((ABS(K305)^2)/($I$5*MAX(F305,0.1)^2),1/3)))</f>
        <v>2.1389677043987478</v>
      </c>
      <c r="AI305">
        <f t="shared" ca="1" si="145"/>
        <v>634.57946770439878</v>
      </c>
      <c r="AJ305">
        <f t="shared" ca="1" si="146"/>
        <v>635.64895155659815</v>
      </c>
      <c r="AM305">
        <v>0</v>
      </c>
      <c r="AN305">
        <v>0</v>
      </c>
      <c r="AO305">
        <f t="shared" si="147"/>
        <v>0</v>
      </c>
      <c r="AP305">
        <f t="shared" si="156"/>
        <v>0</v>
      </c>
      <c r="AQ305">
        <f t="shared" ca="1" si="148"/>
        <v>1.0000000000000004</v>
      </c>
      <c r="AR305" t="str">
        <f t="shared" ca="1" si="149"/>
        <v>Supercritical</v>
      </c>
      <c r="AS305">
        <f t="shared" ca="1" si="150"/>
        <v>3.8141460404132466E-3</v>
      </c>
    </row>
    <row r="306" spans="1:45" x14ac:dyDescent="0.35">
      <c r="A306">
        <v>245</v>
      </c>
      <c r="B306">
        <v>243.99700000000001</v>
      </c>
      <c r="C306">
        <v>616340.82499999995</v>
      </c>
      <c r="D306">
        <v>3097689.1490000002</v>
      </c>
      <c r="E306">
        <v>632.44000000000005</v>
      </c>
      <c r="F306">
        <v>4.7960000000000003</v>
      </c>
      <c r="G306">
        <v>0</v>
      </c>
      <c r="H306" t="s">
        <v>154</v>
      </c>
      <c r="I306">
        <v>0.63200000000000001</v>
      </c>
      <c r="J306">
        <f t="shared" si="151"/>
        <v>1</v>
      </c>
      <c r="K306">
        <f t="shared" ca="1" si="152"/>
        <v>50.95</v>
      </c>
      <c r="L306">
        <f t="shared" ca="1" si="153"/>
        <v>2.2574614365876244</v>
      </c>
      <c r="M306">
        <f t="shared" ca="1" si="126"/>
        <v>10.826785049874248</v>
      </c>
      <c r="N306">
        <f t="shared" ca="1" si="127"/>
        <v>1.1628047184308867</v>
      </c>
      <c r="O306">
        <f t="shared" ca="1" si="128"/>
        <v>4.7059214499314166</v>
      </c>
      <c r="P306">
        <f t="shared" ca="1" si="129"/>
        <v>634.69746143658767</v>
      </c>
      <c r="Q306">
        <f t="shared" ca="1" si="130"/>
        <v>635.82619215488148</v>
      </c>
      <c r="R306">
        <f t="shared" ca="1" si="131"/>
        <v>4.075017565597085E-3</v>
      </c>
      <c r="S306">
        <f t="shared" ca="1" si="132"/>
        <v>1.0000000000000002</v>
      </c>
      <c r="T306">
        <f t="shared" ca="1" si="133"/>
        <v>36.661574598471802</v>
      </c>
      <c r="U306">
        <f t="shared" ca="1" si="154"/>
        <v>-0.18829879638576585</v>
      </c>
      <c r="V306">
        <f t="shared" ca="1" si="155"/>
        <v>1</v>
      </c>
      <c r="W306">
        <f t="shared" ca="1" si="134"/>
        <v>2.1292738322117422</v>
      </c>
      <c r="X306">
        <f t="shared" ca="1" si="135"/>
        <v>10.211997299287516</v>
      </c>
      <c r="Y306">
        <f t="shared" ca="1" si="136"/>
        <v>1.1278307517681754</v>
      </c>
      <c r="Z306">
        <f t="shared" ca="1" si="137"/>
        <v>4.9892296782682024</v>
      </c>
      <c r="AA306">
        <f t="shared" ca="1" si="138"/>
        <v>634.56927383221182</v>
      </c>
      <c r="AB306">
        <f t="shared" ca="1" si="139"/>
        <v>635.83800027372615</v>
      </c>
      <c r="AC306">
        <f t="shared" ca="1" si="140"/>
        <v>4.7707969861053561E-3</v>
      </c>
      <c r="AD306">
        <f t="shared" ca="1" si="141"/>
        <v>1.0916495371010222</v>
      </c>
      <c r="AE306">
        <f t="shared" ca="1" si="142"/>
        <v>36.784531300554058</v>
      </c>
      <c r="AF306">
        <f t="shared" ca="1" si="143"/>
        <v>0.17885756058444713</v>
      </c>
      <c r="AG306">
        <f t="shared" ca="1" si="144"/>
        <v>0</v>
      </c>
      <c r="AH306">
        <f ca="1">IFERROR(IF(V32="Supercritical",MAX($D$16,IFERROR(L306,MAX($D$16,POWER((ABS(K306)^2)/($I$5*MAX(F306,0.1)^2),1/3)))),IF(V32="Subcritical",MAX($D$16,IFERROR(W306,MAX($D$16,POWER((ABS(K306)^2)/($I$5*MAX(F306,0.1)^2),1/3)))),IF(AND(IFERROR(V306,0)=1,IFERROR(AG306,0)=1),IF(IFERROR(T306,-1E+99)&gt;=IFERROR(AE306,-1E+99),MAX($D$16,IFERROR(L306,MAX($D$16,POWER((ABS(K306)^2)/($I$5*MAX(F306,0.1)^2),1/3)))),MAX($D$16,IFERROR(W306,MAX($D$16,POWER((ABS(K306)^2)/($I$5*MAX(F306,0.1)^2),1/3))))),IF(IFERROR(V306,0)=1,MAX($D$16,IFERROR(L306,MAX($D$16,POWER((ABS(K306)^2)/($I$5*MAX(F306,0.1)^2),1/3)))),IF(IFERROR(AG306,0)=1,MAX($D$16,IFERROR(W306,MAX($D$16,POWER((ABS(K306)^2)/($I$5*MAX(F306,0.1)^2),1/3)))),MAX($D$16,POWER((ABS(K306)^2)/($I$5*MAX(F306,0.1)^2),1/3))))))),MAX($D$16,POWER((ABS(K306)^2)/($I$5*MAX(F306,0.1)^2),1/3)))</f>
        <v>2.2574614365876244</v>
      </c>
      <c r="AI306">
        <f t="shared" ca="1" si="145"/>
        <v>634.69746143658767</v>
      </c>
      <c r="AJ306">
        <f t="shared" ca="1" si="146"/>
        <v>635.82619215488148</v>
      </c>
      <c r="AM306">
        <v>0</v>
      </c>
      <c r="AN306">
        <v>0</v>
      </c>
      <c r="AO306">
        <f t="shared" si="147"/>
        <v>0</v>
      </c>
      <c r="AP306">
        <f t="shared" si="156"/>
        <v>0</v>
      </c>
      <c r="AQ306">
        <f t="shared" ca="1" si="148"/>
        <v>1.0000000000000002</v>
      </c>
      <c r="AR306" t="str">
        <f t="shared" ca="1" si="149"/>
        <v>Supercritical</v>
      </c>
      <c r="AS306">
        <f t="shared" ca="1" si="150"/>
        <v>4.075017565597085E-3</v>
      </c>
    </row>
    <row r="307" spans="1:45" x14ac:dyDescent="0.35">
      <c r="A307">
        <v>246</v>
      </c>
      <c r="B307">
        <v>244.99700000000001</v>
      </c>
      <c r="C307">
        <v>616339.82700000005</v>
      </c>
      <c r="D307">
        <v>3097689.09</v>
      </c>
      <c r="E307">
        <v>632.43949999999995</v>
      </c>
      <c r="F307">
        <v>4.5270000000000001</v>
      </c>
      <c r="G307">
        <v>0</v>
      </c>
      <c r="H307" t="s">
        <v>154</v>
      </c>
      <c r="I307">
        <v>1.4370000000000001</v>
      </c>
      <c r="J307">
        <f t="shared" si="151"/>
        <v>1</v>
      </c>
      <c r="K307">
        <f t="shared" ca="1" si="152"/>
        <v>50.95</v>
      </c>
      <c r="L307">
        <f t="shared" ca="1" si="153"/>
        <v>2.3460258516225387</v>
      </c>
      <c r="M307">
        <f t="shared" ca="1" si="126"/>
        <v>10.620459030295233</v>
      </c>
      <c r="N307">
        <f t="shared" ca="1" si="127"/>
        <v>1.1520120910653819</v>
      </c>
      <c r="O307">
        <f t="shared" ca="1" si="128"/>
        <v>4.7973444325394352</v>
      </c>
      <c r="P307">
        <f t="shared" ca="1" si="129"/>
        <v>634.78552585162254</v>
      </c>
      <c r="Q307">
        <f t="shared" ca="1" si="130"/>
        <v>635.95853877743377</v>
      </c>
      <c r="R307">
        <f t="shared" ca="1" si="131"/>
        <v>4.2878699272156737E-3</v>
      </c>
      <c r="S307">
        <f t="shared" ca="1" si="132"/>
        <v>1.0000000000000002</v>
      </c>
      <c r="T307">
        <f t="shared" ca="1" si="133"/>
        <v>37.373807161755991</v>
      </c>
      <c r="U307">
        <f t="shared" ca="1" si="154"/>
        <v>-0.14376565300779021</v>
      </c>
      <c r="V307">
        <f t="shared" ca="1" si="155"/>
        <v>1</v>
      </c>
      <c r="W307">
        <f t="shared" ca="1" si="134"/>
        <v>2.1297833440497915</v>
      </c>
      <c r="X307">
        <f t="shared" ca="1" si="135"/>
        <v>9.6415291985134068</v>
      </c>
      <c r="Y307">
        <f t="shared" ca="1" si="136"/>
        <v>1.0973033655536666</v>
      </c>
      <c r="Z307">
        <f t="shared" ca="1" si="137"/>
        <v>5.2844314372719836</v>
      </c>
      <c r="AA307">
        <f t="shared" ca="1" si="138"/>
        <v>634.56928334404972</v>
      </c>
      <c r="AB307">
        <f t="shared" ca="1" si="139"/>
        <v>635.99258689222654</v>
      </c>
      <c r="AC307">
        <f t="shared" ca="1" si="140"/>
        <v>5.5514969412236419E-3</v>
      </c>
      <c r="AD307">
        <f t="shared" ca="1" si="141"/>
        <v>1.1561017289698337</v>
      </c>
      <c r="AE307">
        <f t="shared" ca="1" si="142"/>
        <v>37.712829585270129</v>
      </c>
      <c r="AF307">
        <f t="shared" ca="1" si="143"/>
        <v>8.5899712792070204E-3</v>
      </c>
      <c r="AG307">
        <f t="shared" ca="1" si="144"/>
        <v>0</v>
      </c>
      <c r="AH307">
        <f ca="1">IFERROR(IF(V32="Supercritical",MAX($D$16,IFERROR(L307,MAX($D$16,POWER((ABS(K307)^2)/($I$5*MAX(F307,0.1)^2),1/3)))),IF(V32="Subcritical",MAX($D$16,IFERROR(W307,MAX($D$16,POWER((ABS(K307)^2)/($I$5*MAX(F307,0.1)^2),1/3)))),IF(AND(IFERROR(V307,0)=1,IFERROR(AG307,0)=1),IF(IFERROR(T307,-1E+99)&gt;=IFERROR(AE307,-1E+99),MAX($D$16,IFERROR(L307,MAX($D$16,POWER((ABS(K307)^2)/($I$5*MAX(F307,0.1)^2),1/3)))),MAX($D$16,IFERROR(W307,MAX($D$16,POWER((ABS(K307)^2)/($I$5*MAX(F307,0.1)^2),1/3))))),IF(IFERROR(V307,0)=1,MAX($D$16,IFERROR(L307,MAX($D$16,POWER((ABS(K307)^2)/($I$5*MAX(F307,0.1)^2),1/3)))),IF(IFERROR(AG307,0)=1,MAX($D$16,IFERROR(W307,MAX($D$16,POWER((ABS(K307)^2)/($I$5*MAX(F307,0.1)^2),1/3)))),MAX($D$16,POWER((ABS(K307)^2)/($I$5*MAX(F307,0.1)^2),1/3))))))),MAX($D$16,POWER((ABS(K307)^2)/($I$5*MAX(F307,0.1)^2),1/3)))</f>
        <v>2.3460258516225387</v>
      </c>
      <c r="AI307">
        <f t="shared" ca="1" si="145"/>
        <v>634.78552585162254</v>
      </c>
      <c r="AJ307">
        <f t="shared" ca="1" si="146"/>
        <v>635.95853877743377</v>
      </c>
      <c r="AM307">
        <v>0</v>
      </c>
      <c r="AN307">
        <v>0</v>
      </c>
      <c r="AO307">
        <f t="shared" si="147"/>
        <v>0</v>
      </c>
      <c r="AP307">
        <f t="shared" si="156"/>
        <v>0</v>
      </c>
      <c r="AQ307">
        <f t="shared" ca="1" si="148"/>
        <v>1.0000000000000002</v>
      </c>
      <c r="AR307" t="str">
        <f t="shared" ca="1" si="149"/>
        <v>Supercritical</v>
      </c>
      <c r="AS307">
        <f t="shared" ca="1" si="150"/>
        <v>4.2878699272156737E-3</v>
      </c>
    </row>
    <row r="308" spans="1:45" x14ac:dyDescent="0.35">
      <c r="A308">
        <v>247</v>
      </c>
      <c r="B308">
        <v>245.99600000000001</v>
      </c>
      <c r="C308">
        <v>616338.83100000001</v>
      </c>
      <c r="D308">
        <v>3097689.0060000001</v>
      </c>
      <c r="E308">
        <v>632.43899999999996</v>
      </c>
      <c r="F308">
        <v>4.5270000000000001</v>
      </c>
      <c r="G308">
        <v>0</v>
      </c>
      <c r="H308" t="s">
        <v>154</v>
      </c>
      <c r="I308">
        <v>1.494</v>
      </c>
      <c r="J308">
        <f t="shared" si="151"/>
        <v>0.99899999999999523</v>
      </c>
      <c r="K308">
        <f t="shared" ca="1" si="152"/>
        <v>50.95</v>
      </c>
      <c r="L308">
        <f t="shared" ca="1" si="153"/>
        <v>2.3460258516225387</v>
      </c>
      <c r="M308">
        <f t="shared" ca="1" si="126"/>
        <v>10.620459030295233</v>
      </c>
      <c r="N308">
        <f t="shared" ca="1" si="127"/>
        <v>1.1520120910653819</v>
      </c>
      <c r="O308">
        <f t="shared" ca="1" si="128"/>
        <v>4.7973444325394352</v>
      </c>
      <c r="P308">
        <f t="shared" ca="1" si="129"/>
        <v>634.78502585162255</v>
      </c>
      <c r="Q308">
        <f t="shared" ca="1" si="130"/>
        <v>635.95803877743379</v>
      </c>
      <c r="R308">
        <f t="shared" ca="1" si="131"/>
        <v>4.2878699272156737E-3</v>
      </c>
      <c r="S308">
        <f t="shared" ca="1" si="132"/>
        <v>1.0000000000000002</v>
      </c>
      <c r="T308">
        <f t="shared" ca="1" si="133"/>
        <v>37.373807161755991</v>
      </c>
      <c r="U308">
        <f t="shared" ca="1" si="154"/>
        <v>-6.7043842425391631E-3</v>
      </c>
      <c r="V308">
        <f t="shared" ca="1" si="155"/>
        <v>1</v>
      </c>
      <c r="W308">
        <f t="shared" ca="1" si="134"/>
        <v>2.1292738322117422</v>
      </c>
      <c r="X308">
        <f t="shared" ca="1" si="135"/>
        <v>9.6392226384225577</v>
      </c>
      <c r="Y308">
        <f t="shared" ca="1" si="136"/>
        <v>1.0971680999985893</v>
      </c>
      <c r="Z308">
        <f t="shared" ca="1" si="137"/>
        <v>5.2856959436656279</v>
      </c>
      <c r="AA308">
        <f t="shared" ca="1" si="138"/>
        <v>634.56827383221173</v>
      </c>
      <c r="AB308">
        <f t="shared" ca="1" si="139"/>
        <v>635.99225862369406</v>
      </c>
      <c r="AC308">
        <f t="shared" ca="1" si="140"/>
        <v>5.5550671021801796E-3</v>
      </c>
      <c r="AD308">
        <f t="shared" ca="1" si="141"/>
        <v>1.1565167174589135</v>
      </c>
      <c r="AE308">
        <f t="shared" ca="1" si="142"/>
        <v>37.714485141079848</v>
      </c>
      <c r="AF308">
        <f t="shared" ca="1" si="143"/>
        <v>8.3444719704175441E-3</v>
      </c>
      <c r="AG308">
        <f t="shared" ca="1" si="144"/>
        <v>0</v>
      </c>
      <c r="AH308">
        <f ca="1">IFERROR(IF(V32="Supercritical",MAX($D$16,IFERROR(L308,MAX($D$16,POWER((ABS(K308)^2)/($I$5*MAX(F308,0.1)^2),1/3)))),IF(V32="Subcritical",MAX($D$16,IFERROR(W308,MAX($D$16,POWER((ABS(K308)^2)/($I$5*MAX(F308,0.1)^2),1/3)))),IF(AND(IFERROR(V308,0)=1,IFERROR(AG308,0)=1),IF(IFERROR(T308,-1E+99)&gt;=IFERROR(AE308,-1E+99),MAX($D$16,IFERROR(L308,MAX($D$16,POWER((ABS(K308)^2)/($I$5*MAX(F308,0.1)^2),1/3)))),MAX($D$16,IFERROR(W308,MAX($D$16,POWER((ABS(K308)^2)/($I$5*MAX(F308,0.1)^2),1/3))))),IF(IFERROR(V308,0)=1,MAX($D$16,IFERROR(L308,MAX($D$16,POWER((ABS(K308)^2)/($I$5*MAX(F308,0.1)^2),1/3)))),IF(IFERROR(AG308,0)=1,MAX($D$16,IFERROR(W308,MAX($D$16,POWER((ABS(K308)^2)/($I$5*MAX(F308,0.1)^2),1/3)))),MAX($D$16,POWER((ABS(K308)^2)/($I$5*MAX(F308,0.1)^2),1/3))))))),MAX($D$16,POWER((ABS(K308)^2)/($I$5*MAX(F308,0.1)^2),1/3)))</f>
        <v>2.3460258516225387</v>
      </c>
      <c r="AI308">
        <f t="shared" ca="1" si="145"/>
        <v>634.78502585162255</v>
      </c>
      <c r="AJ308">
        <f t="shared" ca="1" si="146"/>
        <v>635.95803877743379</v>
      </c>
      <c r="AM308">
        <v>0</v>
      </c>
      <c r="AN308">
        <v>0</v>
      </c>
      <c r="AO308">
        <f t="shared" si="147"/>
        <v>0</v>
      </c>
      <c r="AP308">
        <f t="shared" si="156"/>
        <v>0</v>
      </c>
      <c r="AQ308">
        <f t="shared" ca="1" si="148"/>
        <v>1.0000000000000002</v>
      </c>
      <c r="AR308" t="str">
        <f t="shared" ca="1" si="149"/>
        <v>Supercritical</v>
      </c>
      <c r="AS308">
        <f t="shared" ca="1" si="150"/>
        <v>4.2878699272156737E-3</v>
      </c>
    </row>
    <row r="309" spans="1:45" x14ac:dyDescent="0.35">
      <c r="A309">
        <v>248</v>
      </c>
      <c r="B309">
        <v>246.99600000000001</v>
      </c>
      <c r="C309">
        <v>616337.83700000006</v>
      </c>
      <c r="D309">
        <v>3097688.8960000002</v>
      </c>
      <c r="E309">
        <v>632.43849999999998</v>
      </c>
      <c r="F309">
        <v>4.5270000000000001</v>
      </c>
      <c r="G309">
        <v>0</v>
      </c>
      <c r="H309" t="s">
        <v>154</v>
      </c>
      <c r="I309">
        <v>1.3859999999999999</v>
      </c>
      <c r="J309">
        <f t="shared" si="151"/>
        <v>1</v>
      </c>
      <c r="K309">
        <f t="shared" ca="1" si="152"/>
        <v>50.95</v>
      </c>
      <c r="L309">
        <f t="shared" ca="1" si="153"/>
        <v>2.3460258516225387</v>
      </c>
      <c r="M309">
        <f t="shared" ca="1" si="126"/>
        <v>10.620459030295233</v>
      </c>
      <c r="N309">
        <f t="shared" ca="1" si="127"/>
        <v>1.1520120910653819</v>
      </c>
      <c r="O309">
        <f t="shared" ca="1" si="128"/>
        <v>4.7973444325394352</v>
      </c>
      <c r="P309">
        <f t="shared" ca="1" si="129"/>
        <v>634.78452585162256</v>
      </c>
      <c r="Q309">
        <f t="shared" ca="1" si="130"/>
        <v>635.9575387774338</v>
      </c>
      <c r="R309">
        <f t="shared" ca="1" si="131"/>
        <v>4.2878699272156737E-3</v>
      </c>
      <c r="S309">
        <f t="shared" ca="1" si="132"/>
        <v>1.0000000000000002</v>
      </c>
      <c r="T309">
        <f t="shared" ca="1" si="133"/>
        <v>37.373807161755991</v>
      </c>
      <c r="U309">
        <f t="shared" ca="1" si="154"/>
        <v>-6.4975297858609338E-3</v>
      </c>
      <c r="V309">
        <f t="shared" ca="1" si="155"/>
        <v>1</v>
      </c>
      <c r="W309">
        <f t="shared" ca="1" si="134"/>
        <v>2.1297833440497915</v>
      </c>
      <c r="X309">
        <f t="shared" ca="1" si="135"/>
        <v>9.6415291985134068</v>
      </c>
      <c r="Y309">
        <f t="shared" ca="1" si="136"/>
        <v>1.0973033655536666</v>
      </c>
      <c r="Z309">
        <f t="shared" ca="1" si="137"/>
        <v>5.2844314372719836</v>
      </c>
      <c r="AA309">
        <f t="shared" ca="1" si="138"/>
        <v>634.56828334404975</v>
      </c>
      <c r="AB309">
        <f t="shared" ca="1" si="139"/>
        <v>635.99158689222656</v>
      </c>
      <c r="AC309">
        <f t="shared" ca="1" si="140"/>
        <v>5.5514969412236419E-3</v>
      </c>
      <c r="AD309">
        <f t="shared" ca="1" si="141"/>
        <v>1.1561017289698337</v>
      </c>
      <c r="AE309">
        <f t="shared" ca="1" si="142"/>
        <v>37.712829585270129</v>
      </c>
      <c r="AF309">
        <f t="shared" ca="1" si="143"/>
        <v>8.3369559649781877E-3</v>
      </c>
      <c r="AG309">
        <f t="shared" ca="1" si="144"/>
        <v>0</v>
      </c>
      <c r="AH309">
        <f ca="1">IFERROR(IF(V32="Supercritical",MAX($D$16,IFERROR(L309,MAX($D$16,POWER((ABS(K309)^2)/($I$5*MAX(F309,0.1)^2),1/3)))),IF(V32="Subcritical",MAX($D$16,IFERROR(W309,MAX($D$16,POWER((ABS(K309)^2)/($I$5*MAX(F309,0.1)^2),1/3)))),IF(AND(IFERROR(V309,0)=1,IFERROR(AG309,0)=1),IF(IFERROR(T309,-1E+99)&gt;=IFERROR(AE309,-1E+99),MAX($D$16,IFERROR(L309,MAX($D$16,POWER((ABS(K309)^2)/($I$5*MAX(F309,0.1)^2),1/3)))),MAX($D$16,IFERROR(W309,MAX($D$16,POWER((ABS(K309)^2)/($I$5*MAX(F309,0.1)^2),1/3))))),IF(IFERROR(V309,0)=1,MAX($D$16,IFERROR(L309,MAX($D$16,POWER((ABS(K309)^2)/($I$5*MAX(F309,0.1)^2),1/3)))),IF(IFERROR(AG309,0)=1,MAX($D$16,IFERROR(W309,MAX($D$16,POWER((ABS(K309)^2)/($I$5*MAX(F309,0.1)^2),1/3)))),MAX($D$16,POWER((ABS(K309)^2)/($I$5*MAX(F309,0.1)^2),1/3))))))),MAX($D$16,POWER((ABS(K309)^2)/($I$5*MAX(F309,0.1)^2),1/3)))</f>
        <v>2.3460258516225387</v>
      </c>
      <c r="AI309">
        <f t="shared" ca="1" si="145"/>
        <v>634.78452585162256</v>
      </c>
      <c r="AJ309">
        <f t="shared" ca="1" si="146"/>
        <v>635.9575387774338</v>
      </c>
      <c r="AM309">
        <v>0</v>
      </c>
      <c r="AN309">
        <v>0</v>
      </c>
      <c r="AO309">
        <f t="shared" si="147"/>
        <v>0</v>
      </c>
      <c r="AP309">
        <f t="shared" si="156"/>
        <v>0</v>
      </c>
      <c r="AQ309">
        <f t="shared" ca="1" si="148"/>
        <v>1.0000000000000002</v>
      </c>
      <c r="AR309" t="str">
        <f t="shared" ca="1" si="149"/>
        <v>Supercritical</v>
      </c>
      <c r="AS309">
        <f t="shared" ca="1" si="150"/>
        <v>4.2878699272156737E-3</v>
      </c>
    </row>
    <row r="310" spans="1:45" x14ac:dyDescent="0.35">
      <c r="A310">
        <v>249</v>
      </c>
      <c r="B310">
        <v>247.99600000000001</v>
      </c>
      <c r="C310">
        <v>616336.84600000002</v>
      </c>
      <c r="D310">
        <v>3097688.7620000001</v>
      </c>
      <c r="E310">
        <v>632.43799999999999</v>
      </c>
      <c r="F310">
        <v>4.5270000000000001</v>
      </c>
      <c r="G310">
        <v>0</v>
      </c>
      <c r="H310" t="s">
        <v>154</v>
      </c>
      <c r="I310">
        <v>1.385</v>
      </c>
      <c r="J310">
        <f t="shared" si="151"/>
        <v>1</v>
      </c>
      <c r="K310">
        <f t="shared" ca="1" si="152"/>
        <v>50.95</v>
      </c>
      <c r="L310">
        <f t="shared" ca="1" si="153"/>
        <v>2.3460258516225387</v>
      </c>
      <c r="M310">
        <f t="shared" ca="1" si="126"/>
        <v>10.620459030295233</v>
      </c>
      <c r="N310">
        <f t="shared" ca="1" si="127"/>
        <v>1.1520120910653819</v>
      </c>
      <c r="O310">
        <f t="shared" ca="1" si="128"/>
        <v>4.7973444325394352</v>
      </c>
      <c r="P310">
        <f t="shared" ca="1" si="129"/>
        <v>634.78402585162257</v>
      </c>
      <c r="Q310">
        <f t="shared" ca="1" si="130"/>
        <v>635.95703877743381</v>
      </c>
      <c r="R310">
        <f t="shared" ca="1" si="131"/>
        <v>4.2878699272156737E-3</v>
      </c>
      <c r="S310">
        <f t="shared" ca="1" si="132"/>
        <v>1.0000000000000002</v>
      </c>
      <c r="T310">
        <f t="shared" ca="1" si="133"/>
        <v>37.373807161755991</v>
      </c>
      <c r="U310">
        <f t="shared" ca="1" si="154"/>
        <v>-6.4955747643580253E-3</v>
      </c>
      <c r="V310">
        <f t="shared" ca="1" si="155"/>
        <v>1</v>
      </c>
      <c r="W310">
        <f t="shared" ca="1" si="134"/>
        <v>2.1292738322117422</v>
      </c>
      <c r="X310">
        <f t="shared" ca="1" si="135"/>
        <v>9.6392226384225577</v>
      </c>
      <c r="Y310">
        <f t="shared" ca="1" si="136"/>
        <v>1.0971680999985893</v>
      </c>
      <c r="Z310">
        <f t="shared" ca="1" si="137"/>
        <v>5.2856959436656279</v>
      </c>
      <c r="AA310">
        <f t="shared" ca="1" si="138"/>
        <v>634.56727383221175</v>
      </c>
      <c r="AB310">
        <f t="shared" ca="1" si="139"/>
        <v>635.99125862369408</v>
      </c>
      <c r="AC310">
        <f t="shared" ca="1" si="140"/>
        <v>5.5550671021801796E-3</v>
      </c>
      <c r="AD310">
        <f t="shared" ca="1" si="141"/>
        <v>1.1565167174589135</v>
      </c>
      <c r="AE310">
        <f t="shared" ca="1" si="142"/>
        <v>37.714485141079848</v>
      </c>
      <c r="AF310">
        <f t="shared" ca="1" si="143"/>
        <v>8.6585570757051755E-3</v>
      </c>
      <c r="AG310">
        <f t="shared" ca="1" si="144"/>
        <v>0</v>
      </c>
      <c r="AH310">
        <f ca="1">IFERROR(IF(V32="Supercritical",MAX($D$16,IFERROR(L310,MAX($D$16,POWER((ABS(K310)^2)/($I$5*MAX(F310,0.1)^2),1/3)))),IF(V32="Subcritical",MAX($D$16,IFERROR(W310,MAX($D$16,POWER((ABS(K310)^2)/($I$5*MAX(F310,0.1)^2),1/3)))),IF(AND(IFERROR(V310,0)=1,IFERROR(AG310,0)=1),IF(IFERROR(T310,-1E+99)&gt;=IFERROR(AE310,-1E+99),MAX($D$16,IFERROR(L310,MAX($D$16,POWER((ABS(K310)^2)/($I$5*MAX(F310,0.1)^2),1/3)))),MAX($D$16,IFERROR(W310,MAX($D$16,POWER((ABS(K310)^2)/($I$5*MAX(F310,0.1)^2),1/3))))),IF(IFERROR(V310,0)=1,MAX($D$16,IFERROR(L310,MAX($D$16,POWER((ABS(K310)^2)/($I$5*MAX(F310,0.1)^2),1/3)))),IF(IFERROR(AG310,0)=1,MAX($D$16,IFERROR(W310,MAX($D$16,POWER((ABS(K310)^2)/($I$5*MAX(F310,0.1)^2),1/3)))),MAX($D$16,POWER((ABS(K310)^2)/($I$5*MAX(F310,0.1)^2),1/3))))))),MAX($D$16,POWER((ABS(K310)^2)/($I$5*MAX(F310,0.1)^2),1/3)))</f>
        <v>2.3460258516225387</v>
      </c>
      <c r="AI310">
        <f t="shared" ca="1" si="145"/>
        <v>634.78402585162257</v>
      </c>
      <c r="AJ310">
        <f t="shared" ca="1" si="146"/>
        <v>635.95703877743381</v>
      </c>
      <c r="AM310">
        <v>0</v>
      </c>
      <c r="AN310">
        <v>0</v>
      </c>
      <c r="AO310">
        <f t="shared" si="147"/>
        <v>0</v>
      </c>
      <c r="AP310">
        <f t="shared" si="156"/>
        <v>0</v>
      </c>
      <c r="AQ310">
        <f t="shared" ca="1" si="148"/>
        <v>1.0000000000000002</v>
      </c>
      <c r="AR310" t="str">
        <f t="shared" ca="1" si="149"/>
        <v>Supercritical</v>
      </c>
      <c r="AS310">
        <f t="shared" ca="1" si="150"/>
        <v>4.2878699272156737E-3</v>
      </c>
    </row>
    <row r="311" spans="1:45" x14ac:dyDescent="0.35">
      <c r="A311">
        <v>250</v>
      </c>
      <c r="B311">
        <v>248.99700000000001</v>
      </c>
      <c r="C311">
        <v>616335.85800000001</v>
      </c>
      <c r="D311">
        <v>3097688.6039999998</v>
      </c>
      <c r="E311">
        <v>632.4375</v>
      </c>
      <c r="F311">
        <v>4.5270000000000001</v>
      </c>
      <c r="G311">
        <v>0</v>
      </c>
      <c r="H311" t="s">
        <v>154</v>
      </c>
      <c r="I311">
        <v>1.516</v>
      </c>
      <c r="J311">
        <f t="shared" si="151"/>
        <v>1.0010000000000048</v>
      </c>
      <c r="K311">
        <f t="shared" ca="1" si="152"/>
        <v>50.95</v>
      </c>
      <c r="L311">
        <f t="shared" ca="1" si="153"/>
        <v>2.3460258516225387</v>
      </c>
      <c r="M311">
        <f t="shared" ca="1" si="126"/>
        <v>10.620459030295233</v>
      </c>
      <c r="N311">
        <f t="shared" ca="1" si="127"/>
        <v>1.1520120910653819</v>
      </c>
      <c r="O311">
        <f t="shared" ca="1" si="128"/>
        <v>4.7973444325394352</v>
      </c>
      <c r="P311">
        <f t="shared" ca="1" si="129"/>
        <v>634.78352585162258</v>
      </c>
      <c r="Q311">
        <f t="shared" ca="1" si="130"/>
        <v>635.95653877743382</v>
      </c>
      <c r="R311">
        <f t="shared" ca="1" si="131"/>
        <v>4.2878699272156737E-3</v>
      </c>
      <c r="S311">
        <f t="shared" ca="1" si="132"/>
        <v>1.0000000000000002</v>
      </c>
      <c r="T311">
        <f t="shared" ca="1" si="133"/>
        <v>37.373807161755991</v>
      </c>
      <c r="U311">
        <f t="shared" ca="1" si="154"/>
        <v>-6.7559704564246204E-3</v>
      </c>
      <c r="V311">
        <f t="shared" ca="1" si="155"/>
        <v>1</v>
      </c>
      <c r="W311">
        <f t="shared" ca="1" si="134"/>
        <v>2.1297833440497915</v>
      </c>
      <c r="X311">
        <f t="shared" ca="1" si="135"/>
        <v>9.6415291985134068</v>
      </c>
      <c r="Y311">
        <f t="shared" ca="1" si="136"/>
        <v>1.0973033655536666</v>
      </c>
      <c r="Z311">
        <f t="shared" ca="1" si="137"/>
        <v>5.2844314372719836</v>
      </c>
      <c r="AA311">
        <f t="shared" ca="1" si="138"/>
        <v>634.56728334404977</v>
      </c>
      <c r="AB311">
        <f t="shared" ca="1" si="139"/>
        <v>635.99058689222659</v>
      </c>
      <c r="AC311">
        <f t="shared" ca="1" si="140"/>
        <v>5.5514969412236419E-3</v>
      </c>
      <c r="AD311">
        <f t="shared" ca="1" si="141"/>
        <v>1.1561017289698337</v>
      </c>
      <c r="AE311">
        <f t="shared" ca="1" si="142"/>
        <v>37.712829585270129</v>
      </c>
      <c r="AF311">
        <f t="shared" ca="1" si="143"/>
        <v>8.3843994166272751E-3</v>
      </c>
      <c r="AG311">
        <f t="shared" ca="1" si="144"/>
        <v>0</v>
      </c>
      <c r="AH311">
        <f ca="1">IFERROR(IF(V32="Supercritical",MAX($D$16,IFERROR(L311,MAX($D$16,POWER((ABS(K311)^2)/($I$5*MAX(F311,0.1)^2),1/3)))),IF(V32="Subcritical",MAX($D$16,IFERROR(W311,MAX($D$16,POWER((ABS(K311)^2)/($I$5*MAX(F311,0.1)^2),1/3)))),IF(AND(IFERROR(V311,0)=1,IFERROR(AG311,0)=1),IF(IFERROR(T311,-1E+99)&gt;=IFERROR(AE311,-1E+99),MAX($D$16,IFERROR(L311,MAX($D$16,POWER((ABS(K311)^2)/($I$5*MAX(F311,0.1)^2),1/3)))),MAX($D$16,IFERROR(W311,MAX($D$16,POWER((ABS(K311)^2)/($I$5*MAX(F311,0.1)^2),1/3))))),IF(IFERROR(V311,0)=1,MAX($D$16,IFERROR(L311,MAX($D$16,POWER((ABS(K311)^2)/($I$5*MAX(F311,0.1)^2),1/3)))),IF(IFERROR(AG311,0)=1,MAX($D$16,IFERROR(W311,MAX($D$16,POWER((ABS(K311)^2)/($I$5*MAX(F311,0.1)^2),1/3)))),MAX($D$16,POWER((ABS(K311)^2)/($I$5*MAX(F311,0.1)^2),1/3))))))),MAX($D$16,POWER((ABS(K311)^2)/($I$5*MAX(F311,0.1)^2),1/3)))</f>
        <v>2.3460258516225387</v>
      </c>
      <c r="AI311">
        <f t="shared" ca="1" si="145"/>
        <v>634.78352585162258</v>
      </c>
      <c r="AJ311">
        <f t="shared" ca="1" si="146"/>
        <v>635.95653877743382</v>
      </c>
      <c r="AM311">
        <v>0</v>
      </c>
      <c r="AN311">
        <v>0</v>
      </c>
      <c r="AO311">
        <f t="shared" si="147"/>
        <v>0</v>
      </c>
      <c r="AP311">
        <f t="shared" si="156"/>
        <v>0</v>
      </c>
      <c r="AQ311">
        <f t="shared" ca="1" si="148"/>
        <v>1.0000000000000002</v>
      </c>
      <c r="AR311" t="str">
        <f t="shared" ca="1" si="149"/>
        <v>Supercritical</v>
      </c>
      <c r="AS311">
        <f t="shared" ca="1" si="150"/>
        <v>4.2878699272156737E-3</v>
      </c>
    </row>
    <row r="312" spans="1:45" x14ac:dyDescent="0.35">
      <c r="A312">
        <v>251</v>
      </c>
      <c r="B312">
        <v>249.99700000000001</v>
      </c>
      <c r="C312">
        <v>616334.875</v>
      </c>
      <c r="D312">
        <v>3097688.42</v>
      </c>
      <c r="E312">
        <v>632.43700000000001</v>
      </c>
      <c r="F312">
        <v>4.5270000000000001</v>
      </c>
      <c r="G312">
        <v>0</v>
      </c>
      <c r="H312" t="s">
        <v>154</v>
      </c>
      <c r="I312">
        <v>1.405</v>
      </c>
      <c r="J312">
        <f t="shared" si="151"/>
        <v>1</v>
      </c>
      <c r="K312">
        <f t="shared" ca="1" si="152"/>
        <v>50.95</v>
      </c>
      <c r="L312">
        <f t="shared" ca="1" si="153"/>
        <v>2.3460258516225387</v>
      </c>
      <c r="M312">
        <f t="shared" ca="1" si="126"/>
        <v>10.620459030295233</v>
      </c>
      <c r="N312">
        <f t="shared" ca="1" si="127"/>
        <v>1.1520120910653819</v>
      </c>
      <c r="O312">
        <f t="shared" ca="1" si="128"/>
        <v>4.7973444325394352</v>
      </c>
      <c r="P312">
        <f t="shared" ca="1" si="129"/>
        <v>634.7830258516226</v>
      </c>
      <c r="Q312">
        <f t="shared" ca="1" si="130"/>
        <v>635.95603877743383</v>
      </c>
      <c r="R312">
        <f t="shared" ca="1" si="131"/>
        <v>4.2878699272156737E-3</v>
      </c>
      <c r="S312">
        <f t="shared" ca="1" si="132"/>
        <v>1.0000000000000002</v>
      </c>
      <c r="T312">
        <f t="shared" ca="1" si="133"/>
        <v>37.373807161755991</v>
      </c>
      <c r="U312">
        <f t="shared" ca="1" si="154"/>
        <v>-6.534675195212003E-3</v>
      </c>
      <c r="V312">
        <f t="shared" ca="1" si="155"/>
        <v>1</v>
      </c>
      <c r="W312">
        <f t="shared" ca="1" si="134"/>
        <v>2.1292738322117422</v>
      </c>
      <c r="X312">
        <f t="shared" ca="1" si="135"/>
        <v>9.6392226384225577</v>
      </c>
      <c r="Y312">
        <f t="shared" ca="1" si="136"/>
        <v>1.0971680999985893</v>
      </c>
      <c r="Z312">
        <f t="shared" ca="1" si="137"/>
        <v>5.2856959436656279</v>
      </c>
      <c r="AA312">
        <f t="shared" ca="1" si="138"/>
        <v>634.56627383221178</v>
      </c>
      <c r="AB312">
        <f t="shared" ca="1" si="139"/>
        <v>635.9902586236941</v>
      </c>
      <c r="AC312">
        <f t="shared" ca="1" si="140"/>
        <v>5.5550671021801796E-3</v>
      </c>
      <c r="AD312">
        <f t="shared" ca="1" si="141"/>
        <v>1.1565167174589135</v>
      </c>
      <c r="AE312">
        <f t="shared" ca="1" si="142"/>
        <v>37.714485141079848</v>
      </c>
      <c r="AF312">
        <f t="shared" ca="1" si="143"/>
        <v>8.4204178260733897E-3</v>
      </c>
      <c r="AG312">
        <f t="shared" ca="1" si="144"/>
        <v>0</v>
      </c>
      <c r="AH312">
        <f ca="1">IFERROR(IF(V32="Supercritical",MAX($D$16,IFERROR(L312,MAX($D$16,POWER((ABS(K312)^2)/($I$5*MAX(F312,0.1)^2),1/3)))),IF(V32="Subcritical",MAX($D$16,IFERROR(W312,MAX($D$16,POWER((ABS(K312)^2)/($I$5*MAX(F312,0.1)^2),1/3)))),IF(AND(IFERROR(V312,0)=1,IFERROR(AG312,0)=1),IF(IFERROR(T312,-1E+99)&gt;=IFERROR(AE312,-1E+99),MAX($D$16,IFERROR(L312,MAX($D$16,POWER((ABS(K312)^2)/($I$5*MAX(F312,0.1)^2),1/3)))),MAX($D$16,IFERROR(W312,MAX($D$16,POWER((ABS(K312)^2)/($I$5*MAX(F312,0.1)^2),1/3))))),IF(IFERROR(V312,0)=1,MAX($D$16,IFERROR(L312,MAX($D$16,POWER((ABS(K312)^2)/($I$5*MAX(F312,0.1)^2),1/3)))),IF(IFERROR(AG312,0)=1,MAX($D$16,IFERROR(W312,MAX($D$16,POWER((ABS(K312)^2)/($I$5*MAX(F312,0.1)^2),1/3)))),MAX($D$16,POWER((ABS(K312)^2)/($I$5*MAX(F312,0.1)^2),1/3))))))),MAX($D$16,POWER((ABS(K312)^2)/($I$5*MAX(F312,0.1)^2),1/3)))</f>
        <v>2.3460258516225387</v>
      </c>
      <c r="AI312">
        <f t="shared" ca="1" si="145"/>
        <v>634.7830258516226</v>
      </c>
      <c r="AJ312">
        <f t="shared" ca="1" si="146"/>
        <v>635.95603877743383</v>
      </c>
      <c r="AM312">
        <v>0</v>
      </c>
      <c r="AN312">
        <v>0</v>
      </c>
      <c r="AO312">
        <f t="shared" si="147"/>
        <v>0</v>
      </c>
      <c r="AP312">
        <f t="shared" si="156"/>
        <v>0</v>
      </c>
      <c r="AQ312">
        <f t="shared" ca="1" si="148"/>
        <v>1.0000000000000002</v>
      </c>
      <c r="AR312" t="str">
        <f t="shared" ca="1" si="149"/>
        <v>Supercritical</v>
      </c>
      <c r="AS312">
        <f t="shared" ca="1" si="150"/>
        <v>4.2878699272156737E-3</v>
      </c>
    </row>
    <row r="313" spans="1:45" x14ac:dyDescent="0.35">
      <c r="A313">
        <v>252</v>
      </c>
      <c r="B313">
        <v>250.99700000000001</v>
      </c>
      <c r="C313">
        <v>616333.897</v>
      </c>
      <c r="D313">
        <v>3097688.2119999998</v>
      </c>
      <c r="E313">
        <v>632.43650000000002</v>
      </c>
      <c r="F313">
        <v>4.5270000000000001</v>
      </c>
      <c r="G313">
        <v>0</v>
      </c>
      <c r="H313" t="s">
        <v>154</v>
      </c>
      <c r="I313">
        <v>1.4179999999999999</v>
      </c>
      <c r="J313">
        <f t="shared" si="151"/>
        <v>1</v>
      </c>
      <c r="K313">
        <f t="shared" ca="1" si="152"/>
        <v>50.95</v>
      </c>
      <c r="L313">
        <f t="shared" ca="1" si="153"/>
        <v>2.3460258516225387</v>
      </c>
      <c r="M313">
        <f t="shared" ca="1" si="126"/>
        <v>10.620459030295233</v>
      </c>
      <c r="N313">
        <f t="shared" ca="1" si="127"/>
        <v>1.1520120910653819</v>
      </c>
      <c r="O313">
        <f t="shared" ca="1" si="128"/>
        <v>4.7973444325394352</v>
      </c>
      <c r="P313">
        <f t="shared" ca="1" si="129"/>
        <v>634.78252585162261</v>
      </c>
      <c r="Q313">
        <f t="shared" ca="1" si="130"/>
        <v>635.95553877743384</v>
      </c>
      <c r="R313">
        <f t="shared" ca="1" si="131"/>
        <v>4.2878699272156737E-3</v>
      </c>
      <c r="S313">
        <f t="shared" ca="1" si="132"/>
        <v>1.0000000000000002</v>
      </c>
      <c r="T313">
        <f t="shared" ca="1" si="133"/>
        <v>37.373807161755991</v>
      </c>
      <c r="U313">
        <f t="shared" ca="1" si="154"/>
        <v>-6.5600904752045608E-3</v>
      </c>
      <c r="V313">
        <f t="shared" ca="1" si="155"/>
        <v>1</v>
      </c>
      <c r="W313">
        <f t="shared" ca="1" si="134"/>
        <v>2.1297833440497915</v>
      </c>
      <c r="X313">
        <f t="shared" ca="1" si="135"/>
        <v>9.6415291985134068</v>
      </c>
      <c r="Y313">
        <f t="shared" ca="1" si="136"/>
        <v>1.0973033655536666</v>
      </c>
      <c r="Z313">
        <f t="shared" ca="1" si="137"/>
        <v>5.2844314372719836</v>
      </c>
      <c r="AA313">
        <f t="shared" ca="1" si="138"/>
        <v>634.56628334404979</v>
      </c>
      <c r="AB313">
        <f t="shared" ca="1" si="139"/>
        <v>635.98958689222661</v>
      </c>
      <c r="AC313">
        <f t="shared" ca="1" si="140"/>
        <v>5.5514969412236419E-3</v>
      </c>
      <c r="AD313">
        <f t="shared" ca="1" si="141"/>
        <v>1.1561017289698337</v>
      </c>
      <c r="AE313">
        <f t="shared" ca="1" si="142"/>
        <v>37.712829585270129</v>
      </c>
      <c r="AF313">
        <f t="shared" ca="1" si="143"/>
        <v>8.3764757470135009E-3</v>
      </c>
      <c r="AG313">
        <f t="shared" ca="1" si="144"/>
        <v>0</v>
      </c>
      <c r="AH313">
        <f ca="1">IFERROR(IF(V32="Supercritical",MAX($D$16,IFERROR(L313,MAX($D$16,POWER((ABS(K313)^2)/($I$5*MAX(F313,0.1)^2),1/3)))),IF(V32="Subcritical",MAX($D$16,IFERROR(W313,MAX($D$16,POWER((ABS(K313)^2)/($I$5*MAX(F313,0.1)^2),1/3)))),IF(AND(IFERROR(V313,0)=1,IFERROR(AG313,0)=1),IF(IFERROR(T313,-1E+99)&gt;=IFERROR(AE313,-1E+99),MAX($D$16,IFERROR(L313,MAX($D$16,POWER((ABS(K313)^2)/($I$5*MAX(F313,0.1)^2),1/3)))),MAX($D$16,IFERROR(W313,MAX($D$16,POWER((ABS(K313)^2)/($I$5*MAX(F313,0.1)^2),1/3))))),IF(IFERROR(V313,0)=1,MAX($D$16,IFERROR(L313,MAX($D$16,POWER((ABS(K313)^2)/($I$5*MAX(F313,0.1)^2),1/3)))),IF(IFERROR(AG313,0)=1,MAX($D$16,IFERROR(W313,MAX($D$16,POWER((ABS(K313)^2)/($I$5*MAX(F313,0.1)^2),1/3)))),MAX($D$16,POWER((ABS(K313)^2)/($I$5*MAX(F313,0.1)^2),1/3))))))),MAX($D$16,POWER((ABS(K313)^2)/($I$5*MAX(F313,0.1)^2),1/3)))</f>
        <v>2.3460258516225387</v>
      </c>
      <c r="AI313">
        <f t="shared" ca="1" si="145"/>
        <v>634.78252585162261</v>
      </c>
      <c r="AJ313">
        <f t="shared" ca="1" si="146"/>
        <v>635.95553877743384</v>
      </c>
      <c r="AM313">
        <v>0</v>
      </c>
      <c r="AN313">
        <v>0</v>
      </c>
      <c r="AO313">
        <f t="shared" si="147"/>
        <v>0</v>
      </c>
      <c r="AP313">
        <f t="shared" si="156"/>
        <v>0</v>
      </c>
      <c r="AQ313">
        <f t="shared" ca="1" si="148"/>
        <v>1.0000000000000002</v>
      </c>
      <c r="AR313" t="str">
        <f t="shared" ca="1" si="149"/>
        <v>Supercritical</v>
      </c>
      <c r="AS313">
        <f t="shared" ca="1" si="150"/>
        <v>4.2878699272156737E-3</v>
      </c>
    </row>
    <row r="314" spans="1:45" x14ac:dyDescent="0.35">
      <c r="A314">
        <v>253</v>
      </c>
      <c r="B314">
        <v>251.99600000000001</v>
      </c>
      <c r="C314">
        <v>616332.92500000005</v>
      </c>
      <c r="D314">
        <v>3097687.98</v>
      </c>
      <c r="E314">
        <v>632.43600000000004</v>
      </c>
      <c r="F314">
        <v>4.5270000000000001</v>
      </c>
      <c r="G314">
        <v>0</v>
      </c>
      <c r="H314" t="s">
        <v>154</v>
      </c>
      <c r="I314">
        <v>1.4039999999999999</v>
      </c>
      <c r="J314">
        <f t="shared" si="151"/>
        <v>0.99899999999999523</v>
      </c>
      <c r="K314">
        <f t="shared" ca="1" si="152"/>
        <v>50.95</v>
      </c>
      <c r="L314">
        <f t="shared" ca="1" si="153"/>
        <v>2.3460258516225387</v>
      </c>
      <c r="M314">
        <f t="shared" ca="1" si="126"/>
        <v>10.620459030295233</v>
      </c>
      <c r="N314">
        <f t="shared" ca="1" si="127"/>
        <v>1.1520120910653819</v>
      </c>
      <c r="O314">
        <f t="shared" ca="1" si="128"/>
        <v>4.7973444325394352</v>
      </c>
      <c r="P314">
        <f t="shared" ca="1" si="129"/>
        <v>634.78202585162262</v>
      </c>
      <c r="Q314">
        <f t="shared" ca="1" si="130"/>
        <v>635.95503877743386</v>
      </c>
      <c r="R314">
        <f t="shared" ca="1" si="131"/>
        <v>4.2878699272156737E-3</v>
      </c>
      <c r="S314">
        <f t="shared" ca="1" si="132"/>
        <v>1.0000000000000002</v>
      </c>
      <c r="T314">
        <f t="shared" ca="1" si="133"/>
        <v>37.373807161755991</v>
      </c>
      <c r="U314">
        <f t="shared" ca="1" si="154"/>
        <v>-6.5284323036394198E-3</v>
      </c>
      <c r="V314">
        <f t="shared" ca="1" si="155"/>
        <v>1</v>
      </c>
      <c r="W314">
        <f t="shared" ca="1" si="134"/>
        <v>2.1292738322117422</v>
      </c>
      <c r="X314">
        <f t="shared" ca="1" si="135"/>
        <v>9.6392226384225577</v>
      </c>
      <c r="Y314">
        <f t="shared" ca="1" si="136"/>
        <v>1.0971680999985893</v>
      </c>
      <c r="Z314">
        <f t="shared" ca="1" si="137"/>
        <v>5.2856959436656279</v>
      </c>
      <c r="AA314">
        <f t="shared" ca="1" si="138"/>
        <v>634.5652738322118</v>
      </c>
      <c r="AB314">
        <f t="shared" ca="1" si="139"/>
        <v>635.98925862369413</v>
      </c>
      <c r="AC314">
        <f t="shared" ca="1" si="140"/>
        <v>5.5550671021801796E-3</v>
      </c>
      <c r="AD314">
        <f t="shared" ca="1" si="141"/>
        <v>1.1565167174589135</v>
      </c>
      <c r="AE314">
        <f t="shared" ca="1" si="142"/>
        <v>37.714485141079848</v>
      </c>
      <c r="AF314">
        <f t="shared" ca="1" si="143"/>
        <v>8.5897311441840429E-3</v>
      </c>
      <c r="AG314">
        <f t="shared" ca="1" si="144"/>
        <v>0</v>
      </c>
      <c r="AH314">
        <f ca="1">IFERROR(IF(V32="Supercritical",MAX($D$16,IFERROR(L314,MAX($D$16,POWER((ABS(K314)^2)/($I$5*MAX(F314,0.1)^2),1/3)))),IF(V32="Subcritical",MAX($D$16,IFERROR(W314,MAX($D$16,POWER((ABS(K314)^2)/($I$5*MAX(F314,0.1)^2),1/3)))),IF(AND(IFERROR(V314,0)=1,IFERROR(AG314,0)=1),IF(IFERROR(T314,-1E+99)&gt;=IFERROR(AE314,-1E+99),MAX($D$16,IFERROR(L314,MAX($D$16,POWER((ABS(K314)^2)/($I$5*MAX(F314,0.1)^2),1/3)))),MAX($D$16,IFERROR(W314,MAX($D$16,POWER((ABS(K314)^2)/($I$5*MAX(F314,0.1)^2),1/3))))),IF(IFERROR(V314,0)=1,MAX($D$16,IFERROR(L314,MAX($D$16,POWER((ABS(K314)^2)/($I$5*MAX(F314,0.1)^2),1/3)))),IF(IFERROR(AG314,0)=1,MAX($D$16,IFERROR(W314,MAX($D$16,POWER((ABS(K314)^2)/($I$5*MAX(F314,0.1)^2),1/3)))),MAX($D$16,POWER((ABS(K314)^2)/($I$5*MAX(F314,0.1)^2),1/3))))))),MAX($D$16,POWER((ABS(K314)^2)/($I$5*MAX(F314,0.1)^2),1/3)))</f>
        <v>2.3460258516225387</v>
      </c>
      <c r="AI314">
        <f t="shared" ca="1" si="145"/>
        <v>634.78202585162262</v>
      </c>
      <c r="AJ314">
        <f t="shared" ca="1" si="146"/>
        <v>635.95503877743386</v>
      </c>
      <c r="AM314">
        <v>0</v>
      </c>
      <c r="AN314">
        <v>0</v>
      </c>
      <c r="AO314">
        <f t="shared" si="147"/>
        <v>0</v>
      </c>
      <c r="AP314">
        <f t="shared" si="156"/>
        <v>0</v>
      </c>
      <c r="AQ314">
        <f t="shared" ca="1" si="148"/>
        <v>1.0000000000000002</v>
      </c>
      <c r="AR314" t="str">
        <f t="shared" ca="1" si="149"/>
        <v>Supercritical</v>
      </c>
      <c r="AS314">
        <f t="shared" ca="1" si="150"/>
        <v>4.2878699272156737E-3</v>
      </c>
    </row>
    <row r="315" spans="1:45" x14ac:dyDescent="0.35">
      <c r="A315">
        <v>254</v>
      </c>
      <c r="B315">
        <v>252.99700000000001</v>
      </c>
      <c r="C315">
        <v>616331.95799999998</v>
      </c>
      <c r="D315">
        <v>3097687.7239999999</v>
      </c>
      <c r="E315">
        <v>632.43550000000005</v>
      </c>
      <c r="F315">
        <v>4.5270000000000001</v>
      </c>
      <c r="G315">
        <v>0</v>
      </c>
      <c r="H315" t="s">
        <v>154</v>
      </c>
      <c r="I315">
        <v>1.4870000000000001</v>
      </c>
      <c r="J315">
        <f t="shared" si="151"/>
        <v>1.0010000000000048</v>
      </c>
      <c r="K315">
        <f t="shared" ca="1" si="152"/>
        <v>50.95</v>
      </c>
      <c r="L315">
        <f t="shared" ca="1" si="153"/>
        <v>2.3460258516225387</v>
      </c>
      <c r="M315">
        <f t="shared" ca="1" si="126"/>
        <v>10.620459030295233</v>
      </c>
      <c r="N315">
        <f t="shared" ca="1" si="127"/>
        <v>1.1520120910653819</v>
      </c>
      <c r="O315">
        <f t="shared" ca="1" si="128"/>
        <v>4.7973444325394352</v>
      </c>
      <c r="P315">
        <f t="shared" ca="1" si="129"/>
        <v>634.78152585162263</v>
      </c>
      <c r="Q315">
        <f t="shared" ca="1" si="130"/>
        <v>635.95453877743387</v>
      </c>
      <c r="R315">
        <f t="shared" ca="1" si="131"/>
        <v>4.2878699272156737E-3</v>
      </c>
      <c r="S315">
        <f t="shared" ca="1" si="132"/>
        <v>1.0000000000000002</v>
      </c>
      <c r="T315">
        <f t="shared" ca="1" si="133"/>
        <v>37.373807161755991</v>
      </c>
      <c r="U315">
        <f t="shared" ca="1" si="154"/>
        <v>-6.6992748317034057E-3</v>
      </c>
      <c r="V315">
        <f t="shared" ca="1" si="155"/>
        <v>1</v>
      </c>
      <c r="W315">
        <f t="shared" ca="1" si="134"/>
        <v>2.1297833440497915</v>
      </c>
      <c r="X315">
        <f t="shared" ca="1" si="135"/>
        <v>9.6415291985134068</v>
      </c>
      <c r="Y315">
        <f t="shared" ca="1" si="136"/>
        <v>1.0973033655536666</v>
      </c>
      <c r="Z315">
        <f t="shared" ca="1" si="137"/>
        <v>5.2844314372719836</v>
      </c>
      <c r="AA315">
        <f t="shared" ca="1" si="138"/>
        <v>634.56528334404982</v>
      </c>
      <c r="AB315">
        <f t="shared" ca="1" si="139"/>
        <v>635.98858689222664</v>
      </c>
      <c r="AC315">
        <f t="shared" ca="1" si="140"/>
        <v>5.5514969412236419E-3</v>
      </c>
      <c r="AD315">
        <f t="shared" ca="1" si="141"/>
        <v>1.1561017289698337</v>
      </c>
      <c r="AE315">
        <f t="shared" ca="1" si="142"/>
        <v>37.712829585270129</v>
      </c>
      <c r="AF315">
        <f t="shared" ca="1" si="143"/>
        <v>8.3606776906890445E-3</v>
      </c>
      <c r="AG315">
        <f t="shared" ca="1" si="144"/>
        <v>0</v>
      </c>
      <c r="AH315">
        <f ca="1">IFERROR(IF(V32="Supercritical",MAX($D$16,IFERROR(L315,MAX($D$16,POWER((ABS(K315)^2)/($I$5*MAX(F315,0.1)^2),1/3)))),IF(V32="Subcritical",MAX($D$16,IFERROR(W315,MAX($D$16,POWER((ABS(K315)^2)/($I$5*MAX(F315,0.1)^2),1/3)))),IF(AND(IFERROR(V315,0)=1,IFERROR(AG315,0)=1),IF(IFERROR(T315,-1E+99)&gt;=IFERROR(AE315,-1E+99),MAX($D$16,IFERROR(L315,MAX($D$16,POWER((ABS(K315)^2)/($I$5*MAX(F315,0.1)^2),1/3)))),MAX($D$16,IFERROR(W315,MAX($D$16,POWER((ABS(K315)^2)/($I$5*MAX(F315,0.1)^2),1/3))))),IF(IFERROR(V315,0)=1,MAX($D$16,IFERROR(L315,MAX($D$16,POWER((ABS(K315)^2)/($I$5*MAX(F315,0.1)^2),1/3)))),IF(IFERROR(AG315,0)=1,MAX($D$16,IFERROR(W315,MAX($D$16,POWER((ABS(K315)^2)/($I$5*MAX(F315,0.1)^2),1/3)))),MAX($D$16,POWER((ABS(K315)^2)/($I$5*MAX(F315,0.1)^2),1/3))))))),MAX($D$16,POWER((ABS(K315)^2)/($I$5*MAX(F315,0.1)^2),1/3)))</f>
        <v>2.3460258516225387</v>
      </c>
      <c r="AI315">
        <f t="shared" ca="1" si="145"/>
        <v>634.78152585162263</v>
      </c>
      <c r="AJ315">
        <f t="shared" ca="1" si="146"/>
        <v>635.95453877743387</v>
      </c>
      <c r="AM315">
        <v>0</v>
      </c>
      <c r="AN315">
        <v>0</v>
      </c>
      <c r="AO315">
        <f t="shared" si="147"/>
        <v>0</v>
      </c>
      <c r="AP315">
        <f t="shared" si="156"/>
        <v>0</v>
      </c>
      <c r="AQ315">
        <f t="shared" ca="1" si="148"/>
        <v>1.0000000000000002</v>
      </c>
      <c r="AR315" t="str">
        <f t="shared" ca="1" si="149"/>
        <v>Supercritical</v>
      </c>
      <c r="AS315">
        <f t="shared" ca="1" si="150"/>
        <v>4.2878699272156737E-3</v>
      </c>
    </row>
    <row r="316" spans="1:45" x14ac:dyDescent="0.35">
      <c r="A316">
        <v>255</v>
      </c>
      <c r="B316">
        <v>253.99700000000001</v>
      </c>
      <c r="C316">
        <v>616330.99800000002</v>
      </c>
      <c r="D316">
        <v>3097687.443</v>
      </c>
      <c r="E316">
        <v>632.43499999999995</v>
      </c>
      <c r="F316">
        <v>4.5270000000000001</v>
      </c>
      <c r="G316">
        <v>0</v>
      </c>
      <c r="H316" t="s">
        <v>154</v>
      </c>
      <c r="I316">
        <v>1.395</v>
      </c>
      <c r="J316">
        <f t="shared" si="151"/>
        <v>1</v>
      </c>
      <c r="K316">
        <f t="shared" ca="1" si="152"/>
        <v>50.95</v>
      </c>
      <c r="L316">
        <f t="shared" ca="1" si="153"/>
        <v>2.3460258516225387</v>
      </c>
      <c r="M316">
        <f t="shared" ca="1" si="126"/>
        <v>10.620459030295233</v>
      </c>
      <c r="N316">
        <f t="shared" ca="1" si="127"/>
        <v>1.1520120910653819</v>
      </c>
      <c r="O316">
        <f t="shared" ca="1" si="128"/>
        <v>4.7973444325394352</v>
      </c>
      <c r="P316">
        <f t="shared" ca="1" si="129"/>
        <v>634.78102585162253</v>
      </c>
      <c r="Q316">
        <f t="shared" ca="1" si="130"/>
        <v>635.95403877743377</v>
      </c>
      <c r="R316">
        <f t="shared" ca="1" si="131"/>
        <v>4.2878699272156737E-3</v>
      </c>
      <c r="S316">
        <f t="shared" ca="1" si="132"/>
        <v>1.0000000000000002</v>
      </c>
      <c r="T316">
        <f t="shared" ca="1" si="133"/>
        <v>37.373807161755991</v>
      </c>
      <c r="U316">
        <f t="shared" ca="1" si="154"/>
        <v>-6.5151249796144839E-3</v>
      </c>
      <c r="V316">
        <f t="shared" ca="1" si="155"/>
        <v>1</v>
      </c>
      <c r="W316">
        <f t="shared" ca="1" si="134"/>
        <v>2.1292738322117422</v>
      </c>
      <c r="X316">
        <f t="shared" ca="1" si="135"/>
        <v>9.6392226384225577</v>
      </c>
      <c r="Y316">
        <f t="shared" ca="1" si="136"/>
        <v>1.0971680999985893</v>
      </c>
      <c r="Z316">
        <f t="shared" ca="1" si="137"/>
        <v>5.2856959436656279</v>
      </c>
      <c r="AA316">
        <f t="shared" ca="1" si="138"/>
        <v>634.56427383221171</v>
      </c>
      <c r="AB316">
        <f t="shared" ca="1" si="139"/>
        <v>635.98825862369404</v>
      </c>
      <c r="AC316">
        <f t="shared" ca="1" si="140"/>
        <v>5.5550671021801796E-3</v>
      </c>
      <c r="AD316">
        <f t="shared" ca="1" si="141"/>
        <v>1.1565167174589135</v>
      </c>
      <c r="AE316">
        <f t="shared" ca="1" si="142"/>
        <v>37.714485141079848</v>
      </c>
      <c r="AF316">
        <f t="shared" ca="1" si="143"/>
        <v>8.5762477019670769E-3</v>
      </c>
      <c r="AG316">
        <f t="shared" ca="1" si="144"/>
        <v>0</v>
      </c>
      <c r="AH316">
        <f ca="1">IFERROR(IF(V32="Supercritical",MAX($D$16,IFERROR(L316,MAX($D$16,POWER((ABS(K316)^2)/($I$5*MAX(F316,0.1)^2),1/3)))),IF(V32="Subcritical",MAX($D$16,IFERROR(W316,MAX($D$16,POWER((ABS(K316)^2)/($I$5*MAX(F316,0.1)^2),1/3)))),IF(AND(IFERROR(V316,0)=1,IFERROR(AG316,0)=1),IF(IFERROR(T316,-1E+99)&gt;=IFERROR(AE316,-1E+99),MAX($D$16,IFERROR(L316,MAX($D$16,POWER((ABS(K316)^2)/($I$5*MAX(F316,0.1)^2),1/3)))),MAX($D$16,IFERROR(W316,MAX($D$16,POWER((ABS(K316)^2)/($I$5*MAX(F316,0.1)^2),1/3))))),IF(IFERROR(V316,0)=1,MAX($D$16,IFERROR(L316,MAX($D$16,POWER((ABS(K316)^2)/($I$5*MAX(F316,0.1)^2),1/3)))),IF(IFERROR(AG316,0)=1,MAX($D$16,IFERROR(W316,MAX($D$16,POWER((ABS(K316)^2)/($I$5*MAX(F316,0.1)^2),1/3)))),MAX($D$16,POWER((ABS(K316)^2)/($I$5*MAX(F316,0.1)^2),1/3))))))),MAX($D$16,POWER((ABS(K316)^2)/($I$5*MAX(F316,0.1)^2),1/3)))</f>
        <v>2.3460258516225387</v>
      </c>
      <c r="AI316">
        <f t="shared" ca="1" si="145"/>
        <v>634.78102585162253</v>
      </c>
      <c r="AJ316">
        <f t="shared" ca="1" si="146"/>
        <v>635.95403877743377</v>
      </c>
      <c r="AM316">
        <v>0</v>
      </c>
      <c r="AN316">
        <v>0</v>
      </c>
      <c r="AO316">
        <f t="shared" si="147"/>
        <v>0</v>
      </c>
      <c r="AP316">
        <f t="shared" si="156"/>
        <v>0</v>
      </c>
      <c r="AQ316">
        <f t="shared" ca="1" si="148"/>
        <v>1.0000000000000002</v>
      </c>
      <c r="AR316" t="str">
        <f t="shared" ca="1" si="149"/>
        <v>Supercritical</v>
      </c>
      <c r="AS316">
        <f t="shared" ca="1" si="150"/>
        <v>4.2878699272156737E-3</v>
      </c>
    </row>
    <row r="317" spans="1:45" x14ac:dyDescent="0.35">
      <c r="A317">
        <v>256</v>
      </c>
      <c r="B317">
        <v>254.99600000000001</v>
      </c>
      <c r="C317">
        <v>616330.04599999997</v>
      </c>
      <c r="D317">
        <v>3097687.139</v>
      </c>
      <c r="E317">
        <v>632.43449999999996</v>
      </c>
      <c r="F317">
        <v>4.5270000000000001</v>
      </c>
      <c r="G317">
        <v>0</v>
      </c>
      <c r="H317" t="s">
        <v>154</v>
      </c>
      <c r="I317">
        <v>1.486</v>
      </c>
      <c r="J317">
        <f t="shared" si="151"/>
        <v>0.99899999999999523</v>
      </c>
      <c r="K317">
        <f t="shared" ca="1" si="152"/>
        <v>50.95</v>
      </c>
      <c r="L317">
        <f t="shared" ca="1" si="153"/>
        <v>2.3460258516225387</v>
      </c>
      <c r="M317">
        <f t="shared" ca="1" si="126"/>
        <v>10.620459030295233</v>
      </c>
      <c r="N317">
        <f t="shared" ca="1" si="127"/>
        <v>1.1520120910653819</v>
      </c>
      <c r="O317">
        <f t="shared" ca="1" si="128"/>
        <v>4.7973444325394352</v>
      </c>
      <c r="P317">
        <f t="shared" ca="1" si="129"/>
        <v>634.78052585162254</v>
      </c>
      <c r="Q317">
        <f t="shared" ca="1" si="130"/>
        <v>635.95353877743378</v>
      </c>
      <c r="R317">
        <f t="shared" ca="1" si="131"/>
        <v>4.2878699272156737E-3</v>
      </c>
      <c r="S317">
        <f t="shared" ca="1" si="132"/>
        <v>1.0000000000000002</v>
      </c>
      <c r="T317">
        <f t="shared" ca="1" si="133"/>
        <v>37.373807161755991</v>
      </c>
      <c r="U317">
        <f t="shared" ca="1" si="154"/>
        <v>-6.6887440701748346E-3</v>
      </c>
      <c r="V317">
        <f t="shared" ca="1" si="155"/>
        <v>1</v>
      </c>
      <c r="W317">
        <f t="shared" ca="1" si="134"/>
        <v>2.1297833440497915</v>
      </c>
      <c r="X317">
        <f t="shared" ca="1" si="135"/>
        <v>9.6415291985134068</v>
      </c>
      <c r="Y317">
        <f t="shared" ca="1" si="136"/>
        <v>1.0973033655536666</v>
      </c>
      <c r="Z317">
        <f t="shared" ca="1" si="137"/>
        <v>5.2844314372719836</v>
      </c>
      <c r="AA317">
        <f t="shared" ca="1" si="138"/>
        <v>634.56428334404973</v>
      </c>
      <c r="AB317">
        <f t="shared" ca="1" si="139"/>
        <v>635.98758689222655</v>
      </c>
      <c r="AC317">
        <f t="shared" ca="1" si="140"/>
        <v>5.5514969412236419E-3</v>
      </c>
      <c r="AD317">
        <f t="shared" ca="1" si="141"/>
        <v>1.1561017289698337</v>
      </c>
      <c r="AE317">
        <f t="shared" ca="1" si="142"/>
        <v>37.712829585270129</v>
      </c>
      <c r="AF317">
        <f t="shared" ca="1" si="143"/>
        <v>8.2855753199737592E-3</v>
      </c>
      <c r="AG317">
        <f t="shared" ca="1" si="144"/>
        <v>0</v>
      </c>
      <c r="AH317">
        <f ca="1">IFERROR(IF(V32="Supercritical",MAX($D$16,IFERROR(L317,MAX($D$16,POWER((ABS(K317)^2)/($I$5*MAX(F317,0.1)^2),1/3)))),IF(V32="Subcritical",MAX($D$16,IFERROR(W317,MAX($D$16,POWER((ABS(K317)^2)/($I$5*MAX(F317,0.1)^2),1/3)))),IF(AND(IFERROR(V317,0)=1,IFERROR(AG317,0)=1),IF(IFERROR(T317,-1E+99)&gt;=IFERROR(AE317,-1E+99),MAX($D$16,IFERROR(L317,MAX($D$16,POWER((ABS(K317)^2)/($I$5*MAX(F317,0.1)^2),1/3)))),MAX($D$16,IFERROR(W317,MAX($D$16,POWER((ABS(K317)^2)/($I$5*MAX(F317,0.1)^2),1/3))))),IF(IFERROR(V317,0)=1,MAX($D$16,IFERROR(L317,MAX($D$16,POWER((ABS(K317)^2)/($I$5*MAX(F317,0.1)^2),1/3)))),IF(IFERROR(AG317,0)=1,MAX($D$16,IFERROR(W317,MAX($D$16,POWER((ABS(K317)^2)/($I$5*MAX(F317,0.1)^2),1/3)))),MAX($D$16,POWER((ABS(K317)^2)/($I$5*MAX(F317,0.1)^2),1/3))))))),MAX($D$16,POWER((ABS(K317)^2)/($I$5*MAX(F317,0.1)^2),1/3)))</f>
        <v>2.3460258516225387</v>
      </c>
      <c r="AI317">
        <f t="shared" ca="1" si="145"/>
        <v>634.78052585162254</v>
      </c>
      <c r="AJ317">
        <f t="shared" ca="1" si="146"/>
        <v>635.95353877743378</v>
      </c>
      <c r="AM317">
        <v>0</v>
      </c>
      <c r="AN317">
        <v>0</v>
      </c>
      <c r="AO317">
        <f t="shared" si="147"/>
        <v>0</v>
      </c>
      <c r="AP317">
        <f t="shared" si="156"/>
        <v>0</v>
      </c>
      <c r="AQ317">
        <f t="shared" ca="1" si="148"/>
        <v>1.0000000000000002</v>
      </c>
      <c r="AR317" t="str">
        <f t="shared" ca="1" si="149"/>
        <v>Supercritical</v>
      </c>
      <c r="AS317">
        <f t="shared" ca="1" si="150"/>
        <v>4.2878699272156737E-3</v>
      </c>
    </row>
    <row r="318" spans="1:45" x14ac:dyDescent="0.35">
      <c r="A318">
        <v>257</v>
      </c>
      <c r="B318">
        <v>255.99700000000001</v>
      </c>
      <c r="C318">
        <v>616329.10100000002</v>
      </c>
      <c r="D318">
        <v>3097686.81</v>
      </c>
      <c r="E318">
        <v>632.43399999999997</v>
      </c>
      <c r="F318">
        <v>4.5270000000000001</v>
      </c>
      <c r="G318">
        <v>0</v>
      </c>
      <c r="H318" t="s">
        <v>154</v>
      </c>
      <c r="I318">
        <v>1.361</v>
      </c>
      <c r="J318">
        <f t="shared" si="151"/>
        <v>1.0010000000000048</v>
      </c>
      <c r="K318">
        <f t="shared" ca="1" si="152"/>
        <v>50.95</v>
      </c>
      <c r="L318">
        <f t="shared" ca="1" si="153"/>
        <v>2.3460258516225387</v>
      </c>
      <c r="M318">
        <f t="shared" ref="M318:M381" ca="1" si="157">((F318)+(G318)*(L318))*(L318)</f>
        <v>10.620459030295233</v>
      </c>
      <c r="N318">
        <f t="shared" ref="N318:N381" ca="1" si="158">(((F318)+(G318)*(L318))*(L318))/MAX((F318)+2*(L318)*SQRT(1+(G318)^2),0.000001)</f>
        <v>1.1520120910653819</v>
      </c>
      <c r="O318">
        <f t="shared" ref="O318:O381" ca="1" si="159">ABS(K318)/MAX(((F318)+(G318)*(L318))*(L318),0.000001)</f>
        <v>4.7973444325394352</v>
      </c>
      <c r="P318">
        <f t="shared" ref="P318:P381" ca="1" si="160">E318+L318</f>
        <v>634.78002585162255</v>
      </c>
      <c r="Q318">
        <f t="shared" ref="Q318:Q381" ca="1" si="161">P318+((ABS(K318)/MAX(((F318)+(G318)*(L318))*(L318),0.000001))^2)/(2*$I$5)</f>
        <v>635.95303877743379</v>
      </c>
      <c r="R318">
        <f t="shared" ref="R318:R381" ca="1" si="162">((ABS(K318)*$D$6)/(MAX(((F318)+(G318)*(L318))*(L318),0.000001)*MAX(((((F318)+(G318)*(L318))*(L318))/MAX((F318)+2*(L318)*SQRT(1+(G318)^2),0.000001))^(2/3),0.000001)))^2</f>
        <v>4.2878699272156737E-3</v>
      </c>
      <c r="S318">
        <f t="shared" ref="S318:S381" ca="1" si="163">ABS(ABS(K318)/MAX(((F318)+(G318)*(L318))*(L318),0.000001))/SQRT($I$5*MAX((((F318)+(G318)*(L318))*(L318))/MAX((F318)+2*(G318)*(L318),0.000001),0.000001))</f>
        <v>1.0000000000000002</v>
      </c>
      <c r="T318">
        <f t="shared" ref="T318:T381" ca="1" si="164">((F318)*(L318)^2)/2+(G318)*(L318)^3/3+(ABS(K318)^2)/($I$5*MAX(((F318)+(G318)*(L318))*(L318),0.000001))</f>
        <v>37.373807161755991</v>
      </c>
      <c r="U318">
        <f t="shared" ca="1" si="154"/>
        <v>-6.4529421172210277E-3</v>
      </c>
      <c r="V318">
        <f t="shared" ca="1" si="155"/>
        <v>1</v>
      </c>
      <c r="W318">
        <f t="shared" ref="W318:W381" ca="1" si="165">IF($D$20=0,IFERROR(W319,MAX($D$16,POWER((ABS(K318)^2)/($I$5*MAX(F318,0.1)^2),1/3))),IF(IFERROR(AG319,0)=0,IFERROR(W319,MAX($D$16,POWER((ABS(K318)^2)/($I$5*MAX(F318,0.1)^2),1/3))),IF(OR(IFERROR(W318,0)=0,IFERROR(AD319,0)&gt;1),MAX($D$16,POWER((ABS(K318)^2)/($I$5*MAX(F318,0.1)^2),1/3)),IF(IFERROR(AF318,0)&gt;0,MAX($D$16,IFERROR(W318,0)+((IFERROR(AF318,0))*$D$18*IF((IFERROR(AD318,0))&lt;1,1,-1))),IF(IFERROR(AF318,0)&lt;0,IF(ABS((MAX($D$16,POWER((ABS(K318)^2)/($I$5*MAX(F318,0.1)^2),1/3)))-IFERROR(W318,0))&gt;$D$19,MAX($D$16,IF((MAX($D$16,POWER((ABS(K318)^2)/($I$5*MAX(F318,0.1)^2),1/3)))&gt;IFERROR(W318,0),MIN((MAX($D$16,POWER((ABS(K318)^2)/($I$5*MAX(F318,0.1)^2),1/3))),IFERROR(W318,0)+(MIN(ABS(IFERROR(AF318,0))*$D$18,ABS((MAX($D$16,POWER((ABS(K318)^2)/($I$5*MAX(F318,0.1)^2),1/3)))-IFERROR(W318,0))))),MAX((MAX($D$16,POWER((ABS(K318)^2)/($I$5*MAX(F318,0.1)^2),1/3))),IFERROR(W318,0)-(MIN(ABS(IFERROR(AF318,0))*$D$18,ABS((MAX($D$16,POWER((ABS(K318)^2)/($I$5*MAX(F318,0.1)^2),1/3)))-IFERROR(W318,0))))))),MAX($D$16,POWER((ABS(K318)^2)/($I$5*MAX(F318,0.1)^2),1/3))),MAX($D$16,IFERROR(W318,0)))))))</f>
        <v>2.1292738322117422</v>
      </c>
      <c r="X318">
        <f t="shared" ref="X318:X381" ca="1" si="166">((F318)+(G318)*(W318))*(W318)</f>
        <v>9.6392226384225577</v>
      </c>
      <c r="Y318">
        <f t="shared" ref="Y318:Y381" ca="1" si="167">(((F318)+(G318)*(W318))*(W318))/MAX((F318)+2*(W318)*SQRT(1+(G318)^2),0.000001)</f>
        <v>1.0971680999985893</v>
      </c>
      <c r="Z318">
        <f t="shared" ref="Z318:Z381" ca="1" si="168">ABS(K318)/MAX(((F318)+(G318)*(W318))*(W318),0.000001)</f>
        <v>5.2856959436656279</v>
      </c>
      <c r="AA318">
        <f t="shared" ref="AA318:AA381" ca="1" si="169">E318+W318</f>
        <v>634.56327383221173</v>
      </c>
      <c r="AB318">
        <f t="shared" ref="AB318:AB381" ca="1" si="170">AA318+((ABS(K318)/MAX(((F318)+(G318)*(W318))*(W318),0.000001))^2)/(2*$I$5)</f>
        <v>635.98725862369406</v>
      </c>
      <c r="AC318">
        <f t="shared" ref="AC318:AC381" ca="1" si="171">((ABS(K318)*$D$6)/(MAX(((F318)+(G318)*(W318))*(W318),0.000001)*MAX(((((F318)+(G318)*(W318))*(W318))/MAX((F318)+2*(W318)*SQRT(1+(G318)^2),0.000001))^(2/3),0.000001)))^2</f>
        <v>5.5550671021801796E-3</v>
      </c>
      <c r="AD318">
        <f t="shared" ref="AD318:AD381" ca="1" si="172">ABS(ABS(K318)/MAX(((F318)+(G318)*(W318))*(W318),0.000001))/SQRT($I$5*MAX((((F318)+(G318)*(W318))*(W318))/MAX((F318)+2*(G318)*(W318),0.000001),0.000001))</f>
        <v>1.1565167174589135</v>
      </c>
      <c r="AE318">
        <f t="shared" ref="AE318:AE381" ca="1" si="173">((F318)*(W318)^2)/2+(G318)*(W318)^3/3+(ABS(K318)^2)/($I$5*MAX(((F318)+(G318)*(W318))*(W318),0.000001))</f>
        <v>37.714485141079848</v>
      </c>
      <c r="AF318">
        <f t="shared" ref="AF318:AF381" ca="1" si="174">IF($D$20=0,0,IFERROR(AB319+(((AC318+AC319)/2)*J319)+(IF(Z318&gt;Z319,$D$8*((Z318^2-Z319^2)/(2*$I$5)),$D$9*((Z319^2-Z318^2)/(2*$I$5)))+($D$10*(ABS(I319)/90)*(MAX(Z318^2,Z319^2)/(2*$I$5))))-AB318,0))</f>
        <v>8.5359014661889887E-3</v>
      </c>
      <c r="AG318">
        <f t="shared" ref="AG318:AG381" ca="1" si="175">IF($D$20=0,1,IFERROR(IF(ROUND(AD318,3)=1,1,IF(AND(ABS(AF318)&lt;$D$19,AD318&lt;1),1,0)),0))</f>
        <v>0</v>
      </c>
      <c r="AH318">
        <f ca="1">IFERROR(IF(V32="Supercritical",MAX($D$16,IFERROR(L318,MAX($D$16,POWER((ABS(K318)^2)/($I$5*MAX(F318,0.1)^2),1/3)))),IF(V32="Subcritical",MAX($D$16,IFERROR(W318,MAX($D$16,POWER((ABS(K318)^2)/($I$5*MAX(F318,0.1)^2),1/3)))),IF(AND(IFERROR(V318,0)=1,IFERROR(AG318,0)=1),IF(IFERROR(T318,-1E+99)&gt;=IFERROR(AE318,-1E+99),MAX($D$16,IFERROR(L318,MAX($D$16,POWER((ABS(K318)^2)/($I$5*MAX(F318,0.1)^2),1/3)))),MAX($D$16,IFERROR(W318,MAX($D$16,POWER((ABS(K318)^2)/($I$5*MAX(F318,0.1)^2),1/3))))),IF(IFERROR(V318,0)=1,MAX($D$16,IFERROR(L318,MAX($D$16,POWER((ABS(K318)^2)/($I$5*MAX(F318,0.1)^2),1/3)))),IF(IFERROR(AG318,0)=1,MAX($D$16,IFERROR(W318,MAX($D$16,POWER((ABS(K318)^2)/($I$5*MAX(F318,0.1)^2),1/3)))),MAX($D$16,POWER((ABS(K318)^2)/($I$5*MAX(F318,0.1)^2),1/3))))))),MAX($D$16,POWER((ABS(K318)^2)/($I$5*MAX(F318,0.1)^2),1/3)))</f>
        <v>2.3460258516225387</v>
      </c>
      <c r="AI318">
        <f t="shared" ref="AI318:AI381" ca="1" si="176">E318+AH318</f>
        <v>634.78002585162255</v>
      </c>
      <c r="AJ318">
        <f t="shared" ref="AJ318:AJ381" ca="1" si="177">AI318+((ABS(K318)/MAX(((F318)+(G318)*(AH318))*(AH318),0.000001))^2)/(2*$I$5)</f>
        <v>635.95303877743379</v>
      </c>
      <c r="AM318">
        <v>0</v>
      </c>
      <c r="AN318">
        <v>0</v>
      </c>
      <c r="AO318">
        <f t="shared" ref="AO318:AO381" si="178">AM318+AN318</f>
        <v>0</v>
      </c>
      <c r="AP318">
        <f t="shared" si="156"/>
        <v>0</v>
      </c>
      <c r="AQ318">
        <f t="shared" ref="AQ318:AQ381" ca="1" si="179">ABS(ABS(K318)/MAX(((F318)+(G318)*(AH318))*(AH318),0.000001))/SQRT($I$5*MAX((((F318)+(G318)*(AH318))*(AH318))/MAX((F318)+2*(G318)*(AH318),0.000001),0.000001))</f>
        <v>1.0000000000000002</v>
      </c>
      <c r="AR318" t="str">
        <f t="shared" ref="AR318:AR381" ca="1" si="180">IF(AQ318&lt;1,"Subcritical","Supercritical")</f>
        <v>Supercritical</v>
      </c>
      <c r="AS318">
        <f t="shared" ref="AS318:AS381" ca="1" si="181">((ABS(K318)*$D$6)/(MAX(((F318)+(G318)*(AH318))*(AH318),0.000001)*MAX(((((F318)+(G318)*(AH318))*(AH318))/MAX((F318)+2*(AH318)*SQRT(1+(G318)^2),0.000001))^(2/3),0.000001)))^2</f>
        <v>4.2878699272156737E-3</v>
      </c>
    </row>
    <row r="319" spans="1:45" x14ac:dyDescent="0.35">
      <c r="A319">
        <v>258</v>
      </c>
      <c r="B319">
        <v>256.99599999999998</v>
      </c>
      <c r="C319">
        <v>616328.16500000004</v>
      </c>
      <c r="D319">
        <v>3097686.4589999998</v>
      </c>
      <c r="E319">
        <v>632.43349999999998</v>
      </c>
      <c r="F319">
        <v>4.5270000000000001</v>
      </c>
      <c r="G319">
        <v>0</v>
      </c>
      <c r="H319" t="s">
        <v>154</v>
      </c>
      <c r="I319">
        <v>1.4690000000000001</v>
      </c>
      <c r="J319">
        <f t="shared" ref="J319:J382" si="182">B319-B318</f>
        <v>0.9989999999999668</v>
      </c>
      <c r="K319">
        <f t="shared" ref="K319:K382" ca="1" si="183">MAX(0,K318-AO318)</f>
        <v>50.95</v>
      </c>
      <c r="L319">
        <f t="shared" ref="L319:L382" ca="1" si="184">IF($D$20=0,IFERROR(L318,MAX($D$16,POWER((ABS(K319)^2)/($I$5*MAX(F319,0.1)^2),1/3))),IF(IFERROR(V318,0)=0,IFERROR(L318,MAX($D$16,POWER((ABS(K319)^2)/($I$5*MAX(F319,0.1)^2),1/3))),IF(OR(IFERROR(L319,0)=0,IFERROR(S318,0)&lt;1,IFERROR(S319,0)&lt;1),MAX($D$16,POWER((ABS(K319)^2)/($I$5*MAX(F319,0.1)^2),1/3)),IF(IFERROR(U319,0)&gt;0,MAX($D$16,IFERROR(L319,0)+((IFERROR(U319,0))*$D$18*IF((IFERROR(S319,0))&lt;1,1,-1))),IF(IFERROR(U319,0)&lt;0,IF(ABS((MAX($D$16,POWER((ABS(K319)^2)/($I$5*MAX(F319,0.1)^2),1/3)))-IFERROR(L319,0))&gt;$D$19,MAX($D$16,IF((MAX($D$16,POWER((ABS(K319)^2)/($I$5*MAX(F319,0.1)^2),1/3)))&gt;IFERROR(L319,0),MIN((MAX($D$16,POWER((ABS(K319)^2)/($I$5*MAX(F319,0.1)^2),1/3))),IFERROR(L319,0)+(MIN(ABS(IFERROR(U319,0))*$D$18,ABS((MAX($D$16,POWER((ABS(K319)^2)/($I$5*MAX(F319,0.1)^2),1/3)))-IFERROR(L319,0))))),MAX((MAX($D$16,POWER((ABS(K319)^2)/($I$5*MAX(F319,0.1)^2),1/3))),IFERROR(L319,0)-(MIN(ABS(IFERROR(U319,0))*$D$18,ABS((MAX($D$16,POWER((ABS(K319)^2)/($I$5*MAX(F319,0.1)^2),1/3)))-IFERROR(L319,0))))))),MAX($D$16,POWER((ABS(K319)^2)/($I$5*MAX(F319,0.1)^2),1/3))),MAX($D$16,IFERROR(L319,0)))))))</f>
        <v>2.3460258516225387</v>
      </c>
      <c r="M319">
        <f t="shared" ca="1" si="157"/>
        <v>10.620459030295233</v>
      </c>
      <c r="N319">
        <f t="shared" ca="1" si="158"/>
        <v>1.1520120910653819</v>
      </c>
      <c r="O319">
        <f t="shared" ca="1" si="159"/>
        <v>4.7973444325394352</v>
      </c>
      <c r="P319">
        <f t="shared" ca="1" si="160"/>
        <v>634.77952585162257</v>
      </c>
      <c r="Q319">
        <f t="shared" ca="1" si="161"/>
        <v>635.9525387774338</v>
      </c>
      <c r="R319">
        <f t="shared" ca="1" si="162"/>
        <v>4.2878699272156737E-3</v>
      </c>
      <c r="S319">
        <f t="shared" ca="1" si="163"/>
        <v>1.0000000000000002</v>
      </c>
      <c r="T319">
        <f t="shared" ca="1" si="164"/>
        <v>37.373807161755991</v>
      </c>
      <c r="U319">
        <f t="shared" ref="U319:U382" ca="1" si="185">IF($D$20=0,0,IFERROR(Q318-(((R318+R319)/2)*J319)-(IF(O318&gt;O319,$D$8*((O318^2-O319^2)/(2*$I$5)),$D$9*((O319^2-O318^2)/(2*$I$5)))+($D$10*(ABS(I319)/90)*(MAX(O318^2,O319^2)/(2*$I$5))))-Q319,0))</f>
        <v>-6.6555087039432692E-3</v>
      </c>
      <c r="V319">
        <f t="shared" ref="V319:V382" ca="1" si="186">IF($D$20=0,1,IFERROR(IF(ROUND(S319,3)=1,1,IF(AND(ABS(U319)&lt;$D$19,S319&gt;1),1,0)),0))</f>
        <v>1</v>
      </c>
      <c r="W319">
        <f t="shared" ca="1" si="165"/>
        <v>2.1297833440497915</v>
      </c>
      <c r="X319">
        <f t="shared" ca="1" si="166"/>
        <v>9.6415291985134068</v>
      </c>
      <c r="Y319">
        <f t="shared" ca="1" si="167"/>
        <v>1.0973033655536666</v>
      </c>
      <c r="Z319">
        <f t="shared" ca="1" si="168"/>
        <v>5.2844314372719836</v>
      </c>
      <c r="AA319">
        <f t="shared" ca="1" si="169"/>
        <v>634.56328334404975</v>
      </c>
      <c r="AB319">
        <f t="shared" ca="1" si="170"/>
        <v>635.98658689222657</v>
      </c>
      <c r="AC319">
        <f t="shared" ca="1" si="171"/>
        <v>5.5514969412236419E-3</v>
      </c>
      <c r="AD319">
        <f t="shared" ca="1" si="172"/>
        <v>1.1561017289698337</v>
      </c>
      <c r="AE319">
        <f t="shared" ca="1" si="173"/>
        <v>37.712829585270129</v>
      </c>
      <c r="AF319">
        <f t="shared" ca="1" si="174"/>
        <v>8.4603089392203401E-3</v>
      </c>
      <c r="AG319">
        <f t="shared" ca="1" si="175"/>
        <v>0</v>
      </c>
      <c r="AH319">
        <f ca="1">IFERROR(IF(V32="Supercritical",MAX($D$16,IFERROR(L319,MAX($D$16,POWER((ABS(K319)^2)/($I$5*MAX(F319,0.1)^2),1/3)))),IF(V32="Subcritical",MAX($D$16,IFERROR(W319,MAX($D$16,POWER((ABS(K319)^2)/($I$5*MAX(F319,0.1)^2),1/3)))),IF(AND(IFERROR(V319,0)=1,IFERROR(AG319,0)=1),IF(IFERROR(T319,-1E+99)&gt;=IFERROR(AE319,-1E+99),MAX($D$16,IFERROR(L319,MAX($D$16,POWER((ABS(K319)^2)/($I$5*MAX(F319,0.1)^2),1/3)))),MAX($D$16,IFERROR(W319,MAX($D$16,POWER((ABS(K319)^2)/($I$5*MAX(F319,0.1)^2),1/3))))),IF(IFERROR(V319,0)=1,MAX($D$16,IFERROR(L319,MAX($D$16,POWER((ABS(K319)^2)/($I$5*MAX(F319,0.1)^2),1/3)))),IF(IFERROR(AG319,0)=1,MAX($D$16,IFERROR(W319,MAX($D$16,POWER((ABS(K319)^2)/($I$5*MAX(F319,0.1)^2),1/3)))),MAX($D$16,POWER((ABS(K319)^2)/($I$5*MAX(F319,0.1)^2),1/3))))))),MAX($D$16,POWER((ABS(K319)^2)/($I$5*MAX(F319,0.1)^2),1/3)))</f>
        <v>2.3460258516225387</v>
      </c>
      <c r="AI319">
        <f t="shared" ca="1" si="176"/>
        <v>634.77952585162257</v>
      </c>
      <c r="AJ319">
        <f t="shared" ca="1" si="177"/>
        <v>635.9525387774338</v>
      </c>
      <c r="AM319">
        <v>0</v>
      </c>
      <c r="AN319">
        <v>0</v>
      </c>
      <c r="AO319">
        <f t="shared" si="178"/>
        <v>0</v>
      </c>
      <c r="AP319">
        <f t="shared" ref="AP319:AP382" si="187">AP318+AO319</f>
        <v>0</v>
      </c>
      <c r="AQ319">
        <f t="shared" ca="1" si="179"/>
        <v>1.0000000000000002</v>
      </c>
      <c r="AR319" t="str">
        <f t="shared" ca="1" si="180"/>
        <v>Supercritical</v>
      </c>
      <c r="AS319">
        <f t="shared" ca="1" si="181"/>
        <v>4.2878699272156737E-3</v>
      </c>
    </row>
    <row r="320" spans="1:45" x14ac:dyDescent="0.35">
      <c r="A320">
        <v>259</v>
      </c>
      <c r="B320">
        <v>257.99599999999998</v>
      </c>
      <c r="C320">
        <v>616327.23800000001</v>
      </c>
      <c r="D320">
        <v>3097686.0839999998</v>
      </c>
      <c r="E320">
        <v>632.43299999999999</v>
      </c>
      <c r="F320">
        <v>4.5270000000000001</v>
      </c>
      <c r="G320">
        <v>0</v>
      </c>
      <c r="H320" t="s">
        <v>154</v>
      </c>
      <c r="I320">
        <v>1.4370000000000001</v>
      </c>
      <c r="J320">
        <f t="shared" si="182"/>
        <v>1</v>
      </c>
      <c r="K320">
        <f t="shared" ca="1" si="183"/>
        <v>50.95</v>
      </c>
      <c r="L320">
        <f t="shared" ca="1" si="184"/>
        <v>2.3460258516225387</v>
      </c>
      <c r="M320">
        <f t="shared" ca="1" si="157"/>
        <v>10.620459030295233</v>
      </c>
      <c r="N320">
        <f t="shared" ca="1" si="158"/>
        <v>1.1520120910653819</v>
      </c>
      <c r="O320">
        <f t="shared" ca="1" si="159"/>
        <v>4.7973444325394352</v>
      </c>
      <c r="P320">
        <f t="shared" ca="1" si="160"/>
        <v>634.77902585162258</v>
      </c>
      <c r="Q320">
        <f t="shared" ca="1" si="161"/>
        <v>635.95203877743381</v>
      </c>
      <c r="R320">
        <f t="shared" ca="1" si="162"/>
        <v>4.2878699272156737E-3</v>
      </c>
      <c r="S320">
        <f t="shared" ca="1" si="163"/>
        <v>1.0000000000000002</v>
      </c>
      <c r="T320">
        <f t="shared" ca="1" si="164"/>
        <v>37.373807161755991</v>
      </c>
      <c r="U320">
        <f t="shared" ca="1" si="185"/>
        <v>-6.59723588455563E-3</v>
      </c>
      <c r="V320">
        <f t="shared" ca="1" si="186"/>
        <v>1</v>
      </c>
      <c r="W320">
        <f t="shared" ca="1" si="165"/>
        <v>2.1292738322117422</v>
      </c>
      <c r="X320">
        <f t="shared" ca="1" si="166"/>
        <v>9.6392226384225577</v>
      </c>
      <c r="Y320">
        <f t="shared" ca="1" si="167"/>
        <v>1.0971680999985893</v>
      </c>
      <c r="Z320">
        <f t="shared" ca="1" si="168"/>
        <v>5.2856959436656279</v>
      </c>
      <c r="AA320">
        <f t="shared" ca="1" si="169"/>
        <v>634.56227383221176</v>
      </c>
      <c r="AB320">
        <f t="shared" ca="1" si="170"/>
        <v>635.98625862369408</v>
      </c>
      <c r="AC320">
        <f t="shared" ca="1" si="171"/>
        <v>5.5550671021801796E-3</v>
      </c>
      <c r="AD320">
        <f t="shared" ca="1" si="172"/>
        <v>1.1565167174589135</v>
      </c>
      <c r="AE320">
        <f t="shared" ca="1" si="173"/>
        <v>37.714485141079848</v>
      </c>
      <c r="AF320">
        <f t="shared" ca="1" si="174"/>
        <v>8.4655106777518085E-3</v>
      </c>
      <c r="AG320">
        <f t="shared" ca="1" si="175"/>
        <v>0</v>
      </c>
      <c r="AH320">
        <f ca="1">IFERROR(IF(V32="Supercritical",MAX($D$16,IFERROR(L320,MAX($D$16,POWER((ABS(K320)^2)/($I$5*MAX(F320,0.1)^2),1/3)))),IF(V32="Subcritical",MAX($D$16,IFERROR(W320,MAX($D$16,POWER((ABS(K320)^2)/($I$5*MAX(F320,0.1)^2),1/3)))),IF(AND(IFERROR(V320,0)=1,IFERROR(AG320,0)=1),IF(IFERROR(T320,-1E+99)&gt;=IFERROR(AE320,-1E+99),MAX($D$16,IFERROR(L320,MAX($D$16,POWER((ABS(K320)^2)/($I$5*MAX(F320,0.1)^2),1/3)))),MAX($D$16,IFERROR(W320,MAX($D$16,POWER((ABS(K320)^2)/($I$5*MAX(F320,0.1)^2),1/3))))),IF(IFERROR(V320,0)=1,MAX($D$16,IFERROR(L320,MAX($D$16,POWER((ABS(K320)^2)/($I$5*MAX(F320,0.1)^2),1/3)))),IF(IFERROR(AG320,0)=1,MAX($D$16,IFERROR(W320,MAX($D$16,POWER((ABS(K320)^2)/($I$5*MAX(F320,0.1)^2),1/3)))),MAX($D$16,POWER((ABS(K320)^2)/($I$5*MAX(F320,0.1)^2),1/3))))))),MAX($D$16,POWER((ABS(K320)^2)/($I$5*MAX(F320,0.1)^2),1/3)))</f>
        <v>2.3460258516225387</v>
      </c>
      <c r="AI320">
        <f t="shared" ca="1" si="176"/>
        <v>634.77902585162258</v>
      </c>
      <c r="AJ320">
        <f t="shared" ca="1" si="177"/>
        <v>635.95203877743381</v>
      </c>
      <c r="AM320">
        <v>0</v>
      </c>
      <c r="AN320">
        <v>0</v>
      </c>
      <c r="AO320">
        <f t="shared" si="178"/>
        <v>0</v>
      </c>
      <c r="AP320">
        <f t="shared" si="187"/>
        <v>0</v>
      </c>
      <c r="AQ320">
        <f t="shared" ca="1" si="179"/>
        <v>1.0000000000000002</v>
      </c>
      <c r="AR320" t="str">
        <f t="shared" ca="1" si="180"/>
        <v>Supercritical</v>
      </c>
      <c r="AS320">
        <f t="shared" ca="1" si="181"/>
        <v>4.2878699272156737E-3</v>
      </c>
    </row>
    <row r="321" spans="1:45" x14ac:dyDescent="0.35">
      <c r="A321">
        <v>260</v>
      </c>
      <c r="B321">
        <v>258.99599999999998</v>
      </c>
      <c r="C321">
        <v>616326.321</v>
      </c>
      <c r="D321">
        <v>3097685.6860000002</v>
      </c>
      <c r="E321">
        <v>632.4325</v>
      </c>
      <c r="F321">
        <v>4.5270000000000001</v>
      </c>
      <c r="G321">
        <v>0</v>
      </c>
      <c r="H321" t="s">
        <v>154</v>
      </c>
      <c r="I321">
        <v>1.4370000000000001</v>
      </c>
      <c r="J321">
        <f t="shared" si="182"/>
        <v>1</v>
      </c>
      <c r="K321">
        <f t="shared" ca="1" si="183"/>
        <v>50.95</v>
      </c>
      <c r="L321">
        <f t="shared" ca="1" si="184"/>
        <v>2.3460258516225387</v>
      </c>
      <c r="M321">
        <f t="shared" ca="1" si="157"/>
        <v>10.620459030295233</v>
      </c>
      <c r="N321">
        <f t="shared" ca="1" si="158"/>
        <v>1.1520120910653819</v>
      </c>
      <c r="O321">
        <f t="shared" ca="1" si="159"/>
        <v>4.7973444325394352</v>
      </c>
      <c r="P321">
        <f t="shared" ca="1" si="160"/>
        <v>634.77852585162259</v>
      </c>
      <c r="Q321">
        <f t="shared" ca="1" si="161"/>
        <v>635.95153877743383</v>
      </c>
      <c r="R321">
        <f t="shared" ca="1" si="162"/>
        <v>4.2878699272156737E-3</v>
      </c>
      <c r="S321">
        <f t="shared" ca="1" si="163"/>
        <v>1.0000000000000002</v>
      </c>
      <c r="T321">
        <f t="shared" ca="1" si="164"/>
        <v>37.373807161755991</v>
      </c>
      <c r="U321">
        <f t="shared" ca="1" si="185"/>
        <v>-6.59723588455563E-3</v>
      </c>
      <c r="V321">
        <f t="shared" ca="1" si="186"/>
        <v>1</v>
      </c>
      <c r="W321">
        <f t="shared" ca="1" si="165"/>
        <v>2.1297833440497915</v>
      </c>
      <c r="X321">
        <f t="shared" ca="1" si="166"/>
        <v>9.6415291985134068</v>
      </c>
      <c r="Y321">
        <f t="shared" ca="1" si="167"/>
        <v>1.0973033655536666</v>
      </c>
      <c r="Z321">
        <f t="shared" ca="1" si="168"/>
        <v>5.2844314372719836</v>
      </c>
      <c r="AA321">
        <f t="shared" ca="1" si="169"/>
        <v>634.56228334404977</v>
      </c>
      <c r="AB321">
        <f t="shared" ca="1" si="170"/>
        <v>635.98558689222659</v>
      </c>
      <c r="AC321">
        <f t="shared" ca="1" si="171"/>
        <v>5.5514969412236419E-3</v>
      </c>
      <c r="AD321">
        <f t="shared" ca="1" si="172"/>
        <v>1.1561017289698337</v>
      </c>
      <c r="AE321">
        <f t="shared" ca="1" si="173"/>
        <v>37.712829585270129</v>
      </c>
      <c r="AF321">
        <f t="shared" ca="1" si="174"/>
        <v>8.4555645939872193E-3</v>
      </c>
      <c r="AG321">
        <f t="shared" ca="1" si="175"/>
        <v>0</v>
      </c>
      <c r="AH321">
        <f ca="1">IFERROR(IF(V32="Supercritical",MAX($D$16,IFERROR(L321,MAX($D$16,POWER((ABS(K321)^2)/($I$5*MAX(F321,0.1)^2),1/3)))),IF(V32="Subcritical",MAX($D$16,IFERROR(W321,MAX($D$16,POWER((ABS(K321)^2)/($I$5*MAX(F321,0.1)^2),1/3)))),IF(AND(IFERROR(V321,0)=1,IFERROR(AG321,0)=1),IF(IFERROR(T321,-1E+99)&gt;=IFERROR(AE321,-1E+99),MAX($D$16,IFERROR(L321,MAX($D$16,POWER((ABS(K321)^2)/($I$5*MAX(F321,0.1)^2),1/3)))),MAX($D$16,IFERROR(W321,MAX($D$16,POWER((ABS(K321)^2)/($I$5*MAX(F321,0.1)^2),1/3))))),IF(IFERROR(V321,0)=1,MAX($D$16,IFERROR(L321,MAX($D$16,POWER((ABS(K321)^2)/($I$5*MAX(F321,0.1)^2),1/3)))),IF(IFERROR(AG321,0)=1,MAX($D$16,IFERROR(W321,MAX($D$16,POWER((ABS(K321)^2)/($I$5*MAX(F321,0.1)^2),1/3)))),MAX($D$16,POWER((ABS(K321)^2)/($I$5*MAX(F321,0.1)^2),1/3))))))),MAX($D$16,POWER((ABS(K321)^2)/($I$5*MAX(F321,0.1)^2),1/3)))</f>
        <v>2.3460258516225387</v>
      </c>
      <c r="AI321">
        <f t="shared" ca="1" si="176"/>
        <v>634.77852585162259</v>
      </c>
      <c r="AJ321">
        <f t="shared" ca="1" si="177"/>
        <v>635.95153877743383</v>
      </c>
      <c r="AM321">
        <v>0</v>
      </c>
      <c r="AN321">
        <v>0</v>
      </c>
      <c r="AO321">
        <f t="shared" si="178"/>
        <v>0</v>
      </c>
      <c r="AP321">
        <f t="shared" si="187"/>
        <v>0</v>
      </c>
      <c r="AQ321">
        <f t="shared" ca="1" si="179"/>
        <v>1.0000000000000002</v>
      </c>
      <c r="AR321" t="str">
        <f t="shared" ca="1" si="180"/>
        <v>Supercritical</v>
      </c>
      <c r="AS321">
        <f t="shared" ca="1" si="181"/>
        <v>4.2878699272156737E-3</v>
      </c>
    </row>
    <row r="322" spans="1:45" x14ac:dyDescent="0.35">
      <c r="A322">
        <v>261</v>
      </c>
      <c r="B322">
        <v>259.99599999999998</v>
      </c>
      <c r="C322">
        <v>616325.41399999999</v>
      </c>
      <c r="D322">
        <v>3097685.2650000001</v>
      </c>
      <c r="E322">
        <v>632.43200000000002</v>
      </c>
      <c r="F322">
        <v>4.5270000000000001</v>
      </c>
      <c r="G322">
        <v>0</v>
      </c>
      <c r="H322" t="s">
        <v>154</v>
      </c>
      <c r="I322">
        <v>1.4350000000000001</v>
      </c>
      <c r="J322">
        <f t="shared" si="182"/>
        <v>1</v>
      </c>
      <c r="K322">
        <f t="shared" ca="1" si="183"/>
        <v>50.95</v>
      </c>
      <c r="L322">
        <f t="shared" ca="1" si="184"/>
        <v>2.3460258516225387</v>
      </c>
      <c r="M322">
        <f t="shared" ca="1" si="157"/>
        <v>10.620459030295233</v>
      </c>
      <c r="N322">
        <f t="shared" ca="1" si="158"/>
        <v>1.1520120910653819</v>
      </c>
      <c r="O322">
        <f t="shared" ca="1" si="159"/>
        <v>4.7973444325394352</v>
      </c>
      <c r="P322">
        <f t="shared" ca="1" si="160"/>
        <v>634.7780258516226</v>
      </c>
      <c r="Q322">
        <f t="shared" ca="1" si="161"/>
        <v>635.95103877743384</v>
      </c>
      <c r="R322">
        <f t="shared" ca="1" si="162"/>
        <v>4.2878699272156737E-3</v>
      </c>
      <c r="S322">
        <f t="shared" ca="1" si="163"/>
        <v>1.0000000000000002</v>
      </c>
      <c r="T322">
        <f t="shared" ca="1" si="164"/>
        <v>37.373807161755991</v>
      </c>
      <c r="U322">
        <f t="shared" ca="1" si="185"/>
        <v>-6.5933258414361262E-3</v>
      </c>
      <c r="V322">
        <f t="shared" ca="1" si="186"/>
        <v>1</v>
      </c>
      <c r="W322">
        <f t="shared" ca="1" si="165"/>
        <v>2.1292738322117422</v>
      </c>
      <c r="X322">
        <f t="shared" ca="1" si="166"/>
        <v>9.6392226384225577</v>
      </c>
      <c r="Y322">
        <f t="shared" ca="1" si="167"/>
        <v>1.0971680999985893</v>
      </c>
      <c r="Z322">
        <f t="shared" ca="1" si="168"/>
        <v>5.2856959436656279</v>
      </c>
      <c r="AA322">
        <f t="shared" ca="1" si="169"/>
        <v>634.56127383221178</v>
      </c>
      <c r="AB322">
        <f t="shared" ca="1" si="170"/>
        <v>635.98525862369411</v>
      </c>
      <c r="AC322">
        <f t="shared" ca="1" si="171"/>
        <v>5.5550671021801796E-3</v>
      </c>
      <c r="AD322">
        <f t="shared" ca="1" si="172"/>
        <v>1.1565167174589135</v>
      </c>
      <c r="AE322">
        <f t="shared" ca="1" si="173"/>
        <v>37.714485141079848</v>
      </c>
      <c r="AF322">
        <f t="shared" ca="1" si="174"/>
        <v>8.3452804216221921E-3</v>
      </c>
      <c r="AG322">
        <f t="shared" ca="1" si="175"/>
        <v>0</v>
      </c>
      <c r="AH322">
        <f ca="1">IFERROR(IF(V32="Supercritical",MAX($D$16,IFERROR(L322,MAX($D$16,POWER((ABS(K322)^2)/($I$5*MAX(F322,0.1)^2),1/3)))),IF(V32="Subcritical",MAX($D$16,IFERROR(W322,MAX($D$16,POWER((ABS(K322)^2)/($I$5*MAX(F322,0.1)^2),1/3)))),IF(AND(IFERROR(V322,0)=1,IFERROR(AG322,0)=1),IF(IFERROR(T322,-1E+99)&gt;=IFERROR(AE322,-1E+99),MAX($D$16,IFERROR(L322,MAX($D$16,POWER((ABS(K322)^2)/($I$5*MAX(F322,0.1)^2),1/3)))),MAX($D$16,IFERROR(W322,MAX($D$16,POWER((ABS(K322)^2)/($I$5*MAX(F322,0.1)^2),1/3))))),IF(IFERROR(V322,0)=1,MAX($D$16,IFERROR(L322,MAX($D$16,POWER((ABS(K322)^2)/($I$5*MAX(F322,0.1)^2),1/3)))),IF(IFERROR(AG322,0)=1,MAX($D$16,IFERROR(W322,MAX($D$16,POWER((ABS(K322)^2)/($I$5*MAX(F322,0.1)^2),1/3)))),MAX($D$16,POWER((ABS(K322)^2)/($I$5*MAX(F322,0.1)^2),1/3))))))),MAX($D$16,POWER((ABS(K322)^2)/($I$5*MAX(F322,0.1)^2),1/3)))</f>
        <v>2.3460258516225387</v>
      </c>
      <c r="AI322">
        <f t="shared" ca="1" si="176"/>
        <v>634.7780258516226</v>
      </c>
      <c r="AJ322">
        <f t="shared" ca="1" si="177"/>
        <v>635.95103877743384</v>
      </c>
      <c r="AM322">
        <v>0</v>
      </c>
      <c r="AN322">
        <v>0</v>
      </c>
      <c r="AO322">
        <f t="shared" si="178"/>
        <v>0</v>
      </c>
      <c r="AP322">
        <f t="shared" si="187"/>
        <v>0</v>
      </c>
      <c r="AQ322">
        <f t="shared" ca="1" si="179"/>
        <v>1.0000000000000002</v>
      </c>
      <c r="AR322" t="str">
        <f t="shared" ca="1" si="180"/>
        <v>Supercritical</v>
      </c>
      <c r="AS322">
        <f t="shared" ca="1" si="181"/>
        <v>4.2878699272156737E-3</v>
      </c>
    </row>
    <row r="323" spans="1:45" x14ac:dyDescent="0.35">
      <c r="A323">
        <v>262</v>
      </c>
      <c r="B323">
        <v>260.99700000000001</v>
      </c>
      <c r="C323">
        <v>616324.51699999999</v>
      </c>
      <c r="D323">
        <v>3097684.821</v>
      </c>
      <c r="E323">
        <v>632.43150000000003</v>
      </c>
      <c r="F323">
        <v>4.5270000000000001</v>
      </c>
      <c r="G323">
        <v>0</v>
      </c>
      <c r="H323" t="s">
        <v>154</v>
      </c>
      <c r="I323">
        <v>1.3839999999999999</v>
      </c>
      <c r="J323">
        <f t="shared" si="182"/>
        <v>1.0010000000000332</v>
      </c>
      <c r="K323">
        <f t="shared" ca="1" si="183"/>
        <v>50.95</v>
      </c>
      <c r="L323">
        <f t="shared" ca="1" si="184"/>
        <v>2.3460258516225387</v>
      </c>
      <c r="M323">
        <f t="shared" ca="1" si="157"/>
        <v>10.620459030295233</v>
      </c>
      <c r="N323">
        <f t="shared" ca="1" si="158"/>
        <v>1.1520120910653819</v>
      </c>
      <c r="O323">
        <f t="shared" ca="1" si="159"/>
        <v>4.7973444325394352</v>
      </c>
      <c r="P323">
        <f t="shared" ca="1" si="160"/>
        <v>634.77752585162261</v>
      </c>
      <c r="Q323">
        <f t="shared" ca="1" si="161"/>
        <v>635.95053877743385</v>
      </c>
      <c r="R323">
        <f t="shared" ca="1" si="162"/>
        <v>4.2878699272156737E-3</v>
      </c>
      <c r="S323">
        <f t="shared" ca="1" si="163"/>
        <v>1.0000000000000002</v>
      </c>
      <c r="T323">
        <f t="shared" ca="1" si="164"/>
        <v>37.373807161755991</v>
      </c>
      <c r="U323">
        <f t="shared" ca="1" si="185"/>
        <v>-6.4979076126974178E-3</v>
      </c>
      <c r="V323">
        <f t="shared" ca="1" si="186"/>
        <v>1</v>
      </c>
      <c r="W323">
        <f t="shared" ca="1" si="165"/>
        <v>2.1748419618400865</v>
      </c>
      <c r="X323">
        <f t="shared" ca="1" si="166"/>
        <v>9.845509561250072</v>
      </c>
      <c r="Y323">
        <f t="shared" ca="1" si="167"/>
        <v>1.1091427436078218</v>
      </c>
      <c r="Z323">
        <f t="shared" ca="1" si="168"/>
        <v>5.1749479986824518</v>
      </c>
      <c r="AA323">
        <f t="shared" ca="1" si="169"/>
        <v>634.60634196184014</v>
      </c>
      <c r="AB323">
        <f t="shared" ca="1" si="170"/>
        <v>635.97128012642054</v>
      </c>
      <c r="AC323">
        <f t="shared" ca="1" si="171"/>
        <v>5.2482104532358071E-3</v>
      </c>
      <c r="AD323">
        <f t="shared" ca="1" si="172"/>
        <v>1.1203601021525527</v>
      </c>
      <c r="AE323">
        <f t="shared" ca="1" si="173"/>
        <v>37.583237164535191</v>
      </c>
      <c r="AF323">
        <f t="shared" ca="1" si="174"/>
        <v>8.1287073076055094E-3</v>
      </c>
      <c r="AG323">
        <f t="shared" ca="1" si="175"/>
        <v>0</v>
      </c>
      <c r="AH323">
        <f ca="1">IFERROR(IF(V32="Supercritical",MAX($D$16,IFERROR(L323,MAX($D$16,POWER((ABS(K323)^2)/($I$5*MAX(F323,0.1)^2),1/3)))),IF(V32="Subcritical",MAX($D$16,IFERROR(W323,MAX($D$16,POWER((ABS(K323)^2)/($I$5*MAX(F323,0.1)^2),1/3)))),IF(AND(IFERROR(V323,0)=1,IFERROR(AG323,0)=1),IF(IFERROR(T323,-1E+99)&gt;=IFERROR(AE323,-1E+99),MAX($D$16,IFERROR(L323,MAX($D$16,POWER((ABS(K323)^2)/($I$5*MAX(F323,0.1)^2),1/3)))),MAX($D$16,IFERROR(W323,MAX($D$16,POWER((ABS(K323)^2)/($I$5*MAX(F323,0.1)^2),1/3))))),IF(IFERROR(V323,0)=1,MAX($D$16,IFERROR(L323,MAX($D$16,POWER((ABS(K323)^2)/($I$5*MAX(F323,0.1)^2),1/3)))),IF(IFERROR(AG323,0)=1,MAX($D$16,IFERROR(W323,MAX($D$16,POWER((ABS(K323)^2)/($I$5*MAX(F323,0.1)^2),1/3)))),MAX($D$16,POWER((ABS(K323)^2)/($I$5*MAX(F323,0.1)^2),1/3))))))),MAX($D$16,POWER((ABS(K323)^2)/($I$5*MAX(F323,0.1)^2),1/3)))</f>
        <v>2.3460258516225387</v>
      </c>
      <c r="AI323">
        <f t="shared" ca="1" si="176"/>
        <v>634.77752585162261</v>
      </c>
      <c r="AJ323">
        <f t="shared" ca="1" si="177"/>
        <v>635.95053877743385</v>
      </c>
      <c r="AM323">
        <v>0</v>
      </c>
      <c r="AN323">
        <v>0</v>
      </c>
      <c r="AO323">
        <f t="shared" si="178"/>
        <v>0</v>
      </c>
      <c r="AP323">
        <f t="shared" si="187"/>
        <v>0</v>
      </c>
      <c r="AQ323">
        <f t="shared" ca="1" si="179"/>
        <v>1.0000000000000002</v>
      </c>
      <c r="AR323" t="str">
        <f t="shared" ca="1" si="180"/>
        <v>Supercritical</v>
      </c>
      <c r="AS323">
        <f t="shared" ca="1" si="181"/>
        <v>4.2878699272156737E-3</v>
      </c>
    </row>
    <row r="324" spans="1:45" x14ac:dyDescent="0.35">
      <c r="A324">
        <v>263</v>
      </c>
      <c r="B324">
        <v>261.99700000000001</v>
      </c>
      <c r="C324">
        <v>616323.63199999998</v>
      </c>
      <c r="D324">
        <v>3097684.3560000001</v>
      </c>
      <c r="E324">
        <v>632.43100000000004</v>
      </c>
      <c r="F324">
        <v>4.5270000000000001</v>
      </c>
      <c r="G324">
        <v>0</v>
      </c>
      <c r="H324" t="s">
        <v>154</v>
      </c>
      <c r="I324">
        <v>1.486</v>
      </c>
      <c r="J324">
        <f t="shared" si="182"/>
        <v>1</v>
      </c>
      <c r="K324">
        <f t="shared" ca="1" si="183"/>
        <v>50.95</v>
      </c>
      <c r="L324">
        <f t="shared" ca="1" si="184"/>
        <v>2.3460258516225387</v>
      </c>
      <c r="M324">
        <f t="shared" ca="1" si="157"/>
        <v>10.620459030295233</v>
      </c>
      <c r="N324">
        <f t="shared" ca="1" si="158"/>
        <v>1.1520120910653819</v>
      </c>
      <c r="O324">
        <f t="shared" ca="1" si="159"/>
        <v>4.7973444325394352</v>
      </c>
      <c r="P324">
        <f t="shared" ca="1" si="160"/>
        <v>634.77702585162262</v>
      </c>
      <c r="Q324">
        <f t="shared" ca="1" si="161"/>
        <v>635.95003877743386</v>
      </c>
      <c r="R324">
        <f t="shared" ca="1" si="162"/>
        <v>4.2878699272156737E-3</v>
      </c>
      <c r="S324">
        <f t="shared" ca="1" si="163"/>
        <v>1.0000000000000002</v>
      </c>
      <c r="T324">
        <f t="shared" ca="1" si="164"/>
        <v>37.373807161755991</v>
      </c>
      <c r="U324">
        <f t="shared" ca="1" si="185"/>
        <v>-6.6930319401308225E-3</v>
      </c>
      <c r="V324">
        <f t="shared" ca="1" si="186"/>
        <v>1</v>
      </c>
      <c r="W324">
        <f t="shared" ca="1" si="165"/>
        <v>2.1740974837493061</v>
      </c>
      <c r="X324">
        <f t="shared" ca="1" si="166"/>
        <v>9.8421393089331097</v>
      </c>
      <c r="Y324">
        <f t="shared" ca="1" si="167"/>
        <v>1.1089490816793879</v>
      </c>
      <c r="Z324">
        <f t="shared" ca="1" si="168"/>
        <v>5.1767200606229782</v>
      </c>
      <c r="AA324">
        <f t="shared" ca="1" si="169"/>
        <v>634.60509748374932</v>
      </c>
      <c r="AB324">
        <f t="shared" ca="1" si="170"/>
        <v>635.97097060230465</v>
      </c>
      <c r="AC324">
        <f t="shared" ca="1" si="171"/>
        <v>5.2530282719570418E-3</v>
      </c>
      <c r="AD324">
        <f t="shared" ca="1" si="172"/>
        <v>1.1209356202394734</v>
      </c>
      <c r="AE324">
        <f t="shared" ca="1" si="173"/>
        <v>37.585112175428534</v>
      </c>
      <c r="AF324">
        <f t="shared" ca="1" si="174"/>
        <v>7.974212376552714E-3</v>
      </c>
      <c r="AG324">
        <f t="shared" ca="1" si="175"/>
        <v>0</v>
      </c>
      <c r="AH324">
        <f ca="1">IFERROR(IF(V32="Supercritical",MAX($D$16,IFERROR(L324,MAX($D$16,POWER((ABS(K324)^2)/($I$5*MAX(F324,0.1)^2),1/3)))),IF(V32="Subcritical",MAX($D$16,IFERROR(W324,MAX($D$16,POWER((ABS(K324)^2)/($I$5*MAX(F324,0.1)^2),1/3)))),IF(AND(IFERROR(V324,0)=1,IFERROR(AG324,0)=1),IF(IFERROR(T324,-1E+99)&gt;=IFERROR(AE324,-1E+99),MAX($D$16,IFERROR(L324,MAX($D$16,POWER((ABS(K324)^2)/($I$5*MAX(F324,0.1)^2),1/3)))),MAX($D$16,IFERROR(W324,MAX($D$16,POWER((ABS(K324)^2)/($I$5*MAX(F324,0.1)^2),1/3))))),IF(IFERROR(V324,0)=1,MAX($D$16,IFERROR(L324,MAX($D$16,POWER((ABS(K324)^2)/($I$5*MAX(F324,0.1)^2),1/3)))),IF(IFERROR(AG324,0)=1,MAX($D$16,IFERROR(W324,MAX($D$16,POWER((ABS(K324)^2)/($I$5*MAX(F324,0.1)^2),1/3)))),MAX($D$16,POWER((ABS(K324)^2)/($I$5*MAX(F324,0.1)^2),1/3))))))),MAX($D$16,POWER((ABS(K324)^2)/($I$5*MAX(F324,0.1)^2),1/3)))</f>
        <v>2.3460258516225387</v>
      </c>
      <c r="AI324">
        <f t="shared" ca="1" si="176"/>
        <v>634.77702585162262</v>
      </c>
      <c r="AJ324">
        <f t="shared" ca="1" si="177"/>
        <v>635.95003877743386</v>
      </c>
      <c r="AM324">
        <v>0</v>
      </c>
      <c r="AN324">
        <v>0</v>
      </c>
      <c r="AO324">
        <f t="shared" si="178"/>
        <v>0</v>
      </c>
      <c r="AP324">
        <f t="shared" si="187"/>
        <v>0</v>
      </c>
      <c r="AQ324">
        <f t="shared" ca="1" si="179"/>
        <v>1.0000000000000002</v>
      </c>
      <c r="AR324" t="str">
        <f t="shared" ca="1" si="180"/>
        <v>Supercritical</v>
      </c>
      <c r="AS324">
        <f t="shared" ca="1" si="181"/>
        <v>4.2878699272156737E-3</v>
      </c>
    </row>
    <row r="325" spans="1:45" x14ac:dyDescent="0.35">
      <c r="A325">
        <v>264</v>
      </c>
      <c r="B325">
        <v>262.99700000000001</v>
      </c>
      <c r="C325">
        <v>616322.75899999996</v>
      </c>
      <c r="D325">
        <v>3097683.8679999998</v>
      </c>
      <c r="E325">
        <v>632.43050000000005</v>
      </c>
      <c r="F325">
        <v>4.5270000000000001</v>
      </c>
      <c r="G325">
        <v>0</v>
      </c>
      <c r="H325" t="s">
        <v>154</v>
      </c>
      <c r="I325">
        <v>1.415</v>
      </c>
      <c r="J325">
        <f t="shared" si="182"/>
        <v>1</v>
      </c>
      <c r="K325">
        <f t="shared" ca="1" si="183"/>
        <v>50.95</v>
      </c>
      <c r="L325">
        <f t="shared" ca="1" si="184"/>
        <v>2.3460258516225387</v>
      </c>
      <c r="M325">
        <f t="shared" ca="1" si="157"/>
        <v>10.620459030295233</v>
      </c>
      <c r="N325">
        <f t="shared" ca="1" si="158"/>
        <v>1.1520120910653819</v>
      </c>
      <c r="O325">
        <f t="shared" ca="1" si="159"/>
        <v>4.7973444325394352</v>
      </c>
      <c r="P325">
        <f t="shared" ca="1" si="160"/>
        <v>634.77652585162264</v>
      </c>
      <c r="Q325">
        <f t="shared" ca="1" si="161"/>
        <v>635.94953877743387</v>
      </c>
      <c r="R325">
        <f t="shared" ca="1" si="162"/>
        <v>4.2878699272156737E-3</v>
      </c>
      <c r="S325">
        <f t="shared" ca="1" si="163"/>
        <v>1.0000000000000002</v>
      </c>
      <c r="T325">
        <f t="shared" ca="1" si="164"/>
        <v>37.373807161755991</v>
      </c>
      <c r="U325">
        <f t="shared" ca="1" si="185"/>
        <v>-6.5542254105821485E-3</v>
      </c>
      <c r="V325">
        <f t="shared" ca="1" si="186"/>
        <v>1</v>
      </c>
      <c r="W325">
        <f t="shared" ca="1" si="165"/>
        <v>2.1733193043435666</v>
      </c>
      <c r="X325">
        <f t="shared" ca="1" si="166"/>
        <v>9.8386164907633269</v>
      </c>
      <c r="Y325">
        <f t="shared" ca="1" si="167"/>
        <v>1.108746583518907</v>
      </c>
      <c r="Z325">
        <f t="shared" ca="1" si="168"/>
        <v>5.178573638664826</v>
      </c>
      <c r="AA325">
        <f t="shared" ca="1" si="169"/>
        <v>634.60381930434357</v>
      </c>
      <c r="AB325">
        <f t="shared" ca="1" si="170"/>
        <v>635.97067072794573</v>
      </c>
      <c r="AC325">
        <f t="shared" ca="1" si="171"/>
        <v>5.2580708990896362E-3</v>
      </c>
      <c r="AD325">
        <f t="shared" ca="1" si="172"/>
        <v>1.1215377179787116</v>
      </c>
      <c r="AE325">
        <f t="shared" ca="1" si="173"/>
        <v>37.5870814870554</v>
      </c>
      <c r="AF325">
        <f t="shared" ca="1" si="174"/>
        <v>8.0195877304731766E-3</v>
      </c>
      <c r="AG325">
        <f t="shared" ca="1" si="175"/>
        <v>0</v>
      </c>
      <c r="AH325">
        <f ca="1">IFERROR(IF(V32="Supercritical",MAX($D$16,IFERROR(L325,MAX($D$16,POWER((ABS(K325)^2)/($I$5*MAX(F325,0.1)^2),1/3)))),IF(V32="Subcritical",MAX($D$16,IFERROR(W325,MAX($D$16,POWER((ABS(K325)^2)/($I$5*MAX(F325,0.1)^2),1/3)))),IF(AND(IFERROR(V325,0)=1,IFERROR(AG325,0)=1),IF(IFERROR(T325,-1E+99)&gt;=IFERROR(AE325,-1E+99),MAX($D$16,IFERROR(L325,MAX($D$16,POWER((ABS(K325)^2)/($I$5*MAX(F325,0.1)^2),1/3)))),MAX($D$16,IFERROR(W325,MAX($D$16,POWER((ABS(K325)^2)/($I$5*MAX(F325,0.1)^2),1/3))))),IF(IFERROR(V325,0)=1,MAX($D$16,IFERROR(L325,MAX($D$16,POWER((ABS(K325)^2)/($I$5*MAX(F325,0.1)^2),1/3)))),IF(IFERROR(AG325,0)=1,MAX($D$16,IFERROR(W325,MAX($D$16,POWER((ABS(K325)^2)/($I$5*MAX(F325,0.1)^2),1/3)))),MAX($D$16,POWER((ABS(K325)^2)/($I$5*MAX(F325,0.1)^2),1/3))))))),MAX($D$16,POWER((ABS(K325)^2)/($I$5*MAX(F325,0.1)^2),1/3)))</f>
        <v>2.3460258516225387</v>
      </c>
      <c r="AI325">
        <f t="shared" ca="1" si="176"/>
        <v>634.77652585162264</v>
      </c>
      <c r="AJ325">
        <f t="shared" ca="1" si="177"/>
        <v>635.94953877743387</v>
      </c>
      <c r="AM325">
        <v>0</v>
      </c>
      <c r="AN325">
        <v>0</v>
      </c>
      <c r="AO325">
        <f t="shared" si="178"/>
        <v>0</v>
      </c>
      <c r="AP325">
        <f t="shared" si="187"/>
        <v>0</v>
      </c>
      <c r="AQ325">
        <f t="shared" ca="1" si="179"/>
        <v>1.0000000000000002</v>
      </c>
      <c r="AR325" t="str">
        <f t="shared" ca="1" si="180"/>
        <v>Supercritical</v>
      </c>
      <c r="AS325">
        <f t="shared" ca="1" si="181"/>
        <v>4.2878699272156737E-3</v>
      </c>
    </row>
    <row r="326" spans="1:45" x14ac:dyDescent="0.35">
      <c r="A326">
        <v>265</v>
      </c>
      <c r="B326">
        <v>263.99599999999998</v>
      </c>
      <c r="C326">
        <v>616321.89899999998</v>
      </c>
      <c r="D326">
        <v>3097683.3590000002</v>
      </c>
      <c r="E326">
        <v>632.42999999999995</v>
      </c>
      <c r="F326">
        <v>4.5270000000000001</v>
      </c>
      <c r="G326">
        <v>0</v>
      </c>
      <c r="H326" t="s">
        <v>154</v>
      </c>
      <c r="I326">
        <v>1.4339999999999999</v>
      </c>
      <c r="J326">
        <f t="shared" si="182"/>
        <v>0.9989999999999668</v>
      </c>
      <c r="K326">
        <f t="shared" ca="1" si="183"/>
        <v>50.95</v>
      </c>
      <c r="L326">
        <f t="shared" ca="1" si="184"/>
        <v>2.3460258516225387</v>
      </c>
      <c r="M326">
        <f t="shared" ca="1" si="157"/>
        <v>10.620459030295233</v>
      </c>
      <c r="N326">
        <f t="shared" ca="1" si="158"/>
        <v>1.1520120910653819</v>
      </c>
      <c r="O326">
        <f t="shared" ca="1" si="159"/>
        <v>4.7973444325394352</v>
      </c>
      <c r="P326">
        <f t="shared" ca="1" si="160"/>
        <v>634.77602585162253</v>
      </c>
      <c r="Q326">
        <f t="shared" ca="1" si="161"/>
        <v>635.94903877743377</v>
      </c>
      <c r="R326">
        <f t="shared" ca="1" si="162"/>
        <v>4.2878699272156737E-3</v>
      </c>
      <c r="S326">
        <f t="shared" ca="1" si="163"/>
        <v>1.0000000000000002</v>
      </c>
      <c r="T326">
        <f t="shared" ca="1" si="164"/>
        <v>37.373807161755991</v>
      </c>
      <c r="U326">
        <f t="shared" ca="1" si="185"/>
        <v>-6.587082949863543E-3</v>
      </c>
      <c r="V326">
        <f t="shared" ca="1" si="186"/>
        <v>1</v>
      </c>
      <c r="W326">
        <f t="shared" ca="1" si="165"/>
        <v>2.1725059836004439</v>
      </c>
      <c r="X326">
        <f t="shared" ca="1" si="166"/>
        <v>9.8349345877592089</v>
      </c>
      <c r="Y326">
        <f t="shared" ca="1" si="167"/>
        <v>1.1085348649346021</v>
      </c>
      <c r="Z326">
        <f t="shared" ca="1" si="168"/>
        <v>5.1805123405104876</v>
      </c>
      <c r="AA326">
        <f t="shared" ca="1" si="169"/>
        <v>634.60250598360039</v>
      </c>
      <c r="AB326">
        <f t="shared" ca="1" si="170"/>
        <v>635.97038101470037</v>
      </c>
      <c r="AC326">
        <f t="shared" ca="1" si="171"/>
        <v>5.263348590043561E-3</v>
      </c>
      <c r="AD326">
        <f t="shared" ca="1" si="172"/>
        <v>1.1221675817839305</v>
      </c>
      <c r="AE326">
        <f t="shared" ca="1" si="173"/>
        <v>37.58915003030755</v>
      </c>
      <c r="AF326">
        <f t="shared" ca="1" si="174"/>
        <v>8.0629109718302061E-3</v>
      </c>
      <c r="AG326">
        <f t="shared" ca="1" si="175"/>
        <v>0</v>
      </c>
      <c r="AH326">
        <f ca="1">IFERROR(IF(V32="Supercritical",MAX($D$16,IFERROR(L326,MAX($D$16,POWER((ABS(K326)^2)/($I$5*MAX(F326,0.1)^2),1/3)))),IF(V32="Subcritical",MAX($D$16,IFERROR(W326,MAX($D$16,POWER((ABS(K326)^2)/($I$5*MAX(F326,0.1)^2),1/3)))),IF(AND(IFERROR(V326,0)=1,IFERROR(AG326,0)=1),IF(IFERROR(T326,-1E+99)&gt;=IFERROR(AE326,-1E+99),MAX($D$16,IFERROR(L326,MAX($D$16,POWER((ABS(K326)^2)/($I$5*MAX(F326,0.1)^2),1/3)))),MAX($D$16,IFERROR(W326,MAX($D$16,POWER((ABS(K326)^2)/($I$5*MAX(F326,0.1)^2),1/3))))),IF(IFERROR(V326,0)=1,MAX($D$16,IFERROR(L326,MAX($D$16,POWER((ABS(K326)^2)/($I$5*MAX(F326,0.1)^2),1/3)))),IF(IFERROR(AG326,0)=1,MAX($D$16,IFERROR(W326,MAX($D$16,POWER((ABS(K326)^2)/($I$5*MAX(F326,0.1)^2),1/3)))),MAX($D$16,POWER((ABS(K326)^2)/($I$5*MAX(F326,0.1)^2),1/3))))))),MAX($D$16,POWER((ABS(K326)^2)/($I$5*MAX(F326,0.1)^2),1/3)))</f>
        <v>2.3460258516225387</v>
      </c>
      <c r="AI326">
        <f t="shared" ca="1" si="176"/>
        <v>634.77602585162253</v>
      </c>
      <c r="AJ326">
        <f t="shared" ca="1" si="177"/>
        <v>635.94903877743377</v>
      </c>
      <c r="AM326">
        <v>0</v>
      </c>
      <c r="AN326">
        <v>0</v>
      </c>
      <c r="AO326">
        <f t="shared" si="178"/>
        <v>0</v>
      </c>
      <c r="AP326">
        <f t="shared" si="187"/>
        <v>0</v>
      </c>
      <c r="AQ326">
        <f t="shared" ca="1" si="179"/>
        <v>1.0000000000000002</v>
      </c>
      <c r="AR326" t="str">
        <f t="shared" ca="1" si="180"/>
        <v>Supercritical</v>
      </c>
      <c r="AS326">
        <f t="shared" ca="1" si="181"/>
        <v>4.2878699272156737E-3</v>
      </c>
    </row>
    <row r="327" spans="1:45" x14ac:dyDescent="0.35">
      <c r="A327">
        <v>266</v>
      </c>
      <c r="B327">
        <v>264.99700000000001</v>
      </c>
      <c r="C327">
        <v>616321.05099999998</v>
      </c>
      <c r="D327">
        <v>3097682.8280000002</v>
      </c>
      <c r="E327">
        <v>632.42949999999996</v>
      </c>
      <c r="F327">
        <v>4.5270000000000001</v>
      </c>
      <c r="G327">
        <v>0</v>
      </c>
      <c r="H327" t="s">
        <v>154</v>
      </c>
      <c r="I327">
        <v>1.4450000000000001</v>
      </c>
      <c r="J327">
        <f t="shared" si="182"/>
        <v>1.0010000000000332</v>
      </c>
      <c r="K327">
        <f t="shared" ca="1" si="183"/>
        <v>50.95</v>
      </c>
      <c r="L327">
        <f t="shared" ca="1" si="184"/>
        <v>2.3460258516225387</v>
      </c>
      <c r="M327">
        <f t="shared" ca="1" si="157"/>
        <v>10.620459030295233</v>
      </c>
      <c r="N327">
        <f t="shared" ca="1" si="158"/>
        <v>1.1520120910653819</v>
      </c>
      <c r="O327">
        <f t="shared" ca="1" si="159"/>
        <v>4.7973444325394352</v>
      </c>
      <c r="P327">
        <f t="shared" ca="1" si="160"/>
        <v>634.77552585162255</v>
      </c>
      <c r="Q327">
        <f t="shared" ca="1" si="161"/>
        <v>635.94853877743378</v>
      </c>
      <c r="R327">
        <f t="shared" ca="1" si="162"/>
        <v>4.2878699272156737E-3</v>
      </c>
      <c r="S327">
        <f t="shared" ca="1" si="163"/>
        <v>1.0000000000000002</v>
      </c>
      <c r="T327">
        <f t="shared" ca="1" si="164"/>
        <v>37.373807161755991</v>
      </c>
      <c r="U327">
        <f t="shared" ca="1" si="185"/>
        <v>-6.6171639268759463E-3</v>
      </c>
      <c r="V327">
        <f t="shared" ca="1" si="186"/>
        <v>1</v>
      </c>
      <c r="W327">
        <f t="shared" ca="1" si="165"/>
        <v>2.1716560282173978</v>
      </c>
      <c r="X327">
        <f t="shared" ca="1" si="166"/>
        <v>9.8310868397401592</v>
      </c>
      <c r="Y327">
        <f t="shared" ca="1" si="167"/>
        <v>1.1083135268739941</v>
      </c>
      <c r="Z327">
        <f t="shared" ca="1" si="168"/>
        <v>5.182539919599229</v>
      </c>
      <c r="AA327">
        <f t="shared" ca="1" si="169"/>
        <v>634.60115602821736</v>
      </c>
      <c r="AB327">
        <f t="shared" ca="1" si="170"/>
        <v>635.97010200264344</v>
      </c>
      <c r="AC327">
        <f t="shared" ca="1" si="171"/>
        <v>5.2688720442844146E-3</v>
      </c>
      <c r="AD327">
        <f t="shared" ca="1" si="172"/>
        <v>1.122826446965759</v>
      </c>
      <c r="AE327">
        <f t="shared" ca="1" si="173"/>
        <v>37.591323006716124</v>
      </c>
      <c r="AF327">
        <f t="shared" ca="1" si="174"/>
        <v>7.9607977413616027E-3</v>
      </c>
      <c r="AG327">
        <f t="shared" ca="1" si="175"/>
        <v>0</v>
      </c>
      <c r="AH327">
        <f ca="1">IFERROR(IF(V32="Supercritical",MAX($D$16,IFERROR(L327,MAX($D$16,POWER((ABS(K327)^2)/($I$5*MAX(F327,0.1)^2),1/3)))),IF(V32="Subcritical",MAX($D$16,IFERROR(W327,MAX($D$16,POWER((ABS(K327)^2)/($I$5*MAX(F327,0.1)^2),1/3)))),IF(AND(IFERROR(V327,0)=1,IFERROR(AG327,0)=1),IF(IFERROR(T327,-1E+99)&gt;=IFERROR(AE327,-1E+99),MAX($D$16,IFERROR(L327,MAX($D$16,POWER((ABS(K327)^2)/($I$5*MAX(F327,0.1)^2),1/3)))),MAX($D$16,IFERROR(W327,MAX($D$16,POWER((ABS(K327)^2)/($I$5*MAX(F327,0.1)^2),1/3))))),IF(IFERROR(V327,0)=1,MAX($D$16,IFERROR(L327,MAX($D$16,POWER((ABS(K327)^2)/($I$5*MAX(F327,0.1)^2),1/3)))),IF(IFERROR(AG327,0)=1,MAX($D$16,IFERROR(W327,MAX($D$16,POWER((ABS(K327)^2)/($I$5*MAX(F327,0.1)^2),1/3)))),MAX($D$16,POWER((ABS(K327)^2)/($I$5*MAX(F327,0.1)^2),1/3))))))),MAX($D$16,POWER((ABS(K327)^2)/($I$5*MAX(F327,0.1)^2),1/3)))</f>
        <v>2.3460258516225387</v>
      </c>
      <c r="AI327">
        <f t="shared" ca="1" si="176"/>
        <v>634.77552585162255</v>
      </c>
      <c r="AJ327">
        <f t="shared" ca="1" si="177"/>
        <v>635.94853877743378</v>
      </c>
      <c r="AM327">
        <v>0</v>
      </c>
      <c r="AN327">
        <v>0</v>
      </c>
      <c r="AO327">
        <f t="shared" si="178"/>
        <v>0</v>
      </c>
      <c r="AP327">
        <f t="shared" si="187"/>
        <v>0</v>
      </c>
      <c r="AQ327">
        <f t="shared" ca="1" si="179"/>
        <v>1.0000000000000002</v>
      </c>
      <c r="AR327" t="str">
        <f t="shared" ca="1" si="180"/>
        <v>Supercritical</v>
      </c>
      <c r="AS327">
        <f t="shared" ca="1" si="181"/>
        <v>4.2878699272156737E-3</v>
      </c>
    </row>
    <row r="328" spans="1:45" x14ac:dyDescent="0.35">
      <c r="A328">
        <v>267</v>
      </c>
      <c r="B328">
        <v>265.99700000000001</v>
      </c>
      <c r="C328">
        <v>616320.21699999995</v>
      </c>
      <c r="D328">
        <v>3097682.2760000001</v>
      </c>
      <c r="E328">
        <v>632.42899999999997</v>
      </c>
      <c r="F328">
        <v>4.5270000000000001</v>
      </c>
      <c r="G328">
        <v>0</v>
      </c>
      <c r="H328" t="s">
        <v>154</v>
      </c>
      <c r="I328">
        <v>1.399</v>
      </c>
      <c r="J328">
        <f t="shared" si="182"/>
        <v>1</v>
      </c>
      <c r="K328">
        <f t="shared" ca="1" si="183"/>
        <v>50.95</v>
      </c>
      <c r="L328">
        <f t="shared" ca="1" si="184"/>
        <v>2.3460258516225387</v>
      </c>
      <c r="M328">
        <f t="shared" ca="1" si="157"/>
        <v>10.620459030295233</v>
      </c>
      <c r="N328">
        <f t="shared" ca="1" si="158"/>
        <v>1.1520120910653819</v>
      </c>
      <c r="O328">
        <f t="shared" ca="1" si="159"/>
        <v>4.7973444325394352</v>
      </c>
      <c r="P328">
        <f t="shared" ca="1" si="160"/>
        <v>634.77502585162256</v>
      </c>
      <c r="Q328">
        <f t="shared" ca="1" si="161"/>
        <v>635.94803877743379</v>
      </c>
      <c r="R328">
        <f t="shared" ca="1" si="162"/>
        <v>4.2878699272156737E-3</v>
      </c>
      <c r="S328">
        <f t="shared" ca="1" si="163"/>
        <v>1.0000000000000002</v>
      </c>
      <c r="T328">
        <f t="shared" ca="1" si="164"/>
        <v>37.373807161755991</v>
      </c>
      <c r="U328">
        <f t="shared" ca="1" si="185"/>
        <v>-6.5229450659671784E-3</v>
      </c>
      <c r="V328">
        <f t="shared" ca="1" si="186"/>
        <v>1</v>
      </c>
      <c r="W328">
        <f t="shared" ca="1" si="165"/>
        <v>2.170767890456772</v>
      </c>
      <c r="X328">
        <f t="shared" ca="1" si="166"/>
        <v>9.8270662400978068</v>
      </c>
      <c r="Y328">
        <f t="shared" ca="1" si="167"/>
        <v>1.108082155032533</v>
      </c>
      <c r="Z328">
        <f t="shared" ca="1" si="168"/>
        <v>5.1846602795966206</v>
      </c>
      <c r="AA328">
        <f t="shared" ca="1" si="169"/>
        <v>634.59976789045675</v>
      </c>
      <c r="AB328">
        <f t="shared" ca="1" si="170"/>
        <v>635.96983426226245</v>
      </c>
      <c r="AC328">
        <f t="shared" ca="1" si="171"/>
        <v>5.274652422081731E-3</v>
      </c>
      <c r="AD328">
        <f t="shared" ca="1" si="172"/>
        <v>1.1235155993368291</v>
      </c>
      <c r="AE328">
        <f t="shared" ca="1" si="173"/>
        <v>37.593605903827275</v>
      </c>
      <c r="AF328">
        <f t="shared" ca="1" si="174"/>
        <v>8.1518660285837541E-3</v>
      </c>
      <c r="AG328">
        <f t="shared" ca="1" si="175"/>
        <v>0</v>
      </c>
      <c r="AH328">
        <f ca="1">IFERROR(IF(V32="Supercritical",MAX($D$16,IFERROR(L328,MAX($D$16,POWER((ABS(K328)^2)/($I$5*MAX(F328,0.1)^2),1/3)))),IF(V32="Subcritical",MAX($D$16,IFERROR(W328,MAX($D$16,POWER((ABS(K328)^2)/($I$5*MAX(F328,0.1)^2),1/3)))),IF(AND(IFERROR(V328,0)=1,IFERROR(AG328,0)=1),IF(IFERROR(T328,-1E+99)&gt;=IFERROR(AE328,-1E+99),MAX($D$16,IFERROR(L328,MAX($D$16,POWER((ABS(K328)^2)/($I$5*MAX(F328,0.1)^2),1/3)))),MAX($D$16,IFERROR(W328,MAX($D$16,POWER((ABS(K328)^2)/($I$5*MAX(F328,0.1)^2),1/3))))),IF(IFERROR(V328,0)=1,MAX($D$16,IFERROR(L328,MAX($D$16,POWER((ABS(K328)^2)/($I$5*MAX(F328,0.1)^2),1/3)))),IF(IFERROR(AG328,0)=1,MAX($D$16,IFERROR(W328,MAX($D$16,POWER((ABS(K328)^2)/($I$5*MAX(F328,0.1)^2),1/3)))),MAX($D$16,POWER((ABS(K328)^2)/($I$5*MAX(F328,0.1)^2),1/3))))))),MAX($D$16,POWER((ABS(K328)^2)/($I$5*MAX(F328,0.1)^2),1/3)))</f>
        <v>2.3460258516225387</v>
      </c>
      <c r="AI328">
        <f t="shared" ca="1" si="176"/>
        <v>634.77502585162256</v>
      </c>
      <c r="AJ328">
        <f t="shared" ca="1" si="177"/>
        <v>635.94803877743379</v>
      </c>
      <c r="AM328">
        <v>0</v>
      </c>
      <c r="AN328">
        <v>0</v>
      </c>
      <c r="AO328">
        <f t="shared" si="178"/>
        <v>0</v>
      </c>
      <c r="AP328">
        <f t="shared" si="187"/>
        <v>0</v>
      </c>
      <c r="AQ328">
        <f t="shared" ca="1" si="179"/>
        <v>1.0000000000000002</v>
      </c>
      <c r="AR328" t="str">
        <f t="shared" ca="1" si="180"/>
        <v>Supercritical</v>
      </c>
      <c r="AS328">
        <f t="shared" ca="1" si="181"/>
        <v>4.2878699272156737E-3</v>
      </c>
    </row>
    <row r="329" spans="1:45" x14ac:dyDescent="0.35">
      <c r="A329">
        <v>268</v>
      </c>
      <c r="B329">
        <v>266.99700000000001</v>
      </c>
      <c r="C329">
        <v>616319.397</v>
      </c>
      <c r="D329">
        <v>3097681.7039999999</v>
      </c>
      <c r="E329">
        <v>632.42849999999999</v>
      </c>
      <c r="F329">
        <v>4.5270000000000001</v>
      </c>
      <c r="G329">
        <v>0</v>
      </c>
      <c r="H329" t="s">
        <v>154</v>
      </c>
      <c r="I329">
        <v>1.4790000000000001</v>
      </c>
      <c r="J329">
        <f t="shared" si="182"/>
        <v>1</v>
      </c>
      <c r="K329">
        <f t="shared" ca="1" si="183"/>
        <v>50.95</v>
      </c>
      <c r="L329">
        <f t="shared" ca="1" si="184"/>
        <v>2.3460258516225387</v>
      </c>
      <c r="M329">
        <f t="shared" ca="1" si="157"/>
        <v>10.620459030295233</v>
      </c>
      <c r="N329">
        <f t="shared" ca="1" si="158"/>
        <v>1.1520120910653819</v>
      </c>
      <c r="O329">
        <f t="shared" ca="1" si="159"/>
        <v>4.7973444325394352</v>
      </c>
      <c r="P329">
        <f t="shared" ca="1" si="160"/>
        <v>634.77452585162257</v>
      </c>
      <c r="Q329">
        <f t="shared" ca="1" si="161"/>
        <v>635.94753877743381</v>
      </c>
      <c r="R329">
        <f t="shared" ca="1" si="162"/>
        <v>4.2878699272156737E-3</v>
      </c>
      <c r="S329">
        <f t="shared" ca="1" si="163"/>
        <v>1.0000000000000002</v>
      </c>
      <c r="T329">
        <f t="shared" ca="1" si="164"/>
        <v>37.373807161755991</v>
      </c>
      <c r="U329">
        <f t="shared" ca="1" si="185"/>
        <v>-6.6793467893830893E-3</v>
      </c>
      <c r="V329">
        <f t="shared" ca="1" si="186"/>
        <v>1</v>
      </c>
      <c r="W329">
        <f t="shared" ca="1" si="165"/>
        <v>2.1698399670549624</v>
      </c>
      <c r="X329">
        <f t="shared" ca="1" si="166"/>
        <v>9.8228655308578148</v>
      </c>
      <c r="Y329">
        <f t="shared" ca="1" si="167"/>
        <v>1.1078403194717183</v>
      </c>
      <c r="Z329">
        <f t="shared" ca="1" si="168"/>
        <v>5.1868774788725647</v>
      </c>
      <c r="AA329">
        <f t="shared" ca="1" si="169"/>
        <v>634.59833996705493</v>
      </c>
      <c r="AB329">
        <f t="shared" ca="1" si="170"/>
        <v>635.96957839625145</v>
      </c>
      <c r="AC329">
        <f t="shared" ca="1" si="171"/>
        <v>5.2807013616167396E-3</v>
      </c>
      <c r="AD329">
        <f t="shared" ca="1" si="172"/>
        <v>1.1242363768254535</v>
      </c>
      <c r="AE329">
        <f t="shared" ca="1" si="173"/>
        <v>37.596004511414833</v>
      </c>
      <c r="AF329">
        <f t="shared" ca="1" si="174"/>
        <v>7.9452668290969086E-3</v>
      </c>
      <c r="AG329">
        <f t="shared" ca="1" si="175"/>
        <v>0</v>
      </c>
      <c r="AH329">
        <f ca="1">IFERROR(IF(V32="Supercritical",MAX($D$16,IFERROR(L329,MAX($D$16,POWER((ABS(K329)^2)/($I$5*MAX(F329,0.1)^2),1/3)))),IF(V32="Subcritical",MAX($D$16,IFERROR(W329,MAX($D$16,POWER((ABS(K329)^2)/($I$5*MAX(F329,0.1)^2),1/3)))),IF(AND(IFERROR(V329,0)=1,IFERROR(AG329,0)=1),IF(IFERROR(T329,-1E+99)&gt;=IFERROR(AE329,-1E+99),MAX($D$16,IFERROR(L329,MAX($D$16,POWER((ABS(K329)^2)/($I$5*MAX(F329,0.1)^2),1/3)))),MAX($D$16,IFERROR(W329,MAX($D$16,POWER((ABS(K329)^2)/($I$5*MAX(F329,0.1)^2),1/3))))),IF(IFERROR(V329,0)=1,MAX($D$16,IFERROR(L329,MAX($D$16,POWER((ABS(K329)^2)/($I$5*MAX(F329,0.1)^2),1/3)))),IF(IFERROR(AG329,0)=1,MAX($D$16,IFERROR(W329,MAX($D$16,POWER((ABS(K329)^2)/($I$5*MAX(F329,0.1)^2),1/3)))),MAX($D$16,POWER((ABS(K329)^2)/($I$5*MAX(F329,0.1)^2),1/3))))))),MAX($D$16,POWER((ABS(K329)^2)/($I$5*MAX(F329,0.1)^2),1/3)))</f>
        <v>2.3460258516225387</v>
      </c>
      <c r="AI329">
        <f t="shared" ca="1" si="176"/>
        <v>634.77452585162257</v>
      </c>
      <c r="AJ329">
        <f t="shared" ca="1" si="177"/>
        <v>635.94753877743381</v>
      </c>
      <c r="AM329">
        <v>0</v>
      </c>
      <c r="AN329">
        <v>0</v>
      </c>
      <c r="AO329">
        <f t="shared" si="178"/>
        <v>0</v>
      </c>
      <c r="AP329">
        <f t="shared" si="187"/>
        <v>0</v>
      </c>
      <c r="AQ329">
        <f t="shared" ca="1" si="179"/>
        <v>1.0000000000000002</v>
      </c>
      <c r="AR329" t="str">
        <f t="shared" ca="1" si="180"/>
        <v>Supercritical</v>
      </c>
      <c r="AS329">
        <f t="shared" ca="1" si="181"/>
        <v>4.2878699272156737E-3</v>
      </c>
    </row>
    <row r="330" spans="1:45" x14ac:dyDescent="0.35">
      <c r="A330">
        <v>269</v>
      </c>
      <c r="B330">
        <v>267.99599999999998</v>
      </c>
      <c r="C330">
        <v>616318.59199999995</v>
      </c>
      <c r="D330">
        <v>3097681.111</v>
      </c>
      <c r="E330">
        <v>632.428</v>
      </c>
      <c r="F330">
        <v>4.5270000000000001</v>
      </c>
      <c r="G330">
        <v>0</v>
      </c>
      <c r="H330" t="s">
        <v>154</v>
      </c>
      <c r="I330">
        <v>1.387</v>
      </c>
      <c r="J330">
        <f t="shared" si="182"/>
        <v>0.9989999999999668</v>
      </c>
      <c r="K330">
        <f t="shared" ca="1" si="183"/>
        <v>50.95</v>
      </c>
      <c r="L330">
        <f t="shared" ca="1" si="184"/>
        <v>2.3460258516225387</v>
      </c>
      <c r="M330">
        <f t="shared" ca="1" si="157"/>
        <v>10.620459030295233</v>
      </c>
      <c r="N330">
        <f t="shared" ca="1" si="158"/>
        <v>1.1520120910653819</v>
      </c>
      <c r="O330">
        <f t="shared" ca="1" si="159"/>
        <v>4.7973444325394352</v>
      </c>
      <c r="P330">
        <f t="shared" ca="1" si="160"/>
        <v>634.77402585162258</v>
      </c>
      <c r="Q330">
        <f t="shared" ca="1" si="161"/>
        <v>635.94703877743382</v>
      </c>
      <c r="R330">
        <f t="shared" ca="1" si="162"/>
        <v>4.2878699272156737E-3</v>
      </c>
      <c r="S330">
        <f t="shared" ca="1" si="163"/>
        <v>1.0000000000000002</v>
      </c>
      <c r="T330">
        <f t="shared" ca="1" si="164"/>
        <v>37.373807161755991</v>
      </c>
      <c r="U330">
        <f t="shared" ca="1" si="185"/>
        <v>-6.4951969374078544E-3</v>
      </c>
      <c r="V330">
        <f t="shared" ca="1" si="186"/>
        <v>1</v>
      </c>
      <c r="W330">
        <f t="shared" ca="1" si="165"/>
        <v>2.1688705982085299</v>
      </c>
      <c r="X330">
        <f t="shared" ca="1" si="166"/>
        <v>9.8184771980900152</v>
      </c>
      <c r="Y330">
        <f t="shared" ca="1" si="167"/>
        <v>1.107587574249594</v>
      </c>
      <c r="Z330">
        <f t="shared" ca="1" si="168"/>
        <v>5.1891957349466864</v>
      </c>
      <c r="AA330">
        <f t="shared" ca="1" si="169"/>
        <v>634.59687059820851</v>
      </c>
      <c r="AB330">
        <f t="shared" ca="1" si="170"/>
        <v>635.96933504140873</v>
      </c>
      <c r="AC330">
        <f t="shared" ca="1" si="171"/>
        <v>5.2870309964210705E-3</v>
      </c>
      <c r="AD330">
        <f t="shared" ca="1" si="172"/>
        <v>1.1249901710919668</v>
      </c>
      <c r="AE330">
        <f t="shared" ca="1" si="173"/>
        <v>37.598524938561056</v>
      </c>
      <c r="AF330">
        <f t="shared" ca="1" si="174"/>
        <v>8.0626461342490074E-3</v>
      </c>
      <c r="AG330">
        <f t="shared" ca="1" si="175"/>
        <v>0</v>
      </c>
      <c r="AH330">
        <f ca="1">IFERROR(IF(V32="Supercritical",MAX($D$16,IFERROR(L330,MAX($D$16,POWER((ABS(K330)^2)/($I$5*MAX(F330,0.1)^2),1/3)))),IF(V32="Subcritical",MAX($D$16,IFERROR(W330,MAX($D$16,POWER((ABS(K330)^2)/($I$5*MAX(F330,0.1)^2),1/3)))),IF(AND(IFERROR(V330,0)=1,IFERROR(AG330,0)=1),IF(IFERROR(T330,-1E+99)&gt;=IFERROR(AE330,-1E+99),MAX($D$16,IFERROR(L330,MAX($D$16,POWER((ABS(K330)^2)/($I$5*MAX(F330,0.1)^2),1/3)))),MAX($D$16,IFERROR(W330,MAX($D$16,POWER((ABS(K330)^2)/($I$5*MAX(F330,0.1)^2),1/3))))),IF(IFERROR(V330,0)=1,MAX($D$16,IFERROR(L330,MAX($D$16,POWER((ABS(K330)^2)/($I$5*MAX(F330,0.1)^2),1/3)))),IF(IFERROR(AG330,0)=1,MAX($D$16,IFERROR(W330,MAX($D$16,POWER((ABS(K330)^2)/($I$5*MAX(F330,0.1)^2),1/3)))),MAX($D$16,POWER((ABS(K330)^2)/($I$5*MAX(F330,0.1)^2),1/3))))))),MAX($D$16,POWER((ABS(K330)^2)/($I$5*MAX(F330,0.1)^2),1/3)))</f>
        <v>2.3460258516225387</v>
      </c>
      <c r="AI330">
        <f t="shared" ca="1" si="176"/>
        <v>634.77402585162258</v>
      </c>
      <c r="AJ330">
        <f t="shared" ca="1" si="177"/>
        <v>635.94703877743382</v>
      </c>
      <c r="AM330">
        <v>0</v>
      </c>
      <c r="AN330">
        <v>0</v>
      </c>
      <c r="AO330">
        <f t="shared" si="178"/>
        <v>0</v>
      </c>
      <c r="AP330">
        <f t="shared" si="187"/>
        <v>0</v>
      </c>
      <c r="AQ330">
        <f t="shared" ca="1" si="179"/>
        <v>1.0000000000000002</v>
      </c>
      <c r="AR330" t="str">
        <f t="shared" ca="1" si="180"/>
        <v>Supercritical</v>
      </c>
      <c r="AS330">
        <f t="shared" ca="1" si="181"/>
        <v>4.2878699272156737E-3</v>
      </c>
    </row>
    <row r="331" spans="1:45" x14ac:dyDescent="0.35">
      <c r="A331">
        <v>270</v>
      </c>
      <c r="B331">
        <v>268.99599999999998</v>
      </c>
      <c r="C331">
        <v>616317.80200000003</v>
      </c>
      <c r="D331">
        <v>3097680.4989999998</v>
      </c>
      <c r="E331">
        <v>632.42750000000001</v>
      </c>
      <c r="F331">
        <v>4.5270000000000001</v>
      </c>
      <c r="G331">
        <v>0</v>
      </c>
      <c r="H331" t="s">
        <v>154</v>
      </c>
      <c r="I331">
        <v>1.4319999999999999</v>
      </c>
      <c r="J331">
        <f t="shared" si="182"/>
        <v>1</v>
      </c>
      <c r="K331">
        <f t="shared" ca="1" si="183"/>
        <v>50.95</v>
      </c>
      <c r="L331">
        <f t="shared" ca="1" si="184"/>
        <v>2.3460258516225387</v>
      </c>
      <c r="M331">
        <f t="shared" ca="1" si="157"/>
        <v>10.620459030295233</v>
      </c>
      <c r="N331">
        <f t="shared" ca="1" si="158"/>
        <v>1.1520120910653819</v>
      </c>
      <c r="O331">
        <f t="shared" ca="1" si="159"/>
        <v>4.7973444325394352</v>
      </c>
      <c r="P331">
        <f t="shared" ca="1" si="160"/>
        <v>634.77352585162259</v>
      </c>
      <c r="Q331">
        <f t="shared" ca="1" si="161"/>
        <v>635.94653877743383</v>
      </c>
      <c r="R331">
        <f t="shared" ca="1" si="162"/>
        <v>4.2878699272156737E-3</v>
      </c>
      <c r="S331">
        <f t="shared" ca="1" si="163"/>
        <v>1.0000000000000002</v>
      </c>
      <c r="T331">
        <f t="shared" ca="1" si="164"/>
        <v>37.373807161755991</v>
      </c>
      <c r="U331">
        <f t="shared" ca="1" si="185"/>
        <v>-6.5874607768137139E-3</v>
      </c>
      <c r="V331">
        <f t="shared" ca="1" si="186"/>
        <v>1</v>
      </c>
      <c r="W331">
        <f t="shared" ca="1" si="165"/>
        <v>2.1678580666507274</v>
      </c>
      <c r="X331">
        <f t="shared" ca="1" si="166"/>
        <v>9.8138934677278442</v>
      </c>
      <c r="Y331">
        <f t="shared" ca="1" si="167"/>
        <v>1.1073234570666619</v>
      </c>
      <c r="Z331">
        <f t="shared" ca="1" si="168"/>
        <v>5.1916194288785338</v>
      </c>
      <c r="AA331">
        <f t="shared" ca="1" si="169"/>
        <v>634.59535806665076</v>
      </c>
      <c r="AB331">
        <f t="shared" ca="1" si="170"/>
        <v>635.96910487064201</v>
      </c>
      <c r="AC331">
        <f t="shared" ca="1" si="171"/>
        <v>5.2936539731158324E-3</v>
      </c>
      <c r="AD331">
        <f t="shared" ca="1" si="172"/>
        <v>1.1257784291413178</v>
      </c>
      <c r="AE331">
        <f t="shared" ca="1" si="173"/>
        <v>37.601173631636549</v>
      </c>
      <c r="AF331">
        <f t="shared" ca="1" si="174"/>
        <v>8.1524649089033119E-3</v>
      </c>
      <c r="AG331">
        <f t="shared" ca="1" si="175"/>
        <v>0</v>
      </c>
      <c r="AH331">
        <f ca="1">IFERROR(IF(V32="Supercritical",MAX($D$16,IFERROR(L331,MAX($D$16,POWER((ABS(K331)^2)/($I$5*MAX(F331,0.1)^2),1/3)))),IF(V32="Subcritical",MAX($D$16,IFERROR(W331,MAX($D$16,POWER((ABS(K331)^2)/($I$5*MAX(F331,0.1)^2),1/3)))),IF(AND(IFERROR(V331,0)=1,IFERROR(AG331,0)=1),IF(IFERROR(T331,-1E+99)&gt;=IFERROR(AE331,-1E+99),MAX($D$16,IFERROR(L331,MAX($D$16,POWER((ABS(K331)^2)/($I$5*MAX(F331,0.1)^2),1/3)))),MAX($D$16,IFERROR(W331,MAX($D$16,POWER((ABS(K331)^2)/($I$5*MAX(F331,0.1)^2),1/3))))),IF(IFERROR(V331,0)=1,MAX($D$16,IFERROR(L331,MAX($D$16,POWER((ABS(K331)^2)/($I$5*MAX(F331,0.1)^2),1/3)))),IF(IFERROR(AG331,0)=1,MAX($D$16,IFERROR(W331,MAX($D$16,POWER((ABS(K331)^2)/($I$5*MAX(F331,0.1)^2),1/3)))),MAX($D$16,POWER((ABS(K331)^2)/($I$5*MAX(F331,0.1)^2),1/3))))))),MAX($D$16,POWER((ABS(K331)^2)/($I$5*MAX(F331,0.1)^2),1/3)))</f>
        <v>2.3460258516225387</v>
      </c>
      <c r="AI331">
        <f t="shared" ca="1" si="176"/>
        <v>634.77352585162259</v>
      </c>
      <c r="AJ331">
        <f t="shared" ca="1" si="177"/>
        <v>635.94653877743383</v>
      </c>
      <c r="AM331">
        <v>0</v>
      </c>
      <c r="AN331">
        <v>0</v>
      </c>
      <c r="AO331">
        <f t="shared" si="178"/>
        <v>0</v>
      </c>
      <c r="AP331">
        <f t="shared" si="187"/>
        <v>0</v>
      </c>
      <c r="AQ331">
        <f t="shared" ca="1" si="179"/>
        <v>1.0000000000000002</v>
      </c>
      <c r="AR331" t="str">
        <f t="shared" ca="1" si="180"/>
        <v>Supercritical</v>
      </c>
      <c r="AS331">
        <f t="shared" ca="1" si="181"/>
        <v>4.2878699272156737E-3</v>
      </c>
    </row>
    <row r="332" spans="1:45" x14ac:dyDescent="0.35">
      <c r="A332">
        <v>271</v>
      </c>
      <c r="B332">
        <v>269.99599999999998</v>
      </c>
      <c r="C332">
        <v>616317.027</v>
      </c>
      <c r="D332">
        <v>3097679.8670000001</v>
      </c>
      <c r="E332">
        <v>632.42700000000002</v>
      </c>
      <c r="F332">
        <v>4.5270000000000001</v>
      </c>
      <c r="G332">
        <v>0</v>
      </c>
      <c r="H332" t="s">
        <v>154</v>
      </c>
      <c r="I332">
        <v>1.4670000000000001</v>
      </c>
      <c r="J332">
        <f t="shared" si="182"/>
        <v>1</v>
      </c>
      <c r="K332">
        <f t="shared" ca="1" si="183"/>
        <v>50.95</v>
      </c>
      <c r="L332">
        <f t="shared" ca="1" si="184"/>
        <v>2.3460258516225387</v>
      </c>
      <c r="M332">
        <f t="shared" ca="1" si="157"/>
        <v>10.620459030295233</v>
      </c>
      <c r="N332">
        <f t="shared" ca="1" si="158"/>
        <v>1.1520120910653819</v>
      </c>
      <c r="O332">
        <f t="shared" ca="1" si="159"/>
        <v>4.7973444325394352</v>
      </c>
      <c r="P332">
        <f t="shared" ca="1" si="160"/>
        <v>634.77302585162261</v>
      </c>
      <c r="Q332">
        <f t="shared" ca="1" si="161"/>
        <v>635.94603877743384</v>
      </c>
      <c r="R332">
        <f t="shared" ca="1" si="162"/>
        <v>4.2878699272156737E-3</v>
      </c>
      <c r="S332">
        <f t="shared" ca="1" si="163"/>
        <v>1.0000000000000002</v>
      </c>
      <c r="T332">
        <f t="shared" ca="1" si="164"/>
        <v>37.373807161755991</v>
      </c>
      <c r="U332">
        <f t="shared" ca="1" si="185"/>
        <v>-6.6558865308934401E-3</v>
      </c>
      <c r="V332">
        <f t="shared" ca="1" si="186"/>
        <v>1</v>
      </c>
      <c r="W332">
        <f t="shared" ca="1" si="165"/>
        <v>2.1668005968337058</v>
      </c>
      <c r="X332">
        <f t="shared" ca="1" si="166"/>
        <v>9.809106301866187</v>
      </c>
      <c r="Y332">
        <f t="shared" ca="1" si="167"/>
        <v>1.1070474889307356</v>
      </c>
      <c r="Z332">
        <f t="shared" ca="1" si="168"/>
        <v>5.1941531095760212</v>
      </c>
      <c r="AA332">
        <f t="shared" ca="1" si="169"/>
        <v>634.59380059683372</v>
      </c>
      <c r="AB332">
        <f t="shared" ca="1" si="170"/>
        <v>635.96888859508647</v>
      </c>
      <c r="AC332">
        <f t="shared" ca="1" si="171"/>
        <v>5.3005834694107318E-3</v>
      </c>
      <c r="AD332">
        <f t="shared" ca="1" si="172"/>
        <v>1.1266026549242485</v>
      </c>
      <c r="AE332">
        <f t="shared" ca="1" si="173"/>
        <v>37.603957393206976</v>
      </c>
      <c r="AF332">
        <f t="shared" ca="1" si="174"/>
        <v>8.0503747719831154E-3</v>
      </c>
      <c r="AG332">
        <f t="shared" ca="1" si="175"/>
        <v>0</v>
      </c>
      <c r="AH332">
        <f ca="1">IFERROR(IF(V32="Supercritical",MAX($D$16,IFERROR(L332,MAX($D$16,POWER((ABS(K332)^2)/($I$5*MAX(F332,0.1)^2),1/3)))),IF(V32="Subcritical",MAX($D$16,IFERROR(W332,MAX($D$16,POWER((ABS(K332)^2)/($I$5*MAX(F332,0.1)^2),1/3)))),IF(AND(IFERROR(V332,0)=1,IFERROR(AG332,0)=1),IF(IFERROR(T332,-1E+99)&gt;=IFERROR(AE332,-1E+99),MAX($D$16,IFERROR(L332,MAX($D$16,POWER((ABS(K332)^2)/($I$5*MAX(F332,0.1)^2),1/3)))),MAX($D$16,IFERROR(W332,MAX($D$16,POWER((ABS(K332)^2)/($I$5*MAX(F332,0.1)^2),1/3))))),IF(IFERROR(V332,0)=1,MAX($D$16,IFERROR(L332,MAX($D$16,POWER((ABS(K332)^2)/($I$5*MAX(F332,0.1)^2),1/3)))),IF(IFERROR(AG332,0)=1,MAX($D$16,IFERROR(W332,MAX($D$16,POWER((ABS(K332)^2)/($I$5*MAX(F332,0.1)^2),1/3)))),MAX($D$16,POWER((ABS(K332)^2)/($I$5*MAX(F332,0.1)^2),1/3))))))),MAX($D$16,POWER((ABS(K332)^2)/($I$5*MAX(F332,0.1)^2),1/3)))</f>
        <v>2.3460258516225387</v>
      </c>
      <c r="AI332">
        <f t="shared" ca="1" si="176"/>
        <v>634.77302585162261</v>
      </c>
      <c r="AJ332">
        <f t="shared" ca="1" si="177"/>
        <v>635.94603877743384</v>
      </c>
      <c r="AM332">
        <v>0</v>
      </c>
      <c r="AN332">
        <v>0</v>
      </c>
      <c r="AO332">
        <f t="shared" si="178"/>
        <v>0</v>
      </c>
      <c r="AP332">
        <f t="shared" si="187"/>
        <v>0</v>
      </c>
      <c r="AQ332">
        <f t="shared" ca="1" si="179"/>
        <v>1.0000000000000002</v>
      </c>
      <c r="AR332" t="str">
        <f t="shared" ca="1" si="180"/>
        <v>Supercritical</v>
      </c>
      <c r="AS332">
        <f t="shared" ca="1" si="181"/>
        <v>4.2878699272156737E-3</v>
      </c>
    </row>
    <row r="333" spans="1:45" x14ac:dyDescent="0.35">
      <c r="A333">
        <v>272</v>
      </c>
      <c r="B333">
        <v>270.99599999999998</v>
      </c>
      <c r="C333">
        <v>616316.26800000004</v>
      </c>
      <c r="D333">
        <v>3097679.2149999999</v>
      </c>
      <c r="E333">
        <v>632.42650000000003</v>
      </c>
      <c r="F333">
        <v>4.5270000000000001</v>
      </c>
      <c r="G333">
        <v>0</v>
      </c>
      <c r="H333" t="s">
        <v>154</v>
      </c>
      <c r="I333">
        <v>1.4179999999999999</v>
      </c>
      <c r="J333">
        <f t="shared" si="182"/>
        <v>1</v>
      </c>
      <c r="K333">
        <f t="shared" ca="1" si="183"/>
        <v>50.95</v>
      </c>
      <c r="L333">
        <f t="shared" ca="1" si="184"/>
        <v>2.3460258516225387</v>
      </c>
      <c r="M333">
        <f t="shared" ca="1" si="157"/>
        <v>10.620459030295233</v>
      </c>
      <c r="N333">
        <f t="shared" ca="1" si="158"/>
        <v>1.1520120910653819</v>
      </c>
      <c r="O333">
        <f t="shared" ca="1" si="159"/>
        <v>4.7973444325394352</v>
      </c>
      <c r="P333">
        <f t="shared" ca="1" si="160"/>
        <v>634.77252585162262</v>
      </c>
      <c r="Q333">
        <f t="shared" ca="1" si="161"/>
        <v>635.94553877743385</v>
      </c>
      <c r="R333">
        <f t="shared" ca="1" si="162"/>
        <v>4.2878699272156737E-3</v>
      </c>
      <c r="S333">
        <f t="shared" ca="1" si="163"/>
        <v>1.0000000000000002</v>
      </c>
      <c r="T333">
        <f t="shared" ca="1" si="164"/>
        <v>37.373807161755991</v>
      </c>
      <c r="U333">
        <f t="shared" ca="1" si="185"/>
        <v>-6.5600904752045608E-3</v>
      </c>
      <c r="V333">
        <f t="shared" ca="1" si="186"/>
        <v>1</v>
      </c>
      <c r="W333">
        <f t="shared" ca="1" si="165"/>
        <v>2.165696354232681</v>
      </c>
      <c r="X333">
        <f t="shared" ca="1" si="166"/>
        <v>9.8041073956113465</v>
      </c>
      <c r="Y333">
        <f t="shared" ca="1" si="167"/>
        <v>1.1067591738445088</v>
      </c>
      <c r="Z333">
        <f t="shared" ca="1" si="168"/>
        <v>5.1968014979932757</v>
      </c>
      <c r="AA333">
        <f t="shared" ca="1" si="169"/>
        <v>634.59219635423267</v>
      </c>
      <c r="AB333">
        <f t="shared" ca="1" si="170"/>
        <v>635.96868696633999</v>
      </c>
      <c r="AC333">
        <f t="shared" ca="1" si="171"/>
        <v>5.3078332123183717E-3</v>
      </c>
      <c r="AD333">
        <f t="shared" ca="1" si="172"/>
        <v>1.1274644109186831</v>
      </c>
      <c r="AE333">
        <f t="shared" ca="1" si="173"/>
        <v>37.606883401892048</v>
      </c>
      <c r="AF333">
        <f t="shared" ca="1" si="174"/>
        <v>8.063233510029022E-3</v>
      </c>
      <c r="AG333">
        <f t="shared" ca="1" si="175"/>
        <v>0</v>
      </c>
      <c r="AH333">
        <f ca="1">IFERROR(IF(V32="Supercritical",MAX($D$16,IFERROR(L333,MAX($D$16,POWER((ABS(K333)^2)/($I$5*MAX(F333,0.1)^2),1/3)))),IF(V32="Subcritical",MAX($D$16,IFERROR(W333,MAX($D$16,POWER((ABS(K333)^2)/($I$5*MAX(F333,0.1)^2),1/3)))),IF(AND(IFERROR(V333,0)=1,IFERROR(AG333,0)=1),IF(IFERROR(T333,-1E+99)&gt;=IFERROR(AE333,-1E+99),MAX($D$16,IFERROR(L333,MAX($D$16,POWER((ABS(K333)^2)/($I$5*MAX(F333,0.1)^2),1/3)))),MAX($D$16,IFERROR(W333,MAX($D$16,POWER((ABS(K333)^2)/($I$5*MAX(F333,0.1)^2),1/3))))),IF(IFERROR(V333,0)=1,MAX($D$16,IFERROR(L333,MAX($D$16,POWER((ABS(K333)^2)/($I$5*MAX(F333,0.1)^2),1/3)))),IF(IFERROR(AG333,0)=1,MAX($D$16,IFERROR(W333,MAX($D$16,POWER((ABS(K333)^2)/($I$5*MAX(F333,0.1)^2),1/3)))),MAX($D$16,POWER((ABS(K333)^2)/($I$5*MAX(F333,0.1)^2),1/3))))))),MAX($D$16,POWER((ABS(K333)^2)/($I$5*MAX(F333,0.1)^2),1/3)))</f>
        <v>2.3460258516225387</v>
      </c>
      <c r="AI333">
        <f t="shared" ca="1" si="176"/>
        <v>634.77252585162262</v>
      </c>
      <c r="AJ333">
        <f t="shared" ca="1" si="177"/>
        <v>635.94553877743385</v>
      </c>
      <c r="AM333">
        <v>0</v>
      </c>
      <c r="AN333">
        <v>0</v>
      </c>
      <c r="AO333">
        <f t="shared" si="178"/>
        <v>0</v>
      </c>
      <c r="AP333">
        <f t="shared" si="187"/>
        <v>0</v>
      </c>
      <c r="AQ333">
        <f t="shared" ca="1" si="179"/>
        <v>1.0000000000000002</v>
      </c>
      <c r="AR333" t="str">
        <f t="shared" ca="1" si="180"/>
        <v>Supercritical</v>
      </c>
      <c r="AS333">
        <f t="shared" ca="1" si="181"/>
        <v>4.2878699272156737E-3</v>
      </c>
    </row>
    <row r="334" spans="1:45" x14ac:dyDescent="0.35">
      <c r="A334">
        <v>273</v>
      </c>
      <c r="B334">
        <v>271.99599999999998</v>
      </c>
      <c r="C334">
        <v>616315.52599999995</v>
      </c>
      <c r="D334">
        <v>3097678.5449999999</v>
      </c>
      <c r="E334">
        <v>632.42600000000004</v>
      </c>
      <c r="F334">
        <v>4.5270000000000001</v>
      </c>
      <c r="G334">
        <v>0</v>
      </c>
      <c r="H334" t="s">
        <v>154</v>
      </c>
      <c r="I334">
        <v>1.419</v>
      </c>
      <c r="J334">
        <f t="shared" si="182"/>
        <v>1</v>
      </c>
      <c r="K334">
        <f t="shared" ca="1" si="183"/>
        <v>50.95</v>
      </c>
      <c r="L334">
        <f t="shared" ca="1" si="184"/>
        <v>2.3460258516225387</v>
      </c>
      <c r="M334">
        <f t="shared" ca="1" si="157"/>
        <v>10.620459030295233</v>
      </c>
      <c r="N334">
        <f t="shared" ca="1" si="158"/>
        <v>1.1520120910653819</v>
      </c>
      <c r="O334">
        <f t="shared" ca="1" si="159"/>
        <v>4.7973444325394352</v>
      </c>
      <c r="P334">
        <f t="shared" ca="1" si="160"/>
        <v>634.77202585162263</v>
      </c>
      <c r="Q334">
        <f t="shared" ca="1" si="161"/>
        <v>635.94503877743387</v>
      </c>
      <c r="R334">
        <f t="shared" ca="1" si="162"/>
        <v>4.2878699272156737E-3</v>
      </c>
      <c r="S334">
        <f t="shared" ca="1" si="163"/>
        <v>1.0000000000000002</v>
      </c>
      <c r="T334">
        <f t="shared" ca="1" si="164"/>
        <v>37.373807161755991</v>
      </c>
      <c r="U334">
        <f t="shared" ca="1" si="185"/>
        <v>-6.5620454968211561E-3</v>
      </c>
      <c r="V334">
        <f t="shared" ca="1" si="186"/>
        <v>1</v>
      </c>
      <c r="W334">
        <f t="shared" ca="1" si="165"/>
        <v>2.1645434447899721</v>
      </c>
      <c r="X334">
        <f t="shared" ca="1" si="166"/>
        <v>9.7988881745642047</v>
      </c>
      <c r="Y334">
        <f t="shared" ca="1" si="167"/>
        <v>1.1064579985200413</v>
      </c>
      <c r="Z334">
        <f t="shared" ca="1" si="168"/>
        <v>5.1995694911852537</v>
      </c>
      <c r="AA334">
        <f t="shared" ca="1" si="169"/>
        <v>634.59054344479</v>
      </c>
      <c r="AB334">
        <f t="shared" ca="1" si="170"/>
        <v>635.96850077881982</v>
      </c>
      <c r="AC334">
        <f t="shared" ca="1" si="171"/>
        <v>5.3154174965298236E-3</v>
      </c>
      <c r="AD334">
        <f t="shared" ca="1" si="172"/>
        <v>1.1283653196817458</v>
      </c>
      <c r="AE334">
        <f t="shared" ca="1" si="173"/>
        <v>37.609959233198509</v>
      </c>
      <c r="AF334">
        <f t="shared" ca="1" si="174"/>
        <v>8.1661504137855445E-3</v>
      </c>
      <c r="AG334">
        <f t="shared" ca="1" si="175"/>
        <v>0</v>
      </c>
      <c r="AH334">
        <f ca="1">IFERROR(IF(V32="Supercritical",MAX($D$16,IFERROR(L334,MAX($D$16,POWER((ABS(K334)^2)/($I$5*MAX(F334,0.1)^2),1/3)))),IF(V32="Subcritical",MAX($D$16,IFERROR(W334,MAX($D$16,POWER((ABS(K334)^2)/($I$5*MAX(F334,0.1)^2),1/3)))),IF(AND(IFERROR(V334,0)=1,IFERROR(AG334,0)=1),IF(IFERROR(T334,-1E+99)&gt;=IFERROR(AE334,-1E+99),MAX($D$16,IFERROR(L334,MAX($D$16,POWER((ABS(K334)^2)/($I$5*MAX(F334,0.1)^2),1/3)))),MAX($D$16,IFERROR(W334,MAX($D$16,POWER((ABS(K334)^2)/($I$5*MAX(F334,0.1)^2),1/3))))),IF(IFERROR(V334,0)=1,MAX($D$16,IFERROR(L334,MAX($D$16,POWER((ABS(K334)^2)/($I$5*MAX(F334,0.1)^2),1/3)))),IF(IFERROR(AG334,0)=1,MAX($D$16,IFERROR(W334,MAX($D$16,POWER((ABS(K334)^2)/($I$5*MAX(F334,0.1)^2),1/3)))),MAX($D$16,POWER((ABS(K334)^2)/($I$5*MAX(F334,0.1)^2),1/3))))))),MAX($D$16,POWER((ABS(K334)^2)/($I$5*MAX(F334,0.1)^2),1/3)))</f>
        <v>2.3460258516225387</v>
      </c>
      <c r="AI334">
        <f t="shared" ca="1" si="176"/>
        <v>634.77202585162263</v>
      </c>
      <c r="AJ334">
        <f t="shared" ca="1" si="177"/>
        <v>635.94503877743387</v>
      </c>
      <c r="AM334">
        <v>0</v>
      </c>
      <c r="AN334">
        <v>0</v>
      </c>
      <c r="AO334">
        <f t="shared" si="178"/>
        <v>0</v>
      </c>
      <c r="AP334">
        <f t="shared" si="187"/>
        <v>0</v>
      </c>
      <c r="AQ334">
        <f t="shared" ca="1" si="179"/>
        <v>1.0000000000000002</v>
      </c>
      <c r="AR334" t="str">
        <f t="shared" ca="1" si="180"/>
        <v>Supercritical</v>
      </c>
      <c r="AS334">
        <f t="shared" ca="1" si="181"/>
        <v>4.2878699272156737E-3</v>
      </c>
    </row>
    <row r="335" spans="1:45" x14ac:dyDescent="0.35">
      <c r="A335">
        <v>274</v>
      </c>
      <c r="B335">
        <v>272.99599999999998</v>
      </c>
      <c r="C335">
        <v>616314.80099999998</v>
      </c>
      <c r="D335">
        <v>3097677.8569999998</v>
      </c>
      <c r="E335">
        <v>632.42550000000006</v>
      </c>
      <c r="F335">
        <v>4.5270000000000001</v>
      </c>
      <c r="G335">
        <v>0</v>
      </c>
      <c r="H335" t="s">
        <v>154</v>
      </c>
      <c r="I335">
        <v>1.4590000000000001</v>
      </c>
      <c r="J335">
        <f t="shared" si="182"/>
        <v>1</v>
      </c>
      <c r="K335">
        <f t="shared" ca="1" si="183"/>
        <v>50.95</v>
      </c>
      <c r="L335">
        <f t="shared" ca="1" si="184"/>
        <v>2.3460258516225387</v>
      </c>
      <c r="M335">
        <f t="shared" ca="1" si="157"/>
        <v>10.620459030295233</v>
      </c>
      <c r="N335">
        <f t="shared" ca="1" si="158"/>
        <v>1.1520120910653819</v>
      </c>
      <c r="O335">
        <f t="shared" ca="1" si="159"/>
        <v>4.7973444325394352</v>
      </c>
      <c r="P335">
        <f t="shared" ca="1" si="160"/>
        <v>634.77152585162264</v>
      </c>
      <c r="Q335">
        <f t="shared" ca="1" si="161"/>
        <v>635.94453877743388</v>
      </c>
      <c r="R335">
        <f t="shared" ca="1" si="162"/>
        <v>4.2878699272156737E-3</v>
      </c>
      <c r="S335">
        <f t="shared" ca="1" si="163"/>
        <v>1.0000000000000002</v>
      </c>
      <c r="T335">
        <f t="shared" ca="1" si="164"/>
        <v>37.373807161755991</v>
      </c>
      <c r="U335">
        <f t="shared" ca="1" si="185"/>
        <v>-6.6402463585291116E-3</v>
      </c>
      <c r="V335">
        <f t="shared" ca="1" si="186"/>
        <v>1</v>
      </c>
      <c r="W335">
        <f t="shared" ca="1" si="165"/>
        <v>2.1633399145183478</v>
      </c>
      <c r="X335">
        <f t="shared" ca="1" si="166"/>
        <v>9.7934397930245609</v>
      </c>
      <c r="Y335">
        <f t="shared" ca="1" si="167"/>
        <v>1.1061434321247769</v>
      </c>
      <c r="Z335">
        <f t="shared" ca="1" si="168"/>
        <v>5.2024621661828627</v>
      </c>
      <c r="AA335">
        <f t="shared" ca="1" si="169"/>
        <v>634.58883991451842</v>
      </c>
      <c r="AB335">
        <f t="shared" ca="1" si="170"/>
        <v>635.96833087224343</v>
      </c>
      <c r="AC335">
        <f t="shared" ca="1" si="171"/>
        <v>5.3233512028888772E-3</v>
      </c>
      <c r="AD335">
        <f t="shared" ca="1" si="172"/>
        <v>1.1293070653616799</v>
      </c>
      <c r="AE335">
        <f t="shared" ca="1" si="173"/>
        <v>37.613192881343906</v>
      </c>
      <c r="AF335">
        <f t="shared" ca="1" si="174"/>
        <v>8.0835481661551967E-3</v>
      </c>
      <c r="AG335">
        <f t="shared" ca="1" si="175"/>
        <v>0</v>
      </c>
      <c r="AH335">
        <f ca="1">IFERROR(IF(V32="Supercritical",MAX($D$16,IFERROR(L335,MAX($D$16,POWER((ABS(K335)^2)/($I$5*MAX(F335,0.1)^2),1/3)))),IF(V32="Subcritical",MAX($D$16,IFERROR(W335,MAX($D$16,POWER((ABS(K335)^2)/($I$5*MAX(F335,0.1)^2),1/3)))),IF(AND(IFERROR(V335,0)=1,IFERROR(AG335,0)=1),IF(IFERROR(T335,-1E+99)&gt;=IFERROR(AE335,-1E+99),MAX($D$16,IFERROR(L335,MAX($D$16,POWER((ABS(K335)^2)/($I$5*MAX(F335,0.1)^2),1/3)))),MAX($D$16,IFERROR(W335,MAX($D$16,POWER((ABS(K335)^2)/($I$5*MAX(F335,0.1)^2),1/3))))),IF(IFERROR(V335,0)=1,MAX($D$16,IFERROR(L335,MAX($D$16,POWER((ABS(K335)^2)/($I$5*MAX(F335,0.1)^2),1/3)))),IF(IFERROR(AG335,0)=1,MAX($D$16,IFERROR(W335,MAX($D$16,POWER((ABS(K335)^2)/($I$5*MAX(F335,0.1)^2),1/3)))),MAX($D$16,POWER((ABS(K335)^2)/($I$5*MAX(F335,0.1)^2),1/3))))))),MAX($D$16,POWER((ABS(K335)^2)/($I$5*MAX(F335,0.1)^2),1/3)))</f>
        <v>2.3460258516225387</v>
      </c>
      <c r="AI335">
        <f t="shared" ca="1" si="176"/>
        <v>634.77152585162264</v>
      </c>
      <c r="AJ335">
        <f t="shared" ca="1" si="177"/>
        <v>635.94453877743388</v>
      </c>
      <c r="AM335">
        <v>0</v>
      </c>
      <c r="AN335">
        <v>0</v>
      </c>
      <c r="AO335">
        <f t="shared" si="178"/>
        <v>0</v>
      </c>
      <c r="AP335">
        <f t="shared" si="187"/>
        <v>0</v>
      </c>
      <c r="AQ335">
        <f t="shared" ca="1" si="179"/>
        <v>1.0000000000000002</v>
      </c>
      <c r="AR335" t="str">
        <f t="shared" ca="1" si="180"/>
        <v>Supercritical</v>
      </c>
      <c r="AS335">
        <f t="shared" ca="1" si="181"/>
        <v>4.2878699272156737E-3</v>
      </c>
    </row>
    <row r="336" spans="1:45" x14ac:dyDescent="0.35">
      <c r="A336">
        <v>275</v>
      </c>
      <c r="B336">
        <v>273.99599999999998</v>
      </c>
      <c r="C336">
        <v>616314.09299999999</v>
      </c>
      <c r="D336">
        <v>3097677.15</v>
      </c>
      <c r="E336">
        <v>632.42499999999995</v>
      </c>
      <c r="F336">
        <v>4.5270000000000001</v>
      </c>
      <c r="G336">
        <v>0</v>
      </c>
      <c r="H336" t="s">
        <v>154</v>
      </c>
      <c r="I336">
        <v>1.4179999999999999</v>
      </c>
      <c r="J336">
        <f t="shared" si="182"/>
        <v>1</v>
      </c>
      <c r="K336">
        <f t="shared" ca="1" si="183"/>
        <v>50.95</v>
      </c>
      <c r="L336">
        <f t="shared" ca="1" si="184"/>
        <v>2.3460258516225387</v>
      </c>
      <c r="M336">
        <f t="shared" ca="1" si="157"/>
        <v>10.620459030295233</v>
      </c>
      <c r="N336">
        <f t="shared" ca="1" si="158"/>
        <v>1.1520120910653819</v>
      </c>
      <c r="O336">
        <f t="shared" ca="1" si="159"/>
        <v>4.7973444325394352</v>
      </c>
      <c r="P336">
        <f t="shared" ca="1" si="160"/>
        <v>634.77102585162254</v>
      </c>
      <c r="Q336">
        <f t="shared" ca="1" si="161"/>
        <v>635.94403877743378</v>
      </c>
      <c r="R336">
        <f t="shared" ca="1" si="162"/>
        <v>4.2878699272156737E-3</v>
      </c>
      <c r="S336">
        <f t="shared" ca="1" si="163"/>
        <v>1.0000000000000002</v>
      </c>
      <c r="T336">
        <f t="shared" ca="1" si="164"/>
        <v>37.373807161755991</v>
      </c>
      <c r="U336">
        <f t="shared" ca="1" si="185"/>
        <v>-6.560090475090874E-3</v>
      </c>
      <c r="V336">
        <f t="shared" ca="1" si="186"/>
        <v>1</v>
      </c>
      <c r="W336">
        <f t="shared" ca="1" si="165"/>
        <v>2.162083749284641</v>
      </c>
      <c r="X336">
        <f t="shared" ca="1" si="166"/>
        <v>9.7877531330115701</v>
      </c>
      <c r="Y336">
        <f t="shared" ca="1" si="167"/>
        <v>1.1058149260641241</v>
      </c>
      <c r="Z336">
        <f t="shared" ca="1" si="168"/>
        <v>5.2054847836485347</v>
      </c>
      <c r="AA336">
        <f t="shared" ca="1" si="169"/>
        <v>634.5870837492846</v>
      </c>
      <c r="AB336">
        <f t="shared" ca="1" si="170"/>
        <v>635.96817813423854</v>
      </c>
      <c r="AC336">
        <f t="shared" ca="1" si="171"/>
        <v>5.3316498168930488E-3</v>
      </c>
      <c r="AD336">
        <f t="shared" ca="1" si="172"/>
        <v>1.1302913951577114</v>
      </c>
      <c r="AE336">
        <f t="shared" ca="1" si="173"/>
        <v>37.616592782082428</v>
      </c>
      <c r="AF336">
        <f t="shared" ca="1" si="174"/>
        <v>8.0956362132837967E-3</v>
      </c>
      <c r="AG336">
        <f t="shared" ca="1" si="175"/>
        <v>0</v>
      </c>
      <c r="AH336">
        <f ca="1">IFERROR(IF(V32="Supercritical",MAX($D$16,IFERROR(L336,MAX($D$16,POWER((ABS(K336)^2)/($I$5*MAX(F336,0.1)^2),1/3)))),IF(V32="Subcritical",MAX($D$16,IFERROR(W336,MAX($D$16,POWER((ABS(K336)^2)/($I$5*MAX(F336,0.1)^2),1/3)))),IF(AND(IFERROR(V336,0)=1,IFERROR(AG336,0)=1),IF(IFERROR(T336,-1E+99)&gt;=IFERROR(AE336,-1E+99),MAX($D$16,IFERROR(L336,MAX($D$16,POWER((ABS(K336)^2)/($I$5*MAX(F336,0.1)^2),1/3)))),MAX($D$16,IFERROR(W336,MAX($D$16,POWER((ABS(K336)^2)/($I$5*MAX(F336,0.1)^2),1/3))))),IF(IFERROR(V336,0)=1,MAX($D$16,IFERROR(L336,MAX($D$16,POWER((ABS(K336)^2)/($I$5*MAX(F336,0.1)^2),1/3)))),IF(IFERROR(AG336,0)=1,MAX($D$16,IFERROR(W336,MAX($D$16,POWER((ABS(K336)^2)/($I$5*MAX(F336,0.1)^2),1/3)))),MAX($D$16,POWER((ABS(K336)^2)/($I$5*MAX(F336,0.1)^2),1/3))))))),MAX($D$16,POWER((ABS(K336)^2)/($I$5*MAX(F336,0.1)^2),1/3)))</f>
        <v>2.3460258516225387</v>
      </c>
      <c r="AI336">
        <f t="shared" ca="1" si="176"/>
        <v>634.77102585162254</v>
      </c>
      <c r="AJ336">
        <f t="shared" ca="1" si="177"/>
        <v>635.94403877743378</v>
      </c>
      <c r="AM336">
        <v>0</v>
      </c>
      <c r="AN336">
        <v>0</v>
      </c>
      <c r="AO336">
        <f t="shared" si="178"/>
        <v>0</v>
      </c>
      <c r="AP336">
        <f t="shared" si="187"/>
        <v>0</v>
      </c>
      <c r="AQ336">
        <f t="shared" ca="1" si="179"/>
        <v>1.0000000000000002</v>
      </c>
      <c r="AR336" t="str">
        <f t="shared" ca="1" si="180"/>
        <v>Supercritical</v>
      </c>
      <c r="AS336">
        <f t="shared" ca="1" si="181"/>
        <v>4.2878699272156737E-3</v>
      </c>
    </row>
    <row r="337" spans="1:45" x14ac:dyDescent="0.35">
      <c r="A337">
        <v>276</v>
      </c>
      <c r="B337">
        <v>274.99599999999998</v>
      </c>
      <c r="C337">
        <v>616313.40300000005</v>
      </c>
      <c r="D337">
        <v>3097676.426</v>
      </c>
      <c r="E337">
        <v>632.42449999999997</v>
      </c>
      <c r="F337">
        <v>4.5270000000000001</v>
      </c>
      <c r="G337">
        <v>0</v>
      </c>
      <c r="H337" t="s">
        <v>154</v>
      </c>
      <c r="I337">
        <v>1.4179999999999999</v>
      </c>
      <c r="J337">
        <f t="shared" si="182"/>
        <v>1</v>
      </c>
      <c r="K337">
        <f t="shared" ca="1" si="183"/>
        <v>50.95</v>
      </c>
      <c r="L337">
        <f t="shared" ca="1" si="184"/>
        <v>2.3460258516225387</v>
      </c>
      <c r="M337">
        <f t="shared" ca="1" si="157"/>
        <v>10.620459030295233</v>
      </c>
      <c r="N337">
        <f t="shared" ca="1" si="158"/>
        <v>1.1520120910653819</v>
      </c>
      <c r="O337">
        <f t="shared" ca="1" si="159"/>
        <v>4.7973444325394352</v>
      </c>
      <c r="P337">
        <f t="shared" ca="1" si="160"/>
        <v>634.77052585162255</v>
      </c>
      <c r="Q337">
        <f t="shared" ca="1" si="161"/>
        <v>635.94353877743379</v>
      </c>
      <c r="R337">
        <f t="shared" ca="1" si="162"/>
        <v>4.2878699272156737E-3</v>
      </c>
      <c r="S337">
        <f t="shared" ca="1" si="163"/>
        <v>1.0000000000000002</v>
      </c>
      <c r="T337">
        <f t="shared" ca="1" si="164"/>
        <v>37.373807161755991</v>
      </c>
      <c r="U337">
        <f t="shared" ca="1" si="185"/>
        <v>-6.5600904752045608E-3</v>
      </c>
      <c r="V337">
        <f t="shared" ca="1" si="186"/>
        <v>1</v>
      </c>
      <c r="W337">
        <f t="shared" ca="1" si="165"/>
        <v>2.1607728747963608</v>
      </c>
      <c r="X337">
        <f t="shared" ca="1" si="166"/>
        <v>9.7818188042031249</v>
      </c>
      <c r="Y337">
        <f t="shared" ca="1" si="167"/>
        <v>1.1054719138061031</v>
      </c>
      <c r="Z337">
        <f t="shared" ca="1" si="168"/>
        <v>5.2086427912677573</v>
      </c>
      <c r="AA337">
        <f t="shared" ca="1" si="169"/>
        <v>634.58527287479637</v>
      </c>
      <c r="AB337">
        <f t="shared" ca="1" si="170"/>
        <v>635.96804350308514</v>
      </c>
      <c r="AC337">
        <f t="shared" ca="1" si="171"/>
        <v>5.3403294471383441E-3</v>
      </c>
      <c r="AD337">
        <f t="shared" ca="1" si="172"/>
        <v>1.1313201207144821</v>
      </c>
      <c r="AE337">
        <f t="shared" ca="1" si="173"/>
        <v>37.620167836537163</v>
      </c>
      <c r="AF337">
        <f t="shared" ca="1" si="174"/>
        <v>8.2242393450542295E-3</v>
      </c>
      <c r="AG337">
        <f t="shared" ca="1" si="175"/>
        <v>0</v>
      </c>
      <c r="AH337">
        <f ca="1">IFERROR(IF(V32="Supercritical",MAX($D$16,IFERROR(L337,MAX($D$16,POWER((ABS(K337)^2)/($I$5*MAX(F337,0.1)^2),1/3)))),IF(V32="Subcritical",MAX($D$16,IFERROR(W337,MAX($D$16,POWER((ABS(K337)^2)/($I$5*MAX(F337,0.1)^2),1/3)))),IF(AND(IFERROR(V337,0)=1,IFERROR(AG337,0)=1),IF(IFERROR(T337,-1E+99)&gt;=IFERROR(AE337,-1E+99),MAX($D$16,IFERROR(L337,MAX($D$16,POWER((ABS(K337)^2)/($I$5*MAX(F337,0.1)^2),1/3)))),MAX($D$16,IFERROR(W337,MAX($D$16,POWER((ABS(K337)^2)/($I$5*MAX(F337,0.1)^2),1/3))))),IF(IFERROR(V337,0)=1,MAX($D$16,IFERROR(L337,MAX($D$16,POWER((ABS(K337)^2)/($I$5*MAX(F337,0.1)^2),1/3)))),IF(IFERROR(AG337,0)=1,MAX($D$16,IFERROR(W337,MAX($D$16,POWER((ABS(K337)^2)/($I$5*MAX(F337,0.1)^2),1/3)))),MAX($D$16,POWER((ABS(K337)^2)/($I$5*MAX(F337,0.1)^2),1/3))))))),MAX($D$16,POWER((ABS(K337)^2)/($I$5*MAX(F337,0.1)^2),1/3)))</f>
        <v>2.3460258516225387</v>
      </c>
      <c r="AI337">
        <f t="shared" ca="1" si="176"/>
        <v>634.77052585162255</v>
      </c>
      <c r="AJ337">
        <f t="shared" ca="1" si="177"/>
        <v>635.94353877743379</v>
      </c>
      <c r="AM337">
        <v>0</v>
      </c>
      <c r="AN337">
        <v>0</v>
      </c>
      <c r="AO337">
        <f t="shared" si="178"/>
        <v>0</v>
      </c>
      <c r="AP337">
        <f t="shared" si="187"/>
        <v>0</v>
      </c>
      <c r="AQ337">
        <f t="shared" ca="1" si="179"/>
        <v>1.0000000000000002</v>
      </c>
      <c r="AR337" t="str">
        <f t="shared" ca="1" si="180"/>
        <v>Supercritical</v>
      </c>
      <c r="AS337">
        <f t="shared" ca="1" si="181"/>
        <v>4.2878699272156737E-3</v>
      </c>
    </row>
    <row r="338" spans="1:45" x14ac:dyDescent="0.35">
      <c r="A338">
        <v>277</v>
      </c>
      <c r="B338">
        <v>275.99700000000001</v>
      </c>
      <c r="C338">
        <v>616312.73100000003</v>
      </c>
      <c r="D338">
        <v>3097675.6850000001</v>
      </c>
      <c r="E338">
        <v>632.42399999999998</v>
      </c>
      <c r="F338">
        <v>4.5270000000000001</v>
      </c>
      <c r="G338">
        <v>0</v>
      </c>
      <c r="H338" t="s">
        <v>154</v>
      </c>
      <c r="I338">
        <v>1.466</v>
      </c>
      <c r="J338">
        <f t="shared" si="182"/>
        <v>1.0010000000000332</v>
      </c>
      <c r="K338">
        <f t="shared" ca="1" si="183"/>
        <v>50.95</v>
      </c>
      <c r="L338">
        <f t="shared" ca="1" si="184"/>
        <v>2.3460258516225387</v>
      </c>
      <c r="M338">
        <f t="shared" ca="1" si="157"/>
        <v>10.620459030295233</v>
      </c>
      <c r="N338">
        <f t="shared" ca="1" si="158"/>
        <v>1.1520120910653819</v>
      </c>
      <c r="O338">
        <f t="shared" ca="1" si="159"/>
        <v>4.7973444325394352</v>
      </c>
      <c r="P338">
        <f t="shared" ca="1" si="160"/>
        <v>634.77002585162256</v>
      </c>
      <c r="Q338">
        <f t="shared" ca="1" si="161"/>
        <v>635.9430387774338</v>
      </c>
      <c r="R338">
        <f t="shared" ca="1" si="162"/>
        <v>4.2878699272156737E-3</v>
      </c>
      <c r="S338">
        <f t="shared" ca="1" si="163"/>
        <v>1.0000000000000002</v>
      </c>
      <c r="T338">
        <f t="shared" ca="1" si="164"/>
        <v>37.373807161755991</v>
      </c>
      <c r="U338">
        <f t="shared" ca="1" si="185"/>
        <v>-6.6582193792328326E-3</v>
      </c>
      <c r="V338">
        <f t="shared" ca="1" si="186"/>
        <v>1</v>
      </c>
      <c r="W338">
        <f t="shared" ca="1" si="165"/>
        <v>2.1594051568158465</v>
      </c>
      <c r="X338">
        <f t="shared" ca="1" si="166"/>
        <v>9.7756271449053376</v>
      </c>
      <c r="Y338">
        <f t="shared" ca="1" si="167"/>
        <v>1.1051138107540883</v>
      </c>
      <c r="Z338">
        <f t="shared" ca="1" si="168"/>
        <v>5.2119418268272524</v>
      </c>
      <c r="AA338">
        <f t="shared" ca="1" si="169"/>
        <v>634.58340515681584</v>
      </c>
      <c r="AB338">
        <f t="shared" ca="1" si="170"/>
        <v>635.96792797058913</v>
      </c>
      <c r="AC338">
        <f t="shared" ca="1" si="171"/>
        <v>5.3494068436119912E-3</v>
      </c>
      <c r="AD338">
        <f t="shared" ca="1" si="172"/>
        <v>1.1323951194360962</v>
      </c>
      <c r="AE338">
        <f t="shared" ca="1" si="173"/>
        <v>37.623927436034009</v>
      </c>
      <c r="AF338">
        <f t="shared" ca="1" si="174"/>
        <v>8.1138388153476626E-3</v>
      </c>
      <c r="AG338">
        <f t="shared" ca="1" si="175"/>
        <v>0</v>
      </c>
      <c r="AH338">
        <f ca="1">IFERROR(IF(V32="Supercritical",MAX($D$16,IFERROR(L338,MAX($D$16,POWER((ABS(K338)^2)/($I$5*MAX(F338,0.1)^2),1/3)))),IF(V32="Subcritical",MAX($D$16,IFERROR(W338,MAX($D$16,POWER((ABS(K338)^2)/($I$5*MAX(F338,0.1)^2),1/3)))),IF(AND(IFERROR(V338,0)=1,IFERROR(AG338,0)=1),IF(IFERROR(T338,-1E+99)&gt;=IFERROR(AE338,-1E+99),MAX($D$16,IFERROR(L338,MAX($D$16,POWER((ABS(K338)^2)/($I$5*MAX(F338,0.1)^2),1/3)))),MAX($D$16,IFERROR(W338,MAX($D$16,POWER((ABS(K338)^2)/($I$5*MAX(F338,0.1)^2),1/3))))),IF(IFERROR(V338,0)=1,MAX($D$16,IFERROR(L338,MAX($D$16,POWER((ABS(K338)^2)/($I$5*MAX(F338,0.1)^2),1/3)))),IF(IFERROR(AG338,0)=1,MAX($D$16,IFERROR(W338,MAX($D$16,POWER((ABS(K338)^2)/($I$5*MAX(F338,0.1)^2),1/3)))),MAX($D$16,POWER((ABS(K338)^2)/($I$5*MAX(F338,0.1)^2),1/3))))))),MAX($D$16,POWER((ABS(K338)^2)/($I$5*MAX(F338,0.1)^2),1/3)))</f>
        <v>2.3460258516225387</v>
      </c>
      <c r="AI338">
        <f t="shared" ca="1" si="176"/>
        <v>634.77002585162256</v>
      </c>
      <c r="AJ338">
        <f t="shared" ca="1" si="177"/>
        <v>635.9430387774338</v>
      </c>
      <c r="AM338">
        <v>0</v>
      </c>
      <c r="AN338">
        <v>0</v>
      </c>
      <c r="AO338">
        <f t="shared" si="178"/>
        <v>0</v>
      </c>
      <c r="AP338">
        <f t="shared" si="187"/>
        <v>0</v>
      </c>
      <c r="AQ338">
        <f t="shared" ca="1" si="179"/>
        <v>1.0000000000000002</v>
      </c>
      <c r="AR338" t="str">
        <f t="shared" ca="1" si="180"/>
        <v>Supercritical</v>
      </c>
      <c r="AS338">
        <f t="shared" ca="1" si="181"/>
        <v>4.2878699272156737E-3</v>
      </c>
    </row>
    <row r="339" spans="1:45" x14ac:dyDescent="0.35">
      <c r="A339">
        <v>278</v>
      </c>
      <c r="B339">
        <v>276.99599999999998</v>
      </c>
      <c r="C339">
        <v>616312.07900000003</v>
      </c>
      <c r="D339">
        <v>3097674.9279999998</v>
      </c>
      <c r="E339">
        <v>632.42349999999999</v>
      </c>
      <c r="F339">
        <v>4.5270000000000001</v>
      </c>
      <c r="G339">
        <v>0</v>
      </c>
      <c r="H339" t="s">
        <v>154</v>
      </c>
      <c r="I339">
        <v>1.417</v>
      </c>
      <c r="J339">
        <f t="shared" si="182"/>
        <v>0.9989999999999668</v>
      </c>
      <c r="K339">
        <f t="shared" ca="1" si="183"/>
        <v>50.95</v>
      </c>
      <c r="L339">
        <f t="shared" ca="1" si="184"/>
        <v>2.3460258516225387</v>
      </c>
      <c r="M339">
        <f t="shared" ca="1" si="157"/>
        <v>10.620459030295233</v>
      </c>
      <c r="N339">
        <f t="shared" ca="1" si="158"/>
        <v>1.1520120910653819</v>
      </c>
      <c r="O339">
        <f t="shared" ca="1" si="159"/>
        <v>4.7973444325394352</v>
      </c>
      <c r="P339">
        <f t="shared" ca="1" si="160"/>
        <v>634.76952585162257</v>
      </c>
      <c r="Q339">
        <f t="shared" ca="1" si="161"/>
        <v>635.94253877743381</v>
      </c>
      <c r="R339">
        <f t="shared" ca="1" si="162"/>
        <v>4.2878699272156737E-3</v>
      </c>
      <c r="S339">
        <f t="shared" ca="1" si="163"/>
        <v>1.0000000000000002</v>
      </c>
      <c r="T339">
        <f t="shared" ca="1" si="164"/>
        <v>37.373807161755991</v>
      </c>
      <c r="U339">
        <f t="shared" ca="1" si="185"/>
        <v>-6.5538475837456645E-3</v>
      </c>
      <c r="V339">
        <f t="shared" ca="1" si="186"/>
        <v>1</v>
      </c>
      <c r="W339">
        <f t="shared" ca="1" si="165"/>
        <v>2.1579784016280303</v>
      </c>
      <c r="X339">
        <f t="shared" ca="1" si="166"/>
        <v>9.7691682241700928</v>
      </c>
      <c r="Y339">
        <f t="shared" ca="1" si="167"/>
        <v>1.1047400141741042</v>
      </c>
      <c r="Z339">
        <f t="shared" ca="1" si="168"/>
        <v>5.2153877209262909</v>
      </c>
      <c r="AA339">
        <f t="shared" ca="1" si="169"/>
        <v>634.58147840162803</v>
      </c>
      <c r="AB339">
        <f t="shared" ca="1" si="170"/>
        <v>635.96783258509333</v>
      </c>
      <c r="AC339">
        <f t="shared" ca="1" si="171"/>
        <v>5.3588994157262758E-3</v>
      </c>
      <c r="AD339">
        <f t="shared" ca="1" si="172"/>
        <v>1.1335183357034455</v>
      </c>
      <c r="AE339">
        <f t="shared" ca="1" si="173"/>
        <v>37.627881487923474</v>
      </c>
      <c r="AF339">
        <f t="shared" ca="1" si="174"/>
        <v>8.1676647336053065E-3</v>
      </c>
      <c r="AG339">
        <f t="shared" ca="1" si="175"/>
        <v>0</v>
      </c>
      <c r="AH339">
        <f ca="1">IFERROR(IF(V32="Supercritical",MAX($D$16,IFERROR(L339,MAX($D$16,POWER((ABS(K339)^2)/($I$5*MAX(F339,0.1)^2),1/3)))),IF(V32="Subcritical",MAX($D$16,IFERROR(W339,MAX($D$16,POWER((ABS(K339)^2)/($I$5*MAX(F339,0.1)^2),1/3)))),IF(AND(IFERROR(V339,0)=1,IFERROR(AG339,0)=1),IF(IFERROR(T339,-1E+99)&gt;=IFERROR(AE339,-1E+99),MAX($D$16,IFERROR(L339,MAX($D$16,POWER((ABS(K339)^2)/($I$5*MAX(F339,0.1)^2),1/3)))),MAX($D$16,IFERROR(W339,MAX($D$16,POWER((ABS(K339)^2)/($I$5*MAX(F339,0.1)^2),1/3))))),IF(IFERROR(V339,0)=1,MAX($D$16,IFERROR(L339,MAX($D$16,POWER((ABS(K339)^2)/($I$5*MAX(F339,0.1)^2),1/3)))),IF(IFERROR(AG339,0)=1,MAX($D$16,IFERROR(W339,MAX($D$16,POWER((ABS(K339)^2)/($I$5*MAX(F339,0.1)^2),1/3)))),MAX($D$16,POWER((ABS(K339)^2)/($I$5*MAX(F339,0.1)^2),1/3))))))),MAX($D$16,POWER((ABS(K339)^2)/($I$5*MAX(F339,0.1)^2),1/3)))</f>
        <v>2.3460258516225387</v>
      </c>
      <c r="AI339">
        <f t="shared" ca="1" si="176"/>
        <v>634.76952585162257</v>
      </c>
      <c r="AJ339">
        <f t="shared" ca="1" si="177"/>
        <v>635.94253877743381</v>
      </c>
      <c r="AM339">
        <v>0</v>
      </c>
      <c r="AN339">
        <v>0</v>
      </c>
      <c r="AO339">
        <f t="shared" si="178"/>
        <v>0</v>
      </c>
      <c r="AP339">
        <f t="shared" si="187"/>
        <v>0</v>
      </c>
      <c r="AQ339">
        <f t="shared" ca="1" si="179"/>
        <v>1.0000000000000002</v>
      </c>
      <c r="AR339" t="str">
        <f t="shared" ca="1" si="180"/>
        <v>Supercritical</v>
      </c>
      <c r="AS339">
        <f t="shared" ca="1" si="181"/>
        <v>4.2878699272156737E-3</v>
      </c>
    </row>
    <row r="340" spans="1:45" x14ac:dyDescent="0.35">
      <c r="A340">
        <v>279</v>
      </c>
      <c r="B340">
        <v>277.99599999999998</v>
      </c>
      <c r="C340">
        <v>616311.44499999995</v>
      </c>
      <c r="D340">
        <v>3097674.1540000001</v>
      </c>
      <c r="E340">
        <v>632.423</v>
      </c>
      <c r="F340">
        <v>4.5270000000000001</v>
      </c>
      <c r="G340">
        <v>0</v>
      </c>
      <c r="H340" t="s">
        <v>154</v>
      </c>
      <c r="I340">
        <v>1.4319999999999999</v>
      </c>
      <c r="J340">
        <f t="shared" si="182"/>
        <v>1</v>
      </c>
      <c r="K340">
        <f t="shared" ca="1" si="183"/>
        <v>50.95</v>
      </c>
      <c r="L340">
        <f t="shared" ca="1" si="184"/>
        <v>2.3460258516225387</v>
      </c>
      <c r="M340">
        <f t="shared" ca="1" si="157"/>
        <v>10.620459030295233</v>
      </c>
      <c r="N340">
        <f t="shared" ca="1" si="158"/>
        <v>1.1520120910653819</v>
      </c>
      <c r="O340">
        <f t="shared" ca="1" si="159"/>
        <v>4.7973444325394352</v>
      </c>
      <c r="P340">
        <f t="shared" ca="1" si="160"/>
        <v>634.76902585162259</v>
      </c>
      <c r="Q340">
        <f t="shared" ca="1" si="161"/>
        <v>635.94203877743382</v>
      </c>
      <c r="R340">
        <f t="shared" ca="1" si="162"/>
        <v>4.2878699272156737E-3</v>
      </c>
      <c r="S340">
        <f t="shared" ca="1" si="163"/>
        <v>1.0000000000000002</v>
      </c>
      <c r="T340">
        <f t="shared" ca="1" si="164"/>
        <v>37.373807161755991</v>
      </c>
      <c r="U340">
        <f t="shared" ca="1" si="185"/>
        <v>-6.5874607768137139E-3</v>
      </c>
      <c r="V340">
        <f t="shared" ca="1" si="186"/>
        <v>1</v>
      </c>
      <c r="W340">
        <f t="shared" ca="1" si="165"/>
        <v>2.1564903567902594</v>
      </c>
      <c r="X340">
        <f t="shared" ca="1" si="166"/>
        <v>9.7624318451895036</v>
      </c>
      <c r="Y340">
        <f t="shared" ca="1" si="167"/>
        <v>1.1043499031838224</v>
      </c>
      <c r="Z340">
        <f t="shared" ca="1" si="168"/>
        <v>5.2189864992610335</v>
      </c>
      <c r="AA340">
        <f t="shared" ca="1" si="169"/>
        <v>634.5794903567903</v>
      </c>
      <c r="AB340">
        <f t="shared" ca="1" si="170"/>
        <v>635.96775845462253</v>
      </c>
      <c r="AC340">
        <f t="shared" ca="1" si="171"/>
        <v>5.3688252499684078E-3</v>
      </c>
      <c r="AD340">
        <f t="shared" ca="1" si="172"/>
        <v>1.13469178197631</v>
      </c>
      <c r="AE340">
        <f t="shared" ca="1" si="173"/>
        <v>37.632040442363277</v>
      </c>
      <c r="AF340">
        <f t="shared" ca="1" si="174"/>
        <v>8.0780383361798158E-3</v>
      </c>
      <c r="AG340">
        <f t="shared" ca="1" si="175"/>
        <v>0</v>
      </c>
      <c r="AH340">
        <f ca="1">IFERROR(IF(V32="Supercritical",MAX($D$16,IFERROR(L340,MAX($D$16,POWER((ABS(K340)^2)/($I$5*MAX(F340,0.1)^2),1/3)))),IF(V32="Subcritical",MAX($D$16,IFERROR(W340,MAX($D$16,POWER((ABS(K340)^2)/($I$5*MAX(F340,0.1)^2),1/3)))),IF(AND(IFERROR(V340,0)=1,IFERROR(AG340,0)=1),IF(IFERROR(T340,-1E+99)&gt;=IFERROR(AE340,-1E+99),MAX($D$16,IFERROR(L340,MAX($D$16,POWER((ABS(K340)^2)/($I$5*MAX(F340,0.1)^2),1/3)))),MAX($D$16,IFERROR(W340,MAX($D$16,POWER((ABS(K340)^2)/($I$5*MAX(F340,0.1)^2),1/3))))),IF(IFERROR(V340,0)=1,MAX($D$16,IFERROR(L340,MAX($D$16,POWER((ABS(K340)^2)/($I$5*MAX(F340,0.1)^2),1/3)))),IF(IFERROR(AG340,0)=1,MAX($D$16,IFERROR(W340,MAX($D$16,POWER((ABS(K340)^2)/($I$5*MAX(F340,0.1)^2),1/3)))),MAX($D$16,POWER((ABS(K340)^2)/($I$5*MAX(F340,0.1)^2),1/3))))))),MAX($D$16,POWER((ABS(K340)^2)/($I$5*MAX(F340,0.1)^2),1/3)))</f>
        <v>2.3460258516225387</v>
      </c>
      <c r="AI340">
        <f t="shared" ca="1" si="176"/>
        <v>634.76902585162259</v>
      </c>
      <c r="AJ340">
        <f t="shared" ca="1" si="177"/>
        <v>635.94203877743382</v>
      </c>
      <c r="AM340">
        <v>0</v>
      </c>
      <c r="AN340">
        <v>0</v>
      </c>
      <c r="AO340">
        <f t="shared" si="178"/>
        <v>0</v>
      </c>
      <c r="AP340">
        <f t="shared" si="187"/>
        <v>0</v>
      </c>
      <c r="AQ340">
        <f t="shared" ca="1" si="179"/>
        <v>1.0000000000000002</v>
      </c>
      <c r="AR340" t="str">
        <f t="shared" ca="1" si="180"/>
        <v>Supercritical</v>
      </c>
      <c r="AS340">
        <f t="shared" ca="1" si="181"/>
        <v>4.2878699272156737E-3</v>
      </c>
    </row>
    <row r="341" spans="1:45" x14ac:dyDescent="0.35">
      <c r="A341">
        <v>280</v>
      </c>
      <c r="B341">
        <v>278.99599999999998</v>
      </c>
      <c r="C341">
        <v>616310.83100000001</v>
      </c>
      <c r="D341">
        <v>3097673.3650000002</v>
      </c>
      <c r="E341">
        <v>632.42250000000001</v>
      </c>
      <c r="F341">
        <v>4.5270000000000001</v>
      </c>
      <c r="G341">
        <v>0</v>
      </c>
      <c r="H341" t="s">
        <v>154</v>
      </c>
      <c r="I341">
        <v>1.387</v>
      </c>
      <c r="J341">
        <f t="shared" si="182"/>
        <v>1</v>
      </c>
      <c r="K341">
        <f t="shared" ca="1" si="183"/>
        <v>50.95</v>
      </c>
      <c r="L341">
        <f t="shared" ca="1" si="184"/>
        <v>2.3460258516225387</v>
      </c>
      <c r="M341">
        <f t="shared" ca="1" si="157"/>
        <v>10.620459030295233</v>
      </c>
      <c r="N341">
        <f t="shared" ca="1" si="158"/>
        <v>1.1520120910653819</v>
      </c>
      <c r="O341">
        <f t="shared" ca="1" si="159"/>
        <v>4.7973444325394352</v>
      </c>
      <c r="P341">
        <f t="shared" ca="1" si="160"/>
        <v>634.7685258516226</v>
      </c>
      <c r="Q341">
        <f t="shared" ca="1" si="161"/>
        <v>635.94153877743383</v>
      </c>
      <c r="R341">
        <f t="shared" ca="1" si="162"/>
        <v>4.2878699272156737E-3</v>
      </c>
      <c r="S341">
        <f t="shared" ca="1" si="163"/>
        <v>1.0000000000000002</v>
      </c>
      <c r="T341">
        <f t="shared" ca="1" si="164"/>
        <v>37.373807161755991</v>
      </c>
      <c r="U341">
        <f t="shared" ca="1" si="185"/>
        <v>-6.4994848073638423E-3</v>
      </c>
      <c r="V341">
        <f t="shared" ca="1" si="186"/>
        <v>1</v>
      </c>
      <c r="W341">
        <f t="shared" ca="1" si="165"/>
        <v>2.1549387121939492</v>
      </c>
      <c r="X341">
        <f t="shared" ca="1" si="166"/>
        <v>9.7554075501020083</v>
      </c>
      <c r="Y341">
        <f t="shared" ca="1" si="167"/>
        <v>1.1039428388108181</v>
      </c>
      <c r="Z341">
        <f t="shared" ca="1" si="168"/>
        <v>5.2227443844175676</v>
      </c>
      <c r="AA341">
        <f t="shared" ca="1" si="169"/>
        <v>634.57743871219395</v>
      </c>
      <c r="AB341">
        <f t="shared" ca="1" si="170"/>
        <v>635.96770675016364</v>
      </c>
      <c r="AC341">
        <f t="shared" ca="1" si="171"/>
        <v>5.379203127029073E-3</v>
      </c>
      <c r="AD341">
        <f t="shared" ca="1" si="172"/>
        <v>1.1359175397602941</v>
      </c>
      <c r="AE341">
        <f t="shared" ca="1" si="173"/>
        <v>37.636415320021932</v>
      </c>
      <c r="AF341">
        <f t="shared" ca="1" si="174"/>
        <v>8.3038967272841546E-3</v>
      </c>
      <c r="AG341">
        <f t="shared" ca="1" si="175"/>
        <v>0</v>
      </c>
      <c r="AH341">
        <f ca="1">IFERROR(IF(V32="Supercritical",MAX($D$16,IFERROR(L341,MAX($D$16,POWER((ABS(K341)^2)/($I$5*MAX(F341,0.1)^2),1/3)))),IF(V32="Subcritical",MAX($D$16,IFERROR(W341,MAX($D$16,POWER((ABS(K341)^2)/($I$5*MAX(F341,0.1)^2),1/3)))),IF(AND(IFERROR(V341,0)=1,IFERROR(AG341,0)=1),IF(IFERROR(T341,-1E+99)&gt;=IFERROR(AE341,-1E+99),MAX($D$16,IFERROR(L341,MAX($D$16,POWER((ABS(K341)^2)/($I$5*MAX(F341,0.1)^2),1/3)))),MAX($D$16,IFERROR(W341,MAX($D$16,POWER((ABS(K341)^2)/($I$5*MAX(F341,0.1)^2),1/3))))),IF(IFERROR(V341,0)=1,MAX($D$16,IFERROR(L341,MAX($D$16,POWER((ABS(K341)^2)/($I$5*MAX(F341,0.1)^2),1/3)))),IF(IFERROR(AG341,0)=1,MAX($D$16,IFERROR(W341,MAX($D$16,POWER((ABS(K341)^2)/($I$5*MAX(F341,0.1)^2),1/3)))),MAX($D$16,POWER((ABS(K341)^2)/($I$5*MAX(F341,0.1)^2),1/3))))))),MAX($D$16,POWER((ABS(K341)^2)/($I$5*MAX(F341,0.1)^2),1/3)))</f>
        <v>2.3460258516225387</v>
      </c>
      <c r="AI341">
        <f t="shared" ca="1" si="176"/>
        <v>634.7685258516226</v>
      </c>
      <c r="AJ341">
        <f t="shared" ca="1" si="177"/>
        <v>635.94153877743383</v>
      </c>
      <c r="AM341">
        <v>0</v>
      </c>
      <c r="AN341">
        <v>0</v>
      </c>
      <c r="AO341">
        <f t="shared" si="178"/>
        <v>0</v>
      </c>
      <c r="AP341">
        <f t="shared" si="187"/>
        <v>0</v>
      </c>
      <c r="AQ341">
        <f t="shared" ca="1" si="179"/>
        <v>1.0000000000000002</v>
      </c>
      <c r="AR341" t="str">
        <f t="shared" ca="1" si="180"/>
        <v>Supercritical</v>
      </c>
      <c r="AS341">
        <f t="shared" ca="1" si="181"/>
        <v>4.2878699272156737E-3</v>
      </c>
    </row>
    <row r="342" spans="1:45" x14ac:dyDescent="0.35">
      <c r="A342">
        <v>281</v>
      </c>
      <c r="B342">
        <v>279.99599999999998</v>
      </c>
      <c r="C342">
        <v>616310.23600000003</v>
      </c>
      <c r="D342">
        <v>3097672.5610000002</v>
      </c>
      <c r="E342">
        <v>632.42200000000003</v>
      </c>
      <c r="F342">
        <v>4.5270000000000001</v>
      </c>
      <c r="G342">
        <v>0</v>
      </c>
      <c r="H342" t="s">
        <v>154</v>
      </c>
      <c r="I342">
        <v>1.478</v>
      </c>
      <c r="J342">
        <f t="shared" si="182"/>
        <v>1</v>
      </c>
      <c r="K342">
        <f t="shared" ca="1" si="183"/>
        <v>50.95</v>
      </c>
      <c r="L342">
        <f t="shared" ca="1" si="184"/>
        <v>2.3460258516225387</v>
      </c>
      <c r="M342">
        <f t="shared" ca="1" si="157"/>
        <v>10.620459030295233</v>
      </c>
      <c r="N342">
        <f t="shared" ca="1" si="158"/>
        <v>1.1520120910653819</v>
      </c>
      <c r="O342">
        <f t="shared" ca="1" si="159"/>
        <v>4.7973444325394352</v>
      </c>
      <c r="P342">
        <f t="shared" ca="1" si="160"/>
        <v>634.76802585162261</v>
      </c>
      <c r="Q342">
        <f t="shared" ca="1" si="161"/>
        <v>635.94103877743385</v>
      </c>
      <c r="R342">
        <f t="shared" ca="1" si="162"/>
        <v>4.2878699272156737E-3</v>
      </c>
      <c r="S342">
        <f t="shared" ca="1" si="163"/>
        <v>1.0000000000000002</v>
      </c>
      <c r="T342">
        <f t="shared" ca="1" si="164"/>
        <v>37.373807161755991</v>
      </c>
      <c r="U342">
        <f t="shared" ca="1" si="185"/>
        <v>-6.677391767766494E-3</v>
      </c>
      <c r="V342">
        <f t="shared" ca="1" si="186"/>
        <v>1</v>
      </c>
      <c r="W342">
        <f t="shared" ca="1" si="165"/>
        <v>2.1533211014700773</v>
      </c>
      <c r="X342">
        <f t="shared" ca="1" si="166"/>
        <v>9.7480846263550394</v>
      </c>
      <c r="Y342">
        <f t="shared" ca="1" si="167"/>
        <v>1.103518164128328</v>
      </c>
      <c r="Z342">
        <f t="shared" ca="1" si="168"/>
        <v>5.2266677971025164</v>
      </c>
      <c r="AA342">
        <f t="shared" ca="1" si="169"/>
        <v>634.57532110147008</v>
      </c>
      <c r="AB342">
        <f t="shared" ca="1" si="170"/>
        <v>635.96767870907809</v>
      </c>
      <c r="AC342">
        <f t="shared" ca="1" si="171"/>
        <v>5.3900525382525339E-3</v>
      </c>
      <c r="AD342">
        <f t="shared" ca="1" si="172"/>
        <v>1.1371977604163861</v>
      </c>
      <c r="AE342">
        <f t="shared" ca="1" si="173"/>
        <v>37.641017740646753</v>
      </c>
      <c r="AF342">
        <f t="shared" ca="1" si="174"/>
        <v>8.245634372542554E-3</v>
      </c>
      <c r="AG342">
        <f t="shared" ca="1" si="175"/>
        <v>0</v>
      </c>
      <c r="AH342">
        <f ca="1">IFERROR(IF(V32="Supercritical",MAX($D$16,IFERROR(L342,MAX($D$16,POWER((ABS(K342)^2)/($I$5*MAX(F342,0.1)^2),1/3)))),IF(V32="Subcritical",MAX($D$16,IFERROR(W342,MAX($D$16,POWER((ABS(K342)^2)/($I$5*MAX(F342,0.1)^2),1/3)))),IF(AND(IFERROR(V342,0)=1,IFERROR(AG342,0)=1),IF(IFERROR(T342,-1E+99)&gt;=IFERROR(AE342,-1E+99),MAX($D$16,IFERROR(L342,MAX($D$16,POWER((ABS(K342)^2)/($I$5*MAX(F342,0.1)^2),1/3)))),MAX($D$16,IFERROR(W342,MAX($D$16,POWER((ABS(K342)^2)/($I$5*MAX(F342,0.1)^2),1/3))))),IF(IFERROR(V342,0)=1,MAX($D$16,IFERROR(L342,MAX($D$16,POWER((ABS(K342)^2)/($I$5*MAX(F342,0.1)^2),1/3)))),IF(IFERROR(AG342,0)=1,MAX($D$16,IFERROR(W342,MAX($D$16,POWER((ABS(K342)^2)/($I$5*MAX(F342,0.1)^2),1/3)))),MAX($D$16,POWER((ABS(K342)^2)/($I$5*MAX(F342,0.1)^2),1/3))))))),MAX($D$16,POWER((ABS(K342)^2)/($I$5*MAX(F342,0.1)^2),1/3)))</f>
        <v>2.3460258516225387</v>
      </c>
      <c r="AI342">
        <f t="shared" ca="1" si="176"/>
        <v>634.76802585162261</v>
      </c>
      <c r="AJ342">
        <f t="shared" ca="1" si="177"/>
        <v>635.94103877743385</v>
      </c>
      <c r="AM342">
        <v>0</v>
      </c>
      <c r="AN342">
        <v>0</v>
      </c>
      <c r="AO342">
        <f t="shared" si="178"/>
        <v>0</v>
      </c>
      <c r="AP342">
        <f t="shared" si="187"/>
        <v>0</v>
      </c>
      <c r="AQ342">
        <f t="shared" ca="1" si="179"/>
        <v>1.0000000000000002</v>
      </c>
      <c r="AR342" t="str">
        <f t="shared" ca="1" si="180"/>
        <v>Supercritical</v>
      </c>
      <c r="AS342">
        <f t="shared" ca="1" si="181"/>
        <v>4.2878699272156737E-3</v>
      </c>
    </row>
    <row r="343" spans="1:45" x14ac:dyDescent="0.35">
      <c r="A343">
        <v>282</v>
      </c>
      <c r="B343">
        <v>280.99599999999998</v>
      </c>
      <c r="C343">
        <v>616309.66200000001</v>
      </c>
      <c r="D343">
        <v>3097671.7420000001</v>
      </c>
      <c r="E343">
        <v>632.42150000000004</v>
      </c>
      <c r="F343">
        <v>4.5270000000000001</v>
      </c>
      <c r="G343">
        <v>0</v>
      </c>
      <c r="H343" t="s">
        <v>154</v>
      </c>
      <c r="I343">
        <v>1.446</v>
      </c>
      <c r="J343">
        <f t="shared" si="182"/>
        <v>1</v>
      </c>
      <c r="K343">
        <f t="shared" ca="1" si="183"/>
        <v>50.95</v>
      </c>
      <c r="L343">
        <f t="shared" ca="1" si="184"/>
        <v>2.3460258516225387</v>
      </c>
      <c r="M343">
        <f t="shared" ca="1" si="157"/>
        <v>10.620459030295233</v>
      </c>
      <c r="N343">
        <f t="shared" ca="1" si="158"/>
        <v>1.1520120910653819</v>
      </c>
      <c r="O343">
        <f t="shared" ca="1" si="159"/>
        <v>4.7973444325394352</v>
      </c>
      <c r="P343">
        <f t="shared" ca="1" si="160"/>
        <v>634.76752585162262</v>
      </c>
      <c r="Q343">
        <f t="shared" ca="1" si="161"/>
        <v>635.94053877743386</v>
      </c>
      <c r="R343">
        <f t="shared" ca="1" si="162"/>
        <v>4.2878699272156737E-3</v>
      </c>
      <c r="S343">
        <f t="shared" ca="1" si="163"/>
        <v>1.0000000000000002</v>
      </c>
      <c r="T343">
        <f t="shared" ca="1" si="164"/>
        <v>37.373807161755991</v>
      </c>
      <c r="U343">
        <f t="shared" ca="1" si="185"/>
        <v>-6.614831078422867E-3</v>
      </c>
      <c r="V343">
        <f t="shared" ca="1" si="186"/>
        <v>1</v>
      </c>
      <c r="W343">
        <f t="shared" ca="1" si="165"/>
        <v>2.151635103772775</v>
      </c>
      <c r="X343">
        <f t="shared" ca="1" si="166"/>
        <v>9.7404521147793535</v>
      </c>
      <c r="Y343">
        <f t="shared" ca="1" si="167"/>
        <v>1.1030752044774401</v>
      </c>
      <c r="Z343">
        <f t="shared" ca="1" si="168"/>
        <v>5.2307633567329699</v>
      </c>
      <c r="AA343">
        <f t="shared" ca="1" si="169"/>
        <v>634.57313510377276</v>
      </c>
      <c r="AB343">
        <f t="shared" ca="1" si="170"/>
        <v>635.96767563864228</v>
      </c>
      <c r="AC343">
        <f t="shared" ca="1" si="171"/>
        <v>5.4013937012295978E-3</v>
      </c>
      <c r="AD343">
        <f t="shared" ca="1" si="172"/>
        <v>1.1385346657885145</v>
      </c>
      <c r="AE343">
        <f t="shared" ca="1" si="173"/>
        <v>37.645859952419578</v>
      </c>
      <c r="AF343">
        <f t="shared" ca="1" si="174"/>
        <v>-0.14542475005225697</v>
      </c>
      <c r="AG343">
        <f t="shared" ca="1" si="175"/>
        <v>0</v>
      </c>
      <c r="AH343">
        <f ca="1">IFERROR(IF(V32="Supercritical",MAX($D$16,IFERROR(L343,MAX($D$16,POWER((ABS(K343)^2)/($I$5*MAX(F343,0.1)^2),1/3)))),IF(V32="Subcritical",MAX($D$16,IFERROR(W343,MAX($D$16,POWER((ABS(K343)^2)/($I$5*MAX(F343,0.1)^2),1/3)))),IF(AND(IFERROR(V343,0)=1,IFERROR(AG343,0)=1),IF(IFERROR(T343,-1E+99)&gt;=IFERROR(AE343,-1E+99),MAX($D$16,IFERROR(L343,MAX($D$16,POWER((ABS(K343)^2)/($I$5*MAX(F343,0.1)^2),1/3)))),MAX($D$16,IFERROR(W343,MAX($D$16,POWER((ABS(K343)^2)/($I$5*MAX(F343,0.1)^2),1/3))))),IF(IFERROR(V343,0)=1,MAX($D$16,IFERROR(L343,MAX($D$16,POWER((ABS(K343)^2)/($I$5*MAX(F343,0.1)^2),1/3)))),IF(IFERROR(AG343,0)=1,MAX($D$16,IFERROR(W343,MAX($D$16,POWER((ABS(K343)^2)/($I$5*MAX(F343,0.1)^2),1/3)))),MAX($D$16,POWER((ABS(K343)^2)/($I$5*MAX(F343,0.1)^2),1/3))))))),MAX($D$16,POWER((ABS(K343)^2)/($I$5*MAX(F343,0.1)^2),1/3)))</f>
        <v>2.3460258516225387</v>
      </c>
      <c r="AI343">
        <f t="shared" ca="1" si="176"/>
        <v>634.76752585162262</v>
      </c>
      <c r="AJ343">
        <f t="shared" ca="1" si="177"/>
        <v>635.94053877743386</v>
      </c>
      <c r="AM343">
        <v>0</v>
      </c>
      <c r="AN343">
        <v>0</v>
      </c>
      <c r="AO343">
        <f t="shared" si="178"/>
        <v>0</v>
      </c>
      <c r="AP343">
        <f t="shared" si="187"/>
        <v>0</v>
      </c>
      <c r="AQ343">
        <f t="shared" ca="1" si="179"/>
        <v>1.0000000000000002</v>
      </c>
      <c r="AR343" t="str">
        <f t="shared" ca="1" si="180"/>
        <v>Supercritical</v>
      </c>
      <c r="AS343">
        <f t="shared" ca="1" si="181"/>
        <v>4.2878699272156737E-3</v>
      </c>
    </row>
    <row r="344" spans="1:45" x14ac:dyDescent="0.35">
      <c r="A344">
        <v>283</v>
      </c>
      <c r="B344">
        <v>281.99599999999998</v>
      </c>
      <c r="C344">
        <v>616309.10900000005</v>
      </c>
      <c r="D344">
        <v>3097670.909</v>
      </c>
      <c r="E344">
        <v>632.42100000000005</v>
      </c>
      <c r="F344">
        <v>4.93</v>
      </c>
      <c r="G344">
        <v>0</v>
      </c>
      <c r="H344" t="s">
        <v>154</v>
      </c>
      <c r="I344">
        <v>1.415</v>
      </c>
      <c r="J344">
        <f t="shared" si="182"/>
        <v>1</v>
      </c>
      <c r="K344">
        <f t="shared" ca="1" si="183"/>
        <v>50.95</v>
      </c>
      <c r="L344">
        <f t="shared" ca="1" si="184"/>
        <v>2.2163678591954947</v>
      </c>
      <c r="M344">
        <f t="shared" ca="1" si="157"/>
        <v>10.926693545833789</v>
      </c>
      <c r="N344">
        <f t="shared" ca="1" si="158"/>
        <v>1.1670406892262009</v>
      </c>
      <c r="O344">
        <f t="shared" ca="1" si="159"/>
        <v>4.6628927393526656</v>
      </c>
      <c r="P344">
        <f t="shared" ca="1" si="160"/>
        <v>634.63736785919559</v>
      </c>
      <c r="Q344">
        <f t="shared" ca="1" si="161"/>
        <v>635.74555178879336</v>
      </c>
      <c r="R344">
        <f t="shared" ca="1" si="162"/>
        <v>3.9814876375230566E-3</v>
      </c>
      <c r="S344">
        <f t="shared" ca="1" si="163"/>
        <v>1</v>
      </c>
      <c r="T344">
        <f t="shared" ca="1" si="164"/>
        <v>36.326358573397286</v>
      </c>
      <c r="U344">
        <f t="shared" ca="1" si="185"/>
        <v>0.16863725551070274</v>
      </c>
      <c r="V344">
        <f t="shared" ca="1" si="186"/>
        <v>1</v>
      </c>
      <c r="W344">
        <f t="shared" ca="1" si="165"/>
        <v>2.1498782459762871</v>
      </c>
      <c r="X344">
        <f t="shared" ca="1" si="166"/>
        <v>10.598899752663094</v>
      </c>
      <c r="Y344">
        <f t="shared" ca="1" si="167"/>
        <v>1.1483401281392716</v>
      </c>
      <c r="Z344">
        <f t="shared" ca="1" si="168"/>
        <v>4.8071027360361853</v>
      </c>
      <c r="AA344">
        <f t="shared" ca="1" si="169"/>
        <v>634.57087824597636</v>
      </c>
      <c r="AB344">
        <f t="shared" ca="1" si="170"/>
        <v>635.748668088729</v>
      </c>
      <c r="AC344">
        <f t="shared" ca="1" si="171"/>
        <v>4.3236971921569141E-3</v>
      </c>
      <c r="AD344">
        <f t="shared" ca="1" si="172"/>
        <v>1.0467475849119012</v>
      </c>
      <c r="AE344">
        <f t="shared" ca="1" si="173"/>
        <v>36.359724950846797</v>
      </c>
      <c r="AF344">
        <f t="shared" ca="1" si="174"/>
        <v>-7.7014412119410736E-2</v>
      </c>
      <c r="AG344">
        <f t="shared" ca="1" si="175"/>
        <v>0</v>
      </c>
      <c r="AH344">
        <f ca="1">IFERROR(IF(V32="Supercritical",MAX($D$16,IFERROR(L344,MAX($D$16,POWER((ABS(K344)^2)/($I$5*MAX(F344,0.1)^2),1/3)))),IF(V32="Subcritical",MAX($D$16,IFERROR(W344,MAX($D$16,POWER((ABS(K344)^2)/($I$5*MAX(F344,0.1)^2),1/3)))),IF(AND(IFERROR(V344,0)=1,IFERROR(AG344,0)=1),IF(IFERROR(T344,-1E+99)&gt;=IFERROR(AE344,-1E+99),MAX($D$16,IFERROR(L344,MAX($D$16,POWER((ABS(K344)^2)/($I$5*MAX(F344,0.1)^2),1/3)))),MAX($D$16,IFERROR(W344,MAX($D$16,POWER((ABS(K344)^2)/($I$5*MAX(F344,0.1)^2),1/3))))),IF(IFERROR(V344,0)=1,MAX($D$16,IFERROR(L344,MAX($D$16,POWER((ABS(K344)^2)/($I$5*MAX(F344,0.1)^2),1/3)))),IF(IFERROR(AG344,0)=1,MAX($D$16,IFERROR(W344,MAX($D$16,POWER((ABS(K344)^2)/($I$5*MAX(F344,0.1)^2),1/3)))),MAX($D$16,POWER((ABS(K344)^2)/($I$5*MAX(F344,0.1)^2),1/3))))))),MAX($D$16,POWER((ABS(K344)^2)/($I$5*MAX(F344,0.1)^2),1/3)))</f>
        <v>2.2163678591954947</v>
      </c>
      <c r="AI344">
        <f t="shared" ca="1" si="176"/>
        <v>634.63736785919559</v>
      </c>
      <c r="AJ344">
        <f t="shared" ca="1" si="177"/>
        <v>635.74555178879336</v>
      </c>
      <c r="AM344">
        <v>0</v>
      </c>
      <c r="AN344">
        <v>0</v>
      </c>
      <c r="AO344">
        <f t="shared" si="178"/>
        <v>0</v>
      </c>
      <c r="AP344">
        <f t="shared" si="187"/>
        <v>0</v>
      </c>
      <c r="AQ344">
        <f t="shared" ca="1" si="179"/>
        <v>1</v>
      </c>
      <c r="AR344" t="str">
        <f t="shared" ca="1" si="180"/>
        <v>Supercritical</v>
      </c>
      <c r="AS344">
        <f t="shared" ca="1" si="181"/>
        <v>3.9814876375230566E-3</v>
      </c>
    </row>
    <row r="345" spans="1:45" x14ac:dyDescent="0.35">
      <c r="A345">
        <v>284</v>
      </c>
      <c r="B345">
        <v>282.99599999999998</v>
      </c>
      <c r="C345">
        <v>616308.57700000005</v>
      </c>
      <c r="D345">
        <v>3097670.0630000001</v>
      </c>
      <c r="E345">
        <v>632.42049999999995</v>
      </c>
      <c r="F345">
        <v>5.2</v>
      </c>
      <c r="G345">
        <v>0</v>
      </c>
      <c r="H345" t="s">
        <v>154</v>
      </c>
      <c r="I345">
        <v>1.4450000000000001</v>
      </c>
      <c r="J345">
        <f t="shared" si="182"/>
        <v>1</v>
      </c>
      <c r="K345">
        <f t="shared" ca="1" si="183"/>
        <v>50.95</v>
      </c>
      <c r="L345">
        <f t="shared" ca="1" si="184"/>
        <v>2.1389677043987478</v>
      </c>
      <c r="M345">
        <f t="shared" ca="1" si="157"/>
        <v>11.122632062873489</v>
      </c>
      <c r="N345">
        <f t="shared" ca="1" si="158"/>
        <v>1.1735290000551568</v>
      </c>
      <c r="O345">
        <f t="shared" ca="1" si="159"/>
        <v>4.5807502857230418</v>
      </c>
      <c r="P345">
        <f t="shared" ca="1" si="160"/>
        <v>634.55946770439868</v>
      </c>
      <c r="Q345">
        <f t="shared" ca="1" si="161"/>
        <v>635.62895155659805</v>
      </c>
      <c r="R345">
        <f t="shared" ca="1" si="162"/>
        <v>3.8141460404132466E-3</v>
      </c>
      <c r="S345">
        <f t="shared" ca="1" si="163"/>
        <v>1.0000000000000004</v>
      </c>
      <c r="T345">
        <f t="shared" ca="1" si="164"/>
        <v>35.686426155594638</v>
      </c>
      <c r="U345">
        <f t="shared" ca="1" si="185"/>
        <v>9.8423515839726861E-2</v>
      </c>
      <c r="V345">
        <f t="shared" ca="1" si="186"/>
        <v>1</v>
      </c>
      <c r="W345">
        <f t="shared" ca="1" si="165"/>
        <v>2.1480480053235103</v>
      </c>
      <c r="X345">
        <f t="shared" ca="1" si="166"/>
        <v>11.169849627682254</v>
      </c>
      <c r="Y345">
        <f t="shared" ca="1" si="167"/>
        <v>1.1762570234292724</v>
      </c>
      <c r="Z345">
        <f t="shared" ca="1" si="168"/>
        <v>4.5613863837280801</v>
      </c>
      <c r="AA345">
        <f t="shared" ca="1" si="169"/>
        <v>634.56854800532346</v>
      </c>
      <c r="AB345">
        <f t="shared" ca="1" si="170"/>
        <v>635.62900905229901</v>
      </c>
      <c r="AC345">
        <f t="shared" ca="1" si="171"/>
        <v>3.7702770883116881E-3</v>
      </c>
      <c r="AD345">
        <f t="shared" ca="1" si="172"/>
        <v>0.99366585523775863</v>
      </c>
      <c r="AE345">
        <f t="shared" ca="1" si="173"/>
        <v>35.687067467715565</v>
      </c>
      <c r="AF345">
        <f t="shared" ca="1" si="174"/>
        <v>5.71817467175606E-3</v>
      </c>
      <c r="AG345">
        <f t="shared" ca="1" si="175"/>
        <v>0</v>
      </c>
      <c r="AH345">
        <f ca="1">IFERROR(IF(V32="Supercritical",MAX($D$16,IFERROR(L345,MAX($D$16,POWER((ABS(K345)^2)/($I$5*MAX(F345,0.1)^2),1/3)))),IF(V32="Subcritical",MAX($D$16,IFERROR(W345,MAX($D$16,POWER((ABS(K345)^2)/($I$5*MAX(F345,0.1)^2),1/3)))),IF(AND(IFERROR(V345,0)=1,IFERROR(AG345,0)=1),IF(IFERROR(T345,-1E+99)&gt;=IFERROR(AE345,-1E+99),MAX($D$16,IFERROR(L345,MAX($D$16,POWER((ABS(K345)^2)/($I$5*MAX(F345,0.1)^2),1/3)))),MAX($D$16,IFERROR(W345,MAX($D$16,POWER((ABS(K345)^2)/($I$5*MAX(F345,0.1)^2),1/3))))),IF(IFERROR(V345,0)=1,MAX($D$16,IFERROR(L345,MAX($D$16,POWER((ABS(K345)^2)/($I$5*MAX(F345,0.1)^2),1/3)))),IF(IFERROR(AG345,0)=1,MAX($D$16,IFERROR(W345,MAX($D$16,POWER((ABS(K345)^2)/($I$5*MAX(F345,0.1)^2),1/3)))),MAX($D$16,POWER((ABS(K345)^2)/($I$5*MAX(F345,0.1)^2),1/3))))))),MAX($D$16,POWER((ABS(K345)^2)/($I$5*MAX(F345,0.1)^2),1/3)))</f>
        <v>2.1389677043987478</v>
      </c>
      <c r="AI345">
        <f t="shared" ca="1" si="176"/>
        <v>634.55946770439868</v>
      </c>
      <c r="AJ345">
        <f t="shared" ca="1" si="177"/>
        <v>635.62895155659805</v>
      </c>
      <c r="AM345">
        <v>0</v>
      </c>
      <c r="AN345">
        <v>0</v>
      </c>
      <c r="AO345">
        <f t="shared" si="178"/>
        <v>0</v>
      </c>
      <c r="AP345">
        <f t="shared" si="187"/>
        <v>0</v>
      </c>
      <c r="AQ345">
        <f t="shared" ca="1" si="179"/>
        <v>1.0000000000000004</v>
      </c>
      <c r="AR345" t="str">
        <f t="shared" ca="1" si="180"/>
        <v>Supercritical</v>
      </c>
      <c r="AS345">
        <f t="shared" ca="1" si="181"/>
        <v>3.8141460404132466E-3</v>
      </c>
    </row>
    <row r="346" spans="1:45" x14ac:dyDescent="0.35">
      <c r="A346">
        <v>285</v>
      </c>
      <c r="B346">
        <v>283.99599999999998</v>
      </c>
      <c r="C346">
        <v>616308.06599999999</v>
      </c>
      <c r="D346">
        <v>3097669.2030000002</v>
      </c>
      <c r="E346">
        <v>632.41999999999996</v>
      </c>
      <c r="F346">
        <v>5.2</v>
      </c>
      <c r="G346">
        <v>0</v>
      </c>
      <c r="H346" t="s">
        <v>154</v>
      </c>
      <c r="I346">
        <v>1.385</v>
      </c>
      <c r="J346">
        <f t="shared" si="182"/>
        <v>1</v>
      </c>
      <c r="K346">
        <f t="shared" ca="1" si="183"/>
        <v>50.95</v>
      </c>
      <c r="L346">
        <f t="shared" ca="1" si="184"/>
        <v>2.1389677043987478</v>
      </c>
      <c r="M346">
        <f t="shared" ca="1" si="157"/>
        <v>11.122632062873489</v>
      </c>
      <c r="N346">
        <f t="shared" ca="1" si="158"/>
        <v>1.1735290000551568</v>
      </c>
      <c r="O346">
        <f t="shared" ca="1" si="159"/>
        <v>4.5807502857230418</v>
      </c>
      <c r="P346">
        <f t="shared" ca="1" si="160"/>
        <v>634.5589677043987</v>
      </c>
      <c r="Q346">
        <f t="shared" ca="1" si="161"/>
        <v>635.62845155659807</v>
      </c>
      <c r="R346">
        <f t="shared" ca="1" si="162"/>
        <v>3.8141460404132466E-3</v>
      </c>
      <c r="S346">
        <f t="shared" ca="1" si="163"/>
        <v>1.0000000000000004</v>
      </c>
      <c r="T346">
        <f t="shared" ca="1" si="164"/>
        <v>35.686426155594638</v>
      </c>
      <c r="U346">
        <f t="shared" ca="1" si="185"/>
        <v>-5.7828712659784287E-3</v>
      </c>
      <c r="V346">
        <f t="shared" ca="1" si="186"/>
        <v>1</v>
      </c>
      <c r="W346">
        <f t="shared" ca="1" si="165"/>
        <v>2.1461418125654395</v>
      </c>
      <c r="X346">
        <f t="shared" ca="1" si="166"/>
        <v>11.159937425340285</v>
      </c>
      <c r="Y346">
        <f t="shared" ca="1" si="167"/>
        <v>1.1756852055910216</v>
      </c>
      <c r="Z346">
        <f t="shared" ca="1" si="168"/>
        <v>4.5654377850103804</v>
      </c>
      <c r="AA346">
        <f t="shared" ca="1" si="169"/>
        <v>634.56614181256543</v>
      </c>
      <c r="AB346">
        <f t="shared" ca="1" si="170"/>
        <v>635.62848748885494</v>
      </c>
      <c r="AC346">
        <f t="shared" ca="1" si="171"/>
        <v>3.7794270888622649E-3</v>
      </c>
      <c r="AD346">
        <f t="shared" ca="1" si="172"/>
        <v>0.9949900029506108</v>
      </c>
      <c r="AE346">
        <f t="shared" ca="1" si="173"/>
        <v>35.686826710012163</v>
      </c>
      <c r="AF346">
        <f t="shared" ca="1" si="174"/>
        <v>5.0924970430514804E-3</v>
      </c>
      <c r="AG346">
        <f t="shared" ca="1" si="175"/>
        <v>0</v>
      </c>
      <c r="AH346">
        <f ca="1">IFERROR(IF(V32="Supercritical",MAX($D$16,IFERROR(L346,MAX($D$16,POWER((ABS(K346)^2)/($I$5*MAX(F346,0.1)^2),1/3)))),IF(V32="Subcritical",MAX($D$16,IFERROR(W346,MAX($D$16,POWER((ABS(K346)^2)/($I$5*MAX(F346,0.1)^2),1/3)))),IF(AND(IFERROR(V346,0)=1,IFERROR(AG346,0)=1),IF(IFERROR(T346,-1E+99)&gt;=IFERROR(AE346,-1E+99),MAX($D$16,IFERROR(L346,MAX($D$16,POWER((ABS(K346)^2)/($I$5*MAX(F346,0.1)^2),1/3)))),MAX($D$16,IFERROR(W346,MAX($D$16,POWER((ABS(K346)^2)/($I$5*MAX(F346,0.1)^2),1/3))))),IF(IFERROR(V346,0)=1,MAX($D$16,IFERROR(L346,MAX($D$16,POWER((ABS(K346)^2)/($I$5*MAX(F346,0.1)^2),1/3)))),IF(IFERROR(AG346,0)=1,MAX($D$16,IFERROR(W346,MAX($D$16,POWER((ABS(K346)^2)/($I$5*MAX(F346,0.1)^2),1/3)))),MAX($D$16,POWER((ABS(K346)^2)/($I$5*MAX(F346,0.1)^2),1/3))))))),MAX($D$16,POWER((ABS(K346)^2)/($I$5*MAX(F346,0.1)^2),1/3)))</f>
        <v>2.1389677043987478</v>
      </c>
      <c r="AI346">
        <f t="shared" ca="1" si="176"/>
        <v>634.5589677043987</v>
      </c>
      <c r="AJ346">
        <f t="shared" ca="1" si="177"/>
        <v>635.62845155659807</v>
      </c>
      <c r="AM346">
        <v>0</v>
      </c>
      <c r="AN346">
        <v>0</v>
      </c>
      <c r="AO346">
        <f t="shared" si="178"/>
        <v>0</v>
      </c>
      <c r="AP346">
        <f t="shared" si="187"/>
        <v>0</v>
      </c>
      <c r="AQ346">
        <f t="shared" ca="1" si="179"/>
        <v>1.0000000000000004</v>
      </c>
      <c r="AR346" t="str">
        <f t="shared" ca="1" si="180"/>
        <v>Supercritical</v>
      </c>
      <c r="AS346">
        <f t="shared" ca="1" si="181"/>
        <v>3.8141460404132466E-3</v>
      </c>
    </row>
    <row r="347" spans="1:45" x14ac:dyDescent="0.35">
      <c r="A347">
        <v>286</v>
      </c>
      <c r="B347">
        <v>284.99599999999998</v>
      </c>
      <c r="C347">
        <v>616307.576</v>
      </c>
      <c r="D347">
        <v>3097668.3309999998</v>
      </c>
      <c r="E347">
        <v>632.41949999999997</v>
      </c>
      <c r="F347">
        <v>5.2</v>
      </c>
      <c r="G347">
        <v>0</v>
      </c>
      <c r="H347" t="s">
        <v>154</v>
      </c>
      <c r="I347">
        <v>1.024</v>
      </c>
      <c r="J347">
        <f t="shared" si="182"/>
        <v>1</v>
      </c>
      <c r="K347">
        <f t="shared" ca="1" si="183"/>
        <v>50.95</v>
      </c>
      <c r="L347">
        <f t="shared" ca="1" si="184"/>
        <v>2.1389677043987478</v>
      </c>
      <c r="M347">
        <f t="shared" ca="1" si="157"/>
        <v>11.122632062873489</v>
      </c>
      <c r="N347">
        <f t="shared" ca="1" si="158"/>
        <v>1.1735290000551568</v>
      </c>
      <c r="O347">
        <f t="shared" ca="1" si="159"/>
        <v>4.5807502857230418</v>
      </c>
      <c r="P347">
        <f t="shared" ca="1" si="160"/>
        <v>634.55846770439871</v>
      </c>
      <c r="Q347">
        <f t="shared" ca="1" si="161"/>
        <v>635.62795155659808</v>
      </c>
      <c r="R347">
        <f t="shared" ca="1" si="162"/>
        <v>3.8141460404132466E-3</v>
      </c>
      <c r="S347">
        <f t="shared" ca="1" si="163"/>
        <v>1.0000000000000004</v>
      </c>
      <c r="T347">
        <f t="shared" ca="1" si="164"/>
        <v>35.686426155594638</v>
      </c>
      <c r="U347">
        <f t="shared" ca="1" si="185"/>
        <v>-5.1393984815604199E-3</v>
      </c>
      <c r="V347">
        <f t="shared" ca="1" si="186"/>
        <v>1</v>
      </c>
      <c r="W347">
        <f t="shared" ca="1" si="165"/>
        <v>2.144157055632717</v>
      </c>
      <c r="X347">
        <f t="shared" ca="1" si="166"/>
        <v>11.149616689290129</v>
      </c>
      <c r="Y347">
        <f t="shared" ca="1" si="167"/>
        <v>1.1750893318394926</v>
      </c>
      <c r="Z347">
        <f t="shared" ca="1" si="168"/>
        <v>4.5696638207249327</v>
      </c>
      <c r="AA347">
        <f t="shared" ca="1" si="169"/>
        <v>634.56365705563269</v>
      </c>
      <c r="AB347">
        <f t="shared" ca="1" si="170"/>
        <v>635.62797038052781</v>
      </c>
      <c r="AC347">
        <f t="shared" ca="1" si="171"/>
        <v>3.7889875295587542E-3</v>
      </c>
      <c r="AD347">
        <f t="shared" ca="1" si="172"/>
        <v>0.99637185384951898</v>
      </c>
      <c r="AE347">
        <f t="shared" ca="1" si="173"/>
        <v>35.686635865740008</v>
      </c>
      <c r="AF347">
        <f t="shared" ca="1" si="174"/>
        <v>3.377680306698494E-3</v>
      </c>
      <c r="AG347">
        <f t="shared" ca="1" si="175"/>
        <v>0</v>
      </c>
      <c r="AH347">
        <f ca="1">IFERROR(IF(V32="Supercritical",MAX($D$16,IFERROR(L347,MAX($D$16,POWER((ABS(K347)^2)/($I$5*MAX(F347,0.1)^2),1/3)))),IF(V32="Subcritical",MAX($D$16,IFERROR(W347,MAX($D$16,POWER((ABS(K347)^2)/($I$5*MAX(F347,0.1)^2),1/3)))),IF(AND(IFERROR(V347,0)=1,IFERROR(AG347,0)=1),IF(IFERROR(T347,-1E+99)&gt;=IFERROR(AE347,-1E+99),MAX($D$16,IFERROR(L347,MAX($D$16,POWER((ABS(K347)^2)/($I$5*MAX(F347,0.1)^2),1/3)))),MAX($D$16,IFERROR(W347,MAX($D$16,POWER((ABS(K347)^2)/($I$5*MAX(F347,0.1)^2),1/3))))),IF(IFERROR(V347,0)=1,MAX($D$16,IFERROR(L347,MAX($D$16,POWER((ABS(K347)^2)/($I$5*MAX(F347,0.1)^2),1/3)))),IF(IFERROR(AG347,0)=1,MAX($D$16,IFERROR(W347,MAX($D$16,POWER((ABS(K347)^2)/($I$5*MAX(F347,0.1)^2),1/3)))),MAX($D$16,POWER((ABS(K347)^2)/($I$5*MAX(F347,0.1)^2),1/3))))))),MAX($D$16,POWER((ABS(K347)^2)/($I$5*MAX(F347,0.1)^2),1/3)))</f>
        <v>2.1389677043987478</v>
      </c>
      <c r="AI347">
        <f t="shared" ca="1" si="176"/>
        <v>634.55846770439871</v>
      </c>
      <c r="AJ347">
        <f t="shared" ca="1" si="177"/>
        <v>635.62795155659808</v>
      </c>
      <c r="AM347">
        <v>0</v>
      </c>
      <c r="AN347">
        <v>0</v>
      </c>
      <c r="AO347">
        <f t="shared" si="178"/>
        <v>0</v>
      </c>
      <c r="AP347">
        <f t="shared" si="187"/>
        <v>0</v>
      </c>
      <c r="AQ347">
        <f t="shared" ca="1" si="179"/>
        <v>1.0000000000000004</v>
      </c>
      <c r="AR347" t="str">
        <f t="shared" ca="1" si="180"/>
        <v>Supercritical</v>
      </c>
      <c r="AS347">
        <f t="shared" ca="1" si="181"/>
        <v>3.8141460404132466E-3</v>
      </c>
    </row>
    <row r="348" spans="1:45" x14ac:dyDescent="0.35">
      <c r="A348">
        <v>287</v>
      </c>
      <c r="B348">
        <v>285.99599999999998</v>
      </c>
      <c r="C348">
        <v>616307.10199999996</v>
      </c>
      <c r="D348">
        <v>3097667.4509999999</v>
      </c>
      <c r="E348">
        <v>632.41899999999998</v>
      </c>
      <c r="F348">
        <v>5.2</v>
      </c>
      <c r="G348">
        <v>0</v>
      </c>
      <c r="H348" t="s">
        <v>154</v>
      </c>
      <c r="I348">
        <v>0.05</v>
      </c>
      <c r="J348">
        <f t="shared" si="182"/>
        <v>1</v>
      </c>
      <c r="K348">
        <f t="shared" ca="1" si="183"/>
        <v>50.95</v>
      </c>
      <c r="L348">
        <f t="shared" ca="1" si="184"/>
        <v>2.1389677043987478</v>
      </c>
      <c r="M348">
        <f t="shared" ca="1" si="157"/>
        <v>11.122632062873489</v>
      </c>
      <c r="N348">
        <f t="shared" ca="1" si="158"/>
        <v>1.1735290000551568</v>
      </c>
      <c r="O348">
        <f t="shared" ca="1" si="159"/>
        <v>4.5807502857230418</v>
      </c>
      <c r="P348">
        <f t="shared" ca="1" si="160"/>
        <v>634.55796770439872</v>
      </c>
      <c r="Q348">
        <f t="shared" ca="1" si="161"/>
        <v>635.62745155659809</v>
      </c>
      <c r="R348">
        <f t="shared" ca="1" si="162"/>
        <v>3.8141460404132466E-3</v>
      </c>
      <c r="S348">
        <f t="shared" ca="1" si="163"/>
        <v>1.0000000000000004</v>
      </c>
      <c r="T348">
        <f t="shared" ca="1" si="164"/>
        <v>35.686426155594638</v>
      </c>
      <c r="U348">
        <f t="shared" ca="1" si="185"/>
        <v>-3.4032696947861041E-3</v>
      </c>
      <c r="V348">
        <f t="shared" ca="1" si="186"/>
        <v>1</v>
      </c>
      <c r="W348">
        <f t="shared" ca="1" si="165"/>
        <v>2.1420910838821263</v>
      </c>
      <c r="X348">
        <f t="shared" ca="1" si="166"/>
        <v>11.138873636187057</v>
      </c>
      <c r="Y348">
        <f t="shared" ca="1" si="167"/>
        <v>1.1744685455375297</v>
      </c>
      <c r="Z348">
        <f t="shared" ca="1" si="168"/>
        <v>4.5740711012716613</v>
      </c>
      <c r="AA348">
        <f t="shared" ca="1" si="169"/>
        <v>634.56109108388216</v>
      </c>
      <c r="AB348">
        <f t="shared" ca="1" si="170"/>
        <v>635.62745838456965</v>
      </c>
      <c r="AC348">
        <f t="shared" ca="1" si="171"/>
        <v>3.7989754502551296E-3</v>
      </c>
      <c r="AD348">
        <f t="shared" ca="1" si="172"/>
        <v>0.99781364993201327</v>
      </c>
      <c r="AE348">
        <f t="shared" ca="1" si="173"/>
        <v>35.686502174522651</v>
      </c>
      <c r="AF348">
        <f t="shared" ca="1" si="174"/>
        <v>3.9376031993469951E-3</v>
      </c>
      <c r="AG348">
        <f t="shared" ca="1" si="175"/>
        <v>0</v>
      </c>
      <c r="AH348">
        <f ca="1">IFERROR(IF(V32="Supercritical",MAX($D$16,IFERROR(L348,MAX($D$16,POWER((ABS(K348)^2)/($I$5*MAX(F348,0.1)^2),1/3)))),IF(V32="Subcritical",MAX($D$16,IFERROR(W348,MAX($D$16,POWER((ABS(K348)^2)/($I$5*MAX(F348,0.1)^2),1/3)))),IF(AND(IFERROR(V348,0)=1,IFERROR(AG348,0)=1),IF(IFERROR(T348,-1E+99)&gt;=IFERROR(AE348,-1E+99),MAX($D$16,IFERROR(L348,MAX($D$16,POWER((ABS(K348)^2)/($I$5*MAX(F348,0.1)^2),1/3)))),MAX($D$16,IFERROR(W348,MAX($D$16,POWER((ABS(K348)^2)/($I$5*MAX(F348,0.1)^2),1/3))))),IF(IFERROR(V348,0)=1,MAX($D$16,IFERROR(L348,MAX($D$16,POWER((ABS(K348)^2)/($I$5*MAX(F348,0.1)^2),1/3)))),IF(IFERROR(AG348,0)=1,MAX($D$16,IFERROR(W348,MAX($D$16,POWER((ABS(K348)^2)/($I$5*MAX(F348,0.1)^2),1/3)))),MAX($D$16,POWER((ABS(K348)^2)/($I$5*MAX(F348,0.1)^2),1/3))))))),MAX($D$16,POWER((ABS(K348)^2)/($I$5*MAX(F348,0.1)^2),1/3)))</f>
        <v>2.1389677043987478</v>
      </c>
      <c r="AI348">
        <f t="shared" ca="1" si="176"/>
        <v>634.55796770439872</v>
      </c>
      <c r="AJ348">
        <f t="shared" ca="1" si="177"/>
        <v>635.62745155659809</v>
      </c>
      <c r="AM348">
        <v>0</v>
      </c>
      <c r="AN348">
        <v>0</v>
      </c>
      <c r="AO348">
        <f t="shared" si="178"/>
        <v>0</v>
      </c>
      <c r="AP348">
        <f t="shared" si="187"/>
        <v>0</v>
      </c>
      <c r="AQ348">
        <f t="shared" ca="1" si="179"/>
        <v>1.0000000000000004</v>
      </c>
      <c r="AR348" t="str">
        <f t="shared" ca="1" si="180"/>
        <v>Supercritical</v>
      </c>
      <c r="AS348">
        <f t="shared" ca="1" si="181"/>
        <v>3.8141460404132466E-3</v>
      </c>
    </row>
    <row r="349" spans="1:45" x14ac:dyDescent="0.35">
      <c r="A349">
        <v>288</v>
      </c>
      <c r="B349">
        <v>286.99599999999998</v>
      </c>
      <c r="C349">
        <v>616306.62699999998</v>
      </c>
      <c r="D349">
        <v>3097666.571</v>
      </c>
      <c r="E349">
        <v>632.41899999999998</v>
      </c>
      <c r="F349">
        <v>5.2</v>
      </c>
      <c r="G349">
        <v>0</v>
      </c>
      <c r="H349" t="s">
        <v>154</v>
      </c>
      <c r="I349">
        <v>7.8E-2</v>
      </c>
      <c r="J349">
        <f t="shared" si="182"/>
        <v>1</v>
      </c>
      <c r="K349">
        <f t="shared" ca="1" si="183"/>
        <v>50.95</v>
      </c>
      <c r="L349">
        <f t="shared" ca="1" si="184"/>
        <v>2.1389677043987478</v>
      </c>
      <c r="M349">
        <f t="shared" ca="1" si="157"/>
        <v>11.122632062873489</v>
      </c>
      <c r="N349">
        <f t="shared" ca="1" si="158"/>
        <v>1.1735290000551568</v>
      </c>
      <c r="O349">
        <f t="shared" ca="1" si="159"/>
        <v>4.5807502857230418</v>
      </c>
      <c r="P349">
        <f t="shared" ca="1" si="160"/>
        <v>634.55796770439872</v>
      </c>
      <c r="Q349">
        <f t="shared" ca="1" si="161"/>
        <v>635.62745155659809</v>
      </c>
      <c r="R349">
        <f t="shared" ca="1" si="162"/>
        <v>3.8141460404132466E-3</v>
      </c>
      <c r="S349">
        <f t="shared" ca="1" si="163"/>
        <v>1.0000000000000004</v>
      </c>
      <c r="T349">
        <f t="shared" ca="1" si="164"/>
        <v>35.686426155594638</v>
      </c>
      <c r="U349">
        <f t="shared" ca="1" si="185"/>
        <v>-3.9531789411739737E-3</v>
      </c>
      <c r="V349">
        <f t="shared" ca="1" si="186"/>
        <v>1</v>
      </c>
      <c r="W349">
        <f t="shared" ca="1" si="165"/>
        <v>2.1399412129622979</v>
      </c>
      <c r="X349">
        <f t="shared" ca="1" si="166"/>
        <v>11.127694307403949</v>
      </c>
      <c r="Y349">
        <f t="shared" ca="1" si="167"/>
        <v>1.1738219745187015</v>
      </c>
      <c r="Z349">
        <f t="shared" ca="1" si="168"/>
        <v>4.5786663968743095</v>
      </c>
      <c r="AA349">
        <f t="shared" ca="1" si="169"/>
        <v>634.55894121296228</v>
      </c>
      <c r="AB349">
        <f t="shared" ca="1" si="170"/>
        <v>635.62745222080457</v>
      </c>
      <c r="AC349">
        <f t="shared" ca="1" si="171"/>
        <v>3.8094084533261577E-3</v>
      </c>
      <c r="AD349">
        <f t="shared" ca="1" si="172"/>
        <v>0.9993176930529295</v>
      </c>
      <c r="AE349">
        <f t="shared" ca="1" si="173"/>
        <v>35.686433545560313</v>
      </c>
      <c r="AF349">
        <f t="shared" ca="1" si="174"/>
        <v>3.3574914486962371E-3</v>
      </c>
      <c r="AG349">
        <f t="shared" ca="1" si="175"/>
        <v>0</v>
      </c>
      <c r="AH349">
        <f ca="1">IFERROR(IF(V32="Supercritical",MAX($D$16,IFERROR(L349,MAX($D$16,POWER((ABS(K349)^2)/($I$5*MAX(F349,0.1)^2),1/3)))),IF(V32="Subcritical",MAX($D$16,IFERROR(W349,MAX($D$16,POWER((ABS(K349)^2)/($I$5*MAX(F349,0.1)^2),1/3)))),IF(AND(IFERROR(V349,0)=1,IFERROR(AG349,0)=1),IF(IFERROR(T349,-1E+99)&gt;=IFERROR(AE349,-1E+99),MAX($D$16,IFERROR(L349,MAX($D$16,POWER((ABS(K349)^2)/($I$5*MAX(F349,0.1)^2),1/3)))),MAX($D$16,IFERROR(W349,MAX($D$16,POWER((ABS(K349)^2)/($I$5*MAX(F349,0.1)^2),1/3))))),IF(IFERROR(V349,0)=1,MAX($D$16,IFERROR(L349,MAX($D$16,POWER((ABS(K349)^2)/($I$5*MAX(F349,0.1)^2),1/3)))),IF(IFERROR(AG349,0)=1,MAX($D$16,IFERROR(W349,MAX($D$16,POWER((ABS(K349)^2)/($I$5*MAX(F349,0.1)^2),1/3)))),MAX($D$16,POWER((ABS(K349)^2)/($I$5*MAX(F349,0.1)^2),1/3))))))),MAX($D$16,POWER((ABS(K349)^2)/($I$5*MAX(F349,0.1)^2),1/3)))</f>
        <v>2.1389677043987478</v>
      </c>
      <c r="AI349">
        <f t="shared" ca="1" si="176"/>
        <v>634.55796770439872</v>
      </c>
      <c r="AJ349">
        <f t="shared" ca="1" si="177"/>
        <v>635.62745155659809</v>
      </c>
      <c r="AM349">
        <v>0</v>
      </c>
      <c r="AN349">
        <v>0</v>
      </c>
      <c r="AO349">
        <f t="shared" si="178"/>
        <v>0</v>
      </c>
      <c r="AP349">
        <f t="shared" si="187"/>
        <v>0</v>
      </c>
      <c r="AQ349">
        <f t="shared" ca="1" si="179"/>
        <v>1.0000000000000004</v>
      </c>
      <c r="AR349" t="str">
        <f t="shared" ca="1" si="180"/>
        <v>Supercritical</v>
      </c>
      <c r="AS349">
        <f t="shared" ca="1" si="181"/>
        <v>3.8141460404132466E-3</v>
      </c>
    </row>
    <row r="350" spans="1:45" x14ac:dyDescent="0.35">
      <c r="A350">
        <v>289</v>
      </c>
      <c r="B350">
        <v>287.99599999999998</v>
      </c>
      <c r="C350">
        <v>616306.15300000005</v>
      </c>
      <c r="D350">
        <v>3097665.69</v>
      </c>
      <c r="E350">
        <v>632.41849999999999</v>
      </c>
      <c r="F350">
        <v>5.2</v>
      </c>
      <c r="G350">
        <v>0</v>
      </c>
      <c r="H350" t="s">
        <v>154</v>
      </c>
      <c r="I350">
        <v>2.7E-2</v>
      </c>
      <c r="J350">
        <f t="shared" si="182"/>
        <v>1</v>
      </c>
      <c r="K350">
        <f t="shared" ca="1" si="183"/>
        <v>50.95</v>
      </c>
      <c r="L350">
        <f t="shared" ca="1" si="184"/>
        <v>2.1389677043987478</v>
      </c>
      <c r="M350">
        <f t="shared" ca="1" si="157"/>
        <v>11.122632062873489</v>
      </c>
      <c r="N350">
        <f t="shared" ca="1" si="158"/>
        <v>1.1735290000551568</v>
      </c>
      <c r="O350">
        <f t="shared" ca="1" si="159"/>
        <v>4.5807502857230418</v>
      </c>
      <c r="P350">
        <f t="shared" ca="1" si="160"/>
        <v>634.55746770439873</v>
      </c>
      <c r="Q350">
        <f t="shared" ca="1" si="161"/>
        <v>635.6269515565981</v>
      </c>
      <c r="R350">
        <f t="shared" ca="1" si="162"/>
        <v>3.8141460404132466E-3</v>
      </c>
      <c r="S350">
        <f t="shared" ca="1" si="163"/>
        <v>1.0000000000000004</v>
      </c>
      <c r="T350">
        <f t="shared" ca="1" si="164"/>
        <v>35.686426155594638</v>
      </c>
      <c r="U350">
        <f t="shared" ca="1" si="185"/>
        <v>-3.3622728137743252E-3</v>
      </c>
      <c r="V350">
        <f t="shared" ca="1" si="186"/>
        <v>1</v>
      </c>
      <c r="W350">
        <f t="shared" ca="1" si="165"/>
        <v>2.1377047303434771</v>
      </c>
      <c r="X350">
        <f t="shared" ca="1" si="166"/>
        <v>11.116064597786082</v>
      </c>
      <c r="Y350">
        <f t="shared" ca="1" si="167"/>
        <v>1.1731487324010779</v>
      </c>
      <c r="Z350">
        <f t="shared" ca="1" si="168"/>
        <v>4.5834566317784269</v>
      </c>
      <c r="AA350">
        <f t="shared" ca="1" si="169"/>
        <v>634.55620473034344</v>
      </c>
      <c r="AB350">
        <f t="shared" ca="1" si="170"/>
        <v>635.62695267608217</v>
      </c>
      <c r="AC350">
        <f t="shared" ca="1" si="171"/>
        <v>3.8203047059002359E-3</v>
      </c>
      <c r="AD350">
        <f t="shared" ca="1" si="172"/>
        <v>1.0008863435835536</v>
      </c>
      <c r="AE350">
        <f t="shared" ca="1" si="173"/>
        <v>35.68643860230214</v>
      </c>
      <c r="AF350">
        <f t="shared" ca="1" si="174"/>
        <v>3.3203047058805168E-3</v>
      </c>
      <c r="AG350">
        <f t="shared" ca="1" si="175"/>
        <v>0</v>
      </c>
      <c r="AH350">
        <f ca="1">IFERROR(IF(V32="Supercritical",MAX($D$16,IFERROR(L350,MAX($D$16,POWER((ABS(K350)^2)/($I$5*MAX(F350,0.1)^2),1/3)))),IF(V32="Subcritical",MAX($D$16,IFERROR(W350,MAX($D$16,POWER((ABS(K350)^2)/($I$5*MAX(F350,0.1)^2),1/3)))),IF(AND(IFERROR(V350,0)=1,IFERROR(AG350,0)=1),IF(IFERROR(T350,-1E+99)&gt;=IFERROR(AE350,-1E+99),MAX($D$16,IFERROR(L350,MAX($D$16,POWER((ABS(K350)^2)/($I$5*MAX(F350,0.1)^2),1/3)))),MAX($D$16,IFERROR(W350,MAX($D$16,POWER((ABS(K350)^2)/($I$5*MAX(F350,0.1)^2),1/3))))),IF(IFERROR(V350,0)=1,MAX($D$16,IFERROR(L350,MAX($D$16,POWER((ABS(K350)^2)/($I$5*MAX(F350,0.1)^2),1/3)))),IF(IFERROR(AG350,0)=1,MAX($D$16,IFERROR(W350,MAX($D$16,POWER((ABS(K350)^2)/($I$5*MAX(F350,0.1)^2),1/3)))),MAX($D$16,POWER((ABS(K350)^2)/($I$5*MAX(F350,0.1)^2),1/3))))))),MAX($D$16,POWER((ABS(K350)^2)/($I$5*MAX(F350,0.1)^2),1/3)))</f>
        <v>2.1389677043987478</v>
      </c>
      <c r="AI350">
        <f t="shared" ca="1" si="176"/>
        <v>634.55746770439873</v>
      </c>
      <c r="AJ350">
        <f t="shared" ca="1" si="177"/>
        <v>635.6269515565981</v>
      </c>
      <c r="AM350">
        <v>0</v>
      </c>
      <c r="AN350">
        <v>0</v>
      </c>
      <c r="AO350">
        <f t="shared" si="178"/>
        <v>0</v>
      </c>
      <c r="AP350">
        <f t="shared" si="187"/>
        <v>0</v>
      </c>
      <c r="AQ350">
        <f t="shared" ca="1" si="179"/>
        <v>1.0000000000000004</v>
      </c>
      <c r="AR350" t="str">
        <f t="shared" ca="1" si="180"/>
        <v>Supercritical</v>
      </c>
      <c r="AS350">
        <f t="shared" ca="1" si="181"/>
        <v>3.8141460404132466E-3</v>
      </c>
    </row>
    <row r="351" spans="1:45" x14ac:dyDescent="0.35">
      <c r="A351">
        <v>290</v>
      </c>
      <c r="B351">
        <v>288.99599999999998</v>
      </c>
      <c r="C351">
        <v>616305.679</v>
      </c>
      <c r="D351">
        <v>3097664.81</v>
      </c>
      <c r="E351">
        <v>632.41800000000001</v>
      </c>
      <c r="F351">
        <v>5.2</v>
      </c>
      <c r="G351">
        <v>0</v>
      </c>
      <c r="H351" t="s">
        <v>154</v>
      </c>
      <c r="I351">
        <v>0</v>
      </c>
      <c r="J351">
        <f t="shared" si="182"/>
        <v>1</v>
      </c>
      <c r="K351">
        <f t="shared" ca="1" si="183"/>
        <v>50.95</v>
      </c>
      <c r="L351">
        <f t="shared" ca="1" si="184"/>
        <v>2.1389677043987478</v>
      </c>
      <c r="M351">
        <f t="shared" ca="1" si="157"/>
        <v>11.122632062873489</v>
      </c>
      <c r="N351">
        <f t="shared" ca="1" si="158"/>
        <v>1.1735290000551568</v>
      </c>
      <c r="O351">
        <f t="shared" ca="1" si="159"/>
        <v>4.5807502857230418</v>
      </c>
      <c r="P351">
        <f t="shared" ca="1" si="160"/>
        <v>634.55696770439874</v>
      </c>
      <c r="Q351">
        <f t="shared" ca="1" si="161"/>
        <v>635.62645155659811</v>
      </c>
      <c r="R351">
        <f t="shared" ca="1" si="162"/>
        <v>3.8141460404132466E-3</v>
      </c>
      <c r="S351">
        <f t="shared" ca="1" si="163"/>
        <v>1.0000000000000004</v>
      </c>
      <c r="T351">
        <f t="shared" ca="1" si="164"/>
        <v>35.686426155594638</v>
      </c>
      <c r="U351">
        <f t="shared" ca="1" si="185"/>
        <v>-3.3141460404522149E-3</v>
      </c>
      <c r="V351">
        <f t="shared" ca="1" si="186"/>
        <v>1</v>
      </c>
      <c r="W351">
        <f t="shared" ca="1" si="165"/>
        <v>2.135378901558044</v>
      </c>
      <c r="X351">
        <f t="shared" ca="1" si="166"/>
        <v>11.103970288101829</v>
      </c>
      <c r="Y351">
        <f t="shared" ca="1" si="167"/>
        <v>1.1724479201071301</v>
      </c>
      <c r="Z351">
        <f t="shared" ca="1" si="168"/>
        <v>4.5884488771186778</v>
      </c>
      <c r="AA351">
        <f t="shared" ca="1" si="169"/>
        <v>634.55337890155806</v>
      </c>
      <c r="AB351">
        <f t="shared" ca="1" si="170"/>
        <v>635.62646060889404</v>
      </c>
      <c r="AC351">
        <f t="shared" ca="1" si="171"/>
        <v>3.8316829398433055E-3</v>
      </c>
      <c r="AD351">
        <f t="shared" ca="1" si="172"/>
        <v>1.0025220186594785</v>
      </c>
      <c r="AE351">
        <f t="shared" ca="1" si="173"/>
        <v>35.686526728298325</v>
      </c>
      <c r="AF351">
        <f t="shared" ca="1" si="174"/>
        <v>3.3689860557615248E-3</v>
      </c>
      <c r="AG351">
        <f t="shared" ca="1" si="175"/>
        <v>0</v>
      </c>
      <c r="AH351">
        <f ca="1">IFERROR(IF(V32="Supercritical",MAX($D$16,IFERROR(L351,MAX($D$16,POWER((ABS(K351)^2)/($I$5*MAX(F351,0.1)^2),1/3)))),IF(V32="Subcritical",MAX($D$16,IFERROR(W351,MAX($D$16,POWER((ABS(K351)^2)/($I$5*MAX(F351,0.1)^2),1/3)))),IF(AND(IFERROR(V351,0)=1,IFERROR(AG351,0)=1),IF(IFERROR(T351,-1E+99)&gt;=IFERROR(AE351,-1E+99),MAX($D$16,IFERROR(L351,MAX($D$16,POWER((ABS(K351)^2)/($I$5*MAX(F351,0.1)^2),1/3)))),MAX($D$16,IFERROR(W351,MAX($D$16,POWER((ABS(K351)^2)/($I$5*MAX(F351,0.1)^2),1/3))))),IF(IFERROR(V351,0)=1,MAX($D$16,IFERROR(L351,MAX($D$16,POWER((ABS(K351)^2)/($I$5*MAX(F351,0.1)^2),1/3)))),IF(IFERROR(AG351,0)=1,MAX($D$16,IFERROR(W351,MAX($D$16,POWER((ABS(K351)^2)/($I$5*MAX(F351,0.1)^2),1/3)))),MAX($D$16,POWER((ABS(K351)^2)/($I$5*MAX(F351,0.1)^2),1/3))))))),MAX($D$16,POWER((ABS(K351)^2)/($I$5*MAX(F351,0.1)^2),1/3)))</f>
        <v>2.1389677043987478</v>
      </c>
      <c r="AI351">
        <f t="shared" ca="1" si="176"/>
        <v>634.55696770439874</v>
      </c>
      <c r="AJ351">
        <f t="shared" ca="1" si="177"/>
        <v>635.62645155659811</v>
      </c>
      <c r="AM351">
        <v>0</v>
      </c>
      <c r="AN351">
        <v>0</v>
      </c>
      <c r="AO351">
        <f t="shared" si="178"/>
        <v>0</v>
      </c>
      <c r="AP351">
        <f t="shared" si="187"/>
        <v>0</v>
      </c>
      <c r="AQ351">
        <f t="shared" ca="1" si="179"/>
        <v>1.0000000000000004</v>
      </c>
      <c r="AR351" t="str">
        <f t="shared" ca="1" si="180"/>
        <v>Supercritical</v>
      </c>
      <c r="AS351">
        <f t="shared" ca="1" si="181"/>
        <v>3.8141460404132466E-3</v>
      </c>
    </row>
    <row r="352" spans="1:45" x14ac:dyDescent="0.35">
      <c r="A352">
        <v>291</v>
      </c>
      <c r="B352">
        <v>289.995</v>
      </c>
      <c r="C352">
        <v>616305.20499999996</v>
      </c>
      <c r="D352">
        <v>3097663.93</v>
      </c>
      <c r="E352">
        <v>632.41750000000002</v>
      </c>
      <c r="F352">
        <v>5.2</v>
      </c>
      <c r="G352">
        <v>0</v>
      </c>
      <c r="H352" t="s">
        <v>154</v>
      </c>
      <c r="I352">
        <v>2.3E-2</v>
      </c>
      <c r="J352">
        <f t="shared" si="182"/>
        <v>0.99900000000002365</v>
      </c>
      <c r="K352">
        <f t="shared" ca="1" si="183"/>
        <v>50.95</v>
      </c>
      <c r="L352">
        <f t="shared" ca="1" si="184"/>
        <v>2.1389677043987478</v>
      </c>
      <c r="M352">
        <f t="shared" ca="1" si="157"/>
        <v>11.122632062873489</v>
      </c>
      <c r="N352">
        <f t="shared" ca="1" si="158"/>
        <v>1.1735290000551568</v>
      </c>
      <c r="O352">
        <f t="shared" ca="1" si="159"/>
        <v>4.5807502857230418</v>
      </c>
      <c r="P352">
        <f t="shared" ca="1" si="160"/>
        <v>634.55646770439876</v>
      </c>
      <c r="Q352">
        <f t="shared" ca="1" si="161"/>
        <v>635.62595155659812</v>
      </c>
      <c r="R352">
        <f t="shared" ca="1" si="162"/>
        <v>3.8141460404132466E-3</v>
      </c>
      <c r="S352">
        <f t="shared" ca="1" si="163"/>
        <v>1.0000000000000004</v>
      </c>
      <c r="T352">
        <f t="shared" ca="1" si="164"/>
        <v>35.686426155594638</v>
      </c>
      <c r="U352">
        <f t="shared" ca="1" si="185"/>
        <v>-3.3513287753521581E-3</v>
      </c>
      <c r="V352">
        <f t="shared" ca="1" si="186"/>
        <v>1</v>
      </c>
      <c r="W352">
        <f t="shared" ca="1" si="165"/>
        <v>2.1329609771974556</v>
      </c>
      <c r="X352">
        <f t="shared" ca="1" si="166"/>
        <v>11.09139708142677</v>
      </c>
      <c r="Y352">
        <f t="shared" ca="1" si="167"/>
        <v>1.1717186276057527</v>
      </c>
      <c r="Z352">
        <f t="shared" ca="1" si="168"/>
        <v>4.5936503423287336</v>
      </c>
      <c r="AA352">
        <f t="shared" ca="1" si="169"/>
        <v>634.55046097719742</v>
      </c>
      <c r="AB352">
        <f t="shared" ca="1" si="170"/>
        <v>635.62597695413808</v>
      </c>
      <c r="AC352">
        <f t="shared" ca="1" si="171"/>
        <v>3.8435624491825618E-3</v>
      </c>
      <c r="AD352">
        <f t="shared" ca="1" si="172"/>
        <v>1.0042271899741591</v>
      </c>
      <c r="AE352">
        <f t="shared" ca="1" si="173"/>
        <v>35.68670811397881</v>
      </c>
      <c r="AF352">
        <f t="shared" ca="1" si="174"/>
        <v>3.3886341241213813E-3</v>
      </c>
      <c r="AG352">
        <f t="shared" ca="1" si="175"/>
        <v>0</v>
      </c>
      <c r="AH352">
        <f ca="1">IFERROR(IF(V32="Supercritical",MAX($D$16,IFERROR(L352,MAX($D$16,POWER((ABS(K352)^2)/($I$5*MAX(F352,0.1)^2),1/3)))),IF(V32="Subcritical",MAX($D$16,IFERROR(W352,MAX($D$16,POWER((ABS(K352)^2)/($I$5*MAX(F352,0.1)^2),1/3)))),IF(AND(IFERROR(V352,0)=1,IFERROR(AG352,0)=1),IF(IFERROR(T352,-1E+99)&gt;=IFERROR(AE352,-1E+99),MAX($D$16,IFERROR(L352,MAX($D$16,POWER((ABS(K352)^2)/($I$5*MAX(F352,0.1)^2),1/3)))),MAX($D$16,IFERROR(W352,MAX($D$16,POWER((ABS(K352)^2)/($I$5*MAX(F352,0.1)^2),1/3))))),IF(IFERROR(V352,0)=1,MAX($D$16,IFERROR(L352,MAX($D$16,POWER((ABS(K352)^2)/($I$5*MAX(F352,0.1)^2),1/3)))),IF(IFERROR(AG352,0)=1,MAX($D$16,IFERROR(W352,MAX($D$16,POWER((ABS(K352)^2)/($I$5*MAX(F352,0.1)^2),1/3)))),MAX($D$16,POWER((ABS(K352)^2)/($I$5*MAX(F352,0.1)^2),1/3))))))),MAX($D$16,POWER((ABS(K352)^2)/($I$5*MAX(F352,0.1)^2),1/3)))</f>
        <v>2.1389677043987478</v>
      </c>
      <c r="AI352">
        <f t="shared" ca="1" si="176"/>
        <v>634.55646770439876</v>
      </c>
      <c r="AJ352">
        <f t="shared" ca="1" si="177"/>
        <v>635.62595155659812</v>
      </c>
      <c r="AM352">
        <v>0</v>
      </c>
      <c r="AN352">
        <v>0</v>
      </c>
      <c r="AO352">
        <f t="shared" si="178"/>
        <v>0</v>
      </c>
      <c r="AP352">
        <f t="shared" si="187"/>
        <v>0</v>
      </c>
      <c r="AQ352">
        <f t="shared" ca="1" si="179"/>
        <v>1.0000000000000004</v>
      </c>
      <c r="AR352" t="str">
        <f t="shared" ca="1" si="180"/>
        <v>Supercritical</v>
      </c>
      <c r="AS352">
        <f t="shared" ca="1" si="181"/>
        <v>3.8141460404132466E-3</v>
      </c>
    </row>
    <row r="353" spans="1:45" x14ac:dyDescent="0.35">
      <c r="A353">
        <v>292</v>
      </c>
      <c r="B353">
        <v>290.99599999999998</v>
      </c>
      <c r="C353">
        <v>616304.73</v>
      </c>
      <c r="D353">
        <v>3097663.0490000001</v>
      </c>
      <c r="E353">
        <v>632.41700000000003</v>
      </c>
      <c r="F353">
        <v>5.2</v>
      </c>
      <c r="G353">
        <v>0</v>
      </c>
      <c r="H353" t="s">
        <v>154</v>
      </c>
      <c r="I353">
        <v>2.3E-2</v>
      </c>
      <c r="J353">
        <f t="shared" si="182"/>
        <v>1.0009999999999764</v>
      </c>
      <c r="K353">
        <f t="shared" ca="1" si="183"/>
        <v>50.95</v>
      </c>
      <c r="L353">
        <f t="shared" ca="1" si="184"/>
        <v>2.1389677043987478</v>
      </c>
      <c r="M353">
        <f t="shared" ca="1" si="157"/>
        <v>11.122632062873489</v>
      </c>
      <c r="N353">
        <f t="shared" ca="1" si="158"/>
        <v>1.1735290000551568</v>
      </c>
      <c r="O353">
        <f t="shared" ca="1" si="159"/>
        <v>4.5807502857230418</v>
      </c>
      <c r="P353">
        <f t="shared" ca="1" si="160"/>
        <v>634.55596770439877</v>
      </c>
      <c r="Q353">
        <f t="shared" ca="1" si="161"/>
        <v>635.62545155659814</v>
      </c>
      <c r="R353">
        <f t="shared" ca="1" si="162"/>
        <v>3.8141460404132466E-3</v>
      </c>
      <c r="S353">
        <f t="shared" ca="1" si="163"/>
        <v>1.0000000000000004</v>
      </c>
      <c r="T353">
        <f t="shared" ca="1" si="164"/>
        <v>35.686426155594638</v>
      </c>
      <c r="U353">
        <f t="shared" ca="1" si="185"/>
        <v>-3.3589570674621427E-3</v>
      </c>
      <c r="V353">
        <f t="shared" ca="1" si="186"/>
        <v>1</v>
      </c>
      <c r="W353">
        <f t="shared" ca="1" si="165"/>
        <v>2.1304482007127259</v>
      </c>
      <c r="X353">
        <f t="shared" ca="1" si="166"/>
        <v>11.078330643706176</v>
      </c>
      <c r="Y353">
        <f t="shared" ca="1" si="167"/>
        <v>1.170959935893287</v>
      </c>
      <c r="Z353">
        <f t="shared" ca="1" si="168"/>
        <v>4.5990683649567483</v>
      </c>
      <c r="AA353">
        <f t="shared" ca="1" si="169"/>
        <v>634.54744820071278</v>
      </c>
      <c r="AB353">
        <f t="shared" ca="1" si="170"/>
        <v>635.62550272800866</v>
      </c>
      <c r="AC353">
        <f t="shared" ca="1" si="171"/>
        <v>3.8559630846221357E-3</v>
      </c>
      <c r="AD353">
        <f t="shared" ca="1" si="172"/>
        <v>1.0060043810712442</v>
      </c>
      <c r="AE353">
        <f t="shared" ca="1" si="173"/>
        <v>35.686993804049351</v>
      </c>
      <c r="AF353">
        <f t="shared" ca="1" si="174"/>
        <v>3.4044755384456948E-3</v>
      </c>
      <c r="AG353">
        <f t="shared" ca="1" si="175"/>
        <v>0</v>
      </c>
      <c r="AH353">
        <f ca="1">IFERROR(IF(V32="Supercritical",MAX($D$16,IFERROR(L353,MAX($D$16,POWER((ABS(K353)^2)/($I$5*MAX(F353,0.1)^2),1/3)))),IF(V32="Subcritical",MAX($D$16,IFERROR(W353,MAX($D$16,POWER((ABS(K353)^2)/($I$5*MAX(F353,0.1)^2),1/3)))),IF(AND(IFERROR(V353,0)=1,IFERROR(AG353,0)=1),IF(IFERROR(T353,-1E+99)&gt;=IFERROR(AE353,-1E+99),MAX($D$16,IFERROR(L353,MAX($D$16,POWER((ABS(K353)^2)/($I$5*MAX(F353,0.1)^2),1/3)))),MAX($D$16,IFERROR(W353,MAX($D$16,POWER((ABS(K353)^2)/($I$5*MAX(F353,0.1)^2),1/3))))),IF(IFERROR(V353,0)=1,MAX($D$16,IFERROR(L353,MAX($D$16,POWER((ABS(K353)^2)/($I$5*MAX(F353,0.1)^2),1/3)))),IF(IFERROR(AG353,0)=1,MAX($D$16,IFERROR(W353,MAX($D$16,POWER((ABS(K353)^2)/($I$5*MAX(F353,0.1)^2),1/3)))),MAX($D$16,POWER((ABS(K353)^2)/($I$5*MAX(F353,0.1)^2),1/3))))))),MAX($D$16,POWER((ABS(K353)^2)/($I$5*MAX(F353,0.1)^2),1/3)))</f>
        <v>2.1389677043987478</v>
      </c>
      <c r="AI353">
        <f t="shared" ca="1" si="176"/>
        <v>634.55596770439877</v>
      </c>
      <c r="AJ353">
        <f t="shared" ca="1" si="177"/>
        <v>635.62545155659814</v>
      </c>
      <c r="AM353">
        <v>0</v>
      </c>
      <c r="AN353">
        <v>0</v>
      </c>
      <c r="AO353">
        <f t="shared" si="178"/>
        <v>0</v>
      </c>
      <c r="AP353">
        <f t="shared" si="187"/>
        <v>0</v>
      </c>
      <c r="AQ353">
        <f t="shared" ca="1" si="179"/>
        <v>1.0000000000000004</v>
      </c>
      <c r="AR353" t="str">
        <f t="shared" ca="1" si="180"/>
        <v>Supercritical</v>
      </c>
      <c r="AS353">
        <f t="shared" ca="1" si="181"/>
        <v>3.8141460404132466E-3</v>
      </c>
    </row>
    <row r="354" spans="1:45" x14ac:dyDescent="0.35">
      <c r="A354">
        <v>293</v>
      </c>
      <c r="B354">
        <v>291.99599999999998</v>
      </c>
      <c r="C354">
        <v>616304.25600000005</v>
      </c>
      <c r="D354">
        <v>3097662.1690000002</v>
      </c>
      <c r="E354">
        <v>632.41650000000004</v>
      </c>
      <c r="F354">
        <v>5.2</v>
      </c>
      <c r="G354">
        <v>0</v>
      </c>
      <c r="H354" t="s">
        <v>154</v>
      </c>
      <c r="I354">
        <v>2.7E-2</v>
      </c>
      <c r="J354">
        <f t="shared" si="182"/>
        <v>1</v>
      </c>
      <c r="K354">
        <f t="shared" ca="1" si="183"/>
        <v>50.95</v>
      </c>
      <c r="L354">
        <f t="shared" ca="1" si="184"/>
        <v>2.1389677043987478</v>
      </c>
      <c r="M354">
        <f t="shared" ca="1" si="157"/>
        <v>11.122632062873489</v>
      </c>
      <c r="N354">
        <f t="shared" ca="1" si="158"/>
        <v>1.1735290000551568</v>
      </c>
      <c r="O354">
        <f t="shared" ca="1" si="159"/>
        <v>4.5807502857230418</v>
      </c>
      <c r="P354">
        <f t="shared" ca="1" si="160"/>
        <v>634.55546770439878</v>
      </c>
      <c r="Q354">
        <f t="shared" ca="1" si="161"/>
        <v>635.62495155659815</v>
      </c>
      <c r="R354">
        <f t="shared" ca="1" si="162"/>
        <v>3.8141460404132466E-3</v>
      </c>
      <c r="S354">
        <f t="shared" ca="1" si="163"/>
        <v>1.0000000000000004</v>
      </c>
      <c r="T354">
        <f t="shared" ca="1" si="164"/>
        <v>35.686426155594638</v>
      </c>
      <c r="U354">
        <f t="shared" ca="1" si="185"/>
        <v>-3.3622728137743252E-3</v>
      </c>
      <c r="V354">
        <f t="shared" ca="1" si="186"/>
        <v>1</v>
      </c>
      <c r="W354">
        <f t="shared" ca="1" si="165"/>
        <v>2.1278378170638232</v>
      </c>
      <c r="X354">
        <f t="shared" ca="1" si="166"/>
        <v>11.064756648731882</v>
      </c>
      <c r="Y354">
        <f t="shared" ca="1" si="167"/>
        <v>1.170170919230425</v>
      </c>
      <c r="Z354">
        <f t="shared" ca="1" si="168"/>
        <v>4.6047103987451292</v>
      </c>
      <c r="AA354">
        <f t="shared" ca="1" si="169"/>
        <v>634.54433781706382</v>
      </c>
      <c r="AB354">
        <f t="shared" ca="1" si="170"/>
        <v>635.62503903298182</v>
      </c>
      <c r="AC354">
        <f t="shared" ca="1" si="171"/>
        <v>3.8689052447773765E-3</v>
      </c>
      <c r="AD354">
        <f t="shared" ca="1" si="172"/>
        <v>1.0078561640867068</v>
      </c>
      <c r="AE354">
        <f t="shared" ca="1" si="173"/>
        <v>35.687395745133088</v>
      </c>
      <c r="AF354">
        <f t="shared" ca="1" si="174"/>
        <v>3.417536799474874E-3</v>
      </c>
      <c r="AG354">
        <f t="shared" ca="1" si="175"/>
        <v>0</v>
      </c>
      <c r="AH354">
        <f ca="1">IFERROR(IF(V32="Supercritical",MAX($D$16,IFERROR(L354,MAX($D$16,POWER((ABS(K354)^2)/($I$5*MAX(F354,0.1)^2),1/3)))),IF(V32="Subcritical",MAX($D$16,IFERROR(W354,MAX($D$16,POWER((ABS(K354)^2)/($I$5*MAX(F354,0.1)^2),1/3)))),IF(AND(IFERROR(V354,0)=1,IFERROR(AG354,0)=1),IF(IFERROR(T354,-1E+99)&gt;=IFERROR(AE354,-1E+99),MAX($D$16,IFERROR(L354,MAX($D$16,POWER((ABS(K354)^2)/($I$5*MAX(F354,0.1)^2),1/3)))),MAX($D$16,IFERROR(W354,MAX($D$16,POWER((ABS(K354)^2)/($I$5*MAX(F354,0.1)^2),1/3))))),IF(IFERROR(V354,0)=1,MAX($D$16,IFERROR(L354,MAX($D$16,POWER((ABS(K354)^2)/($I$5*MAX(F354,0.1)^2),1/3)))),IF(IFERROR(AG354,0)=1,MAX($D$16,IFERROR(W354,MAX($D$16,POWER((ABS(K354)^2)/($I$5*MAX(F354,0.1)^2),1/3)))),MAX($D$16,POWER((ABS(K354)^2)/($I$5*MAX(F354,0.1)^2),1/3))))))),MAX($D$16,POWER((ABS(K354)^2)/($I$5*MAX(F354,0.1)^2),1/3)))</f>
        <v>2.1389677043987478</v>
      </c>
      <c r="AI354">
        <f t="shared" ca="1" si="176"/>
        <v>634.55546770439878</v>
      </c>
      <c r="AJ354">
        <f t="shared" ca="1" si="177"/>
        <v>635.62495155659815</v>
      </c>
      <c r="AM354">
        <v>0</v>
      </c>
      <c r="AN354">
        <v>0</v>
      </c>
      <c r="AO354">
        <f t="shared" si="178"/>
        <v>0</v>
      </c>
      <c r="AP354">
        <f t="shared" si="187"/>
        <v>0</v>
      </c>
      <c r="AQ354">
        <f t="shared" ca="1" si="179"/>
        <v>1.0000000000000004</v>
      </c>
      <c r="AR354" t="str">
        <f t="shared" ca="1" si="180"/>
        <v>Supercritical</v>
      </c>
      <c r="AS354">
        <f t="shared" ca="1" si="181"/>
        <v>3.8141460404132466E-3</v>
      </c>
    </row>
    <row r="355" spans="1:45" x14ac:dyDescent="0.35">
      <c r="A355">
        <v>294</v>
      </c>
      <c r="B355">
        <v>292.99599999999998</v>
      </c>
      <c r="C355">
        <v>616303.78200000001</v>
      </c>
      <c r="D355">
        <v>3097661.2880000002</v>
      </c>
      <c r="E355">
        <v>632.41600000000005</v>
      </c>
      <c r="F355">
        <v>5.2</v>
      </c>
      <c r="G355">
        <v>0</v>
      </c>
      <c r="H355" t="s">
        <v>154</v>
      </c>
      <c r="I355">
        <v>2.7E-2</v>
      </c>
      <c r="J355">
        <f t="shared" si="182"/>
        <v>1</v>
      </c>
      <c r="K355">
        <f t="shared" ca="1" si="183"/>
        <v>50.95</v>
      </c>
      <c r="L355">
        <f t="shared" ca="1" si="184"/>
        <v>2.1389677043987478</v>
      </c>
      <c r="M355">
        <f t="shared" ca="1" si="157"/>
        <v>11.122632062873489</v>
      </c>
      <c r="N355">
        <f t="shared" ca="1" si="158"/>
        <v>1.1735290000551568</v>
      </c>
      <c r="O355">
        <f t="shared" ca="1" si="159"/>
        <v>4.5807502857230418</v>
      </c>
      <c r="P355">
        <f t="shared" ca="1" si="160"/>
        <v>634.55496770439879</v>
      </c>
      <c r="Q355">
        <f t="shared" ca="1" si="161"/>
        <v>635.62445155659816</v>
      </c>
      <c r="R355">
        <f t="shared" ca="1" si="162"/>
        <v>3.8141460404132466E-3</v>
      </c>
      <c r="S355">
        <f t="shared" ca="1" si="163"/>
        <v>1.0000000000000004</v>
      </c>
      <c r="T355">
        <f t="shared" ca="1" si="164"/>
        <v>35.686426155594638</v>
      </c>
      <c r="U355">
        <f t="shared" ca="1" si="185"/>
        <v>-3.3622728137743252E-3</v>
      </c>
      <c r="V355">
        <f t="shared" ca="1" si="186"/>
        <v>1</v>
      </c>
      <c r="W355">
        <f t="shared" ca="1" si="165"/>
        <v>2.1251270822627983</v>
      </c>
      <c r="X355">
        <f t="shared" ca="1" si="166"/>
        <v>11.050660827766551</v>
      </c>
      <c r="Y355">
        <f t="shared" ca="1" si="167"/>
        <v>1.1693506476522684</v>
      </c>
      <c r="Z355">
        <f t="shared" ca="1" si="168"/>
        <v>4.610583999825602</v>
      </c>
      <c r="AA355">
        <f t="shared" ca="1" si="169"/>
        <v>634.54112708226285</v>
      </c>
      <c r="AB355">
        <f t="shared" ca="1" si="170"/>
        <v>635.62458706286668</v>
      </c>
      <c r="AC355">
        <f t="shared" ca="1" si="171"/>
        <v>3.8824098637188944E-3</v>
      </c>
      <c r="AD355">
        <f t="shared" ca="1" si="172"/>
        <v>1.009785155888564</v>
      </c>
      <c r="AE355">
        <f t="shared" ca="1" si="173"/>
        <v>35.687926833217354</v>
      </c>
      <c r="AF355">
        <f t="shared" ca="1" si="174"/>
        <v>3.472698195423618E-3</v>
      </c>
      <c r="AG355">
        <f t="shared" ca="1" si="175"/>
        <v>0</v>
      </c>
      <c r="AH355">
        <f ca="1">IFERROR(IF(V32="Supercritical",MAX($D$16,IFERROR(L355,MAX($D$16,POWER((ABS(K355)^2)/($I$5*MAX(F355,0.1)^2),1/3)))),IF(V32="Subcritical",MAX($D$16,IFERROR(W355,MAX($D$16,POWER((ABS(K355)^2)/($I$5*MAX(F355,0.1)^2),1/3)))),IF(AND(IFERROR(V355,0)=1,IFERROR(AG355,0)=1),IF(IFERROR(T355,-1E+99)&gt;=IFERROR(AE355,-1E+99),MAX($D$16,IFERROR(L355,MAX($D$16,POWER((ABS(K355)^2)/($I$5*MAX(F355,0.1)^2),1/3)))),MAX($D$16,IFERROR(W355,MAX($D$16,POWER((ABS(K355)^2)/($I$5*MAX(F355,0.1)^2),1/3))))),IF(IFERROR(V355,0)=1,MAX($D$16,IFERROR(L355,MAX($D$16,POWER((ABS(K355)^2)/($I$5*MAX(F355,0.1)^2),1/3)))),IF(IFERROR(AG355,0)=1,MAX($D$16,IFERROR(W355,MAX($D$16,POWER((ABS(K355)^2)/($I$5*MAX(F355,0.1)^2),1/3)))),MAX($D$16,POWER((ABS(K355)^2)/($I$5*MAX(F355,0.1)^2),1/3))))))),MAX($D$16,POWER((ABS(K355)^2)/($I$5*MAX(F355,0.1)^2),1/3)))</f>
        <v>2.1389677043987478</v>
      </c>
      <c r="AI355">
        <f t="shared" ca="1" si="176"/>
        <v>634.55496770439879</v>
      </c>
      <c r="AJ355">
        <f t="shared" ca="1" si="177"/>
        <v>635.62445155659816</v>
      </c>
      <c r="AM355">
        <v>0</v>
      </c>
      <c r="AN355">
        <v>0</v>
      </c>
      <c r="AO355">
        <f t="shared" si="178"/>
        <v>0</v>
      </c>
      <c r="AP355">
        <f t="shared" si="187"/>
        <v>0</v>
      </c>
      <c r="AQ355">
        <f t="shared" ca="1" si="179"/>
        <v>1.0000000000000004</v>
      </c>
      <c r="AR355" t="str">
        <f t="shared" ca="1" si="180"/>
        <v>Supercritical</v>
      </c>
      <c r="AS355">
        <f t="shared" ca="1" si="181"/>
        <v>3.8141460404132466E-3</v>
      </c>
    </row>
    <row r="356" spans="1:45" x14ac:dyDescent="0.35">
      <c r="A356">
        <v>295</v>
      </c>
      <c r="B356">
        <v>293.99599999999998</v>
      </c>
      <c r="C356">
        <v>616303.30799999996</v>
      </c>
      <c r="D356">
        <v>3097660.4079999998</v>
      </c>
      <c r="E356">
        <v>632.41549999999995</v>
      </c>
      <c r="F356">
        <v>5.2</v>
      </c>
      <c r="G356">
        <v>0</v>
      </c>
      <c r="H356" t="s">
        <v>154</v>
      </c>
      <c r="I356">
        <v>0.05</v>
      </c>
      <c r="J356">
        <f t="shared" si="182"/>
        <v>1</v>
      </c>
      <c r="K356">
        <f t="shared" ca="1" si="183"/>
        <v>50.95</v>
      </c>
      <c r="L356">
        <f t="shared" ca="1" si="184"/>
        <v>2.1389677043987478</v>
      </c>
      <c r="M356">
        <f t="shared" ca="1" si="157"/>
        <v>11.122632062873489</v>
      </c>
      <c r="N356">
        <f t="shared" ca="1" si="158"/>
        <v>1.1735290000551568</v>
      </c>
      <c r="O356">
        <f t="shared" ca="1" si="159"/>
        <v>4.5807502857230418</v>
      </c>
      <c r="P356">
        <f t="shared" ca="1" si="160"/>
        <v>634.55446770439869</v>
      </c>
      <c r="Q356">
        <f t="shared" ca="1" si="161"/>
        <v>635.62395155659806</v>
      </c>
      <c r="R356">
        <f t="shared" ca="1" si="162"/>
        <v>3.8141460404132466E-3</v>
      </c>
      <c r="S356">
        <f t="shared" ca="1" si="163"/>
        <v>1.0000000000000004</v>
      </c>
      <c r="T356">
        <f t="shared" ca="1" si="164"/>
        <v>35.686426155594638</v>
      </c>
      <c r="U356">
        <f t="shared" ca="1" si="185"/>
        <v>-3.4032696946724172E-3</v>
      </c>
      <c r="V356">
        <f t="shared" ca="1" si="186"/>
        <v>1</v>
      </c>
      <c r="W356">
        <f t="shared" ca="1" si="165"/>
        <v>2.1223132738532451</v>
      </c>
      <c r="X356">
        <f t="shared" ca="1" si="166"/>
        <v>11.036029024036875</v>
      </c>
      <c r="Y356">
        <f t="shared" ca="1" si="167"/>
        <v>1.1684981897687459</v>
      </c>
      <c r="Z356">
        <f t="shared" ca="1" si="168"/>
        <v>4.6166968108754549</v>
      </c>
      <c r="AA356">
        <f t="shared" ca="1" si="169"/>
        <v>634.5378132738532</v>
      </c>
      <c r="AB356">
        <f t="shared" ca="1" si="170"/>
        <v>635.62414810787709</v>
      </c>
      <c r="AC356">
        <f t="shared" ca="1" si="171"/>
        <v>3.8964983943852306E-3</v>
      </c>
      <c r="AD356">
        <f t="shared" ca="1" si="172"/>
        <v>1.0117940135594665</v>
      </c>
      <c r="AE356">
        <f t="shared" ca="1" si="173"/>
        <v>35.688600960390161</v>
      </c>
      <c r="AF356">
        <f t="shared" ca="1" si="174"/>
        <v>3.5377219228394097E-3</v>
      </c>
      <c r="AG356">
        <f t="shared" ca="1" si="175"/>
        <v>0</v>
      </c>
      <c r="AH356">
        <f ca="1">IFERROR(IF(V32="Supercritical",MAX($D$16,IFERROR(L356,MAX($D$16,POWER((ABS(K356)^2)/($I$5*MAX(F356,0.1)^2),1/3)))),IF(V32="Subcritical",MAX($D$16,IFERROR(W356,MAX($D$16,POWER((ABS(K356)^2)/($I$5*MAX(F356,0.1)^2),1/3)))),IF(AND(IFERROR(V356,0)=1,IFERROR(AG356,0)=1),IF(IFERROR(T356,-1E+99)&gt;=IFERROR(AE356,-1E+99),MAX($D$16,IFERROR(L356,MAX($D$16,POWER((ABS(K356)^2)/($I$5*MAX(F356,0.1)^2),1/3)))),MAX($D$16,IFERROR(W356,MAX($D$16,POWER((ABS(K356)^2)/($I$5*MAX(F356,0.1)^2),1/3))))),IF(IFERROR(V356,0)=1,MAX($D$16,IFERROR(L356,MAX($D$16,POWER((ABS(K356)^2)/($I$5*MAX(F356,0.1)^2),1/3)))),IF(IFERROR(AG356,0)=1,MAX($D$16,IFERROR(W356,MAX($D$16,POWER((ABS(K356)^2)/($I$5*MAX(F356,0.1)^2),1/3)))),MAX($D$16,POWER((ABS(K356)^2)/($I$5*MAX(F356,0.1)^2),1/3))))))),MAX($D$16,POWER((ABS(K356)^2)/($I$5*MAX(F356,0.1)^2),1/3)))</f>
        <v>2.1389677043987478</v>
      </c>
      <c r="AI356">
        <f t="shared" ca="1" si="176"/>
        <v>634.55446770439869</v>
      </c>
      <c r="AJ356">
        <f t="shared" ca="1" si="177"/>
        <v>635.62395155659806</v>
      </c>
      <c r="AM356">
        <v>0</v>
      </c>
      <c r="AN356">
        <v>0</v>
      </c>
      <c r="AO356">
        <f t="shared" si="178"/>
        <v>0</v>
      </c>
      <c r="AP356">
        <f t="shared" si="187"/>
        <v>0</v>
      </c>
      <c r="AQ356">
        <f t="shared" ca="1" si="179"/>
        <v>1.0000000000000004</v>
      </c>
      <c r="AR356" t="str">
        <f t="shared" ca="1" si="180"/>
        <v>Supercritical</v>
      </c>
      <c r="AS356">
        <f t="shared" ca="1" si="181"/>
        <v>3.8141460404132466E-3</v>
      </c>
    </row>
    <row r="357" spans="1:45" x14ac:dyDescent="0.35">
      <c r="A357">
        <v>296</v>
      </c>
      <c r="B357">
        <v>294.99599999999998</v>
      </c>
      <c r="C357">
        <v>616302.83299999998</v>
      </c>
      <c r="D357">
        <v>3097659.5279999999</v>
      </c>
      <c r="E357">
        <v>632.41499999999996</v>
      </c>
      <c r="F357">
        <v>5.2</v>
      </c>
      <c r="G357">
        <v>0</v>
      </c>
      <c r="H357" t="s">
        <v>154</v>
      </c>
      <c r="I357">
        <v>7.8E-2</v>
      </c>
      <c r="J357">
        <f t="shared" si="182"/>
        <v>1</v>
      </c>
      <c r="K357">
        <f t="shared" ca="1" si="183"/>
        <v>50.95</v>
      </c>
      <c r="L357">
        <f t="shared" ca="1" si="184"/>
        <v>2.1389677043987478</v>
      </c>
      <c r="M357">
        <f t="shared" ca="1" si="157"/>
        <v>11.122632062873489</v>
      </c>
      <c r="N357">
        <f t="shared" ca="1" si="158"/>
        <v>1.1735290000551568</v>
      </c>
      <c r="O357">
        <f t="shared" ca="1" si="159"/>
        <v>4.5807502857230418</v>
      </c>
      <c r="P357">
        <f t="shared" ca="1" si="160"/>
        <v>634.5539677043987</v>
      </c>
      <c r="Q357">
        <f t="shared" ca="1" si="161"/>
        <v>635.62345155659807</v>
      </c>
      <c r="R357">
        <f t="shared" ca="1" si="162"/>
        <v>3.8141460404132466E-3</v>
      </c>
      <c r="S357">
        <f t="shared" ca="1" si="163"/>
        <v>1.0000000000000004</v>
      </c>
      <c r="T357">
        <f t="shared" ca="1" si="164"/>
        <v>35.686426155594638</v>
      </c>
      <c r="U357">
        <f t="shared" ca="1" si="185"/>
        <v>-3.4531789411857972E-3</v>
      </c>
      <c r="V357">
        <f t="shared" ca="1" si="186"/>
        <v>1</v>
      </c>
      <c r="W357">
        <f t="shared" ca="1" si="165"/>
        <v>2.1193937023661129</v>
      </c>
      <c r="X357">
        <f t="shared" ca="1" si="166"/>
        <v>11.020847252303788</v>
      </c>
      <c r="Y357">
        <f t="shared" ca="1" si="167"/>
        <v>1.1676126158724989</v>
      </c>
      <c r="Z357">
        <f t="shared" ca="1" si="168"/>
        <v>4.6230565430756201</v>
      </c>
      <c r="AA357">
        <f t="shared" ca="1" si="169"/>
        <v>634.53439370236606</v>
      </c>
      <c r="AB357">
        <f t="shared" ca="1" si="170"/>
        <v>635.62372355967875</v>
      </c>
      <c r="AC357">
        <f t="shared" ca="1" si="171"/>
        <v>3.9111927873874868E-3</v>
      </c>
      <c r="AD357">
        <f t="shared" ca="1" si="172"/>
        <v>1.0138854291648214</v>
      </c>
      <c r="AE357">
        <f t="shared" ca="1" si="173"/>
        <v>35.689433060269081</v>
      </c>
      <c r="AF357">
        <f t="shared" ca="1" si="174"/>
        <v>3.4602126310119274E-3</v>
      </c>
      <c r="AG357">
        <f t="shared" ca="1" si="175"/>
        <v>0</v>
      </c>
      <c r="AH357">
        <f ca="1">IFERROR(IF(V32="Supercritical",MAX($D$16,IFERROR(L357,MAX($D$16,POWER((ABS(K357)^2)/($I$5*MAX(F357,0.1)^2),1/3)))),IF(V32="Subcritical",MAX($D$16,IFERROR(W357,MAX($D$16,POWER((ABS(K357)^2)/($I$5*MAX(F357,0.1)^2),1/3)))),IF(AND(IFERROR(V357,0)=1,IFERROR(AG357,0)=1),IF(IFERROR(T357,-1E+99)&gt;=IFERROR(AE357,-1E+99),MAX($D$16,IFERROR(L357,MAX($D$16,POWER((ABS(K357)^2)/($I$5*MAX(F357,0.1)^2),1/3)))),MAX($D$16,IFERROR(W357,MAX($D$16,POWER((ABS(K357)^2)/($I$5*MAX(F357,0.1)^2),1/3))))),IF(IFERROR(V357,0)=1,MAX($D$16,IFERROR(L357,MAX($D$16,POWER((ABS(K357)^2)/($I$5*MAX(F357,0.1)^2),1/3)))),IF(IFERROR(AG357,0)=1,MAX($D$16,IFERROR(W357,MAX($D$16,POWER((ABS(K357)^2)/($I$5*MAX(F357,0.1)^2),1/3)))),MAX($D$16,POWER((ABS(K357)^2)/($I$5*MAX(F357,0.1)^2),1/3))))))),MAX($D$16,POWER((ABS(K357)^2)/($I$5*MAX(F357,0.1)^2),1/3)))</f>
        <v>2.1389677043987478</v>
      </c>
      <c r="AI357">
        <f t="shared" ca="1" si="176"/>
        <v>634.5539677043987</v>
      </c>
      <c r="AJ357">
        <f t="shared" ca="1" si="177"/>
        <v>635.62345155659807</v>
      </c>
      <c r="AM357">
        <v>0</v>
      </c>
      <c r="AN357">
        <v>0</v>
      </c>
      <c r="AO357">
        <f t="shared" si="178"/>
        <v>0</v>
      </c>
      <c r="AP357">
        <f t="shared" si="187"/>
        <v>0</v>
      </c>
      <c r="AQ357">
        <f t="shared" ca="1" si="179"/>
        <v>1.0000000000000004</v>
      </c>
      <c r="AR357" t="str">
        <f t="shared" ca="1" si="180"/>
        <v>Supercritical</v>
      </c>
      <c r="AS357">
        <f t="shared" ca="1" si="181"/>
        <v>3.8141460404132466E-3</v>
      </c>
    </row>
    <row r="358" spans="1:45" x14ac:dyDescent="0.35">
      <c r="A358">
        <v>297</v>
      </c>
      <c r="B358">
        <v>295.99599999999998</v>
      </c>
      <c r="C358">
        <v>616302.35900000005</v>
      </c>
      <c r="D358">
        <v>3097658.6469999999</v>
      </c>
      <c r="E358">
        <v>632.41449999999998</v>
      </c>
      <c r="F358">
        <v>5.2</v>
      </c>
      <c r="G358">
        <v>0</v>
      </c>
      <c r="H358" t="s">
        <v>154</v>
      </c>
      <c r="I358">
        <v>2.7E-2</v>
      </c>
      <c r="J358">
        <f t="shared" si="182"/>
        <v>1</v>
      </c>
      <c r="K358">
        <f t="shared" ca="1" si="183"/>
        <v>50.95</v>
      </c>
      <c r="L358">
        <f t="shared" ca="1" si="184"/>
        <v>2.1389677043987478</v>
      </c>
      <c r="M358">
        <f t="shared" ca="1" si="157"/>
        <v>11.122632062873489</v>
      </c>
      <c r="N358">
        <f t="shared" ca="1" si="158"/>
        <v>1.1735290000551568</v>
      </c>
      <c r="O358">
        <f t="shared" ca="1" si="159"/>
        <v>4.5807502857230418</v>
      </c>
      <c r="P358">
        <f t="shared" ca="1" si="160"/>
        <v>634.55346770439871</v>
      </c>
      <c r="Q358">
        <f t="shared" ca="1" si="161"/>
        <v>635.62295155659808</v>
      </c>
      <c r="R358">
        <f t="shared" ca="1" si="162"/>
        <v>3.8141460404132466E-3</v>
      </c>
      <c r="S358">
        <f t="shared" ca="1" si="163"/>
        <v>1.0000000000000004</v>
      </c>
      <c r="T358">
        <f t="shared" ca="1" si="164"/>
        <v>35.686426155594638</v>
      </c>
      <c r="U358">
        <f t="shared" ca="1" si="185"/>
        <v>-3.3622728137743252E-3</v>
      </c>
      <c r="V358">
        <f t="shared" ca="1" si="186"/>
        <v>1</v>
      </c>
      <c r="W358">
        <f t="shared" ca="1" si="165"/>
        <v>2.1163657237876343</v>
      </c>
      <c r="X358">
        <f t="shared" ca="1" si="166"/>
        <v>11.005101763695698</v>
      </c>
      <c r="Y358">
        <f t="shared" ca="1" si="167"/>
        <v>1.1666930013707342</v>
      </c>
      <c r="Z358">
        <f t="shared" ca="1" si="168"/>
        <v>4.6296709557086491</v>
      </c>
      <c r="AA358">
        <f t="shared" ca="1" si="169"/>
        <v>634.53086572378766</v>
      </c>
      <c r="AB358">
        <f t="shared" ca="1" si="170"/>
        <v>635.62331491635302</v>
      </c>
      <c r="AC358">
        <f t="shared" ca="1" si="171"/>
        <v>3.9265154646969287E-3</v>
      </c>
      <c r="AD358">
        <f t="shared" ca="1" si="172"/>
        <v>1.0160621237472307</v>
      </c>
      <c r="AE358">
        <f t="shared" ca="1" si="173"/>
        <v>35.690439151438035</v>
      </c>
      <c r="AF358">
        <f t="shared" ca="1" si="174"/>
        <v>3.4756756783735909E-3</v>
      </c>
      <c r="AG358">
        <f t="shared" ca="1" si="175"/>
        <v>0</v>
      </c>
      <c r="AH358">
        <f ca="1">IFERROR(IF(V32="Supercritical",MAX($D$16,IFERROR(L358,MAX($D$16,POWER((ABS(K358)^2)/($I$5*MAX(F358,0.1)^2),1/3)))),IF(V32="Subcritical",MAX($D$16,IFERROR(W358,MAX($D$16,POWER((ABS(K358)^2)/($I$5*MAX(F358,0.1)^2),1/3)))),IF(AND(IFERROR(V358,0)=1,IFERROR(AG358,0)=1),IF(IFERROR(T358,-1E+99)&gt;=IFERROR(AE358,-1E+99),MAX($D$16,IFERROR(L358,MAX($D$16,POWER((ABS(K358)^2)/($I$5*MAX(F358,0.1)^2),1/3)))),MAX($D$16,IFERROR(W358,MAX($D$16,POWER((ABS(K358)^2)/($I$5*MAX(F358,0.1)^2),1/3))))),IF(IFERROR(V358,0)=1,MAX($D$16,IFERROR(L358,MAX($D$16,POWER((ABS(K358)^2)/($I$5*MAX(F358,0.1)^2),1/3)))),IF(IFERROR(AG358,0)=1,MAX($D$16,IFERROR(W358,MAX($D$16,POWER((ABS(K358)^2)/($I$5*MAX(F358,0.1)^2),1/3)))),MAX($D$16,POWER((ABS(K358)^2)/($I$5*MAX(F358,0.1)^2),1/3))))))),MAX($D$16,POWER((ABS(K358)^2)/($I$5*MAX(F358,0.1)^2),1/3)))</f>
        <v>2.1389677043987478</v>
      </c>
      <c r="AI358">
        <f t="shared" ca="1" si="176"/>
        <v>634.55346770439871</v>
      </c>
      <c r="AJ358">
        <f t="shared" ca="1" si="177"/>
        <v>635.62295155659808</v>
      </c>
      <c r="AM358">
        <v>0</v>
      </c>
      <c r="AN358">
        <v>0</v>
      </c>
      <c r="AO358">
        <f t="shared" si="178"/>
        <v>0</v>
      </c>
      <c r="AP358">
        <f t="shared" si="187"/>
        <v>0</v>
      </c>
      <c r="AQ358">
        <f t="shared" ca="1" si="179"/>
        <v>1.0000000000000004</v>
      </c>
      <c r="AR358" t="str">
        <f t="shared" ca="1" si="180"/>
        <v>Supercritical</v>
      </c>
      <c r="AS358">
        <f t="shared" ca="1" si="181"/>
        <v>3.8141460404132466E-3</v>
      </c>
    </row>
    <row r="359" spans="1:45" x14ac:dyDescent="0.35">
      <c r="A359">
        <v>298</v>
      </c>
      <c r="B359">
        <v>296.99599999999998</v>
      </c>
      <c r="C359">
        <v>616301.88500000001</v>
      </c>
      <c r="D359">
        <v>3097657.767</v>
      </c>
      <c r="E359">
        <v>632.41399999999999</v>
      </c>
      <c r="F359">
        <v>5.2</v>
      </c>
      <c r="G359">
        <v>0</v>
      </c>
      <c r="H359" t="s">
        <v>154</v>
      </c>
      <c r="I359">
        <v>2.7E-2</v>
      </c>
      <c r="J359">
        <f t="shared" si="182"/>
        <v>1</v>
      </c>
      <c r="K359">
        <f t="shared" ca="1" si="183"/>
        <v>50.95</v>
      </c>
      <c r="L359">
        <f t="shared" ca="1" si="184"/>
        <v>2.1389677043987478</v>
      </c>
      <c r="M359">
        <f t="shared" ca="1" si="157"/>
        <v>11.122632062873489</v>
      </c>
      <c r="N359">
        <f t="shared" ca="1" si="158"/>
        <v>1.1735290000551568</v>
      </c>
      <c r="O359">
        <f t="shared" ca="1" si="159"/>
        <v>4.5807502857230418</v>
      </c>
      <c r="P359">
        <f t="shared" ca="1" si="160"/>
        <v>634.55296770439872</v>
      </c>
      <c r="Q359">
        <f t="shared" ca="1" si="161"/>
        <v>635.62245155659809</v>
      </c>
      <c r="R359">
        <f t="shared" ca="1" si="162"/>
        <v>3.8141460404132466E-3</v>
      </c>
      <c r="S359">
        <f t="shared" ca="1" si="163"/>
        <v>1.0000000000000004</v>
      </c>
      <c r="T359">
        <f t="shared" ca="1" si="164"/>
        <v>35.686426155594638</v>
      </c>
      <c r="U359">
        <f t="shared" ca="1" si="185"/>
        <v>-3.3622728137743252E-3</v>
      </c>
      <c r="V359">
        <f t="shared" ca="1" si="186"/>
        <v>1</v>
      </c>
      <c r="W359">
        <f t="shared" ca="1" si="165"/>
        <v>2.1132267530712903</v>
      </c>
      <c r="X359">
        <f t="shared" ca="1" si="166"/>
        <v>10.98877911597071</v>
      </c>
      <c r="Y359">
        <f t="shared" ca="1" si="167"/>
        <v>1.1657384305571621</v>
      </c>
      <c r="Z359">
        <f t="shared" ca="1" si="168"/>
        <v>4.6365478332302672</v>
      </c>
      <c r="AA359">
        <f t="shared" ca="1" si="169"/>
        <v>634.52722675307132</v>
      </c>
      <c r="AB359">
        <f t="shared" ca="1" si="170"/>
        <v>635.62292378721156</v>
      </c>
      <c r="AC359">
        <f t="shared" ca="1" si="171"/>
        <v>3.9424892876667181E-3</v>
      </c>
      <c r="AD359">
        <f t="shared" ca="1" si="172"/>
        <v>1.0183268404854793</v>
      </c>
      <c r="AE359">
        <f t="shared" ca="1" si="173"/>
        <v>35.691636378113685</v>
      </c>
      <c r="AF359">
        <f t="shared" ca="1" si="174"/>
        <v>3.4917956542130923E-3</v>
      </c>
      <c r="AG359">
        <f t="shared" ca="1" si="175"/>
        <v>0</v>
      </c>
      <c r="AH359">
        <f ca="1">IFERROR(IF(V32="Supercritical",MAX($D$16,IFERROR(L359,MAX($D$16,POWER((ABS(K359)^2)/($I$5*MAX(F359,0.1)^2),1/3)))),IF(V32="Subcritical",MAX($D$16,IFERROR(W359,MAX($D$16,POWER((ABS(K359)^2)/($I$5*MAX(F359,0.1)^2),1/3)))),IF(AND(IFERROR(V359,0)=1,IFERROR(AG359,0)=1),IF(IFERROR(T359,-1E+99)&gt;=IFERROR(AE359,-1E+99),MAX($D$16,IFERROR(L359,MAX($D$16,POWER((ABS(K359)^2)/($I$5*MAX(F359,0.1)^2),1/3)))),MAX($D$16,IFERROR(W359,MAX($D$16,POWER((ABS(K359)^2)/($I$5*MAX(F359,0.1)^2),1/3))))),IF(IFERROR(V359,0)=1,MAX($D$16,IFERROR(L359,MAX($D$16,POWER((ABS(K359)^2)/($I$5*MAX(F359,0.1)^2),1/3)))),IF(IFERROR(AG359,0)=1,MAX($D$16,IFERROR(W359,MAX($D$16,POWER((ABS(K359)^2)/($I$5*MAX(F359,0.1)^2),1/3)))),MAX($D$16,POWER((ABS(K359)^2)/($I$5*MAX(F359,0.1)^2),1/3))))))),MAX($D$16,POWER((ABS(K359)^2)/($I$5*MAX(F359,0.1)^2),1/3)))</f>
        <v>2.1389677043987478</v>
      </c>
      <c r="AI359">
        <f t="shared" ca="1" si="176"/>
        <v>634.55296770439872</v>
      </c>
      <c r="AJ359">
        <f t="shared" ca="1" si="177"/>
        <v>635.62245155659809</v>
      </c>
      <c r="AM359">
        <v>0</v>
      </c>
      <c r="AN359">
        <v>0</v>
      </c>
      <c r="AO359">
        <f t="shared" si="178"/>
        <v>0</v>
      </c>
      <c r="AP359">
        <f t="shared" si="187"/>
        <v>0</v>
      </c>
      <c r="AQ359">
        <f t="shared" ca="1" si="179"/>
        <v>1.0000000000000004</v>
      </c>
      <c r="AR359" t="str">
        <f t="shared" ca="1" si="180"/>
        <v>Supercritical</v>
      </c>
      <c r="AS359">
        <f t="shared" ca="1" si="181"/>
        <v>3.8141460404132466E-3</v>
      </c>
    </row>
    <row r="360" spans="1:45" x14ac:dyDescent="0.35">
      <c r="A360">
        <v>299</v>
      </c>
      <c r="B360">
        <v>297.99599999999998</v>
      </c>
      <c r="C360">
        <v>616301.41099999996</v>
      </c>
      <c r="D360">
        <v>3097656.8859999999</v>
      </c>
      <c r="E360">
        <v>632.4135</v>
      </c>
      <c r="F360">
        <v>5.2</v>
      </c>
      <c r="G360">
        <v>0</v>
      </c>
      <c r="H360" t="s">
        <v>154</v>
      </c>
      <c r="I360">
        <v>2.7E-2</v>
      </c>
      <c r="J360">
        <f t="shared" si="182"/>
        <v>1</v>
      </c>
      <c r="K360">
        <f t="shared" ca="1" si="183"/>
        <v>50.95</v>
      </c>
      <c r="L360">
        <f t="shared" ca="1" si="184"/>
        <v>2.1389677043987478</v>
      </c>
      <c r="M360">
        <f t="shared" ca="1" si="157"/>
        <v>11.122632062873489</v>
      </c>
      <c r="N360">
        <f t="shared" ca="1" si="158"/>
        <v>1.1735290000551568</v>
      </c>
      <c r="O360">
        <f t="shared" ca="1" si="159"/>
        <v>4.5807502857230418</v>
      </c>
      <c r="P360">
        <f t="shared" ca="1" si="160"/>
        <v>634.55246770439874</v>
      </c>
      <c r="Q360">
        <f t="shared" ca="1" si="161"/>
        <v>635.62195155659811</v>
      </c>
      <c r="R360">
        <f t="shared" ca="1" si="162"/>
        <v>3.8141460404132466E-3</v>
      </c>
      <c r="S360">
        <f t="shared" ca="1" si="163"/>
        <v>1.0000000000000004</v>
      </c>
      <c r="T360">
        <f t="shared" ca="1" si="164"/>
        <v>35.686426155594638</v>
      </c>
      <c r="U360">
        <f t="shared" ca="1" si="185"/>
        <v>-3.3622728137743252E-3</v>
      </c>
      <c r="V360">
        <f t="shared" ca="1" si="186"/>
        <v>1</v>
      </c>
      <c r="W360">
        <f t="shared" ca="1" si="165"/>
        <v>2.109974278718624</v>
      </c>
      <c r="X360">
        <f t="shared" ca="1" si="166"/>
        <v>10.971866249336845</v>
      </c>
      <c r="Y360">
        <f t="shared" ca="1" si="167"/>
        <v>1.1647480007387434</v>
      </c>
      <c r="Z360">
        <f t="shared" ca="1" si="168"/>
        <v>4.6436949596500501</v>
      </c>
      <c r="AA360">
        <f t="shared" ca="1" si="169"/>
        <v>634.5234742787186</v>
      </c>
      <c r="AB360">
        <f t="shared" ca="1" si="170"/>
        <v>635.62255189738721</v>
      </c>
      <c r="AC360">
        <f t="shared" ca="1" si="171"/>
        <v>3.9591375188101638E-3</v>
      </c>
      <c r="AD360">
        <f t="shared" ca="1" si="172"/>
        <v>1.0206823369556708</v>
      </c>
      <c r="AE360">
        <f t="shared" ca="1" si="173"/>
        <v>35.693043047165411</v>
      </c>
      <c r="AF360">
        <f t="shared" ca="1" si="174"/>
        <v>3.5467681827867636E-3</v>
      </c>
      <c r="AG360">
        <f t="shared" ca="1" si="175"/>
        <v>0</v>
      </c>
      <c r="AH360">
        <f ca="1">IFERROR(IF(V32="Supercritical",MAX($D$16,IFERROR(L360,MAX($D$16,POWER((ABS(K360)^2)/($I$5*MAX(F360,0.1)^2),1/3)))),IF(V32="Subcritical",MAX($D$16,IFERROR(W360,MAX($D$16,POWER((ABS(K360)^2)/($I$5*MAX(F360,0.1)^2),1/3)))),IF(AND(IFERROR(V360,0)=1,IFERROR(AG360,0)=1),IF(IFERROR(T360,-1E+99)&gt;=IFERROR(AE360,-1E+99),MAX($D$16,IFERROR(L360,MAX($D$16,POWER((ABS(K360)^2)/($I$5*MAX(F360,0.1)^2),1/3)))),MAX($D$16,IFERROR(W360,MAX($D$16,POWER((ABS(K360)^2)/($I$5*MAX(F360,0.1)^2),1/3))))),IF(IFERROR(V360,0)=1,MAX($D$16,IFERROR(L360,MAX($D$16,POWER((ABS(K360)^2)/($I$5*MAX(F360,0.1)^2),1/3)))),IF(IFERROR(AG360,0)=1,MAX($D$16,IFERROR(W360,MAX($D$16,POWER((ABS(K360)^2)/($I$5*MAX(F360,0.1)^2),1/3)))),MAX($D$16,POWER((ABS(K360)^2)/($I$5*MAX(F360,0.1)^2),1/3))))))),MAX($D$16,POWER((ABS(K360)^2)/($I$5*MAX(F360,0.1)^2),1/3)))</f>
        <v>2.1389677043987478</v>
      </c>
      <c r="AI360">
        <f t="shared" ca="1" si="176"/>
        <v>634.55246770439874</v>
      </c>
      <c r="AJ360">
        <f t="shared" ca="1" si="177"/>
        <v>635.62195155659811</v>
      </c>
      <c r="AM360">
        <v>0</v>
      </c>
      <c r="AN360">
        <v>0</v>
      </c>
      <c r="AO360">
        <f t="shared" si="178"/>
        <v>0</v>
      </c>
      <c r="AP360">
        <f t="shared" si="187"/>
        <v>0</v>
      </c>
      <c r="AQ360">
        <f t="shared" ca="1" si="179"/>
        <v>1.0000000000000004</v>
      </c>
      <c r="AR360" t="str">
        <f t="shared" ca="1" si="180"/>
        <v>Supercritical</v>
      </c>
      <c r="AS360">
        <f t="shared" ca="1" si="181"/>
        <v>3.8141460404132466E-3</v>
      </c>
    </row>
    <row r="361" spans="1:45" x14ac:dyDescent="0.35">
      <c r="A361">
        <v>300</v>
      </c>
      <c r="B361">
        <v>298.995</v>
      </c>
      <c r="C361">
        <v>616300.93700000003</v>
      </c>
      <c r="D361">
        <v>3097656.0060000001</v>
      </c>
      <c r="E361">
        <v>632.41300000000001</v>
      </c>
      <c r="F361">
        <v>5.2</v>
      </c>
      <c r="G361">
        <v>0</v>
      </c>
      <c r="H361" t="s">
        <v>154</v>
      </c>
      <c r="I361">
        <v>0.05</v>
      </c>
      <c r="J361">
        <f t="shared" si="182"/>
        <v>0.99900000000002365</v>
      </c>
      <c r="K361">
        <f t="shared" ca="1" si="183"/>
        <v>50.95</v>
      </c>
      <c r="L361">
        <f t="shared" ca="1" si="184"/>
        <v>2.1389677043987478</v>
      </c>
      <c r="M361">
        <f t="shared" ca="1" si="157"/>
        <v>11.122632062873489</v>
      </c>
      <c r="N361">
        <f t="shared" ca="1" si="158"/>
        <v>1.1735290000551568</v>
      </c>
      <c r="O361">
        <f t="shared" ca="1" si="159"/>
        <v>4.5807502857230418</v>
      </c>
      <c r="P361">
        <f t="shared" ca="1" si="160"/>
        <v>634.55196770439875</v>
      </c>
      <c r="Q361">
        <f t="shared" ca="1" si="161"/>
        <v>635.62145155659812</v>
      </c>
      <c r="R361">
        <f t="shared" ca="1" si="162"/>
        <v>3.8141460404132466E-3</v>
      </c>
      <c r="S361">
        <f t="shared" ca="1" si="163"/>
        <v>1.0000000000000004</v>
      </c>
      <c r="T361">
        <f t="shared" ca="1" si="164"/>
        <v>35.686426155594638</v>
      </c>
      <c r="U361">
        <f t="shared" ca="1" si="185"/>
        <v>-3.3994555486742684E-3</v>
      </c>
      <c r="V361">
        <f t="shared" ca="1" si="186"/>
        <v>1</v>
      </c>
      <c r="W361">
        <f t="shared" ca="1" si="165"/>
        <v>2.106605878447271</v>
      </c>
      <c r="X361">
        <f t="shared" ca="1" si="166"/>
        <v>10.954350567925809</v>
      </c>
      <c r="Y361">
        <f t="shared" ca="1" si="167"/>
        <v>1.1637208267308432</v>
      </c>
      <c r="Z361">
        <f t="shared" ca="1" si="168"/>
        <v>4.6511200900563576</v>
      </c>
      <c r="AA361">
        <f t="shared" ca="1" si="169"/>
        <v>634.51960587844724</v>
      </c>
      <c r="AB361">
        <f t="shared" ca="1" si="170"/>
        <v>635.62220109211319</v>
      </c>
      <c r="AC361">
        <f t="shared" ca="1" si="171"/>
        <v>3.9764837767204521E-3</v>
      </c>
      <c r="AD361">
        <f t="shared" ca="1" si="172"/>
        <v>1.0231313764306542</v>
      </c>
      <c r="AE361">
        <f t="shared" ca="1" si="173"/>
        <v>35.694678660510021</v>
      </c>
      <c r="AF361">
        <f t="shared" ca="1" si="174"/>
        <v>3.6198211544160586E-3</v>
      </c>
      <c r="AG361">
        <f t="shared" ca="1" si="175"/>
        <v>0</v>
      </c>
      <c r="AH361">
        <f ca="1">IFERROR(IF(V32="Supercritical",MAX($D$16,IFERROR(L361,MAX($D$16,POWER((ABS(K361)^2)/($I$5*MAX(F361,0.1)^2),1/3)))),IF(V32="Subcritical",MAX($D$16,IFERROR(W361,MAX($D$16,POWER((ABS(K361)^2)/($I$5*MAX(F361,0.1)^2),1/3)))),IF(AND(IFERROR(V361,0)=1,IFERROR(AG361,0)=1),IF(IFERROR(T361,-1E+99)&gt;=IFERROR(AE361,-1E+99),MAX($D$16,IFERROR(L361,MAX($D$16,POWER((ABS(K361)^2)/($I$5*MAX(F361,0.1)^2),1/3)))),MAX($D$16,IFERROR(W361,MAX($D$16,POWER((ABS(K361)^2)/($I$5*MAX(F361,0.1)^2),1/3))))),IF(IFERROR(V361,0)=1,MAX($D$16,IFERROR(L361,MAX($D$16,POWER((ABS(K361)^2)/($I$5*MAX(F361,0.1)^2),1/3)))),IF(IFERROR(AG361,0)=1,MAX($D$16,IFERROR(W361,MAX($D$16,POWER((ABS(K361)^2)/($I$5*MAX(F361,0.1)^2),1/3)))),MAX($D$16,POWER((ABS(K361)^2)/($I$5*MAX(F361,0.1)^2),1/3))))))),MAX($D$16,POWER((ABS(K361)^2)/($I$5*MAX(F361,0.1)^2),1/3)))</f>
        <v>2.1389677043987478</v>
      </c>
      <c r="AI361">
        <f t="shared" ca="1" si="176"/>
        <v>634.55196770439875</v>
      </c>
      <c r="AJ361">
        <f t="shared" ca="1" si="177"/>
        <v>635.62145155659812</v>
      </c>
      <c r="AM361">
        <v>0</v>
      </c>
      <c r="AN361">
        <v>0</v>
      </c>
      <c r="AO361">
        <f t="shared" si="178"/>
        <v>0</v>
      </c>
      <c r="AP361">
        <f t="shared" si="187"/>
        <v>0</v>
      </c>
      <c r="AQ361">
        <f t="shared" ca="1" si="179"/>
        <v>1.0000000000000004</v>
      </c>
      <c r="AR361" t="str">
        <f t="shared" ca="1" si="180"/>
        <v>Supercritical</v>
      </c>
      <c r="AS361">
        <f t="shared" ca="1" si="181"/>
        <v>3.8141460404132466E-3</v>
      </c>
    </row>
    <row r="362" spans="1:45" x14ac:dyDescent="0.35">
      <c r="A362">
        <v>301</v>
      </c>
      <c r="B362">
        <v>299.995</v>
      </c>
      <c r="C362">
        <v>616300.46200000006</v>
      </c>
      <c r="D362">
        <v>3097655.1260000002</v>
      </c>
      <c r="E362">
        <v>632.41250000000002</v>
      </c>
      <c r="F362">
        <v>5.2</v>
      </c>
      <c r="G362">
        <v>0</v>
      </c>
      <c r="H362" t="s">
        <v>154</v>
      </c>
      <c r="I362">
        <v>7.8E-2</v>
      </c>
      <c r="J362">
        <f t="shared" si="182"/>
        <v>1</v>
      </c>
      <c r="K362">
        <f t="shared" ca="1" si="183"/>
        <v>50.95</v>
      </c>
      <c r="L362">
        <f t="shared" ca="1" si="184"/>
        <v>2.1389677043987478</v>
      </c>
      <c r="M362">
        <f t="shared" ca="1" si="157"/>
        <v>11.122632062873489</v>
      </c>
      <c r="N362">
        <f t="shared" ca="1" si="158"/>
        <v>1.1735290000551568</v>
      </c>
      <c r="O362">
        <f t="shared" ca="1" si="159"/>
        <v>4.5807502857230418</v>
      </c>
      <c r="P362">
        <f t="shared" ca="1" si="160"/>
        <v>634.55146770439876</v>
      </c>
      <c r="Q362">
        <f t="shared" ca="1" si="161"/>
        <v>635.62095155659813</v>
      </c>
      <c r="R362">
        <f t="shared" ca="1" si="162"/>
        <v>3.8141460404132466E-3</v>
      </c>
      <c r="S362">
        <f t="shared" ca="1" si="163"/>
        <v>1.0000000000000004</v>
      </c>
      <c r="T362">
        <f t="shared" ca="1" si="164"/>
        <v>35.686426155594638</v>
      </c>
      <c r="U362">
        <f t="shared" ca="1" si="185"/>
        <v>-3.4531789411857972E-3</v>
      </c>
      <c r="V362">
        <f t="shared" ca="1" si="186"/>
        <v>1</v>
      </c>
      <c r="W362">
        <f t="shared" ca="1" si="165"/>
        <v>2.1031192359550568</v>
      </c>
      <c r="X362">
        <f t="shared" ca="1" si="166"/>
        <v>10.936220026966296</v>
      </c>
      <c r="Y362">
        <f t="shared" ca="1" si="167"/>
        <v>1.1626560457323267</v>
      </c>
      <c r="Z362">
        <f t="shared" ca="1" si="168"/>
        <v>4.6588309191264061</v>
      </c>
      <c r="AA362">
        <f t="shared" ca="1" si="169"/>
        <v>634.51561923595511</v>
      </c>
      <c r="AB362">
        <f t="shared" ca="1" si="170"/>
        <v>635.62187334059365</v>
      </c>
      <c r="AC362">
        <f t="shared" ca="1" si="171"/>
        <v>3.9945519834900167E-3</v>
      </c>
      <c r="AD362">
        <f t="shared" ca="1" si="172"/>
        <v>1.0256767181543118</v>
      </c>
      <c r="AE362">
        <f t="shared" ca="1" si="173"/>
        <v>35.69656394179826</v>
      </c>
      <c r="AF362">
        <f t="shared" ca="1" si="174"/>
        <v>3.5483279701793435E-3</v>
      </c>
      <c r="AG362">
        <f t="shared" ca="1" si="175"/>
        <v>0</v>
      </c>
      <c r="AH362">
        <f ca="1">IFERROR(IF(V32="Supercritical",MAX($D$16,IFERROR(L362,MAX($D$16,POWER((ABS(K362)^2)/($I$5*MAX(F362,0.1)^2),1/3)))),IF(V32="Subcritical",MAX($D$16,IFERROR(W362,MAX($D$16,POWER((ABS(K362)^2)/($I$5*MAX(F362,0.1)^2),1/3)))),IF(AND(IFERROR(V362,0)=1,IFERROR(AG362,0)=1),IF(IFERROR(T362,-1E+99)&gt;=IFERROR(AE362,-1E+99),MAX($D$16,IFERROR(L362,MAX($D$16,POWER((ABS(K362)^2)/($I$5*MAX(F362,0.1)^2),1/3)))),MAX($D$16,IFERROR(W362,MAX($D$16,POWER((ABS(K362)^2)/($I$5*MAX(F362,0.1)^2),1/3))))),IF(IFERROR(V362,0)=1,MAX($D$16,IFERROR(L362,MAX($D$16,POWER((ABS(K362)^2)/($I$5*MAX(F362,0.1)^2),1/3)))),IF(IFERROR(AG362,0)=1,MAX($D$16,IFERROR(W362,MAX($D$16,POWER((ABS(K362)^2)/($I$5*MAX(F362,0.1)^2),1/3)))),MAX($D$16,POWER((ABS(K362)^2)/($I$5*MAX(F362,0.1)^2),1/3))))))),MAX($D$16,POWER((ABS(K362)^2)/($I$5*MAX(F362,0.1)^2),1/3)))</f>
        <v>2.1389677043987478</v>
      </c>
      <c r="AI362">
        <f t="shared" ca="1" si="176"/>
        <v>634.55146770439876</v>
      </c>
      <c r="AJ362">
        <f t="shared" ca="1" si="177"/>
        <v>635.62095155659813</v>
      </c>
      <c r="AM362">
        <v>0</v>
      </c>
      <c r="AN362">
        <v>0</v>
      </c>
      <c r="AO362">
        <f t="shared" si="178"/>
        <v>0</v>
      </c>
      <c r="AP362">
        <f t="shared" si="187"/>
        <v>0</v>
      </c>
      <c r="AQ362">
        <f t="shared" ca="1" si="179"/>
        <v>1.0000000000000004</v>
      </c>
      <c r="AR362" t="str">
        <f t="shared" ca="1" si="180"/>
        <v>Supercritical</v>
      </c>
      <c r="AS362">
        <f t="shared" ca="1" si="181"/>
        <v>3.8141460404132466E-3</v>
      </c>
    </row>
    <row r="363" spans="1:45" x14ac:dyDescent="0.35">
      <c r="A363">
        <v>302</v>
      </c>
      <c r="B363">
        <v>300.99599999999998</v>
      </c>
      <c r="C363">
        <v>616299.98800000001</v>
      </c>
      <c r="D363">
        <v>3097654.2450000001</v>
      </c>
      <c r="E363">
        <v>632.41200000000003</v>
      </c>
      <c r="F363">
        <v>5.2</v>
      </c>
      <c r="G363">
        <v>0</v>
      </c>
      <c r="H363" t="s">
        <v>154</v>
      </c>
      <c r="I363">
        <v>2.7E-2</v>
      </c>
      <c r="J363">
        <f t="shared" si="182"/>
        <v>1.0009999999999764</v>
      </c>
      <c r="K363">
        <f t="shared" ca="1" si="183"/>
        <v>50.95</v>
      </c>
      <c r="L363">
        <f t="shared" ca="1" si="184"/>
        <v>2.1389677043987478</v>
      </c>
      <c r="M363">
        <f t="shared" ca="1" si="157"/>
        <v>11.122632062873489</v>
      </c>
      <c r="N363">
        <f t="shared" ca="1" si="158"/>
        <v>1.1735290000551568</v>
      </c>
      <c r="O363">
        <f t="shared" ca="1" si="159"/>
        <v>4.5807502857230418</v>
      </c>
      <c r="P363">
        <f t="shared" ca="1" si="160"/>
        <v>634.55096770439877</v>
      </c>
      <c r="Q363">
        <f t="shared" ca="1" si="161"/>
        <v>635.62045155659814</v>
      </c>
      <c r="R363">
        <f t="shared" ca="1" si="162"/>
        <v>3.8141460404132466E-3</v>
      </c>
      <c r="S363">
        <f t="shared" ca="1" si="163"/>
        <v>1.0000000000000004</v>
      </c>
      <c r="T363">
        <f t="shared" ca="1" si="164"/>
        <v>35.686426155594638</v>
      </c>
      <c r="U363">
        <f t="shared" ca="1" si="185"/>
        <v>-3.3660869597724741E-3</v>
      </c>
      <c r="V363">
        <f t="shared" ca="1" si="186"/>
        <v>1</v>
      </c>
      <c r="W363">
        <f t="shared" ca="1" si="165"/>
        <v>2.0995121587796284</v>
      </c>
      <c r="X363">
        <f t="shared" ca="1" si="166"/>
        <v>10.917463225654068</v>
      </c>
      <c r="Y363">
        <f t="shared" ca="1" si="167"/>
        <v>1.1615528225901133</v>
      </c>
      <c r="Z363">
        <f t="shared" ca="1" si="168"/>
        <v>4.666835046467269</v>
      </c>
      <c r="AA363">
        <f t="shared" ca="1" si="169"/>
        <v>634.51151215877962</v>
      </c>
      <c r="AB363">
        <f t="shared" ca="1" si="170"/>
        <v>635.62157073935737</v>
      </c>
      <c r="AC363">
        <f t="shared" ca="1" si="171"/>
        <v>4.0133663039555951E-3</v>
      </c>
      <c r="AD363">
        <f t="shared" ca="1" si="172"/>
        <v>1.0283211065273763</v>
      </c>
      <c r="AE363">
        <f t="shared" ca="1" si="173"/>
        <v>35.698720856203437</v>
      </c>
      <c r="AF363">
        <f t="shared" ca="1" si="174"/>
        <v>3.5593055737308532E-3</v>
      </c>
      <c r="AG363">
        <f t="shared" ca="1" si="175"/>
        <v>0</v>
      </c>
      <c r="AH363">
        <f ca="1">IFERROR(IF(V32="Supercritical",MAX($D$16,IFERROR(L363,MAX($D$16,POWER((ABS(K363)^2)/($I$5*MAX(F363,0.1)^2),1/3)))),IF(V32="Subcritical",MAX($D$16,IFERROR(W363,MAX($D$16,POWER((ABS(K363)^2)/($I$5*MAX(F363,0.1)^2),1/3)))),IF(AND(IFERROR(V363,0)=1,IFERROR(AG363,0)=1),IF(IFERROR(T363,-1E+99)&gt;=IFERROR(AE363,-1E+99),MAX($D$16,IFERROR(L363,MAX($D$16,POWER((ABS(K363)^2)/($I$5*MAX(F363,0.1)^2),1/3)))),MAX($D$16,IFERROR(W363,MAX($D$16,POWER((ABS(K363)^2)/($I$5*MAX(F363,0.1)^2),1/3))))),IF(IFERROR(V363,0)=1,MAX($D$16,IFERROR(L363,MAX($D$16,POWER((ABS(K363)^2)/($I$5*MAX(F363,0.1)^2),1/3)))),IF(IFERROR(AG363,0)=1,MAX($D$16,IFERROR(W363,MAX($D$16,POWER((ABS(K363)^2)/($I$5*MAX(F363,0.1)^2),1/3)))),MAX($D$16,POWER((ABS(K363)^2)/($I$5*MAX(F363,0.1)^2),1/3))))))),MAX($D$16,POWER((ABS(K363)^2)/($I$5*MAX(F363,0.1)^2),1/3)))</f>
        <v>2.1389677043987478</v>
      </c>
      <c r="AI363">
        <f t="shared" ca="1" si="176"/>
        <v>634.55096770439877</v>
      </c>
      <c r="AJ363">
        <f t="shared" ca="1" si="177"/>
        <v>635.62045155659814</v>
      </c>
      <c r="AM363">
        <v>0</v>
      </c>
      <c r="AN363">
        <v>0</v>
      </c>
      <c r="AO363">
        <f t="shared" si="178"/>
        <v>0</v>
      </c>
      <c r="AP363">
        <f t="shared" si="187"/>
        <v>0</v>
      </c>
      <c r="AQ363">
        <f t="shared" ca="1" si="179"/>
        <v>1.0000000000000004</v>
      </c>
      <c r="AR363" t="str">
        <f t="shared" ca="1" si="180"/>
        <v>Supercritical</v>
      </c>
      <c r="AS363">
        <f t="shared" ca="1" si="181"/>
        <v>3.8141460404132466E-3</v>
      </c>
    </row>
    <row r="364" spans="1:45" x14ac:dyDescent="0.35">
      <c r="A364">
        <v>303</v>
      </c>
      <c r="B364">
        <v>301.995</v>
      </c>
      <c r="C364">
        <v>616299.51399999997</v>
      </c>
      <c r="D364">
        <v>3097653.3650000002</v>
      </c>
      <c r="E364">
        <v>632.41150000000005</v>
      </c>
      <c r="F364">
        <v>5.2</v>
      </c>
      <c r="G364">
        <v>0</v>
      </c>
      <c r="H364" t="s">
        <v>154</v>
      </c>
      <c r="I364">
        <v>2.7E-2</v>
      </c>
      <c r="J364">
        <f t="shared" si="182"/>
        <v>0.99900000000002365</v>
      </c>
      <c r="K364">
        <f t="shared" ca="1" si="183"/>
        <v>50.95</v>
      </c>
      <c r="L364">
        <f t="shared" ca="1" si="184"/>
        <v>2.1389677043987478</v>
      </c>
      <c r="M364">
        <f t="shared" ca="1" si="157"/>
        <v>11.122632062873489</v>
      </c>
      <c r="N364">
        <f t="shared" ca="1" si="158"/>
        <v>1.1735290000551568</v>
      </c>
      <c r="O364">
        <f t="shared" ca="1" si="159"/>
        <v>4.5807502857230418</v>
      </c>
      <c r="P364">
        <f t="shared" ca="1" si="160"/>
        <v>634.55046770439878</v>
      </c>
      <c r="Q364">
        <f t="shared" ca="1" si="161"/>
        <v>635.61995155659815</v>
      </c>
      <c r="R364">
        <f t="shared" ca="1" si="162"/>
        <v>3.8141460404132466E-3</v>
      </c>
      <c r="S364">
        <f t="shared" ca="1" si="163"/>
        <v>1.0000000000000004</v>
      </c>
      <c r="T364">
        <f t="shared" ca="1" si="164"/>
        <v>35.686426155594638</v>
      </c>
      <c r="U364">
        <f t="shared" ca="1" si="185"/>
        <v>-3.3584586676624895E-3</v>
      </c>
      <c r="V364">
        <f t="shared" ca="1" si="186"/>
        <v>1</v>
      </c>
      <c r="W364">
        <f t="shared" ca="1" si="165"/>
        <v>2.0957825972398147</v>
      </c>
      <c r="X364">
        <f t="shared" ca="1" si="166"/>
        <v>10.898069505647037</v>
      </c>
      <c r="Y364">
        <f t="shared" ca="1" si="167"/>
        <v>1.1604103554594853</v>
      </c>
      <c r="Z364">
        <f t="shared" ca="1" si="168"/>
        <v>4.6751399386468693</v>
      </c>
      <c r="AA364">
        <f t="shared" ca="1" si="169"/>
        <v>634.50728259723985</v>
      </c>
      <c r="AB364">
        <f t="shared" ca="1" si="170"/>
        <v>635.62129551497333</v>
      </c>
      <c r="AC364">
        <f t="shared" ca="1" si="171"/>
        <v>4.032951076079083E-3</v>
      </c>
      <c r="AD364">
        <f t="shared" ca="1" si="172"/>
        <v>1.0310672591441767</v>
      </c>
      <c r="AE364">
        <f t="shared" ca="1" si="173"/>
        <v>35.701172622018916</v>
      </c>
      <c r="AF364">
        <f t="shared" ca="1" si="174"/>
        <v>3.6818057063783272E-3</v>
      </c>
      <c r="AG364">
        <f t="shared" ca="1" si="175"/>
        <v>0</v>
      </c>
      <c r="AH364">
        <f ca="1">IFERROR(IF(V32="Supercritical",MAX($D$16,IFERROR(L364,MAX($D$16,POWER((ABS(K364)^2)/($I$5*MAX(F364,0.1)^2),1/3)))),IF(V32="Subcritical",MAX($D$16,IFERROR(W364,MAX($D$16,POWER((ABS(K364)^2)/($I$5*MAX(F364,0.1)^2),1/3)))),IF(AND(IFERROR(V364,0)=1,IFERROR(AG364,0)=1),IF(IFERROR(T364,-1E+99)&gt;=IFERROR(AE364,-1E+99),MAX($D$16,IFERROR(L364,MAX($D$16,POWER((ABS(K364)^2)/($I$5*MAX(F364,0.1)^2),1/3)))),MAX($D$16,IFERROR(W364,MAX($D$16,POWER((ABS(K364)^2)/($I$5*MAX(F364,0.1)^2),1/3))))),IF(IFERROR(V364,0)=1,MAX($D$16,IFERROR(L364,MAX($D$16,POWER((ABS(K364)^2)/($I$5*MAX(F364,0.1)^2),1/3)))),IF(IFERROR(AG364,0)=1,MAX($D$16,IFERROR(W364,MAX($D$16,POWER((ABS(K364)^2)/($I$5*MAX(F364,0.1)^2),1/3)))),MAX($D$16,POWER((ABS(K364)^2)/($I$5*MAX(F364,0.1)^2),1/3))))))),MAX($D$16,POWER((ABS(K364)^2)/($I$5*MAX(F364,0.1)^2),1/3)))</f>
        <v>2.1389677043987478</v>
      </c>
      <c r="AI364">
        <f t="shared" ca="1" si="176"/>
        <v>634.55046770439878</v>
      </c>
      <c r="AJ364">
        <f t="shared" ca="1" si="177"/>
        <v>635.61995155659815</v>
      </c>
      <c r="AM364">
        <v>0</v>
      </c>
      <c r="AN364">
        <v>0</v>
      </c>
      <c r="AO364">
        <f t="shared" si="178"/>
        <v>0</v>
      </c>
      <c r="AP364">
        <f t="shared" si="187"/>
        <v>0</v>
      </c>
      <c r="AQ364">
        <f t="shared" ca="1" si="179"/>
        <v>1.0000000000000004</v>
      </c>
      <c r="AR364" t="str">
        <f t="shared" ca="1" si="180"/>
        <v>Supercritical</v>
      </c>
      <c r="AS364">
        <f t="shared" ca="1" si="181"/>
        <v>3.8141460404132466E-3</v>
      </c>
    </row>
    <row r="365" spans="1:45" x14ac:dyDescent="0.35">
      <c r="A365">
        <v>304</v>
      </c>
      <c r="B365">
        <v>302.99599999999998</v>
      </c>
      <c r="C365">
        <v>616299.04</v>
      </c>
      <c r="D365">
        <v>3097652.4840000002</v>
      </c>
      <c r="E365">
        <v>632.41099999999994</v>
      </c>
      <c r="F365">
        <v>5.2</v>
      </c>
      <c r="G365">
        <v>0</v>
      </c>
      <c r="H365" t="s">
        <v>154</v>
      </c>
      <c r="I365">
        <v>7.8E-2</v>
      </c>
      <c r="J365">
        <f t="shared" si="182"/>
        <v>1.0009999999999764</v>
      </c>
      <c r="K365">
        <f t="shared" ca="1" si="183"/>
        <v>50.95</v>
      </c>
      <c r="L365">
        <f t="shared" ca="1" si="184"/>
        <v>2.1389677043987478</v>
      </c>
      <c r="M365">
        <f t="shared" ca="1" si="157"/>
        <v>11.122632062873489</v>
      </c>
      <c r="N365">
        <f t="shared" ca="1" si="158"/>
        <v>1.1735290000551568</v>
      </c>
      <c r="O365">
        <f t="shared" ca="1" si="159"/>
        <v>4.5807502857230418</v>
      </c>
      <c r="P365">
        <f t="shared" ca="1" si="160"/>
        <v>634.54996770439868</v>
      </c>
      <c r="Q365">
        <f t="shared" ca="1" si="161"/>
        <v>635.61945155659805</v>
      </c>
      <c r="R365">
        <f t="shared" ca="1" si="162"/>
        <v>3.8141460404132466E-3</v>
      </c>
      <c r="S365">
        <f t="shared" ca="1" si="163"/>
        <v>1.0000000000000004</v>
      </c>
      <c r="T365">
        <f t="shared" ca="1" si="164"/>
        <v>35.686426155594638</v>
      </c>
      <c r="U365">
        <f t="shared" ca="1" si="185"/>
        <v>-3.4569930870702592E-3</v>
      </c>
      <c r="V365">
        <f t="shared" ca="1" si="186"/>
        <v>1</v>
      </c>
      <c r="W365">
        <f t="shared" ca="1" si="165"/>
        <v>2.0919286644323272</v>
      </c>
      <c r="X365">
        <f t="shared" ca="1" si="166"/>
        <v>10.878029055048101</v>
      </c>
      <c r="Y365">
        <f t="shared" ca="1" si="167"/>
        <v>1.1592278818633985</v>
      </c>
      <c r="Z365">
        <f t="shared" ca="1" si="168"/>
        <v>4.6837528877858574</v>
      </c>
      <c r="AA365">
        <f t="shared" ca="1" si="169"/>
        <v>634.50292866443226</v>
      </c>
      <c r="AB365">
        <f t="shared" ca="1" si="170"/>
        <v>635.62105002599401</v>
      </c>
      <c r="AC365">
        <f t="shared" ca="1" si="171"/>
        <v>4.053330731751935E-3</v>
      </c>
      <c r="AD365">
        <f t="shared" ca="1" si="172"/>
        <v>1.0339178536219282</v>
      </c>
      <c r="AE365">
        <f t="shared" ca="1" si="173"/>
        <v>35.703943712669641</v>
      </c>
      <c r="AF365">
        <f t="shared" ca="1" si="174"/>
        <v>3.6465075119167523E-3</v>
      </c>
      <c r="AG365">
        <f t="shared" ca="1" si="175"/>
        <v>0</v>
      </c>
      <c r="AH365">
        <f ca="1">IFERROR(IF(V32="Supercritical",MAX($D$16,IFERROR(L365,MAX($D$16,POWER((ABS(K365)^2)/($I$5*MAX(F365,0.1)^2),1/3)))),IF(V32="Subcritical",MAX($D$16,IFERROR(W365,MAX($D$16,POWER((ABS(K365)^2)/($I$5*MAX(F365,0.1)^2),1/3)))),IF(AND(IFERROR(V365,0)=1,IFERROR(AG365,0)=1),IF(IFERROR(T365,-1E+99)&gt;=IFERROR(AE365,-1E+99),MAX($D$16,IFERROR(L365,MAX($D$16,POWER((ABS(K365)^2)/($I$5*MAX(F365,0.1)^2),1/3)))),MAX($D$16,IFERROR(W365,MAX($D$16,POWER((ABS(K365)^2)/($I$5*MAX(F365,0.1)^2),1/3))))),IF(IFERROR(V365,0)=1,MAX($D$16,IFERROR(L365,MAX($D$16,POWER((ABS(K365)^2)/($I$5*MAX(F365,0.1)^2),1/3)))),IF(IFERROR(AG365,0)=1,MAX($D$16,IFERROR(W365,MAX($D$16,POWER((ABS(K365)^2)/($I$5*MAX(F365,0.1)^2),1/3)))),MAX($D$16,POWER((ABS(K365)^2)/($I$5*MAX(F365,0.1)^2),1/3))))))),MAX($D$16,POWER((ABS(K365)^2)/($I$5*MAX(F365,0.1)^2),1/3)))</f>
        <v>2.1389677043987478</v>
      </c>
      <c r="AI365">
        <f t="shared" ca="1" si="176"/>
        <v>634.54996770439868</v>
      </c>
      <c r="AJ365">
        <f t="shared" ca="1" si="177"/>
        <v>635.61945155659805</v>
      </c>
      <c r="AM365">
        <v>0</v>
      </c>
      <c r="AN365">
        <v>0</v>
      </c>
      <c r="AO365">
        <f t="shared" si="178"/>
        <v>0</v>
      </c>
      <c r="AP365">
        <f t="shared" si="187"/>
        <v>0</v>
      </c>
      <c r="AQ365">
        <f t="shared" ca="1" si="179"/>
        <v>1.0000000000000004</v>
      </c>
      <c r="AR365" t="str">
        <f t="shared" ca="1" si="180"/>
        <v>Supercritical</v>
      </c>
      <c r="AS365">
        <f t="shared" ca="1" si="181"/>
        <v>3.8141460404132466E-3</v>
      </c>
    </row>
    <row r="366" spans="1:45" x14ac:dyDescent="0.35">
      <c r="A366">
        <v>305</v>
      </c>
      <c r="B366">
        <v>303.99599999999998</v>
      </c>
      <c r="C366">
        <v>616298.56499999994</v>
      </c>
      <c r="D366">
        <v>3097651.6039999998</v>
      </c>
      <c r="E366">
        <v>632.41049999999996</v>
      </c>
      <c r="F366">
        <v>5.2</v>
      </c>
      <c r="G366">
        <v>0</v>
      </c>
      <c r="H366" t="s">
        <v>154</v>
      </c>
      <c r="I366">
        <v>0.05</v>
      </c>
      <c r="J366">
        <f t="shared" si="182"/>
        <v>1</v>
      </c>
      <c r="K366">
        <f t="shared" ca="1" si="183"/>
        <v>50.95</v>
      </c>
      <c r="L366">
        <f t="shared" ca="1" si="184"/>
        <v>2.1389677043987478</v>
      </c>
      <c r="M366">
        <f t="shared" ca="1" si="157"/>
        <v>11.122632062873489</v>
      </c>
      <c r="N366">
        <f t="shared" ca="1" si="158"/>
        <v>1.1735290000551568</v>
      </c>
      <c r="O366">
        <f t="shared" ca="1" si="159"/>
        <v>4.5807502857230418</v>
      </c>
      <c r="P366">
        <f t="shared" ca="1" si="160"/>
        <v>634.54946770439869</v>
      </c>
      <c r="Q366">
        <f t="shared" ca="1" si="161"/>
        <v>635.61895155659806</v>
      </c>
      <c r="R366">
        <f t="shared" ca="1" si="162"/>
        <v>3.8141460404132466E-3</v>
      </c>
      <c r="S366">
        <f t="shared" ca="1" si="163"/>
        <v>1.0000000000000004</v>
      </c>
      <c r="T366">
        <f t="shared" ca="1" si="164"/>
        <v>35.686426155594638</v>
      </c>
      <c r="U366">
        <f t="shared" ca="1" si="185"/>
        <v>-3.4032696947861041E-3</v>
      </c>
      <c r="V366">
        <f t="shared" ca="1" si="186"/>
        <v>1</v>
      </c>
      <c r="W366">
        <f t="shared" ca="1" si="165"/>
        <v>2.0879486572409172</v>
      </c>
      <c r="X366">
        <f t="shared" ca="1" si="166"/>
        <v>10.85733301765277</v>
      </c>
      <c r="Y366">
        <f t="shared" ca="1" si="167"/>
        <v>1.1580046851497336</v>
      </c>
      <c r="Z366">
        <f t="shared" ca="1" si="168"/>
        <v>4.6926809666021283</v>
      </c>
      <c r="AA366">
        <f t="shared" ca="1" si="169"/>
        <v>634.49844865724083</v>
      </c>
      <c r="AB366">
        <f t="shared" ca="1" si="170"/>
        <v>635.62083676398447</v>
      </c>
      <c r="AC366">
        <f t="shared" ca="1" si="171"/>
        <v>4.0745297073071134E-3</v>
      </c>
      <c r="AD366">
        <f t="shared" ca="1" si="172"/>
        <v>1.0368755131693188</v>
      </c>
      <c r="AE366">
        <f t="shared" ca="1" si="173"/>
        <v>35.707059847649425</v>
      </c>
      <c r="AF366">
        <f t="shared" ca="1" si="174"/>
        <v>3.6209626424579255E-3</v>
      </c>
      <c r="AG366">
        <f t="shared" ca="1" si="175"/>
        <v>0</v>
      </c>
      <c r="AH366">
        <f ca="1">IFERROR(IF(V32="Supercritical",MAX($D$16,IFERROR(L366,MAX($D$16,POWER((ABS(K366)^2)/($I$5*MAX(F366,0.1)^2),1/3)))),IF(V32="Subcritical",MAX($D$16,IFERROR(W366,MAX($D$16,POWER((ABS(K366)^2)/($I$5*MAX(F366,0.1)^2),1/3)))),IF(AND(IFERROR(V366,0)=1,IFERROR(AG366,0)=1),IF(IFERROR(T366,-1E+99)&gt;=IFERROR(AE366,-1E+99),MAX($D$16,IFERROR(L366,MAX($D$16,POWER((ABS(K366)^2)/($I$5*MAX(F366,0.1)^2),1/3)))),MAX($D$16,IFERROR(W366,MAX($D$16,POWER((ABS(K366)^2)/($I$5*MAX(F366,0.1)^2),1/3))))),IF(IFERROR(V366,0)=1,MAX($D$16,IFERROR(L366,MAX($D$16,POWER((ABS(K366)^2)/($I$5*MAX(F366,0.1)^2),1/3)))),IF(IFERROR(AG366,0)=1,MAX($D$16,IFERROR(W366,MAX($D$16,POWER((ABS(K366)^2)/($I$5*MAX(F366,0.1)^2),1/3)))),MAX($D$16,POWER((ABS(K366)^2)/($I$5*MAX(F366,0.1)^2),1/3))))))),MAX($D$16,POWER((ABS(K366)^2)/($I$5*MAX(F366,0.1)^2),1/3)))</f>
        <v>2.1389677043987478</v>
      </c>
      <c r="AI366">
        <f t="shared" ca="1" si="176"/>
        <v>634.54946770439869</v>
      </c>
      <c r="AJ366">
        <f t="shared" ca="1" si="177"/>
        <v>635.61895155659806</v>
      </c>
      <c r="AM366">
        <v>0</v>
      </c>
      <c r="AN366">
        <v>0</v>
      </c>
      <c r="AO366">
        <f t="shared" si="178"/>
        <v>0</v>
      </c>
      <c r="AP366">
        <f t="shared" si="187"/>
        <v>0</v>
      </c>
      <c r="AQ366">
        <f t="shared" ca="1" si="179"/>
        <v>1.0000000000000004</v>
      </c>
      <c r="AR366" t="str">
        <f t="shared" ca="1" si="180"/>
        <v>Supercritical</v>
      </c>
      <c r="AS366">
        <f t="shared" ca="1" si="181"/>
        <v>3.8141460404132466E-3</v>
      </c>
    </row>
    <row r="367" spans="1:45" x14ac:dyDescent="0.35">
      <c r="A367">
        <v>306</v>
      </c>
      <c r="B367">
        <v>304.995</v>
      </c>
      <c r="C367">
        <v>616298.09100000001</v>
      </c>
      <c r="D367">
        <v>3097650.7239999999</v>
      </c>
      <c r="E367">
        <v>632.41</v>
      </c>
      <c r="F367">
        <v>5.2</v>
      </c>
      <c r="G367">
        <v>0</v>
      </c>
      <c r="H367" t="s">
        <v>154</v>
      </c>
      <c r="I367">
        <v>2.7E-2</v>
      </c>
      <c r="J367">
        <f t="shared" si="182"/>
        <v>0.99900000000002365</v>
      </c>
      <c r="K367">
        <f t="shared" ca="1" si="183"/>
        <v>50.95</v>
      </c>
      <c r="L367">
        <f t="shared" ca="1" si="184"/>
        <v>2.1389677043987478</v>
      </c>
      <c r="M367">
        <f t="shared" ca="1" si="157"/>
        <v>11.122632062873489</v>
      </c>
      <c r="N367">
        <f t="shared" ca="1" si="158"/>
        <v>1.1735290000551568</v>
      </c>
      <c r="O367">
        <f t="shared" ca="1" si="159"/>
        <v>4.5807502857230418</v>
      </c>
      <c r="P367">
        <f t="shared" ca="1" si="160"/>
        <v>634.54896770439871</v>
      </c>
      <c r="Q367">
        <f t="shared" ca="1" si="161"/>
        <v>635.61845155659807</v>
      </c>
      <c r="R367">
        <f t="shared" ca="1" si="162"/>
        <v>3.8141460404132466E-3</v>
      </c>
      <c r="S367">
        <f t="shared" ca="1" si="163"/>
        <v>1.0000000000000004</v>
      </c>
      <c r="T367">
        <f t="shared" ca="1" si="164"/>
        <v>35.686426155594638</v>
      </c>
      <c r="U367">
        <f t="shared" ca="1" si="185"/>
        <v>-3.3584586676624895E-3</v>
      </c>
      <c r="V367">
        <f t="shared" ca="1" si="186"/>
        <v>1</v>
      </c>
      <c r="W367">
        <f t="shared" ca="1" si="165"/>
        <v>2.0838410782977741</v>
      </c>
      <c r="X367">
        <f t="shared" ca="1" si="166"/>
        <v>10.835973607148425</v>
      </c>
      <c r="Y367">
        <f t="shared" ca="1" si="167"/>
        <v>1.1567401013407663</v>
      </c>
      <c r="Z367">
        <f t="shared" ca="1" si="168"/>
        <v>4.7019309798234099</v>
      </c>
      <c r="AA367">
        <f t="shared" ca="1" si="169"/>
        <v>634.49384107829769</v>
      </c>
      <c r="AB367">
        <f t="shared" ca="1" si="170"/>
        <v>635.62065835347721</v>
      </c>
      <c r="AC367">
        <f t="shared" ca="1" si="171"/>
        <v>4.0965723430234106E-3</v>
      </c>
      <c r="AD367">
        <f t="shared" ca="1" si="172"/>
        <v>1.0399427908472043</v>
      </c>
      <c r="AE367">
        <f t="shared" ca="1" si="173"/>
        <v>35.710547970812605</v>
      </c>
      <c r="AF367">
        <f t="shared" ca="1" si="174"/>
        <v>3.6513756928115981E-3</v>
      </c>
      <c r="AG367">
        <f t="shared" ca="1" si="175"/>
        <v>0</v>
      </c>
      <c r="AH367">
        <f ca="1">IFERROR(IF(V32="Supercritical",MAX($D$16,IFERROR(L367,MAX($D$16,POWER((ABS(K367)^2)/($I$5*MAX(F367,0.1)^2),1/3)))),IF(V32="Subcritical",MAX($D$16,IFERROR(W367,MAX($D$16,POWER((ABS(K367)^2)/($I$5*MAX(F367,0.1)^2),1/3)))),IF(AND(IFERROR(V367,0)=1,IFERROR(AG367,0)=1),IF(IFERROR(T367,-1E+99)&gt;=IFERROR(AE367,-1E+99),MAX($D$16,IFERROR(L367,MAX($D$16,POWER((ABS(K367)^2)/($I$5*MAX(F367,0.1)^2),1/3)))),MAX($D$16,IFERROR(W367,MAX($D$16,POWER((ABS(K367)^2)/($I$5*MAX(F367,0.1)^2),1/3))))),IF(IFERROR(V367,0)=1,MAX($D$16,IFERROR(L367,MAX($D$16,POWER((ABS(K367)^2)/($I$5*MAX(F367,0.1)^2),1/3)))),IF(IFERROR(AG367,0)=1,MAX($D$16,IFERROR(W367,MAX($D$16,POWER((ABS(K367)^2)/($I$5*MAX(F367,0.1)^2),1/3)))),MAX($D$16,POWER((ABS(K367)^2)/($I$5*MAX(F367,0.1)^2),1/3))))))),MAX($D$16,POWER((ABS(K367)^2)/($I$5*MAX(F367,0.1)^2),1/3)))</f>
        <v>2.1389677043987478</v>
      </c>
      <c r="AI367">
        <f t="shared" ca="1" si="176"/>
        <v>634.54896770439871</v>
      </c>
      <c r="AJ367">
        <f t="shared" ca="1" si="177"/>
        <v>635.61845155659807</v>
      </c>
      <c r="AM367">
        <v>0</v>
      </c>
      <c r="AN367">
        <v>0</v>
      </c>
      <c r="AO367">
        <f t="shared" si="178"/>
        <v>0</v>
      </c>
      <c r="AP367">
        <f t="shared" si="187"/>
        <v>0</v>
      </c>
      <c r="AQ367">
        <f t="shared" ca="1" si="179"/>
        <v>1.0000000000000004</v>
      </c>
      <c r="AR367" t="str">
        <f t="shared" ca="1" si="180"/>
        <v>Supercritical</v>
      </c>
      <c r="AS367">
        <f t="shared" ca="1" si="181"/>
        <v>3.8141460404132466E-3</v>
      </c>
    </row>
    <row r="368" spans="1:45" x14ac:dyDescent="0.35">
      <c r="A368">
        <v>307</v>
      </c>
      <c r="B368">
        <v>305.99599999999998</v>
      </c>
      <c r="C368">
        <v>616297.61699999997</v>
      </c>
      <c r="D368">
        <v>3097649.8429999999</v>
      </c>
      <c r="E368">
        <v>632.40949999999998</v>
      </c>
      <c r="F368">
        <v>5.2</v>
      </c>
      <c r="G368">
        <v>0</v>
      </c>
      <c r="H368" t="s">
        <v>154</v>
      </c>
      <c r="I368">
        <v>2.7E-2</v>
      </c>
      <c r="J368">
        <f t="shared" si="182"/>
        <v>1.0009999999999764</v>
      </c>
      <c r="K368">
        <f t="shared" ca="1" si="183"/>
        <v>50.95</v>
      </c>
      <c r="L368">
        <f t="shared" ca="1" si="184"/>
        <v>2.1389677043987478</v>
      </c>
      <c r="M368">
        <f t="shared" ca="1" si="157"/>
        <v>11.122632062873489</v>
      </c>
      <c r="N368">
        <f t="shared" ca="1" si="158"/>
        <v>1.1735290000551568</v>
      </c>
      <c r="O368">
        <f t="shared" ca="1" si="159"/>
        <v>4.5807502857230418</v>
      </c>
      <c r="P368">
        <f t="shared" ca="1" si="160"/>
        <v>634.54846770439872</v>
      </c>
      <c r="Q368">
        <f t="shared" ca="1" si="161"/>
        <v>635.61795155659809</v>
      </c>
      <c r="R368">
        <f t="shared" ca="1" si="162"/>
        <v>3.8141460404132466E-3</v>
      </c>
      <c r="S368">
        <f t="shared" ca="1" si="163"/>
        <v>1.0000000000000004</v>
      </c>
      <c r="T368">
        <f t="shared" ca="1" si="164"/>
        <v>35.686426155594638</v>
      </c>
      <c r="U368">
        <f t="shared" ca="1" si="185"/>
        <v>-3.3660869597724741E-3</v>
      </c>
      <c r="V368">
        <f t="shared" ca="1" si="186"/>
        <v>1</v>
      </c>
      <c r="W368">
        <f t="shared" ca="1" si="165"/>
        <v>2.0796046588174586</v>
      </c>
      <c r="X368">
        <f t="shared" ca="1" si="166"/>
        <v>10.813944225850785</v>
      </c>
      <c r="Y368">
        <f t="shared" ca="1" si="167"/>
        <v>1.1554335263636866</v>
      </c>
      <c r="Z368">
        <f t="shared" ca="1" si="168"/>
        <v>4.7115094119131653</v>
      </c>
      <c r="AA368">
        <f t="shared" ca="1" si="169"/>
        <v>634.48910465881738</v>
      </c>
      <c r="AB368">
        <f t="shared" ca="1" si="170"/>
        <v>635.62051755069024</v>
      </c>
      <c r="AC368">
        <f t="shared" ca="1" si="171"/>
        <v>4.119482770921285E-3</v>
      </c>
      <c r="AD368">
        <f t="shared" ca="1" si="172"/>
        <v>1.0431221524823344</v>
      </c>
      <c r="AE368">
        <f t="shared" ca="1" si="173"/>
        <v>35.714436214379944</v>
      </c>
      <c r="AF368">
        <f t="shared" ca="1" si="174"/>
        <v>3.6587341156746334E-3</v>
      </c>
      <c r="AG368">
        <f t="shared" ca="1" si="175"/>
        <v>0</v>
      </c>
      <c r="AH368">
        <f ca="1">IFERROR(IF(V32="Supercritical",MAX($D$16,IFERROR(L368,MAX($D$16,POWER((ABS(K368)^2)/($I$5*MAX(F368,0.1)^2),1/3)))),IF(V32="Subcritical",MAX($D$16,IFERROR(W368,MAX($D$16,POWER((ABS(K368)^2)/($I$5*MAX(F368,0.1)^2),1/3)))),IF(AND(IFERROR(V368,0)=1,IFERROR(AG368,0)=1),IF(IFERROR(T368,-1E+99)&gt;=IFERROR(AE368,-1E+99),MAX($D$16,IFERROR(L368,MAX($D$16,POWER((ABS(K368)^2)/($I$5*MAX(F368,0.1)^2),1/3)))),MAX($D$16,IFERROR(W368,MAX($D$16,POWER((ABS(K368)^2)/($I$5*MAX(F368,0.1)^2),1/3))))),IF(IFERROR(V368,0)=1,MAX($D$16,IFERROR(L368,MAX($D$16,POWER((ABS(K368)^2)/($I$5*MAX(F368,0.1)^2),1/3)))),IF(IFERROR(AG368,0)=1,MAX($D$16,IFERROR(W368,MAX($D$16,POWER((ABS(K368)^2)/($I$5*MAX(F368,0.1)^2),1/3)))),MAX($D$16,POWER((ABS(K368)^2)/($I$5*MAX(F368,0.1)^2),1/3))))))),MAX($D$16,POWER((ABS(K368)^2)/($I$5*MAX(F368,0.1)^2),1/3)))</f>
        <v>2.1389677043987478</v>
      </c>
      <c r="AI368">
        <f t="shared" ca="1" si="176"/>
        <v>634.54846770439872</v>
      </c>
      <c r="AJ368">
        <f t="shared" ca="1" si="177"/>
        <v>635.61795155659809</v>
      </c>
      <c r="AM368">
        <v>0</v>
      </c>
      <c r="AN368">
        <v>0</v>
      </c>
      <c r="AO368">
        <f t="shared" si="178"/>
        <v>0</v>
      </c>
      <c r="AP368">
        <f t="shared" si="187"/>
        <v>0</v>
      </c>
      <c r="AQ368">
        <f t="shared" ca="1" si="179"/>
        <v>1.0000000000000004</v>
      </c>
      <c r="AR368" t="str">
        <f t="shared" ca="1" si="180"/>
        <v>Supercritical</v>
      </c>
      <c r="AS368">
        <f t="shared" ca="1" si="181"/>
        <v>3.8141460404132466E-3</v>
      </c>
    </row>
    <row r="369" spans="1:45" x14ac:dyDescent="0.35">
      <c r="A369">
        <v>308</v>
      </c>
      <c r="B369">
        <v>306.995</v>
      </c>
      <c r="C369">
        <v>616297.14300000004</v>
      </c>
      <c r="D369">
        <v>3097648.963</v>
      </c>
      <c r="E369">
        <v>632.40899999999999</v>
      </c>
      <c r="F369">
        <v>5.2</v>
      </c>
      <c r="G369">
        <v>0</v>
      </c>
      <c r="H369" t="s">
        <v>154</v>
      </c>
      <c r="I369">
        <v>2.3E-2</v>
      </c>
      <c r="J369">
        <f t="shared" si="182"/>
        <v>0.99900000000002365</v>
      </c>
      <c r="K369">
        <f t="shared" ca="1" si="183"/>
        <v>50.95</v>
      </c>
      <c r="L369">
        <f t="shared" ca="1" si="184"/>
        <v>2.1389677043987478</v>
      </c>
      <c r="M369">
        <f t="shared" ca="1" si="157"/>
        <v>11.122632062873489</v>
      </c>
      <c r="N369">
        <f t="shared" ca="1" si="158"/>
        <v>1.1735290000551568</v>
      </c>
      <c r="O369">
        <f t="shared" ca="1" si="159"/>
        <v>4.5807502857230418</v>
      </c>
      <c r="P369">
        <f t="shared" ca="1" si="160"/>
        <v>634.54796770439873</v>
      </c>
      <c r="Q369">
        <f t="shared" ca="1" si="161"/>
        <v>635.6174515565981</v>
      </c>
      <c r="R369">
        <f t="shared" ca="1" si="162"/>
        <v>3.8141460404132466E-3</v>
      </c>
      <c r="S369">
        <f t="shared" ca="1" si="163"/>
        <v>1.0000000000000004</v>
      </c>
      <c r="T369">
        <f t="shared" ca="1" si="164"/>
        <v>35.686426155594638</v>
      </c>
      <c r="U369">
        <f t="shared" ca="1" si="185"/>
        <v>-3.3513287753521581E-3</v>
      </c>
      <c r="V369">
        <f t="shared" ca="1" si="186"/>
        <v>1</v>
      </c>
      <c r="W369">
        <f t="shared" ca="1" si="165"/>
        <v>2.075238382201837</v>
      </c>
      <c r="X369">
        <f t="shared" ca="1" si="166"/>
        <v>10.791239587449553</v>
      </c>
      <c r="Y369">
        <f t="shared" ca="1" si="167"/>
        <v>1.154084423644655</v>
      </c>
      <c r="Z369">
        <f t="shared" ca="1" si="168"/>
        <v>4.721422371092193</v>
      </c>
      <c r="AA369">
        <f t="shared" ca="1" si="169"/>
        <v>634.48423838220185</v>
      </c>
      <c r="AB369">
        <f t="shared" ca="1" si="170"/>
        <v>635.62041724082826</v>
      </c>
      <c r="AC369">
        <f t="shared" ca="1" si="171"/>
        <v>4.1432847901807972E-3</v>
      </c>
      <c r="AD369">
        <f t="shared" ca="1" si="172"/>
        <v>1.0464159582056332</v>
      </c>
      <c r="AE369">
        <f t="shared" ca="1" si="173"/>
        <v>35.718753846970365</v>
      </c>
      <c r="AF369">
        <f t="shared" ca="1" si="174"/>
        <v>3.69098159785608E-3</v>
      </c>
      <c r="AG369">
        <f t="shared" ca="1" si="175"/>
        <v>0</v>
      </c>
      <c r="AH369">
        <f ca="1">IFERROR(IF(V32="Supercritical",MAX($D$16,IFERROR(L369,MAX($D$16,POWER((ABS(K369)^2)/($I$5*MAX(F369,0.1)^2),1/3)))),IF(V32="Subcritical",MAX($D$16,IFERROR(W369,MAX($D$16,POWER((ABS(K369)^2)/($I$5*MAX(F369,0.1)^2),1/3)))),IF(AND(IFERROR(V369,0)=1,IFERROR(AG369,0)=1),IF(IFERROR(T369,-1E+99)&gt;=IFERROR(AE369,-1E+99),MAX($D$16,IFERROR(L369,MAX($D$16,POWER((ABS(K369)^2)/($I$5*MAX(F369,0.1)^2),1/3)))),MAX($D$16,IFERROR(W369,MAX($D$16,POWER((ABS(K369)^2)/($I$5*MAX(F369,0.1)^2),1/3))))),IF(IFERROR(V369,0)=1,MAX($D$16,IFERROR(L369,MAX($D$16,POWER((ABS(K369)^2)/($I$5*MAX(F369,0.1)^2),1/3)))),IF(IFERROR(AG369,0)=1,MAX($D$16,IFERROR(W369,MAX($D$16,POWER((ABS(K369)^2)/($I$5*MAX(F369,0.1)^2),1/3)))),MAX($D$16,POWER((ABS(K369)^2)/($I$5*MAX(F369,0.1)^2),1/3))))))),MAX($D$16,POWER((ABS(K369)^2)/($I$5*MAX(F369,0.1)^2),1/3)))</f>
        <v>2.1389677043987478</v>
      </c>
      <c r="AI369">
        <f t="shared" ca="1" si="176"/>
        <v>634.54796770439873</v>
      </c>
      <c r="AJ369">
        <f t="shared" ca="1" si="177"/>
        <v>635.6174515565981</v>
      </c>
      <c r="AM369">
        <v>0</v>
      </c>
      <c r="AN369">
        <v>0</v>
      </c>
      <c r="AO369">
        <f t="shared" si="178"/>
        <v>0</v>
      </c>
      <c r="AP369">
        <f t="shared" si="187"/>
        <v>0</v>
      </c>
      <c r="AQ369">
        <f t="shared" ca="1" si="179"/>
        <v>1.0000000000000004</v>
      </c>
      <c r="AR369" t="str">
        <f t="shared" ca="1" si="180"/>
        <v>Supercritical</v>
      </c>
      <c r="AS369">
        <f t="shared" ca="1" si="181"/>
        <v>3.8141460404132466E-3</v>
      </c>
    </row>
    <row r="370" spans="1:45" x14ac:dyDescent="0.35">
      <c r="A370">
        <v>309</v>
      </c>
      <c r="B370">
        <v>307.99599999999998</v>
      </c>
      <c r="C370">
        <v>616296.66799999995</v>
      </c>
      <c r="D370">
        <v>3097648.0819999999</v>
      </c>
      <c r="E370">
        <v>632.4085</v>
      </c>
      <c r="F370">
        <v>5.2</v>
      </c>
      <c r="G370">
        <v>0</v>
      </c>
      <c r="H370" t="s">
        <v>154</v>
      </c>
      <c r="I370">
        <v>2.3E-2</v>
      </c>
      <c r="J370">
        <f t="shared" si="182"/>
        <v>1.0009999999999764</v>
      </c>
      <c r="K370">
        <f t="shared" ca="1" si="183"/>
        <v>50.95</v>
      </c>
      <c r="L370">
        <f t="shared" ca="1" si="184"/>
        <v>2.1389677043987478</v>
      </c>
      <c r="M370">
        <f t="shared" ca="1" si="157"/>
        <v>11.122632062873489</v>
      </c>
      <c r="N370">
        <f t="shared" ca="1" si="158"/>
        <v>1.1735290000551568</v>
      </c>
      <c r="O370">
        <f t="shared" ca="1" si="159"/>
        <v>4.5807502857230418</v>
      </c>
      <c r="P370">
        <f t="shared" ca="1" si="160"/>
        <v>634.54746770439874</v>
      </c>
      <c r="Q370">
        <f t="shared" ca="1" si="161"/>
        <v>635.61695155659811</v>
      </c>
      <c r="R370">
        <f t="shared" ca="1" si="162"/>
        <v>3.8141460404132466E-3</v>
      </c>
      <c r="S370">
        <f t="shared" ca="1" si="163"/>
        <v>1.0000000000000004</v>
      </c>
      <c r="T370">
        <f t="shared" ca="1" si="164"/>
        <v>35.686426155594638</v>
      </c>
      <c r="U370">
        <f t="shared" ca="1" si="185"/>
        <v>-3.3589570674621427E-3</v>
      </c>
      <c r="V370">
        <f t="shared" ca="1" si="186"/>
        <v>1</v>
      </c>
      <c r="W370">
        <f t="shared" ca="1" si="165"/>
        <v>2.0707415082916323</v>
      </c>
      <c r="X370">
        <f t="shared" ca="1" si="166"/>
        <v>10.767855843116488</v>
      </c>
      <c r="Y370">
        <f t="shared" ca="1" si="167"/>
        <v>1.1526923320420415</v>
      </c>
      <c r="Z370">
        <f t="shared" ca="1" si="168"/>
        <v>4.7316755296803636</v>
      </c>
      <c r="AA370">
        <f t="shared" ca="1" si="169"/>
        <v>634.47924150829158</v>
      </c>
      <c r="AB370">
        <f t="shared" ca="1" si="170"/>
        <v>635.62036043378475</v>
      </c>
      <c r="AC370">
        <f t="shared" ca="1" si="171"/>
        <v>4.1680017295567147E-3</v>
      </c>
      <c r="AD370">
        <f t="shared" ca="1" si="172"/>
        <v>1.0498264425989208</v>
      </c>
      <c r="AE370">
        <f t="shared" ca="1" si="173"/>
        <v>35.723531203945775</v>
      </c>
      <c r="AF370">
        <f t="shared" ca="1" si="174"/>
        <v>3.6680017295793732E-3</v>
      </c>
      <c r="AG370">
        <f t="shared" ca="1" si="175"/>
        <v>0</v>
      </c>
      <c r="AH370">
        <f ca="1">IFERROR(IF(V32="Supercritical",MAX($D$16,IFERROR(L370,MAX($D$16,POWER((ABS(K370)^2)/($I$5*MAX(F370,0.1)^2),1/3)))),IF(V32="Subcritical",MAX($D$16,IFERROR(W370,MAX($D$16,POWER((ABS(K370)^2)/($I$5*MAX(F370,0.1)^2),1/3)))),IF(AND(IFERROR(V370,0)=1,IFERROR(AG370,0)=1),IF(IFERROR(T370,-1E+99)&gt;=IFERROR(AE370,-1E+99),MAX($D$16,IFERROR(L370,MAX($D$16,POWER((ABS(K370)^2)/($I$5*MAX(F370,0.1)^2),1/3)))),MAX($D$16,IFERROR(W370,MAX($D$16,POWER((ABS(K370)^2)/($I$5*MAX(F370,0.1)^2),1/3))))),IF(IFERROR(V370,0)=1,MAX($D$16,IFERROR(L370,MAX($D$16,POWER((ABS(K370)^2)/($I$5*MAX(F370,0.1)^2),1/3)))),IF(IFERROR(AG370,0)=1,MAX($D$16,IFERROR(W370,MAX($D$16,POWER((ABS(K370)^2)/($I$5*MAX(F370,0.1)^2),1/3)))),MAX($D$16,POWER((ABS(K370)^2)/($I$5*MAX(F370,0.1)^2),1/3))))))),MAX($D$16,POWER((ABS(K370)^2)/($I$5*MAX(F370,0.1)^2),1/3)))</f>
        <v>2.1389677043987478</v>
      </c>
      <c r="AI370">
        <f t="shared" ca="1" si="176"/>
        <v>634.54746770439874</v>
      </c>
      <c r="AJ370">
        <f t="shared" ca="1" si="177"/>
        <v>635.61695155659811</v>
      </c>
      <c r="AM370">
        <v>0</v>
      </c>
      <c r="AN370">
        <v>0</v>
      </c>
      <c r="AO370">
        <f t="shared" si="178"/>
        <v>0</v>
      </c>
      <c r="AP370">
        <f t="shared" si="187"/>
        <v>0</v>
      </c>
      <c r="AQ370">
        <f t="shared" ca="1" si="179"/>
        <v>1.0000000000000004</v>
      </c>
      <c r="AR370" t="str">
        <f t="shared" ca="1" si="180"/>
        <v>Supercritical</v>
      </c>
      <c r="AS370">
        <f t="shared" ca="1" si="181"/>
        <v>3.8141460404132466E-3</v>
      </c>
    </row>
    <row r="371" spans="1:45" x14ac:dyDescent="0.35">
      <c r="A371">
        <v>310</v>
      </c>
      <c r="B371">
        <v>308.99599999999998</v>
      </c>
      <c r="C371">
        <v>616296.19400000002</v>
      </c>
      <c r="D371">
        <v>3097647.202</v>
      </c>
      <c r="E371">
        <v>632.40800000000002</v>
      </c>
      <c r="F371">
        <v>5.2</v>
      </c>
      <c r="G371">
        <v>0</v>
      </c>
      <c r="H371" t="s">
        <v>154</v>
      </c>
      <c r="I371">
        <v>0</v>
      </c>
      <c r="J371">
        <f t="shared" si="182"/>
        <v>1</v>
      </c>
      <c r="K371">
        <f t="shared" ca="1" si="183"/>
        <v>50.95</v>
      </c>
      <c r="L371">
        <f t="shared" ca="1" si="184"/>
        <v>2.1389677043987478</v>
      </c>
      <c r="M371">
        <f t="shared" ca="1" si="157"/>
        <v>11.122632062873489</v>
      </c>
      <c r="N371">
        <f t="shared" ca="1" si="158"/>
        <v>1.1735290000551568</v>
      </c>
      <c r="O371">
        <f t="shared" ca="1" si="159"/>
        <v>4.5807502857230418</v>
      </c>
      <c r="P371">
        <f t="shared" ca="1" si="160"/>
        <v>634.54696770439875</v>
      </c>
      <c r="Q371">
        <f t="shared" ca="1" si="161"/>
        <v>635.61645155659812</v>
      </c>
      <c r="R371">
        <f t="shared" ca="1" si="162"/>
        <v>3.8141460404132466E-3</v>
      </c>
      <c r="S371">
        <f t="shared" ca="1" si="163"/>
        <v>1.0000000000000004</v>
      </c>
      <c r="T371">
        <f t="shared" ca="1" si="164"/>
        <v>35.686426155594638</v>
      </c>
      <c r="U371">
        <f t="shared" ca="1" si="185"/>
        <v>-3.3141460404522149E-3</v>
      </c>
      <c r="V371">
        <f t="shared" ca="1" si="186"/>
        <v>1</v>
      </c>
      <c r="W371">
        <f t="shared" ca="1" si="165"/>
        <v>2.0661135981140313</v>
      </c>
      <c r="X371">
        <f t="shared" ca="1" si="166"/>
        <v>10.743790710192963</v>
      </c>
      <c r="Y371">
        <f t="shared" ca="1" si="167"/>
        <v>1.1512568740863307</v>
      </c>
      <c r="Z371">
        <f t="shared" ca="1" si="168"/>
        <v>4.7422740608361051</v>
      </c>
      <c r="AA371">
        <f t="shared" ca="1" si="169"/>
        <v>634.47411359811406</v>
      </c>
      <c r="AB371">
        <f t="shared" ca="1" si="170"/>
        <v>635.62035025805687</v>
      </c>
      <c r="AC371">
        <f t="shared" ca="1" si="171"/>
        <v>4.1936562962398873E-3</v>
      </c>
      <c r="AD371">
        <f t="shared" ca="1" si="172"/>
        <v>1.0533556934501977</v>
      </c>
      <c r="AE371">
        <f t="shared" ca="1" si="173"/>
        <v>35.728799598363906</v>
      </c>
      <c r="AF371">
        <f t="shared" ca="1" si="174"/>
        <v>3.7410432896649581E-3</v>
      </c>
      <c r="AG371">
        <f t="shared" ca="1" si="175"/>
        <v>0</v>
      </c>
      <c r="AH371">
        <f ca="1">IFERROR(IF(V32="Supercritical",MAX($D$16,IFERROR(L371,MAX($D$16,POWER((ABS(K371)^2)/($I$5*MAX(F371,0.1)^2),1/3)))),IF(V32="Subcritical",MAX($D$16,IFERROR(W371,MAX($D$16,POWER((ABS(K371)^2)/($I$5*MAX(F371,0.1)^2),1/3)))),IF(AND(IFERROR(V371,0)=1,IFERROR(AG371,0)=1),IF(IFERROR(T371,-1E+99)&gt;=IFERROR(AE371,-1E+99),MAX($D$16,IFERROR(L371,MAX($D$16,POWER((ABS(K371)^2)/($I$5*MAX(F371,0.1)^2),1/3)))),MAX($D$16,IFERROR(W371,MAX($D$16,POWER((ABS(K371)^2)/($I$5*MAX(F371,0.1)^2),1/3))))),IF(IFERROR(V371,0)=1,MAX($D$16,IFERROR(L371,MAX($D$16,POWER((ABS(K371)^2)/($I$5*MAX(F371,0.1)^2),1/3)))),IF(IFERROR(AG371,0)=1,MAX($D$16,IFERROR(W371,MAX($D$16,POWER((ABS(K371)^2)/($I$5*MAX(F371,0.1)^2),1/3)))),MAX($D$16,POWER((ABS(K371)^2)/($I$5*MAX(F371,0.1)^2),1/3))))))),MAX($D$16,POWER((ABS(K371)^2)/($I$5*MAX(F371,0.1)^2),1/3)))</f>
        <v>2.1389677043987478</v>
      </c>
      <c r="AI371">
        <f t="shared" ca="1" si="176"/>
        <v>634.54696770439875</v>
      </c>
      <c r="AJ371">
        <f t="shared" ca="1" si="177"/>
        <v>635.61645155659812</v>
      </c>
      <c r="AM371">
        <v>0</v>
      </c>
      <c r="AN371">
        <v>0</v>
      </c>
      <c r="AO371">
        <f t="shared" si="178"/>
        <v>0</v>
      </c>
      <c r="AP371">
        <f t="shared" si="187"/>
        <v>0</v>
      </c>
      <c r="AQ371">
        <f t="shared" ca="1" si="179"/>
        <v>1.0000000000000004</v>
      </c>
      <c r="AR371" t="str">
        <f t="shared" ca="1" si="180"/>
        <v>Supercritical</v>
      </c>
      <c r="AS371">
        <f t="shared" ca="1" si="181"/>
        <v>3.8141460404132466E-3</v>
      </c>
    </row>
    <row r="372" spans="1:45" x14ac:dyDescent="0.35">
      <c r="A372">
        <v>311</v>
      </c>
      <c r="B372">
        <v>309.995</v>
      </c>
      <c r="C372">
        <v>616295.72</v>
      </c>
      <c r="D372">
        <v>3097646.3220000002</v>
      </c>
      <c r="E372">
        <v>632.40750000000003</v>
      </c>
      <c r="F372">
        <v>5.2</v>
      </c>
      <c r="G372">
        <v>0</v>
      </c>
      <c r="H372" t="s">
        <v>154</v>
      </c>
      <c r="I372">
        <v>2.7E-2</v>
      </c>
      <c r="J372">
        <f t="shared" si="182"/>
        <v>0.99900000000002365</v>
      </c>
      <c r="K372">
        <f t="shared" ca="1" si="183"/>
        <v>50.95</v>
      </c>
      <c r="L372">
        <f t="shared" ca="1" si="184"/>
        <v>2.1389677043987478</v>
      </c>
      <c r="M372">
        <f t="shared" ca="1" si="157"/>
        <v>11.122632062873489</v>
      </c>
      <c r="N372">
        <f t="shared" ca="1" si="158"/>
        <v>1.1735290000551568</v>
      </c>
      <c r="O372">
        <f t="shared" ca="1" si="159"/>
        <v>4.5807502857230418</v>
      </c>
      <c r="P372">
        <f t="shared" ca="1" si="160"/>
        <v>634.54646770439876</v>
      </c>
      <c r="Q372">
        <f t="shared" ca="1" si="161"/>
        <v>635.61595155659813</v>
      </c>
      <c r="R372">
        <f t="shared" ca="1" si="162"/>
        <v>3.8141460404132466E-3</v>
      </c>
      <c r="S372">
        <f t="shared" ca="1" si="163"/>
        <v>1.0000000000000004</v>
      </c>
      <c r="T372">
        <f t="shared" ca="1" si="164"/>
        <v>35.686426155594638</v>
      </c>
      <c r="U372">
        <f t="shared" ca="1" si="185"/>
        <v>-3.3584586676624895E-3</v>
      </c>
      <c r="V372">
        <f t="shared" ca="1" si="186"/>
        <v>1</v>
      </c>
      <c r="W372">
        <f t="shared" ca="1" si="165"/>
        <v>2.0613545389502401</v>
      </c>
      <c r="X372">
        <f t="shared" ca="1" si="166"/>
        <v>10.71904360254125</v>
      </c>
      <c r="Y372">
        <f t="shared" ca="1" si="167"/>
        <v>1.1497777644859462</v>
      </c>
      <c r="Z372">
        <f t="shared" ca="1" si="168"/>
        <v>4.7532225718272922</v>
      </c>
      <c r="AA372">
        <f t="shared" ca="1" si="169"/>
        <v>634.46885453895027</v>
      </c>
      <c r="AB372">
        <f t="shared" ca="1" si="170"/>
        <v>635.62038995267756</v>
      </c>
      <c r="AC372">
        <f t="shared" ca="1" si="171"/>
        <v>4.2202704106997519E-3</v>
      </c>
      <c r="AD372">
        <f t="shared" ca="1" si="172"/>
        <v>1.0570056291350642</v>
      </c>
      <c r="AE372">
        <f t="shared" ca="1" si="173"/>
        <v>35.734591210877298</v>
      </c>
      <c r="AF372">
        <f t="shared" ca="1" si="174"/>
        <v>3.7763097747074426E-3</v>
      </c>
      <c r="AG372">
        <f t="shared" ca="1" si="175"/>
        <v>0</v>
      </c>
      <c r="AH372">
        <f ca="1">IFERROR(IF(V32="Supercritical",MAX($D$16,IFERROR(L372,MAX($D$16,POWER((ABS(K372)^2)/($I$5*MAX(F372,0.1)^2),1/3)))),IF(V32="Subcritical",MAX($D$16,IFERROR(W372,MAX($D$16,POWER((ABS(K372)^2)/($I$5*MAX(F372,0.1)^2),1/3)))),IF(AND(IFERROR(V372,0)=1,IFERROR(AG372,0)=1),IF(IFERROR(T372,-1E+99)&gt;=IFERROR(AE372,-1E+99),MAX($D$16,IFERROR(L372,MAX($D$16,POWER((ABS(K372)^2)/($I$5*MAX(F372,0.1)^2),1/3)))),MAX($D$16,IFERROR(W372,MAX($D$16,POWER((ABS(K372)^2)/($I$5*MAX(F372,0.1)^2),1/3))))),IF(IFERROR(V372,0)=1,MAX($D$16,IFERROR(L372,MAX($D$16,POWER((ABS(K372)^2)/($I$5*MAX(F372,0.1)^2),1/3)))),IF(IFERROR(AG372,0)=1,MAX($D$16,IFERROR(W372,MAX($D$16,POWER((ABS(K372)^2)/($I$5*MAX(F372,0.1)^2),1/3)))),MAX($D$16,POWER((ABS(K372)^2)/($I$5*MAX(F372,0.1)^2),1/3))))))),MAX($D$16,POWER((ABS(K372)^2)/($I$5*MAX(F372,0.1)^2),1/3)))</f>
        <v>2.1389677043987478</v>
      </c>
      <c r="AI372">
        <f t="shared" ca="1" si="176"/>
        <v>634.54646770439876</v>
      </c>
      <c r="AJ372">
        <f t="shared" ca="1" si="177"/>
        <v>635.61595155659813</v>
      </c>
      <c r="AM372">
        <v>0</v>
      </c>
      <c r="AN372">
        <v>0</v>
      </c>
      <c r="AO372">
        <f t="shared" si="178"/>
        <v>0</v>
      </c>
      <c r="AP372">
        <f t="shared" si="187"/>
        <v>0</v>
      </c>
      <c r="AQ372">
        <f t="shared" ca="1" si="179"/>
        <v>1.0000000000000004</v>
      </c>
      <c r="AR372" t="str">
        <f t="shared" ca="1" si="180"/>
        <v>Supercritical</v>
      </c>
      <c r="AS372">
        <f t="shared" ca="1" si="181"/>
        <v>3.8141460404132466E-3</v>
      </c>
    </row>
    <row r="373" spans="1:45" x14ac:dyDescent="0.35">
      <c r="A373">
        <v>312</v>
      </c>
      <c r="B373">
        <v>310.99599999999998</v>
      </c>
      <c r="C373">
        <v>616295.24600000004</v>
      </c>
      <c r="D373">
        <v>3097645.4410000001</v>
      </c>
      <c r="E373">
        <v>632.40700000000004</v>
      </c>
      <c r="F373">
        <v>5.2</v>
      </c>
      <c r="G373">
        <v>0</v>
      </c>
      <c r="H373" t="s">
        <v>154</v>
      </c>
      <c r="I373">
        <v>2.7E-2</v>
      </c>
      <c r="J373">
        <f t="shared" si="182"/>
        <v>1.0009999999999764</v>
      </c>
      <c r="K373">
        <f t="shared" ca="1" si="183"/>
        <v>50.95</v>
      </c>
      <c r="L373">
        <f t="shared" ca="1" si="184"/>
        <v>2.1389677043987478</v>
      </c>
      <c r="M373">
        <f t="shared" ca="1" si="157"/>
        <v>11.122632062873489</v>
      </c>
      <c r="N373">
        <f t="shared" ca="1" si="158"/>
        <v>1.1735290000551568</v>
      </c>
      <c r="O373">
        <f t="shared" ca="1" si="159"/>
        <v>4.5807502857230418</v>
      </c>
      <c r="P373">
        <f t="shared" ca="1" si="160"/>
        <v>634.54596770439878</v>
      </c>
      <c r="Q373">
        <f t="shared" ca="1" si="161"/>
        <v>635.61545155659815</v>
      </c>
      <c r="R373">
        <f t="shared" ca="1" si="162"/>
        <v>3.8141460404132466E-3</v>
      </c>
      <c r="S373">
        <f t="shared" ca="1" si="163"/>
        <v>1.0000000000000004</v>
      </c>
      <c r="T373">
        <f t="shared" ca="1" si="164"/>
        <v>35.686426155594638</v>
      </c>
      <c r="U373">
        <f t="shared" ca="1" si="185"/>
        <v>-3.3660869597724741E-3</v>
      </c>
      <c r="V373">
        <f t="shared" ca="1" si="186"/>
        <v>1</v>
      </c>
      <c r="W373">
        <f t="shared" ca="1" si="165"/>
        <v>2.0564645695175496</v>
      </c>
      <c r="X373">
        <f t="shared" ca="1" si="166"/>
        <v>10.693615761491259</v>
      </c>
      <c r="Y373">
        <f t="shared" ca="1" si="167"/>
        <v>1.1482548188484565</v>
      </c>
      <c r="Z373">
        <f t="shared" ca="1" si="168"/>
        <v>4.7645250340372121</v>
      </c>
      <c r="AA373">
        <f t="shared" ca="1" si="169"/>
        <v>634.46346456951755</v>
      </c>
      <c r="AB373">
        <f t="shared" ca="1" si="170"/>
        <v>635.62048285697767</v>
      </c>
      <c r="AC373">
        <f t="shared" ca="1" si="171"/>
        <v>4.247865027169632E-3</v>
      </c>
      <c r="AD373">
        <f t="shared" ca="1" si="172"/>
        <v>1.0607779746643138</v>
      </c>
      <c r="AE373">
        <f t="shared" ca="1" si="173"/>
        <v>35.740938957004644</v>
      </c>
      <c r="AF373">
        <f t="shared" ca="1" si="174"/>
        <v>3.7879695298670413E-3</v>
      </c>
      <c r="AG373">
        <f t="shared" ca="1" si="175"/>
        <v>0</v>
      </c>
      <c r="AH373">
        <f ca="1">IFERROR(IF(V32="Supercritical",MAX($D$16,IFERROR(L373,MAX($D$16,POWER((ABS(K373)^2)/($I$5*MAX(F373,0.1)^2),1/3)))),IF(V32="Subcritical",MAX($D$16,IFERROR(W373,MAX($D$16,POWER((ABS(K373)^2)/($I$5*MAX(F373,0.1)^2),1/3)))),IF(AND(IFERROR(V373,0)=1,IFERROR(AG373,0)=1),IF(IFERROR(T373,-1E+99)&gt;=IFERROR(AE373,-1E+99),MAX($D$16,IFERROR(L373,MAX($D$16,POWER((ABS(K373)^2)/($I$5*MAX(F373,0.1)^2),1/3)))),MAX($D$16,IFERROR(W373,MAX($D$16,POWER((ABS(K373)^2)/($I$5*MAX(F373,0.1)^2),1/3))))),IF(IFERROR(V373,0)=1,MAX($D$16,IFERROR(L373,MAX($D$16,POWER((ABS(K373)^2)/($I$5*MAX(F373,0.1)^2),1/3)))),IF(IFERROR(AG373,0)=1,MAX($D$16,IFERROR(W373,MAX($D$16,POWER((ABS(K373)^2)/($I$5*MAX(F373,0.1)^2),1/3)))),MAX($D$16,POWER((ABS(K373)^2)/($I$5*MAX(F373,0.1)^2),1/3))))))),MAX($D$16,POWER((ABS(K373)^2)/($I$5*MAX(F373,0.1)^2),1/3)))</f>
        <v>2.1389677043987478</v>
      </c>
      <c r="AI373">
        <f t="shared" ca="1" si="176"/>
        <v>634.54596770439878</v>
      </c>
      <c r="AJ373">
        <f t="shared" ca="1" si="177"/>
        <v>635.61545155659815</v>
      </c>
      <c r="AM373">
        <v>0</v>
      </c>
      <c r="AN373">
        <v>0</v>
      </c>
      <c r="AO373">
        <f t="shared" si="178"/>
        <v>0</v>
      </c>
      <c r="AP373">
        <f t="shared" si="187"/>
        <v>0</v>
      </c>
      <c r="AQ373">
        <f t="shared" ca="1" si="179"/>
        <v>1.0000000000000004</v>
      </c>
      <c r="AR373" t="str">
        <f t="shared" ca="1" si="180"/>
        <v>Supercritical</v>
      </c>
      <c r="AS373">
        <f t="shared" ca="1" si="181"/>
        <v>3.8141460404132466E-3</v>
      </c>
    </row>
    <row r="374" spans="1:45" x14ac:dyDescent="0.35">
      <c r="A374">
        <v>313</v>
      </c>
      <c r="B374">
        <v>311.995</v>
      </c>
      <c r="C374">
        <v>616294.772</v>
      </c>
      <c r="D374">
        <v>3097644.5610000002</v>
      </c>
      <c r="E374">
        <v>632.40650000000005</v>
      </c>
      <c r="F374">
        <v>5.2</v>
      </c>
      <c r="G374">
        <v>0</v>
      </c>
      <c r="H374" t="s">
        <v>154</v>
      </c>
      <c r="I374">
        <v>2.3E-2</v>
      </c>
      <c r="J374">
        <f t="shared" si="182"/>
        <v>0.99900000000002365</v>
      </c>
      <c r="K374">
        <f t="shared" ca="1" si="183"/>
        <v>50.95</v>
      </c>
      <c r="L374">
        <f t="shared" ca="1" si="184"/>
        <v>2.1389677043987478</v>
      </c>
      <c r="M374">
        <f t="shared" ca="1" si="157"/>
        <v>11.122632062873489</v>
      </c>
      <c r="N374">
        <f t="shared" ca="1" si="158"/>
        <v>1.1735290000551568</v>
      </c>
      <c r="O374">
        <f t="shared" ca="1" si="159"/>
        <v>4.5807502857230418</v>
      </c>
      <c r="P374">
        <f t="shared" ca="1" si="160"/>
        <v>634.54546770439879</v>
      </c>
      <c r="Q374">
        <f t="shared" ca="1" si="161"/>
        <v>635.61495155659816</v>
      </c>
      <c r="R374">
        <f t="shared" ca="1" si="162"/>
        <v>3.8141460404132466E-3</v>
      </c>
      <c r="S374">
        <f t="shared" ca="1" si="163"/>
        <v>1.0000000000000004</v>
      </c>
      <c r="T374">
        <f t="shared" ca="1" si="164"/>
        <v>35.686426155594638</v>
      </c>
      <c r="U374">
        <f t="shared" ca="1" si="185"/>
        <v>-3.3513287753521581E-3</v>
      </c>
      <c r="V374">
        <f t="shared" ca="1" si="186"/>
        <v>1</v>
      </c>
      <c r="W374">
        <f t="shared" ca="1" si="165"/>
        <v>2.0514443050321685</v>
      </c>
      <c r="X374">
        <f t="shared" ca="1" si="166"/>
        <v>10.667510386167276</v>
      </c>
      <c r="Y374">
        <f t="shared" ca="1" si="167"/>
        <v>1.1466879625567721</v>
      </c>
      <c r="Z374">
        <f t="shared" ca="1" si="168"/>
        <v>4.7761847099832826</v>
      </c>
      <c r="AA374">
        <f t="shared" ca="1" si="169"/>
        <v>634.45794430503224</v>
      </c>
      <c r="AB374">
        <f t="shared" ca="1" si="170"/>
        <v>635.62063239799238</v>
      </c>
      <c r="AC374">
        <f t="shared" ca="1" si="171"/>
        <v>4.2764599395827803E-3</v>
      </c>
      <c r="AD374">
        <f t="shared" ca="1" si="172"/>
        <v>1.064674236461957</v>
      </c>
      <c r="AE374">
        <f t="shared" ca="1" si="173"/>
        <v>35.747876330337974</v>
      </c>
      <c r="AF374">
        <f t="shared" ca="1" si="174"/>
        <v>3.8253061096611418E-3</v>
      </c>
      <c r="AG374">
        <f t="shared" ca="1" si="175"/>
        <v>0</v>
      </c>
      <c r="AH374">
        <f ca="1">IFERROR(IF(V32="Supercritical",MAX($D$16,IFERROR(L374,MAX($D$16,POWER((ABS(K374)^2)/($I$5*MAX(F374,0.1)^2),1/3)))),IF(V32="Subcritical",MAX($D$16,IFERROR(W374,MAX($D$16,POWER((ABS(K374)^2)/($I$5*MAX(F374,0.1)^2),1/3)))),IF(AND(IFERROR(V374,0)=1,IFERROR(AG374,0)=1),IF(IFERROR(T374,-1E+99)&gt;=IFERROR(AE374,-1E+99),MAX($D$16,IFERROR(L374,MAX($D$16,POWER((ABS(K374)^2)/($I$5*MAX(F374,0.1)^2),1/3)))),MAX($D$16,IFERROR(W374,MAX($D$16,POWER((ABS(K374)^2)/($I$5*MAX(F374,0.1)^2),1/3))))),IF(IFERROR(V374,0)=1,MAX($D$16,IFERROR(L374,MAX($D$16,POWER((ABS(K374)^2)/($I$5*MAX(F374,0.1)^2),1/3)))),IF(IFERROR(AG374,0)=1,MAX($D$16,IFERROR(W374,MAX($D$16,POWER((ABS(K374)^2)/($I$5*MAX(F374,0.1)^2),1/3)))),MAX($D$16,POWER((ABS(K374)^2)/($I$5*MAX(F374,0.1)^2),1/3))))))),MAX($D$16,POWER((ABS(K374)^2)/($I$5*MAX(F374,0.1)^2),1/3)))</f>
        <v>2.1389677043987478</v>
      </c>
      <c r="AI374">
        <f t="shared" ca="1" si="176"/>
        <v>634.54546770439879</v>
      </c>
      <c r="AJ374">
        <f t="shared" ca="1" si="177"/>
        <v>635.61495155659816</v>
      </c>
      <c r="AM374">
        <v>0</v>
      </c>
      <c r="AN374">
        <v>0</v>
      </c>
      <c r="AO374">
        <f t="shared" si="178"/>
        <v>0</v>
      </c>
      <c r="AP374">
        <f t="shared" si="187"/>
        <v>0</v>
      </c>
      <c r="AQ374">
        <f t="shared" ca="1" si="179"/>
        <v>1.0000000000000004</v>
      </c>
      <c r="AR374" t="str">
        <f t="shared" ca="1" si="180"/>
        <v>Supercritical</v>
      </c>
      <c r="AS374">
        <f t="shared" ca="1" si="181"/>
        <v>3.8141460404132466E-3</v>
      </c>
    </row>
    <row r="375" spans="1:45" x14ac:dyDescent="0.35">
      <c r="A375">
        <v>314</v>
      </c>
      <c r="B375">
        <v>312.99599999999998</v>
      </c>
      <c r="C375">
        <v>616294.29700000002</v>
      </c>
      <c r="D375">
        <v>3097643.68</v>
      </c>
      <c r="E375">
        <v>632.40599999999995</v>
      </c>
      <c r="F375">
        <v>5.2</v>
      </c>
      <c r="G375">
        <v>0</v>
      </c>
      <c r="H375" t="s">
        <v>154</v>
      </c>
      <c r="I375">
        <v>2.3E-2</v>
      </c>
      <c r="J375">
        <f t="shared" si="182"/>
        <v>1.0009999999999764</v>
      </c>
      <c r="K375">
        <f t="shared" ca="1" si="183"/>
        <v>50.95</v>
      </c>
      <c r="L375">
        <f t="shared" ca="1" si="184"/>
        <v>2.1389677043987478</v>
      </c>
      <c r="M375">
        <f t="shared" ca="1" si="157"/>
        <v>11.122632062873489</v>
      </c>
      <c r="N375">
        <f t="shared" ca="1" si="158"/>
        <v>1.1735290000551568</v>
      </c>
      <c r="O375">
        <f t="shared" ca="1" si="159"/>
        <v>4.5807502857230418</v>
      </c>
      <c r="P375">
        <f t="shared" ca="1" si="160"/>
        <v>634.54496770439869</v>
      </c>
      <c r="Q375">
        <f t="shared" ca="1" si="161"/>
        <v>635.61445155659806</v>
      </c>
      <c r="R375">
        <f t="shared" ca="1" si="162"/>
        <v>3.8141460404132466E-3</v>
      </c>
      <c r="S375">
        <f t="shared" ca="1" si="163"/>
        <v>1.0000000000000004</v>
      </c>
      <c r="T375">
        <f t="shared" ca="1" si="164"/>
        <v>35.686426155594638</v>
      </c>
      <c r="U375">
        <f t="shared" ca="1" si="185"/>
        <v>-3.3589570673484559E-3</v>
      </c>
      <c r="V375">
        <f t="shared" ca="1" si="186"/>
        <v>1</v>
      </c>
      <c r="W375">
        <f t="shared" ca="1" si="165"/>
        <v>2.046294761888924</v>
      </c>
      <c r="X375">
        <f t="shared" ca="1" si="166"/>
        <v>10.640732761822406</v>
      </c>
      <c r="Y375">
        <f t="shared" ca="1" si="167"/>
        <v>1.1450772397290263</v>
      </c>
      <c r="Z375">
        <f t="shared" ca="1" si="168"/>
        <v>4.7882040777118391</v>
      </c>
      <c r="AA375">
        <f t="shared" ca="1" si="169"/>
        <v>634.45229476188888</v>
      </c>
      <c r="AB375">
        <f t="shared" ca="1" si="170"/>
        <v>635.62084207533519</v>
      </c>
      <c r="AC375">
        <f t="shared" ca="1" si="171"/>
        <v>4.3060735729549679E-3</v>
      </c>
      <c r="AD375">
        <f t="shared" ca="1" si="172"/>
        <v>1.0686956759666097</v>
      </c>
      <c r="AE375">
        <f t="shared" ca="1" si="173"/>
        <v>35.755437220443589</v>
      </c>
      <c r="AF375">
        <f t="shared" ca="1" si="174"/>
        <v>3.8060735729459338E-3</v>
      </c>
      <c r="AG375">
        <f t="shared" ca="1" si="175"/>
        <v>0</v>
      </c>
      <c r="AH375">
        <f ca="1">IFERROR(IF(V32="Supercritical",MAX($D$16,IFERROR(L375,MAX($D$16,POWER((ABS(K375)^2)/($I$5*MAX(F375,0.1)^2),1/3)))),IF(V32="Subcritical",MAX($D$16,IFERROR(W375,MAX($D$16,POWER((ABS(K375)^2)/($I$5*MAX(F375,0.1)^2),1/3)))),IF(AND(IFERROR(V375,0)=1,IFERROR(AG375,0)=1),IF(IFERROR(T375,-1E+99)&gt;=IFERROR(AE375,-1E+99),MAX($D$16,IFERROR(L375,MAX($D$16,POWER((ABS(K375)^2)/($I$5*MAX(F375,0.1)^2),1/3)))),MAX($D$16,IFERROR(W375,MAX($D$16,POWER((ABS(K375)^2)/($I$5*MAX(F375,0.1)^2),1/3))))),IF(IFERROR(V375,0)=1,MAX($D$16,IFERROR(L375,MAX($D$16,POWER((ABS(K375)^2)/($I$5*MAX(F375,0.1)^2),1/3)))),IF(IFERROR(AG375,0)=1,MAX($D$16,IFERROR(W375,MAX($D$16,POWER((ABS(K375)^2)/($I$5*MAX(F375,0.1)^2),1/3)))),MAX($D$16,POWER((ABS(K375)^2)/($I$5*MAX(F375,0.1)^2),1/3))))))),MAX($D$16,POWER((ABS(K375)^2)/($I$5*MAX(F375,0.1)^2),1/3)))</f>
        <v>2.1389677043987478</v>
      </c>
      <c r="AI375">
        <f t="shared" ca="1" si="176"/>
        <v>634.54496770439869</v>
      </c>
      <c r="AJ375">
        <f t="shared" ca="1" si="177"/>
        <v>635.61445155659806</v>
      </c>
      <c r="AM375">
        <v>0</v>
      </c>
      <c r="AN375">
        <v>0</v>
      </c>
      <c r="AO375">
        <f t="shared" si="178"/>
        <v>0</v>
      </c>
      <c r="AP375">
        <f t="shared" si="187"/>
        <v>0</v>
      </c>
      <c r="AQ375">
        <f t="shared" ca="1" si="179"/>
        <v>1.0000000000000004</v>
      </c>
      <c r="AR375" t="str">
        <f t="shared" ca="1" si="180"/>
        <v>Supercritical</v>
      </c>
      <c r="AS375">
        <f t="shared" ca="1" si="181"/>
        <v>3.8141460404132466E-3</v>
      </c>
    </row>
    <row r="376" spans="1:45" x14ac:dyDescent="0.35">
      <c r="A376">
        <v>315</v>
      </c>
      <c r="B376">
        <v>313.99599999999998</v>
      </c>
      <c r="C376">
        <v>616293.82299999997</v>
      </c>
      <c r="D376">
        <v>3097642.8</v>
      </c>
      <c r="E376">
        <v>632.40549999999996</v>
      </c>
      <c r="F376">
        <v>5.2</v>
      </c>
      <c r="G376">
        <v>0</v>
      </c>
      <c r="H376" t="s">
        <v>154</v>
      </c>
      <c r="I376">
        <v>0</v>
      </c>
      <c r="J376">
        <f t="shared" si="182"/>
        <v>1</v>
      </c>
      <c r="K376">
        <f t="shared" ca="1" si="183"/>
        <v>50.95</v>
      </c>
      <c r="L376">
        <f t="shared" ca="1" si="184"/>
        <v>2.1389677043987478</v>
      </c>
      <c r="M376">
        <f t="shared" ca="1" si="157"/>
        <v>11.122632062873489</v>
      </c>
      <c r="N376">
        <f t="shared" ca="1" si="158"/>
        <v>1.1735290000551568</v>
      </c>
      <c r="O376">
        <f t="shared" ca="1" si="159"/>
        <v>4.5807502857230418</v>
      </c>
      <c r="P376">
        <f t="shared" ca="1" si="160"/>
        <v>634.5444677043987</v>
      </c>
      <c r="Q376">
        <f t="shared" ca="1" si="161"/>
        <v>635.61395155659807</v>
      </c>
      <c r="R376">
        <f t="shared" ca="1" si="162"/>
        <v>3.8141460404132466E-3</v>
      </c>
      <c r="S376">
        <f t="shared" ca="1" si="163"/>
        <v>1.0000000000000004</v>
      </c>
      <c r="T376">
        <f t="shared" ca="1" si="164"/>
        <v>35.686426155594638</v>
      </c>
      <c r="U376">
        <f t="shared" ca="1" si="185"/>
        <v>-3.3141460404522149E-3</v>
      </c>
      <c r="V376">
        <f t="shared" ca="1" si="186"/>
        <v>1</v>
      </c>
      <c r="W376">
        <f t="shared" ca="1" si="165"/>
        <v>2.0410173816644539</v>
      </c>
      <c r="X376">
        <f t="shared" ca="1" si="166"/>
        <v>10.61329038465516</v>
      </c>
      <c r="Y376">
        <f t="shared" ca="1" si="167"/>
        <v>1.1434228221796499</v>
      </c>
      <c r="Z376">
        <f t="shared" ca="1" si="168"/>
        <v>4.8005847530247738</v>
      </c>
      <c r="AA376">
        <f t="shared" ca="1" si="169"/>
        <v>634.44651738166442</v>
      </c>
      <c r="AB376">
        <f t="shared" ca="1" si="170"/>
        <v>635.62111544338586</v>
      </c>
      <c r="AC376">
        <f t="shared" ca="1" si="171"/>
        <v>4.3367227604302443E-3</v>
      </c>
      <c r="AD376">
        <f t="shared" ca="1" si="172"/>
        <v>1.072843282180773</v>
      </c>
      <c r="AE376">
        <f t="shared" ca="1" si="173"/>
        <v>35.763655704471418</v>
      </c>
      <c r="AF376">
        <f t="shared" ca="1" si="174"/>
        <v>3.8852429504458996E-3</v>
      </c>
      <c r="AG376">
        <f t="shared" ca="1" si="175"/>
        <v>0</v>
      </c>
      <c r="AH376">
        <f ca="1">IFERROR(IF(V32="Supercritical",MAX($D$16,IFERROR(L376,MAX($D$16,POWER((ABS(K376)^2)/($I$5*MAX(F376,0.1)^2),1/3)))),IF(V32="Subcritical",MAX($D$16,IFERROR(W376,MAX($D$16,POWER((ABS(K376)^2)/($I$5*MAX(F376,0.1)^2),1/3)))),IF(AND(IFERROR(V376,0)=1,IFERROR(AG376,0)=1),IF(IFERROR(T376,-1E+99)&gt;=IFERROR(AE376,-1E+99),MAX($D$16,IFERROR(L376,MAX($D$16,POWER((ABS(K376)^2)/($I$5*MAX(F376,0.1)^2),1/3)))),MAX($D$16,IFERROR(W376,MAX($D$16,POWER((ABS(K376)^2)/($I$5*MAX(F376,0.1)^2),1/3))))),IF(IFERROR(V376,0)=1,MAX($D$16,IFERROR(L376,MAX($D$16,POWER((ABS(K376)^2)/($I$5*MAX(F376,0.1)^2),1/3)))),IF(IFERROR(AG376,0)=1,MAX($D$16,IFERROR(W376,MAX($D$16,POWER((ABS(K376)^2)/($I$5*MAX(F376,0.1)^2),1/3)))),MAX($D$16,POWER((ABS(K376)^2)/($I$5*MAX(F376,0.1)^2),1/3))))))),MAX($D$16,POWER((ABS(K376)^2)/($I$5*MAX(F376,0.1)^2),1/3)))</f>
        <v>2.1389677043987478</v>
      </c>
      <c r="AI376">
        <f t="shared" ca="1" si="176"/>
        <v>634.5444677043987</v>
      </c>
      <c r="AJ376">
        <f t="shared" ca="1" si="177"/>
        <v>635.61395155659807</v>
      </c>
      <c r="AM376">
        <v>0</v>
      </c>
      <c r="AN376">
        <v>0</v>
      </c>
      <c r="AO376">
        <f t="shared" si="178"/>
        <v>0</v>
      </c>
      <c r="AP376">
        <f t="shared" si="187"/>
        <v>0</v>
      </c>
      <c r="AQ376">
        <f t="shared" ca="1" si="179"/>
        <v>1.0000000000000004</v>
      </c>
      <c r="AR376" t="str">
        <f t="shared" ca="1" si="180"/>
        <v>Supercritical</v>
      </c>
      <c r="AS376">
        <f t="shared" ca="1" si="181"/>
        <v>3.8141460404132466E-3</v>
      </c>
    </row>
    <row r="377" spans="1:45" x14ac:dyDescent="0.35">
      <c r="A377">
        <v>316</v>
      </c>
      <c r="B377">
        <v>314.995</v>
      </c>
      <c r="C377">
        <v>616293.34900000005</v>
      </c>
      <c r="D377">
        <v>3097641.92</v>
      </c>
      <c r="E377">
        <v>632.40499999999997</v>
      </c>
      <c r="F377">
        <v>5.2</v>
      </c>
      <c r="G377">
        <v>0</v>
      </c>
      <c r="H377" t="s">
        <v>154</v>
      </c>
      <c r="I377">
        <v>2.7E-2</v>
      </c>
      <c r="J377">
        <f t="shared" si="182"/>
        <v>0.99900000000002365</v>
      </c>
      <c r="K377">
        <f t="shared" ca="1" si="183"/>
        <v>50.95</v>
      </c>
      <c r="L377">
        <f t="shared" ca="1" si="184"/>
        <v>2.1389677043987478</v>
      </c>
      <c r="M377">
        <f t="shared" ca="1" si="157"/>
        <v>11.122632062873489</v>
      </c>
      <c r="N377">
        <f t="shared" ca="1" si="158"/>
        <v>1.1735290000551568</v>
      </c>
      <c r="O377">
        <f t="shared" ca="1" si="159"/>
        <v>4.5807502857230418</v>
      </c>
      <c r="P377">
        <f t="shared" ca="1" si="160"/>
        <v>634.54396770439871</v>
      </c>
      <c r="Q377">
        <f t="shared" ca="1" si="161"/>
        <v>635.61345155659808</v>
      </c>
      <c r="R377">
        <f t="shared" ca="1" si="162"/>
        <v>3.8141460404132466E-3</v>
      </c>
      <c r="S377">
        <f t="shared" ca="1" si="163"/>
        <v>1.0000000000000004</v>
      </c>
      <c r="T377">
        <f t="shared" ca="1" si="164"/>
        <v>35.686426155594638</v>
      </c>
      <c r="U377">
        <f t="shared" ca="1" si="185"/>
        <v>-3.3584586676624895E-3</v>
      </c>
      <c r="V377">
        <f t="shared" ca="1" si="186"/>
        <v>1</v>
      </c>
      <c r="W377">
        <f t="shared" ca="1" si="165"/>
        <v>2.0356140541214125</v>
      </c>
      <c r="X377">
        <f t="shared" ca="1" si="166"/>
        <v>10.585193081431346</v>
      </c>
      <c r="Y377">
        <f t="shared" ca="1" si="167"/>
        <v>1.141725018287524</v>
      </c>
      <c r="Z377">
        <f t="shared" ca="1" si="168"/>
        <v>4.8133274100948631</v>
      </c>
      <c r="AA377">
        <f t="shared" ca="1" si="169"/>
        <v>634.4406140541214</v>
      </c>
      <c r="AB377">
        <f t="shared" ca="1" si="170"/>
        <v>635.62145609065408</v>
      </c>
      <c r="AC377">
        <f t="shared" ca="1" si="171"/>
        <v>4.368422506468606E-3</v>
      </c>
      <c r="AD377">
        <f t="shared" ca="1" si="172"/>
        <v>1.0771177433278145</v>
      </c>
      <c r="AE377">
        <f t="shared" ca="1" si="173"/>
        <v>35.772565811812527</v>
      </c>
      <c r="AF377">
        <f t="shared" ca="1" si="174"/>
        <v>4.0263003937752728E-3</v>
      </c>
      <c r="AG377">
        <f t="shared" ca="1" si="175"/>
        <v>0</v>
      </c>
      <c r="AH377">
        <f ca="1">IFERROR(IF(V32="Supercritical",MAX($D$16,IFERROR(L377,MAX($D$16,POWER((ABS(K377)^2)/($I$5*MAX(F377,0.1)^2),1/3)))),IF(V32="Subcritical",MAX($D$16,IFERROR(W377,MAX($D$16,POWER((ABS(K377)^2)/($I$5*MAX(F377,0.1)^2),1/3)))),IF(AND(IFERROR(V377,0)=1,IFERROR(AG377,0)=1),IF(IFERROR(T377,-1E+99)&gt;=IFERROR(AE377,-1E+99),MAX($D$16,IFERROR(L377,MAX($D$16,POWER((ABS(K377)^2)/($I$5*MAX(F377,0.1)^2),1/3)))),MAX($D$16,IFERROR(W377,MAX($D$16,POWER((ABS(K377)^2)/($I$5*MAX(F377,0.1)^2),1/3))))),IF(IFERROR(V377,0)=1,MAX($D$16,IFERROR(L377,MAX($D$16,POWER((ABS(K377)^2)/($I$5*MAX(F377,0.1)^2),1/3)))),IF(IFERROR(AG377,0)=1,MAX($D$16,IFERROR(W377,MAX($D$16,POWER((ABS(K377)^2)/($I$5*MAX(F377,0.1)^2),1/3)))),MAX($D$16,POWER((ABS(K377)^2)/($I$5*MAX(F377,0.1)^2),1/3))))))),MAX($D$16,POWER((ABS(K377)^2)/($I$5*MAX(F377,0.1)^2),1/3)))</f>
        <v>2.1389677043987478</v>
      </c>
      <c r="AI377">
        <f t="shared" ca="1" si="176"/>
        <v>634.54396770439871</v>
      </c>
      <c r="AJ377">
        <f t="shared" ca="1" si="177"/>
        <v>635.61345155659808</v>
      </c>
      <c r="AM377">
        <v>0</v>
      </c>
      <c r="AN377">
        <v>0</v>
      </c>
      <c r="AO377">
        <f t="shared" si="178"/>
        <v>0</v>
      </c>
      <c r="AP377">
        <f t="shared" si="187"/>
        <v>0</v>
      </c>
      <c r="AQ377">
        <f t="shared" ca="1" si="179"/>
        <v>1.0000000000000004</v>
      </c>
      <c r="AR377" t="str">
        <f t="shared" ca="1" si="180"/>
        <v>Supercritical</v>
      </c>
      <c r="AS377">
        <f t="shared" ca="1" si="181"/>
        <v>3.8141460404132466E-3</v>
      </c>
    </row>
    <row r="378" spans="1:45" x14ac:dyDescent="0.35">
      <c r="A378">
        <v>317</v>
      </c>
      <c r="B378">
        <v>315.99599999999998</v>
      </c>
      <c r="C378">
        <v>616292.875</v>
      </c>
      <c r="D378">
        <v>3097641.0389999999</v>
      </c>
      <c r="E378">
        <v>632.40449999999998</v>
      </c>
      <c r="F378">
        <v>5.2</v>
      </c>
      <c r="G378">
        <v>0</v>
      </c>
      <c r="H378" t="s">
        <v>154</v>
      </c>
      <c r="I378">
        <v>7.8E-2</v>
      </c>
      <c r="J378">
        <f t="shared" si="182"/>
        <v>1.0009999999999764</v>
      </c>
      <c r="K378">
        <f t="shared" ca="1" si="183"/>
        <v>50.95</v>
      </c>
      <c r="L378">
        <f t="shared" ca="1" si="184"/>
        <v>2.1389677043987478</v>
      </c>
      <c r="M378">
        <f t="shared" ca="1" si="157"/>
        <v>11.122632062873489</v>
      </c>
      <c r="N378">
        <f t="shared" ca="1" si="158"/>
        <v>1.1735290000551568</v>
      </c>
      <c r="O378">
        <f t="shared" ca="1" si="159"/>
        <v>4.5807502857230418</v>
      </c>
      <c r="P378">
        <f t="shared" ca="1" si="160"/>
        <v>634.54346770439872</v>
      </c>
      <c r="Q378">
        <f t="shared" ca="1" si="161"/>
        <v>635.61295155659809</v>
      </c>
      <c r="R378">
        <f t="shared" ca="1" si="162"/>
        <v>3.8141460404132466E-3</v>
      </c>
      <c r="S378">
        <f t="shared" ca="1" si="163"/>
        <v>1.0000000000000004</v>
      </c>
      <c r="T378">
        <f t="shared" ca="1" si="164"/>
        <v>35.686426155594638</v>
      </c>
      <c r="U378">
        <f t="shared" ca="1" si="185"/>
        <v>-3.456993087183946E-3</v>
      </c>
      <c r="V378">
        <f t="shared" ca="1" si="186"/>
        <v>1</v>
      </c>
      <c r="W378">
        <f t="shared" ca="1" si="165"/>
        <v>2.0300871388637169</v>
      </c>
      <c r="X378">
        <f t="shared" ca="1" si="166"/>
        <v>10.556453122091328</v>
      </c>
      <c r="Y378">
        <f t="shared" ca="1" si="167"/>
        <v>1.1399842816653791</v>
      </c>
      <c r="Z378">
        <f t="shared" ca="1" si="168"/>
        <v>4.8264317011343243</v>
      </c>
      <c r="AA378">
        <f t="shared" ca="1" si="169"/>
        <v>634.43458713886366</v>
      </c>
      <c r="AB378">
        <f t="shared" ca="1" si="170"/>
        <v>635.62186761621911</v>
      </c>
      <c r="AC378">
        <f t="shared" ca="1" si="171"/>
        <v>4.4011857369570155E-3</v>
      </c>
      <c r="AD378">
        <f t="shared" ca="1" si="172"/>
        <v>1.0815194178148348</v>
      </c>
      <c r="AE378">
        <f t="shared" ca="1" si="173"/>
        <v>35.782201261542184</v>
      </c>
      <c r="AF378">
        <f t="shared" ca="1" si="174"/>
        <v>4.0555321990041193E-3</v>
      </c>
      <c r="AG378">
        <f t="shared" ca="1" si="175"/>
        <v>0</v>
      </c>
      <c r="AH378">
        <f ca="1">IFERROR(IF(V32="Supercritical",MAX($D$16,IFERROR(L378,MAX($D$16,POWER((ABS(K378)^2)/($I$5*MAX(F378,0.1)^2),1/3)))),IF(V32="Subcritical",MAX($D$16,IFERROR(W378,MAX($D$16,POWER((ABS(K378)^2)/($I$5*MAX(F378,0.1)^2),1/3)))),IF(AND(IFERROR(V378,0)=1,IFERROR(AG378,0)=1),IF(IFERROR(T378,-1E+99)&gt;=IFERROR(AE378,-1E+99),MAX($D$16,IFERROR(L378,MAX($D$16,POWER((ABS(K378)^2)/($I$5*MAX(F378,0.1)^2),1/3)))),MAX($D$16,IFERROR(W378,MAX($D$16,POWER((ABS(K378)^2)/($I$5*MAX(F378,0.1)^2),1/3))))),IF(IFERROR(V378,0)=1,MAX($D$16,IFERROR(L378,MAX($D$16,POWER((ABS(K378)^2)/($I$5*MAX(F378,0.1)^2),1/3)))),IF(IFERROR(AG378,0)=1,MAX($D$16,IFERROR(W378,MAX($D$16,POWER((ABS(K378)^2)/($I$5*MAX(F378,0.1)^2),1/3)))),MAX($D$16,POWER((ABS(K378)^2)/($I$5*MAX(F378,0.1)^2),1/3))))))),MAX($D$16,POWER((ABS(K378)^2)/($I$5*MAX(F378,0.1)^2),1/3)))</f>
        <v>2.1389677043987478</v>
      </c>
      <c r="AI378">
        <f t="shared" ca="1" si="176"/>
        <v>634.54346770439872</v>
      </c>
      <c r="AJ378">
        <f t="shared" ca="1" si="177"/>
        <v>635.61295155659809</v>
      </c>
      <c r="AM378">
        <v>0</v>
      </c>
      <c r="AN378">
        <v>0</v>
      </c>
      <c r="AO378">
        <f t="shared" si="178"/>
        <v>0</v>
      </c>
      <c r="AP378">
        <f t="shared" si="187"/>
        <v>0</v>
      </c>
      <c r="AQ378">
        <f t="shared" ca="1" si="179"/>
        <v>1.0000000000000004</v>
      </c>
      <c r="AR378" t="str">
        <f t="shared" ca="1" si="180"/>
        <v>Supercritical</v>
      </c>
      <c r="AS378">
        <f t="shared" ca="1" si="181"/>
        <v>3.8141460404132466E-3</v>
      </c>
    </row>
    <row r="379" spans="1:45" x14ac:dyDescent="0.35">
      <c r="A379">
        <v>318</v>
      </c>
      <c r="B379">
        <v>316.99599999999998</v>
      </c>
      <c r="C379">
        <v>616292.4</v>
      </c>
      <c r="D379">
        <v>3097640.159</v>
      </c>
      <c r="E379">
        <v>632.404</v>
      </c>
      <c r="F379">
        <v>5.2</v>
      </c>
      <c r="G379">
        <v>0</v>
      </c>
      <c r="H379" t="s">
        <v>154</v>
      </c>
      <c r="I379">
        <v>7.8E-2</v>
      </c>
      <c r="J379">
        <f t="shared" si="182"/>
        <v>1</v>
      </c>
      <c r="K379">
        <f t="shared" ca="1" si="183"/>
        <v>50.95</v>
      </c>
      <c r="L379">
        <f t="shared" ca="1" si="184"/>
        <v>2.1389677043987478</v>
      </c>
      <c r="M379">
        <f t="shared" ca="1" si="157"/>
        <v>11.122632062873489</v>
      </c>
      <c r="N379">
        <f t="shared" ca="1" si="158"/>
        <v>1.1735290000551568</v>
      </c>
      <c r="O379">
        <f t="shared" ca="1" si="159"/>
        <v>4.5807502857230418</v>
      </c>
      <c r="P379">
        <f t="shared" ca="1" si="160"/>
        <v>634.54296770439873</v>
      </c>
      <c r="Q379">
        <f t="shared" ca="1" si="161"/>
        <v>635.6124515565981</v>
      </c>
      <c r="R379">
        <f t="shared" ca="1" si="162"/>
        <v>3.8141460404132466E-3</v>
      </c>
      <c r="S379">
        <f t="shared" ca="1" si="163"/>
        <v>1.0000000000000004</v>
      </c>
      <c r="T379">
        <f t="shared" ca="1" si="164"/>
        <v>35.686426155594638</v>
      </c>
      <c r="U379">
        <f t="shared" ca="1" si="185"/>
        <v>-3.4531789411857972E-3</v>
      </c>
      <c r="V379">
        <f t="shared" ca="1" si="186"/>
        <v>1</v>
      </c>
      <c r="W379">
        <f t="shared" ca="1" si="165"/>
        <v>2.0244394852673215</v>
      </c>
      <c r="X379">
        <f t="shared" ca="1" si="166"/>
        <v>10.527085323390072</v>
      </c>
      <c r="Y379">
        <f t="shared" ca="1" si="167"/>
        <v>1.1382012195129352</v>
      </c>
      <c r="Z379">
        <f t="shared" ca="1" si="168"/>
        <v>4.8398961758953813</v>
      </c>
      <c r="AA379">
        <f t="shared" ca="1" si="169"/>
        <v>634.42843948526729</v>
      </c>
      <c r="AB379">
        <f t="shared" ca="1" si="170"/>
        <v>635.62235360317993</v>
      </c>
      <c r="AC379">
        <f t="shared" ca="1" si="171"/>
        <v>4.4350230373720653E-3</v>
      </c>
      <c r="AD379">
        <f t="shared" ca="1" si="172"/>
        <v>1.0860483047412233</v>
      </c>
      <c r="AE379">
        <f t="shared" ca="1" si="173"/>
        <v>35.792595172857986</v>
      </c>
      <c r="AF379">
        <f t="shared" ca="1" si="174"/>
        <v>3.9887491726631197E-3</v>
      </c>
      <c r="AG379">
        <f t="shared" ca="1" si="175"/>
        <v>0</v>
      </c>
      <c r="AH379">
        <f ca="1">IFERROR(IF(V32="Supercritical",MAX($D$16,IFERROR(L379,MAX($D$16,POWER((ABS(K379)^2)/($I$5*MAX(F379,0.1)^2),1/3)))),IF(V32="Subcritical",MAX($D$16,IFERROR(W379,MAX($D$16,POWER((ABS(K379)^2)/($I$5*MAX(F379,0.1)^2),1/3)))),IF(AND(IFERROR(V379,0)=1,IFERROR(AG379,0)=1),IF(IFERROR(T379,-1E+99)&gt;=IFERROR(AE379,-1E+99),MAX($D$16,IFERROR(L379,MAX($D$16,POWER((ABS(K379)^2)/($I$5*MAX(F379,0.1)^2),1/3)))),MAX($D$16,IFERROR(W379,MAX($D$16,POWER((ABS(K379)^2)/($I$5*MAX(F379,0.1)^2),1/3))))),IF(IFERROR(V379,0)=1,MAX($D$16,IFERROR(L379,MAX($D$16,POWER((ABS(K379)^2)/($I$5*MAX(F379,0.1)^2),1/3)))),IF(IFERROR(AG379,0)=1,MAX($D$16,IFERROR(W379,MAX($D$16,POWER((ABS(K379)^2)/($I$5*MAX(F379,0.1)^2),1/3)))),MAX($D$16,POWER((ABS(K379)^2)/($I$5*MAX(F379,0.1)^2),1/3))))))),MAX($D$16,POWER((ABS(K379)^2)/($I$5*MAX(F379,0.1)^2),1/3)))</f>
        <v>2.1389677043987478</v>
      </c>
      <c r="AI379">
        <f t="shared" ca="1" si="176"/>
        <v>634.54296770439873</v>
      </c>
      <c r="AJ379">
        <f t="shared" ca="1" si="177"/>
        <v>635.6124515565981</v>
      </c>
      <c r="AM379">
        <v>0</v>
      </c>
      <c r="AN379">
        <v>0</v>
      </c>
      <c r="AO379">
        <f t="shared" si="178"/>
        <v>0</v>
      </c>
      <c r="AP379">
        <f t="shared" si="187"/>
        <v>0</v>
      </c>
      <c r="AQ379">
        <f t="shared" ca="1" si="179"/>
        <v>1.0000000000000004</v>
      </c>
      <c r="AR379" t="str">
        <f t="shared" ca="1" si="180"/>
        <v>Supercritical</v>
      </c>
      <c r="AS379">
        <f t="shared" ca="1" si="181"/>
        <v>3.8141460404132466E-3</v>
      </c>
    </row>
    <row r="380" spans="1:45" x14ac:dyDescent="0.35">
      <c r="A380">
        <v>319</v>
      </c>
      <c r="B380">
        <v>317.99599999999998</v>
      </c>
      <c r="C380">
        <v>616291.92599999998</v>
      </c>
      <c r="D380">
        <v>3097639.2779999999</v>
      </c>
      <c r="E380">
        <v>632.40350000000001</v>
      </c>
      <c r="F380">
        <v>5.2</v>
      </c>
      <c r="G380">
        <v>0</v>
      </c>
      <c r="H380" t="s">
        <v>154</v>
      </c>
      <c r="I380">
        <v>2.7E-2</v>
      </c>
      <c r="J380">
        <f t="shared" si="182"/>
        <v>1</v>
      </c>
      <c r="K380">
        <f t="shared" ca="1" si="183"/>
        <v>50.95</v>
      </c>
      <c r="L380">
        <f t="shared" ca="1" si="184"/>
        <v>2.1389677043987478</v>
      </c>
      <c r="M380">
        <f t="shared" ca="1" si="157"/>
        <v>11.122632062873489</v>
      </c>
      <c r="N380">
        <f t="shared" ca="1" si="158"/>
        <v>1.1735290000551568</v>
      </c>
      <c r="O380">
        <f t="shared" ca="1" si="159"/>
        <v>4.5807502857230418</v>
      </c>
      <c r="P380">
        <f t="shared" ca="1" si="160"/>
        <v>634.54246770439875</v>
      </c>
      <c r="Q380">
        <f t="shared" ca="1" si="161"/>
        <v>635.61195155659811</v>
      </c>
      <c r="R380">
        <f t="shared" ca="1" si="162"/>
        <v>3.8141460404132466E-3</v>
      </c>
      <c r="S380">
        <f t="shared" ca="1" si="163"/>
        <v>1.0000000000000004</v>
      </c>
      <c r="T380">
        <f t="shared" ca="1" si="164"/>
        <v>35.686426155594638</v>
      </c>
      <c r="U380">
        <f t="shared" ca="1" si="185"/>
        <v>-3.3622728137743252E-3</v>
      </c>
      <c r="V380">
        <f t="shared" ca="1" si="186"/>
        <v>1</v>
      </c>
      <c r="W380">
        <f t="shared" ca="1" si="165"/>
        <v>2.0186744502892386</v>
      </c>
      <c r="X380">
        <f t="shared" ca="1" si="166"/>
        <v>10.497107141504042</v>
      </c>
      <c r="Y380">
        <f t="shared" ca="1" si="167"/>
        <v>1.1363766005251434</v>
      </c>
      <c r="Z380">
        <f t="shared" ca="1" si="168"/>
        <v>4.8537182018987952</v>
      </c>
      <c r="AA380">
        <f t="shared" ca="1" si="169"/>
        <v>634.42217445028928</v>
      </c>
      <c r="AB380">
        <f t="shared" ca="1" si="170"/>
        <v>635.62291758909885</v>
      </c>
      <c r="AC380">
        <f t="shared" ca="1" si="171"/>
        <v>4.4699423805092051E-3</v>
      </c>
      <c r="AD380">
        <f t="shared" ca="1" si="172"/>
        <v>1.0907040142364104</v>
      </c>
      <c r="AE380">
        <f t="shared" ca="1" si="173"/>
        <v>35.803779749271186</v>
      </c>
      <c r="AF380">
        <f t="shared" ca="1" si="174"/>
        <v>3.9699423805359402E-3</v>
      </c>
      <c r="AG380">
        <f t="shared" ca="1" si="175"/>
        <v>0</v>
      </c>
      <c r="AH380">
        <f ca="1">IFERROR(IF(V32="Supercritical",MAX($D$16,IFERROR(L380,MAX($D$16,POWER((ABS(K380)^2)/($I$5*MAX(F380,0.1)^2),1/3)))),IF(V32="Subcritical",MAX($D$16,IFERROR(W380,MAX($D$16,POWER((ABS(K380)^2)/($I$5*MAX(F380,0.1)^2),1/3)))),IF(AND(IFERROR(V380,0)=1,IFERROR(AG380,0)=1),IF(IFERROR(T380,-1E+99)&gt;=IFERROR(AE380,-1E+99),MAX($D$16,IFERROR(L380,MAX($D$16,POWER((ABS(K380)^2)/($I$5*MAX(F380,0.1)^2),1/3)))),MAX($D$16,IFERROR(W380,MAX($D$16,POWER((ABS(K380)^2)/($I$5*MAX(F380,0.1)^2),1/3))))),IF(IFERROR(V380,0)=1,MAX($D$16,IFERROR(L380,MAX($D$16,POWER((ABS(K380)^2)/($I$5*MAX(F380,0.1)^2),1/3)))),IF(IFERROR(AG380,0)=1,MAX($D$16,IFERROR(W380,MAX($D$16,POWER((ABS(K380)^2)/($I$5*MAX(F380,0.1)^2),1/3)))),MAX($D$16,POWER((ABS(K380)^2)/($I$5*MAX(F380,0.1)^2),1/3))))))),MAX($D$16,POWER((ABS(K380)^2)/($I$5*MAX(F380,0.1)^2),1/3)))</f>
        <v>2.1389677043987478</v>
      </c>
      <c r="AI380">
        <f t="shared" ca="1" si="176"/>
        <v>634.54246770439875</v>
      </c>
      <c r="AJ380">
        <f t="shared" ca="1" si="177"/>
        <v>635.61195155659811</v>
      </c>
      <c r="AM380">
        <v>0</v>
      </c>
      <c r="AN380">
        <v>0</v>
      </c>
      <c r="AO380">
        <f t="shared" si="178"/>
        <v>0</v>
      </c>
      <c r="AP380">
        <f t="shared" si="187"/>
        <v>0</v>
      </c>
      <c r="AQ380">
        <f t="shared" ca="1" si="179"/>
        <v>1.0000000000000004</v>
      </c>
      <c r="AR380" t="str">
        <f t="shared" ca="1" si="180"/>
        <v>Supercritical</v>
      </c>
      <c r="AS380">
        <f t="shared" ca="1" si="181"/>
        <v>3.8141460404132466E-3</v>
      </c>
    </row>
    <row r="381" spans="1:45" x14ac:dyDescent="0.35">
      <c r="A381">
        <v>320</v>
      </c>
      <c r="B381">
        <v>318.99599999999998</v>
      </c>
      <c r="C381">
        <v>616291.45200000005</v>
      </c>
      <c r="D381">
        <v>3097638.398</v>
      </c>
      <c r="E381">
        <v>632.40300000000002</v>
      </c>
      <c r="F381">
        <v>5.2</v>
      </c>
      <c r="G381">
        <v>0</v>
      </c>
      <c r="H381" t="s">
        <v>154</v>
      </c>
      <c r="I381">
        <v>0</v>
      </c>
      <c r="J381">
        <f t="shared" si="182"/>
        <v>1</v>
      </c>
      <c r="K381">
        <f t="shared" ca="1" si="183"/>
        <v>50.95</v>
      </c>
      <c r="L381">
        <f t="shared" ca="1" si="184"/>
        <v>2.1389677043987478</v>
      </c>
      <c r="M381">
        <f t="shared" ca="1" si="157"/>
        <v>11.122632062873489</v>
      </c>
      <c r="N381">
        <f t="shared" ca="1" si="158"/>
        <v>1.1735290000551568</v>
      </c>
      <c r="O381">
        <f t="shared" ca="1" si="159"/>
        <v>4.5807502857230418</v>
      </c>
      <c r="P381">
        <f t="shared" ca="1" si="160"/>
        <v>634.54196770439876</v>
      </c>
      <c r="Q381">
        <f t="shared" ca="1" si="161"/>
        <v>635.61145155659813</v>
      </c>
      <c r="R381">
        <f t="shared" ca="1" si="162"/>
        <v>3.8141460404132466E-3</v>
      </c>
      <c r="S381">
        <f t="shared" ca="1" si="163"/>
        <v>1.0000000000000004</v>
      </c>
      <c r="T381">
        <f t="shared" ca="1" si="164"/>
        <v>35.686426155594638</v>
      </c>
      <c r="U381">
        <f t="shared" ca="1" si="185"/>
        <v>-3.3141460404522149E-3</v>
      </c>
      <c r="V381">
        <f t="shared" ca="1" si="186"/>
        <v>1</v>
      </c>
      <c r="W381">
        <f t="shared" ca="1" si="165"/>
        <v>2.0127959137396818</v>
      </c>
      <c r="X381">
        <f t="shared" ca="1" si="166"/>
        <v>10.466538751446345</v>
      </c>
      <c r="Y381">
        <f t="shared" ca="1" si="167"/>
        <v>1.1345113622164267</v>
      </c>
      <c r="Z381">
        <f t="shared" ca="1" si="168"/>
        <v>4.8678938864062724</v>
      </c>
      <c r="AA381">
        <f t="shared" ca="1" si="169"/>
        <v>634.41579591373966</v>
      </c>
      <c r="AB381">
        <f t="shared" ca="1" si="170"/>
        <v>635.62356303348031</v>
      </c>
      <c r="AC381">
        <f t="shared" ca="1" si="171"/>
        <v>4.5059488457228087E-3</v>
      </c>
      <c r="AD381">
        <f t="shared" ca="1" si="172"/>
        <v>1.0954857379562113</v>
      </c>
      <c r="AE381">
        <f t="shared" ca="1" si="173"/>
        <v>35.815785937931125</v>
      </c>
      <c r="AF381">
        <f t="shared" ca="1" si="174"/>
        <v>4.0477406364516355E-3</v>
      </c>
      <c r="AG381">
        <f t="shared" ca="1" si="175"/>
        <v>0</v>
      </c>
      <c r="AH381">
        <f ca="1">IFERROR(IF(V32="Supercritical",MAX($D$16,IFERROR(L381,MAX($D$16,POWER((ABS(K381)^2)/($I$5*MAX(F381,0.1)^2),1/3)))),IF(V32="Subcritical",MAX($D$16,IFERROR(W381,MAX($D$16,POWER((ABS(K381)^2)/($I$5*MAX(F381,0.1)^2),1/3)))),IF(AND(IFERROR(V381,0)=1,IFERROR(AG381,0)=1),IF(IFERROR(T381,-1E+99)&gt;=IFERROR(AE381,-1E+99),MAX($D$16,IFERROR(L381,MAX($D$16,POWER((ABS(K381)^2)/($I$5*MAX(F381,0.1)^2),1/3)))),MAX($D$16,IFERROR(W381,MAX($D$16,POWER((ABS(K381)^2)/($I$5*MAX(F381,0.1)^2),1/3))))),IF(IFERROR(V381,0)=1,MAX($D$16,IFERROR(L381,MAX($D$16,POWER((ABS(K381)^2)/($I$5*MAX(F381,0.1)^2),1/3)))),IF(IFERROR(AG381,0)=1,MAX($D$16,IFERROR(W381,MAX($D$16,POWER((ABS(K381)^2)/($I$5*MAX(F381,0.1)^2),1/3)))),MAX($D$16,POWER((ABS(K381)^2)/($I$5*MAX(F381,0.1)^2),1/3))))))),MAX($D$16,POWER((ABS(K381)^2)/($I$5*MAX(F381,0.1)^2),1/3)))</f>
        <v>2.1389677043987478</v>
      </c>
      <c r="AI381">
        <f t="shared" ca="1" si="176"/>
        <v>634.54196770439876</v>
      </c>
      <c r="AJ381">
        <f t="shared" ca="1" si="177"/>
        <v>635.61145155659813</v>
      </c>
      <c r="AM381">
        <v>0</v>
      </c>
      <c r="AN381">
        <v>0</v>
      </c>
      <c r="AO381">
        <f t="shared" si="178"/>
        <v>0</v>
      </c>
      <c r="AP381">
        <f t="shared" si="187"/>
        <v>0</v>
      </c>
      <c r="AQ381">
        <f t="shared" ca="1" si="179"/>
        <v>1.0000000000000004</v>
      </c>
      <c r="AR381" t="str">
        <f t="shared" ca="1" si="180"/>
        <v>Supercritical</v>
      </c>
      <c r="AS381">
        <f t="shared" ca="1" si="181"/>
        <v>3.8141460404132466E-3</v>
      </c>
    </row>
    <row r="382" spans="1:45" x14ac:dyDescent="0.35">
      <c r="A382">
        <v>321</v>
      </c>
      <c r="B382">
        <v>319.995</v>
      </c>
      <c r="C382">
        <v>616290.978</v>
      </c>
      <c r="D382">
        <v>3097637.5180000002</v>
      </c>
      <c r="E382">
        <v>632.40250000000003</v>
      </c>
      <c r="F382">
        <v>5.2</v>
      </c>
      <c r="G382">
        <v>0</v>
      </c>
      <c r="H382" t="s">
        <v>154</v>
      </c>
      <c r="I382">
        <v>2.3E-2</v>
      </c>
      <c r="J382">
        <f t="shared" si="182"/>
        <v>0.99900000000002365</v>
      </c>
      <c r="K382">
        <f t="shared" ca="1" si="183"/>
        <v>50.95</v>
      </c>
      <c r="L382">
        <f t="shared" ca="1" si="184"/>
        <v>2.1389677043987478</v>
      </c>
      <c r="M382">
        <f t="shared" ref="M382:M445" ca="1" si="188">((F382)+(G382)*(L382))*(L382)</f>
        <v>11.122632062873489</v>
      </c>
      <c r="N382">
        <f t="shared" ref="N382:N445" ca="1" si="189">(((F382)+(G382)*(L382))*(L382))/MAX((F382)+2*(L382)*SQRT(1+(G382)^2),0.000001)</f>
        <v>1.1735290000551568</v>
      </c>
      <c r="O382">
        <f t="shared" ref="O382:O445" ca="1" si="190">ABS(K382)/MAX(((F382)+(G382)*(L382))*(L382),0.000001)</f>
        <v>4.5807502857230418</v>
      </c>
      <c r="P382">
        <f t="shared" ref="P382:P445" ca="1" si="191">E382+L382</f>
        <v>634.54146770439877</v>
      </c>
      <c r="Q382">
        <f t="shared" ref="Q382:Q445" ca="1" si="192">P382+((ABS(K382)/MAX(((F382)+(G382)*(L382))*(L382),0.000001))^2)/(2*$I$5)</f>
        <v>635.61095155659814</v>
      </c>
      <c r="R382">
        <f t="shared" ref="R382:R445" ca="1" si="193">((ABS(K382)*$D$6)/(MAX(((F382)+(G382)*(L382))*(L382),0.000001)*MAX(((((F382)+(G382)*(L382))*(L382))/MAX((F382)+2*(L382)*SQRT(1+(G382)^2),0.000001))^(2/3),0.000001)))^2</f>
        <v>3.8141460404132466E-3</v>
      </c>
      <c r="S382">
        <f t="shared" ref="S382:S445" ca="1" si="194">ABS(ABS(K382)/MAX(((F382)+(G382)*(L382))*(L382),0.000001))/SQRT($I$5*MAX((((F382)+(G382)*(L382))*(L382))/MAX((F382)+2*(G382)*(L382),0.000001),0.000001))</f>
        <v>1.0000000000000004</v>
      </c>
      <c r="T382">
        <f t="shared" ref="T382:T445" ca="1" si="195">((F382)*(L382)^2)/2+(G382)*(L382)^3/3+(ABS(K382)^2)/($I$5*MAX(((F382)+(G382)*(L382))*(L382),0.000001))</f>
        <v>35.686426155594638</v>
      </c>
      <c r="U382">
        <f t="shared" ca="1" si="185"/>
        <v>-3.3513287753521581E-3</v>
      </c>
      <c r="V382">
        <f t="shared" ca="1" si="186"/>
        <v>1</v>
      </c>
      <c r="W382">
        <f t="shared" ref="W382:W445" ca="1" si="196">IF($D$20=0,IFERROR(W383,MAX($D$16,POWER((ABS(K382)^2)/($I$5*MAX(F382,0.1)^2),1/3))),IF(IFERROR(AG383,0)=0,IFERROR(W383,MAX($D$16,POWER((ABS(K382)^2)/($I$5*MAX(F382,0.1)^2),1/3))),IF(OR(IFERROR(W382,0)=0,IFERROR(AD383,0)&gt;1),MAX($D$16,POWER((ABS(K382)^2)/($I$5*MAX(F382,0.1)^2),1/3)),IF(IFERROR(AF382,0)&gt;0,MAX($D$16,IFERROR(W382,0)+((IFERROR(AF382,0))*$D$18*IF((IFERROR(AD382,0))&lt;1,1,-1))),IF(IFERROR(AF382,0)&lt;0,IF(ABS((MAX($D$16,POWER((ABS(K382)^2)/($I$5*MAX(F382,0.1)^2),1/3)))-IFERROR(W382,0))&gt;$D$19,MAX($D$16,IF((MAX($D$16,POWER((ABS(K382)^2)/($I$5*MAX(F382,0.1)^2),1/3)))&gt;IFERROR(W382,0),MIN((MAX($D$16,POWER((ABS(K382)^2)/($I$5*MAX(F382,0.1)^2),1/3))),IFERROR(W382,0)+(MIN(ABS(IFERROR(AF382,0))*$D$18,ABS((MAX($D$16,POWER((ABS(K382)^2)/($I$5*MAX(F382,0.1)^2),1/3)))-IFERROR(W382,0))))),MAX((MAX($D$16,POWER((ABS(K382)^2)/($I$5*MAX(F382,0.1)^2),1/3))),IFERROR(W382,0)-(MIN(ABS(IFERROR(AF382,0))*$D$18,ABS((MAX($D$16,POWER((ABS(K382)^2)/($I$5*MAX(F382,0.1)^2),1/3)))-IFERROR(W382,0))))))),MAX($D$16,POWER((ABS(K382)^2)/($I$5*MAX(F382,0.1)^2),1/3))),MAX($D$16,IFERROR(W382,0)))))))</f>
        <v>2.0068082905902931</v>
      </c>
      <c r="X382">
        <f t="shared" ref="X382:X445" ca="1" si="197">((F382)+(G382)*(W382))*(W382)</f>
        <v>10.435403111069524</v>
      </c>
      <c r="Y382">
        <f t="shared" ref="Y382:Y445" ca="1" si="198">(((F382)+(G382)*(W382))*(W382))/MAX((F382)+2*(W382)*SQRT(1+(G382)^2),0.000001)</f>
        <v>1.1326066175126623</v>
      </c>
      <c r="Z382">
        <f t="shared" ref="Z382:Z445" ca="1" si="199">ABS(K382)/MAX(((F382)+(G382)*(W382))*(W382),0.000001)</f>
        <v>4.8824180012704979</v>
      </c>
      <c r="AA382">
        <f t="shared" ref="AA382:AA445" ca="1" si="200">E382+W382</f>
        <v>634.40930829059027</v>
      </c>
      <c r="AB382">
        <f t="shared" ref="AB382:AB445" ca="1" si="201">AA382+((ABS(K382)/MAX(((F382)+(G382)*(W382))*(W382),0.000001))^2)/(2*$I$5)</f>
        <v>635.62429328239102</v>
      </c>
      <c r="AC382">
        <f t="shared" ref="AC382:AC445" ca="1" si="202">((ABS(K382)*$D$6)/(MAX(((F382)+(G382)*(W382))*(W382),0.000001)*MAX(((((F382)+(G382)*(W382))*(W382))/MAX((F382)+2*(W382)*SQRT(1+(G382)^2),0.000001))^(2/3),0.000001)))^2</f>
        <v>4.5430443320849407E-3</v>
      </c>
      <c r="AD382">
        <f t="shared" ref="AD382:AD445" ca="1" si="203">ABS(ABS(K382)/MAX(((F382)+(G382)*(W382))*(W382),0.000001))/SQRT($I$5*MAX((((F382)+(G382)*(W382))*(W382))/MAX((F382)+2*(G382)*(W382),0.000001),0.000001))</f>
        <v>1.1003922201136078</v>
      </c>
      <c r="AE382">
        <f t="shared" ref="AE382:AE445" ca="1" si="204">((F382)*(W382)^2)/2+(G382)*(W382)^3/3+(ABS(K382)^2)/($I$5*MAX(((F382)+(G382)*(W382))*(W382),0.000001))</f>
        <v>35.828643066153134</v>
      </c>
      <c r="AF382">
        <f t="shared" ref="AF382:AF445" ca="1" si="205">IF($D$20=0,0,IFERROR(AB383+(((AC382+AC383)/2)*J383)+(IF(Z382&gt;Z383,$D$8*((Z382^2-Z383^2)/(2*$I$5)),$D$9*((Z383^2-Z382^2)/(2*$I$5)))+($D$10*(ABS(I383)/90)*(MAX(Z382^2,Z383^2)/(2*$I$5))))-AB382,0))</f>
        <v>4.0941618011629544E-3</v>
      </c>
      <c r="AG382">
        <f t="shared" ref="AG382:AG445" ca="1" si="206">IF($D$20=0,1,IFERROR(IF(ROUND(AD382,3)=1,1,IF(AND(ABS(AF382)&lt;$D$19,AD382&lt;1),1,0)),0))</f>
        <v>0</v>
      </c>
      <c r="AH382">
        <f ca="1">IFERROR(IF(V32="Supercritical",MAX($D$16,IFERROR(L382,MAX($D$16,POWER((ABS(K382)^2)/($I$5*MAX(F382,0.1)^2),1/3)))),IF(V32="Subcritical",MAX($D$16,IFERROR(W382,MAX($D$16,POWER((ABS(K382)^2)/($I$5*MAX(F382,0.1)^2),1/3)))),IF(AND(IFERROR(V382,0)=1,IFERROR(AG382,0)=1),IF(IFERROR(T382,-1E+99)&gt;=IFERROR(AE382,-1E+99),MAX($D$16,IFERROR(L382,MAX($D$16,POWER((ABS(K382)^2)/($I$5*MAX(F382,0.1)^2),1/3)))),MAX($D$16,IFERROR(W382,MAX($D$16,POWER((ABS(K382)^2)/($I$5*MAX(F382,0.1)^2),1/3))))),IF(IFERROR(V382,0)=1,MAX($D$16,IFERROR(L382,MAX($D$16,POWER((ABS(K382)^2)/($I$5*MAX(F382,0.1)^2),1/3)))),IF(IFERROR(AG382,0)=1,MAX($D$16,IFERROR(W382,MAX($D$16,POWER((ABS(K382)^2)/($I$5*MAX(F382,0.1)^2),1/3)))),MAX($D$16,POWER((ABS(K382)^2)/($I$5*MAX(F382,0.1)^2),1/3))))))),MAX($D$16,POWER((ABS(K382)^2)/($I$5*MAX(F382,0.1)^2),1/3)))</f>
        <v>2.1389677043987478</v>
      </c>
      <c r="AI382">
        <f t="shared" ref="AI382:AI445" ca="1" si="207">E382+AH382</f>
        <v>634.54146770439877</v>
      </c>
      <c r="AJ382">
        <f t="shared" ref="AJ382:AJ445" ca="1" si="208">AI382+((ABS(K382)/MAX(((F382)+(G382)*(AH382))*(AH382),0.000001))^2)/(2*$I$5)</f>
        <v>635.61095155659814</v>
      </c>
      <c r="AM382">
        <v>0</v>
      </c>
      <c r="AN382">
        <v>0</v>
      </c>
      <c r="AO382">
        <f t="shared" ref="AO382:AO445" si="209">AM382+AN382</f>
        <v>0</v>
      </c>
      <c r="AP382">
        <f t="shared" si="187"/>
        <v>0</v>
      </c>
      <c r="AQ382">
        <f t="shared" ref="AQ382:AQ445" ca="1" si="210">ABS(ABS(K382)/MAX(((F382)+(G382)*(AH382))*(AH382),0.000001))/SQRT($I$5*MAX((((F382)+(G382)*(AH382))*(AH382))/MAX((F382)+2*(G382)*(AH382),0.000001),0.000001))</f>
        <v>1.0000000000000004</v>
      </c>
      <c r="AR382" t="str">
        <f t="shared" ref="AR382:AR445" ca="1" si="211">IF(AQ382&lt;1,"Subcritical","Supercritical")</f>
        <v>Supercritical</v>
      </c>
      <c r="AS382">
        <f t="shared" ref="AS382:AS445" ca="1" si="212">((ABS(K382)*$D$6)/(MAX(((F382)+(G382)*(AH382))*(AH382),0.000001)*MAX(((((F382)+(G382)*(AH382))*(AH382))/MAX((F382)+2*(AH382)*SQRT(1+(G382)^2),0.000001))^(2/3),0.000001)))^2</f>
        <v>3.8141460404132466E-3</v>
      </c>
    </row>
    <row r="383" spans="1:45" x14ac:dyDescent="0.35">
      <c r="A383">
        <v>322</v>
      </c>
      <c r="B383">
        <v>320.99599999999998</v>
      </c>
      <c r="C383">
        <v>616290.50300000003</v>
      </c>
      <c r="D383">
        <v>3097636.6370000001</v>
      </c>
      <c r="E383">
        <v>632.40200000000004</v>
      </c>
      <c r="F383">
        <v>5.2</v>
      </c>
      <c r="G383">
        <v>0</v>
      </c>
      <c r="H383" t="s">
        <v>154</v>
      </c>
      <c r="I383">
        <v>2.3E-2</v>
      </c>
      <c r="J383">
        <f t="shared" ref="J383:J446" si="213">B383-B382</f>
        <v>1.0009999999999764</v>
      </c>
      <c r="K383">
        <f t="shared" ref="K383:K446" ca="1" si="214">MAX(0,K382-AO382)</f>
        <v>50.95</v>
      </c>
      <c r="L383">
        <f t="shared" ref="L383:L446" ca="1" si="215">IF($D$20=0,IFERROR(L382,MAX($D$16,POWER((ABS(K383)^2)/($I$5*MAX(F383,0.1)^2),1/3))),IF(IFERROR(V382,0)=0,IFERROR(L382,MAX($D$16,POWER((ABS(K383)^2)/($I$5*MAX(F383,0.1)^2),1/3))),IF(OR(IFERROR(L383,0)=0,IFERROR(S382,0)&lt;1,IFERROR(S383,0)&lt;1),MAX($D$16,POWER((ABS(K383)^2)/($I$5*MAX(F383,0.1)^2),1/3)),IF(IFERROR(U383,0)&gt;0,MAX($D$16,IFERROR(L383,0)+((IFERROR(U383,0))*$D$18*IF((IFERROR(S383,0))&lt;1,1,-1))),IF(IFERROR(U383,0)&lt;0,IF(ABS((MAX($D$16,POWER((ABS(K383)^2)/($I$5*MAX(F383,0.1)^2),1/3)))-IFERROR(L383,0))&gt;$D$19,MAX($D$16,IF((MAX($D$16,POWER((ABS(K383)^2)/($I$5*MAX(F383,0.1)^2),1/3)))&gt;IFERROR(L383,0),MIN((MAX($D$16,POWER((ABS(K383)^2)/($I$5*MAX(F383,0.1)^2),1/3))),IFERROR(L383,0)+(MIN(ABS(IFERROR(U383,0))*$D$18,ABS((MAX($D$16,POWER((ABS(K383)^2)/($I$5*MAX(F383,0.1)^2),1/3)))-IFERROR(L383,0))))),MAX((MAX($D$16,POWER((ABS(K383)^2)/($I$5*MAX(F383,0.1)^2),1/3))),IFERROR(L383,0)-(MIN(ABS(IFERROR(U383,0))*$D$18,ABS((MAX($D$16,POWER((ABS(K383)^2)/($I$5*MAX(F383,0.1)^2),1/3)))-IFERROR(L383,0))))))),MAX($D$16,POWER((ABS(K383)^2)/($I$5*MAX(F383,0.1)^2),1/3))),MAX($D$16,IFERROR(L383,0)))))))</f>
        <v>2.1389677043987478</v>
      </c>
      <c r="M383">
        <f t="shared" ca="1" si="188"/>
        <v>11.122632062873489</v>
      </c>
      <c r="N383">
        <f t="shared" ca="1" si="189"/>
        <v>1.1735290000551568</v>
      </c>
      <c r="O383">
        <f t="shared" ca="1" si="190"/>
        <v>4.5807502857230418</v>
      </c>
      <c r="P383">
        <f t="shared" ca="1" si="191"/>
        <v>634.54096770439878</v>
      </c>
      <c r="Q383">
        <f t="shared" ca="1" si="192"/>
        <v>635.61045155659815</v>
      </c>
      <c r="R383">
        <f t="shared" ca="1" si="193"/>
        <v>3.8141460404132466E-3</v>
      </c>
      <c r="S383">
        <f t="shared" ca="1" si="194"/>
        <v>1.0000000000000004</v>
      </c>
      <c r="T383">
        <f t="shared" ca="1" si="195"/>
        <v>35.686426155594638</v>
      </c>
      <c r="U383">
        <f t="shared" ref="U383:U446" ca="1" si="216">IF($D$20=0,0,IFERROR(Q382-(((R382+R383)/2)*J383)-(IF(O382&gt;O383,$D$8*((O382^2-O383^2)/(2*$I$5)),$D$9*((O383^2-O382^2)/(2*$I$5)))+($D$10*(ABS(I383)/90)*(MAX(O382^2,O383^2)/(2*$I$5))))-Q383,0))</f>
        <v>-3.3589570674621427E-3</v>
      </c>
      <c r="V383">
        <f t="shared" ref="V383:V446" ca="1" si="217">IF($D$20=0,1,IFERROR(IF(ROUND(S383,3)=1,1,IF(AND(ABS(U383)&lt;$D$19,S383&gt;1),1,0)),0))</f>
        <v>1</v>
      </c>
      <c r="W383">
        <f t="shared" ca="1" si="196"/>
        <v>2.0007165398857456</v>
      </c>
      <c r="X383">
        <f t="shared" ca="1" si="197"/>
        <v>10.403726007405877</v>
      </c>
      <c r="Y383">
        <f t="shared" ca="1" si="198"/>
        <v>1.1306636604549696</v>
      </c>
      <c r="Z383">
        <f t="shared" ca="1" si="199"/>
        <v>4.8972839119111091</v>
      </c>
      <c r="AA383">
        <f t="shared" ca="1" si="200"/>
        <v>634.40271653988577</v>
      </c>
      <c r="AB383">
        <f t="shared" ca="1" si="201"/>
        <v>635.62511153039873</v>
      </c>
      <c r="AC383">
        <f t="shared" ca="1" si="202"/>
        <v>4.5812272683680988E-3</v>
      </c>
      <c r="AD383">
        <f t="shared" ca="1" si="203"/>
        <v>1.1054217294664899</v>
      </c>
      <c r="AE383">
        <f t="shared" ca="1" si="204"/>
        <v>35.842378457971947</v>
      </c>
      <c r="AF383">
        <f t="shared" ca="1" si="205"/>
        <v>4.136235042892622E-3</v>
      </c>
      <c r="AG383">
        <f t="shared" ca="1" si="206"/>
        <v>0</v>
      </c>
      <c r="AH383">
        <f ca="1">IFERROR(IF(V32="Supercritical",MAX($D$16,IFERROR(L383,MAX($D$16,POWER((ABS(K383)^2)/($I$5*MAX(F383,0.1)^2),1/3)))),IF(V32="Subcritical",MAX($D$16,IFERROR(W383,MAX($D$16,POWER((ABS(K383)^2)/($I$5*MAX(F383,0.1)^2),1/3)))),IF(AND(IFERROR(V383,0)=1,IFERROR(AG383,0)=1),IF(IFERROR(T383,-1E+99)&gt;=IFERROR(AE383,-1E+99),MAX($D$16,IFERROR(L383,MAX($D$16,POWER((ABS(K383)^2)/($I$5*MAX(F383,0.1)^2),1/3)))),MAX($D$16,IFERROR(W383,MAX($D$16,POWER((ABS(K383)^2)/($I$5*MAX(F383,0.1)^2),1/3))))),IF(IFERROR(V383,0)=1,MAX($D$16,IFERROR(L383,MAX($D$16,POWER((ABS(K383)^2)/($I$5*MAX(F383,0.1)^2),1/3)))),IF(IFERROR(AG383,0)=1,MAX($D$16,IFERROR(W383,MAX($D$16,POWER((ABS(K383)^2)/($I$5*MAX(F383,0.1)^2),1/3)))),MAX($D$16,POWER((ABS(K383)^2)/($I$5*MAX(F383,0.1)^2),1/3))))))),MAX($D$16,POWER((ABS(K383)^2)/($I$5*MAX(F383,0.1)^2),1/3)))</f>
        <v>2.1389677043987478</v>
      </c>
      <c r="AI383">
        <f t="shared" ca="1" si="207"/>
        <v>634.54096770439878</v>
      </c>
      <c r="AJ383">
        <f t="shared" ca="1" si="208"/>
        <v>635.61045155659815</v>
      </c>
      <c r="AM383">
        <v>0</v>
      </c>
      <c r="AN383">
        <v>0</v>
      </c>
      <c r="AO383">
        <f t="shared" si="209"/>
        <v>0</v>
      </c>
      <c r="AP383">
        <f t="shared" ref="AP383:AP446" si="218">AP382+AO383</f>
        <v>0</v>
      </c>
      <c r="AQ383">
        <f t="shared" ca="1" si="210"/>
        <v>1.0000000000000004</v>
      </c>
      <c r="AR383" t="str">
        <f t="shared" ca="1" si="211"/>
        <v>Supercritical</v>
      </c>
      <c r="AS383">
        <f t="shared" ca="1" si="212"/>
        <v>3.8141460404132466E-3</v>
      </c>
    </row>
    <row r="384" spans="1:45" x14ac:dyDescent="0.35">
      <c r="A384">
        <v>323</v>
      </c>
      <c r="B384">
        <v>321.99599999999998</v>
      </c>
      <c r="C384">
        <v>616290.02899999998</v>
      </c>
      <c r="D384">
        <v>3097635.7570000002</v>
      </c>
      <c r="E384">
        <v>632.40150000000006</v>
      </c>
      <c r="F384">
        <v>5.2</v>
      </c>
      <c r="G384">
        <v>0</v>
      </c>
      <c r="H384" t="s">
        <v>154</v>
      </c>
      <c r="I384">
        <v>2.7E-2</v>
      </c>
      <c r="J384">
        <f t="shared" si="213"/>
        <v>1</v>
      </c>
      <c r="K384">
        <f t="shared" ca="1" si="214"/>
        <v>50.95</v>
      </c>
      <c r="L384">
        <f t="shared" ca="1" si="215"/>
        <v>2.1389677043987478</v>
      </c>
      <c r="M384">
        <f t="shared" ca="1" si="188"/>
        <v>11.122632062873489</v>
      </c>
      <c r="N384">
        <f t="shared" ca="1" si="189"/>
        <v>1.1735290000551568</v>
      </c>
      <c r="O384">
        <f t="shared" ca="1" si="190"/>
        <v>4.5807502857230418</v>
      </c>
      <c r="P384">
        <f t="shared" ca="1" si="191"/>
        <v>634.54046770439879</v>
      </c>
      <c r="Q384">
        <f t="shared" ca="1" si="192"/>
        <v>635.60995155659816</v>
      </c>
      <c r="R384">
        <f t="shared" ca="1" si="193"/>
        <v>3.8141460404132466E-3</v>
      </c>
      <c r="S384">
        <f t="shared" ca="1" si="194"/>
        <v>1.0000000000000004</v>
      </c>
      <c r="T384">
        <f t="shared" ca="1" si="195"/>
        <v>35.686426155594638</v>
      </c>
      <c r="U384">
        <f t="shared" ca="1" si="216"/>
        <v>-3.3622728137743252E-3</v>
      </c>
      <c r="V384">
        <f t="shared" ca="1" si="217"/>
        <v>1</v>
      </c>
      <c r="W384">
        <f t="shared" ca="1" si="196"/>
        <v>1.9945261698287868</v>
      </c>
      <c r="X384">
        <f t="shared" ca="1" si="197"/>
        <v>10.371536083109692</v>
      </c>
      <c r="Y384">
        <f t="shared" ca="1" si="198"/>
        <v>1.128683970853972</v>
      </c>
      <c r="Z384">
        <f t="shared" ca="1" si="199"/>
        <v>4.9124835117696177</v>
      </c>
      <c r="AA384">
        <f t="shared" ca="1" si="200"/>
        <v>634.39602616982882</v>
      </c>
      <c r="AB384">
        <f t="shared" ca="1" si="201"/>
        <v>635.62602078009422</v>
      </c>
      <c r="AC384">
        <f t="shared" ca="1" si="202"/>
        <v>4.6204923232735697E-3</v>
      </c>
      <c r="AD384">
        <f t="shared" ca="1" si="203"/>
        <v>1.1105720327295887</v>
      </c>
      <c r="AE384">
        <f t="shared" ca="1" si="204"/>
        <v>35.857017034340259</v>
      </c>
      <c r="AF384">
        <f t="shared" ca="1" si="205"/>
        <v>4.1758420805990681E-3</v>
      </c>
      <c r="AG384">
        <f t="shared" ca="1" si="206"/>
        <v>0</v>
      </c>
      <c r="AH384">
        <f ca="1">IFERROR(IF(V32="Supercritical",MAX($D$16,IFERROR(L384,MAX($D$16,POWER((ABS(K384)^2)/($I$5*MAX(F384,0.1)^2),1/3)))),IF(V32="Subcritical",MAX($D$16,IFERROR(W384,MAX($D$16,POWER((ABS(K384)^2)/($I$5*MAX(F384,0.1)^2),1/3)))),IF(AND(IFERROR(V384,0)=1,IFERROR(AG384,0)=1),IF(IFERROR(T384,-1E+99)&gt;=IFERROR(AE384,-1E+99),MAX($D$16,IFERROR(L384,MAX($D$16,POWER((ABS(K384)^2)/($I$5*MAX(F384,0.1)^2),1/3)))),MAX($D$16,IFERROR(W384,MAX($D$16,POWER((ABS(K384)^2)/($I$5*MAX(F384,0.1)^2),1/3))))),IF(IFERROR(V384,0)=1,MAX($D$16,IFERROR(L384,MAX($D$16,POWER((ABS(K384)^2)/($I$5*MAX(F384,0.1)^2),1/3)))),IF(IFERROR(AG384,0)=1,MAX($D$16,IFERROR(W384,MAX($D$16,POWER((ABS(K384)^2)/($I$5*MAX(F384,0.1)^2),1/3)))),MAX($D$16,POWER((ABS(K384)^2)/($I$5*MAX(F384,0.1)^2),1/3))))))),MAX($D$16,POWER((ABS(K384)^2)/($I$5*MAX(F384,0.1)^2),1/3)))</f>
        <v>2.1389677043987478</v>
      </c>
      <c r="AI384">
        <f t="shared" ca="1" si="207"/>
        <v>634.54046770439879</v>
      </c>
      <c r="AJ384">
        <f t="shared" ca="1" si="208"/>
        <v>635.60995155659816</v>
      </c>
      <c r="AM384">
        <v>0</v>
      </c>
      <c r="AN384">
        <v>0</v>
      </c>
      <c r="AO384">
        <f t="shared" si="209"/>
        <v>0</v>
      </c>
      <c r="AP384">
        <f t="shared" si="218"/>
        <v>0</v>
      </c>
      <c r="AQ384">
        <f t="shared" ca="1" si="210"/>
        <v>1.0000000000000004</v>
      </c>
      <c r="AR384" t="str">
        <f t="shared" ca="1" si="211"/>
        <v>Supercritical</v>
      </c>
      <c r="AS384">
        <f t="shared" ca="1" si="212"/>
        <v>3.8141460404132466E-3</v>
      </c>
    </row>
    <row r="385" spans="1:45" x14ac:dyDescent="0.35">
      <c r="A385">
        <v>324</v>
      </c>
      <c r="B385">
        <v>322.99599999999998</v>
      </c>
      <c r="C385">
        <v>616289.55500000005</v>
      </c>
      <c r="D385">
        <v>3097634.8760000002</v>
      </c>
      <c r="E385">
        <v>632.40099999999995</v>
      </c>
      <c r="F385">
        <v>5.2</v>
      </c>
      <c r="G385">
        <v>0</v>
      </c>
      <c r="H385" t="s">
        <v>154</v>
      </c>
      <c r="I385">
        <v>2.7E-2</v>
      </c>
      <c r="J385">
        <f t="shared" si="213"/>
        <v>1</v>
      </c>
      <c r="K385">
        <f t="shared" ca="1" si="214"/>
        <v>50.95</v>
      </c>
      <c r="L385">
        <f t="shared" ca="1" si="215"/>
        <v>2.1389677043987478</v>
      </c>
      <c r="M385">
        <f t="shared" ca="1" si="188"/>
        <v>11.122632062873489</v>
      </c>
      <c r="N385">
        <f t="shared" ca="1" si="189"/>
        <v>1.1735290000551568</v>
      </c>
      <c r="O385">
        <f t="shared" ca="1" si="190"/>
        <v>4.5807502857230418</v>
      </c>
      <c r="P385">
        <f t="shared" ca="1" si="191"/>
        <v>634.53996770439869</v>
      </c>
      <c r="Q385">
        <f t="shared" ca="1" si="192"/>
        <v>635.60945155659806</v>
      </c>
      <c r="R385">
        <f t="shared" ca="1" si="193"/>
        <v>3.8141460404132466E-3</v>
      </c>
      <c r="S385">
        <f t="shared" ca="1" si="194"/>
        <v>1.0000000000000004</v>
      </c>
      <c r="T385">
        <f t="shared" ca="1" si="195"/>
        <v>35.686426155594638</v>
      </c>
      <c r="U385">
        <f t="shared" ca="1" si="216"/>
        <v>-3.3622728136606383E-3</v>
      </c>
      <c r="V385">
        <f t="shared" ca="1" si="217"/>
        <v>1</v>
      </c>
      <c r="W385">
        <f t="shared" ca="1" si="196"/>
        <v>1.988243238620014</v>
      </c>
      <c r="X385">
        <f t="shared" ca="1" si="197"/>
        <v>10.338864840824073</v>
      </c>
      <c r="Y385">
        <f t="shared" ca="1" si="198"/>
        <v>1.1266692177302318</v>
      </c>
      <c r="Z385">
        <f t="shared" ca="1" si="199"/>
        <v>4.9280071636896423</v>
      </c>
      <c r="AA385">
        <f t="shared" ca="1" si="200"/>
        <v>634.38924323862</v>
      </c>
      <c r="AB385">
        <f t="shared" ca="1" si="201"/>
        <v>635.62702379954646</v>
      </c>
      <c r="AC385">
        <f t="shared" ca="1" si="202"/>
        <v>4.6608301198586321E-3</v>
      </c>
      <c r="AD385">
        <f t="shared" ca="1" si="203"/>
        <v>1.1158403699199499</v>
      </c>
      <c r="AE385">
        <f t="shared" ca="1" si="204"/>
        <v>35.872580901422722</v>
      </c>
      <c r="AF385">
        <f t="shared" ca="1" si="205"/>
        <v>4.1608301198721165E-3</v>
      </c>
      <c r="AG385">
        <f t="shared" ca="1" si="206"/>
        <v>0</v>
      </c>
      <c r="AH385">
        <f ca="1">IFERROR(IF(V32="Supercritical",MAX($D$16,IFERROR(L385,MAX($D$16,POWER((ABS(K385)^2)/($I$5*MAX(F385,0.1)^2),1/3)))),IF(V32="Subcritical",MAX($D$16,IFERROR(W385,MAX($D$16,POWER((ABS(K385)^2)/($I$5*MAX(F385,0.1)^2),1/3)))),IF(AND(IFERROR(V385,0)=1,IFERROR(AG385,0)=1),IF(IFERROR(T385,-1E+99)&gt;=IFERROR(AE385,-1E+99),MAX($D$16,IFERROR(L385,MAX($D$16,POWER((ABS(K385)^2)/($I$5*MAX(F385,0.1)^2),1/3)))),MAX($D$16,IFERROR(W385,MAX($D$16,POWER((ABS(K385)^2)/($I$5*MAX(F385,0.1)^2),1/3))))),IF(IFERROR(V385,0)=1,MAX($D$16,IFERROR(L385,MAX($D$16,POWER((ABS(K385)^2)/($I$5*MAX(F385,0.1)^2),1/3)))),IF(IFERROR(AG385,0)=1,MAX($D$16,IFERROR(W385,MAX($D$16,POWER((ABS(K385)^2)/($I$5*MAX(F385,0.1)^2),1/3)))),MAX($D$16,POWER((ABS(K385)^2)/($I$5*MAX(F385,0.1)^2),1/3))))))),MAX($D$16,POWER((ABS(K385)^2)/($I$5*MAX(F385,0.1)^2),1/3)))</f>
        <v>2.1389677043987478</v>
      </c>
      <c r="AI385">
        <f t="shared" ca="1" si="207"/>
        <v>634.53996770439869</v>
      </c>
      <c r="AJ385">
        <f t="shared" ca="1" si="208"/>
        <v>635.60945155659806</v>
      </c>
      <c r="AM385">
        <v>0</v>
      </c>
      <c r="AN385">
        <v>0</v>
      </c>
      <c r="AO385">
        <f t="shared" si="209"/>
        <v>0</v>
      </c>
      <c r="AP385">
        <f t="shared" si="218"/>
        <v>0</v>
      </c>
      <c r="AQ385">
        <f t="shared" ca="1" si="210"/>
        <v>1.0000000000000004</v>
      </c>
      <c r="AR385" t="str">
        <f t="shared" ca="1" si="211"/>
        <v>Supercritical</v>
      </c>
      <c r="AS385">
        <f t="shared" ca="1" si="212"/>
        <v>3.8141460404132466E-3</v>
      </c>
    </row>
    <row r="386" spans="1:45" x14ac:dyDescent="0.35">
      <c r="A386">
        <v>325</v>
      </c>
      <c r="B386">
        <v>323.99599999999998</v>
      </c>
      <c r="C386">
        <v>616289.08100000001</v>
      </c>
      <c r="D386">
        <v>3097633.9959999998</v>
      </c>
      <c r="E386">
        <v>632.40049999999997</v>
      </c>
      <c r="F386">
        <v>5.2</v>
      </c>
      <c r="G386">
        <v>0</v>
      </c>
      <c r="H386" t="s">
        <v>154</v>
      </c>
      <c r="I386">
        <v>0</v>
      </c>
      <c r="J386">
        <f t="shared" si="213"/>
        <v>1</v>
      </c>
      <c r="K386">
        <f t="shared" ca="1" si="214"/>
        <v>50.95</v>
      </c>
      <c r="L386">
        <f t="shared" ca="1" si="215"/>
        <v>2.1389677043987478</v>
      </c>
      <c r="M386">
        <f t="shared" ca="1" si="188"/>
        <v>11.122632062873489</v>
      </c>
      <c r="N386">
        <f t="shared" ca="1" si="189"/>
        <v>1.1735290000551568</v>
      </c>
      <c r="O386">
        <f t="shared" ca="1" si="190"/>
        <v>4.5807502857230418</v>
      </c>
      <c r="P386">
        <f t="shared" ca="1" si="191"/>
        <v>634.5394677043987</v>
      </c>
      <c r="Q386">
        <f t="shared" ca="1" si="192"/>
        <v>635.60895155659807</v>
      </c>
      <c r="R386">
        <f t="shared" ca="1" si="193"/>
        <v>3.8141460404132466E-3</v>
      </c>
      <c r="S386">
        <f t="shared" ca="1" si="194"/>
        <v>1.0000000000000004</v>
      </c>
      <c r="T386">
        <f t="shared" ca="1" si="195"/>
        <v>35.686426155594638</v>
      </c>
      <c r="U386">
        <f t="shared" ca="1" si="216"/>
        <v>-3.3141460404522149E-3</v>
      </c>
      <c r="V386">
        <f t="shared" ca="1" si="217"/>
        <v>1</v>
      </c>
      <c r="W386">
        <f t="shared" ca="1" si="196"/>
        <v>1.9818743506560896</v>
      </c>
      <c r="X386">
        <f t="shared" ca="1" si="197"/>
        <v>10.305746623411666</v>
      </c>
      <c r="Y386">
        <f t="shared" ca="1" si="198"/>
        <v>1.1246212613770128</v>
      </c>
      <c r="Z386">
        <f t="shared" ca="1" si="199"/>
        <v>4.9438436497416287</v>
      </c>
      <c r="AA386">
        <f t="shared" ca="1" si="200"/>
        <v>634.38237435065605</v>
      </c>
      <c r="AB386">
        <f t="shared" ca="1" si="201"/>
        <v>635.6281230781326</v>
      </c>
      <c r="AC386">
        <f t="shared" ca="1" si="202"/>
        <v>4.7022269586380564E-3</v>
      </c>
      <c r="AD386">
        <f t="shared" ca="1" si="203"/>
        <v>1.121223432181671</v>
      </c>
      <c r="AE386">
        <f t="shared" ca="1" si="204"/>
        <v>35.889088932272514</v>
      </c>
      <c r="AF386">
        <f t="shared" ca="1" si="205"/>
        <v>4.2452784329043425E-3</v>
      </c>
      <c r="AG386">
        <f t="shared" ca="1" si="206"/>
        <v>0</v>
      </c>
      <c r="AH386">
        <f ca="1">IFERROR(IF(V32="Supercritical",MAX($D$16,IFERROR(L386,MAX($D$16,POWER((ABS(K386)^2)/($I$5*MAX(F386,0.1)^2),1/3)))),IF(V32="Subcritical",MAX($D$16,IFERROR(W386,MAX($D$16,POWER((ABS(K386)^2)/($I$5*MAX(F386,0.1)^2),1/3)))),IF(AND(IFERROR(V386,0)=1,IFERROR(AG386,0)=1),IF(IFERROR(T386,-1E+99)&gt;=IFERROR(AE386,-1E+99),MAX($D$16,IFERROR(L386,MAX($D$16,POWER((ABS(K386)^2)/($I$5*MAX(F386,0.1)^2),1/3)))),MAX($D$16,IFERROR(W386,MAX($D$16,POWER((ABS(K386)^2)/($I$5*MAX(F386,0.1)^2),1/3))))),IF(IFERROR(V386,0)=1,MAX($D$16,IFERROR(L386,MAX($D$16,POWER((ABS(K386)^2)/($I$5*MAX(F386,0.1)^2),1/3)))),IF(IFERROR(AG386,0)=1,MAX($D$16,IFERROR(W386,MAX($D$16,POWER((ABS(K386)^2)/($I$5*MAX(F386,0.1)^2),1/3)))),MAX($D$16,POWER((ABS(K386)^2)/($I$5*MAX(F386,0.1)^2),1/3))))))),MAX($D$16,POWER((ABS(K386)^2)/($I$5*MAX(F386,0.1)^2),1/3)))</f>
        <v>2.1389677043987478</v>
      </c>
      <c r="AI386">
        <f t="shared" ca="1" si="207"/>
        <v>634.5394677043987</v>
      </c>
      <c r="AJ386">
        <f t="shared" ca="1" si="208"/>
        <v>635.60895155659807</v>
      </c>
      <c r="AM386">
        <v>0</v>
      </c>
      <c r="AN386">
        <v>0</v>
      </c>
      <c r="AO386">
        <f t="shared" si="209"/>
        <v>0</v>
      </c>
      <c r="AP386">
        <f t="shared" si="218"/>
        <v>0</v>
      </c>
      <c r="AQ386">
        <f t="shared" ca="1" si="210"/>
        <v>1.0000000000000004</v>
      </c>
      <c r="AR386" t="str">
        <f t="shared" ca="1" si="211"/>
        <v>Supercritical</v>
      </c>
      <c r="AS386">
        <f t="shared" ca="1" si="212"/>
        <v>3.8141460404132466E-3</v>
      </c>
    </row>
    <row r="387" spans="1:45" x14ac:dyDescent="0.35">
      <c r="A387">
        <v>326</v>
      </c>
      <c r="B387">
        <v>324.995</v>
      </c>
      <c r="C387">
        <v>616288.60699999996</v>
      </c>
      <c r="D387">
        <v>3097633.1159999999</v>
      </c>
      <c r="E387">
        <v>632.4</v>
      </c>
      <c r="F387">
        <v>5.2</v>
      </c>
      <c r="G387">
        <v>0</v>
      </c>
      <c r="H387" t="s">
        <v>154</v>
      </c>
      <c r="I387">
        <v>2.3E-2</v>
      </c>
      <c r="J387">
        <f t="shared" si="213"/>
        <v>0.99900000000002365</v>
      </c>
      <c r="K387">
        <f t="shared" ca="1" si="214"/>
        <v>50.95</v>
      </c>
      <c r="L387">
        <f t="shared" ca="1" si="215"/>
        <v>2.1389677043987478</v>
      </c>
      <c r="M387">
        <f t="shared" ca="1" si="188"/>
        <v>11.122632062873489</v>
      </c>
      <c r="N387">
        <f t="shared" ca="1" si="189"/>
        <v>1.1735290000551568</v>
      </c>
      <c r="O387">
        <f t="shared" ca="1" si="190"/>
        <v>4.5807502857230418</v>
      </c>
      <c r="P387">
        <f t="shared" ca="1" si="191"/>
        <v>634.53896770439871</v>
      </c>
      <c r="Q387">
        <f t="shared" ca="1" si="192"/>
        <v>635.60845155659808</v>
      </c>
      <c r="R387">
        <f t="shared" ca="1" si="193"/>
        <v>3.8141460404132466E-3</v>
      </c>
      <c r="S387">
        <f t="shared" ca="1" si="194"/>
        <v>1.0000000000000004</v>
      </c>
      <c r="T387">
        <f t="shared" ca="1" si="195"/>
        <v>35.686426155594638</v>
      </c>
      <c r="U387">
        <f t="shared" ca="1" si="216"/>
        <v>-3.3513287753521581E-3</v>
      </c>
      <c r="V387">
        <f t="shared" ca="1" si="217"/>
        <v>1</v>
      </c>
      <c r="W387">
        <f t="shared" ca="1" si="196"/>
        <v>1.9754266477223315</v>
      </c>
      <c r="X387">
        <f t="shared" ca="1" si="197"/>
        <v>10.272218568156124</v>
      </c>
      <c r="Y387">
        <f t="shared" ca="1" si="198"/>
        <v>1.1225421538852209</v>
      </c>
      <c r="Z387">
        <f t="shared" ca="1" si="199"/>
        <v>4.9599801310638965</v>
      </c>
      <c r="AA387">
        <f t="shared" ca="1" si="200"/>
        <v>634.37542664772229</v>
      </c>
      <c r="AB387">
        <f t="shared" ca="1" si="201"/>
        <v>635.62932078128745</v>
      </c>
      <c r="AC387">
        <f t="shared" ca="1" si="202"/>
        <v>4.7446645543455322E-3</v>
      </c>
      <c r="AD387">
        <f t="shared" ca="1" si="203"/>
        <v>1.1267173426661463</v>
      </c>
      <c r="AE387">
        <f t="shared" ca="1" si="204"/>
        <v>35.906556348002212</v>
      </c>
      <c r="AF387">
        <f t="shared" ca="1" si="205"/>
        <v>4.2974751606834616E-3</v>
      </c>
      <c r="AG387">
        <f t="shared" ca="1" si="206"/>
        <v>0</v>
      </c>
      <c r="AH387">
        <f ca="1">IFERROR(IF(V32="Supercritical",MAX($D$16,IFERROR(L387,MAX($D$16,POWER((ABS(K387)^2)/($I$5*MAX(F387,0.1)^2),1/3)))),IF(V32="Subcritical",MAX($D$16,IFERROR(W387,MAX($D$16,POWER((ABS(K387)^2)/($I$5*MAX(F387,0.1)^2),1/3)))),IF(AND(IFERROR(V387,0)=1,IFERROR(AG387,0)=1),IF(IFERROR(T387,-1E+99)&gt;=IFERROR(AE387,-1E+99),MAX($D$16,IFERROR(L387,MAX($D$16,POWER((ABS(K387)^2)/($I$5*MAX(F387,0.1)^2),1/3)))),MAX($D$16,IFERROR(W387,MAX($D$16,POWER((ABS(K387)^2)/($I$5*MAX(F387,0.1)^2),1/3))))),IF(IFERROR(V387,0)=1,MAX($D$16,IFERROR(L387,MAX($D$16,POWER((ABS(K387)^2)/($I$5*MAX(F387,0.1)^2),1/3)))),IF(IFERROR(AG387,0)=1,MAX($D$16,IFERROR(W387,MAX($D$16,POWER((ABS(K387)^2)/($I$5*MAX(F387,0.1)^2),1/3)))),MAX($D$16,POWER((ABS(K387)^2)/($I$5*MAX(F387,0.1)^2),1/3))))))),MAX($D$16,POWER((ABS(K387)^2)/($I$5*MAX(F387,0.1)^2),1/3)))</f>
        <v>2.1389677043987478</v>
      </c>
      <c r="AI387">
        <f t="shared" ca="1" si="207"/>
        <v>634.53896770439871</v>
      </c>
      <c r="AJ387">
        <f t="shared" ca="1" si="208"/>
        <v>635.60845155659808</v>
      </c>
      <c r="AM387">
        <v>0</v>
      </c>
      <c r="AN387">
        <v>0</v>
      </c>
      <c r="AO387">
        <f t="shared" si="209"/>
        <v>0</v>
      </c>
      <c r="AP387">
        <f t="shared" si="218"/>
        <v>0</v>
      </c>
      <c r="AQ387">
        <f t="shared" ca="1" si="210"/>
        <v>1.0000000000000004</v>
      </c>
      <c r="AR387" t="str">
        <f t="shared" ca="1" si="211"/>
        <v>Supercritical</v>
      </c>
      <c r="AS387">
        <f t="shared" ca="1" si="212"/>
        <v>3.8141460404132466E-3</v>
      </c>
    </row>
    <row r="388" spans="1:45" x14ac:dyDescent="0.35">
      <c r="A388">
        <v>327</v>
      </c>
      <c r="B388">
        <v>325.99599999999998</v>
      </c>
      <c r="C388">
        <v>616288.13199999998</v>
      </c>
      <c r="D388">
        <v>3097632.2349999999</v>
      </c>
      <c r="E388">
        <v>632.39949999999999</v>
      </c>
      <c r="F388">
        <v>5.2</v>
      </c>
      <c r="G388">
        <v>0</v>
      </c>
      <c r="H388" t="s">
        <v>154</v>
      </c>
      <c r="I388">
        <v>2.3E-2</v>
      </c>
      <c r="J388">
        <f t="shared" si="213"/>
        <v>1.0009999999999764</v>
      </c>
      <c r="K388">
        <f t="shared" ca="1" si="214"/>
        <v>50.95</v>
      </c>
      <c r="L388">
        <f t="shared" ca="1" si="215"/>
        <v>2.1389677043987478</v>
      </c>
      <c r="M388">
        <f t="shared" ca="1" si="188"/>
        <v>11.122632062873489</v>
      </c>
      <c r="N388">
        <f t="shared" ca="1" si="189"/>
        <v>1.1735290000551568</v>
      </c>
      <c r="O388">
        <f t="shared" ca="1" si="190"/>
        <v>4.5807502857230418</v>
      </c>
      <c r="P388">
        <f t="shared" ca="1" si="191"/>
        <v>634.53846770439873</v>
      </c>
      <c r="Q388">
        <f t="shared" ca="1" si="192"/>
        <v>635.6079515565981</v>
      </c>
      <c r="R388">
        <f t="shared" ca="1" si="193"/>
        <v>3.8141460404132466E-3</v>
      </c>
      <c r="S388">
        <f t="shared" ca="1" si="194"/>
        <v>1.0000000000000004</v>
      </c>
      <c r="T388">
        <f t="shared" ca="1" si="195"/>
        <v>35.686426155594638</v>
      </c>
      <c r="U388">
        <f t="shared" ca="1" si="216"/>
        <v>-3.3589570674621427E-3</v>
      </c>
      <c r="V388">
        <f t="shared" ca="1" si="217"/>
        <v>1</v>
      </c>
      <c r="W388">
        <f t="shared" ca="1" si="196"/>
        <v>1.9689077948612623</v>
      </c>
      <c r="X388">
        <f t="shared" ca="1" si="197"/>
        <v>10.238320533278564</v>
      </c>
      <c r="Y388">
        <f t="shared" ca="1" si="198"/>
        <v>1.1204341379786431</v>
      </c>
      <c r="Z388">
        <f t="shared" ca="1" si="199"/>
        <v>4.9764021193117056</v>
      </c>
      <c r="AA388">
        <f t="shared" ca="1" si="200"/>
        <v>634.36840779486124</v>
      </c>
      <c r="AB388">
        <f t="shared" ca="1" si="201"/>
        <v>635.63061870480465</v>
      </c>
      <c r="AC388">
        <f t="shared" ca="1" si="202"/>
        <v>4.7881197918002699E-3</v>
      </c>
      <c r="AD388">
        <f t="shared" ca="1" si="203"/>
        <v>1.132317641064208</v>
      </c>
      <c r="AE388">
        <f t="shared" ca="1" si="204"/>
        <v>35.92499430533416</v>
      </c>
      <c r="AF388">
        <f t="shared" ca="1" si="205"/>
        <v>4.344919282743831E-3</v>
      </c>
      <c r="AG388">
        <f t="shared" ca="1" si="206"/>
        <v>0</v>
      </c>
      <c r="AH388">
        <f ca="1">IFERROR(IF(V32="Supercritical",MAX($D$16,IFERROR(L388,MAX($D$16,POWER((ABS(K388)^2)/($I$5*MAX(F388,0.1)^2),1/3)))),IF(V32="Subcritical",MAX($D$16,IFERROR(W388,MAX($D$16,POWER((ABS(K388)^2)/($I$5*MAX(F388,0.1)^2),1/3)))),IF(AND(IFERROR(V388,0)=1,IFERROR(AG388,0)=1),IF(IFERROR(T388,-1E+99)&gt;=IFERROR(AE388,-1E+99),MAX($D$16,IFERROR(L388,MAX($D$16,POWER((ABS(K388)^2)/($I$5*MAX(F388,0.1)^2),1/3)))),MAX($D$16,IFERROR(W388,MAX($D$16,POWER((ABS(K388)^2)/($I$5*MAX(F388,0.1)^2),1/3))))),IF(IFERROR(V388,0)=1,MAX($D$16,IFERROR(L388,MAX($D$16,POWER((ABS(K388)^2)/($I$5*MAX(F388,0.1)^2),1/3)))),IF(IFERROR(AG388,0)=1,MAX($D$16,IFERROR(W388,MAX($D$16,POWER((ABS(K388)^2)/($I$5*MAX(F388,0.1)^2),1/3)))),MAX($D$16,POWER((ABS(K388)^2)/($I$5*MAX(F388,0.1)^2),1/3))))))),MAX($D$16,POWER((ABS(K388)^2)/($I$5*MAX(F388,0.1)^2),1/3)))</f>
        <v>2.1389677043987478</v>
      </c>
      <c r="AI388">
        <f t="shared" ca="1" si="207"/>
        <v>634.53846770439873</v>
      </c>
      <c r="AJ388">
        <f t="shared" ca="1" si="208"/>
        <v>635.6079515565981</v>
      </c>
      <c r="AM388">
        <v>0</v>
      </c>
      <c r="AN388">
        <v>0</v>
      </c>
      <c r="AO388">
        <f t="shared" si="209"/>
        <v>0</v>
      </c>
      <c r="AP388">
        <f t="shared" si="218"/>
        <v>0</v>
      </c>
      <c r="AQ388">
        <f t="shared" ca="1" si="210"/>
        <v>1.0000000000000004</v>
      </c>
      <c r="AR388" t="str">
        <f t="shared" ca="1" si="211"/>
        <v>Supercritical</v>
      </c>
      <c r="AS388">
        <f t="shared" ca="1" si="212"/>
        <v>3.8141460404132466E-3</v>
      </c>
    </row>
    <row r="389" spans="1:45" x14ac:dyDescent="0.35">
      <c r="A389">
        <v>328</v>
      </c>
      <c r="B389">
        <v>326.99599999999998</v>
      </c>
      <c r="C389">
        <v>616287.65800000005</v>
      </c>
      <c r="D389">
        <v>3097631.355</v>
      </c>
      <c r="E389">
        <v>632.399</v>
      </c>
      <c r="F389">
        <v>5.2</v>
      </c>
      <c r="G389">
        <v>0</v>
      </c>
      <c r="H389" t="s">
        <v>154</v>
      </c>
      <c r="I389">
        <v>2.7E-2</v>
      </c>
      <c r="J389">
        <f t="shared" si="213"/>
        <v>1</v>
      </c>
      <c r="K389">
        <f t="shared" ca="1" si="214"/>
        <v>50.95</v>
      </c>
      <c r="L389">
        <f t="shared" ca="1" si="215"/>
        <v>2.1389677043987478</v>
      </c>
      <c r="M389">
        <f t="shared" ca="1" si="188"/>
        <v>11.122632062873489</v>
      </c>
      <c r="N389">
        <f t="shared" ca="1" si="189"/>
        <v>1.1735290000551568</v>
      </c>
      <c r="O389">
        <f t="shared" ca="1" si="190"/>
        <v>4.5807502857230418</v>
      </c>
      <c r="P389">
        <f t="shared" ca="1" si="191"/>
        <v>634.53796770439874</v>
      </c>
      <c r="Q389">
        <f t="shared" ca="1" si="192"/>
        <v>635.60745155659811</v>
      </c>
      <c r="R389">
        <f t="shared" ca="1" si="193"/>
        <v>3.8141460404132466E-3</v>
      </c>
      <c r="S389">
        <f t="shared" ca="1" si="194"/>
        <v>1.0000000000000004</v>
      </c>
      <c r="T389">
        <f t="shared" ca="1" si="195"/>
        <v>35.686426155594638</v>
      </c>
      <c r="U389">
        <f t="shared" ca="1" si="216"/>
        <v>-3.3622728137743252E-3</v>
      </c>
      <c r="V389">
        <f t="shared" ca="1" si="217"/>
        <v>1</v>
      </c>
      <c r="W389">
        <f t="shared" ca="1" si="196"/>
        <v>1.9623259606552881</v>
      </c>
      <c r="X389">
        <f t="shared" ca="1" si="197"/>
        <v>10.204094995407498</v>
      </c>
      <c r="Y389">
        <f t="shared" ca="1" si="198"/>
        <v>1.1182996440199422</v>
      </c>
      <c r="Z389">
        <f t="shared" ca="1" si="199"/>
        <v>4.9930934612947837</v>
      </c>
      <c r="AA389">
        <f t="shared" ca="1" si="200"/>
        <v>634.36132596065534</v>
      </c>
      <c r="AB389">
        <f t="shared" ca="1" si="201"/>
        <v>635.63201822942312</v>
      </c>
      <c r="AC389">
        <f t="shared" ca="1" si="202"/>
        <v>4.8325645067290616E-3</v>
      </c>
      <c r="AD389">
        <f t="shared" ca="1" si="203"/>
        <v>1.1380192723965348</v>
      </c>
      <c r="AE389">
        <f t="shared" ca="1" si="204"/>
        <v>35.944409498113934</v>
      </c>
      <c r="AF389">
        <f t="shared" ca="1" si="205"/>
        <v>4.3897456588410932E-3</v>
      </c>
      <c r="AG389">
        <f t="shared" ca="1" si="206"/>
        <v>0</v>
      </c>
      <c r="AH389">
        <f ca="1">IFERROR(IF(V32="Supercritical",MAX($D$16,IFERROR(L389,MAX($D$16,POWER((ABS(K389)^2)/($I$5*MAX(F389,0.1)^2),1/3)))),IF(V32="Subcritical",MAX($D$16,IFERROR(W389,MAX($D$16,POWER((ABS(K389)^2)/($I$5*MAX(F389,0.1)^2),1/3)))),IF(AND(IFERROR(V389,0)=1,IFERROR(AG389,0)=1),IF(IFERROR(T389,-1E+99)&gt;=IFERROR(AE389,-1E+99),MAX($D$16,IFERROR(L389,MAX($D$16,POWER((ABS(K389)^2)/($I$5*MAX(F389,0.1)^2),1/3)))),MAX($D$16,IFERROR(W389,MAX($D$16,POWER((ABS(K389)^2)/($I$5*MAX(F389,0.1)^2),1/3))))),IF(IFERROR(V389,0)=1,MAX($D$16,IFERROR(L389,MAX($D$16,POWER((ABS(K389)^2)/($I$5*MAX(F389,0.1)^2),1/3)))),IF(IFERROR(AG389,0)=1,MAX($D$16,IFERROR(W389,MAX($D$16,POWER((ABS(K389)^2)/($I$5*MAX(F389,0.1)^2),1/3)))),MAX($D$16,POWER((ABS(K389)^2)/($I$5*MAX(F389,0.1)^2),1/3))))))),MAX($D$16,POWER((ABS(K389)^2)/($I$5*MAX(F389,0.1)^2),1/3)))</f>
        <v>2.1389677043987478</v>
      </c>
      <c r="AI389">
        <f t="shared" ca="1" si="207"/>
        <v>634.53796770439874</v>
      </c>
      <c r="AJ389">
        <f t="shared" ca="1" si="208"/>
        <v>635.60745155659811</v>
      </c>
      <c r="AM389">
        <v>0</v>
      </c>
      <c r="AN389">
        <v>0</v>
      </c>
      <c r="AO389">
        <f t="shared" si="209"/>
        <v>0</v>
      </c>
      <c r="AP389">
        <f t="shared" si="218"/>
        <v>0</v>
      </c>
      <c r="AQ389">
        <f t="shared" ca="1" si="210"/>
        <v>1.0000000000000004</v>
      </c>
      <c r="AR389" t="str">
        <f t="shared" ca="1" si="211"/>
        <v>Supercritical</v>
      </c>
      <c r="AS389">
        <f t="shared" ca="1" si="212"/>
        <v>3.8141460404132466E-3</v>
      </c>
    </row>
    <row r="390" spans="1:45" x14ac:dyDescent="0.35">
      <c r="A390">
        <v>329</v>
      </c>
      <c r="B390">
        <v>327.99599999999998</v>
      </c>
      <c r="C390">
        <v>616287.18400000001</v>
      </c>
      <c r="D390">
        <v>3097630.4739999999</v>
      </c>
      <c r="E390">
        <v>632.39850000000001</v>
      </c>
      <c r="F390">
        <v>5.2</v>
      </c>
      <c r="G390">
        <v>0</v>
      </c>
      <c r="H390" t="s">
        <v>154</v>
      </c>
      <c r="I390">
        <v>2.7E-2</v>
      </c>
      <c r="J390">
        <f t="shared" si="213"/>
        <v>1</v>
      </c>
      <c r="K390">
        <f t="shared" ca="1" si="214"/>
        <v>50.95</v>
      </c>
      <c r="L390">
        <f t="shared" ca="1" si="215"/>
        <v>2.1389677043987478</v>
      </c>
      <c r="M390">
        <f t="shared" ca="1" si="188"/>
        <v>11.122632062873489</v>
      </c>
      <c r="N390">
        <f t="shared" ca="1" si="189"/>
        <v>1.1735290000551568</v>
      </c>
      <c r="O390">
        <f t="shared" ca="1" si="190"/>
        <v>4.5807502857230418</v>
      </c>
      <c r="P390">
        <f t="shared" ca="1" si="191"/>
        <v>634.53746770439875</v>
      </c>
      <c r="Q390">
        <f t="shared" ca="1" si="192"/>
        <v>635.60695155659812</v>
      </c>
      <c r="R390">
        <f t="shared" ca="1" si="193"/>
        <v>3.8141460404132466E-3</v>
      </c>
      <c r="S390">
        <f t="shared" ca="1" si="194"/>
        <v>1.0000000000000004</v>
      </c>
      <c r="T390">
        <f t="shared" ca="1" si="195"/>
        <v>35.686426155594638</v>
      </c>
      <c r="U390">
        <f t="shared" ca="1" si="216"/>
        <v>-3.3622728137743252E-3</v>
      </c>
      <c r="V390">
        <f t="shared" ca="1" si="217"/>
        <v>1</v>
      </c>
      <c r="W390">
        <f t="shared" ca="1" si="196"/>
        <v>1.9556897917319123</v>
      </c>
      <c r="X390">
        <f t="shared" ca="1" si="197"/>
        <v>10.169586917005944</v>
      </c>
      <c r="Y390">
        <f t="shared" ca="1" si="198"/>
        <v>1.116141285065398</v>
      </c>
      <c r="Z390">
        <f t="shared" ca="1" si="199"/>
        <v>5.0100363383294955</v>
      </c>
      <c r="AA390">
        <f t="shared" ca="1" si="200"/>
        <v>634.35418979173187</v>
      </c>
      <c r="AB390">
        <f t="shared" ca="1" si="201"/>
        <v>635.63352027651183</v>
      </c>
      <c r="AC390">
        <f t="shared" ca="1" si="202"/>
        <v>4.8779652977026461E-3</v>
      </c>
      <c r="AD390">
        <f t="shared" ca="1" si="203"/>
        <v>1.1438165806640588</v>
      </c>
      <c r="AE390">
        <f t="shared" ca="1" si="204"/>
        <v>35.964803780948948</v>
      </c>
      <c r="AF390">
        <f t="shared" ca="1" si="205"/>
        <v>4.4845761715350818E-3</v>
      </c>
      <c r="AG390">
        <f t="shared" ca="1" si="206"/>
        <v>0</v>
      </c>
      <c r="AH390">
        <f ca="1">IFERROR(IF(V32="Supercritical",MAX($D$16,IFERROR(L390,MAX($D$16,POWER((ABS(K390)^2)/($I$5*MAX(F390,0.1)^2),1/3)))),IF(V32="Subcritical",MAX($D$16,IFERROR(W390,MAX($D$16,POWER((ABS(K390)^2)/($I$5*MAX(F390,0.1)^2),1/3)))),IF(AND(IFERROR(V390,0)=1,IFERROR(AG390,0)=1),IF(IFERROR(T390,-1E+99)&gt;=IFERROR(AE390,-1E+99),MAX($D$16,IFERROR(L390,MAX($D$16,POWER((ABS(K390)^2)/($I$5*MAX(F390,0.1)^2),1/3)))),MAX($D$16,IFERROR(W390,MAX($D$16,POWER((ABS(K390)^2)/($I$5*MAX(F390,0.1)^2),1/3))))),IF(IFERROR(V390,0)=1,MAX($D$16,IFERROR(L390,MAX($D$16,POWER((ABS(K390)^2)/($I$5*MAX(F390,0.1)^2),1/3)))),IF(IFERROR(AG390,0)=1,MAX($D$16,IFERROR(W390,MAX($D$16,POWER((ABS(K390)^2)/($I$5*MAX(F390,0.1)^2),1/3)))),MAX($D$16,POWER((ABS(K390)^2)/($I$5*MAX(F390,0.1)^2),1/3))))))),MAX($D$16,POWER((ABS(K390)^2)/($I$5*MAX(F390,0.1)^2),1/3)))</f>
        <v>2.1389677043987478</v>
      </c>
      <c r="AI390">
        <f t="shared" ca="1" si="207"/>
        <v>634.53746770439875</v>
      </c>
      <c r="AJ390">
        <f t="shared" ca="1" si="208"/>
        <v>635.60695155659812</v>
      </c>
      <c r="AM390">
        <v>0</v>
      </c>
      <c r="AN390">
        <v>0</v>
      </c>
      <c r="AO390">
        <f t="shared" si="209"/>
        <v>0</v>
      </c>
      <c r="AP390">
        <f t="shared" si="218"/>
        <v>0</v>
      </c>
      <c r="AQ390">
        <f t="shared" ca="1" si="210"/>
        <v>1.0000000000000004</v>
      </c>
      <c r="AR390" t="str">
        <f t="shared" ca="1" si="211"/>
        <v>Supercritical</v>
      </c>
      <c r="AS390">
        <f t="shared" ca="1" si="212"/>
        <v>3.8141460404132466E-3</v>
      </c>
    </row>
    <row r="391" spans="1:45" x14ac:dyDescent="0.35">
      <c r="A391">
        <v>330</v>
      </c>
      <c r="B391">
        <v>328.99599999999998</v>
      </c>
      <c r="C391">
        <v>616286.71</v>
      </c>
      <c r="D391">
        <v>3097629.594</v>
      </c>
      <c r="E391">
        <v>632.39800000000002</v>
      </c>
      <c r="F391">
        <v>5.2</v>
      </c>
      <c r="G391">
        <v>0</v>
      </c>
      <c r="H391" t="s">
        <v>154</v>
      </c>
      <c r="I391">
        <v>0.05</v>
      </c>
      <c r="J391">
        <f t="shared" si="213"/>
        <v>1</v>
      </c>
      <c r="K391">
        <f t="shared" ca="1" si="214"/>
        <v>50.95</v>
      </c>
      <c r="L391">
        <f t="shared" ca="1" si="215"/>
        <v>2.1389677043987478</v>
      </c>
      <c r="M391">
        <f t="shared" ca="1" si="188"/>
        <v>11.122632062873489</v>
      </c>
      <c r="N391">
        <f t="shared" ca="1" si="189"/>
        <v>1.1735290000551568</v>
      </c>
      <c r="O391">
        <f t="shared" ca="1" si="190"/>
        <v>4.5807502857230418</v>
      </c>
      <c r="P391">
        <f t="shared" ca="1" si="191"/>
        <v>634.53696770439876</v>
      </c>
      <c r="Q391">
        <f t="shared" ca="1" si="192"/>
        <v>635.60645155659813</v>
      </c>
      <c r="R391">
        <f t="shared" ca="1" si="193"/>
        <v>3.8141460404132466E-3</v>
      </c>
      <c r="S391">
        <f t="shared" ca="1" si="194"/>
        <v>1.0000000000000004</v>
      </c>
      <c r="T391">
        <f t="shared" ca="1" si="195"/>
        <v>35.686426155594638</v>
      </c>
      <c r="U391">
        <f t="shared" ca="1" si="216"/>
        <v>-3.4032696947861041E-3</v>
      </c>
      <c r="V391">
        <f t="shared" ca="1" si="217"/>
        <v>1</v>
      </c>
      <c r="W391">
        <f t="shared" ca="1" si="196"/>
        <v>1.9490083813816159</v>
      </c>
      <c r="X391">
        <f t="shared" ca="1" si="197"/>
        <v>10.134843583184404</v>
      </c>
      <c r="Y391">
        <f t="shared" ca="1" si="198"/>
        <v>1.1139618498687256</v>
      </c>
      <c r="Z391">
        <f t="shared" ca="1" si="199"/>
        <v>5.0272112817345853</v>
      </c>
      <c r="AA391">
        <f t="shared" ca="1" si="200"/>
        <v>634.34700838138167</v>
      </c>
      <c r="AB391">
        <f t="shared" ca="1" si="201"/>
        <v>635.63512526574459</v>
      </c>
      <c r="AC391">
        <f t="shared" ca="1" si="202"/>
        <v>4.9242833755424103E-3</v>
      </c>
      <c r="AD391">
        <f t="shared" ca="1" si="203"/>
        <v>1.1497033079403434</v>
      </c>
      <c r="AE391">
        <f t="shared" ca="1" si="204"/>
        <v>35.986173823562062</v>
      </c>
      <c r="AF391">
        <f t="shared" ca="1" si="205"/>
        <v>4.5917385705251945E-3</v>
      </c>
      <c r="AG391">
        <f t="shared" ca="1" si="206"/>
        <v>0</v>
      </c>
      <c r="AH391">
        <f ca="1">IFERROR(IF(V32="Supercritical",MAX($D$16,IFERROR(L391,MAX($D$16,POWER((ABS(K391)^2)/($I$5*MAX(F391,0.1)^2),1/3)))),IF(V32="Subcritical",MAX($D$16,IFERROR(W391,MAX($D$16,POWER((ABS(K391)^2)/($I$5*MAX(F391,0.1)^2),1/3)))),IF(AND(IFERROR(V391,0)=1,IFERROR(AG391,0)=1),IF(IFERROR(T391,-1E+99)&gt;=IFERROR(AE391,-1E+99),MAX($D$16,IFERROR(L391,MAX($D$16,POWER((ABS(K391)^2)/($I$5*MAX(F391,0.1)^2),1/3)))),MAX($D$16,IFERROR(W391,MAX($D$16,POWER((ABS(K391)^2)/($I$5*MAX(F391,0.1)^2),1/3))))),IF(IFERROR(V391,0)=1,MAX($D$16,IFERROR(L391,MAX($D$16,POWER((ABS(K391)^2)/($I$5*MAX(F391,0.1)^2),1/3)))),IF(IFERROR(AG391,0)=1,MAX($D$16,IFERROR(W391,MAX($D$16,POWER((ABS(K391)^2)/($I$5*MAX(F391,0.1)^2),1/3)))),MAX($D$16,POWER((ABS(K391)^2)/($I$5*MAX(F391,0.1)^2),1/3))))))),MAX($D$16,POWER((ABS(K391)^2)/($I$5*MAX(F391,0.1)^2),1/3)))</f>
        <v>2.1389677043987478</v>
      </c>
      <c r="AI391">
        <f t="shared" ca="1" si="207"/>
        <v>634.53696770439876</v>
      </c>
      <c r="AJ391">
        <f t="shared" ca="1" si="208"/>
        <v>635.60645155659813</v>
      </c>
      <c r="AM391">
        <v>0</v>
      </c>
      <c r="AN391">
        <v>0</v>
      </c>
      <c r="AO391">
        <f t="shared" si="209"/>
        <v>0</v>
      </c>
      <c r="AP391">
        <f t="shared" si="218"/>
        <v>0</v>
      </c>
      <c r="AQ391">
        <f t="shared" ca="1" si="210"/>
        <v>1.0000000000000004</v>
      </c>
      <c r="AR391" t="str">
        <f t="shared" ca="1" si="211"/>
        <v>Supercritical</v>
      </c>
      <c r="AS391">
        <f t="shared" ca="1" si="212"/>
        <v>3.8141460404132466E-3</v>
      </c>
    </row>
    <row r="392" spans="1:45" x14ac:dyDescent="0.35">
      <c r="A392">
        <v>331</v>
      </c>
      <c r="B392">
        <v>329.99599999999998</v>
      </c>
      <c r="C392">
        <v>616286.23499999999</v>
      </c>
      <c r="D392">
        <v>3097628.7140000002</v>
      </c>
      <c r="E392">
        <v>632.39750000000004</v>
      </c>
      <c r="F392">
        <v>5.2</v>
      </c>
      <c r="G392">
        <v>0</v>
      </c>
      <c r="H392" t="s">
        <v>154</v>
      </c>
      <c r="I392">
        <v>7.8E-2</v>
      </c>
      <c r="J392">
        <f t="shared" si="213"/>
        <v>1</v>
      </c>
      <c r="K392">
        <f t="shared" ca="1" si="214"/>
        <v>50.95</v>
      </c>
      <c r="L392">
        <f t="shared" ca="1" si="215"/>
        <v>2.1389677043987478</v>
      </c>
      <c r="M392">
        <f t="shared" ca="1" si="188"/>
        <v>11.122632062873489</v>
      </c>
      <c r="N392">
        <f t="shared" ca="1" si="189"/>
        <v>1.1735290000551568</v>
      </c>
      <c r="O392">
        <f t="shared" ca="1" si="190"/>
        <v>4.5807502857230418</v>
      </c>
      <c r="P392">
        <f t="shared" ca="1" si="191"/>
        <v>634.53646770439877</v>
      </c>
      <c r="Q392">
        <f t="shared" ca="1" si="192"/>
        <v>635.60595155659814</v>
      </c>
      <c r="R392">
        <f t="shared" ca="1" si="193"/>
        <v>3.8141460404132466E-3</v>
      </c>
      <c r="S392">
        <f t="shared" ca="1" si="194"/>
        <v>1.0000000000000004</v>
      </c>
      <c r="T392">
        <f t="shared" ca="1" si="195"/>
        <v>35.686426155594638</v>
      </c>
      <c r="U392">
        <f t="shared" ca="1" si="216"/>
        <v>-3.4531789411857972E-3</v>
      </c>
      <c r="V392">
        <f t="shared" ca="1" si="217"/>
        <v>1</v>
      </c>
      <c r="W392">
        <f t="shared" ca="1" si="196"/>
        <v>1.9422912322719799</v>
      </c>
      <c r="X392">
        <f t="shared" ca="1" si="197"/>
        <v>10.099914407814296</v>
      </c>
      <c r="Y392">
        <f t="shared" ca="1" si="198"/>
        <v>1.1117642937617722</v>
      </c>
      <c r="Z392">
        <f t="shared" ca="1" si="199"/>
        <v>5.0445972057525585</v>
      </c>
      <c r="AA392">
        <f t="shared" ca="1" si="200"/>
        <v>634.33979123227198</v>
      </c>
      <c r="AB392">
        <f t="shared" ca="1" si="201"/>
        <v>635.63683307571171</v>
      </c>
      <c r="AC392">
        <f t="shared" ca="1" si="202"/>
        <v>4.9714744566064532E-3</v>
      </c>
      <c r="AD392">
        <f t="shared" ca="1" si="203"/>
        <v>1.155672599450204</v>
      </c>
      <c r="AE392">
        <f t="shared" ca="1" si="204"/>
        <v>36.008510804686445</v>
      </c>
      <c r="AF392">
        <f t="shared" ca="1" si="205"/>
        <v>4.5298413396039905E-3</v>
      </c>
      <c r="AG392">
        <f t="shared" ca="1" si="206"/>
        <v>0</v>
      </c>
      <c r="AH392">
        <f ca="1">IFERROR(IF(V32="Supercritical",MAX($D$16,IFERROR(L392,MAX($D$16,POWER((ABS(K392)^2)/($I$5*MAX(F392,0.1)^2),1/3)))),IF(V32="Subcritical",MAX($D$16,IFERROR(W392,MAX($D$16,POWER((ABS(K392)^2)/($I$5*MAX(F392,0.1)^2),1/3)))),IF(AND(IFERROR(V392,0)=1,IFERROR(AG392,0)=1),IF(IFERROR(T392,-1E+99)&gt;=IFERROR(AE392,-1E+99),MAX($D$16,IFERROR(L392,MAX($D$16,POWER((ABS(K392)^2)/($I$5*MAX(F392,0.1)^2),1/3)))),MAX($D$16,IFERROR(W392,MAX($D$16,POWER((ABS(K392)^2)/($I$5*MAX(F392,0.1)^2),1/3))))),IF(IFERROR(V392,0)=1,MAX($D$16,IFERROR(L392,MAX($D$16,POWER((ABS(K392)^2)/($I$5*MAX(F392,0.1)^2),1/3)))),IF(IFERROR(AG392,0)=1,MAX($D$16,IFERROR(W392,MAX($D$16,POWER((ABS(K392)^2)/($I$5*MAX(F392,0.1)^2),1/3)))),MAX($D$16,POWER((ABS(K392)^2)/($I$5*MAX(F392,0.1)^2),1/3))))))),MAX($D$16,POWER((ABS(K392)^2)/($I$5*MAX(F392,0.1)^2),1/3)))</f>
        <v>2.1389677043987478</v>
      </c>
      <c r="AI392">
        <f t="shared" ca="1" si="207"/>
        <v>634.53646770439877</v>
      </c>
      <c r="AJ392">
        <f t="shared" ca="1" si="208"/>
        <v>635.60595155659814</v>
      </c>
      <c r="AM392">
        <v>0</v>
      </c>
      <c r="AN392">
        <v>0</v>
      </c>
      <c r="AO392">
        <f t="shared" si="209"/>
        <v>0</v>
      </c>
      <c r="AP392">
        <f t="shared" si="218"/>
        <v>0</v>
      </c>
      <c r="AQ392">
        <f t="shared" ca="1" si="210"/>
        <v>1.0000000000000004</v>
      </c>
      <c r="AR392" t="str">
        <f t="shared" ca="1" si="211"/>
        <v>Supercritical</v>
      </c>
      <c r="AS392">
        <f t="shared" ca="1" si="212"/>
        <v>3.8141460404132466E-3</v>
      </c>
    </row>
    <row r="393" spans="1:45" x14ac:dyDescent="0.35">
      <c r="A393">
        <v>332</v>
      </c>
      <c r="B393">
        <v>330.99599999999998</v>
      </c>
      <c r="C393">
        <v>616285.76100000006</v>
      </c>
      <c r="D393">
        <v>3097627.8330000001</v>
      </c>
      <c r="E393">
        <v>632.39700000000005</v>
      </c>
      <c r="F393">
        <v>5.2</v>
      </c>
      <c r="G393">
        <v>0</v>
      </c>
      <c r="H393" t="s">
        <v>154</v>
      </c>
      <c r="I393">
        <v>2.7E-2</v>
      </c>
      <c r="J393">
        <f t="shared" si="213"/>
        <v>1</v>
      </c>
      <c r="K393">
        <f t="shared" ca="1" si="214"/>
        <v>50.95</v>
      </c>
      <c r="L393">
        <f t="shared" ca="1" si="215"/>
        <v>2.1389677043987478</v>
      </c>
      <c r="M393">
        <f t="shared" ca="1" si="188"/>
        <v>11.122632062873489</v>
      </c>
      <c r="N393">
        <f t="shared" ca="1" si="189"/>
        <v>1.1735290000551568</v>
      </c>
      <c r="O393">
        <f t="shared" ca="1" si="190"/>
        <v>4.5807502857230418</v>
      </c>
      <c r="P393">
        <f t="shared" ca="1" si="191"/>
        <v>634.53596770439879</v>
      </c>
      <c r="Q393">
        <f t="shared" ca="1" si="192"/>
        <v>635.60545155659815</v>
      </c>
      <c r="R393">
        <f t="shared" ca="1" si="193"/>
        <v>3.8141460404132466E-3</v>
      </c>
      <c r="S393">
        <f t="shared" ca="1" si="194"/>
        <v>1.0000000000000004</v>
      </c>
      <c r="T393">
        <f t="shared" ca="1" si="195"/>
        <v>35.686426155594638</v>
      </c>
      <c r="U393">
        <f t="shared" ca="1" si="216"/>
        <v>-3.3622728137743252E-3</v>
      </c>
      <c r="V393">
        <f t="shared" ca="1" si="217"/>
        <v>1</v>
      </c>
      <c r="W393">
        <f t="shared" ca="1" si="196"/>
        <v>1.935548213345395</v>
      </c>
      <c r="X393">
        <f t="shared" ca="1" si="197"/>
        <v>10.064850709396055</v>
      </c>
      <c r="Y393">
        <f t="shared" ca="1" si="198"/>
        <v>1.1095517273723652</v>
      </c>
      <c r="Z393">
        <f t="shared" ca="1" si="199"/>
        <v>5.0621714589800684</v>
      </c>
      <c r="AA393">
        <f t="shared" ca="1" si="200"/>
        <v>634.33254821334549</v>
      </c>
      <c r="AB393">
        <f t="shared" ca="1" si="201"/>
        <v>635.6386430084583</v>
      </c>
      <c r="AC393">
        <f t="shared" ca="1" si="202"/>
        <v>5.0194887062466305E-3</v>
      </c>
      <c r="AD393">
        <f t="shared" ca="1" si="203"/>
        <v>1.161717015121815</v>
      </c>
      <c r="AE393">
        <f t="shared" ca="1" si="204"/>
        <v>36.031800154338185</v>
      </c>
      <c r="AF393">
        <f t="shared" ca="1" si="205"/>
        <v>4.5732434831506907E-3</v>
      </c>
      <c r="AG393">
        <f t="shared" ca="1" si="206"/>
        <v>0</v>
      </c>
      <c r="AH393">
        <f ca="1">IFERROR(IF(V32="Supercritical",MAX($D$16,IFERROR(L393,MAX($D$16,POWER((ABS(K393)^2)/($I$5*MAX(F393,0.1)^2),1/3)))),IF(V32="Subcritical",MAX($D$16,IFERROR(W393,MAX($D$16,POWER((ABS(K393)^2)/($I$5*MAX(F393,0.1)^2),1/3)))),IF(AND(IFERROR(V393,0)=1,IFERROR(AG393,0)=1),IF(IFERROR(T393,-1E+99)&gt;=IFERROR(AE393,-1E+99),MAX($D$16,IFERROR(L393,MAX($D$16,POWER((ABS(K393)^2)/($I$5*MAX(F393,0.1)^2),1/3)))),MAX($D$16,IFERROR(W393,MAX($D$16,POWER((ABS(K393)^2)/($I$5*MAX(F393,0.1)^2),1/3))))),IF(IFERROR(V393,0)=1,MAX($D$16,IFERROR(L393,MAX($D$16,POWER((ABS(K393)^2)/($I$5*MAX(F393,0.1)^2),1/3)))),IF(IFERROR(AG393,0)=1,MAX($D$16,IFERROR(W393,MAX($D$16,POWER((ABS(K393)^2)/($I$5*MAX(F393,0.1)^2),1/3)))),MAX($D$16,POWER((ABS(K393)^2)/($I$5*MAX(F393,0.1)^2),1/3))))))),MAX($D$16,POWER((ABS(K393)^2)/($I$5*MAX(F393,0.1)^2),1/3)))</f>
        <v>2.1389677043987478</v>
      </c>
      <c r="AI393">
        <f t="shared" ca="1" si="207"/>
        <v>634.53596770439879</v>
      </c>
      <c r="AJ393">
        <f t="shared" ca="1" si="208"/>
        <v>635.60545155659815</v>
      </c>
      <c r="AM393">
        <v>0</v>
      </c>
      <c r="AN393">
        <v>0</v>
      </c>
      <c r="AO393">
        <f t="shared" si="209"/>
        <v>0</v>
      </c>
      <c r="AP393">
        <f t="shared" si="218"/>
        <v>0</v>
      </c>
      <c r="AQ393">
        <f t="shared" ca="1" si="210"/>
        <v>1.0000000000000004</v>
      </c>
      <c r="AR393" t="str">
        <f t="shared" ca="1" si="211"/>
        <v>Supercritical</v>
      </c>
      <c r="AS393">
        <f t="shared" ca="1" si="212"/>
        <v>3.8141460404132466E-3</v>
      </c>
    </row>
    <row r="394" spans="1:45" x14ac:dyDescent="0.35">
      <c r="A394">
        <v>333</v>
      </c>
      <c r="B394">
        <v>331.995</v>
      </c>
      <c r="C394">
        <v>616285.28700000001</v>
      </c>
      <c r="D394">
        <v>3097626.9530000002</v>
      </c>
      <c r="E394">
        <v>632.39649999999995</v>
      </c>
      <c r="F394">
        <v>5.2</v>
      </c>
      <c r="G394">
        <v>0</v>
      </c>
      <c r="H394" t="s">
        <v>154</v>
      </c>
      <c r="I394">
        <v>2.7E-2</v>
      </c>
      <c r="J394">
        <f t="shared" si="213"/>
        <v>0.99900000000002365</v>
      </c>
      <c r="K394">
        <f t="shared" ca="1" si="214"/>
        <v>50.95</v>
      </c>
      <c r="L394">
        <f t="shared" ca="1" si="215"/>
        <v>2.1389677043987478</v>
      </c>
      <c r="M394">
        <f t="shared" ca="1" si="188"/>
        <v>11.122632062873489</v>
      </c>
      <c r="N394">
        <f t="shared" ca="1" si="189"/>
        <v>1.1735290000551568</v>
      </c>
      <c r="O394">
        <f t="shared" ca="1" si="190"/>
        <v>4.5807502857230418</v>
      </c>
      <c r="P394">
        <f t="shared" ca="1" si="191"/>
        <v>634.53546770439868</v>
      </c>
      <c r="Q394">
        <f t="shared" ca="1" si="192"/>
        <v>635.60495155659805</v>
      </c>
      <c r="R394">
        <f t="shared" ca="1" si="193"/>
        <v>3.8141460404132466E-3</v>
      </c>
      <c r="S394">
        <f t="shared" ca="1" si="194"/>
        <v>1.0000000000000004</v>
      </c>
      <c r="T394">
        <f t="shared" ca="1" si="195"/>
        <v>35.686426155594638</v>
      </c>
      <c r="U394">
        <f t="shared" ca="1" si="216"/>
        <v>-3.3584586675488026E-3</v>
      </c>
      <c r="V394">
        <f t="shared" ca="1" si="217"/>
        <v>1</v>
      </c>
      <c r="W394">
        <f t="shared" ca="1" si="196"/>
        <v>1.9287895110994544</v>
      </c>
      <c r="X394">
        <f t="shared" ca="1" si="197"/>
        <v>10.029705457717164</v>
      </c>
      <c r="Y394">
        <f t="shared" ca="1" si="198"/>
        <v>1.1073274031764675</v>
      </c>
      <c r="Z394">
        <f t="shared" ca="1" si="199"/>
        <v>5.0799098951402915</v>
      </c>
      <c r="AA394">
        <f t="shared" ca="1" si="200"/>
        <v>634.32528951109941</v>
      </c>
      <c r="AB394">
        <f t="shared" ca="1" si="201"/>
        <v>635.64055375894566</v>
      </c>
      <c r="AC394">
        <f t="shared" ca="1" si="202"/>
        <v>5.0682707384210827E-3</v>
      </c>
      <c r="AD394">
        <f t="shared" ca="1" si="203"/>
        <v>1.1678285480226278</v>
      </c>
      <c r="AE394">
        <f t="shared" ca="1" si="204"/>
        <v>36.056021353059329</v>
      </c>
      <c r="AF394">
        <f t="shared" ca="1" si="205"/>
        <v>4.7443233613648772E-3</v>
      </c>
      <c r="AG394">
        <f t="shared" ca="1" si="206"/>
        <v>0</v>
      </c>
      <c r="AH394">
        <f ca="1">IFERROR(IF(V32="Supercritical",MAX($D$16,IFERROR(L394,MAX($D$16,POWER((ABS(K394)^2)/($I$5*MAX(F394,0.1)^2),1/3)))),IF(V32="Subcritical",MAX($D$16,IFERROR(W394,MAX($D$16,POWER((ABS(K394)^2)/($I$5*MAX(F394,0.1)^2),1/3)))),IF(AND(IFERROR(V394,0)=1,IFERROR(AG394,0)=1),IF(IFERROR(T394,-1E+99)&gt;=IFERROR(AE394,-1E+99),MAX($D$16,IFERROR(L394,MAX($D$16,POWER((ABS(K394)^2)/($I$5*MAX(F394,0.1)^2),1/3)))),MAX($D$16,IFERROR(W394,MAX($D$16,POWER((ABS(K394)^2)/($I$5*MAX(F394,0.1)^2),1/3))))),IF(IFERROR(V394,0)=1,MAX($D$16,IFERROR(L394,MAX($D$16,POWER((ABS(K394)^2)/($I$5*MAX(F394,0.1)^2),1/3)))),IF(IFERROR(AG394,0)=1,MAX($D$16,IFERROR(W394,MAX($D$16,POWER((ABS(K394)^2)/($I$5*MAX(F394,0.1)^2),1/3)))),MAX($D$16,POWER((ABS(K394)^2)/($I$5*MAX(F394,0.1)^2),1/3))))))),MAX($D$16,POWER((ABS(K394)^2)/($I$5*MAX(F394,0.1)^2),1/3)))</f>
        <v>2.1389677043987478</v>
      </c>
      <c r="AI394">
        <f t="shared" ca="1" si="207"/>
        <v>634.53546770439868</v>
      </c>
      <c r="AJ394">
        <f t="shared" ca="1" si="208"/>
        <v>635.60495155659805</v>
      </c>
      <c r="AM394">
        <v>0</v>
      </c>
      <c r="AN394">
        <v>0</v>
      </c>
      <c r="AO394">
        <f t="shared" si="209"/>
        <v>0</v>
      </c>
      <c r="AP394">
        <f t="shared" si="218"/>
        <v>0</v>
      </c>
      <c r="AQ394">
        <f t="shared" ca="1" si="210"/>
        <v>1.0000000000000004</v>
      </c>
      <c r="AR394" t="str">
        <f t="shared" ca="1" si="211"/>
        <v>Supercritical</v>
      </c>
      <c r="AS394">
        <f t="shared" ca="1" si="212"/>
        <v>3.8141460404132466E-3</v>
      </c>
    </row>
    <row r="395" spans="1:45" x14ac:dyDescent="0.35">
      <c r="A395">
        <v>334</v>
      </c>
      <c r="B395">
        <v>332.99599999999998</v>
      </c>
      <c r="C395">
        <v>616284.81299999997</v>
      </c>
      <c r="D395">
        <v>3097626.0720000002</v>
      </c>
      <c r="E395">
        <v>632.39599999999996</v>
      </c>
      <c r="F395">
        <v>5.2</v>
      </c>
      <c r="G395">
        <v>0</v>
      </c>
      <c r="H395" t="s">
        <v>154</v>
      </c>
      <c r="I395">
        <v>7.8E-2</v>
      </c>
      <c r="J395">
        <f t="shared" si="213"/>
        <v>1.0009999999999764</v>
      </c>
      <c r="K395">
        <f t="shared" ca="1" si="214"/>
        <v>50.95</v>
      </c>
      <c r="L395">
        <f t="shared" ca="1" si="215"/>
        <v>2.1389677043987478</v>
      </c>
      <c r="M395">
        <f t="shared" ca="1" si="188"/>
        <v>11.122632062873489</v>
      </c>
      <c r="N395">
        <f t="shared" ca="1" si="189"/>
        <v>1.1735290000551568</v>
      </c>
      <c r="O395">
        <f t="shared" ca="1" si="190"/>
        <v>4.5807502857230418</v>
      </c>
      <c r="P395">
        <f t="shared" ca="1" si="191"/>
        <v>634.5349677043987</v>
      </c>
      <c r="Q395">
        <f t="shared" ca="1" si="192"/>
        <v>635.60445155659806</v>
      </c>
      <c r="R395">
        <f t="shared" ca="1" si="193"/>
        <v>3.8141460404132466E-3</v>
      </c>
      <c r="S395">
        <f t="shared" ca="1" si="194"/>
        <v>1.0000000000000004</v>
      </c>
      <c r="T395">
        <f t="shared" ca="1" si="195"/>
        <v>35.686426155594638</v>
      </c>
      <c r="U395">
        <f t="shared" ca="1" si="216"/>
        <v>-3.456993087183946E-3</v>
      </c>
      <c r="V395">
        <f t="shared" ca="1" si="217"/>
        <v>1</v>
      </c>
      <c r="W395">
        <f t="shared" ca="1" si="196"/>
        <v>1.9220255755667541</v>
      </c>
      <c r="X395">
        <f t="shared" ca="1" si="197"/>
        <v>9.9945329929471214</v>
      </c>
      <c r="Y395">
        <f t="shared" ca="1" si="198"/>
        <v>1.1050946999226654</v>
      </c>
      <c r="Z395">
        <f t="shared" ca="1" si="199"/>
        <v>5.0977869637284776</v>
      </c>
      <c r="AA395">
        <f t="shared" ca="1" si="200"/>
        <v>634.31802557556671</v>
      </c>
      <c r="AB395">
        <f t="shared" ca="1" si="201"/>
        <v>635.64256339042709</v>
      </c>
      <c r="AC395">
        <f t="shared" ca="1" si="202"/>
        <v>5.1177596769282942E-3</v>
      </c>
      <c r="AD395">
        <f t="shared" ca="1" si="203"/>
        <v>1.1739986499920265</v>
      </c>
      <c r="AE395">
        <f t="shared" ca="1" si="204"/>
        <v>36.081147796200703</v>
      </c>
      <c r="AF395">
        <f t="shared" ca="1" si="205"/>
        <v>4.7281378282377773E-3</v>
      </c>
      <c r="AG395">
        <f t="shared" ca="1" si="206"/>
        <v>0</v>
      </c>
      <c r="AH395">
        <f ca="1">IFERROR(IF(V32="Supercritical",MAX($D$16,IFERROR(L395,MAX($D$16,POWER((ABS(K395)^2)/($I$5*MAX(F395,0.1)^2),1/3)))),IF(V32="Subcritical",MAX($D$16,IFERROR(W395,MAX($D$16,POWER((ABS(K395)^2)/($I$5*MAX(F395,0.1)^2),1/3)))),IF(AND(IFERROR(V395,0)=1,IFERROR(AG395,0)=1),IF(IFERROR(T395,-1E+99)&gt;=IFERROR(AE395,-1E+99),MAX($D$16,IFERROR(L395,MAX($D$16,POWER((ABS(K395)^2)/($I$5*MAX(F395,0.1)^2),1/3)))),MAX($D$16,IFERROR(W395,MAX($D$16,POWER((ABS(K395)^2)/($I$5*MAX(F395,0.1)^2),1/3))))),IF(IFERROR(V395,0)=1,MAX($D$16,IFERROR(L395,MAX($D$16,POWER((ABS(K395)^2)/($I$5*MAX(F395,0.1)^2),1/3)))),IF(IFERROR(AG395,0)=1,MAX($D$16,IFERROR(W395,MAX($D$16,POWER((ABS(K395)^2)/($I$5*MAX(F395,0.1)^2),1/3)))),MAX($D$16,POWER((ABS(K395)^2)/($I$5*MAX(F395,0.1)^2),1/3))))))),MAX($D$16,POWER((ABS(K395)^2)/($I$5*MAX(F395,0.1)^2),1/3)))</f>
        <v>2.1389677043987478</v>
      </c>
      <c r="AI395">
        <f t="shared" ca="1" si="207"/>
        <v>634.5349677043987</v>
      </c>
      <c r="AJ395">
        <f t="shared" ca="1" si="208"/>
        <v>635.60445155659806</v>
      </c>
      <c r="AM395">
        <v>0</v>
      </c>
      <c r="AN395">
        <v>0</v>
      </c>
      <c r="AO395">
        <f t="shared" si="209"/>
        <v>0</v>
      </c>
      <c r="AP395">
        <f t="shared" si="218"/>
        <v>0</v>
      </c>
      <c r="AQ395">
        <f t="shared" ca="1" si="210"/>
        <v>1.0000000000000004</v>
      </c>
      <c r="AR395" t="str">
        <f t="shared" ca="1" si="211"/>
        <v>Supercritical</v>
      </c>
      <c r="AS395">
        <f t="shared" ca="1" si="212"/>
        <v>3.8141460404132466E-3</v>
      </c>
    </row>
    <row r="396" spans="1:45" x14ac:dyDescent="0.35">
      <c r="A396">
        <v>335</v>
      </c>
      <c r="B396">
        <v>333.99599999999998</v>
      </c>
      <c r="C396">
        <v>616284.33799999999</v>
      </c>
      <c r="D396">
        <v>3097625.1919999998</v>
      </c>
      <c r="E396">
        <v>632.39549999999997</v>
      </c>
      <c r="F396">
        <v>5.2</v>
      </c>
      <c r="G396">
        <v>0</v>
      </c>
      <c r="H396" t="s">
        <v>154</v>
      </c>
      <c r="I396">
        <v>0.05</v>
      </c>
      <c r="J396">
        <f t="shared" si="213"/>
        <v>1</v>
      </c>
      <c r="K396">
        <f t="shared" ca="1" si="214"/>
        <v>50.95</v>
      </c>
      <c r="L396">
        <f t="shared" ca="1" si="215"/>
        <v>2.1389677043987478</v>
      </c>
      <c r="M396">
        <f t="shared" ca="1" si="188"/>
        <v>11.122632062873489</v>
      </c>
      <c r="N396">
        <f t="shared" ca="1" si="189"/>
        <v>1.1735290000551568</v>
      </c>
      <c r="O396">
        <f t="shared" ca="1" si="190"/>
        <v>4.5807502857230418</v>
      </c>
      <c r="P396">
        <f t="shared" ca="1" si="191"/>
        <v>634.53446770439871</v>
      </c>
      <c r="Q396">
        <f t="shared" ca="1" si="192"/>
        <v>635.60395155659808</v>
      </c>
      <c r="R396">
        <f t="shared" ca="1" si="193"/>
        <v>3.8141460404132466E-3</v>
      </c>
      <c r="S396">
        <f t="shared" ca="1" si="194"/>
        <v>1.0000000000000004</v>
      </c>
      <c r="T396">
        <f t="shared" ca="1" si="195"/>
        <v>35.686426155594638</v>
      </c>
      <c r="U396">
        <f t="shared" ca="1" si="216"/>
        <v>-3.4032696947861041E-3</v>
      </c>
      <c r="V396">
        <f t="shared" ca="1" si="217"/>
        <v>1</v>
      </c>
      <c r="W396">
        <f t="shared" ca="1" si="196"/>
        <v>1.9152670614328418</v>
      </c>
      <c r="X396">
        <f t="shared" ca="1" si="197"/>
        <v>9.9593887194507769</v>
      </c>
      <c r="Y396">
        <f t="shared" ca="1" si="198"/>
        <v>1.1028571050114517</v>
      </c>
      <c r="Z396">
        <f t="shared" ca="1" si="199"/>
        <v>5.1157758207081718</v>
      </c>
      <c r="AA396">
        <f t="shared" ca="1" si="200"/>
        <v>634.31076706143278</v>
      </c>
      <c r="AB396">
        <f t="shared" ca="1" si="201"/>
        <v>635.64466931666936</v>
      </c>
      <c r="AC396">
        <f t="shared" ca="1" si="202"/>
        <v>5.1678892829760577E-3</v>
      </c>
      <c r="AD396">
        <f t="shared" ca="1" si="203"/>
        <v>1.180218264665059</v>
      </c>
      <c r="AE396">
        <f t="shared" ca="1" si="204"/>
        <v>36.107146730491905</v>
      </c>
      <c r="AF396">
        <f t="shared" ca="1" si="205"/>
        <v>4.7227469951849343E-3</v>
      </c>
      <c r="AG396">
        <f t="shared" ca="1" si="206"/>
        <v>0</v>
      </c>
      <c r="AH396">
        <f ca="1">IFERROR(IF(V32="Supercritical",MAX($D$16,IFERROR(L396,MAX($D$16,POWER((ABS(K396)^2)/($I$5*MAX(F396,0.1)^2),1/3)))),IF(V32="Subcritical",MAX($D$16,IFERROR(W396,MAX($D$16,POWER((ABS(K396)^2)/($I$5*MAX(F396,0.1)^2),1/3)))),IF(AND(IFERROR(V396,0)=1,IFERROR(AG396,0)=1),IF(IFERROR(T396,-1E+99)&gt;=IFERROR(AE396,-1E+99),MAX($D$16,IFERROR(L396,MAX($D$16,POWER((ABS(K396)^2)/($I$5*MAX(F396,0.1)^2),1/3)))),MAX($D$16,IFERROR(W396,MAX($D$16,POWER((ABS(K396)^2)/($I$5*MAX(F396,0.1)^2),1/3))))),IF(IFERROR(V396,0)=1,MAX($D$16,IFERROR(L396,MAX($D$16,POWER((ABS(K396)^2)/($I$5*MAX(F396,0.1)^2),1/3)))),IF(IFERROR(AG396,0)=1,MAX($D$16,IFERROR(W396,MAX($D$16,POWER((ABS(K396)^2)/($I$5*MAX(F396,0.1)^2),1/3)))),MAX($D$16,POWER((ABS(K396)^2)/($I$5*MAX(F396,0.1)^2),1/3))))))),MAX($D$16,POWER((ABS(K396)^2)/($I$5*MAX(F396,0.1)^2),1/3)))</f>
        <v>2.1389677043987478</v>
      </c>
      <c r="AI396">
        <f t="shared" ca="1" si="207"/>
        <v>634.53446770439871</v>
      </c>
      <c r="AJ396">
        <f t="shared" ca="1" si="208"/>
        <v>635.60395155659808</v>
      </c>
      <c r="AM396">
        <v>0</v>
      </c>
      <c r="AN396">
        <v>0</v>
      </c>
      <c r="AO396">
        <f t="shared" si="209"/>
        <v>0</v>
      </c>
      <c r="AP396">
        <f t="shared" si="218"/>
        <v>0</v>
      </c>
      <c r="AQ396">
        <f t="shared" ca="1" si="210"/>
        <v>1.0000000000000004</v>
      </c>
      <c r="AR396" t="str">
        <f t="shared" ca="1" si="211"/>
        <v>Supercritical</v>
      </c>
      <c r="AS396">
        <f t="shared" ca="1" si="212"/>
        <v>3.8141460404132466E-3</v>
      </c>
    </row>
    <row r="397" spans="1:45" x14ac:dyDescent="0.35">
      <c r="A397">
        <v>336</v>
      </c>
      <c r="B397">
        <v>334.995</v>
      </c>
      <c r="C397">
        <v>616283.86399999994</v>
      </c>
      <c r="D397">
        <v>3097624.3119999999</v>
      </c>
      <c r="E397">
        <v>632.39499999999998</v>
      </c>
      <c r="F397">
        <v>5.2</v>
      </c>
      <c r="G397">
        <v>0</v>
      </c>
      <c r="H397" t="s">
        <v>154</v>
      </c>
      <c r="I397">
        <v>2.7E-2</v>
      </c>
      <c r="J397">
        <f t="shared" si="213"/>
        <v>0.99900000000002365</v>
      </c>
      <c r="K397">
        <f t="shared" ca="1" si="214"/>
        <v>50.95</v>
      </c>
      <c r="L397">
        <f t="shared" ca="1" si="215"/>
        <v>2.1389677043987478</v>
      </c>
      <c r="M397">
        <f t="shared" ca="1" si="188"/>
        <v>11.122632062873489</v>
      </c>
      <c r="N397">
        <f t="shared" ca="1" si="189"/>
        <v>1.1735290000551568</v>
      </c>
      <c r="O397">
        <f t="shared" ca="1" si="190"/>
        <v>4.5807502857230418</v>
      </c>
      <c r="P397">
        <f t="shared" ca="1" si="191"/>
        <v>634.53396770439872</v>
      </c>
      <c r="Q397">
        <f t="shared" ca="1" si="192"/>
        <v>635.60345155659809</v>
      </c>
      <c r="R397">
        <f t="shared" ca="1" si="193"/>
        <v>3.8141460404132466E-3</v>
      </c>
      <c r="S397">
        <f t="shared" ca="1" si="194"/>
        <v>1.0000000000000004</v>
      </c>
      <c r="T397">
        <f t="shared" ca="1" si="195"/>
        <v>35.686426155594638</v>
      </c>
      <c r="U397">
        <f t="shared" ca="1" si="216"/>
        <v>-3.3584586676624895E-3</v>
      </c>
      <c r="V397">
        <f t="shared" ca="1" si="217"/>
        <v>1</v>
      </c>
      <c r="W397">
        <f t="shared" ca="1" si="196"/>
        <v>1.9085247648498627</v>
      </c>
      <c r="X397">
        <f t="shared" ca="1" si="197"/>
        <v>9.9243287772192854</v>
      </c>
      <c r="Y397">
        <f t="shared" ca="1" si="198"/>
        <v>1.1006181949573668</v>
      </c>
      <c r="Z397">
        <f t="shared" ca="1" si="199"/>
        <v>5.1338484590466953</v>
      </c>
      <c r="AA397">
        <f t="shared" ca="1" si="200"/>
        <v>634.30352476484984</v>
      </c>
      <c r="AB397">
        <f t="shared" ca="1" si="201"/>
        <v>635.64686829188634</v>
      </c>
      <c r="AC397">
        <f t="shared" ca="1" si="202"/>
        <v>5.2185881528368158E-3</v>
      </c>
      <c r="AD397">
        <f t="shared" ca="1" si="203"/>
        <v>1.1864778679469252</v>
      </c>
      <c r="AE397">
        <f t="shared" ca="1" si="204"/>
        <v>36.133979269036757</v>
      </c>
      <c r="AF397">
        <f t="shared" ca="1" si="205"/>
        <v>4.7842571997307459E-3</v>
      </c>
      <c r="AG397">
        <f t="shared" ca="1" si="206"/>
        <v>0</v>
      </c>
      <c r="AH397">
        <f ca="1">IFERROR(IF(V32="Supercritical",MAX($D$16,IFERROR(L397,MAX($D$16,POWER((ABS(K397)^2)/($I$5*MAX(F397,0.1)^2),1/3)))),IF(V32="Subcritical",MAX($D$16,IFERROR(W397,MAX($D$16,POWER((ABS(K397)^2)/($I$5*MAX(F397,0.1)^2),1/3)))),IF(AND(IFERROR(V397,0)=1,IFERROR(AG397,0)=1),IF(IFERROR(T397,-1E+99)&gt;=IFERROR(AE397,-1E+99),MAX($D$16,IFERROR(L397,MAX($D$16,POWER((ABS(K397)^2)/($I$5*MAX(F397,0.1)^2),1/3)))),MAX($D$16,IFERROR(W397,MAX($D$16,POWER((ABS(K397)^2)/($I$5*MAX(F397,0.1)^2),1/3))))),IF(IFERROR(V397,0)=1,MAX($D$16,IFERROR(L397,MAX($D$16,POWER((ABS(K397)^2)/($I$5*MAX(F397,0.1)^2),1/3)))),IF(IFERROR(AG397,0)=1,MAX($D$16,IFERROR(W397,MAX($D$16,POWER((ABS(K397)^2)/($I$5*MAX(F397,0.1)^2),1/3)))),MAX($D$16,POWER((ABS(K397)^2)/($I$5*MAX(F397,0.1)^2),1/3))))))),MAX($D$16,POWER((ABS(K397)^2)/($I$5*MAX(F397,0.1)^2),1/3)))</f>
        <v>2.1389677043987478</v>
      </c>
      <c r="AI397">
        <f t="shared" ca="1" si="207"/>
        <v>634.53396770439872</v>
      </c>
      <c r="AJ397">
        <f t="shared" ca="1" si="208"/>
        <v>635.60345155659809</v>
      </c>
      <c r="AM397">
        <v>0</v>
      </c>
      <c r="AN397">
        <v>0</v>
      </c>
      <c r="AO397">
        <f t="shared" si="209"/>
        <v>0</v>
      </c>
      <c r="AP397">
        <f t="shared" si="218"/>
        <v>0</v>
      </c>
      <c r="AQ397">
        <f t="shared" ca="1" si="210"/>
        <v>1.0000000000000004</v>
      </c>
      <c r="AR397" t="str">
        <f t="shared" ca="1" si="211"/>
        <v>Supercritical</v>
      </c>
      <c r="AS397">
        <f t="shared" ca="1" si="212"/>
        <v>3.8141460404132466E-3</v>
      </c>
    </row>
    <row r="398" spans="1:45" x14ac:dyDescent="0.35">
      <c r="A398">
        <v>337</v>
      </c>
      <c r="B398">
        <v>335.99599999999998</v>
      </c>
      <c r="C398">
        <v>616283.39</v>
      </c>
      <c r="D398">
        <v>3097623.4309999999</v>
      </c>
      <c r="E398">
        <v>632.39449999999999</v>
      </c>
      <c r="F398">
        <v>5.2</v>
      </c>
      <c r="G398">
        <v>0</v>
      </c>
      <c r="H398" t="s">
        <v>154</v>
      </c>
      <c r="I398">
        <v>2.7E-2</v>
      </c>
      <c r="J398">
        <f t="shared" si="213"/>
        <v>1.0009999999999764</v>
      </c>
      <c r="K398">
        <f t="shared" ca="1" si="214"/>
        <v>50.95</v>
      </c>
      <c r="L398">
        <f t="shared" ca="1" si="215"/>
        <v>2.1389677043987478</v>
      </c>
      <c r="M398">
        <f t="shared" ca="1" si="188"/>
        <v>11.122632062873489</v>
      </c>
      <c r="N398">
        <f t="shared" ca="1" si="189"/>
        <v>1.1735290000551568</v>
      </c>
      <c r="O398">
        <f t="shared" ca="1" si="190"/>
        <v>4.5807502857230418</v>
      </c>
      <c r="P398">
        <f t="shared" ca="1" si="191"/>
        <v>634.53346770439873</v>
      </c>
      <c r="Q398">
        <f t="shared" ca="1" si="192"/>
        <v>635.6029515565981</v>
      </c>
      <c r="R398">
        <f t="shared" ca="1" si="193"/>
        <v>3.8141460404132466E-3</v>
      </c>
      <c r="S398">
        <f t="shared" ca="1" si="194"/>
        <v>1.0000000000000004</v>
      </c>
      <c r="T398">
        <f t="shared" ca="1" si="195"/>
        <v>35.686426155594638</v>
      </c>
      <c r="U398">
        <f t="shared" ca="1" si="216"/>
        <v>-3.3660869597724741E-3</v>
      </c>
      <c r="V398">
        <f t="shared" ca="1" si="217"/>
        <v>1</v>
      </c>
      <c r="W398">
        <f t="shared" ca="1" si="196"/>
        <v>1.9018095566219007</v>
      </c>
      <c r="X398">
        <f t="shared" ca="1" si="197"/>
        <v>9.8894096944338834</v>
      </c>
      <c r="Y398">
        <f t="shared" ca="1" si="198"/>
        <v>1.0983816141097236</v>
      </c>
      <c r="Z398">
        <f t="shared" ca="1" si="199"/>
        <v>5.151975858445474</v>
      </c>
      <c r="AA398">
        <f t="shared" ca="1" si="200"/>
        <v>634.29630955662185</v>
      </c>
      <c r="AB398">
        <f t="shared" ca="1" si="201"/>
        <v>635.64915640911954</v>
      </c>
      <c r="AC398">
        <f t="shared" ca="1" si="202"/>
        <v>5.2697799881269713E-3</v>
      </c>
      <c r="AD398">
        <f t="shared" ca="1" si="203"/>
        <v>1.1927675158437918</v>
      </c>
      <c r="AE398">
        <f t="shared" ca="1" si="204"/>
        <v>36.161600489462167</v>
      </c>
      <c r="AF398">
        <f t="shared" ca="1" si="205"/>
        <v>4.8253883164761646E-3</v>
      </c>
      <c r="AG398">
        <f t="shared" ca="1" si="206"/>
        <v>0</v>
      </c>
      <c r="AH398">
        <f ca="1">IFERROR(IF(V32="Supercritical",MAX($D$16,IFERROR(L398,MAX($D$16,POWER((ABS(K398)^2)/($I$5*MAX(F398,0.1)^2),1/3)))),IF(V32="Subcritical",MAX($D$16,IFERROR(W398,MAX($D$16,POWER((ABS(K398)^2)/($I$5*MAX(F398,0.1)^2),1/3)))),IF(AND(IFERROR(V398,0)=1,IFERROR(AG398,0)=1),IF(IFERROR(T398,-1E+99)&gt;=IFERROR(AE398,-1E+99),MAX($D$16,IFERROR(L398,MAX($D$16,POWER((ABS(K398)^2)/($I$5*MAX(F398,0.1)^2),1/3)))),MAX($D$16,IFERROR(W398,MAX($D$16,POWER((ABS(K398)^2)/($I$5*MAX(F398,0.1)^2),1/3))))),IF(IFERROR(V398,0)=1,MAX($D$16,IFERROR(L398,MAX($D$16,POWER((ABS(K398)^2)/($I$5*MAX(F398,0.1)^2),1/3)))),IF(IFERROR(AG398,0)=1,MAX($D$16,IFERROR(W398,MAX($D$16,POWER((ABS(K398)^2)/($I$5*MAX(F398,0.1)^2),1/3)))),MAX($D$16,POWER((ABS(K398)^2)/($I$5*MAX(F398,0.1)^2),1/3))))))),MAX($D$16,POWER((ABS(K398)^2)/($I$5*MAX(F398,0.1)^2),1/3)))</f>
        <v>2.1389677043987478</v>
      </c>
      <c r="AI398">
        <f t="shared" ca="1" si="207"/>
        <v>634.53346770439873</v>
      </c>
      <c r="AJ398">
        <f t="shared" ca="1" si="208"/>
        <v>635.6029515565981</v>
      </c>
      <c r="AM398">
        <v>0</v>
      </c>
      <c r="AN398">
        <v>0</v>
      </c>
      <c r="AO398">
        <f t="shared" si="209"/>
        <v>0</v>
      </c>
      <c r="AP398">
        <f t="shared" si="218"/>
        <v>0</v>
      </c>
      <c r="AQ398">
        <f t="shared" ca="1" si="210"/>
        <v>1.0000000000000004</v>
      </c>
      <c r="AR398" t="str">
        <f t="shared" ca="1" si="211"/>
        <v>Supercritical</v>
      </c>
      <c r="AS398">
        <f t="shared" ca="1" si="212"/>
        <v>3.8141460404132466E-3</v>
      </c>
    </row>
    <row r="399" spans="1:45" x14ac:dyDescent="0.35">
      <c r="A399">
        <v>338</v>
      </c>
      <c r="B399">
        <v>336.995</v>
      </c>
      <c r="C399">
        <v>616282.91599999997</v>
      </c>
      <c r="D399">
        <v>3097622.551</v>
      </c>
      <c r="E399">
        <v>632.39400000000001</v>
      </c>
      <c r="F399">
        <v>5.2</v>
      </c>
      <c r="G399">
        <v>0</v>
      </c>
      <c r="H399" t="s">
        <v>154</v>
      </c>
      <c r="I399">
        <v>2.7E-2</v>
      </c>
      <c r="J399">
        <f t="shared" si="213"/>
        <v>0.99900000000002365</v>
      </c>
      <c r="K399">
        <f t="shared" ca="1" si="214"/>
        <v>50.95</v>
      </c>
      <c r="L399">
        <f t="shared" ca="1" si="215"/>
        <v>2.1389677043987478</v>
      </c>
      <c r="M399">
        <f t="shared" ca="1" si="188"/>
        <v>11.122632062873489</v>
      </c>
      <c r="N399">
        <f t="shared" ca="1" si="189"/>
        <v>1.1735290000551568</v>
      </c>
      <c r="O399">
        <f t="shared" ca="1" si="190"/>
        <v>4.5807502857230418</v>
      </c>
      <c r="P399">
        <f t="shared" ca="1" si="191"/>
        <v>634.53296770439874</v>
      </c>
      <c r="Q399">
        <f t="shared" ca="1" si="192"/>
        <v>635.60245155659811</v>
      </c>
      <c r="R399">
        <f t="shared" ca="1" si="193"/>
        <v>3.8141460404132466E-3</v>
      </c>
      <c r="S399">
        <f t="shared" ca="1" si="194"/>
        <v>1.0000000000000004</v>
      </c>
      <c r="T399">
        <f t="shared" ca="1" si="195"/>
        <v>35.686426155594638</v>
      </c>
      <c r="U399">
        <f t="shared" ca="1" si="216"/>
        <v>-3.3584586676624895E-3</v>
      </c>
      <c r="V399">
        <f t="shared" ca="1" si="217"/>
        <v>1</v>
      </c>
      <c r="W399">
        <f t="shared" ca="1" si="196"/>
        <v>1.8951323125452793</v>
      </c>
      <c r="X399">
        <f t="shared" ca="1" si="197"/>
        <v>9.8546880252354523</v>
      </c>
      <c r="Y399">
        <f t="shared" ca="1" si="198"/>
        <v>1.096151051853625</v>
      </c>
      <c r="Z399">
        <f t="shared" ca="1" si="199"/>
        <v>5.1701281531723255</v>
      </c>
      <c r="AA399">
        <f t="shared" ca="1" si="200"/>
        <v>634.28913231254523</v>
      </c>
      <c r="AB399">
        <f t="shared" ca="1" si="201"/>
        <v>635.65152910766369</v>
      </c>
      <c r="AC399">
        <f t="shared" ca="1" si="202"/>
        <v>5.321383939846866E-3</v>
      </c>
      <c r="AD399">
        <f t="shared" ca="1" si="203"/>
        <v>1.199076899391456</v>
      </c>
      <c r="AE399">
        <f t="shared" ca="1" si="204"/>
        <v>36.189959618285357</v>
      </c>
      <c r="AF399">
        <f t="shared" ca="1" si="205"/>
        <v>5.003816907219516E-3</v>
      </c>
      <c r="AG399">
        <f t="shared" ca="1" si="206"/>
        <v>0</v>
      </c>
      <c r="AH399">
        <f ca="1">IFERROR(IF(V32="Supercritical",MAX($D$16,IFERROR(L399,MAX($D$16,POWER((ABS(K399)^2)/($I$5*MAX(F399,0.1)^2),1/3)))),IF(V32="Subcritical",MAX($D$16,IFERROR(W399,MAX($D$16,POWER((ABS(K399)^2)/($I$5*MAX(F399,0.1)^2),1/3)))),IF(AND(IFERROR(V399,0)=1,IFERROR(AG399,0)=1),IF(IFERROR(T399,-1E+99)&gt;=IFERROR(AE399,-1E+99),MAX($D$16,IFERROR(L399,MAX($D$16,POWER((ABS(K399)^2)/($I$5*MAX(F399,0.1)^2),1/3)))),MAX($D$16,IFERROR(W399,MAX($D$16,POWER((ABS(K399)^2)/($I$5*MAX(F399,0.1)^2),1/3))))),IF(IFERROR(V399,0)=1,MAX($D$16,IFERROR(L399,MAX($D$16,POWER((ABS(K399)^2)/($I$5*MAX(F399,0.1)^2),1/3)))),IF(IFERROR(AG399,0)=1,MAX($D$16,IFERROR(W399,MAX($D$16,POWER((ABS(K399)^2)/($I$5*MAX(F399,0.1)^2),1/3)))),MAX($D$16,POWER((ABS(K399)^2)/($I$5*MAX(F399,0.1)^2),1/3))))))),MAX($D$16,POWER((ABS(K399)^2)/($I$5*MAX(F399,0.1)^2),1/3)))</f>
        <v>2.1389677043987478</v>
      </c>
      <c r="AI399">
        <f t="shared" ca="1" si="207"/>
        <v>634.53296770439874</v>
      </c>
      <c r="AJ399">
        <f t="shared" ca="1" si="208"/>
        <v>635.60245155659811</v>
      </c>
      <c r="AM399">
        <v>0</v>
      </c>
      <c r="AN399">
        <v>0</v>
      </c>
      <c r="AO399">
        <f t="shared" si="209"/>
        <v>0</v>
      </c>
      <c r="AP399">
        <f t="shared" si="218"/>
        <v>0</v>
      </c>
      <c r="AQ399">
        <f t="shared" ca="1" si="210"/>
        <v>1.0000000000000004</v>
      </c>
      <c r="AR399" t="str">
        <f t="shared" ca="1" si="211"/>
        <v>Supercritical</v>
      </c>
      <c r="AS399">
        <f t="shared" ca="1" si="212"/>
        <v>3.8141460404132466E-3</v>
      </c>
    </row>
    <row r="400" spans="1:45" x14ac:dyDescent="0.35">
      <c r="A400">
        <v>339</v>
      </c>
      <c r="B400">
        <v>337.99599999999998</v>
      </c>
      <c r="C400">
        <v>616282.44200000004</v>
      </c>
      <c r="D400">
        <v>3097621.67</v>
      </c>
      <c r="E400">
        <v>632.39350000000002</v>
      </c>
      <c r="F400">
        <v>5.2</v>
      </c>
      <c r="G400">
        <v>0</v>
      </c>
      <c r="H400" t="s">
        <v>154</v>
      </c>
      <c r="I400">
        <v>7.8E-2</v>
      </c>
      <c r="J400">
        <f t="shared" si="213"/>
        <v>1.0009999999999764</v>
      </c>
      <c r="K400">
        <f t="shared" ca="1" si="214"/>
        <v>50.95</v>
      </c>
      <c r="L400">
        <f t="shared" ca="1" si="215"/>
        <v>2.1389677043987478</v>
      </c>
      <c r="M400">
        <f t="shared" ca="1" si="188"/>
        <v>11.122632062873489</v>
      </c>
      <c r="N400">
        <f t="shared" ca="1" si="189"/>
        <v>1.1735290000551568</v>
      </c>
      <c r="O400">
        <f t="shared" ca="1" si="190"/>
        <v>4.5807502857230418</v>
      </c>
      <c r="P400">
        <f t="shared" ca="1" si="191"/>
        <v>634.53246770439875</v>
      </c>
      <c r="Q400">
        <f t="shared" ca="1" si="192"/>
        <v>635.60195155659812</v>
      </c>
      <c r="R400">
        <f t="shared" ca="1" si="193"/>
        <v>3.8141460404132466E-3</v>
      </c>
      <c r="S400">
        <f t="shared" ca="1" si="194"/>
        <v>1.0000000000000004</v>
      </c>
      <c r="T400">
        <f t="shared" ca="1" si="195"/>
        <v>35.686426155594638</v>
      </c>
      <c r="U400">
        <f t="shared" ca="1" si="216"/>
        <v>-3.456993087183946E-3</v>
      </c>
      <c r="V400">
        <f t="shared" ca="1" si="217"/>
        <v>1</v>
      </c>
      <c r="W400">
        <f t="shared" ca="1" si="196"/>
        <v>1.8885038417837725</v>
      </c>
      <c r="X400">
        <f t="shared" ca="1" si="197"/>
        <v>9.8202199772756167</v>
      </c>
      <c r="Y400">
        <f t="shared" ca="1" si="198"/>
        <v>1.093930218557301</v>
      </c>
      <c r="Z400">
        <f t="shared" ca="1" si="199"/>
        <v>5.1882748164399928</v>
      </c>
      <c r="AA400">
        <f t="shared" ca="1" si="200"/>
        <v>634.28200384178376</v>
      </c>
      <c r="AB400">
        <f t="shared" ca="1" si="201"/>
        <v>635.65398118994403</v>
      </c>
      <c r="AC400">
        <f t="shared" ca="1" si="202"/>
        <v>5.3733150257242466E-3</v>
      </c>
      <c r="AD400">
        <f t="shared" ca="1" si="203"/>
        <v>1.2053954062497494</v>
      </c>
      <c r="AE400">
        <f t="shared" ca="1" si="204"/>
        <v>36.219000302670537</v>
      </c>
      <c r="AF400">
        <f t="shared" ca="1" si="205"/>
        <v>4.9876464714770918E-3</v>
      </c>
      <c r="AG400">
        <f t="shared" ca="1" si="206"/>
        <v>0</v>
      </c>
      <c r="AH400">
        <f ca="1">IFERROR(IF(V32="Supercritical",MAX($D$16,IFERROR(L400,MAX($D$16,POWER((ABS(K400)^2)/($I$5*MAX(F400,0.1)^2),1/3)))),IF(V32="Subcritical",MAX($D$16,IFERROR(W400,MAX($D$16,POWER((ABS(K400)^2)/($I$5*MAX(F400,0.1)^2),1/3)))),IF(AND(IFERROR(V400,0)=1,IFERROR(AG400,0)=1),IF(IFERROR(T400,-1E+99)&gt;=IFERROR(AE400,-1E+99),MAX($D$16,IFERROR(L400,MAX($D$16,POWER((ABS(K400)^2)/($I$5*MAX(F400,0.1)^2),1/3)))),MAX($D$16,IFERROR(W400,MAX($D$16,POWER((ABS(K400)^2)/($I$5*MAX(F400,0.1)^2),1/3))))),IF(IFERROR(V400,0)=1,MAX($D$16,IFERROR(L400,MAX($D$16,POWER((ABS(K400)^2)/($I$5*MAX(F400,0.1)^2),1/3)))),IF(IFERROR(AG400,0)=1,MAX($D$16,IFERROR(W400,MAX($D$16,POWER((ABS(K400)^2)/($I$5*MAX(F400,0.1)^2),1/3)))),MAX($D$16,POWER((ABS(K400)^2)/($I$5*MAX(F400,0.1)^2),1/3))))))),MAX($D$16,POWER((ABS(K400)^2)/($I$5*MAX(F400,0.1)^2),1/3)))</f>
        <v>2.1389677043987478</v>
      </c>
      <c r="AI400">
        <f t="shared" ca="1" si="207"/>
        <v>634.53246770439875</v>
      </c>
      <c r="AJ400">
        <f t="shared" ca="1" si="208"/>
        <v>635.60195155659812</v>
      </c>
      <c r="AM400">
        <v>0</v>
      </c>
      <c r="AN400">
        <v>0</v>
      </c>
      <c r="AO400">
        <f t="shared" si="209"/>
        <v>0</v>
      </c>
      <c r="AP400">
        <f t="shared" si="218"/>
        <v>0</v>
      </c>
      <c r="AQ400">
        <f t="shared" ca="1" si="210"/>
        <v>1.0000000000000004</v>
      </c>
      <c r="AR400" t="str">
        <f t="shared" ca="1" si="211"/>
        <v>Supercritical</v>
      </c>
      <c r="AS400">
        <f t="shared" ca="1" si="212"/>
        <v>3.8141460404132466E-3</v>
      </c>
    </row>
    <row r="401" spans="1:45" x14ac:dyDescent="0.35">
      <c r="A401">
        <v>340</v>
      </c>
      <c r="B401">
        <v>338.99599999999998</v>
      </c>
      <c r="C401">
        <v>616281.96699999995</v>
      </c>
      <c r="D401">
        <v>3097620.79</v>
      </c>
      <c r="E401">
        <v>632.39300000000003</v>
      </c>
      <c r="F401">
        <v>5.2</v>
      </c>
      <c r="G401">
        <v>0</v>
      </c>
      <c r="H401" t="s">
        <v>154</v>
      </c>
      <c r="I401">
        <v>0.05</v>
      </c>
      <c r="J401">
        <f t="shared" si="213"/>
        <v>1</v>
      </c>
      <c r="K401">
        <f t="shared" ca="1" si="214"/>
        <v>50.95</v>
      </c>
      <c r="L401">
        <f t="shared" ca="1" si="215"/>
        <v>2.1389677043987478</v>
      </c>
      <c r="M401">
        <f t="shared" ca="1" si="188"/>
        <v>11.122632062873489</v>
      </c>
      <c r="N401">
        <f t="shared" ca="1" si="189"/>
        <v>1.1735290000551568</v>
      </c>
      <c r="O401">
        <f t="shared" ca="1" si="190"/>
        <v>4.5807502857230418</v>
      </c>
      <c r="P401">
        <f t="shared" ca="1" si="191"/>
        <v>634.53196770439877</v>
      </c>
      <c r="Q401">
        <f t="shared" ca="1" si="192"/>
        <v>635.60145155659814</v>
      </c>
      <c r="R401">
        <f t="shared" ca="1" si="193"/>
        <v>3.8141460404132466E-3</v>
      </c>
      <c r="S401">
        <f t="shared" ca="1" si="194"/>
        <v>1.0000000000000004</v>
      </c>
      <c r="T401">
        <f t="shared" ca="1" si="195"/>
        <v>35.686426155594638</v>
      </c>
      <c r="U401">
        <f t="shared" ca="1" si="216"/>
        <v>-3.4032696947861041E-3</v>
      </c>
      <c r="V401">
        <f t="shared" ca="1" si="217"/>
        <v>1</v>
      </c>
      <c r="W401">
        <f t="shared" ca="1" si="196"/>
        <v>1.8819348142390189</v>
      </c>
      <c r="X401">
        <f t="shared" ca="1" si="197"/>
        <v>9.7860610340428984</v>
      </c>
      <c r="Y401">
        <f t="shared" ca="1" si="198"/>
        <v>1.0917228205721303</v>
      </c>
      <c r="Z401">
        <f t="shared" ca="1" si="199"/>
        <v>5.2063848593177147</v>
      </c>
      <c r="AA401">
        <f t="shared" ca="1" si="200"/>
        <v>634.27493481423903</v>
      </c>
      <c r="AB401">
        <f t="shared" ca="1" si="201"/>
        <v>635.65650684804802</v>
      </c>
      <c r="AC401">
        <f t="shared" ca="1" si="202"/>
        <v>5.4254846186693739E-3</v>
      </c>
      <c r="AD401">
        <f t="shared" ca="1" si="203"/>
        <v>1.2117121883542807</v>
      </c>
      <c r="AE401">
        <f t="shared" ca="1" si="204"/>
        <v>36.24866096868007</v>
      </c>
      <c r="AF401">
        <f t="shared" ca="1" si="205"/>
        <v>4.9822298756225791E-3</v>
      </c>
      <c r="AG401">
        <f t="shared" ca="1" si="206"/>
        <v>0</v>
      </c>
      <c r="AH401">
        <f ca="1">IFERROR(IF(V32="Supercritical",MAX($D$16,IFERROR(L401,MAX($D$16,POWER((ABS(K401)^2)/($I$5*MAX(F401,0.1)^2),1/3)))),IF(V32="Subcritical",MAX($D$16,IFERROR(W401,MAX($D$16,POWER((ABS(K401)^2)/($I$5*MAX(F401,0.1)^2),1/3)))),IF(AND(IFERROR(V401,0)=1,IFERROR(AG401,0)=1),IF(IFERROR(T401,-1E+99)&gt;=IFERROR(AE401,-1E+99),MAX($D$16,IFERROR(L401,MAX($D$16,POWER((ABS(K401)^2)/($I$5*MAX(F401,0.1)^2),1/3)))),MAX($D$16,IFERROR(W401,MAX($D$16,POWER((ABS(K401)^2)/($I$5*MAX(F401,0.1)^2),1/3))))),IF(IFERROR(V401,0)=1,MAX($D$16,IFERROR(L401,MAX($D$16,POWER((ABS(K401)^2)/($I$5*MAX(F401,0.1)^2),1/3)))),IF(IFERROR(AG401,0)=1,MAX($D$16,IFERROR(W401,MAX($D$16,POWER((ABS(K401)^2)/($I$5*MAX(F401,0.1)^2),1/3)))),MAX($D$16,POWER((ABS(K401)^2)/($I$5*MAX(F401,0.1)^2),1/3))))))),MAX($D$16,POWER((ABS(K401)^2)/($I$5*MAX(F401,0.1)^2),1/3)))</f>
        <v>2.1389677043987478</v>
      </c>
      <c r="AI401">
        <f t="shared" ca="1" si="207"/>
        <v>634.53196770439877</v>
      </c>
      <c r="AJ401">
        <f t="shared" ca="1" si="208"/>
        <v>635.60145155659814</v>
      </c>
      <c r="AM401">
        <v>0</v>
      </c>
      <c r="AN401">
        <v>0</v>
      </c>
      <c r="AO401">
        <f t="shared" si="209"/>
        <v>0</v>
      </c>
      <c r="AP401">
        <f t="shared" si="218"/>
        <v>0</v>
      </c>
      <c r="AQ401">
        <f t="shared" ca="1" si="210"/>
        <v>1.0000000000000004</v>
      </c>
      <c r="AR401" t="str">
        <f t="shared" ca="1" si="211"/>
        <v>Supercritical</v>
      </c>
      <c r="AS401">
        <f t="shared" ca="1" si="212"/>
        <v>3.8141460404132466E-3</v>
      </c>
    </row>
    <row r="402" spans="1:45" x14ac:dyDescent="0.35">
      <c r="A402">
        <v>341</v>
      </c>
      <c r="B402">
        <v>339.995</v>
      </c>
      <c r="C402">
        <v>616281.49300000002</v>
      </c>
      <c r="D402">
        <v>3097619.91</v>
      </c>
      <c r="E402">
        <v>632.39250000000004</v>
      </c>
      <c r="F402">
        <v>5.2</v>
      </c>
      <c r="G402">
        <v>0</v>
      </c>
      <c r="H402" t="s">
        <v>154</v>
      </c>
      <c r="I402">
        <v>2.7E-2</v>
      </c>
      <c r="J402">
        <f t="shared" si="213"/>
        <v>0.99900000000002365</v>
      </c>
      <c r="K402">
        <f t="shared" ca="1" si="214"/>
        <v>50.95</v>
      </c>
      <c r="L402">
        <f t="shared" ca="1" si="215"/>
        <v>2.1389677043987478</v>
      </c>
      <c r="M402">
        <f t="shared" ca="1" si="188"/>
        <v>11.122632062873489</v>
      </c>
      <c r="N402">
        <f t="shared" ca="1" si="189"/>
        <v>1.1735290000551568</v>
      </c>
      <c r="O402">
        <f t="shared" ca="1" si="190"/>
        <v>4.5807502857230418</v>
      </c>
      <c r="P402">
        <f t="shared" ca="1" si="191"/>
        <v>634.53146770439878</v>
      </c>
      <c r="Q402">
        <f t="shared" ca="1" si="192"/>
        <v>635.60095155659815</v>
      </c>
      <c r="R402">
        <f t="shared" ca="1" si="193"/>
        <v>3.8141460404132466E-3</v>
      </c>
      <c r="S402">
        <f t="shared" ca="1" si="194"/>
        <v>1.0000000000000004</v>
      </c>
      <c r="T402">
        <f t="shared" ca="1" si="195"/>
        <v>35.686426155594638</v>
      </c>
      <c r="U402">
        <f t="shared" ca="1" si="216"/>
        <v>-3.3584586676624895E-3</v>
      </c>
      <c r="V402">
        <f t="shared" ca="1" si="217"/>
        <v>1</v>
      </c>
      <c r="W402">
        <f t="shared" ca="1" si="196"/>
        <v>1.8754356879365721</v>
      </c>
      <c r="X402">
        <f t="shared" ca="1" si="197"/>
        <v>9.7522655772701761</v>
      </c>
      <c r="Y402">
        <f t="shared" ca="1" si="198"/>
        <v>1.0895325346264242</v>
      </c>
      <c r="Z402">
        <f t="shared" ca="1" si="199"/>
        <v>5.2244270417276484</v>
      </c>
      <c r="AA402">
        <f t="shared" ca="1" si="200"/>
        <v>634.26793568793664</v>
      </c>
      <c r="AB402">
        <f t="shared" ca="1" si="201"/>
        <v>635.65909969988036</v>
      </c>
      <c r="AC402">
        <f t="shared" ca="1" si="202"/>
        <v>5.4778010023277804E-3</v>
      </c>
      <c r="AD402">
        <f t="shared" ca="1" si="203"/>
        <v>1.2180162348444499</v>
      </c>
      <c r="AE402">
        <f t="shared" ca="1" si="204"/>
        <v>36.278875262954877</v>
      </c>
      <c r="AF402">
        <f t="shared" ca="1" si="205"/>
        <v>5.0458811839462214E-3</v>
      </c>
      <c r="AG402">
        <f t="shared" ca="1" si="206"/>
        <v>0</v>
      </c>
      <c r="AH402">
        <f ca="1">IFERROR(IF(V32="Supercritical",MAX($D$16,IFERROR(L402,MAX($D$16,POWER((ABS(K402)^2)/($I$5*MAX(F402,0.1)^2),1/3)))),IF(V32="Subcritical",MAX($D$16,IFERROR(W402,MAX($D$16,POWER((ABS(K402)^2)/($I$5*MAX(F402,0.1)^2),1/3)))),IF(AND(IFERROR(V402,0)=1,IFERROR(AG402,0)=1),IF(IFERROR(T402,-1E+99)&gt;=IFERROR(AE402,-1E+99),MAX($D$16,IFERROR(L402,MAX($D$16,POWER((ABS(K402)^2)/($I$5*MAX(F402,0.1)^2),1/3)))),MAX($D$16,IFERROR(W402,MAX($D$16,POWER((ABS(K402)^2)/($I$5*MAX(F402,0.1)^2),1/3))))),IF(IFERROR(V402,0)=1,MAX($D$16,IFERROR(L402,MAX($D$16,POWER((ABS(K402)^2)/($I$5*MAX(F402,0.1)^2),1/3)))),IF(IFERROR(AG402,0)=1,MAX($D$16,IFERROR(W402,MAX($D$16,POWER((ABS(K402)^2)/($I$5*MAX(F402,0.1)^2),1/3)))),MAX($D$16,POWER((ABS(K402)^2)/($I$5*MAX(F402,0.1)^2),1/3))))))),MAX($D$16,POWER((ABS(K402)^2)/($I$5*MAX(F402,0.1)^2),1/3)))</f>
        <v>2.1389677043987478</v>
      </c>
      <c r="AI402">
        <f t="shared" ca="1" si="207"/>
        <v>634.53146770439878</v>
      </c>
      <c r="AJ402">
        <f t="shared" ca="1" si="208"/>
        <v>635.60095155659815</v>
      </c>
      <c r="AM402">
        <v>0</v>
      </c>
      <c r="AN402">
        <v>0</v>
      </c>
      <c r="AO402">
        <f t="shared" si="209"/>
        <v>0</v>
      </c>
      <c r="AP402">
        <f t="shared" si="218"/>
        <v>0</v>
      </c>
      <c r="AQ402">
        <f t="shared" ca="1" si="210"/>
        <v>1.0000000000000004</v>
      </c>
      <c r="AR402" t="str">
        <f t="shared" ca="1" si="211"/>
        <v>Supercritical</v>
      </c>
      <c r="AS402">
        <f t="shared" ca="1" si="212"/>
        <v>3.8141460404132466E-3</v>
      </c>
    </row>
    <row r="403" spans="1:45" x14ac:dyDescent="0.35">
      <c r="A403">
        <v>342</v>
      </c>
      <c r="B403">
        <v>340.99599999999998</v>
      </c>
      <c r="C403">
        <v>616281.01899999997</v>
      </c>
      <c r="D403">
        <v>3097619.0290000001</v>
      </c>
      <c r="E403">
        <v>632.39200000000005</v>
      </c>
      <c r="F403">
        <v>5.2</v>
      </c>
      <c r="G403">
        <v>0</v>
      </c>
      <c r="H403" t="s">
        <v>154</v>
      </c>
      <c r="I403">
        <v>2.7E-2</v>
      </c>
      <c r="J403">
        <f t="shared" si="213"/>
        <v>1.0009999999999764</v>
      </c>
      <c r="K403">
        <f t="shared" ca="1" si="214"/>
        <v>50.95</v>
      </c>
      <c r="L403">
        <f t="shared" ca="1" si="215"/>
        <v>2.1389677043987478</v>
      </c>
      <c r="M403">
        <f t="shared" ca="1" si="188"/>
        <v>11.122632062873489</v>
      </c>
      <c r="N403">
        <f t="shared" ca="1" si="189"/>
        <v>1.1735290000551568</v>
      </c>
      <c r="O403">
        <f t="shared" ca="1" si="190"/>
        <v>4.5807502857230418</v>
      </c>
      <c r="P403">
        <f t="shared" ca="1" si="191"/>
        <v>634.53096770439879</v>
      </c>
      <c r="Q403">
        <f t="shared" ca="1" si="192"/>
        <v>635.60045155659816</v>
      </c>
      <c r="R403">
        <f t="shared" ca="1" si="193"/>
        <v>3.8141460404132466E-3</v>
      </c>
      <c r="S403">
        <f t="shared" ca="1" si="194"/>
        <v>1.0000000000000004</v>
      </c>
      <c r="T403">
        <f t="shared" ca="1" si="195"/>
        <v>35.686426155594638</v>
      </c>
      <c r="U403">
        <f t="shared" ca="1" si="216"/>
        <v>-3.3660869597724741E-3</v>
      </c>
      <c r="V403">
        <f t="shared" ca="1" si="217"/>
        <v>1</v>
      </c>
      <c r="W403">
        <f t="shared" ca="1" si="196"/>
        <v>1.8690166374854746</v>
      </c>
      <c r="X403">
        <f t="shared" ca="1" si="197"/>
        <v>9.7188865149244688</v>
      </c>
      <c r="Y403">
        <f t="shared" ca="1" si="198"/>
        <v>1.0873629819817443</v>
      </c>
      <c r="Z403">
        <f t="shared" ca="1" si="199"/>
        <v>5.2423700926809271</v>
      </c>
      <c r="AA403">
        <f t="shared" ca="1" si="200"/>
        <v>634.26101663748557</v>
      </c>
      <c r="AB403">
        <f t="shared" ca="1" si="201"/>
        <v>635.66175283466373</v>
      </c>
      <c r="AC403">
        <f t="shared" ca="1" si="202"/>
        <v>5.5301699878627635E-3</v>
      </c>
      <c r="AD403">
        <f t="shared" ca="1" si="203"/>
        <v>1.2242964493235919</v>
      </c>
      <c r="AE403">
        <f t="shared" ca="1" si="204"/>
        <v>36.309572572556263</v>
      </c>
      <c r="AF403">
        <f t="shared" ca="1" si="205"/>
        <v>5.0783347053311445E-3</v>
      </c>
      <c r="AG403">
        <f t="shared" ca="1" si="206"/>
        <v>0</v>
      </c>
      <c r="AH403">
        <f ca="1">IFERROR(IF(V32="Supercritical",MAX($D$16,IFERROR(L403,MAX($D$16,POWER((ABS(K403)^2)/($I$5*MAX(F403,0.1)^2),1/3)))),IF(V32="Subcritical",MAX($D$16,IFERROR(W403,MAX($D$16,POWER((ABS(K403)^2)/($I$5*MAX(F403,0.1)^2),1/3)))),IF(AND(IFERROR(V403,0)=1,IFERROR(AG403,0)=1),IF(IFERROR(T403,-1E+99)&gt;=IFERROR(AE403,-1E+99),MAX($D$16,IFERROR(L403,MAX($D$16,POWER((ABS(K403)^2)/($I$5*MAX(F403,0.1)^2),1/3)))),MAX($D$16,IFERROR(W403,MAX($D$16,POWER((ABS(K403)^2)/($I$5*MAX(F403,0.1)^2),1/3))))),IF(IFERROR(V403,0)=1,MAX($D$16,IFERROR(L403,MAX($D$16,POWER((ABS(K403)^2)/($I$5*MAX(F403,0.1)^2),1/3)))),IF(IFERROR(AG403,0)=1,MAX($D$16,IFERROR(W403,MAX($D$16,POWER((ABS(K403)^2)/($I$5*MAX(F403,0.1)^2),1/3)))),MAX($D$16,POWER((ABS(K403)^2)/($I$5*MAX(F403,0.1)^2),1/3))))))),MAX($D$16,POWER((ABS(K403)^2)/($I$5*MAX(F403,0.1)^2),1/3)))</f>
        <v>2.1389677043987478</v>
      </c>
      <c r="AI403">
        <f t="shared" ca="1" si="207"/>
        <v>634.53096770439879</v>
      </c>
      <c r="AJ403">
        <f t="shared" ca="1" si="208"/>
        <v>635.60045155659816</v>
      </c>
      <c r="AM403">
        <v>0</v>
      </c>
      <c r="AN403">
        <v>0</v>
      </c>
      <c r="AO403">
        <f t="shared" si="209"/>
        <v>0</v>
      </c>
      <c r="AP403">
        <f t="shared" si="218"/>
        <v>0</v>
      </c>
      <c r="AQ403">
        <f t="shared" ca="1" si="210"/>
        <v>1.0000000000000004</v>
      </c>
      <c r="AR403" t="str">
        <f t="shared" ca="1" si="211"/>
        <v>Supercritical</v>
      </c>
      <c r="AS403">
        <f t="shared" ca="1" si="212"/>
        <v>3.8141460404132466E-3</v>
      </c>
    </row>
    <row r="404" spans="1:45" x14ac:dyDescent="0.35">
      <c r="A404">
        <v>343</v>
      </c>
      <c r="B404">
        <v>341.995</v>
      </c>
      <c r="C404">
        <v>616280.54500000004</v>
      </c>
      <c r="D404">
        <v>3097618.1490000002</v>
      </c>
      <c r="E404">
        <v>632.39149999999995</v>
      </c>
      <c r="F404">
        <v>5.2</v>
      </c>
      <c r="G404">
        <v>0</v>
      </c>
      <c r="H404" t="s">
        <v>154</v>
      </c>
      <c r="I404">
        <v>2.3E-2</v>
      </c>
      <c r="J404">
        <f t="shared" si="213"/>
        <v>0.99900000000002365</v>
      </c>
      <c r="K404">
        <f t="shared" ca="1" si="214"/>
        <v>50.95</v>
      </c>
      <c r="L404">
        <f t="shared" ca="1" si="215"/>
        <v>2.1389677043987478</v>
      </c>
      <c r="M404">
        <f t="shared" ca="1" si="188"/>
        <v>11.122632062873489</v>
      </c>
      <c r="N404">
        <f t="shared" ca="1" si="189"/>
        <v>1.1735290000551568</v>
      </c>
      <c r="O404">
        <f t="shared" ca="1" si="190"/>
        <v>4.5807502857230418</v>
      </c>
      <c r="P404">
        <f t="shared" ca="1" si="191"/>
        <v>634.53046770439869</v>
      </c>
      <c r="Q404">
        <f t="shared" ca="1" si="192"/>
        <v>635.59995155659806</v>
      </c>
      <c r="R404">
        <f t="shared" ca="1" si="193"/>
        <v>3.8141460404132466E-3</v>
      </c>
      <c r="S404">
        <f t="shared" ca="1" si="194"/>
        <v>1.0000000000000004</v>
      </c>
      <c r="T404">
        <f t="shared" ca="1" si="195"/>
        <v>35.686426155594638</v>
      </c>
      <c r="U404">
        <f t="shared" ca="1" si="216"/>
        <v>-3.3513287752384713E-3</v>
      </c>
      <c r="V404">
        <f t="shared" ca="1" si="217"/>
        <v>1</v>
      </c>
      <c r="W404">
        <f t="shared" ca="1" si="196"/>
        <v>1.8626874846809007</v>
      </c>
      <c r="X404">
        <f t="shared" ca="1" si="197"/>
        <v>9.6859749203406835</v>
      </c>
      <c r="Y404">
        <f t="shared" ca="1" si="198"/>
        <v>1.0852177027396384</v>
      </c>
      <c r="Z404">
        <f t="shared" ca="1" si="199"/>
        <v>5.260182936567829</v>
      </c>
      <c r="AA404">
        <f t="shared" ca="1" si="200"/>
        <v>634.25418748468087</v>
      </c>
      <c r="AB404">
        <f t="shared" ca="1" si="201"/>
        <v>635.66445886725785</v>
      </c>
      <c r="AC404">
        <f t="shared" ca="1" si="202"/>
        <v>5.5824955842885236E-3</v>
      </c>
      <c r="AD404">
        <f t="shared" ca="1" si="203"/>
        <v>1.2305417303609298</v>
      </c>
      <c r="AE404">
        <f t="shared" ca="1" si="204"/>
        <v>36.340678615554467</v>
      </c>
      <c r="AF404">
        <f t="shared" ca="1" si="205"/>
        <v>5.1421384829382077E-3</v>
      </c>
      <c r="AG404">
        <f t="shared" ca="1" si="206"/>
        <v>0</v>
      </c>
      <c r="AH404">
        <f ca="1">IFERROR(IF(V32="Supercritical",MAX($D$16,IFERROR(L404,MAX($D$16,POWER((ABS(K404)^2)/($I$5*MAX(F404,0.1)^2),1/3)))),IF(V32="Subcritical",MAX($D$16,IFERROR(W404,MAX($D$16,POWER((ABS(K404)^2)/($I$5*MAX(F404,0.1)^2),1/3)))),IF(AND(IFERROR(V404,0)=1,IFERROR(AG404,0)=1),IF(IFERROR(T404,-1E+99)&gt;=IFERROR(AE404,-1E+99),MAX($D$16,IFERROR(L404,MAX($D$16,POWER((ABS(K404)^2)/($I$5*MAX(F404,0.1)^2),1/3)))),MAX($D$16,IFERROR(W404,MAX($D$16,POWER((ABS(K404)^2)/($I$5*MAX(F404,0.1)^2),1/3))))),IF(IFERROR(V404,0)=1,MAX($D$16,IFERROR(L404,MAX($D$16,POWER((ABS(K404)^2)/($I$5*MAX(F404,0.1)^2),1/3)))),IF(IFERROR(AG404,0)=1,MAX($D$16,IFERROR(W404,MAX($D$16,POWER((ABS(K404)^2)/($I$5*MAX(F404,0.1)^2),1/3)))),MAX($D$16,POWER((ABS(K404)^2)/($I$5*MAX(F404,0.1)^2),1/3))))))),MAX($D$16,POWER((ABS(K404)^2)/($I$5*MAX(F404,0.1)^2),1/3)))</f>
        <v>2.1389677043987478</v>
      </c>
      <c r="AI404">
        <f t="shared" ca="1" si="207"/>
        <v>634.53046770439869</v>
      </c>
      <c r="AJ404">
        <f t="shared" ca="1" si="208"/>
        <v>635.59995155659806</v>
      </c>
      <c r="AM404">
        <v>0</v>
      </c>
      <c r="AN404">
        <v>0</v>
      </c>
      <c r="AO404">
        <f t="shared" si="209"/>
        <v>0</v>
      </c>
      <c r="AP404">
        <f t="shared" si="218"/>
        <v>0</v>
      </c>
      <c r="AQ404">
        <f t="shared" ca="1" si="210"/>
        <v>1.0000000000000004</v>
      </c>
      <c r="AR404" t="str">
        <f t="shared" ca="1" si="211"/>
        <v>Supercritical</v>
      </c>
      <c r="AS404">
        <f t="shared" ca="1" si="212"/>
        <v>3.8141460404132466E-3</v>
      </c>
    </row>
    <row r="405" spans="1:45" x14ac:dyDescent="0.35">
      <c r="A405">
        <v>344</v>
      </c>
      <c r="B405">
        <v>342.99599999999998</v>
      </c>
      <c r="C405">
        <v>616280.06999999995</v>
      </c>
      <c r="D405">
        <v>3097617.2680000002</v>
      </c>
      <c r="E405">
        <v>632.39099999999996</v>
      </c>
      <c r="F405">
        <v>5.2</v>
      </c>
      <c r="G405">
        <v>0</v>
      </c>
      <c r="H405" t="s">
        <v>154</v>
      </c>
      <c r="I405">
        <v>2.3E-2</v>
      </c>
      <c r="J405">
        <f t="shared" si="213"/>
        <v>1.0009999999999764</v>
      </c>
      <c r="K405">
        <f t="shared" ca="1" si="214"/>
        <v>50.95</v>
      </c>
      <c r="L405">
        <f t="shared" ca="1" si="215"/>
        <v>2.1389677043987478</v>
      </c>
      <c r="M405">
        <f t="shared" ca="1" si="188"/>
        <v>11.122632062873489</v>
      </c>
      <c r="N405">
        <f t="shared" ca="1" si="189"/>
        <v>1.1735290000551568</v>
      </c>
      <c r="O405">
        <f t="shared" ca="1" si="190"/>
        <v>4.5807502857230418</v>
      </c>
      <c r="P405">
        <f t="shared" ca="1" si="191"/>
        <v>634.5299677043987</v>
      </c>
      <c r="Q405">
        <f t="shared" ca="1" si="192"/>
        <v>635.59945155659807</v>
      </c>
      <c r="R405">
        <f t="shared" ca="1" si="193"/>
        <v>3.8141460404132466E-3</v>
      </c>
      <c r="S405">
        <f t="shared" ca="1" si="194"/>
        <v>1.0000000000000004</v>
      </c>
      <c r="T405">
        <f t="shared" ca="1" si="195"/>
        <v>35.686426155594638</v>
      </c>
      <c r="U405">
        <f t="shared" ca="1" si="216"/>
        <v>-3.3589570674621427E-3</v>
      </c>
      <c r="V405">
        <f t="shared" ca="1" si="217"/>
        <v>1</v>
      </c>
      <c r="W405">
        <f t="shared" ca="1" si="196"/>
        <v>1.8564576323040731</v>
      </c>
      <c r="X405">
        <f t="shared" ca="1" si="197"/>
        <v>9.6535796879811802</v>
      </c>
      <c r="Y405">
        <f t="shared" ca="1" si="198"/>
        <v>1.0831001306961934</v>
      </c>
      <c r="Z405">
        <f t="shared" ca="1" si="199"/>
        <v>5.2778349220479681</v>
      </c>
      <c r="AA405">
        <f t="shared" ca="1" si="200"/>
        <v>634.24745763230408</v>
      </c>
      <c r="AB405">
        <f t="shared" ca="1" si="201"/>
        <v>635.66721000051962</v>
      </c>
      <c r="AC405">
        <f t="shared" ca="1" si="202"/>
        <v>5.6346807129769427E-3</v>
      </c>
      <c r="AD405">
        <f t="shared" ca="1" si="203"/>
        <v>1.2367410540219526</v>
      </c>
      <c r="AE405">
        <f t="shared" ca="1" si="204"/>
        <v>36.372116092941731</v>
      </c>
      <c r="AF405">
        <f t="shared" ca="1" si="205"/>
        <v>5.1346807130130401E-3</v>
      </c>
      <c r="AG405">
        <f t="shared" ca="1" si="206"/>
        <v>0</v>
      </c>
      <c r="AH405">
        <f ca="1">IFERROR(IF(V32="Supercritical",MAX($D$16,IFERROR(L405,MAX($D$16,POWER((ABS(K405)^2)/($I$5*MAX(F405,0.1)^2),1/3)))),IF(V32="Subcritical",MAX($D$16,IFERROR(W405,MAX($D$16,POWER((ABS(K405)^2)/($I$5*MAX(F405,0.1)^2),1/3)))),IF(AND(IFERROR(V405,0)=1,IFERROR(AG405,0)=1),IF(IFERROR(T405,-1E+99)&gt;=IFERROR(AE405,-1E+99),MAX($D$16,IFERROR(L405,MAX($D$16,POWER((ABS(K405)^2)/($I$5*MAX(F405,0.1)^2),1/3)))),MAX($D$16,IFERROR(W405,MAX($D$16,POWER((ABS(K405)^2)/($I$5*MAX(F405,0.1)^2),1/3))))),IF(IFERROR(V405,0)=1,MAX($D$16,IFERROR(L405,MAX($D$16,POWER((ABS(K405)^2)/($I$5*MAX(F405,0.1)^2),1/3)))),IF(IFERROR(AG405,0)=1,MAX($D$16,IFERROR(W405,MAX($D$16,POWER((ABS(K405)^2)/($I$5*MAX(F405,0.1)^2),1/3)))),MAX($D$16,POWER((ABS(K405)^2)/($I$5*MAX(F405,0.1)^2),1/3))))))),MAX($D$16,POWER((ABS(K405)^2)/($I$5*MAX(F405,0.1)^2),1/3)))</f>
        <v>2.1389677043987478</v>
      </c>
      <c r="AI405">
        <f t="shared" ca="1" si="207"/>
        <v>634.5299677043987</v>
      </c>
      <c r="AJ405">
        <f t="shared" ca="1" si="208"/>
        <v>635.59945155659807</v>
      </c>
      <c r="AM405">
        <v>0</v>
      </c>
      <c r="AN405">
        <v>0</v>
      </c>
      <c r="AO405">
        <f t="shared" si="209"/>
        <v>0</v>
      </c>
      <c r="AP405">
        <f t="shared" si="218"/>
        <v>0</v>
      </c>
      <c r="AQ405">
        <f t="shared" ca="1" si="210"/>
        <v>1.0000000000000004</v>
      </c>
      <c r="AR405" t="str">
        <f t="shared" ca="1" si="211"/>
        <v>Supercritical</v>
      </c>
      <c r="AS405">
        <f t="shared" ca="1" si="212"/>
        <v>3.8141460404132466E-3</v>
      </c>
    </row>
    <row r="406" spans="1:45" x14ac:dyDescent="0.35">
      <c r="A406">
        <v>345</v>
      </c>
      <c r="B406">
        <v>343.99599999999998</v>
      </c>
      <c r="C406">
        <v>616279.59600000002</v>
      </c>
      <c r="D406">
        <v>3097616.3879999998</v>
      </c>
      <c r="E406">
        <v>632.39049999999997</v>
      </c>
      <c r="F406">
        <v>5.2</v>
      </c>
      <c r="G406">
        <v>0</v>
      </c>
      <c r="H406" t="s">
        <v>154</v>
      </c>
      <c r="I406">
        <v>0</v>
      </c>
      <c r="J406">
        <f t="shared" si="213"/>
        <v>1</v>
      </c>
      <c r="K406">
        <f t="shared" ca="1" si="214"/>
        <v>50.95</v>
      </c>
      <c r="L406">
        <f t="shared" ca="1" si="215"/>
        <v>2.1389677043987478</v>
      </c>
      <c r="M406">
        <f t="shared" ca="1" si="188"/>
        <v>11.122632062873489</v>
      </c>
      <c r="N406">
        <f t="shared" ca="1" si="189"/>
        <v>1.1735290000551568</v>
      </c>
      <c r="O406">
        <f t="shared" ca="1" si="190"/>
        <v>4.5807502857230418</v>
      </c>
      <c r="P406">
        <f t="shared" ca="1" si="191"/>
        <v>634.52946770439871</v>
      </c>
      <c r="Q406">
        <f t="shared" ca="1" si="192"/>
        <v>635.59895155659808</v>
      </c>
      <c r="R406">
        <f t="shared" ca="1" si="193"/>
        <v>3.8141460404132466E-3</v>
      </c>
      <c r="S406">
        <f t="shared" ca="1" si="194"/>
        <v>1.0000000000000004</v>
      </c>
      <c r="T406">
        <f t="shared" ca="1" si="195"/>
        <v>35.686426155594638</v>
      </c>
      <c r="U406">
        <f t="shared" ca="1" si="216"/>
        <v>-3.3141460404522149E-3</v>
      </c>
      <c r="V406">
        <f t="shared" ca="1" si="217"/>
        <v>1</v>
      </c>
      <c r="W406">
        <f t="shared" ca="1" si="196"/>
        <v>1.8503360021305573</v>
      </c>
      <c r="X406">
        <f t="shared" ca="1" si="197"/>
        <v>9.6217472110788975</v>
      </c>
      <c r="Y406">
        <f t="shared" ca="1" si="198"/>
        <v>1.0810135691409115</v>
      </c>
      <c r="Z406">
        <f t="shared" ca="1" si="199"/>
        <v>5.2952960499039055</v>
      </c>
      <c r="AA406">
        <f t="shared" ca="1" si="200"/>
        <v>634.24083600213055</v>
      </c>
      <c r="AB406">
        <f t="shared" ca="1" si="201"/>
        <v>635.66999809469564</v>
      </c>
      <c r="AC406">
        <f t="shared" ca="1" si="202"/>
        <v>5.6866279554518232E-3</v>
      </c>
      <c r="AD406">
        <f t="shared" ca="1" si="203"/>
        <v>1.2428835571200312</v>
      </c>
      <c r="AE406">
        <f t="shared" ca="1" si="204"/>
        <v>36.403805390665774</v>
      </c>
      <c r="AF406">
        <f t="shared" ca="1" si="205"/>
        <v>5.2452536216378576E-3</v>
      </c>
      <c r="AG406">
        <f t="shared" ca="1" si="206"/>
        <v>0</v>
      </c>
      <c r="AH406">
        <f ca="1">IFERROR(IF(V32="Supercritical",MAX($D$16,IFERROR(L406,MAX($D$16,POWER((ABS(K406)^2)/($I$5*MAX(F406,0.1)^2),1/3)))),IF(V32="Subcritical",MAX($D$16,IFERROR(W406,MAX($D$16,POWER((ABS(K406)^2)/($I$5*MAX(F406,0.1)^2),1/3)))),IF(AND(IFERROR(V406,0)=1,IFERROR(AG406,0)=1),IF(IFERROR(T406,-1E+99)&gt;=IFERROR(AE406,-1E+99),MAX($D$16,IFERROR(L406,MAX($D$16,POWER((ABS(K406)^2)/($I$5*MAX(F406,0.1)^2),1/3)))),MAX($D$16,IFERROR(W406,MAX($D$16,POWER((ABS(K406)^2)/($I$5*MAX(F406,0.1)^2),1/3))))),IF(IFERROR(V406,0)=1,MAX($D$16,IFERROR(L406,MAX($D$16,POWER((ABS(K406)^2)/($I$5*MAX(F406,0.1)^2),1/3)))),IF(IFERROR(AG406,0)=1,MAX($D$16,IFERROR(W406,MAX($D$16,POWER((ABS(K406)^2)/($I$5*MAX(F406,0.1)^2),1/3)))),MAX($D$16,POWER((ABS(K406)^2)/($I$5*MAX(F406,0.1)^2),1/3))))))),MAX($D$16,POWER((ABS(K406)^2)/($I$5*MAX(F406,0.1)^2),1/3)))</f>
        <v>2.1389677043987478</v>
      </c>
      <c r="AI406">
        <f t="shared" ca="1" si="207"/>
        <v>634.52946770439871</v>
      </c>
      <c r="AJ406">
        <f t="shared" ca="1" si="208"/>
        <v>635.59895155659808</v>
      </c>
      <c r="AM406">
        <v>0</v>
      </c>
      <c r="AN406">
        <v>0</v>
      </c>
      <c r="AO406">
        <f t="shared" si="209"/>
        <v>0</v>
      </c>
      <c r="AP406">
        <f t="shared" si="218"/>
        <v>0</v>
      </c>
      <c r="AQ406">
        <f t="shared" ca="1" si="210"/>
        <v>1.0000000000000004</v>
      </c>
      <c r="AR406" t="str">
        <f t="shared" ca="1" si="211"/>
        <v>Supercritical</v>
      </c>
      <c r="AS406">
        <f t="shared" ca="1" si="212"/>
        <v>3.8141460404132466E-3</v>
      </c>
    </row>
    <row r="407" spans="1:45" x14ac:dyDescent="0.35">
      <c r="A407">
        <v>346</v>
      </c>
      <c r="B407">
        <v>344.995</v>
      </c>
      <c r="C407">
        <v>616279.12199999997</v>
      </c>
      <c r="D407">
        <v>3097615.5079999999</v>
      </c>
      <c r="E407">
        <v>632.39</v>
      </c>
      <c r="F407">
        <v>5.2</v>
      </c>
      <c r="G407">
        <v>0</v>
      </c>
      <c r="H407" t="s">
        <v>154</v>
      </c>
      <c r="I407">
        <v>2.7E-2</v>
      </c>
      <c r="J407">
        <f t="shared" si="213"/>
        <v>0.99900000000002365</v>
      </c>
      <c r="K407">
        <f t="shared" ca="1" si="214"/>
        <v>50.95</v>
      </c>
      <c r="L407">
        <f t="shared" ca="1" si="215"/>
        <v>2.1389677043987478</v>
      </c>
      <c r="M407">
        <f t="shared" ca="1" si="188"/>
        <v>11.122632062873489</v>
      </c>
      <c r="N407">
        <f t="shared" ca="1" si="189"/>
        <v>1.1735290000551568</v>
      </c>
      <c r="O407">
        <f t="shared" ca="1" si="190"/>
        <v>4.5807502857230418</v>
      </c>
      <c r="P407">
        <f t="shared" ca="1" si="191"/>
        <v>634.52896770439872</v>
      </c>
      <c r="Q407">
        <f t="shared" ca="1" si="192"/>
        <v>635.59845155659809</v>
      </c>
      <c r="R407">
        <f t="shared" ca="1" si="193"/>
        <v>3.8141460404132466E-3</v>
      </c>
      <c r="S407">
        <f t="shared" ca="1" si="194"/>
        <v>1.0000000000000004</v>
      </c>
      <c r="T407">
        <f t="shared" ca="1" si="195"/>
        <v>35.686426155594638</v>
      </c>
      <c r="U407">
        <f t="shared" ca="1" si="216"/>
        <v>-3.3584586676624895E-3</v>
      </c>
      <c r="V407">
        <f t="shared" ca="1" si="217"/>
        <v>1</v>
      </c>
      <c r="W407">
        <f t="shared" ca="1" si="196"/>
        <v>1.844330978087003</v>
      </c>
      <c r="X407">
        <f t="shared" ca="1" si="197"/>
        <v>9.5905210860524157</v>
      </c>
      <c r="Y407">
        <f t="shared" ca="1" si="198"/>
        <v>1.078961167984446</v>
      </c>
      <c r="Z407">
        <f t="shared" ca="1" si="199"/>
        <v>5.3125371961380763</v>
      </c>
      <c r="AA407">
        <f t="shared" ca="1" si="200"/>
        <v>634.23433097808697</v>
      </c>
      <c r="AB407">
        <f t="shared" ca="1" si="201"/>
        <v>635.67281474263086</v>
      </c>
      <c r="AC407">
        <f t="shared" ca="1" si="202"/>
        <v>5.7382403223417214E-3</v>
      </c>
      <c r="AD407">
        <f t="shared" ca="1" si="203"/>
        <v>1.2489586198232727</v>
      </c>
      <c r="AE407">
        <f t="shared" ca="1" si="204"/>
        <v>36.435665319105517</v>
      </c>
      <c r="AF407">
        <f t="shared" ca="1" si="205"/>
        <v>5.4309814521502631E-3</v>
      </c>
      <c r="AG407">
        <f t="shared" ca="1" si="206"/>
        <v>0</v>
      </c>
      <c r="AH407">
        <f ca="1">IFERROR(IF(V32="Supercritical",MAX($D$16,IFERROR(L407,MAX($D$16,POWER((ABS(K407)^2)/($I$5*MAX(F407,0.1)^2),1/3)))),IF(V32="Subcritical",MAX($D$16,IFERROR(W407,MAX($D$16,POWER((ABS(K407)^2)/($I$5*MAX(F407,0.1)^2),1/3)))),IF(AND(IFERROR(V407,0)=1,IFERROR(AG407,0)=1),IF(IFERROR(T407,-1E+99)&gt;=IFERROR(AE407,-1E+99),MAX($D$16,IFERROR(L407,MAX($D$16,POWER((ABS(K407)^2)/($I$5*MAX(F407,0.1)^2),1/3)))),MAX($D$16,IFERROR(W407,MAX($D$16,POWER((ABS(K407)^2)/($I$5*MAX(F407,0.1)^2),1/3))))),IF(IFERROR(V407,0)=1,MAX($D$16,IFERROR(L407,MAX($D$16,POWER((ABS(K407)^2)/($I$5*MAX(F407,0.1)^2),1/3)))),IF(IFERROR(AG407,0)=1,MAX($D$16,IFERROR(W407,MAX($D$16,POWER((ABS(K407)^2)/($I$5*MAX(F407,0.1)^2),1/3)))),MAX($D$16,POWER((ABS(K407)^2)/($I$5*MAX(F407,0.1)^2),1/3))))))),MAX($D$16,POWER((ABS(K407)^2)/($I$5*MAX(F407,0.1)^2),1/3)))</f>
        <v>2.1389677043987478</v>
      </c>
      <c r="AI407">
        <f t="shared" ca="1" si="207"/>
        <v>634.52896770439872</v>
      </c>
      <c r="AJ407">
        <f t="shared" ca="1" si="208"/>
        <v>635.59845155659809</v>
      </c>
      <c r="AM407">
        <v>0</v>
      </c>
      <c r="AN407">
        <v>0</v>
      </c>
      <c r="AO407">
        <f t="shared" si="209"/>
        <v>0</v>
      </c>
      <c r="AP407">
        <f t="shared" si="218"/>
        <v>0</v>
      </c>
      <c r="AQ407">
        <f t="shared" ca="1" si="210"/>
        <v>1.0000000000000004</v>
      </c>
      <c r="AR407" t="str">
        <f t="shared" ca="1" si="211"/>
        <v>Supercritical</v>
      </c>
      <c r="AS407">
        <f t="shared" ca="1" si="212"/>
        <v>3.8141460404132466E-3</v>
      </c>
    </row>
    <row r="408" spans="1:45" x14ac:dyDescent="0.35">
      <c r="A408">
        <v>347</v>
      </c>
      <c r="B408">
        <v>345.99599999999998</v>
      </c>
      <c r="C408">
        <v>616278.64800000004</v>
      </c>
      <c r="D408">
        <v>3097614.6269999999</v>
      </c>
      <c r="E408">
        <v>632.3895</v>
      </c>
      <c r="F408">
        <v>5.2</v>
      </c>
      <c r="G408">
        <v>0</v>
      </c>
      <c r="H408" t="s">
        <v>154</v>
      </c>
      <c r="I408">
        <v>7.8E-2</v>
      </c>
      <c r="J408">
        <f t="shared" si="213"/>
        <v>1.0009999999999764</v>
      </c>
      <c r="K408">
        <f t="shared" ca="1" si="214"/>
        <v>50.95</v>
      </c>
      <c r="L408">
        <f t="shared" ca="1" si="215"/>
        <v>2.1389677043987478</v>
      </c>
      <c r="M408">
        <f t="shared" ca="1" si="188"/>
        <v>11.122632062873489</v>
      </c>
      <c r="N408">
        <f t="shared" ca="1" si="189"/>
        <v>1.1735290000551568</v>
      </c>
      <c r="O408">
        <f t="shared" ca="1" si="190"/>
        <v>4.5807502857230418</v>
      </c>
      <c r="P408">
        <f t="shared" ca="1" si="191"/>
        <v>634.52846770439874</v>
      </c>
      <c r="Q408">
        <f t="shared" ca="1" si="192"/>
        <v>635.5979515565981</v>
      </c>
      <c r="R408">
        <f t="shared" ca="1" si="193"/>
        <v>3.8141460404132466E-3</v>
      </c>
      <c r="S408">
        <f t="shared" ca="1" si="194"/>
        <v>1.0000000000000004</v>
      </c>
      <c r="T408">
        <f t="shared" ca="1" si="195"/>
        <v>35.686426155594638</v>
      </c>
      <c r="U408">
        <f t="shared" ca="1" si="216"/>
        <v>-3.456993087183946E-3</v>
      </c>
      <c r="V408">
        <f t="shared" ca="1" si="217"/>
        <v>1</v>
      </c>
      <c r="W408">
        <f t="shared" ca="1" si="196"/>
        <v>1.838450355401084</v>
      </c>
      <c r="X408">
        <f t="shared" ca="1" si="197"/>
        <v>9.5599418480856375</v>
      </c>
      <c r="Y408">
        <f t="shared" ca="1" si="198"/>
        <v>1.0769459025774939</v>
      </c>
      <c r="Z408">
        <f t="shared" ca="1" si="199"/>
        <v>5.3295303266099525</v>
      </c>
      <c r="AA408">
        <f t="shared" ca="1" si="200"/>
        <v>634.22795035540105</v>
      </c>
      <c r="AB408">
        <f t="shared" ca="1" si="201"/>
        <v>635.6756513493998</v>
      </c>
      <c r="AC408">
        <f t="shared" ca="1" si="202"/>
        <v>5.7894220304312008E-3</v>
      </c>
      <c r="AD408">
        <f t="shared" ca="1" si="203"/>
        <v>1.2549559462285715</v>
      </c>
      <c r="AE408">
        <f t="shared" ca="1" si="204"/>
        <v>36.467613876200737</v>
      </c>
      <c r="AF408">
        <f t="shared" ca="1" si="205"/>
        <v>5.4776231596633806E-3</v>
      </c>
      <c r="AG408">
        <f t="shared" ca="1" si="206"/>
        <v>0</v>
      </c>
      <c r="AH408">
        <f ca="1">IFERROR(IF(V32="Supercritical",MAX($D$16,IFERROR(L408,MAX($D$16,POWER((ABS(K408)^2)/($I$5*MAX(F408,0.1)^2),1/3)))),IF(V32="Subcritical",MAX($D$16,IFERROR(W408,MAX($D$16,POWER((ABS(K408)^2)/($I$5*MAX(F408,0.1)^2),1/3)))),IF(AND(IFERROR(V408,0)=1,IFERROR(AG408,0)=1),IF(IFERROR(T408,-1E+99)&gt;=IFERROR(AE408,-1E+99),MAX($D$16,IFERROR(L408,MAX($D$16,POWER((ABS(K408)^2)/($I$5*MAX(F408,0.1)^2),1/3)))),MAX($D$16,IFERROR(W408,MAX($D$16,POWER((ABS(K408)^2)/($I$5*MAX(F408,0.1)^2),1/3))))),IF(IFERROR(V408,0)=1,MAX($D$16,IFERROR(L408,MAX($D$16,POWER((ABS(K408)^2)/($I$5*MAX(F408,0.1)^2),1/3)))),IF(IFERROR(AG408,0)=1,MAX($D$16,IFERROR(W408,MAX($D$16,POWER((ABS(K408)^2)/($I$5*MAX(F408,0.1)^2),1/3)))),MAX($D$16,POWER((ABS(K408)^2)/($I$5*MAX(F408,0.1)^2),1/3))))))),MAX($D$16,POWER((ABS(K408)^2)/($I$5*MAX(F408,0.1)^2),1/3)))</f>
        <v>2.1389677043987478</v>
      </c>
      <c r="AI408">
        <f t="shared" ca="1" si="207"/>
        <v>634.52846770439874</v>
      </c>
      <c r="AJ408">
        <f t="shared" ca="1" si="208"/>
        <v>635.5979515565981</v>
      </c>
      <c r="AM408">
        <v>0</v>
      </c>
      <c r="AN408">
        <v>0</v>
      </c>
      <c r="AO408">
        <f t="shared" si="209"/>
        <v>0</v>
      </c>
      <c r="AP408">
        <f t="shared" si="218"/>
        <v>0</v>
      </c>
      <c r="AQ408">
        <f t="shared" ca="1" si="210"/>
        <v>1.0000000000000004</v>
      </c>
      <c r="AR408" t="str">
        <f t="shared" ca="1" si="211"/>
        <v>Supercritical</v>
      </c>
      <c r="AS408">
        <f t="shared" ca="1" si="212"/>
        <v>3.8141460404132466E-3</v>
      </c>
    </row>
    <row r="409" spans="1:45" x14ac:dyDescent="0.35">
      <c r="A409">
        <v>348</v>
      </c>
      <c r="B409">
        <v>346.99599999999998</v>
      </c>
      <c r="C409">
        <v>616278.17299999995</v>
      </c>
      <c r="D409">
        <v>3097613.747</v>
      </c>
      <c r="E409">
        <v>632.38900000000001</v>
      </c>
      <c r="F409">
        <v>5.2</v>
      </c>
      <c r="G409">
        <v>0</v>
      </c>
      <c r="H409" t="s">
        <v>154</v>
      </c>
      <c r="I409">
        <v>7.8E-2</v>
      </c>
      <c r="J409">
        <f t="shared" si="213"/>
        <v>1</v>
      </c>
      <c r="K409">
        <f t="shared" ca="1" si="214"/>
        <v>50.95</v>
      </c>
      <c r="L409">
        <f t="shared" ca="1" si="215"/>
        <v>2.1389677043987478</v>
      </c>
      <c r="M409">
        <f t="shared" ca="1" si="188"/>
        <v>11.122632062873489</v>
      </c>
      <c r="N409">
        <f t="shared" ca="1" si="189"/>
        <v>1.1735290000551568</v>
      </c>
      <c r="O409">
        <f t="shared" ca="1" si="190"/>
        <v>4.5807502857230418</v>
      </c>
      <c r="P409">
        <f t="shared" ca="1" si="191"/>
        <v>634.52796770439875</v>
      </c>
      <c r="Q409">
        <f t="shared" ca="1" si="192"/>
        <v>635.59745155659812</v>
      </c>
      <c r="R409">
        <f t="shared" ca="1" si="193"/>
        <v>3.8141460404132466E-3</v>
      </c>
      <c r="S409">
        <f t="shared" ca="1" si="194"/>
        <v>1.0000000000000004</v>
      </c>
      <c r="T409">
        <f t="shared" ca="1" si="195"/>
        <v>35.686426155594638</v>
      </c>
      <c r="U409">
        <f t="shared" ca="1" si="216"/>
        <v>-3.4531789411857972E-3</v>
      </c>
      <c r="V409">
        <f t="shared" ca="1" si="217"/>
        <v>1</v>
      </c>
      <c r="W409">
        <f t="shared" ca="1" si="196"/>
        <v>1.8327012964692577</v>
      </c>
      <c r="X409">
        <f t="shared" ca="1" si="197"/>
        <v>9.53004674164014</v>
      </c>
      <c r="Y409">
        <f t="shared" ca="1" si="198"/>
        <v>1.0749705545500019</v>
      </c>
      <c r="Z409">
        <f t="shared" ca="1" si="199"/>
        <v>5.3462486996397889</v>
      </c>
      <c r="AA409">
        <f t="shared" ca="1" si="200"/>
        <v>634.22170129646929</v>
      </c>
      <c r="AB409">
        <f t="shared" ca="1" si="201"/>
        <v>635.67849921483833</v>
      </c>
      <c r="AC409">
        <f t="shared" ca="1" si="202"/>
        <v>5.8400792742096435E-3</v>
      </c>
      <c r="AD409">
        <f t="shared" ca="1" si="203"/>
        <v>1.2608656415349517</v>
      </c>
      <c r="AE409">
        <f t="shared" ca="1" si="204"/>
        <v>36.499569019769844</v>
      </c>
      <c r="AF409">
        <f t="shared" ca="1" si="205"/>
        <v>5.4056351805229497E-3</v>
      </c>
      <c r="AG409">
        <f t="shared" ca="1" si="206"/>
        <v>0</v>
      </c>
      <c r="AH409">
        <f ca="1">IFERROR(IF(V32="Supercritical",MAX($D$16,IFERROR(L409,MAX($D$16,POWER((ABS(K409)^2)/($I$5*MAX(F409,0.1)^2),1/3)))),IF(V32="Subcritical",MAX($D$16,IFERROR(W409,MAX($D$16,POWER((ABS(K409)^2)/($I$5*MAX(F409,0.1)^2),1/3)))),IF(AND(IFERROR(V409,0)=1,IFERROR(AG409,0)=1),IF(IFERROR(T409,-1E+99)&gt;=IFERROR(AE409,-1E+99),MAX($D$16,IFERROR(L409,MAX($D$16,POWER((ABS(K409)^2)/($I$5*MAX(F409,0.1)^2),1/3)))),MAX($D$16,IFERROR(W409,MAX($D$16,POWER((ABS(K409)^2)/($I$5*MAX(F409,0.1)^2),1/3))))),IF(IFERROR(V409,0)=1,MAX($D$16,IFERROR(L409,MAX($D$16,POWER((ABS(K409)^2)/($I$5*MAX(F409,0.1)^2),1/3)))),IF(IFERROR(AG409,0)=1,MAX($D$16,IFERROR(W409,MAX($D$16,POWER((ABS(K409)^2)/($I$5*MAX(F409,0.1)^2),1/3)))),MAX($D$16,POWER((ABS(K409)^2)/($I$5*MAX(F409,0.1)^2),1/3))))))),MAX($D$16,POWER((ABS(K409)^2)/($I$5*MAX(F409,0.1)^2),1/3)))</f>
        <v>2.1389677043987478</v>
      </c>
      <c r="AI409">
        <f t="shared" ca="1" si="207"/>
        <v>634.52796770439875</v>
      </c>
      <c r="AJ409">
        <f t="shared" ca="1" si="208"/>
        <v>635.59745155659812</v>
      </c>
      <c r="AM409">
        <v>0</v>
      </c>
      <c r="AN409">
        <v>0</v>
      </c>
      <c r="AO409">
        <f t="shared" si="209"/>
        <v>0</v>
      </c>
      <c r="AP409">
        <f t="shared" si="218"/>
        <v>0</v>
      </c>
      <c r="AQ409">
        <f t="shared" ca="1" si="210"/>
        <v>1.0000000000000004</v>
      </c>
      <c r="AR409" t="str">
        <f t="shared" ca="1" si="211"/>
        <v>Supercritical</v>
      </c>
      <c r="AS409">
        <f t="shared" ca="1" si="212"/>
        <v>3.8141460404132466E-3</v>
      </c>
    </row>
    <row r="410" spans="1:45" x14ac:dyDescent="0.35">
      <c r="A410">
        <v>349</v>
      </c>
      <c r="B410">
        <v>347.99599999999998</v>
      </c>
      <c r="C410">
        <v>616277.69900000002</v>
      </c>
      <c r="D410">
        <v>3097612.8659999999</v>
      </c>
      <c r="E410">
        <v>632.38850000000002</v>
      </c>
      <c r="F410">
        <v>5.2</v>
      </c>
      <c r="G410">
        <v>0</v>
      </c>
      <c r="H410" t="s">
        <v>154</v>
      </c>
      <c r="I410">
        <v>2.7E-2</v>
      </c>
      <c r="J410">
        <f t="shared" si="213"/>
        <v>1</v>
      </c>
      <c r="K410">
        <f t="shared" ca="1" si="214"/>
        <v>50.95</v>
      </c>
      <c r="L410">
        <f t="shared" ca="1" si="215"/>
        <v>2.1389677043987478</v>
      </c>
      <c r="M410">
        <f t="shared" ca="1" si="188"/>
        <v>11.122632062873489</v>
      </c>
      <c r="N410">
        <f t="shared" ca="1" si="189"/>
        <v>1.1735290000551568</v>
      </c>
      <c r="O410">
        <f t="shared" ca="1" si="190"/>
        <v>4.5807502857230418</v>
      </c>
      <c r="P410">
        <f t="shared" ca="1" si="191"/>
        <v>634.52746770439876</v>
      </c>
      <c r="Q410">
        <f t="shared" ca="1" si="192"/>
        <v>635.59695155659813</v>
      </c>
      <c r="R410">
        <f t="shared" ca="1" si="193"/>
        <v>3.8141460404132466E-3</v>
      </c>
      <c r="S410">
        <f t="shared" ca="1" si="194"/>
        <v>1.0000000000000004</v>
      </c>
      <c r="T410">
        <f t="shared" ca="1" si="195"/>
        <v>35.686426155594638</v>
      </c>
      <c r="U410">
        <f t="shared" ca="1" si="216"/>
        <v>-3.3622728137743252E-3</v>
      </c>
      <c r="V410">
        <f t="shared" ca="1" si="217"/>
        <v>1</v>
      </c>
      <c r="W410">
        <f t="shared" ca="1" si="196"/>
        <v>1.8270902940289651</v>
      </c>
      <c r="X410">
        <f t="shared" ca="1" si="197"/>
        <v>9.5008695289506182</v>
      </c>
      <c r="Y410">
        <f t="shared" ca="1" si="198"/>
        <v>1.0730376949578946</v>
      </c>
      <c r="Z410">
        <f t="shared" ca="1" si="199"/>
        <v>5.362667053236283</v>
      </c>
      <c r="AA410">
        <f t="shared" ca="1" si="200"/>
        <v>634.21559029402897</v>
      </c>
      <c r="AB410">
        <f t="shared" ca="1" si="201"/>
        <v>635.68134961736564</v>
      </c>
      <c r="AC410">
        <f t="shared" ca="1" si="202"/>
        <v>5.8901209781739936E-3</v>
      </c>
      <c r="AD410">
        <f t="shared" ca="1" si="203"/>
        <v>1.2666782845078461</v>
      </c>
      <c r="AE410">
        <f t="shared" ca="1" si="204"/>
        <v>36.531449434320329</v>
      </c>
      <c r="AF410">
        <f t="shared" ca="1" si="205"/>
        <v>5.3901209781770376E-3</v>
      </c>
      <c r="AG410">
        <f t="shared" ca="1" si="206"/>
        <v>0</v>
      </c>
      <c r="AH410">
        <f ca="1">IFERROR(IF(V32="Supercritical",MAX($D$16,IFERROR(L410,MAX($D$16,POWER((ABS(K410)^2)/($I$5*MAX(F410,0.1)^2),1/3)))),IF(V32="Subcritical",MAX($D$16,IFERROR(W410,MAX($D$16,POWER((ABS(K410)^2)/($I$5*MAX(F410,0.1)^2),1/3)))),IF(AND(IFERROR(V410,0)=1,IFERROR(AG410,0)=1),IF(IFERROR(T410,-1E+99)&gt;=IFERROR(AE410,-1E+99),MAX($D$16,IFERROR(L410,MAX($D$16,POWER((ABS(K410)^2)/($I$5*MAX(F410,0.1)^2),1/3)))),MAX($D$16,IFERROR(W410,MAX($D$16,POWER((ABS(K410)^2)/($I$5*MAX(F410,0.1)^2),1/3))))),IF(IFERROR(V410,0)=1,MAX($D$16,IFERROR(L410,MAX($D$16,POWER((ABS(K410)^2)/($I$5*MAX(F410,0.1)^2),1/3)))),IF(IFERROR(AG410,0)=1,MAX($D$16,IFERROR(W410,MAX($D$16,POWER((ABS(K410)^2)/($I$5*MAX(F410,0.1)^2),1/3)))),MAX($D$16,POWER((ABS(K410)^2)/($I$5*MAX(F410,0.1)^2),1/3))))))),MAX($D$16,POWER((ABS(K410)^2)/($I$5*MAX(F410,0.1)^2),1/3)))</f>
        <v>2.1389677043987478</v>
      </c>
      <c r="AI410">
        <f t="shared" ca="1" si="207"/>
        <v>634.52746770439876</v>
      </c>
      <c r="AJ410">
        <f t="shared" ca="1" si="208"/>
        <v>635.59695155659813</v>
      </c>
      <c r="AM410">
        <v>0</v>
      </c>
      <c r="AN410">
        <v>0</v>
      </c>
      <c r="AO410">
        <f t="shared" si="209"/>
        <v>0</v>
      </c>
      <c r="AP410">
        <f t="shared" si="218"/>
        <v>0</v>
      </c>
      <c r="AQ410">
        <f t="shared" ca="1" si="210"/>
        <v>1.0000000000000004</v>
      </c>
      <c r="AR410" t="str">
        <f t="shared" ca="1" si="211"/>
        <v>Supercritical</v>
      </c>
      <c r="AS410">
        <f t="shared" ca="1" si="212"/>
        <v>3.8141460404132466E-3</v>
      </c>
    </row>
    <row r="411" spans="1:45" x14ac:dyDescent="0.35">
      <c r="A411">
        <v>350</v>
      </c>
      <c r="B411">
        <v>348.99599999999998</v>
      </c>
      <c r="C411">
        <v>616277.22499999998</v>
      </c>
      <c r="D411">
        <v>3097611.986</v>
      </c>
      <c r="E411">
        <v>632.38800000000003</v>
      </c>
      <c r="F411">
        <v>5.2</v>
      </c>
      <c r="G411">
        <v>0</v>
      </c>
      <c r="H411" t="s">
        <v>154</v>
      </c>
      <c r="I411">
        <v>0</v>
      </c>
      <c r="J411">
        <f t="shared" si="213"/>
        <v>1</v>
      </c>
      <c r="K411">
        <f t="shared" ca="1" si="214"/>
        <v>50.95</v>
      </c>
      <c r="L411">
        <f t="shared" ca="1" si="215"/>
        <v>2.1389677043987478</v>
      </c>
      <c r="M411">
        <f t="shared" ca="1" si="188"/>
        <v>11.122632062873489</v>
      </c>
      <c r="N411">
        <f t="shared" ca="1" si="189"/>
        <v>1.1735290000551568</v>
      </c>
      <c r="O411">
        <f t="shared" ca="1" si="190"/>
        <v>4.5807502857230418</v>
      </c>
      <c r="P411">
        <f t="shared" ca="1" si="191"/>
        <v>634.52696770439877</v>
      </c>
      <c r="Q411">
        <f t="shared" ca="1" si="192"/>
        <v>635.59645155659814</v>
      </c>
      <c r="R411">
        <f t="shared" ca="1" si="193"/>
        <v>3.8141460404132466E-3</v>
      </c>
      <c r="S411">
        <f t="shared" ca="1" si="194"/>
        <v>1.0000000000000004</v>
      </c>
      <c r="T411">
        <f t="shared" ca="1" si="195"/>
        <v>35.686426155594638</v>
      </c>
      <c r="U411">
        <f t="shared" ca="1" si="216"/>
        <v>-3.3141460404522149E-3</v>
      </c>
      <c r="V411">
        <f t="shared" ca="1" si="217"/>
        <v>1</v>
      </c>
      <c r="W411">
        <f t="shared" ca="1" si="196"/>
        <v>1.8216231420686759</v>
      </c>
      <c r="X411">
        <f t="shared" ca="1" si="197"/>
        <v>9.4724403387571154</v>
      </c>
      <c r="Y411">
        <f t="shared" ca="1" si="198"/>
        <v>1.0711496699745189</v>
      </c>
      <c r="Z411">
        <f t="shared" ca="1" si="199"/>
        <v>5.3787617739364073</v>
      </c>
      <c r="AA411">
        <f t="shared" ca="1" si="200"/>
        <v>634.20962314206872</v>
      </c>
      <c r="AB411">
        <f t="shared" ca="1" si="201"/>
        <v>635.68419389745907</v>
      </c>
      <c r="AC411">
        <f t="shared" ca="1" si="202"/>
        <v>5.9394595164290629E-3</v>
      </c>
      <c r="AD411">
        <f t="shared" ca="1" si="203"/>
        <v>1.2723849940252947</v>
      </c>
      <c r="AE411">
        <f t="shared" ca="1" si="204"/>
        <v>36.563175277895439</v>
      </c>
      <c r="AF411">
        <f t="shared" ca="1" si="205"/>
        <v>5.4998757409521204E-3</v>
      </c>
      <c r="AG411">
        <f t="shared" ca="1" si="206"/>
        <v>0</v>
      </c>
      <c r="AH411">
        <f ca="1">IFERROR(IF(V32="Supercritical",MAX($D$16,IFERROR(L411,MAX($D$16,POWER((ABS(K411)^2)/($I$5*MAX(F411,0.1)^2),1/3)))),IF(V32="Subcritical",MAX($D$16,IFERROR(W411,MAX($D$16,POWER((ABS(K411)^2)/($I$5*MAX(F411,0.1)^2),1/3)))),IF(AND(IFERROR(V411,0)=1,IFERROR(AG411,0)=1),IF(IFERROR(T411,-1E+99)&gt;=IFERROR(AE411,-1E+99),MAX($D$16,IFERROR(L411,MAX($D$16,POWER((ABS(K411)^2)/($I$5*MAX(F411,0.1)^2),1/3)))),MAX($D$16,IFERROR(W411,MAX($D$16,POWER((ABS(K411)^2)/($I$5*MAX(F411,0.1)^2),1/3))))),IF(IFERROR(V411,0)=1,MAX($D$16,IFERROR(L411,MAX($D$16,POWER((ABS(K411)^2)/($I$5*MAX(F411,0.1)^2),1/3)))),IF(IFERROR(AG411,0)=1,MAX($D$16,IFERROR(W411,MAX($D$16,POWER((ABS(K411)^2)/($I$5*MAX(F411,0.1)^2),1/3)))),MAX($D$16,POWER((ABS(K411)^2)/($I$5*MAX(F411,0.1)^2),1/3))))))),MAX($D$16,POWER((ABS(K411)^2)/($I$5*MAX(F411,0.1)^2),1/3)))</f>
        <v>2.1389677043987478</v>
      </c>
      <c r="AI411">
        <f t="shared" ca="1" si="207"/>
        <v>634.52696770439877</v>
      </c>
      <c r="AJ411">
        <f t="shared" ca="1" si="208"/>
        <v>635.59645155659814</v>
      </c>
      <c r="AM411">
        <v>0</v>
      </c>
      <c r="AN411">
        <v>0</v>
      </c>
      <c r="AO411">
        <f t="shared" si="209"/>
        <v>0</v>
      </c>
      <c r="AP411">
        <f t="shared" si="218"/>
        <v>0</v>
      </c>
      <c r="AQ411">
        <f t="shared" ca="1" si="210"/>
        <v>1.0000000000000004</v>
      </c>
      <c r="AR411" t="str">
        <f t="shared" ca="1" si="211"/>
        <v>Supercritical</v>
      </c>
      <c r="AS411">
        <f t="shared" ca="1" si="212"/>
        <v>3.8141460404132466E-3</v>
      </c>
    </row>
    <row r="412" spans="1:45" x14ac:dyDescent="0.35">
      <c r="A412">
        <v>351</v>
      </c>
      <c r="B412">
        <v>349.995</v>
      </c>
      <c r="C412">
        <v>616276.75100000005</v>
      </c>
      <c r="D412">
        <v>3097611.1060000001</v>
      </c>
      <c r="E412">
        <v>632.38750000000005</v>
      </c>
      <c r="F412">
        <v>5.2</v>
      </c>
      <c r="G412">
        <v>0</v>
      </c>
      <c r="H412" t="s">
        <v>154</v>
      </c>
      <c r="I412">
        <v>2.7E-2</v>
      </c>
      <c r="J412">
        <f t="shared" si="213"/>
        <v>0.99900000000002365</v>
      </c>
      <c r="K412">
        <f t="shared" ca="1" si="214"/>
        <v>50.95</v>
      </c>
      <c r="L412">
        <f t="shared" ca="1" si="215"/>
        <v>2.1389677043987478</v>
      </c>
      <c r="M412">
        <f t="shared" ca="1" si="188"/>
        <v>11.122632062873489</v>
      </c>
      <c r="N412">
        <f t="shared" ca="1" si="189"/>
        <v>1.1735290000551568</v>
      </c>
      <c r="O412">
        <f t="shared" ca="1" si="190"/>
        <v>4.5807502857230418</v>
      </c>
      <c r="P412">
        <f t="shared" ca="1" si="191"/>
        <v>634.52646770439878</v>
      </c>
      <c r="Q412">
        <f t="shared" ca="1" si="192"/>
        <v>635.59595155659815</v>
      </c>
      <c r="R412">
        <f t="shared" ca="1" si="193"/>
        <v>3.8141460404132466E-3</v>
      </c>
      <c r="S412">
        <f t="shared" ca="1" si="194"/>
        <v>1.0000000000000004</v>
      </c>
      <c r="T412">
        <f t="shared" ca="1" si="195"/>
        <v>35.686426155594638</v>
      </c>
      <c r="U412">
        <f t="shared" ca="1" si="216"/>
        <v>-3.3584586676624895E-3</v>
      </c>
      <c r="V412">
        <f t="shared" ca="1" si="217"/>
        <v>1</v>
      </c>
      <c r="W412">
        <f t="shared" ca="1" si="196"/>
        <v>1.8163049147459664</v>
      </c>
      <c r="X412">
        <f t="shared" ca="1" si="197"/>
        <v>9.444785556679026</v>
      </c>
      <c r="Y412">
        <f t="shared" ca="1" si="198"/>
        <v>1.0693085893076641</v>
      </c>
      <c r="Z412">
        <f t="shared" ca="1" si="199"/>
        <v>5.3945110446652675</v>
      </c>
      <c r="AA412">
        <f t="shared" ca="1" si="200"/>
        <v>634.203804914746</v>
      </c>
      <c r="AB412">
        <f t="shared" ca="1" si="201"/>
        <v>635.68702353916069</v>
      </c>
      <c r="AC412">
        <f t="shared" ca="1" si="202"/>
        <v>5.9880113868427329E-3</v>
      </c>
      <c r="AD412">
        <f t="shared" ca="1" si="203"/>
        <v>1.2779774886329123</v>
      </c>
      <c r="AE412">
        <f t="shared" ca="1" si="204"/>
        <v>36.594668895196669</v>
      </c>
      <c r="AF412">
        <f t="shared" ca="1" si="205"/>
        <v>5.6868178193099084E-3</v>
      </c>
      <c r="AG412">
        <f t="shared" ca="1" si="206"/>
        <v>0</v>
      </c>
      <c r="AH412">
        <f ca="1">IFERROR(IF(V32="Supercritical",MAX($D$16,IFERROR(L412,MAX($D$16,POWER((ABS(K412)^2)/($I$5*MAX(F412,0.1)^2),1/3)))),IF(V32="Subcritical",MAX($D$16,IFERROR(W412,MAX($D$16,POWER((ABS(K412)^2)/($I$5*MAX(F412,0.1)^2),1/3)))),IF(AND(IFERROR(V412,0)=1,IFERROR(AG412,0)=1),IF(IFERROR(T412,-1E+99)&gt;=IFERROR(AE412,-1E+99),MAX($D$16,IFERROR(L412,MAX($D$16,POWER((ABS(K412)^2)/($I$5*MAX(F412,0.1)^2),1/3)))),MAX($D$16,IFERROR(W412,MAX($D$16,POWER((ABS(K412)^2)/($I$5*MAX(F412,0.1)^2),1/3))))),IF(IFERROR(V412,0)=1,MAX($D$16,IFERROR(L412,MAX($D$16,POWER((ABS(K412)^2)/($I$5*MAX(F412,0.1)^2),1/3)))),IF(IFERROR(AG412,0)=1,MAX($D$16,IFERROR(W412,MAX($D$16,POWER((ABS(K412)^2)/($I$5*MAX(F412,0.1)^2),1/3)))),MAX($D$16,POWER((ABS(K412)^2)/($I$5*MAX(F412,0.1)^2),1/3))))))),MAX($D$16,POWER((ABS(K412)^2)/($I$5*MAX(F412,0.1)^2),1/3)))</f>
        <v>2.1389677043987478</v>
      </c>
      <c r="AI412">
        <f t="shared" ca="1" si="207"/>
        <v>634.52646770439878</v>
      </c>
      <c r="AJ412">
        <f t="shared" ca="1" si="208"/>
        <v>635.59595155659815</v>
      </c>
      <c r="AM412">
        <v>0</v>
      </c>
      <c r="AN412">
        <v>0</v>
      </c>
      <c r="AO412">
        <f t="shared" si="209"/>
        <v>0</v>
      </c>
      <c r="AP412">
        <f t="shared" si="218"/>
        <v>0</v>
      </c>
      <c r="AQ412">
        <f t="shared" ca="1" si="210"/>
        <v>1.0000000000000004</v>
      </c>
      <c r="AR412" t="str">
        <f t="shared" ca="1" si="211"/>
        <v>Supercritical</v>
      </c>
      <c r="AS412">
        <f t="shared" ca="1" si="212"/>
        <v>3.8141460404132466E-3</v>
      </c>
    </row>
    <row r="413" spans="1:45" x14ac:dyDescent="0.35">
      <c r="A413">
        <v>352</v>
      </c>
      <c r="B413">
        <v>350.99599999999998</v>
      </c>
      <c r="C413">
        <v>616276.277</v>
      </c>
      <c r="D413">
        <v>3097610.2250000001</v>
      </c>
      <c r="E413">
        <v>632.38699999999994</v>
      </c>
      <c r="F413">
        <v>5.2</v>
      </c>
      <c r="G413">
        <v>0</v>
      </c>
      <c r="H413" t="s">
        <v>154</v>
      </c>
      <c r="I413">
        <v>7.8E-2</v>
      </c>
      <c r="J413">
        <f t="shared" si="213"/>
        <v>1.0009999999999764</v>
      </c>
      <c r="K413">
        <f t="shared" ca="1" si="214"/>
        <v>50.95</v>
      </c>
      <c r="L413">
        <f t="shared" ca="1" si="215"/>
        <v>2.1389677043987478</v>
      </c>
      <c r="M413">
        <f t="shared" ca="1" si="188"/>
        <v>11.122632062873489</v>
      </c>
      <c r="N413">
        <f t="shared" ca="1" si="189"/>
        <v>1.1735290000551568</v>
      </c>
      <c r="O413">
        <f t="shared" ca="1" si="190"/>
        <v>4.5807502857230418</v>
      </c>
      <c r="P413">
        <f t="shared" ca="1" si="191"/>
        <v>634.52596770439868</v>
      </c>
      <c r="Q413">
        <f t="shared" ca="1" si="192"/>
        <v>635.59545155659805</v>
      </c>
      <c r="R413">
        <f t="shared" ca="1" si="193"/>
        <v>3.8141460404132466E-3</v>
      </c>
      <c r="S413">
        <f t="shared" ca="1" si="194"/>
        <v>1.0000000000000004</v>
      </c>
      <c r="T413">
        <f t="shared" ca="1" si="195"/>
        <v>35.686426155594638</v>
      </c>
      <c r="U413">
        <f t="shared" ca="1" si="216"/>
        <v>-3.4569930870702592E-3</v>
      </c>
      <c r="V413">
        <f t="shared" ca="1" si="217"/>
        <v>1</v>
      </c>
      <c r="W413">
        <f t="shared" ca="1" si="196"/>
        <v>1.8111399534172781</v>
      </c>
      <c r="X413">
        <f t="shared" ca="1" si="197"/>
        <v>9.4179277577698457</v>
      </c>
      <c r="Y413">
        <f t="shared" ca="1" si="198"/>
        <v>1.0675163174627735</v>
      </c>
      <c r="Z413">
        <f t="shared" ca="1" si="199"/>
        <v>5.4098949695134317</v>
      </c>
      <c r="AA413">
        <f t="shared" ca="1" si="200"/>
        <v>634.19813995341724</v>
      </c>
      <c r="AB413">
        <f t="shared" ca="1" si="201"/>
        <v>635.68983024807403</v>
      </c>
      <c r="AC413">
        <f t="shared" ca="1" si="202"/>
        <v>6.0356978281182246E-3</v>
      </c>
      <c r="AD413">
        <f t="shared" ca="1" si="203"/>
        <v>1.2834481382006473</v>
      </c>
      <c r="AE413">
        <f t="shared" ca="1" si="204"/>
        <v>36.625855484335901</v>
      </c>
      <c r="AF413">
        <f t="shared" ca="1" si="205"/>
        <v>5.7296175664305338E-3</v>
      </c>
      <c r="AG413">
        <f t="shared" ca="1" si="206"/>
        <v>0</v>
      </c>
      <c r="AH413">
        <f ca="1">IFERROR(IF(V32="Supercritical",MAX($D$16,IFERROR(L413,MAX($D$16,POWER((ABS(K413)^2)/($I$5*MAX(F413,0.1)^2),1/3)))),IF(V32="Subcritical",MAX($D$16,IFERROR(W413,MAX($D$16,POWER((ABS(K413)^2)/($I$5*MAX(F413,0.1)^2),1/3)))),IF(AND(IFERROR(V413,0)=1,IFERROR(AG413,0)=1),IF(IFERROR(T413,-1E+99)&gt;=IFERROR(AE413,-1E+99),MAX($D$16,IFERROR(L413,MAX($D$16,POWER((ABS(K413)^2)/($I$5*MAX(F413,0.1)^2),1/3)))),MAX($D$16,IFERROR(W413,MAX($D$16,POWER((ABS(K413)^2)/($I$5*MAX(F413,0.1)^2),1/3))))),IF(IFERROR(V413,0)=1,MAX($D$16,IFERROR(L413,MAX($D$16,POWER((ABS(K413)^2)/($I$5*MAX(F413,0.1)^2),1/3)))),IF(IFERROR(AG413,0)=1,MAX($D$16,IFERROR(W413,MAX($D$16,POWER((ABS(K413)^2)/($I$5*MAX(F413,0.1)^2),1/3)))),MAX($D$16,POWER((ABS(K413)^2)/($I$5*MAX(F413,0.1)^2),1/3))))))),MAX($D$16,POWER((ABS(K413)^2)/($I$5*MAX(F413,0.1)^2),1/3)))</f>
        <v>2.1389677043987478</v>
      </c>
      <c r="AI413">
        <f t="shared" ca="1" si="207"/>
        <v>634.52596770439868</v>
      </c>
      <c r="AJ413">
        <f t="shared" ca="1" si="208"/>
        <v>635.59545155659805</v>
      </c>
      <c r="AM413">
        <v>0</v>
      </c>
      <c r="AN413">
        <v>0</v>
      </c>
      <c r="AO413">
        <f t="shared" si="209"/>
        <v>0</v>
      </c>
      <c r="AP413">
        <f t="shared" si="218"/>
        <v>0</v>
      </c>
      <c r="AQ413">
        <f t="shared" ca="1" si="210"/>
        <v>1.0000000000000004</v>
      </c>
      <c r="AR413" t="str">
        <f t="shared" ca="1" si="211"/>
        <v>Supercritical</v>
      </c>
      <c r="AS413">
        <f t="shared" ca="1" si="212"/>
        <v>3.8141460404132466E-3</v>
      </c>
    </row>
    <row r="414" spans="1:45" x14ac:dyDescent="0.35">
      <c r="A414">
        <v>353</v>
      </c>
      <c r="B414">
        <v>351.99599999999998</v>
      </c>
      <c r="C414">
        <v>616275.80200000003</v>
      </c>
      <c r="D414">
        <v>3097609.3450000002</v>
      </c>
      <c r="E414">
        <v>632.38649999999996</v>
      </c>
      <c r="F414">
        <v>5.2</v>
      </c>
      <c r="G414">
        <v>0</v>
      </c>
      <c r="H414" t="s">
        <v>154</v>
      </c>
      <c r="I414">
        <v>7.8E-2</v>
      </c>
      <c r="J414">
        <f t="shared" si="213"/>
        <v>1</v>
      </c>
      <c r="K414">
        <f t="shared" ca="1" si="214"/>
        <v>50.95</v>
      </c>
      <c r="L414">
        <f t="shared" ca="1" si="215"/>
        <v>2.1389677043987478</v>
      </c>
      <c r="M414">
        <f t="shared" ca="1" si="188"/>
        <v>11.122632062873489</v>
      </c>
      <c r="N414">
        <f t="shared" ca="1" si="189"/>
        <v>1.1735290000551568</v>
      </c>
      <c r="O414">
        <f t="shared" ca="1" si="190"/>
        <v>4.5807502857230418</v>
      </c>
      <c r="P414">
        <f t="shared" ca="1" si="191"/>
        <v>634.52546770439869</v>
      </c>
      <c r="Q414">
        <f t="shared" ca="1" si="192"/>
        <v>635.59495155659806</v>
      </c>
      <c r="R414">
        <f t="shared" ca="1" si="193"/>
        <v>3.8141460404132466E-3</v>
      </c>
      <c r="S414">
        <f t="shared" ca="1" si="194"/>
        <v>1.0000000000000004</v>
      </c>
      <c r="T414">
        <f t="shared" ca="1" si="195"/>
        <v>35.686426155594638</v>
      </c>
      <c r="U414">
        <f t="shared" ca="1" si="216"/>
        <v>-3.4531789411857972E-3</v>
      </c>
      <c r="V414">
        <f t="shared" ca="1" si="217"/>
        <v>1</v>
      </c>
      <c r="W414">
        <f t="shared" ca="1" si="196"/>
        <v>1.8061318617172495</v>
      </c>
      <c r="X414">
        <f t="shared" ca="1" si="197"/>
        <v>9.3918856809296969</v>
      </c>
      <c r="Y414">
        <f t="shared" ca="1" si="198"/>
        <v>1.0657744679104195</v>
      </c>
      <c r="Z414">
        <f t="shared" ca="1" si="199"/>
        <v>5.4248956738745671</v>
      </c>
      <c r="AA414">
        <f t="shared" ca="1" si="200"/>
        <v>634.19263186171725</v>
      </c>
      <c r="AB414">
        <f t="shared" ca="1" si="201"/>
        <v>635.69260602442989</v>
      </c>
      <c r="AC414">
        <f t="shared" ca="1" si="202"/>
        <v>6.0824453696117836E-3</v>
      </c>
      <c r="AD414">
        <f t="shared" ca="1" si="203"/>
        <v>1.2887900069660208</v>
      </c>
      <c r="AE414">
        <f t="shared" ca="1" si="204"/>
        <v>36.656663706058225</v>
      </c>
      <c r="AF414">
        <f t="shared" ca="1" si="205"/>
        <v>5.6499442069934958E-3</v>
      </c>
      <c r="AG414">
        <f t="shared" ca="1" si="206"/>
        <v>0</v>
      </c>
      <c r="AH414">
        <f ca="1">IFERROR(IF(V32="Supercritical",MAX($D$16,IFERROR(L414,MAX($D$16,POWER((ABS(K414)^2)/($I$5*MAX(F414,0.1)^2),1/3)))),IF(V32="Subcritical",MAX($D$16,IFERROR(W414,MAX($D$16,POWER((ABS(K414)^2)/($I$5*MAX(F414,0.1)^2),1/3)))),IF(AND(IFERROR(V414,0)=1,IFERROR(AG414,0)=1),IF(IFERROR(T414,-1E+99)&gt;=IFERROR(AE414,-1E+99),MAX($D$16,IFERROR(L414,MAX($D$16,POWER((ABS(K414)^2)/($I$5*MAX(F414,0.1)^2),1/3)))),MAX($D$16,IFERROR(W414,MAX($D$16,POWER((ABS(K414)^2)/($I$5*MAX(F414,0.1)^2),1/3))))),IF(IFERROR(V414,0)=1,MAX($D$16,IFERROR(L414,MAX($D$16,POWER((ABS(K414)^2)/($I$5*MAX(F414,0.1)^2),1/3)))),IF(IFERROR(AG414,0)=1,MAX($D$16,IFERROR(W414,MAX($D$16,POWER((ABS(K414)^2)/($I$5*MAX(F414,0.1)^2),1/3)))),MAX($D$16,POWER((ABS(K414)^2)/($I$5*MAX(F414,0.1)^2),1/3))))))),MAX($D$16,POWER((ABS(K414)^2)/($I$5*MAX(F414,0.1)^2),1/3)))</f>
        <v>2.1389677043987478</v>
      </c>
      <c r="AI414">
        <f t="shared" ca="1" si="207"/>
        <v>634.52546770439869</v>
      </c>
      <c r="AJ414">
        <f t="shared" ca="1" si="208"/>
        <v>635.59495155659806</v>
      </c>
      <c r="AM414">
        <v>0</v>
      </c>
      <c r="AN414">
        <v>0</v>
      </c>
      <c r="AO414">
        <f t="shared" si="209"/>
        <v>0</v>
      </c>
      <c r="AP414">
        <f t="shared" si="218"/>
        <v>0</v>
      </c>
      <c r="AQ414">
        <f t="shared" ca="1" si="210"/>
        <v>1.0000000000000004</v>
      </c>
      <c r="AR414" t="str">
        <f t="shared" ca="1" si="211"/>
        <v>Supercritical</v>
      </c>
      <c r="AS414">
        <f t="shared" ca="1" si="212"/>
        <v>3.8141460404132466E-3</v>
      </c>
    </row>
    <row r="415" spans="1:45" x14ac:dyDescent="0.35">
      <c r="A415">
        <v>354</v>
      </c>
      <c r="B415">
        <v>352.99599999999998</v>
      </c>
      <c r="C415">
        <v>616275.32799999998</v>
      </c>
      <c r="D415">
        <v>3097608.4640000002</v>
      </c>
      <c r="E415">
        <v>632.38599999999997</v>
      </c>
      <c r="F415">
        <v>5.2</v>
      </c>
      <c r="G415">
        <v>0</v>
      </c>
      <c r="H415" t="s">
        <v>154</v>
      </c>
      <c r="I415">
        <v>2.7E-2</v>
      </c>
      <c r="J415">
        <f t="shared" si="213"/>
        <v>1</v>
      </c>
      <c r="K415">
        <f t="shared" ca="1" si="214"/>
        <v>50.95</v>
      </c>
      <c r="L415">
        <f t="shared" ca="1" si="215"/>
        <v>2.1389677043987478</v>
      </c>
      <c r="M415">
        <f t="shared" ca="1" si="188"/>
        <v>11.122632062873489</v>
      </c>
      <c r="N415">
        <f t="shared" ca="1" si="189"/>
        <v>1.1735290000551568</v>
      </c>
      <c r="O415">
        <f t="shared" ca="1" si="190"/>
        <v>4.5807502857230418</v>
      </c>
      <c r="P415">
        <f t="shared" ca="1" si="191"/>
        <v>634.5249677043987</v>
      </c>
      <c r="Q415">
        <f t="shared" ca="1" si="192"/>
        <v>635.59445155659807</v>
      </c>
      <c r="R415">
        <f t="shared" ca="1" si="193"/>
        <v>3.8141460404132466E-3</v>
      </c>
      <c r="S415">
        <f t="shared" ca="1" si="194"/>
        <v>1.0000000000000004</v>
      </c>
      <c r="T415">
        <f t="shared" ca="1" si="195"/>
        <v>35.686426155594638</v>
      </c>
      <c r="U415">
        <f t="shared" ca="1" si="216"/>
        <v>-3.3622728137743252E-3</v>
      </c>
      <c r="V415">
        <f t="shared" ca="1" si="217"/>
        <v>1</v>
      </c>
      <c r="W415">
        <f t="shared" ca="1" si="196"/>
        <v>1.8012835084670591</v>
      </c>
      <c r="X415">
        <f t="shared" ca="1" si="197"/>
        <v>9.3666742440287081</v>
      </c>
      <c r="Y415">
        <f t="shared" ca="1" si="198"/>
        <v>1.0640844001538843</v>
      </c>
      <c r="Z415">
        <f t="shared" ca="1" si="199"/>
        <v>5.4394973789635985</v>
      </c>
      <c r="AA415">
        <f t="shared" ca="1" si="200"/>
        <v>634.18728350846698</v>
      </c>
      <c r="AB415">
        <f t="shared" ca="1" si="201"/>
        <v>635.69534322996299</v>
      </c>
      <c r="AC415">
        <f t="shared" ca="1" si="202"/>
        <v>6.1281863054810128E-3</v>
      </c>
      <c r="AD415">
        <f t="shared" ca="1" si="203"/>
        <v>1.2939968874570735</v>
      </c>
      <c r="AE415">
        <f t="shared" ca="1" si="204"/>
        <v>36.687026226063736</v>
      </c>
      <c r="AF415">
        <f t="shared" ca="1" si="205"/>
        <v>5.6281863054437054E-3</v>
      </c>
      <c r="AG415">
        <f t="shared" ca="1" si="206"/>
        <v>0</v>
      </c>
      <c r="AH415">
        <f ca="1">IFERROR(IF(V32="Supercritical",MAX($D$16,IFERROR(L415,MAX($D$16,POWER((ABS(K415)^2)/($I$5*MAX(F415,0.1)^2),1/3)))),IF(V32="Subcritical",MAX($D$16,IFERROR(W415,MAX($D$16,POWER((ABS(K415)^2)/($I$5*MAX(F415,0.1)^2),1/3)))),IF(AND(IFERROR(V415,0)=1,IFERROR(AG415,0)=1),IF(IFERROR(T415,-1E+99)&gt;=IFERROR(AE415,-1E+99),MAX($D$16,IFERROR(L415,MAX($D$16,POWER((ABS(K415)^2)/($I$5*MAX(F415,0.1)^2),1/3)))),MAX($D$16,IFERROR(W415,MAX($D$16,POWER((ABS(K415)^2)/($I$5*MAX(F415,0.1)^2),1/3))))),IF(IFERROR(V415,0)=1,MAX($D$16,IFERROR(L415,MAX($D$16,POWER((ABS(K415)^2)/($I$5*MAX(F415,0.1)^2),1/3)))),IF(IFERROR(AG415,0)=1,MAX($D$16,IFERROR(W415,MAX($D$16,POWER((ABS(K415)^2)/($I$5*MAX(F415,0.1)^2),1/3)))),MAX($D$16,POWER((ABS(K415)^2)/($I$5*MAX(F415,0.1)^2),1/3))))))),MAX($D$16,POWER((ABS(K415)^2)/($I$5*MAX(F415,0.1)^2),1/3)))</f>
        <v>2.1389677043987478</v>
      </c>
      <c r="AI415">
        <f t="shared" ca="1" si="207"/>
        <v>634.5249677043987</v>
      </c>
      <c r="AJ415">
        <f t="shared" ca="1" si="208"/>
        <v>635.59445155659807</v>
      </c>
      <c r="AM415">
        <v>0</v>
      </c>
      <c r="AN415">
        <v>0</v>
      </c>
      <c r="AO415">
        <f t="shared" si="209"/>
        <v>0</v>
      </c>
      <c r="AP415">
        <f t="shared" si="218"/>
        <v>0</v>
      </c>
      <c r="AQ415">
        <f t="shared" ca="1" si="210"/>
        <v>1.0000000000000004</v>
      </c>
      <c r="AR415" t="str">
        <f t="shared" ca="1" si="211"/>
        <v>Supercritical</v>
      </c>
      <c r="AS415">
        <f t="shared" ca="1" si="212"/>
        <v>3.8141460404132466E-3</v>
      </c>
    </row>
    <row r="416" spans="1:45" x14ac:dyDescent="0.35">
      <c r="A416">
        <v>355</v>
      </c>
      <c r="B416">
        <v>353.99599999999998</v>
      </c>
      <c r="C416">
        <v>616274.85400000005</v>
      </c>
      <c r="D416">
        <v>3097607.5839999998</v>
      </c>
      <c r="E416">
        <v>632.38549999999998</v>
      </c>
      <c r="F416">
        <v>5.2</v>
      </c>
      <c r="G416">
        <v>0</v>
      </c>
      <c r="H416" t="s">
        <v>154</v>
      </c>
      <c r="I416">
        <v>0</v>
      </c>
      <c r="J416">
        <f t="shared" si="213"/>
        <v>1</v>
      </c>
      <c r="K416">
        <f t="shared" ca="1" si="214"/>
        <v>50.95</v>
      </c>
      <c r="L416">
        <f t="shared" ca="1" si="215"/>
        <v>2.1389677043987478</v>
      </c>
      <c r="M416">
        <f t="shared" ca="1" si="188"/>
        <v>11.122632062873489</v>
      </c>
      <c r="N416">
        <f t="shared" ca="1" si="189"/>
        <v>1.1735290000551568</v>
      </c>
      <c r="O416">
        <f t="shared" ca="1" si="190"/>
        <v>4.5807502857230418</v>
      </c>
      <c r="P416">
        <f t="shared" ca="1" si="191"/>
        <v>634.52446770439872</v>
      </c>
      <c r="Q416">
        <f t="shared" ca="1" si="192"/>
        <v>635.59395155659809</v>
      </c>
      <c r="R416">
        <f t="shared" ca="1" si="193"/>
        <v>3.8141460404132466E-3</v>
      </c>
      <c r="S416">
        <f t="shared" ca="1" si="194"/>
        <v>1.0000000000000004</v>
      </c>
      <c r="T416">
        <f t="shared" ca="1" si="195"/>
        <v>35.686426155594638</v>
      </c>
      <c r="U416">
        <f t="shared" ca="1" si="216"/>
        <v>-3.3141460404522149E-3</v>
      </c>
      <c r="V416">
        <f t="shared" ca="1" si="217"/>
        <v>1</v>
      </c>
      <c r="W416">
        <f t="shared" ca="1" si="196"/>
        <v>1.7965970380446428</v>
      </c>
      <c r="X416">
        <f t="shared" ca="1" si="197"/>
        <v>9.3423045978321433</v>
      </c>
      <c r="Y416">
        <f t="shared" ca="1" si="198"/>
        <v>1.0624472196327401</v>
      </c>
      <c r="Z416">
        <f t="shared" ca="1" si="199"/>
        <v>5.4536864503243461</v>
      </c>
      <c r="AA416">
        <f t="shared" ca="1" si="200"/>
        <v>634.18209703804462</v>
      </c>
      <c r="AB416">
        <f t="shared" ca="1" si="201"/>
        <v>635.69803464754773</v>
      </c>
      <c r="AC416">
        <f t="shared" ca="1" si="202"/>
        <v>6.1728590867266616E-3</v>
      </c>
      <c r="AD416">
        <f t="shared" ca="1" si="203"/>
        <v>1.2990633250059813</v>
      </c>
      <c r="AE416">
        <f t="shared" ca="1" si="204"/>
        <v>36.716880183063509</v>
      </c>
      <c r="AF416">
        <f t="shared" ca="1" si="205"/>
        <v>5.7247971693641375E-3</v>
      </c>
      <c r="AG416">
        <f t="shared" ca="1" si="206"/>
        <v>0</v>
      </c>
      <c r="AH416">
        <f ca="1">IFERROR(IF(V32="Supercritical",MAX($D$16,IFERROR(L416,MAX($D$16,POWER((ABS(K416)^2)/($I$5*MAX(F416,0.1)^2),1/3)))),IF(V32="Subcritical",MAX($D$16,IFERROR(W416,MAX($D$16,POWER((ABS(K416)^2)/($I$5*MAX(F416,0.1)^2),1/3)))),IF(AND(IFERROR(V416,0)=1,IFERROR(AG416,0)=1),IF(IFERROR(T416,-1E+99)&gt;=IFERROR(AE416,-1E+99),MAX($D$16,IFERROR(L416,MAX($D$16,POWER((ABS(K416)^2)/($I$5*MAX(F416,0.1)^2),1/3)))),MAX($D$16,IFERROR(W416,MAX($D$16,POWER((ABS(K416)^2)/($I$5*MAX(F416,0.1)^2),1/3))))),IF(IFERROR(V416,0)=1,MAX($D$16,IFERROR(L416,MAX($D$16,POWER((ABS(K416)^2)/($I$5*MAX(F416,0.1)^2),1/3)))),IF(IFERROR(AG416,0)=1,MAX($D$16,IFERROR(W416,MAX($D$16,POWER((ABS(K416)^2)/($I$5*MAX(F416,0.1)^2),1/3)))),MAX($D$16,POWER((ABS(K416)^2)/($I$5*MAX(F416,0.1)^2),1/3))))))),MAX($D$16,POWER((ABS(K416)^2)/($I$5*MAX(F416,0.1)^2),1/3)))</f>
        <v>2.1389677043987478</v>
      </c>
      <c r="AI416">
        <f t="shared" ca="1" si="207"/>
        <v>634.52446770439872</v>
      </c>
      <c r="AJ416">
        <f t="shared" ca="1" si="208"/>
        <v>635.59395155659809</v>
      </c>
      <c r="AM416">
        <v>0</v>
      </c>
      <c r="AN416">
        <v>0</v>
      </c>
      <c r="AO416">
        <f t="shared" si="209"/>
        <v>0</v>
      </c>
      <c r="AP416">
        <f t="shared" si="218"/>
        <v>0</v>
      </c>
      <c r="AQ416">
        <f t="shared" ca="1" si="210"/>
        <v>1.0000000000000004</v>
      </c>
      <c r="AR416" t="str">
        <f t="shared" ca="1" si="211"/>
        <v>Supercritical</v>
      </c>
      <c r="AS416">
        <f t="shared" ca="1" si="212"/>
        <v>3.8141460404132466E-3</v>
      </c>
    </row>
    <row r="417" spans="1:45" x14ac:dyDescent="0.35">
      <c r="A417">
        <v>356</v>
      </c>
      <c r="B417">
        <v>354.995</v>
      </c>
      <c r="C417">
        <v>616274.38</v>
      </c>
      <c r="D417">
        <v>3097606.7039999999</v>
      </c>
      <c r="E417">
        <v>632.38499999999999</v>
      </c>
      <c r="F417">
        <v>5.2</v>
      </c>
      <c r="G417">
        <v>0</v>
      </c>
      <c r="H417" t="s">
        <v>154</v>
      </c>
      <c r="I417">
        <v>2.3E-2</v>
      </c>
      <c r="J417">
        <f t="shared" si="213"/>
        <v>0.99900000000002365</v>
      </c>
      <c r="K417">
        <f t="shared" ca="1" si="214"/>
        <v>50.95</v>
      </c>
      <c r="L417">
        <f t="shared" ca="1" si="215"/>
        <v>2.1389677043987478</v>
      </c>
      <c r="M417">
        <f t="shared" ca="1" si="188"/>
        <v>11.122632062873489</v>
      </c>
      <c r="N417">
        <f t="shared" ca="1" si="189"/>
        <v>1.1735290000551568</v>
      </c>
      <c r="O417">
        <f t="shared" ca="1" si="190"/>
        <v>4.5807502857230418</v>
      </c>
      <c r="P417">
        <f t="shared" ca="1" si="191"/>
        <v>634.52396770439873</v>
      </c>
      <c r="Q417">
        <f t="shared" ca="1" si="192"/>
        <v>635.5934515565981</v>
      </c>
      <c r="R417">
        <f t="shared" ca="1" si="193"/>
        <v>3.8141460404132466E-3</v>
      </c>
      <c r="S417">
        <f t="shared" ca="1" si="194"/>
        <v>1.0000000000000004</v>
      </c>
      <c r="T417">
        <f t="shared" ca="1" si="195"/>
        <v>35.686426155594638</v>
      </c>
      <c r="U417">
        <f t="shared" ca="1" si="216"/>
        <v>-3.3513287753521581E-3</v>
      </c>
      <c r="V417">
        <f t="shared" ca="1" si="217"/>
        <v>1</v>
      </c>
      <c r="W417">
        <f t="shared" ca="1" si="196"/>
        <v>1.7920738877189584</v>
      </c>
      <c r="X417">
        <f t="shared" ca="1" si="197"/>
        <v>9.3187842161385834</v>
      </c>
      <c r="Y417">
        <f t="shared" ca="1" si="198"/>
        <v>1.0608637803425403</v>
      </c>
      <c r="Z417">
        <f t="shared" ca="1" si="199"/>
        <v>5.4674514205150366</v>
      </c>
      <c r="AA417">
        <f t="shared" ca="1" si="200"/>
        <v>634.17707388771896</v>
      </c>
      <c r="AB417">
        <f t="shared" ca="1" si="201"/>
        <v>635.70067353275931</v>
      </c>
      <c r="AC417">
        <f t="shared" ca="1" si="202"/>
        <v>6.2164086268091927E-3</v>
      </c>
      <c r="AD417">
        <f t="shared" ca="1" si="203"/>
        <v>1.3039846327832401</v>
      </c>
      <c r="AE417">
        <f t="shared" ca="1" si="204"/>
        <v>36.746167577347705</v>
      </c>
      <c r="AF417">
        <f t="shared" ca="1" si="205"/>
        <v>5.7810296884781565E-3</v>
      </c>
      <c r="AG417">
        <f t="shared" ca="1" si="206"/>
        <v>0</v>
      </c>
      <c r="AH417">
        <f ca="1">IFERROR(IF(V32="Supercritical",MAX($D$16,IFERROR(L417,MAX($D$16,POWER((ABS(K417)^2)/($I$5*MAX(F417,0.1)^2),1/3)))),IF(V32="Subcritical",MAX($D$16,IFERROR(W417,MAX($D$16,POWER((ABS(K417)^2)/($I$5*MAX(F417,0.1)^2),1/3)))),IF(AND(IFERROR(V417,0)=1,IFERROR(AG417,0)=1),IF(IFERROR(T417,-1E+99)&gt;=IFERROR(AE417,-1E+99),MAX($D$16,IFERROR(L417,MAX($D$16,POWER((ABS(K417)^2)/($I$5*MAX(F417,0.1)^2),1/3)))),MAX($D$16,IFERROR(W417,MAX($D$16,POWER((ABS(K417)^2)/($I$5*MAX(F417,0.1)^2),1/3))))),IF(IFERROR(V417,0)=1,MAX($D$16,IFERROR(L417,MAX($D$16,POWER((ABS(K417)^2)/($I$5*MAX(F417,0.1)^2),1/3)))),IF(IFERROR(AG417,0)=1,MAX($D$16,IFERROR(W417,MAX($D$16,POWER((ABS(K417)^2)/($I$5*MAX(F417,0.1)^2),1/3)))),MAX($D$16,POWER((ABS(K417)^2)/($I$5*MAX(F417,0.1)^2),1/3))))))),MAX($D$16,POWER((ABS(K417)^2)/($I$5*MAX(F417,0.1)^2),1/3)))</f>
        <v>2.1389677043987478</v>
      </c>
      <c r="AI417">
        <f t="shared" ca="1" si="207"/>
        <v>634.52396770439873</v>
      </c>
      <c r="AJ417">
        <f t="shared" ca="1" si="208"/>
        <v>635.5934515565981</v>
      </c>
      <c r="AM417">
        <v>0</v>
      </c>
      <c r="AN417">
        <v>0</v>
      </c>
      <c r="AO417">
        <f t="shared" si="209"/>
        <v>0</v>
      </c>
      <c r="AP417">
        <f t="shared" si="218"/>
        <v>0</v>
      </c>
      <c r="AQ417">
        <f t="shared" ca="1" si="210"/>
        <v>1.0000000000000004</v>
      </c>
      <c r="AR417" t="str">
        <f t="shared" ca="1" si="211"/>
        <v>Supercritical</v>
      </c>
      <c r="AS417">
        <f t="shared" ca="1" si="212"/>
        <v>3.8141460404132466E-3</v>
      </c>
    </row>
    <row r="418" spans="1:45" x14ac:dyDescent="0.35">
      <c r="A418">
        <v>357</v>
      </c>
      <c r="B418">
        <v>355.99599999999998</v>
      </c>
      <c r="C418">
        <v>616273.90500000003</v>
      </c>
      <c r="D418">
        <v>3097605.8229999999</v>
      </c>
      <c r="E418">
        <v>632.3845</v>
      </c>
      <c r="F418">
        <v>5.2</v>
      </c>
      <c r="G418">
        <v>0</v>
      </c>
      <c r="H418" t="s">
        <v>154</v>
      </c>
      <c r="I418">
        <v>2.3E-2</v>
      </c>
      <c r="J418">
        <f t="shared" si="213"/>
        <v>1.0009999999999764</v>
      </c>
      <c r="K418">
        <f t="shared" ca="1" si="214"/>
        <v>50.95</v>
      </c>
      <c r="L418">
        <f t="shared" ca="1" si="215"/>
        <v>2.1389677043987478</v>
      </c>
      <c r="M418">
        <f t="shared" ca="1" si="188"/>
        <v>11.122632062873489</v>
      </c>
      <c r="N418">
        <f t="shared" ca="1" si="189"/>
        <v>1.1735290000551568</v>
      </c>
      <c r="O418">
        <f t="shared" ca="1" si="190"/>
        <v>4.5807502857230418</v>
      </c>
      <c r="P418">
        <f t="shared" ca="1" si="191"/>
        <v>634.52346770439874</v>
      </c>
      <c r="Q418">
        <f t="shared" ca="1" si="192"/>
        <v>635.59295155659811</v>
      </c>
      <c r="R418">
        <f t="shared" ca="1" si="193"/>
        <v>3.8141460404132466E-3</v>
      </c>
      <c r="S418">
        <f t="shared" ca="1" si="194"/>
        <v>1.0000000000000004</v>
      </c>
      <c r="T418">
        <f t="shared" ca="1" si="195"/>
        <v>35.686426155594638</v>
      </c>
      <c r="U418">
        <f t="shared" ca="1" si="216"/>
        <v>-3.3589570674621427E-3</v>
      </c>
      <c r="V418">
        <f t="shared" ca="1" si="217"/>
        <v>1</v>
      </c>
      <c r="W418">
        <f t="shared" ca="1" si="196"/>
        <v>1.78771481133923</v>
      </c>
      <c r="X418">
        <f t="shared" ca="1" si="197"/>
        <v>9.2961170189639972</v>
      </c>
      <c r="Y418">
        <f t="shared" ca="1" si="198"/>
        <v>1.0593346900008083</v>
      </c>
      <c r="Z418">
        <f t="shared" ca="1" si="199"/>
        <v>5.4807829867096602</v>
      </c>
      <c r="AA418">
        <f t="shared" ca="1" si="200"/>
        <v>634.17221481133924</v>
      </c>
      <c r="AB418">
        <f t="shared" ca="1" si="201"/>
        <v>635.70325365677274</v>
      </c>
      <c r="AC418">
        <f t="shared" ca="1" si="202"/>
        <v>6.2587865186942175E-3</v>
      </c>
      <c r="AD418">
        <f t="shared" ca="1" si="203"/>
        <v>1.308756897494358</v>
      </c>
      <c r="AE418">
        <f t="shared" ca="1" si="204"/>
        <v>36.774835576831762</v>
      </c>
      <c r="AF418">
        <f t="shared" ca="1" si="205"/>
        <v>5.8276832668298084E-3</v>
      </c>
      <c r="AG418">
        <f t="shared" ca="1" si="206"/>
        <v>0</v>
      </c>
      <c r="AH418">
        <f ca="1">IFERROR(IF(V32="Supercritical",MAX($D$16,IFERROR(L418,MAX($D$16,POWER((ABS(K418)^2)/($I$5*MAX(F418,0.1)^2),1/3)))),IF(V32="Subcritical",MAX($D$16,IFERROR(W418,MAX($D$16,POWER((ABS(K418)^2)/($I$5*MAX(F418,0.1)^2),1/3)))),IF(AND(IFERROR(V418,0)=1,IFERROR(AG418,0)=1),IF(IFERROR(T418,-1E+99)&gt;=IFERROR(AE418,-1E+99),MAX($D$16,IFERROR(L418,MAX($D$16,POWER((ABS(K418)^2)/($I$5*MAX(F418,0.1)^2),1/3)))),MAX($D$16,IFERROR(W418,MAX($D$16,POWER((ABS(K418)^2)/($I$5*MAX(F418,0.1)^2),1/3))))),IF(IFERROR(V418,0)=1,MAX($D$16,IFERROR(L418,MAX($D$16,POWER((ABS(K418)^2)/($I$5*MAX(F418,0.1)^2),1/3)))),IF(IFERROR(AG418,0)=1,MAX($D$16,IFERROR(W418,MAX($D$16,POWER((ABS(K418)^2)/($I$5*MAX(F418,0.1)^2),1/3)))),MAX($D$16,POWER((ABS(K418)^2)/($I$5*MAX(F418,0.1)^2),1/3))))))),MAX($D$16,POWER((ABS(K418)^2)/($I$5*MAX(F418,0.1)^2),1/3)))</f>
        <v>2.1389677043987478</v>
      </c>
      <c r="AI418">
        <f t="shared" ca="1" si="207"/>
        <v>634.52346770439874</v>
      </c>
      <c r="AJ418">
        <f t="shared" ca="1" si="208"/>
        <v>635.59295155659811</v>
      </c>
      <c r="AM418">
        <v>0</v>
      </c>
      <c r="AN418">
        <v>0</v>
      </c>
      <c r="AO418">
        <f t="shared" si="209"/>
        <v>0</v>
      </c>
      <c r="AP418">
        <f t="shared" si="218"/>
        <v>0</v>
      </c>
      <c r="AQ418">
        <f t="shared" ca="1" si="210"/>
        <v>1.0000000000000004</v>
      </c>
      <c r="AR418" t="str">
        <f t="shared" ca="1" si="211"/>
        <v>Supercritical</v>
      </c>
      <c r="AS418">
        <f t="shared" ca="1" si="212"/>
        <v>3.8141460404132466E-3</v>
      </c>
    </row>
    <row r="419" spans="1:45" x14ac:dyDescent="0.35">
      <c r="A419">
        <v>358</v>
      </c>
      <c r="B419">
        <v>356.99599999999998</v>
      </c>
      <c r="C419">
        <v>616273.43099999998</v>
      </c>
      <c r="D419">
        <v>3097604.943</v>
      </c>
      <c r="E419">
        <v>632.38400000000001</v>
      </c>
      <c r="F419">
        <v>5.2</v>
      </c>
      <c r="G419">
        <v>0</v>
      </c>
      <c r="H419" t="s">
        <v>154</v>
      </c>
      <c r="I419">
        <v>2.7E-2</v>
      </c>
      <c r="J419">
        <f t="shared" si="213"/>
        <v>1</v>
      </c>
      <c r="K419">
        <f t="shared" ca="1" si="214"/>
        <v>50.95</v>
      </c>
      <c r="L419">
        <f t="shared" ca="1" si="215"/>
        <v>2.1389677043987478</v>
      </c>
      <c r="M419">
        <f t="shared" ca="1" si="188"/>
        <v>11.122632062873489</v>
      </c>
      <c r="N419">
        <f t="shared" ca="1" si="189"/>
        <v>1.1735290000551568</v>
      </c>
      <c r="O419">
        <f t="shared" ca="1" si="190"/>
        <v>4.5807502857230418</v>
      </c>
      <c r="P419">
        <f t="shared" ca="1" si="191"/>
        <v>634.52296770439875</v>
      </c>
      <c r="Q419">
        <f t="shared" ca="1" si="192"/>
        <v>635.59245155659812</v>
      </c>
      <c r="R419">
        <f t="shared" ca="1" si="193"/>
        <v>3.8141460404132466E-3</v>
      </c>
      <c r="S419">
        <f t="shared" ca="1" si="194"/>
        <v>1.0000000000000004</v>
      </c>
      <c r="T419">
        <f t="shared" ca="1" si="195"/>
        <v>35.686426155594638</v>
      </c>
      <c r="U419">
        <f t="shared" ca="1" si="216"/>
        <v>-3.3622728137743252E-3</v>
      </c>
      <c r="V419">
        <f t="shared" ca="1" si="217"/>
        <v>1</v>
      </c>
      <c r="W419">
        <f t="shared" ca="1" si="196"/>
        <v>1.7835199086814149</v>
      </c>
      <c r="X419">
        <f t="shared" ca="1" si="197"/>
        <v>9.2743035251433579</v>
      </c>
      <c r="Y419">
        <f t="shared" ca="1" si="198"/>
        <v>1.0578603175470822</v>
      </c>
      <c r="Z419">
        <f t="shared" ca="1" si="199"/>
        <v>5.4936739844529123</v>
      </c>
      <c r="AA419">
        <f t="shared" ca="1" si="200"/>
        <v>634.16751990868147</v>
      </c>
      <c r="AB419">
        <f t="shared" ca="1" si="201"/>
        <v>635.70576934025405</v>
      </c>
      <c r="AC419">
        <f t="shared" ca="1" si="202"/>
        <v>6.299951163316447E-3</v>
      </c>
      <c r="AD419">
        <f t="shared" ca="1" si="203"/>
        <v>1.3133769760781111</v>
      </c>
      <c r="AE419">
        <f t="shared" ca="1" si="204"/>
        <v>36.802836739691074</v>
      </c>
      <c r="AF419">
        <f t="shared" ca="1" si="205"/>
        <v>5.8691723877473123E-3</v>
      </c>
      <c r="AG419">
        <f t="shared" ca="1" si="206"/>
        <v>0</v>
      </c>
      <c r="AH419">
        <f ca="1">IFERROR(IF(V32="Supercritical",MAX($D$16,IFERROR(L419,MAX($D$16,POWER((ABS(K419)^2)/($I$5*MAX(F419,0.1)^2),1/3)))),IF(V32="Subcritical",MAX($D$16,IFERROR(W419,MAX($D$16,POWER((ABS(K419)^2)/($I$5*MAX(F419,0.1)^2),1/3)))),IF(AND(IFERROR(V419,0)=1,IFERROR(AG419,0)=1),IF(IFERROR(T419,-1E+99)&gt;=IFERROR(AE419,-1E+99),MAX($D$16,IFERROR(L419,MAX($D$16,POWER((ABS(K419)^2)/($I$5*MAX(F419,0.1)^2),1/3)))),MAX($D$16,IFERROR(W419,MAX($D$16,POWER((ABS(K419)^2)/($I$5*MAX(F419,0.1)^2),1/3))))),IF(IFERROR(V419,0)=1,MAX($D$16,IFERROR(L419,MAX($D$16,POWER((ABS(K419)^2)/($I$5*MAX(F419,0.1)^2),1/3)))),IF(IFERROR(AG419,0)=1,MAX($D$16,IFERROR(W419,MAX($D$16,POWER((ABS(K419)^2)/($I$5*MAX(F419,0.1)^2),1/3)))),MAX($D$16,POWER((ABS(K419)^2)/($I$5*MAX(F419,0.1)^2),1/3))))))),MAX($D$16,POWER((ABS(K419)^2)/($I$5*MAX(F419,0.1)^2),1/3)))</f>
        <v>2.1389677043987478</v>
      </c>
      <c r="AI419">
        <f t="shared" ca="1" si="207"/>
        <v>634.52296770439875</v>
      </c>
      <c r="AJ419">
        <f t="shared" ca="1" si="208"/>
        <v>635.59245155659812</v>
      </c>
      <c r="AM419">
        <v>0</v>
      </c>
      <c r="AN419">
        <v>0</v>
      </c>
      <c r="AO419">
        <f t="shared" si="209"/>
        <v>0</v>
      </c>
      <c r="AP419">
        <f t="shared" si="218"/>
        <v>0</v>
      </c>
      <c r="AQ419">
        <f t="shared" ca="1" si="210"/>
        <v>1.0000000000000004</v>
      </c>
      <c r="AR419" t="str">
        <f t="shared" ca="1" si="211"/>
        <v>Supercritical</v>
      </c>
      <c r="AS419">
        <f t="shared" ca="1" si="212"/>
        <v>3.8141460404132466E-3</v>
      </c>
    </row>
    <row r="420" spans="1:45" x14ac:dyDescent="0.35">
      <c r="A420">
        <v>359</v>
      </c>
      <c r="B420">
        <v>357.99599999999998</v>
      </c>
      <c r="C420">
        <v>616272.95700000005</v>
      </c>
      <c r="D420">
        <v>3097604.0619999999</v>
      </c>
      <c r="E420">
        <v>632.38350000000003</v>
      </c>
      <c r="F420">
        <v>5.2</v>
      </c>
      <c r="G420">
        <v>0</v>
      </c>
      <c r="H420" t="s">
        <v>154</v>
      </c>
      <c r="I420">
        <v>2.7E-2</v>
      </c>
      <c r="J420">
        <f t="shared" si="213"/>
        <v>1</v>
      </c>
      <c r="K420">
        <f t="shared" ca="1" si="214"/>
        <v>50.95</v>
      </c>
      <c r="L420">
        <f t="shared" ca="1" si="215"/>
        <v>2.1389677043987478</v>
      </c>
      <c r="M420">
        <f t="shared" ca="1" si="188"/>
        <v>11.122632062873489</v>
      </c>
      <c r="N420">
        <f t="shared" ca="1" si="189"/>
        <v>1.1735290000551568</v>
      </c>
      <c r="O420">
        <f t="shared" ca="1" si="190"/>
        <v>4.5807502857230418</v>
      </c>
      <c r="P420">
        <f t="shared" ca="1" si="191"/>
        <v>634.52246770439876</v>
      </c>
      <c r="Q420">
        <f t="shared" ca="1" si="192"/>
        <v>635.59195155659813</v>
      </c>
      <c r="R420">
        <f t="shared" ca="1" si="193"/>
        <v>3.8141460404132466E-3</v>
      </c>
      <c r="S420">
        <f t="shared" ca="1" si="194"/>
        <v>1.0000000000000004</v>
      </c>
      <c r="T420">
        <f t="shared" ca="1" si="195"/>
        <v>35.686426155594638</v>
      </c>
      <c r="U420">
        <f t="shared" ca="1" si="216"/>
        <v>-3.3622728137743252E-3</v>
      </c>
      <c r="V420">
        <f t="shared" ca="1" si="217"/>
        <v>1</v>
      </c>
      <c r="W420">
        <f t="shared" ca="1" si="196"/>
        <v>1.7794886596883763</v>
      </c>
      <c r="X420">
        <f t="shared" ca="1" si="197"/>
        <v>9.2533410303795574</v>
      </c>
      <c r="Y420">
        <f t="shared" ca="1" si="198"/>
        <v>1.0564408027303787</v>
      </c>
      <c r="Z420">
        <f t="shared" ca="1" si="199"/>
        <v>5.5061193392447692</v>
      </c>
      <c r="AA420">
        <f t="shared" ca="1" si="200"/>
        <v>634.16298865968838</v>
      </c>
      <c r="AB420">
        <f t="shared" ca="1" si="201"/>
        <v>635.70821547813921</v>
      </c>
      <c r="AC420">
        <f t="shared" ca="1" si="202"/>
        <v>6.3398678114817896E-3</v>
      </c>
      <c r="AD420">
        <f t="shared" ca="1" si="203"/>
        <v>1.3178424839224532</v>
      </c>
      <c r="AE420">
        <f t="shared" ca="1" si="204"/>
        <v>36.830129154722613</v>
      </c>
      <c r="AF420">
        <f t="shared" ca="1" si="205"/>
        <v>5.9686367129643259E-3</v>
      </c>
      <c r="AG420">
        <f t="shared" ca="1" si="206"/>
        <v>0</v>
      </c>
      <c r="AH420">
        <f ca="1">IFERROR(IF(V32="Supercritical",MAX($D$16,IFERROR(L420,MAX($D$16,POWER((ABS(K420)^2)/($I$5*MAX(F420,0.1)^2),1/3)))),IF(V32="Subcritical",MAX($D$16,IFERROR(W420,MAX($D$16,POWER((ABS(K420)^2)/($I$5*MAX(F420,0.1)^2),1/3)))),IF(AND(IFERROR(V420,0)=1,IFERROR(AG420,0)=1),IF(IFERROR(T420,-1E+99)&gt;=IFERROR(AE420,-1E+99),MAX($D$16,IFERROR(L420,MAX($D$16,POWER((ABS(K420)^2)/($I$5*MAX(F420,0.1)^2),1/3)))),MAX($D$16,IFERROR(W420,MAX($D$16,POWER((ABS(K420)^2)/($I$5*MAX(F420,0.1)^2),1/3))))),IF(IFERROR(V420,0)=1,MAX($D$16,IFERROR(L420,MAX($D$16,POWER((ABS(K420)^2)/($I$5*MAX(F420,0.1)^2),1/3)))),IF(IFERROR(AG420,0)=1,MAX($D$16,IFERROR(W420,MAX($D$16,POWER((ABS(K420)^2)/($I$5*MAX(F420,0.1)^2),1/3)))),MAX($D$16,POWER((ABS(K420)^2)/($I$5*MAX(F420,0.1)^2),1/3))))))),MAX($D$16,POWER((ABS(K420)^2)/($I$5*MAX(F420,0.1)^2),1/3)))</f>
        <v>2.1389677043987478</v>
      </c>
      <c r="AI420">
        <f t="shared" ca="1" si="207"/>
        <v>634.52246770439876</v>
      </c>
      <c r="AJ420">
        <f t="shared" ca="1" si="208"/>
        <v>635.59195155659813</v>
      </c>
      <c r="AM420">
        <v>0</v>
      </c>
      <c r="AN420">
        <v>0</v>
      </c>
      <c r="AO420">
        <f t="shared" si="209"/>
        <v>0</v>
      </c>
      <c r="AP420">
        <f t="shared" si="218"/>
        <v>0</v>
      </c>
      <c r="AQ420">
        <f t="shared" ca="1" si="210"/>
        <v>1.0000000000000004</v>
      </c>
      <c r="AR420" t="str">
        <f t="shared" ca="1" si="211"/>
        <v>Supercritical</v>
      </c>
      <c r="AS420">
        <f t="shared" ca="1" si="212"/>
        <v>3.8141460404132466E-3</v>
      </c>
    </row>
    <row r="421" spans="1:45" x14ac:dyDescent="0.35">
      <c r="A421">
        <v>360</v>
      </c>
      <c r="B421">
        <v>358.99599999999998</v>
      </c>
      <c r="C421">
        <v>616272.48300000001</v>
      </c>
      <c r="D421">
        <v>3097603.182</v>
      </c>
      <c r="E421">
        <v>632.38300000000004</v>
      </c>
      <c r="F421">
        <v>5.2</v>
      </c>
      <c r="G421">
        <v>0</v>
      </c>
      <c r="H421" t="s">
        <v>154</v>
      </c>
      <c r="I421">
        <v>0.05</v>
      </c>
      <c r="J421">
        <f t="shared" si="213"/>
        <v>1</v>
      </c>
      <c r="K421">
        <f t="shared" ca="1" si="214"/>
        <v>50.95</v>
      </c>
      <c r="L421">
        <f t="shared" ca="1" si="215"/>
        <v>2.1389677043987478</v>
      </c>
      <c r="M421">
        <f t="shared" ca="1" si="188"/>
        <v>11.122632062873489</v>
      </c>
      <c r="N421">
        <f t="shared" ca="1" si="189"/>
        <v>1.1735290000551568</v>
      </c>
      <c r="O421">
        <f t="shared" ca="1" si="190"/>
        <v>4.5807502857230418</v>
      </c>
      <c r="P421">
        <f t="shared" ca="1" si="191"/>
        <v>634.52196770439878</v>
      </c>
      <c r="Q421">
        <f t="shared" ca="1" si="192"/>
        <v>635.59145155659814</v>
      </c>
      <c r="R421">
        <f t="shared" ca="1" si="193"/>
        <v>3.8141460404132466E-3</v>
      </c>
      <c r="S421">
        <f t="shared" ca="1" si="194"/>
        <v>1.0000000000000004</v>
      </c>
      <c r="T421">
        <f t="shared" ca="1" si="195"/>
        <v>35.686426155594638</v>
      </c>
      <c r="U421">
        <f t="shared" ca="1" si="216"/>
        <v>-3.4032696947861041E-3</v>
      </c>
      <c r="V421">
        <f t="shared" ca="1" si="217"/>
        <v>1</v>
      </c>
      <c r="W421">
        <f t="shared" ca="1" si="196"/>
        <v>1.7756199627979405</v>
      </c>
      <c r="X421">
        <f t="shared" ca="1" si="197"/>
        <v>9.233223806549292</v>
      </c>
      <c r="Y421">
        <f t="shared" ca="1" si="198"/>
        <v>1.0550760675117237</v>
      </c>
      <c r="Z421">
        <f t="shared" ca="1" si="199"/>
        <v>5.5181159979963068</v>
      </c>
      <c r="AA421">
        <f t="shared" ca="1" si="200"/>
        <v>634.15861996279796</v>
      </c>
      <c r="AB421">
        <f t="shared" ca="1" si="201"/>
        <v>635.71058755542504</v>
      </c>
      <c r="AC421">
        <f t="shared" ca="1" si="202"/>
        <v>6.3785085230817218E-3</v>
      </c>
      <c r="AD421">
        <f t="shared" ca="1" si="203"/>
        <v>1.3221517752661598</v>
      </c>
      <c r="AE421">
        <f t="shared" ca="1" si="204"/>
        <v>36.856676502419248</v>
      </c>
      <c r="AF421">
        <f t="shared" ca="1" si="205"/>
        <v>6.0802643101851572E-3</v>
      </c>
      <c r="AG421">
        <f t="shared" ca="1" si="206"/>
        <v>0</v>
      </c>
      <c r="AH421">
        <f ca="1">IFERROR(IF(V32="Supercritical",MAX($D$16,IFERROR(L421,MAX($D$16,POWER((ABS(K421)^2)/($I$5*MAX(F421,0.1)^2),1/3)))),IF(V32="Subcritical",MAX($D$16,IFERROR(W421,MAX($D$16,POWER((ABS(K421)^2)/($I$5*MAX(F421,0.1)^2),1/3)))),IF(AND(IFERROR(V421,0)=1,IFERROR(AG421,0)=1),IF(IFERROR(T421,-1E+99)&gt;=IFERROR(AE421,-1E+99),MAX($D$16,IFERROR(L421,MAX($D$16,POWER((ABS(K421)^2)/($I$5*MAX(F421,0.1)^2),1/3)))),MAX($D$16,IFERROR(W421,MAX($D$16,POWER((ABS(K421)^2)/($I$5*MAX(F421,0.1)^2),1/3))))),IF(IFERROR(V421,0)=1,MAX($D$16,IFERROR(L421,MAX($D$16,POWER((ABS(K421)^2)/($I$5*MAX(F421,0.1)^2),1/3)))),IF(IFERROR(AG421,0)=1,MAX($D$16,IFERROR(W421,MAX($D$16,POWER((ABS(K421)^2)/($I$5*MAX(F421,0.1)^2),1/3)))),MAX($D$16,POWER((ABS(K421)^2)/($I$5*MAX(F421,0.1)^2),1/3))))))),MAX($D$16,POWER((ABS(K421)^2)/($I$5*MAX(F421,0.1)^2),1/3)))</f>
        <v>2.1389677043987478</v>
      </c>
      <c r="AI421">
        <f t="shared" ca="1" si="207"/>
        <v>634.52196770439878</v>
      </c>
      <c r="AJ421">
        <f t="shared" ca="1" si="208"/>
        <v>635.59145155659814</v>
      </c>
      <c r="AM421">
        <v>0</v>
      </c>
      <c r="AN421">
        <v>0</v>
      </c>
      <c r="AO421">
        <f t="shared" si="209"/>
        <v>0</v>
      </c>
      <c r="AP421">
        <f t="shared" si="218"/>
        <v>0</v>
      </c>
      <c r="AQ421">
        <f t="shared" ca="1" si="210"/>
        <v>1.0000000000000004</v>
      </c>
      <c r="AR421" t="str">
        <f t="shared" ca="1" si="211"/>
        <v>Supercritical</v>
      </c>
      <c r="AS421">
        <f t="shared" ca="1" si="212"/>
        <v>3.8141460404132466E-3</v>
      </c>
    </row>
    <row r="422" spans="1:45" x14ac:dyDescent="0.35">
      <c r="A422">
        <v>361</v>
      </c>
      <c r="B422">
        <v>359.99599999999998</v>
      </c>
      <c r="C422">
        <v>616272.00800000003</v>
      </c>
      <c r="D422">
        <v>3097602.3020000001</v>
      </c>
      <c r="E422">
        <v>632.38250000000005</v>
      </c>
      <c r="F422">
        <v>5.2</v>
      </c>
      <c r="G422">
        <v>0</v>
      </c>
      <c r="H422" t="s">
        <v>154</v>
      </c>
      <c r="I422">
        <v>7.8E-2</v>
      </c>
      <c r="J422">
        <f t="shared" si="213"/>
        <v>1</v>
      </c>
      <c r="K422">
        <f t="shared" ca="1" si="214"/>
        <v>50.95</v>
      </c>
      <c r="L422">
        <f t="shared" ca="1" si="215"/>
        <v>2.1389677043987478</v>
      </c>
      <c r="M422">
        <f t="shared" ca="1" si="188"/>
        <v>11.122632062873489</v>
      </c>
      <c r="N422">
        <f t="shared" ca="1" si="189"/>
        <v>1.1735290000551568</v>
      </c>
      <c r="O422">
        <f t="shared" ca="1" si="190"/>
        <v>4.5807502857230418</v>
      </c>
      <c r="P422">
        <f t="shared" ca="1" si="191"/>
        <v>634.52146770439879</v>
      </c>
      <c r="Q422">
        <f t="shared" ca="1" si="192"/>
        <v>635.59095155659816</v>
      </c>
      <c r="R422">
        <f t="shared" ca="1" si="193"/>
        <v>3.8141460404132466E-3</v>
      </c>
      <c r="S422">
        <f t="shared" ca="1" si="194"/>
        <v>1.0000000000000004</v>
      </c>
      <c r="T422">
        <f t="shared" ca="1" si="195"/>
        <v>35.686426155594638</v>
      </c>
      <c r="U422">
        <f t="shared" ca="1" si="216"/>
        <v>-3.4531789411857972E-3</v>
      </c>
      <c r="V422">
        <f t="shared" ca="1" si="217"/>
        <v>1</v>
      </c>
      <c r="W422">
        <f t="shared" ca="1" si="196"/>
        <v>1.7719121765352093</v>
      </c>
      <c r="X422">
        <f t="shared" ca="1" si="197"/>
        <v>9.2139433179830892</v>
      </c>
      <c r="Y422">
        <f t="shared" ca="1" si="198"/>
        <v>1.0537658289930751</v>
      </c>
      <c r="Z422">
        <f t="shared" ca="1" si="199"/>
        <v>5.5296628426788326</v>
      </c>
      <c r="AA422">
        <f t="shared" ca="1" si="200"/>
        <v>634.15441217653529</v>
      </c>
      <c r="AB422">
        <f t="shared" ca="1" si="201"/>
        <v>635.71288165429792</v>
      </c>
      <c r="AC422">
        <f t="shared" ca="1" si="202"/>
        <v>6.4158520491013988E-3</v>
      </c>
      <c r="AD422">
        <f t="shared" ca="1" si="203"/>
        <v>1.326303916575809</v>
      </c>
      <c r="AE422">
        <f t="shared" ca="1" si="204"/>
        <v>36.882448041343025</v>
      </c>
      <c r="AF422">
        <f t="shared" ca="1" si="205"/>
        <v>5.9859831754920378E-3</v>
      </c>
      <c r="AG422">
        <f t="shared" ca="1" si="206"/>
        <v>0</v>
      </c>
      <c r="AH422">
        <f ca="1">IFERROR(IF(V32="Supercritical",MAX($D$16,IFERROR(L422,MAX($D$16,POWER((ABS(K422)^2)/($I$5*MAX(F422,0.1)^2),1/3)))),IF(V32="Subcritical",MAX($D$16,IFERROR(W422,MAX($D$16,POWER((ABS(K422)^2)/($I$5*MAX(F422,0.1)^2),1/3)))),IF(AND(IFERROR(V422,0)=1,IFERROR(AG422,0)=1),IF(IFERROR(T422,-1E+99)&gt;=IFERROR(AE422,-1E+99),MAX($D$16,IFERROR(L422,MAX($D$16,POWER((ABS(K422)^2)/($I$5*MAX(F422,0.1)^2),1/3)))),MAX($D$16,IFERROR(W422,MAX($D$16,POWER((ABS(K422)^2)/($I$5*MAX(F422,0.1)^2),1/3))))),IF(IFERROR(V422,0)=1,MAX($D$16,IFERROR(L422,MAX($D$16,POWER((ABS(K422)^2)/($I$5*MAX(F422,0.1)^2),1/3)))),IF(IFERROR(AG422,0)=1,MAX($D$16,IFERROR(W422,MAX($D$16,POWER((ABS(K422)^2)/($I$5*MAX(F422,0.1)^2),1/3)))),MAX($D$16,POWER((ABS(K422)^2)/($I$5*MAX(F422,0.1)^2),1/3))))))),MAX($D$16,POWER((ABS(K422)^2)/($I$5*MAX(F422,0.1)^2),1/3)))</f>
        <v>2.1389677043987478</v>
      </c>
      <c r="AI422">
        <f t="shared" ca="1" si="207"/>
        <v>634.52146770439879</v>
      </c>
      <c r="AJ422">
        <f t="shared" ca="1" si="208"/>
        <v>635.59095155659816</v>
      </c>
      <c r="AM422">
        <v>0</v>
      </c>
      <c r="AN422">
        <v>0</v>
      </c>
      <c r="AO422">
        <f t="shared" si="209"/>
        <v>0</v>
      </c>
      <c r="AP422">
        <f t="shared" si="218"/>
        <v>0</v>
      </c>
      <c r="AQ422">
        <f t="shared" ca="1" si="210"/>
        <v>1.0000000000000004</v>
      </c>
      <c r="AR422" t="str">
        <f t="shared" ca="1" si="211"/>
        <v>Supercritical</v>
      </c>
      <c r="AS422">
        <f t="shared" ca="1" si="212"/>
        <v>3.8141460404132466E-3</v>
      </c>
    </row>
    <row r="423" spans="1:45" x14ac:dyDescent="0.35">
      <c r="A423">
        <v>362</v>
      </c>
      <c r="B423">
        <v>360.99599999999998</v>
      </c>
      <c r="C423">
        <v>616271.53399999999</v>
      </c>
      <c r="D423">
        <v>3097601.4210000001</v>
      </c>
      <c r="E423">
        <v>632.38199999999995</v>
      </c>
      <c r="F423">
        <v>5.2</v>
      </c>
      <c r="G423">
        <v>0</v>
      </c>
      <c r="H423" t="s">
        <v>154</v>
      </c>
      <c r="I423">
        <v>2.7E-2</v>
      </c>
      <c r="J423">
        <f t="shared" si="213"/>
        <v>1</v>
      </c>
      <c r="K423">
        <f t="shared" ca="1" si="214"/>
        <v>50.95</v>
      </c>
      <c r="L423">
        <f t="shared" ca="1" si="215"/>
        <v>2.1389677043987478</v>
      </c>
      <c r="M423">
        <f t="shared" ca="1" si="188"/>
        <v>11.122632062873489</v>
      </c>
      <c r="N423">
        <f t="shared" ca="1" si="189"/>
        <v>1.1735290000551568</v>
      </c>
      <c r="O423">
        <f t="shared" ca="1" si="190"/>
        <v>4.5807502857230418</v>
      </c>
      <c r="P423">
        <f t="shared" ca="1" si="191"/>
        <v>634.52096770439869</v>
      </c>
      <c r="Q423">
        <f t="shared" ca="1" si="192"/>
        <v>635.59045155659805</v>
      </c>
      <c r="R423">
        <f t="shared" ca="1" si="193"/>
        <v>3.8141460404132466E-3</v>
      </c>
      <c r="S423">
        <f t="shared" ca="1" si="194"/>
        <v>1.0000000000000004</v>
      </c>
      <c r="T423">
        <f t="shared" ca="1" si="195"/>
        <v>35.686426155594638</v>
      </c>
      <c r="U423">
        <f t="shared" ca="1" si="216"/>
        <v>-3.3622728136606383E-3</v>
      </c>
      <c r="V423">
        <f t="shared" ca="1" si="217"/>
        <v>1</v>
      </c>
      <c r="W423">
        <f t="shared" ca="1" si="196"/>
        <v>1.7683631635475472</v>
      </c>
      <c r="X423">
        <f t="shared" ca="1" si="197"/>
        <v>9.1954884504472449</v>
      </c>
      <c r="Y423">
        <f t="shared" ca="1" si="198"/>
        <v>1.0525096135756704</v>
      </c>
      <c r="Z423">
        <f t="shared" ca="1" si="199"/>
        <v>5.5407605886908513</v>
      </c>
      <c r="AA423">
        <f t="shared" ca="1" si="200"/>
        <v>634.15036316354747</v>
      </c>
      <c r="AB423">
        <f t="shared" ca="1" si="201"/>
        <v>635.71509445310858</v>
      </c>
      <c r="AC423">
        <f t="shared" ca="1" si="202"/>
        <v>6.4518836432541958E-3</v>
      </c>
      <c r="AD423">
        <f t="shared" ca="1" si="203"/>
        <v>1.3302986537805512</v>
      </c>
      <c r="AE423">
        <f t="shared" ca="1" si="204"/>
        <v>36.907418525724893</v>
      </c>
      <c r="AF423">
        <f t="shared" ca="1" si="205"/>
        <v>6.0158446676723543E-3</v>
      </c>
      <c r="AG423">
        <f t="shared" ca="1" si="206"/>
        <v>0</v>
      </c>
      <c r="AH423">
        <f ca="1">IFERROR(IF(V32="Supercritical",MAX($D$16,IFERROR(L423,MAX($D$16,POWER((ABS(K423)^2)/($I$5*MAX(F423,0.1)^2),1/3)))),IF(V32="Subcritical",MAX($D$16,IFERROR(W423,MAX($D$16,POWER((ABS(K423)^2)/($I$5*MAX(F423,0.1)^2),1/3)))),IF(AND(IFERROR(V423,0)=1,IFERROR(AG423,0)=1),IF(IFERROR(T423,-1E+99)&gt;=IFERROR(AE423,-1E+99),MAX($D$16,IFERROR(L423,MAX($D$16,POWER((ABS(K423)^2)/($I$5*MAX(F423,0.1)^2),1/3)))),MAX($D$16,IFERROR(W423,MAX($D$16,POWER((ABS(K423)^2)/($I$5*MAX(F423,0.1)^2),1/3))))),IF(IFERROR(V423,0)=1,MAX($D$16,IFERROR(L423,MAX($D$16,POWER((ABS(K423)^2)/($I$5*MAX(F423,0.1)^2),1/3)))),IF(IFERROR(AG423,0)=1,MAX($D$16,IFERROR(W423,MAX($D$16,POWER((ABS(K423)^2)/($I$5*MAX(F423,0.1)^2),1/3)))),MAX($D$16,POWER((ABS(K423)^2)/($I$5*MAX(F423,0.1)^2),1/3))))))),MAX($D$16,POWER((ABS(K423)^2)/($I$5*MAX(F423,0.1)^2),1/3)))</f>
        <v>2.1389677043987478</v>
      </c>
      <c r="AI423">
        <f t="shared" ca="1" si="207"/>
        <v>634.52096770439869</v>
      </c>
      <c r="AJ423">
        <f t="shared" ca="1" si="208"/>
        <v>635.59045155659805</v>
      </c>
      <c r="AM423">
        <v>0</v>
      </c>
      <c r="AN423">
        <v>0</v>
      </c>
      <c r="AO423">
        <f t="shared" si="209"/>
        <v>0</v>
      </c>
      <c r="AP423">
        <f t="shared" si="218"/>
        <v>0</v>
      </c>
      <c r="AQ423">
        <f t="shared" ca="1" si="210"/>
        <v>1.0000000000000004</v>
      </c>
      <c r="AR423" t="str">
        <f t="shared" ca="1" si="211"/>
        <v>Supercritical</v>
      </c>
      <c r="AS423">
        <f t="shared" ca="1" si="212"/>
        <v>3.8141460404132466E-3</v>
      </c>
    </row>
    <row r="424" spans="1:45" x14ac:dyDescent="0.35">
      <c r="A424">
        <v>363</v>
      </c>
      <c r="B424">
        <v>361.995</v>
      </c>
      <c r="C424">
        <v>616271.06000000006</v>
      </c>
      <c r="D424">
        <v>3097600.5410000002</v>
      </c>
      <c r="E424">
        <v>632.38149999999996</v>
      </c>
      <c r="F424">
        <v>5.2</v>
      </c>
      <c r="G424">
        <v>0</v>
      </c>
      <c r="H424" t="s">
        <v>154</v>
      </c>
      <c r="I424">
        <v>2.7E-2</v>
      </c>
      <c r="J424">
        <f t="shared" si="213"/>
        <v>0.99900000000002365</v>
      </c>
      <c r="K424">
        <f t="shared" ca="1" si="214"/>
        <v>50.95</v>
      </c>
      <c r="L424">
        <f t="shared" ca="1" si="215"/>
        <v>2.1389677043987478</v>
      </c>
      <c r="M424">
        <f t="shared" ca="1" si="188"/>
        <v>11.122632062873489</v>
      </c>
      <c r="N424">
        <f t="shared" ca="1" si="189"/>
        <v>1.1735290000551568</v>
      </c>
      <c r="O424">
        <f t="shared" ca="1" si="190"/>
        <v>4.5807502857230418</v>
      </c>
      <c r="P424">
        <f t="shared" ca="1" si="191"/>
        <v>634.5204677043987</v>
      </c>
      <c r="Q424">
        <f t="shared" ca="1" si="192"/>
        <v>635.58995155659807</v>
      </c>
      <c r="R424">
        <f t="shared" ca="1" si="193"/>
        <v>3.8141460404132466E-3</v>
      </c>
      <c r="S424">
        <f t="shared" ca="1" si="194"/>
        <v>1.0000000000000004</v>
      </c>
      <c r="T424">
        <f t="shared" ca="1" si="195"/>
        <v>35.686426155594638</v>
      </c>
      <c r="U424">
        <f t="shared" ca="1" si="216"/>
        <v>-3.3584586676624895E-3</v>
      </c>
      <c r="V424">
        <f t="shared" ca="1" si="217"/>
        <v>1</v>
      </c>
      <c r="W424">
        <f t="shared" ca="1" si="196"/>
        <v>1.7649703362846076</v>
      </c>
      <c r="X424">
        <f t="shared" ca="1" si="197"/>
        <v>9.1778457486799603</v>
      </c>
      <c r="Y424">
        <f t="shared" ca="1" si="198"/>
        <v>1.0513067720515135</v>
      </c>
      <c r="Z424">
        <f t="shared" ca="1" si="199"/>
        <v>5.5514116705794585</v>
      </c>
      <c r="AA424">
        <f t="shared" ca="1" si="200"/>
        <v>634.14647033628455</v>
      </c>
      <c r="AB424">
        <f t="shared" ca="1" si="201"/>
        <v>635.71722321784648</v>
      </c>
      <c r="AC424">
        <f t="shared" ca="1" si="202"/>
        <v>6.4865948111041934E-3</v>
      </c>
      <c r="AD424">
        <f t="shared" ca="1" si="203"/>
        <v>1.3341363743060883</v>
      </c>
      <c r="AE424">
        <f t="shared" ca="1" si="204"/>
        <v>36.931568061248576</v>
      </c>
      <c r="AF424">
        <f t="shared" ca="1" si="205"/>
        <v>6.06376528560304E-3</v>
      </c>
      <c r="AG424">
        <f t="shared" ca="1" si="206"/>
        <v>0</v>
      </c>
      <c r="AH424">
        <f ca="1">IFERROR(IF(V32="Supercritical",MAX($D$16,IFERROR(L424,MAX($D$16,POWER((ABS(K424)^2)/($I$5*MAX(F424,0.1)^2),1/3)))),IF(V32="Subcritical",MAX($D$16,IFERROR(W424,MAX($D$16,POWER((ABS(K424)^2)/($I$5*MAX(F424,0.1)^2),1/3)))),IF(AND(IFERROR(V424,0)=1,IFERROR(AG424,0)=1),IF(IFERROR(T424,-1E+99)&gt;=IFERROR(AE424,-1E+99),MAX($D$16,IFERROR(L424,MAX($D$16,POWER((ABS(K424)^2)/($I$5*MAX(F424,0.1)^2),1/3)))),MAX($D$16,IFERROR(W424,MAX($D$16,POWER((ABS(K424)^2)/($I$5*MAX(F424,0.1)^2),1/3))))),IF(IFERROR(V424,0)=1,MAX($D$16,IFERROR(L424,MAX($D$16,POWER((ABS(K424)^2)/($I$5*MAX(F424,0.1)^2),1/3)))),IF(IFERROR(AG424,0)=1,MAX($D$16,IFERROR(W424,MAX($D$16,POWER((ABS(K424)^2)/($I$5*MAX(F424,0.1)^2),1/3)))),MAX($D$16,POWER((ABS(K424)^2)/($I$5*MAX(F424,0.1)^2),1/3))))))),MAX($D$16,POWER((ABS(K424)^2)/($I$5*MAX(F424,0.1)^2),1/3)))</f>
        <v>2.1389677043987478</v>
      </c>
      <c r="AI424">
        <f t="shared" ca="1" si="207"/>
        <v>634.5204677043987</v>
      </c>
      <c r="AJ424">
        <f t="shared" ca="1" si="208"/>
        <v>635.58995155659807</v>
      </c>
      <c r="AM424">
        <v>0</v>
      </c>
      <c r="AN424">
        <v>0</v>
      </c>
      <c r="AO424">
        <f t="shared" si="209"/>
        <v>0</v>
      </c>
      <c r="AP424">
        <f t="shared" si="218"/>
        <v>0</v>
      </c>
      <c r="AQ424">
        <f t="shared" ca="1" si="210"/>
        <v>1.0000000000000004</v>
      </c>
      <c r="AR424" t="str">
        <f t="shared" ca="1" si="211"/>
        <v>Supercritical</v>
      </c>
      <c r="AS424">
        <f t="shared" ca="1" si="212"/>
        <v>3.8141460404132466E-3</v>
      </c>
    </row>
    <row r="425" spans="1:45" x14ac:dyDescent="0.35">
      <c r="A425">
        <v>364</v>
      </c>
      <c r="B425">
        <v>362.99599999999998</v>
      </c>
      <c r="C425">
        <v>616270.58600000001</v>
      </c>
      <c r="D425">
        <v>3097599.66</v>
      </c>
      <c r="E425">
        <v>632.38099999999997</v>
      </c>
      <c r="F425">
        <v>5.2</v>
      </c>
      <c r="G425">
        <v>0</v>
      </c>
      <c r="H425" t="s">
        <v>154</v>
      </c>
      <c r="I425">
        <v>2.7E-2</v>
      </c>
      <c r="J425">
        <f t="shared" si="213"/>
        <v>1.0009999999999764</v>
      </c>
      <c r="K425">
        <f t="shared" ca="1" si="214"/>
        <v>50.95</v>
      </c>
      <c r="L425">
        <f t="shared" ca="1" si="215"/>
        <v>2.1389677043987478</v>
      </c>
      <c r="M425">
        <f t="shared" ca="1" si="188"/>
        <v>11.122632062873489</v>
      </c>
      <c r="N425">
        <f t="shared" ca="1" si="189"/>
        <v>1.1735290000551568</v>
      </c>
      <c r="O425">
        <f t="shared" ca="1" si="190"/>
        <v>4.5807502857230418</v>
      </c>
      <c r="P425">
        <f t="shared" ca="1" si="191"/>
        <v>634.51996770439871</v>
      </c>
      <c r="Q425">
        <f t="shared" ca="1" si="192"/>
        <v>635.58945155659808</v>
      </c>
      <c r="R425">
        <f t="shared" ca="1" si="193"/>
        <v>3.8141460404132466E-3</v>
      </c>
      <c r="S425">
        <f t="shared" ca="1" si="194"/>
        <v>1.0000000000000004</v>
      </c>
      <c r="T425">
        <f t="shared" ca="1" si="195"/>
        <v>35.686426155594638</v>
      </c>
      <c r="U425">
        <f t="shared" ca="1" si="216"/>
        <v>-3.3660869597724741E-3</v>
      </c>
      <c r="V425">
        <f t="shared" ca="1" si="217"/>
        <v>1</v>
      </c>
      <c r="W425">
        <f t="shared" ca="1" si="196"/>
        <v>1.7617307035651657</v>
      </c>
      <c r="X425">
        <f t="shared" ca="1" si="197"/>
        <v>9.1609996585388611</v>
      </c>
      <c r="Y425">
        <f t="shared" ca="1" si="198"/>
        <v>1.0501564953392122</v>
      </c>
      <c r="Z425">
        <f t="shared" ca="1" si="199"/>
        <v>5.5616201177903219</v>
      </c>
      <c r="AA425">
        <f t="shared" ca="1" si="200"/>
        <v>634.14273070356512</v>
      </c>
      <c r="AB425">
        <f t="shared" ca="1" si="201"/>
        <v>635.71926578687862</v>
      </c>
      <c r="AC425">
        <f t="shared" ca="1" si="202"/>
        <v>6.5199830052727198E-3</v>
      </c>
      <c r="AD425">
        <f t="shared" ca="1" si="203"/>
        <v>1.3378180648795621</v>
      </c>
      <c r="AE425">
        <f t="shared" ca="1" si="204"/>
        <v>36.954881906717191</v>
      </c>
      <c r="AF425">
        <f t="shared" ca="1" si="205"/>
        <v>6.1448409459217146E-3</v>
      </c>
      <c r="AG425">
        <f t="shared" ca="1" si="206"/>
        <v>0</v>
      </c>
      <c r="AH425">
        <f ca="1">IFERROR(IF(V32="Supercritical",MAX($D$16,IFERROR(L425,MAX($D$16,POWER((ABS(K425)^2)/($I$5*MAX(F425,0.1)^2),1/3)))),IF(V32="Subcritical",MAX($D$16,IFERROR(W425,MAX($D$16,POWER((ABS(K425)^2)/($I$5*MAX(F425,0.1)^2),1/3)))),IF(AND(IFERROR(V425,0)=1,IFERROR(AG425,0)=1),IF(IFERROR(T425,-1E+99)&gt;=IFERROR(AE425,-1E+99),MAX($D$16,IFERROR(L425,MAX($D$16,POWER((ABS(K425)^2)/($I$5*MAX(F425,0.1)^2),1/3)))),MAX($D$16,IFERROR(W425,MAX($D$16,POWER((ABS(K425)^2)/($I$5*MAX(F425,0.1)^2),1/3))))),IF(IFERROR(V425,0)=1,MAX($D$16,IFERROR(L425,MAX($D$16,POWER((ABS(K425)^2)/($I$5*MAX(F425,0.1)^2),1/3)))),IF(IFERROR(AG425,0)=1,MAX($D$16,IFERROR(W425,MAX($D$16,POWER((ABS(K425)^2)/($I$5*MAX(F425,0.1)^2),1/3)))),MAX($D$16,POWER((ABS(K425)^2)/($I$5*MAX(F425,0.1)^2),1/3))))))),MAX($D$16,POWER((ABS(K425)^2)/($I$5*MAX(F425,0.1)^2),1/3)))</f>
        <v>2.1389677043987478</v>
      </c>
      <c r="AI425">
        <f t="shared" ca="1" si="207"/>
        <v>634.51996770439871</v>
      </c>
      <c r="AJ425">
        <f t="shared" ca="1" si="208"/>
        <v>635.58945155659808</v>
      </c>
      <c r="AM425">
        <v>0</v>
      </c>
      <c r="AN425">
        <v>0</v>
      </c>
      <c r="AO425">
        <f t="shared" si="209"/>
        <v>0</v>
      </c>
      <c r="AP425">
        <f t="shared" si="218"/>
        <v>0</v>
      </c>
      <c r="AQ425">
        <f t="shared" ca="1" si="210"/>
        <v>1.0000000000000004</v>
      </c>
      <c r="AR425" t="str">
        <f t="shared" ca="1" si="211"/>
        <v>Supercritical</v>
      </c>
      <c r="AS425">
        <f t="shared" ca="1" si="212"/>
        <v>3.8141460404132466E-3</v>
      </c>
    </row>
    <row r="426" spans="1:45" x14ac:dyDescent="0.35">
      <c r="A426">
        <v>365</v>
      </c>
      <c r="B426">
        <v>363.995</v>
      </c>
      <c r="C426">
        <v>616270.11199999996</v>
      </c>
      <c r="D426">
        <v>3097598.78</v>
      </c>
      <c r="E426">
        <v>632.38049999999998</v>
      </c>
      <c r="F426">
        <v>5.2</v>
      </c>
      <c r="G426">
        <v>0</v>
      </c>
      <c r="H426" t="s">
        <v>154</v>
      </c>
      <c r="I426">
        <v>0.05</v>
      </c>
      <c r="J426">
        <f t="shared" si="213"/>
        <v>0.99900000000002365</v>
      </c>
      <c r="K426">
        <f t="shared" ca="1" si="214"/>
        <v>50.95</v>
      </c>
      <c r="L426">
        <f t="shared" ca="1" si="215"/>
        <v>2.1389677043987478</v>
      </c>
      <c r="M426">
        <f t="shared" ca="1" si="188"/>
        <v>11.122632062873489</v>
      </c>
      <c r="N426">
        <f t="shared" ca="1" si="189"/>
        <v>1.1735290000551568</v>
      </c>
      <c r="O426">
        <f t="shared" ca="1" si="190"/>
        <v>4.5807502857230418</v>
      </c>
      <c r="P426">
        <f t="shared" ca="1" si="191"/>
        <v>634.51946770439872</v>
      </c>
      <c r="Q426">
        <f t="shared" ca="1" si="192"/>
        <v>635.58895155659809</v>
      </c>
      <c r="R426">
        <f t="shared" ca="1" si="193"/>
        <v>3.8141460404132466E-3</v>
      </c>
      <c r="S426">
        <f t="shared" ca="1" si="194"/>
        <v>1.0000000000000004</v>
      </c>
      <c r="T426">
        <f t="shared" ca="1" si="195"/>
        <v>35.686426155594638</v>
      </c>
      <c r="U426">
        <f t="shared" ca="1" si="216"/>
        <v>-3.3994555486742684E-3</v>
      </c>
      <c r="V426">
        <f t="shared" ca="1" si="217"/>
        <v>1</v>
      </c>
      <c r="W426">
        <f t="shared" ca="1" si="196"/>
        <v>1.7586409173263342</v>
      </c>
      <c r="X426">
        <f t="shared" ca="1" si="197"/>
        <v>9.1449327700969381</v>
      </c>
      <c r="Y426">
        <f t="shared" ca="1" si="198"/>
        <v>1.0490578305893798</v>
      </c>
      <c r="Z426">
        <f t="shared" ca="1" si="199"/>
        <v>5.5713914230842319</v>
      </c>
      <c r="AA426">
        <f t="shared" ca="1" si="200"/>
        <v>634.13914091732636</v>
      </c>
      <c r="AB426">
        <f t="shared" ca="1" si="201"/>
        <v>635.72122054980423</v>
      </c>
      <c r="AC426">
        <f t="shared" ca="1" si="202"/>
        <v>6.5520512757510276E-3</v>
      </c>
      <c r="AD426">
        <f t="shared" ca="1" si="203"/>
        <v>1.3413452660784735</v>
      </c>
      <c r="AE426">
        <f t="shared" ca="1" si="204"/>
        <v>36.977350229745724</v>
      </c>
      <c r="AF426">
        <f t="shared" ca="1" si="205"/>
        <v>6.2577216280033099E-3</v>
      </c>
      <c r="AG426">
        <f t="shared" ca="1" si="206"/>
        <v>0</v>
      </c>
      <c r="AH426">
        <f ca="1">IFERROR(IF(V32="Supercritical",MAX($D$16,IFERROR(L426,MAX($D$16,POWER((ABS(K426)^2)/($I$5*MAX(F426,0.1)^2),1/3)))),IF(V32="Subcritical",MAX($D$16,IFERROR(W426,MAX($D$16,POWER((ABS(K426)^2)/($I$5*MAX(F426,0.1)^2),1/3)))),IF(AND(IFERROR(V426,0)=1,IFERROR(AG426,0)=1),IF(IFERROR(T426,-1E+99)&gt;=IFERROR(AE426,-1E+99),MAX($D$16,IFERROR(L426,MAX($D$16,POWER((ABS(K426)^2)/($I$5*MAX(F426,0.1)^2),1/3)))),MAX($D$16,IFERROR(W426,MAX($D$16,POWER((ABS(K426)^2)/($I$5*MAX(F426,0.1)^2),1/3))))),IF(IFERROR(V426,0)=1,MAX($D$16,IFERROR(L426,MAX($D$16,POWER((ABS(K426)^2)/($I$5*MAX(F426,0.1)^2),1/3)))),IF(IFERROR(AG426,0)=1,MAX($D$16,IFERROR(W426,MAX($D$16,POWER((ABS(K426)^2)/($I$5*MAX(F426,0.1)^2),1/3)))),MAX($D$16,POWER((ABS(K426)^2)/($I$5*MAX(F426,0.1)^2),1/3))))))),MAX($D$16,POWER((ABS(K426)^2)/($I$5*MAX(F426,0.1)^2),1/3)))</f>
        <v>2.1389677043987478</v>
      </c>
      <c r="AI426">
        <f t="shared" ca="1" si="207"/>
        <v>634.51946770439872</v>
      </c>
      <c r="AJ426">
        <f t="shared" ca="1" si="208"/>
        <v>635.58895155659809</v>
      </c>
      <c r="AM426">
        <v>0</v>
      </c>
      <c r="AN426">
        <v>0</v>
      </c>
      <c r="AO426">
        <f t="shared" si="209"/>
        <v>0</v>
      </c>
      <c r="AP426">
        <f t="shared" si="218"/>
        <v>0</v>
      </c>
      <c r="AQ426">
        <f t="shared" ca="1" si="210"/>
        <v>1.0000000000000004</v>
      </c>
      <c r="AR426" t="str">
        <f t="shared" ca="1" si="211"/>
        <v>Supercritical</v>
      </c>
      <c r="AS426">
        <f t="shared" ca="1" si="212"/>
        <v>3.8141460404132466E-3</v>
      </c>
    </row>
    <row r="427" spans="1:45" x14ac:dyDescent="0.35">
      <c r="A427">
        <v>366</v>
      </c>
      <c r="B427">
        <v>364.995</v>
      </c>
      <c r="C427">
        <v>616269.63699999999</v>
      </c>
      <c r="D427">
        <v>3097597.9</v>
      </c>
      <c r="E427">
        <v>632.38</v>
      </c>
      <c r="F427">
        <v>5.2</v>
      </c>
      <c r="G427">
        <v>0</v>
      </c>
      <c r="H427" t="s">
        <v>154</v>
      </c>
      <c r="I427">
        <v>7.8E-2</v>
      </c>
      <c r="J427">
        <f t="shared" si="213"/>
        <v>1</v>
      </c>
      <c r="K427">
        <f t="shared" ca="1" si="214"/>
        <v>50.95</v>
      </c>
      <c r="L427">
        <f t="shared" ca="1" si="215"/>
        <v>2.1389677043987478</v>
      </c>
      <c r="M427">
        <f t="shared" ca="1" si="188"/>
        <v>11.122632062873489</v>
      </c>
      <c r="N427">
        <f t="shared" ca="1" si="189"/>
        <v>1.1735290000551568</v>
      </c>
      <c r="O427">
        <f t="shared" ca="1" si="190"/>
        <v>4.5807502857230418</v>
      </c>
      <c r="P427">
        <f t="shared" ca="1" si="191"/>
        <v>634.51896770439873</v>
      </c>
      <c r="Q427">
        <f t="shared" ca="1" si="192"/>
        <v>635.5884515565981</v>
      </c>
      <c r="R427">
        <f t="shared" ca="1" si="193"/>
        <v>3.8141460404132466E-3</v>
      </c>
      <c r="S427">
        <f t="shared" ca="1" si="194"/>
        <v>1.0000000000000004</v>
      </c>
      <c r="T427">
        <f t="shared" ca="1" si="195"/>
        <v>35.686426155594638</v>
      </c>
      <c r="U427">
        <f t="shared" ca="1" si="216"/>
        <v>-3.4531789411857972E-3</v>
      </c>
      <c r="V427">
        <f t="shared" ca="1" si="217"/>
        <v>1</v>
      </c>
      <c r="W427">
        <f t="shared" ca="1" si="196"/>
        <v>1.7556973189165939</v>
      </c>
      <c r="X427">
        <f t="shared" ca="1" si="197"/>
        <v>9.1296260583662878</v>
      </c>
      <c r="Y427">
        <f t="shared" ca="1" si="198"/>
        <v>1.0480096974044477</v>
      </c>
      <c r="Z427">
        <f t="shared" ca="1" si="199"/>
        <v>5.5807324061547945</v>
      </c>
      <c r="AA427">
        <f t="shared" ca="1" si="200"/>
        <v>634.13569731891664</v>
      </c>
      <c r="AB427">
        <f t="shared" ca="1" si="201"/>
        <v>635.72308642131759</v>
      </c>
      <c r="AC427">
        <f t="shared" ca="1" si="202"/>
        <v>6.5828078844675777E-3</v>
      </c>
      <c r="AD427">
        <f t="shared" ca="1" si="203"/>
        <v>1.3447200245714905</v>
      </c>
      <c r="AE427">
        <f t="shared" ca="1" si="204"/>
        <v>36.998967824784813</v>
      </c>
      <c r="AF427">
        <f t="shared" ca="1" si="205"/>
        <v>6.1608232019807474E-3</v>
      </c>
      <c r="AG427">
        <f t="shared" ca="1" si="206"/>
        <v>0</v>
      </c>
      <c r="AH427">
        <f ca="1">IFERROR(IF(V32="Supercritical",MAX($D$16,IFERROR(L427,MAX($D$16,POWER((ABS(K427)^2)/($I$5*MAX(F427,0.1)^2),1/3)))),IF(V32="Subcritical",MAX($D$16,IFERROR(W427,MAX($D$16,POWER((ABS(K427)^2)/($I$5*MAX(F427,0.1)^2),1/3)))),IF(AND(IFERROR(V427,0)=1,IFERROR(AG427,0)=1),IF(IFERROR(T427,-1E+99)&gt;=IFERROR(AE427,-1E+99),MAX($D$16,IFERROR(L427,MAX($D$16,POWER((ABS(K427)^2)/($I$5*MAX(F427,0.1)^2),1/3)))),MAX($D$16,IFERROR(W427,MAX($D$16,POWER((ABS(K427)^2)/($I$5*MAX(F427,0.1)^2),1/3))))),IF(IFERROR(V427,0)=1,MAX($D$16,IFERROR(L427,MAX($D$16,POWER((ABS(K427)^2)/($I$5*MAX(F427,0.1)^2),1/3)))),IF(IFERROR(AG427,0)=1,MAX($D$16,IFERROR(W427,MAX($D$16,POWER((ABS(K427)^2)/($I$5*MAX(F427,0.1)^2),1/3)))),MAX($D$16,POWER((ABS(K427)^2)/($I$5*MAX(F427,0.1)^2),1/3))))))),MAX($D$16,POWER((ABS(K427)^2)/($I$5*MAX(F427,0.1)^2),1/3)))</f>
        <v>2.1389677043987478</v>
      </c>
      <c r="AI427">
        <f t="shared" ca="1" si="207"/>
        <v>634.51896770439873</v>
      </c>
      <c r="AJ427">
        <f t="shared" ca="1" si="208"/>
        <v>635.5884515565981</v>
      </c>
      <c r="AM427">
        <v>0</v>
      </c>
      <c r="AN427">
        <v>0</v>
      </c>
      <c r="AO427">
        <f t="shared" si="209"/>
        <v>0</v>
      </c>
      <c r="AP427">
        <f t="shared" si="218"/>
        <v>0</v>
      </c>
      <c r="AQ427">
        <f t="shared" ca="1" si="210"/>
        <v>1.0000000000000004</v>
      </c>
      <c r="AR427" t="str">
        <f t="shared" ca="1" si="211"/>
        <v>Supercritical</v>
      </c>
      <c r="AS427">
        <f t="shared" ca="1" si="212"/>
        <v>3.8141460404132466E-3</v>
      </c>
    </row>
    <row r="428" spans="1:45" x14ac:dyDescent="0.35">
      <c r="A428">
        <v>367</v>
      </c>
      <c r="B428">
        <v>365.99599999999998</v>
      </c>
      <c r="C428">
        <v>616269.16299999994</v>
      </c>
      <c r="D428">
        <v>3097597.0189999999</v>
      </c>
      <c r="E428">
        <v>632.37950000000001</v>
      </c>
      <c r="F428">
        <v>5.2</v>
      </c>
      <c r="G428">
        <v>0</v>
      </c>
      <c r="H428" t="s">
        <v>154</v>
      </c>
      <c r="I428">
        <v>2.7E-2</v>
      </c>
      <c r="J428">
        <f t="shared" si="213"/>
        <v>1.0009999999999764</v>
      </c>
      <c r="K428">
        <f t="shared" ca="1" si="214"/>
        <v>50.95</v>
      </c>
      <c r="L428">
        <f t="shared" ca="1" si="215"/>
        <v>2.1389677043987478</v>
      </c>
      <c r="M428">
        <f t="shared" ca="1" si="188"/>
        <v>11.122632062873489</v>
      </c>
      <c r="N428">
        <f t="shared" ca="1" si="189"/>
        <v>1.1735290000551568</v>
      </c>
      <c r="O428">
        <f t="shared" ca="1" si="190"/>
        <v>4.5807502857230418</v>
      </c>
      <c r="P428">
        <f t="shared" ca="1" si="191"/>
        <v>634.51846770439874</v>
      </c>
      <c r="Q428">
        <f t="shared" ca="1" si="192"/>
        <v>635.58795155659811</v>
      </c>
      <c r="R428">
        <f t="shared" ca="1" si="193"/>
        <v>3.8141460404132466E-3</v>
      </c>
      <c r="S428">
        <f t="shared" ca="1" si="194"/>
        <v>1.0000000000000004</v>
      </c>
      <c r="T428">
        <f t="shared" ca="1" si="195"/>
        <v>35.686426155594638</v>
      </c>
      <c r="U428">
        <f t="shared" ca="1" si="216"/>
        <v>-3.3660869597724741E-3</v>
      </c>
      <c r="V428">
        <f t="shared" ca="1" si="217"/>
        <v>1</v>
      </c>
      <c r="W428">
        <f t="shared" ca="1" si="196"/>
        <v>1.7528959843656589</v>
      </c>
      <c r="X428">
        <f t="shared" ca="1" si="197"/>
        <v>9.115059118701426</v>
      </c>
      <c r="Y428">
        <f t="shared" ca="1" si="198"/>
        <v>1.0470109039407416</v>
      </c>
      <c r="Z428">
        <f t="shared" ca="1" si="199"/>
        <v>5.5896510748312709</v>
      </c>
      <c r="AA428">
        <f t="shared" ca="1" si="200"/>
        <v>634.13239598436564</v>
      </c>
      <c r="AB428">
        <f t="shared" ca="1" si="201"/>
        <v>635.72486281098963</v>
      </c>
      <c r="AC428">
        <f t="shared" ca="1" si="202"/>
        <v>6.6122658931440396E-3</v>
      </c>
      <c r="AD428">
        <f t="shared" ca="1" si="203"/>
        <v>1.3479448439540975</v>
      </c>
      <c r="AE428">
        <f t="shared" ca="1" si="204"/>
        <v>37.019733801710416</v>
      </c>
      <c r="AF428">
        <f t="shared" ca="1" si="205"/>
        <v>6.1773146344421548E-3</v>
      </c>
      <c r="AG428">
        <f t="shared" ca="1" si="206"/>
        <v>0</v>
      </c>
      <c r="AH428">
        <f ca="1">IFERROR(IF(V32="Supercritical",MAX($D$16,IFERROR(L428,MAX($D$16,POWER((ABS(K428)^2)/($I$5*MAX(F428,0.1)^2),1/3)))),IF(V32="Subcritical",MAX($D$16,IFERROR(W428,MAX($D$16,POWER((ABS(K428)^2)/($I$5*MAX(F428,0.1)^2),1/3)))),IF(AND(IFERROR(V428,0)=1,IFERROR(AG428,0)=1),IF(IFERROR(T428,-1E+99)&gt;=IFERROR(AE428,-1E+99),MAX($D$16,IFERROR(L428,MAX($D$16,POWER((ABS(K428)^2)/($I$5*MAX(F428,0.1)^2),1/3)))),MAX($D$16,IFERROR(W428,MAX($D$16,POWER((ABS(K428)^2)/($I$5*MAX(F428,0.1)^2),1/3))))),IF(IFERROR(V428,0)=1,MAX($D$16,IFERROR(L428,MAX($D$16,POWER((ABS(K428)^2)/($I$5*MAX(F428,0.1)^2),1/3)))),IF(IFERROR(AG428,0)=1,MAX($D$16,IFERROR(W428,MAX($D$16,POWER((ABS(K428)^2)/($I$5*MAX(F428,0.1)^2),1/3)))),MAX($D$16,POWER((ABS(K428)^2)/($I$5*MAX(F428,0.1)^2),1/3))))))),MAX($D$16,POWER((ABS(K428)^2)/($I$5*MAX(F428,0.1)^2),1/3)))</f>
        <v>2.1389677043987478</v>
      </c>
      <c r="AI428">
        <f t="shared" ca="1" si="207"/>
        <v>634.51846770439874</v>
      </c>
      <c r="AJ428">
        <f t="shared" ca="1" si="208"/>
        <v>635.58795155659811</v>
      </c>
      <c r="AM428">
        <v>0</v>
      </c>
      <c r="AN428">
        <v>0</v>
      </c>
      <c r="AO428">
        <f t="shared" si="209"/>
        <v>0</v>
      </c>
      <c r="AP428">
        <f t="shared" si="218"/>
        <v>0</v>
      </c>
      <c r="AQ428">
        <f t="shared" ca="1" si="210"/>
        <v>1.0000000000000004</v>
      </c>
      <c r="AR428" t="str">
        <f t="shared" ca="1" si="211"/>
        <v>Supercritical</v>
      </c>
      <c r="AS428">
        <f t="shared" ca="1" si="212"/>
        <v>3.8141460404132466E-3</v>
      </c>
    </row>
    <row r="429" spans="1:45" x14ac:dyDescent="0.35">
      <c r="A429">
        <v>368</v>
      </c>
      <c r="B429">
        <v>366.995</v>
      </c>
      <c r="C429">
        <v>616268.68900000001</v>
      </c>
      <c r="D429">
        <v>3097596.139</v>
      </c>
      <c r="E429">
        <v>632.37900000000002</v>
      </c>
      <c r="F429">
        <v>5.2</v>
      </c>
      <c r="G429">
        <v>0</v>
      </c>
      <c r="H429" t="s">
        <v>154</v>
      </c>
      <c r="I429">
        <v>2.7E-2</v>
      </c>
      <c r="J429">
        <f t="shared" si="213"/>
        <v>0.99900000000002365</v>
      </c>
      <c r="K429">
        <f t="shared" ca="1" si="214"/>
        <v>50.95</v>
      </c>
      <c r="L429">
        <f t="shared" ca="1" si="215"/>
        <v>2.1389677043987478</v>
      </c>
      <c r="M429">
        <f t="shared" ca="1" si="188"/>
        <v>11.122632062873489</v>
      </c>
      <c r="N429">
        <f t="shared" ca="1" si="189"/>
        <v>1.1735290000551568</v>
      </c>
      <c r="O429">
        <f t="shared" ca="1" si="190"/>
        <v>4.5807502857230418</v>
      </c>
      <c r="P429">
        <f t="shared" ca="1" si="191"/>
        <v>634.51796770439876</v>
      </c>
      <c r="Q429">
        <f t="shared" ca="1" si="192"/>
        <v>635.58745155659813</v>
      </c>
      <c r="R429">
        <f t="shared" ca="1" si="193"/>
        <v>3.8141460404132466E-3</v>
      </c>
      <c r="S429">
        <f t="shared" ca="1" si="194"/>
        <v>1.0000000000000004</v>
      </c>
      <c r="T429">
        <f t="shared" ca="1" si="195"/>
        <v>35.686426155594638</v>
      </c>
      <c r="U429">
        <f t="shared" ca="1" si="216"/>
        <v>-3.3584586676624895E-3</v>
      </c>
      <c r="V429">
        <f t="shared" ca="1" si="217"/>
        <v>1</v>
      </c>
      <c r="W429">
        <f t="shared" ca="1" si="196"/>
        <v>1.7502327681428136</v>
      </c>
      <c r="X429">
        <f t="shared" ca="1" si="197"/>
        <v>9.1012103943426315</v>
      </c>
      <c r="Y429">
        <f t="shared" ca="1" si="198"/>
        <v>1.0460601626873507</v>
      </c>
      <c r="Z429">
        <f t="shared" ca="1" si="199"/>
        <v>5.5981564860505628</v>
      </c>
      <c r="AA429">
        <f t="shared" ca="1" si="200"/>
        <v>634.12923276814286</v>
      </c>
      <c r="AB429">
        <f t="shared" ca="1" si="201"/>
        <v>635.72654958987118</v>
      </c>
      <c r="AC429">
        <f t="shared" ca="1" si="202"/>
        <v>6.6404427331099676E-3</v>
      </c>
      <c r="AD429">
        <f t="shared" ca="1" si="203"/>
        <v>1.3510226350167847</v>
      </c>
      <c r="AE429">
        <f t="shared" ca="1" si="204"/>
        <v>37.039651252914787</v>
      </c>
      <c r="AF429">
        <f t="shared" ca="1" si="205"/>
        <v>6.3547343626169095E-3</v>
      </c>
      <c r="AG429">
        <f t="shared" ca="1" si="206"/>
        <v>0</v>
      </c>
      <c r="AH429">
        <f ca="1">IFERROR(IF(V32="Supercritical",MAX($D$16,IFERROR(L429,MAX($D$16,POWER((ABS(K429)^2)/($I$5*MAX(F429,0.1)^2),1/3)))),IF(V32="Subcritical",MAX($D$16,IFERROR(W429,MAX($D$16,POWER((ABS(K429)^2)/($I$5*MAX(F429,0.1)^2),1/3)))),IF(AND(IFERROR(V429,0)=1,IFERROR(AG429,0)=1),IF(IFERROR(T429,-1E+99)&gt;=IFERROR(AE429,-1E+99),MAX($D$16,IFERROR(L429,MAX($D$16,POWER((ABS(K429)^2)/($I$5*MAX(F429,0.1)^2),1/3)))),MAX($D$16,IFERROR(W429,MAX($D$16,POWER((ABS(K429)^2)/($I$5*MAX(F429,0.1)^2),1/3))))),IF(IFERROR(V429,0)=1,MAX($D$16,IFERROR(L429,MAX($D$16,POWER((ABS(K429)^2)/($I$5*MAX(F429,0.1)^2),1/3)))),IF(IFERROR(AG429,0)=1,MAX($D$16,IFERROR(W429,MAX($D$16,POWER((ABS(K429)^2)/($I$5*MAX(F429,0.1)^2),1/3)))),MAX($D$16,POWER((ABS(K429)^2)/($I$5*MAX(F429,0.1)^2),1/3))))))),MAX($D$16,POWER((ABS(K429)^2)/($I$5*MAX(F429,0.1)^2),1/3)))</f>
        <v>2.1389677043987478</v>
      </c>
      <c r="AI429">
        <f t="shared" ca="1" si="207"/>
        <v>634.51796770439876</v>
      </c>
      <c r="AJ429">
        <f t="shared" ca="1" si="208"/>
        <v>635.58745155659813</v>
      </c>
      <c r="AM429">
        <v>0</v>
      </c>
      <c r="AN429">
        <v>0</v>
      </c>
      <c r="AO429">
        <f t="shared" si="209"/>
        <v>0</v>
      </c>
      <c r="AP429">
        <f t="shared" si="218"/>
        <v>0</v>
      </c>
      <c r="AQ429">
        <f t="shared" ca="1" si="210"/>
        <v>1.0000000000000004</v>
      </c>
      <c r="AR429" t="str">
        <f t="shared" ca="1" si="211"/>
        <v>Supercritical</v>
      </c>
      <c r="AS429">
        <f t="shared" ca="1" si="212"/>
        <v>3.8141460404132466E-3</v>
      </c>
    </row>
    <row r="430" spans="1:45" x14ac:dyDescent="0.35">
      <c r="A430">
        <v>369</v>
      </c>
      <c r="B430">
        <v>367.99599999999998</v>
      </c>
      <c r="C430">
        <v>616268.21499999997</v>
      </c>
      <c r="D430">
        <v>3097595.2579999999</v>
      </c>
      <c r="E430">
        <v>632.37850000000003</v>
      </c>
      <c r="F430">
        <v>5.2</v>
      </c>
      <c r="G430">
        <v>0</v>
      </c>
      <c r="H430" t="s">
        <v>154</v>
      </c>
      <c r="I430">
        <v>7.8E-2</v>
      </c>
      <c r="J430">
        <f t="shared" si="213"/>
        <v>1.0009999999999764</v>
      </c>
      <c r="K430">
        <f t="shared" ca="1" si="214"/>
        <v>50.95</v>
      </c>
      <c r="L430">
        <f t="shared" ca="1" si="215"/>
        <v>2.1389677043987478</v>
      </c>
      <c r="M430">
        <f t="shared" ca="1" si="188"/>
        <v>11.122632062873489</v>
      </c>
      <c r="N430">
        <f t="shared" ca="1" si="189"/>
        <v>1.1735290000551568</v>
      </c>
      <c r="O430">
        <f t="shared" ca="1" si="190"/>
        <v>4.5807502857230418</v>
      </c>
      <c r="P430">
        <f t="shared" ca="1" si="191"/>
        <v>634.51746770439877</v>
      </c>
      <c r="Q430">
        <f t="shared" ca="1" si="192"/>
        <v>635.58695155659814</v>
      </c>
      <c r="R430">
        <f t="shared" ca="1" si="193"/>
        <v>3.8141460404132466E-3</v>
      </c>
      <c r="S430">
        <f t="shared" ca="1" si="194"/>
        <v>1.0000000000000004</v>
      </c>
      <c r="T430">
        <f t="shared" ca="1" si="195"/>
        <v>35.686426155594638</v>
      </c>
      <c r="U430">
        <f t="shared" ca="1" si="216"/>
        <v>-3.456993087183946E-3</v>
      </c>
      <c r="V430">
        <f t="shared" ca="1" si="217"/>
        <v>1</v>
      </c>
      <c r="W430">
        <f t="shared" ca="1" si="196"/>
        <v>1.7477033449938852</v>
      </c>
      <c r="X430">
        <f t="shared" ca="1" si="197"/>
        <v>9.088057393968203</v>
      </c>
      <c r="Y430">
        <f t="shared" ca="1" si="198"/>
        <v>1.04515610574403</v>
      </c>
      <c r="Z430">
        <f t="shared" ca="1" si="199"/>
        <v>5.6062586085576243</v>
      </c>
      <c r="AA430">
        <f t="shared" ca="1" si="200"/>
        <v>634.12620334499388</v>
      </c>
      <c r="AB430">
        <f t="shared" ca="1" si="201"/>
        <v>635.72814705478118</v>
      </c>
      <c r="AC430">
        <f t="shared" ca="1" si="202"/>
        <v>6.6673597652149898E-3</v>
      </c>
      <c r="AD430">
        <f t="shared" ca="1" si="203"/>
        <v>1.3539566662068403</v>
      </c>
      <c r="AE430">
        <f t="shared" ca="1" si="204"/>
        <v>37.058726906373636</v>
      </c>
      <c r="AF430">
        <f t="shared" ca="1" si="205"/>
        <v>6.3008550743006708E-3</v>
      </c>
      <c r="AG430">
        <f t="shared" ca="1" si="206"/>
        <v>0</v>
      </c>
      <c r="AH430">
        <f ca="1">IFERROR(IF(V32="Supercritical",MAX($D$16,IFERROR(L430,MAX($D$16,POWER((ABS(K430)^2)/($I$5*MAX(F430,0.1)^2),1/3)))),IF(V32="Subcritical",MAX($D$16,IFERROR(W430,MAX($D$16,POWER((ABS(K430)^2)/($I$5*MAX(F430,0.1)^2),1/3)))),IF(AND(IFERROR(V430,0)=1,IFERROR(AG430,0)=1),IF(IFERROR(T430,-1E+99)&gt;=IFERROR(AE430,-1E+99),MAX($D$16,IFERROR(L430,MAX($D$16,POWER((ABS(K430)^2)/($I$5*MAX(F430,0.1)^2),1/3)))),MAX($D$16,IFERROR(W430,MAX($D$16,POWER((ABS(K430)^2)/($I$5*MAX(F430,0.1)^2),1/3))))),IF(IFERROR(V430,0)=1,MAX($D$16,IFERROR(L430,MAX($D$16,POWER((ABS(K430)^2)/($I$5*MAX(F430,0.1)^2),1/3)))),IF(IFERROR(AG430,0)=1,MAX($D$16,IFERROR(W430,MAX($D$16,POWER((ABS(K430)^2)/($I$5*MAX(F430,0.1)^2),1/3)))),MAX($D$16,POWER((ABS(K430)^2)/($I$5*MAX(F430,0.1)^2),1/3))))))),MAX($D$16,POWER((ABS(K430)^2)/($I$5*MAX(F430,0.1)^2),1/3)))</f>
        <v>2.1389677043987478</v>
      </c>
      <c r="AI430">
        <f t="shared" ca="1" si="207"/>
        <v>634.51746770439877</v>
      </c>
      <c r="AJ430">
        <f t="shared" ca="1" si="208"/>
        <v>635.58695155659814</v>
      </c>
      <c r="AM430">
        <v>0</v>
      </c>
      <c r="AN430">
        <v>0</v>
      </c>
      <c r="AO430">
        <f t="shared" si="209"/>
        <v>0</v>
      </c>
      <c r="AP430">
        <f t="shared" si="218"/>
        <v>0</v>
      </c>
      <c r="AQ430">
        <f t="shared" ca="1" si="210"/>
        <v>1.0000000000000004</v>
      </c>
      <c r="AR430" t="str">
        <f t="shared" ca="1" si="211"/>
        <v>Supercritical</v>
      </c>
      <c r="AS430">
        <f t="shared" ca="1" si="212"/>
        <v>3.8141460404132466E-3</v>
      </c>
    </row>
    <row r="431" spans="1:45" x14ac:dyDescent="0.35">
      <c r="A431">
        <v>370</v>
      </c>
      <c r="B431">
        <v>368.99599999999998</v>
      </c>
      <c r="C431">
        <v>616267.74</v>
      </c>
      <c r="D431">
        <v>3097594.378</v>
      </c>
      <c r="E431">
        <v>632.37800000000004</v>
      </c>
      <c r="F431">
        <v>5.2</v>
      </c>
      <c r="G431">
        <v>0</v>
      </c>
      <c r="H431" t="s">
        <v>154</v>
      </c>
      <c r="I431">
        <v>0.05</v>
      </c>
      <c r="J431">
        <f t="shared" si="213"/>
        <v>1</v>
      </c>
      <c r="K431">
        <f t="shared" ca="1" si="214"/>
        <v>50.95</v>
      </c>
      <c r="L431">
        <f t="shared" ca="1" si="215"/>
        <v>2.1389677043987478</v>
      </c>
      <c r="M431">
        <f t="shared" ca="1" si="188"/>
        <v>11.122632062873489</v>
      </c>
      <c r="N431">
        <f t="shared" ca="1" si="189"/>
        <v>1.1735290000551568</v>
      </c>
      <c r="O431">
        <f t="shared" ca="1" si="190"/>
        <v>4.5807502857230418</v>
      </c>
      <c r="P431">
        <f t="shared" ca="1" si="191"/>
        <v>634.51696770439878</v>
      </c>
      <c r="Q431">
        <f t="shared" ca="1" si="192"/>
        <v>635.58645155659815</v>
      </c>
      <c r="R431">
        <f t="shared" ca="1" si="193"/>
        <v>3.8141460404132466E-3</v>
      </c>
      <c r="S431">
        <f t="shared" ca="1" si="194"/>
        <v>1.0000000000000004</v>
      </c>
      <c r="T431">
        <f t="shared" ca="1" si="195"/>
        <v>35.686426155594638</v>
      </c>
      <c r="U431">
        <f t="shared" ca="1" si="216"/>
        <v>-3.4032696947861041E-3</v>
      </c>
      <c r="V431">
        <f t="shared" ca="1" si="217"/>
        <v>1</v>
      </c>
      <c r="W431">
        <f t="shared" ca="1" si="196"/>
        <v>1.7453032495262442</v>
      </c>
      <c r="X431">
        <f t="shared" ca="1" si="197"/>
        <v>9.0755768975364699</v>
      </c>
      <c r="Y431">
        <f t="shared" ca="1" si="198"/>
        <v>1.0442972994492332</v>
      </c>
      <c r="Z431">
        <f t="shared" ca="1" si="199"/>
        <v>5.6139681890448401</v>
      </c>
      <c r="AA431">
        <f t="shared" ca="1" si="200"/>
        <v>634.12330324952632</v>
      </c>
      <c r="AB431">
        <f t="shared" ca="1" si="201"/>
        <v>635.72965589109651</v>
      </c>
      <c r="AC431">
        <f t="shared" ca="1" si="202"/>
        <v>6.6930418372876674E-3</v>
      </c>
      <c r="AD431">
        <f t="shared" ca="1" si="203"/>
        <v>1.3567505149573582</v>
      </c>
      <c r="AE431">
        <f t="shared" ca="1" si="204"/>
        <v>37.076970771560298</v>
      </c>
      <c r="AF431">
        <f t="shared" ca="1" si="205"/>
        <v>6.2586346643911384E-3</v>
      </c>
      <c r="AG431">
        <f t="shared" ca="1" si="206"/>
        <v>0</v>
      </c>
      <c r="AH431">
        <f ca="1">IFERROR(IF(V32="Supercritical",MAX($D$16,IFERROR(L431,MAX($D$16,POWER((ABS(K431)^2)/($I$5*MAX(F431,0.1)^2),1/3)))),IF(V32="Subcritical",MAX($D$16,IFERROR(W431,MAX($D$16,POWER((ABS(K431)^2)/($I$5*MAX(F431,0.1)^2),1/3)))),IF(AND(IFERROR(V431,0)=1,IFERROR(AG431,0)=1),IF(IFERROR(T431,-1E+99)&gt;=IFERROR(AE431,-1E+99),MAX($D$16,IFERROR(L431,MAX($D$16,POWER((ABS(K431)^2)/($I$5*MAX(F431,0.1)^2),1/3)))),MAX($D$16,IFERROR(W431,MAX($D$16,POWER((ABS(K431)^2)/($I$5*MAX(F431,0.1)^2),1/3))))),IF(IFERROR(V431,0)=1,MAX($D$16,IFERROR(L431,MAX($D$16,POWER((ABS(K431)^2)/($I$5*MAX(F431,0.1)^2),1/3)))),IF(IFERROR(AG431,0)=1,MAX($D$16,IFERROR(W431,MAX($D$16,POWER((ABS(K431)^2)/($I$5*MAX(F431,0.1)^2),1/3)))),MAX($D$16,POWER((ABS(K431)^2)/($I$5*MAX(F431,0.1)^2),1/3))))))),MAX($D$16,POWER((ABS(K431)^2)/($I$5*MAX(F431,0.1)^2),1/3)))</f>
        <v>2.1389677043987478</v>
      </c>
      <c r="AI431">
        <f t="shared" ca="1" si="207"/>
        <v>634.51696770439878</v>
      </c>
      <c r="AJ431">
        <f t="shared" ca="1" si="208"/>
        <v>635.58645155659815</v>
      </c>
      <c r="AM431">
        <v>0</v>
      </c>
      <c r="AN431">
        <v>0</v>
      </c>
      <c r="AO431">
        <f t="shared" si="209"/>
        <v>0</v>
      </c>
      <c r="AP431">
        <f t="shared" si="218"/>
        <v>0</v>
      </c>
      <c r="AQ431">
        <f t="shared" ca="1" si="210"/>
        <v>1.0000000000000004</v>
      </c>
      <c r="AR431" t="str">
        <f t="shared" ca="1" si="211"/>
        <v>Supercritical</v>
      </c>
      <c r="AS431">
        <f t="shared" ca="1" si="212"/>
        <v>3.8141460404132466E-3</v>
      </c>
    </row>
    <row r="432" spans="1:45" x14ac:dyDescent="0.35">
      <c r="A432">
        <v>371</v>
      </c>
      <c r="B432">
        <v>369.995</v>
      </c>
      <c r="C432">
        <v>616267.26599999995</v>
      </c>
      <c r="D432">
        <v>3097593.4980000001</v>
      </c>
      <c r="E432">
        <v>632.37750000000005</v>
      </c>
      <c r="F432">
        <v>5.2</v>
      </c>
      <c r="G432">
        <v>0</v>
      </c>
      <c r="H432" t="s">
        <v>154</v>
      </c>
      <c r="I432">
        <v>2.7E-2</v>
      </c>
      <c r="J432">
        <f t="shared" si="213"/>
        <v>0.99900000000002365</v>
      </c>
      <c r="K432">
        <f t="shared" ca="1" si="214"/>
        <v>50.95</v>
      </c>
      <c r="L432">
        <f t="shared" ca="1" si="215"/>
        <v>2.1389677043987478</v>
      </c>
      <c r="M432">
        <f t="shared" ca="1" si="188"/>
        <v>11.122632062873489</v>
      </c>
      <c r="N432">
        <f t="shared" ca="1" si="189"/>
        <v>1.1735290000551568</v>
      </c>
      <c r="O432">
        <f t="shared" ca="1" si="190"/>
        <v>4.5807502857230418</v>
      </c>
      <c r="P432">
        <f t="shared" ca="1" si="191"/>
        <v>634.51646770439879</v>
      </c>
      <c r="Q432">
        <f t="shared" ca="1" si="192"/>
        <v>635.58595155659816</v>
      </c>
      <c r="R432">
        <f t="shared" ca="1" si="193"/>
        <v>3.8141460404132466E-3</v>
      </c>
      <c r="S432">
        <f t="shared" ca="1" si="194"/>
        <v>1.0000000000000004</v>
      </c>
      <c r="T432">
        <f t="shared" ca="1" si="195"/>
        <v>35.686426155594638</v>
      </c>
      <c r="U432">
        <f t="shared" ca="1" si="216"/>
        <v>-3.3584586676624895E-3</v>
      </c>
      <c r="V432">
        <f t="shared" ca="1" si="217"/>
        <v>1</v>
      </c>
      <c r="W432">
        <f t="shared" ca="1" si="196"/>
        <v>1.7430279132872835</v>
      </c>
      <c r="X432">
        <f t="shared" ca="1" si="197"/>
        <v>9.0637451490938741</v>
      </c>
      <c r="Y432">
        <f t="shared" ca="1" si="198"/>
        <v>1.0434822582378283</v>
      </c>
      <c r="Z432">
        <f t="shared" ca="1" si="199"/>
        <v>5.6212966231838069</v>
      </c>
      <c r="AA432">
        <f t="shared" ca="1" si="200"/>
        <v>634.12052791328733</v>
      </c>
      <c r="AB432">
        <f t="shared" ca="1" si="201"/>
        <v>635.73107713478669</v>
      </c>
      <c r="AC432">
        <f t="shared" ca="1" si="202"/>
        <v>6.71751684580091E-3</v>
      </c>
      <c r="AD432">
        <f t="shared" ca="1" si="203"/>
        <v>1.3594080204645935</v>
      </c>
      <c r="AE432">
        <f t="shared" ca="1" si="204"/>
        <v>37.094395784380104</v>
      </c>
      <c r="AF432">
        <f t="shared" ca="1" si="205"/>
        <v>6.2967090775600809E-3</v>
      </c>
      <c r="AG432">
        <f t="shared" ca="1" si="206"/>
        <v>0</v>
      </c>
      <c r="AH432">
        <f ca="1">IFERROR(IF(V32="Supercritical",MAX($D$16,IFERROR(L432,MAX($D$16,POWER((ABS(K432)^2)/($I$5*MAX(F432,0.1)^2),1/3)))),IF(V32="Subcritical",MAX($D$16,IFERROR(W432,MAX($D$16,POWER((ABS(K432)^2)/($I$5*MAX(F432,0.1)^2),1/3)))),IF(AND(IFERROR(V432,0)=1,IFERROR(AG432,0)=1),IF(IFERROR(T432,-1E+99)&gt;=IFERROR(AE432,-1E+99),MAX($D$16,IFERROR(L432,MAX($D$16,POWER((ABS(K432)^2)/($I$5*MAX(F432,0.1)^2),1/3)))),MAX($D$16,IFERROR(W432,MAX($D$16,POWER((ABS(K432)^2)/($I$5*MAX(F432,0.1)^2),1/3))))),IF(IFERROR(V432,0)=1,MAX($D$16,IFERROR(L432,MAX($D$16,POWER((ABS(K432)^2)/($I$5*MAX(F432,0.1)^2),1/3)))),IF(IFERROR(AG432,0)=1,MAX($D$16,IFERROR(W432,MAX($D$16,POWER((ABS(K432)^2)/($I$5*MAX(F432,0.1)^2),1/3)))),MAX($D$16,POWER((ABS(K432)^2)/($I$5*MAX(F432,0.1)^2),1/3))))))),MAX($D$16,POWER((ABS(K432)^2)/($I$5*MAX(F432,0.1)^2),1/3)))</f>
        <v>2.1389677043987478</v>
      </c>
      <c r="AI432">
        <f t="shared" ca="1" si="207"/>
        <v>634.51646770439879</v>
      </c>
      <c r="AJ432">
        <f t="shared" ca="1" si="208"/>
        <v>635.58595155659816</v>
      </c>
      <c r="AM432">
        <v>0</v>
      </c>
      <c r="AN432">
        <v>0</v>
      </c>
      <c r="AO432">
        <f t="shared" si="209"/>
        <v>0</v>
      </c>
      <c r="AP432">
        <f t="shared" si="218"/>
        <v>0</v>
      </c>
      <c r="AQ432">
        <f t="shared" ca="1" si="210"/>
        <v>1.0000000000000004</v>
      </c>
      <c r="AR432" t="str">
        <f t="shared" ca="1" si="211"/>
        <v>Supercritical</v>
      </c>
      <c r="AS432">
        <f t="shared" ca="1" si="212"/>
        <v>3.8141460404132466E-3</v>
      </c>
    </row>
    <row r="433" spans="1:45" x14ac:dyDescent="0.35">
      <c r="A433">
        <v>372</v>
      </c>
      <c r="B433">
        <v>370.99599999999998</v>
      </c>
      <c r="C433">
        <v>616266.79200000002</v>
      </c>
      <c r="D433">
        <v>3097592.6170000001</v>
      </c>
      <c r="E433">
        <v>632.37699999999995</v>
      </c>
      <c r="F433">
        <v>5.2</v>
      </c>
      <c r="G433">
        <v>0</v>
      </c>
      <c r="H433" t="s">
        <v>154</v>
      </c>
      <c r="I433">
        <v>2.7E-2</v>
      </c>
      <c r="J433">
        <f t="shared" si="213"/>
        <v>1.0009999999999764</v>
      </c>
      <c r="K433">
        <f t="shared" ca="1" si="214"/>
        <v>50.95</v>
      </c>
      <c r="L433">
        <f t="shared" ca="1" si="215"/>
        <v>2.1389677043987478</v>
      </c>
      <c r="M433">
        <f t="shared" ca="1" si="188"/>
        <v>11.122632062873489</v>
      </c>
      <c r="N433">
        <f t="shared" ca="1" si="189"/>
        <v>1.1735290000551568</v>
      </c>
      <c r="O433">
        <f t="shared" ca="1" si="190"/>
        <v>4.5807502857230418</v>
      </c>
      <c r="P433">
        <f t="shared" ca="1" si="191"/>
        <v>634.51596770439869</v>
      </c>
      <c r="Q433">
        <f t="shared" ca="1" si="192"/>
        <v>635.58545155659806</v>
      </c>
      <c r="R433">
        <f t="shared" ca="1" si="193"/>
        <v>3.8141460404132466E-3</v>
      </c>
      <c r="S433">
        <f t="shared" ca="1" si="194"/>
        <v>1.0000000000000004</v>
      </c>
      <c r="T433">
        <f t="shared" ca="1" si="195"/>
        <v>35.686426155594638</v>
      </c>
      <c r="U433">
        <f t="shared" ca="1" si="216"/>
        <v>-3.3660869596587872E-3</v>
      </c>
      <c r="V433">
        <f t="shared" ca="1" si="217"/>
        <v>1</v>
      </c>
      <c r="W433">
        <f t="shared" ca="1" si="196"/>
        <v>1.7408726991535837</v>
      </c>
      <c r="X433">
        <f t="shared" ca="1" si="197"/>
        <v>9.0525380355986353</v>
      </c>
      <c r="Y433">
        <f t="shared" ca="1" si="198"/>
        <v>1.0427094576355311</v>
      </c>
      <c r="Z433">
        <f t="shared" ca="1" si="199"/>
        <v>5.6282558327445606</v>
      </c>
      <c r="AA433">
        <f t="shared" ca="1" si="200"/>
        <v>634.11787269915351</v>
      </c>
      <c r="AB433">
        <f t="shared" ca="1" si="201"/>
        <v>635.7324121343637</v>
      </c>
      <c r="AC433">
        <f t="shared" ca="1" si="202"/>
        <v>6.7408153075485949E-3</v>
      </c>
      <c r="AD433">
        <f t="shared" ca="1" si="203"/>
        <v>1.3619332384003036</v>
      </c>
      <c r="AE433">
        <f t="shared" ca="1" si="204"/>
        <v>37.111017456539194</v>
      </c>
      <c r="AF433">
        <f t="shared" ca="1" si="205"/>
        <v>6.2959651705796205E-3</v>
      </c>
      <c r="AG433">
        <f t="shared" ca="1" si="206"/>
        <v>0</v>
      </c>
      <c r="AH433">
        <f ca="1">IFERROR(IF(V32="Supercritical",MAX($D$16,IFERROR(L433,MAX($D$16,POWER((ABS(K433)^2)/($I$5*MAX(F433,0.1)^2),1/3)))),IF(V32="Subcritical",MAX($D$16,IFERROR(W433,MAX($D$16,POWER((ABS(K433)^2)/($I$5*MAX(F433,0.1)^2),1/3)))),IF(AND(IFERROR(V433,0)=1,IFERROR(AG433,0)=1),IF(IFERROR(T433,-1E+99)&gt;=IFERROR(AE433,-1E+99),MAX($D$16,IFERROR(L433,MAX($D$16,POWER((ABS(K433)^2)/($I$5*MAX(F433,0.1)^2),1/3)))),MAX($D$16,IFERROR(W433,MAX($D$16,POWER((ABS(K433)^2)/($I$5*MAX(F433,0.1)^2),1/3))))),IF(IFERROR(V433,0)=1,MAX($D$16,IFERROR(L433,MAX($D$16,POWER((ABS(K433)^2)/($I$5*MAX(F433,0.1)^2),1/3)))),IF(IFERROR(AG433,0)=1,MAX($D$16,IFERROR(W433,MAX($D$16,POWER((ABS(K433)^2)/($I$5*MAX(F433,0.1)^2),1/3)))),MAX($D$16,POWER((ABS(K433)^2)/($I$5*MAX(F433,0.1)^2),1/3))))))),MAX($D$16,POWER((ABS(K433)^2)/($I$5*MAX(F433,0.1)^2),1/3)))</f>
        <v>2.1389677043987478</v>
      </c>
      <c r="AI433">
        <f t="shared" ca="1" si="207"/>
        <v>634.51596770439869</v>
      </c>
      <c r="AJ433">
        <f t="shared" ca="1" si="208"/>
        <v>635.58545155659806</v>
      </c>
      <c r="AM433">
        <v>0</v>
      </c>
      <c r="AN433">
        <v>0</v>
      </c>
      <c r="AO433">
        <f t="shared" si="209"/>
        <v>0</v>
      </c>
      <c r="AP433">
        <f t="shared" si="218"/>
        <v>0</v>
      </c>
      <c r="AQ433">
        <f t="shared" ca="1" si="210"/>
        <v>1.0000000000000004</v>
      </c>
      <c r="AR433" t="str">
        <f t="shared" ca="1" si="211"/>
        <v>Supercritical</v>
      </c>
      <c r="AS433">
        <f t="shared" ca="1" si="212"/>
        <v>3.8141460404132466E-3</v>
      </c>
    </row>
    <row r="434" spans="1:45" x14ac:dyDescent="0.35">
      <c r="A434">
        <v>373</v>
      </c>
      <c r="B434">
        <v>371.995</v>
      </c>
      <c r="C434">
        <v>616266.31799999997</v>
      </c>
      <c r="D434">
        <v>3097591.7370000002</v>
      </c>
      <c r="E434">
        <v>632.37649999999996</v>
      </c>
      <c r="F434">
        <v>5.2</v>
      </c>
      <c r="G434">
        <v>0</v>
      </c>
      <c r="H434" t="s">
        <v>154</v>
      </c>
      <c r="I434">
        <v>2.3E-2</v>
      </c>
      <c r="J434">
        <f t="shared" si="213"/>
        <v>0.99900000000002365</v>
      </c>
      <c r="K434">
        <f t="shared" ca="1" si="214"/>
        <v>50.95</v>
      </c>
      <c r="L434">
        <f t="shared" ca="1" si="215"/>
        <v>2.1389677043987478</v>
      </c>
      <c r="M434">
        <f t="shared" ca="1" si="188"/>
        <v>11.122632062873489</v>
      </c>
      <c r="N434">
        <f t="shared" ca="1" si="189"/>
        <v>1.1735290000551568</v>
      </c>
      <c r="O434">
        <f t="shared" ca="1" si="190"/>
        <v>4.5807502857230418</v>
      </c>
      <c r="P434">
        <f t="shared" ca="1" si="191"/>
        <v>634.5154677043987</v>
      </c>
      <c r="Q434">
        <f t="shared" ca="1" si="192"/>
        <v>635.58495155659807</v>
      </c>
      <c r="R434">
        <f t="shared" ca="1" si="193"/>
        <v>3.8141460404132466E-3</v>
      </c>
      <c r="S434">
        <f t="shared" ca="1" si="194"/>
        <v>1.0000000000000004</v>
      </c>
      <c r="T434">
        <f t="shared" ca="1" si="195"/>
        <v>35.686426155594638</v>
      </c>
      <c r="U434">
        <f t="shared" ca="1" si="216"/>
        <v>-3.3513287753521581E-3</v>
      </c>
      <c r="V434">
        <f t="shared" ca="1" si="217"/>
        <v>1</v>
      </c>
      <c r="W434">
        <f t="shared" ca="1" si="196"/>
        <v>1.7388329329139531</v>
      </c>
      <c r="X434">
        <f t="shared" ca="1" si="197"/>
        <v>9.0419312511525565</v>
      </c>
      <c r="Y434">
        <f t="shared" ca="1" si="198"/>
        <v>1.0419773463229443</v>
      </c>
      <c r="Z434">
        <f t="shared" ca="1" si="199"/>
        <v>5.6348581497459973</v>
      </c>
      <c r="AA434">
        <f t="shared" ca="1" si="200"/>
        <v>634.11533293291393</v>
      </c>
      <c r="AB434">
        <f t="shared" ca="1" si="201"/>
        <v>635.73366251332982</v>
      </c>
      <c r="AC434">
        <f t="shared" ca="1" si="202"/>
        <v>6.762969946254054E-3</v>
      </c>
      <c r="AD434">
        <f t="shared" ca="1" si="203"/>
        <v>1.3643303979523937</v>
      </c>
      <c r="AE434">
        <f t="shared" ca="1" si="204"/>
        <v>37.126853533977233</v>
      </c>
      <c r="AF434">
        <f t="shared" ca="1" si="205"/>
        <v>6.3317688834558794E-3</v>
      </c>
      <c r="AG434">
        <f t="shared" ca="1" si="206"/>
        <v>0</v>
      </c>
      <c r="AH434">
        <f ca="1">IFERROR(IF(V32="Supercritical",MAX($D$16,IFERROR(L434,MAX($D$16,POWER((ABS(K434)^2)/($I$5*MAX(F434,0.1)^2),1/3)))),IF(V32="Subcritical",MAX($D$16,IFERROR(W434,MAX($D$16,POWER((ABS(K434)^2)/($I$5*MAX(F434,0.1)^2),1/3)))),IF(AND(IFERROR(V434,0)=1,IFERROR(AG434,0)=1),IF(IFERROR(T434,-1E+99)&gt;=IFERROR(AE434,-1E+99),MAX($D$16,IFERROR(L434,MAX($D$16,POWER((ABS(K434)^2)/($I$5*MAX(F434,0.1)^2),1/3)))),MAX($D$16,IFERROR(W434,MAX($D$16,POWER((ABS(K434)^2)/($I$5*MAX(F434,0.1)^2),1/3))))),IF(IFERROR(V434,0)=1,MAX($D$16,IFERROR(L434,MAX($D$16,POWER((ABS(K434)^2)/($I$5*MAX(F434,0.1)^2),1/3)))),IF(IFERROR(AG434,0)=1,MAX($D$16,IFERROR(W434,MAX($D$16,POWER((ABS(K434)^2)/($I$5*MAX(F434,0.1)^2),1/3)))),MAX($D$16,POWER((ABS(K434)^2)/($I$5*MAX(F434,0.1)^2),1/3))))))),MAX($D$16,POWER((ABS(K434)^2)/($I$5*MAX(F434,0.1)^2),1/3)))</f>
        <v>2.1389677043987478</v>
      </c>
      <c r="AI434">
        <f t="shared" ca="1" si="207"/>
        <v>634.5154677043987</v>
      </c>
      <c r="AJ434">
        <f t="shared" ca="1" si="208"/>
        <v>635.58495155659807</v>
      </c>
      <c r="AM434">
        <v>0</v>
      </c>
      <c r="AN434">
        <v>0</v>
      </c>
      <c r="AO434">
        <f t="shared" si="209"/>
        <v>0</v>
      </c>
      <c r="AP434">
        <f t="shared" si="218"/>
        <v>0</v>
      </c>
      <c r="AQ434">
        <f t="shared" ca="1" si="210"/>
        <v>1.0000000000000004</v>
      </c>
      <c r="AR434" t="str">
        <f t="shared" ca="1" si="211"/>
        <v>Supercritical</v>
      </c>
      <c r="AS434">
        <f t="shared" ca="1" si="212"/>
        <v>3.8141460404132466E-3</v>
      </c>
    </row>
    <row r="435" spans="1:45" x14ac:dyDescent="0.35">
      <c r="A435">
        <v>374</v>
      </c>
      <c r="B435">
        <v>372.99599999999998</v>
      </c>
      <c r="C435">
        <v>616265.84299999999</v>
      </c>
      <c r="D435">
        <v>3097590.8560000001</v>
      </c>
      <c r="E435">
        <v>632.37599999999998</v>
      </c>
      <c r="F435">
        <v>5.2</v>
      </c>
      <c r="G435">
        <v>0</v>
      </c>
      <c r="H435" t="s">
        <v>154</v>
      </c>
      <c r="I435">
        <v>2.3E-2</v>
      </c>
      <c r="J435">
        <f t="shared" si="213"/>
        <v>1.0009999999999764</v>
      </c>
      <c r="K435">
        <f t="shared" ca="1" si="214"/>
        <v>50.95</v>
      </c>
      <c r="L435">
        <f t="shared" ca="1" si="215"/>
        <v>2.1389677043987478</v>
      </c>
      <c r="M435">
        <f t="shared" ca="1" si="188"/>
        <v>11.122632062873489</v>
      </c>
      <c r="N435">
        <f t="shared" ca="1" si="189"/>
        <v>1.1735290000551568</v>
      </c>
      <c r="O435">
        <f t="shared" ca="1" si="190"/>
        <v>4.5807502857230418</v>
      </c>
      <c r="P435">
        <f t="shared" ca="1" si="191"/>
        <v>634.51496770439871</v>
      </c>
      <c r="Q435">
        <f t="shared" ca="1" si="192"/>
        <v>635.58445155659808</v>
      </c>
      <c r="R435">
        <f t="shared" ca="1" si="193"/>
        <v>3.8141460404132466E-3</v>
      </c>
      <c r="S435">
        <f t="shared" ca="1" si="194"/>
        <v>1.0000000000000004</v>
      </c>
      <c r="T435">
        <f t="shared" ca="1" si="195"/>
        <v>35.686426155594638</v>
      </c>
      <c r="U435">
        <f t="shared" ca="1" si="216"/>
        <v>-3.3589570674621427E-3</v>
      </c>
      <c r="V435">
        <f t="shared" ca="1" si="217"/>
        <v>1</v>
      </c>
      <c r="W435">
        <f t="shared" ca="1" si="196"/>
        <v>1.736903931989314</v>
      </c>
      <c r="X435">
        <f t="shared" ca="1" si="197"/>
        <v>9.0319004463444337</v>
      </c>
      <c r="Y435">
        <f t="shared" ca="1" si="198"/>
        <v>1.0412843572259567</v>
      </c>
      <c r="Z435">
        <f t="shared" ca="1" si="199"/>
        <v>5.6411162083414546</v>
      </c>
      <c r="AA435">
        <f t="shared" ca="1" si="200"/>
        <v>634.11290393198931</v>
      </c>
      <c r="AB435">
        <f t="shared" ca="1" si="201"/>
        <v>635.7348301336209</v>
      </c>
      <c r="AC435">
        <f t="shared" ca="1" si="202"/>
        <v>6.7840152981448118E-3</v>
      </c>
      <c r="AD435">
        <f t="shared" ca="1" si="203"/>
        <v>1.3666038614970792</v>
      </c>
      <c r="AE435">
        <f t="shared" ca="1" si="204"/>
        <v>37.141923668204825</v>
      </c>
      <c r="AF435">
        <f t="shared" ca="1" si="205"/>
        <v>6.2840152982062136E-3</v>
      </c>
      <c r="AG435">
        <f t="shared" ca="1" si="206"/>
        <v>0</v>
      </c>
      <c r="AH435">
        <f ca="1">IFERROR(IF(V32="Supercritical",MAX($D$16,IFERROR(L435,MAX($D$16,POWER((ABS(K435)^2)/($I$5*MAX(F435,0.1)^2),1/3)))),IF(V32="Subcritical",MAX($D$16,IFERROR(W435,MAX($D$16,POWER((ABS(K435)^2)/($I$5*MAX(F435,0.1)^2),1/3)))),IF(AND(IFERROR(V435,0)=1,IFERROR(AG435,0)=1),IF(IFERROR(T435,-1E+99)&gt;=IFERROR(AE435,-1E+99),MAX($D$16,IFERROR(L435,MAX($D$16,POWER((ABS(K435)^2)/($I$5*MAX(F435,0.1)^2),1/3)))),MAX($D$16,IFERROR(W435,MAX($D$16,POWER((ABS(K435)^2)/($I$5*MAX(F435,0.1)^2),1/3))))),IF(IFERROR(V435,0)=1,MAX($D$16,IFERROR(L435,MAX($D$16,POWER((ABS(K435)^2)/($I$5*MAX(F435,0.1)^2),1/3)))),IF(IFERROR(AG435,0)=1,MAX($D$16,IFERROR(W435,MAX($D$16,POWER((ABS(K435)^2)/($I$5*MAX(F435,0.1)^2),1/3)))),MAX($D$16,POWER((ABS(K435)^2)/($I$5*MAX(F435,0.1)^2),1/3))))))),MAX($D$16,POWER((ABS(K435)^2)/($I$5*MAX(F435,0.1)^2),1/3)))</f>
        <v>2.1389677043987478</v>
      </c>
      <c r="AI435">
        <f t="shared" ca="1" si="207"/>
        <v>634.51496770439871</v>
      </c>
      <c r="AJ435">
        <f t="shared" ca="1" si="208"/>
        <v>635.58445155659808</v>
      </c>
      <c r="AM435">
        <v>0</v>
      </c>
      <c r="AN435">
        <v>0</v>
      </c>
      <c r="AO435">
        <f t="shared" si="209"/>
        <v>0</v>
      </c>
      <c r="AP435">
        <f t="shared" si="218"/>
        <v>0</v>
      </c>
      <c r="AQ435">
        <f t="shared" ca="1" si="210"/>
        <v>1.0000000000000004</v>
      </c>
      <c r="AR435" t="str">
        <f t="shared" ca="1" si="211"/>
        <v>Supercritical</v>
      </c>
      <c r="AS435">
        <f t="shared" ca="1" si="212"/>
        <v>3.8141460404132466E-3</v>
      </c>
    </row>
    <row r="436" spans="1:45" x14ac:dyDescent="0.35">
      <c r="A436">
        <v>375</v>
      </c>
      <c r="B436">
        <v>373.99599999999998</v>
      </c>
      <c r="C436">
        <v>616265.36899999995</v>
      </c>
      <c r="D436">
        <v>3097589.9759999998</v>
      </c>
      <c r="E436">
        <v>632.37549999999999</v>
      </c>
      <c r="F436">
        <v>5.2</v>
      </c>
      <c r="G436">
        <v>0</v>
      </c>
      <c r="H436" t="s">
        <v>154</v>
      </c>
      <c r="I436">
        <v>0</v>
      </c>
      <c r="J436">
        <f t="shared" si="213"/>
        <v>1</v>
      </c>
      <c r="K436">
        <f t="shared" ca="1" si="214"/>
        <v>50.95</v>
      </c>
      <c r="L436">
        <f t="shared" ca="1" si="215"/>
        <v>2.1389677043987478</v>
      </c>
      <c r="M436">
        <f t="shared" ca="1" si="188"/>
        <v>11.122632062873489</v>
      </c>
      <c r="N436">
        <f t="shared" ca="1" si="189"/>
        <v>1.1735290000551568</v>
      </c>
      <c r="O436">
        <f t="shared" ca="1" si="190"/>
        <v>4.5807502857230418</v>
      </c>
      <c r="P436">
        <f t="shared" ca="1" si="191"/>
        <v>634.51446770439873</v>
      </c>
      <c r="Q436">
        <f t="shared" ca="1" si="192"/>
        <v>635.58395155659809</v>
      </c>
      <c r="R436">
        <f t="shared" ca="1" si="193"/>
        <v>3.8141460404132466E-3</v>
      </c>
      <c r="S436">
        <f t="shared" ca="1" si="194"/>
        <v>1.0000000000000004</v>
      </c>
      <c r="T436">
        <f t="shared" ca="1" si="195"/>
        <v>35.686426155594638</v>
      </c>
      <c r="U436">
        <f t="shared" ca="1" si="216"/>
        <v>-3.3141460404522149E-3</v>
      </c>
      <c r="V436">
        <f t="shared" ca="1" si="217"/>
        <v>1</v>
      </c>
      <c r="W436">
        <f t="shared" ca="1" si="196"/>
        <v>1.7350810312842206</v>
      </c>
      <c r="X436">
        <f t="shared" ca="1" si="197"/>
        <v>9.0224213626779477</v>
      </c>
      <c r="Y436">
        <f t="shared" ca="1" si="198"/>
        <v>1.0406289176104691</v>
      </c>
      <c r="Z436">
        <f t="shared" ca="1" si="199"/>
        <v>5.6470428449240062</v>
      </c>
      <c r="AA436">
        <f t="shared" ca="1" si="200"/>
        <v>634.11058103128426</v>
      </c>
      <c r="AB436">
        <f t="shared" ca="1" si="201"/>
        <v>635.73591706045897</v>
      </c>
      <c r="AC436">
        <f t="shared" ca="1" si="202"/>
        <v>6.8039873396779698E-3</v>
      </c>
      <c r="AD436">
        <f t="shared" ca="1" si="203"/>
        <v>1.3687580871222718</v>
      </c>
      <c r="AE436">
        <f t="shared" ca="1" si="204"/>
        <v>37.156249103629754</v>
      </c>
      <c r="AF436">
        <f t="shared" ca="1" si="205"/>
        <v>6.3703234736749437E-3</v>
      </c>
      <c r="AG436">
        <f t="shared" ca="1" si="206"/>
        <v>0</v>
      </c>
      <c r="AH436">
        <f ca="1">IFERROR(IF(V32="Supercritical",MAX($D$16,IFERROR(L436,MAX($D$16,POWER((ABS(K436)^2)/($I$5*MAX(F436,0.1)^2),1/3)))),IF(V32="Subcritical",MAX($D$16,IFERROR(W436,MAX($D$16,POWER((ABS(K436)^2)/($I$5*MAX(F436,0.1)^2),1/3)))),IF(AND(IFERROR(V436,0)=1,IFERROR(AG436,0)=1),IF(IFERROR(T436,-1E+99)&gt;=IFERROR(AE436,-1E+99),MAX($D$16,IFERROR(L436,MAX($D$16,POWER((ABS(K436)^2)/($I$5*MAX(F436,0.1)^2),1/3)))),MAX($D$16,IFERROR(W436,MAX($D$16,POWER((ABS(K436)^2)/($I$5*MAX(F436,0.1)^2),1/3))))),IF(IFERROR(V436,0)=1,MAX($D$16,IFERROR(L436,MAX($D$16,POWER((ABS(K436)^2)/($I$5*MAX(F436,0.1)^2),1/3)))),IF(IFERROR(AG436,0)=1,MAX($D$16,IFERROR(W436,MAX($D$16,POWER((ABS(K436)^2)/($I$5*MAX(F436,0.1)^2),1/3)))),MAX($D$16,POWER((ABS(K436)^2)/($I$5*MAX(F436,0.1)^2),1/3))))))),MAX($D$16,POWER((ABS(K436)^2)/($I$5*MAX(F436,0.1)^2),1/3)))</f>
        <v>2.1389677043987478</v>
      </c>
      <c r="AI436">
        <f t="shared" ca="1" si="207"/>
        <v>634.51446770439873</v>
      </c>
      <c r="AJ436">
        <f t="shared" ca="1" si="208"/>
        <v>635.58395155659809</v>
      </c>
      <c r="AM436">
        <v>0</v>
      </c>
      <c r="AN436">
        <v>0</v>
      </c>
      <c r="AO436">
        <f t="shared" si="209"/>
        <v>0</v>
      </c>
      <c r="AP436">
        <f t="shared" si="218"/>
        <v>0</v>
      </c>
      <c r="AQ436">
        <f t="shared" ca="1" si="210"/>
        <v>1.0000000000000004</v>
      </c>
      <c r="AR436" t="str">
        <f t="shared" ca="1" si="211"/>
        <v>Supercritical</v>
      </c>
      <c r="AS436">
        <f t="shared" ca="1" si="212"/>
        <v>3.8141460404132466E-3</v>
      </c>
    </row>
    <row r="437" spans="1:45" x14ac:dyDescent="0.35">
      <c r="A437">
        <v>376</v>
      </c>
      <c r="B437">
        <v>374.995</v>
      </c>
      <c r="C437">
        <v>616264.89500000002</v>
      </c>
      <c r="D437">
        <v>3097589.0959999999</v>
      </c>
      <c r="E437">
        <v>632.375</v>
      </c>
      <c r="F437">
        <v>5.2</v>
      </c>
      <c r="G437">
        <v>0</v>
      </c>
      <c r="H437" t="s">
        <v>154</v>
      </c>
      <c r="I437">
        <v>2.7E-2</v>
      </c>
      <c r="J437">
        <f t="shared" si="213"/>
        <v>0.99900000000002365</v>
      </c>
      <c r="K437">
        <f t="shared" ca="1" si="214"/>
        <v>50.95</v>
      </c>
      <c r="L437">
        <f t="shared" ca="1" si="215"/>
        <v>2.1389677043987478</v>
      </c>
      <c r="M437">
        <f t="shared" ca="1" si="188"/>
        <v>11.122632062873489</v>
      </c>
      <c r="N437">
        <f t="shared" ca="1" si="189"/>
        <v>1.1735290000551568</v>
      </c>
      <c r="O437">
        <f t="shared" ca="1" si="190"/>
        <v>4.5807502857230418</v>
      </c>
      <c r="P437">
        <f t="shared" ca="1" si="191"/>
        <v>634.51396770439874</v>
      </c>
      <c r="Q437">
        <f t="shared" ca="1" si="192"/>
        <v>635.58345155659811</v>
      </c>
      <c r="R437">
        <f t="shared" ca="1" si="193"/>
        <v>3.8141460404132466E-3</v>
      </c>
      <c r="S437">
        <f t="shared" ca="1" si="194"/>
        <v>1.0000000000000004</v>
      </c>
      <c r="T437">
        <f t="shared" ca="1" si="195"/>
        <v>35.686426155594638</v>
      </c>
      <c r="U437">
        <f t="shared" ca="1" si="216"/>
        <v>-3.3584586676624895E-3</v>
      </c>
      <c r="V437">
        <f t="shared" ca="1" si="217"/>
        <v>1</v>
      </c>
      <c r="W437">
        <f t="shared" ca="1" si="196"/>
        <v>1.7333596062105578</v>
      </c>
      <c r="X437">
        <f t="shared" ca="1" si="197"/>
        <v>9.0134699522949013</v>
      </c>
      <c r="Y437">
        <f t="shared" ca="1" si="198"/>
        <v>1.0400094581784562</v>
      </c>
      <c r="Z437">
        <f t="shared" ca="1" si="199"/>
        <v>5.6526510067332865</v>
      </c>
      <c r="AA437">
        <f t="shared" ca="1" si="200"/>
        <v>634.10835960621057</v>
      </c>
      <c r="AB437">
        <f t="shared" ca="1" si="201"/>
        <v>635.73692552893851</v>
      </c>
      <c r="AC437">
        <f t="shared" ca="1" si="202"/>
        <v>6.8229231397849152E-3</v>
      </c>
      <c r="AD437">
        <f t="shared" ca="1" si="203"/>
        <v>1.3707975941439969</v>
      </c>
      <c r="AE437">
        <f t="shared" ca="1" si="204"/>
        <v>37.169852383230307</v>
      </c>
      <c r="AF437">
        <f t="shared" ca="1" si="205"/>
        <v>6.4030315295440232E-3</v>
      </c>
      <c r="AG437">
        <f t="shared" ca="1" si="206"/>
        <v>0</v>
      </c>
      <c r="AH437">
        <f ca="1">IFERROR(IF(V32="Supercritical",MAX($D$16,IFERROR(L437,MAX($D$16,POWER((ABS(K437)^2)/($I$5*MAX(F437,0.1)^2),1/3)))),IF(V32="Subcritical",MAX($D$16,IFERROR(W437,MAX($D$16,POWER((ABS(K437)^2)/($I$5*MAX(F437,0.1)^2),1/3)))),IF(AND(IFERROR(V437,0)=1,IFERROR(AG437,0)=1),IF(IFERROR(T437,-1E+99)&gt;=IFERROR(AE437,-1E+99),MAX($D$16,IFERROR(L437,MAX($D$16,POWER((ABS(K437)^2)/($I$5*MAX(F437,0.1)^2),1/3)))),MAX($D$16,IFERROR(W437,MAX($D$16,POWER((ABS(K437)^2)/($I$5*MAX(F437,0.1)^2),1/3))))),IF(IFERROR(V437,0)=1,MAX($D$16,IFERROR(L437,MAX($D$16,POWER((ABS(K437)^2)/($I$5*MAX(F437,0.1)^2),1/3)))),IF(IFERROR(AG437,0)=1,MAX($D$16,IFERROR(W437,MAX($D$16,POWER((ABS(K437)^2)/($I$5*MAX(F437,0.1)^2),1/3)))),MAX($D$16,POWER((ABS(K437)^2)/($I$5*MAX(F437,0.1)^2),1/3))))))),MAX($D$16,POWER((ABS(K437)^2)/($I$5*MAX(F437,0.1)^2),1/3)))</f>
        <v>2.1389677043987478</v>
      </c>
      <c r="AI437">
        <f t="shared" ca="1" si="207"/>
        <v>634.51396770439874</v>
      </c>
      <c r="AJ437">
        <f t="shared" ca="1" si="208"/>
        <v>635.58345155659811</v>
      </c>
      <c r="AM437">
        <v>0</v>
      </c>
      <c r="AN437">
        <v>0</v>
      </c>
      <c r="AO437">
        <f t="shared" si="209"/>
        <v>0</v>
      </c>
      <c r="AP437">
        <f t="shared" si="218"/>
        <v>0</v>
      </c>
      <c r="AQ437">
        <f t="shared" ca="1" si="210"/>
        <v>1.0000000000000004</v>
      </c>
      <c r="AR437" t="str">
        <f t="shared" ca="1" si="211"/>
        <v>Supercritical</v>
      </c>
      <c r="AS437">
        <f t="shared" ca="1" si="212"/>
        <v>3.8141460404132466E-3</v>
      </c>
    </row>
    <row r="438" spans="1:45" x14ac:dyDescent="0.35">
      <c r="A438">
        <v>377</v>
      </c>
      <c r="B438">
        <v>375.99599999999998</v>
      </c>
      <c r="C438">
        <v>616264.42099999997</v>
      </c>
      <c r="D438">
        <v>3097588.2149999999</v>
      </c>
      <c r="E438">
        <v>632.37450000000001</v>
      </c>
      <c r="F438">
        <v>5.2</v>
      </c>
      <c r="G438">
        <v>0</v>
      </c>
      <c r="H438" t="s">
        <v>154</v>
      </c>
      <c r="I438">
        <v>2.7E-2</v>
      </c>
      <c r="J438">
        <f t="shared" si="213"/>
        <v>1.0009999999999764</v>
      </c>
      <c r="K438">
        <f t="shared" ca="1" si="214"/>
        <v>50.95</v>
      </c>
      <c r="L438">
        <f t="shared" ca="1" si="215"/>
        <v>2.1389677043987478</v>
      </c>
      <c r="M438">
        <f t="shared" ca="1" si="188"/>
        <v>11.122632062873489</v>
      </c>
      <c r="N438">
        <f t="shared" ca="1" si="189"/>
        <v>1.1735290000551568</v>
      </c>
      <c r="O438">
        <f t="shared" ca="1" si="190"/>
        <v>4.5807502857230418</v>
      </c>
      <c r="P438">
        <f t="shared" ca="1" si="191"/>
        <v>634.51346770439875</v>
      </c>
      <c r="Q438">
        <f t="shared" ca="1" si="192"/>
        <v>635.58295155659812</v>
      </c>
      <c r="R438">
        <f t="shared" ca="1" si="193"/>
        <v>3.8141460404132466E-3</v>
      </c>
      <c r="S438">
        <f t="shared" ca="1" si="194"/>
        <v>1.0000000000000004</v>
      </c>
      <c r="T438">
        <f t="shared" ca="1" si="195"/>
        <v>35.686426155594638</v>
      </c>
      <c r="U438">
        <f t="shared" ca="1" si="216"/>
        <v>-3.3660869597724741E-3</v>
      </c>
      <c r="V438">
        <f t="shared" ca="1" si="217"/>
        <v>1</v>
      </c>
      <c r="W438">
        <f t="shared" ca="1" si="196"/>
        <v>1.7317350929608091</v>
      </c>
      <c r="X438">
        <f t="shared" ca="1" si="197"/>
        <v>9.0050224833962069</v>
      </c>
      <c r="Y438">
        <f t="shared" ca="1" si="198"/>
        <v>1.0394244211782042</v>
      </c>
      <c r="Z438">
        <f t="shared" ca="1" si="199"/>
        <v>5.6579536690711763</v>
      </c>
      <c r="AA438">
        <f t="shared" ca="1" si="200"/>
        <v>634.10623509296079</v>
      </c>
      <c r="AB438">
        <f t="shared" ca="1" si="201"/>
        <v>635.73785791260173</v>
      </c>
      <c r="AC438">
        <f t="shared" ca="1" si="202"/>
        <v>6.840860538269147E-3</v>
      </c>
      <c r="AD438">
        <f t="shared" ca="1" si="203"/>
        <v>1.3727269316897186</v>
      </c>
      <c r="AE438">
        <f t="shared" ca="1" si="204"/>
        <v>37.182757074277788</v>
      </c>
      <c r="AF438">
        <f t="shared" ca="1" si="205"/>
        <v>6.3965652191200206E-3</v>
      </c>
      <c r="AG438">
        <f t="shared" ca="1" si="206"/>
        <v>0</v>
      </c>
      <c r="AH438">
        <f ca="1">IFERROR(IF(V32="Supercritical",MAX($D$16,IFERROR(L438,MAX($D$16,POWER((ABS(K438)^2)/($I$5*MAX(F438,0.1)^2),1/3)))),IF(V32="Subcritical",MAX($D$16,IFERROR(W438,MAX($D$16,POWER((ABS(K438)^2)/($I$5*MAX(F438,0.1)^2),1/3)))),IF(AND(IFERROR(V438,0)=1,IFERROR(AG438,0)=1),IF(IFERROR(T438,-1E+99)&gt;=IFERROR(AE438,-1E+99),MAX($D$16,IFERROR(L438,MAX($D$16,POWER((ABS(K438)^2)/($I$5*MAX(F438,0.1)^2),1/3)))),MAX($D$16,IFERROR(W438,MAX($D$16,POWER((ABS(K438)^2)/($I$5*MAX(F438,0.1)^2),1/3))))),IF(IFERROR(V438,0)=1,MAX($D$16,IFERROR(L438,MAX($D$16,POWER((ABS(K438)^2)/($I$5*MAX(F438,0.1)^2),1/3)))),IF(IFERROR(AG438,0)=1,MAX($D$16,IFERROR(W438,MAX($D$16,POWER((ABS(K438)^2)/($I$5*MAX(F438,0.1)^2),1/3)))),MAX($D$16,POWER((ABS(K438)^2)/($I$5*MAX(F438,0.1)^2),1/3))))))),MAX($D$16,POWER((ABS(K438)^2)/($I$5*MAX(F438,0.1)^2),1/3)))</f>
        <v>2.1389677043987478</v>
      </c>
      <c r="AI438">
        <f t="shared" ca="1" si="207"/>
        <v>634.51346770439875</v>
      </c>
      <c r="AJ438">
        <f t="shared" ca="1" si="208"/>
        <v>635.58295155659812</v>
      </c>
      <c r="AM438">
        <v>0</v>
      </c>
      <c r="AN438">
        <v>0</v>
      </c>
      <c r="AO438">
        <f t="shared" si="209"/>
        <v>0</v>
      </c>
      <c r="AP438">
        <f t="shared" si="218"/>
        <v>0</v>
      </c>
      <c r="AQ438">
        <f t="shared" ca="1" si="210"/>
        <v>1.0000000000000004</v>
      </c>
      <c r="AR438" t="str">
        <f t="shared" ca="1" si="211"/>
        <v>Supercritical</v>
      </c>
      <c r="AS438">
        <f t="shared" ca="1" si="212"/>
        <v>3.8141460404132466E-3</v>
      </c>
    </row>
    <row r="439" spans="1:45" x14ac:dyDescent="0.35">
      <c r="A439">
        <v>378</v>
      </c>
      <c r="B439">
        <v>376.995</v>
      </c>
      <c r="C439">
        <v>616263.94700000004</v>
      </c>
      <c r="D439">
        <v>3097587.335</v>
      </c>
      <c r="E439">
        <v>632.37400000000002</v>
      </c>
      <c r="F439">
        <v>5.2</v>
      </c>
      <c r="G439">
        <v>0</v>
      </c>
      <c r="H439" t="s">
        <v>154</v>
      </c>
      <c r="I439">
        <v>2.3E-2</v>
      </c>
      <c r="J439">
        <f t="shared" si="213"/>
        <v>0.99900000000002365</v>
      </c>
      <c r="K439">
        <f t="shared" ca="1" si="214"/>
        <v>50.95</v>
      </c>
      <c r="L439">
        <f t="shared" ca="1" si="215"/>
        <v>2.1389677043987478</v>
      </c>
      <c r="M439">
        <f t="shared" ca="1" si="188"/>
        <v>11.122632062873489</v>
      </c>
      <c r="N439">
        <f t="shared" ca="1" si="189"/>
        <v>1.1735290000551568</v>
      </c>
      <c r="O439">
        <f t="shared" ca="1" si="190"/>
        <v>4.5807502857230418</v>
      </c>
      <c r="P439">
        <f t="shared" ca="1" si="191"/>
        <v>634.51296770439876</v>
      </c>
      <c r="Q439">
        <f t="shared" ca="1" si="192"/>
        <v>635.58245155659813</v>
      </c>
      <c r="R439">
        <f t="shared" ca="1" si="193"/>
        <v>3.8141460404132466E-3</v>
      </c>
      <c r="S439">
        <f t="shared" ca="1" si="194"/>
        <v>1.0000000000000004</v>
      </c>
      <c r="T439">
        <f t="shared" ca="1" si="195"/>
        <v>35.686426155594638</v>
      </c>
      <c r="U439">
        <f t="shared" ca="1" si="216"/>
        <v>-3.3513287753521581E-3</v>
      </c>
      <c r="V439">
        <f t="shared" ca="1" si="217"/>
        <v>1</v>
      </c>
      <c r="W439">
        <f t="shared" ca="1" si="196"/>
        <v>1.7302030061396743</v>
      </c>
      <c r="X439">
        <f t="shared" ca="1" si="197"/>
        <v>8.9970556319263064</v>
      </c>
      <c r="Y439">
        <f t="shared" ca="1" si="198"/>
        <v>1.0388722675553121</v>
      </c>
      <c r="Z439">
        <f t="shared" ca="1" si="199"/>
        <v>5.6629637610778447</v>
      </c>
      <c r="AA439">
        <f t="shared" ca="1" si="200"/>
        <v>634.10420300613964</v>
      </c>
      <c r="AB439">
        <f t="shared" ca="1" si="201"/>
        <v>635.73871669417633</v>
      </c>
      <c r="AC439">
        <f t="shared" ca="1" si="202"/>
        <v>6.8578378513127133E-3</v>
      </c>
      <c r="AD439">
        <f t="shared" ca="1" si="203"/>
        <v>1.3745506503612361</v>
      </c>
      <c r="AE439">
        <f t="shared" ca="1" si="204"/>
        <v>37.194987515205653</v>
      </c>
      <c r="AF439">
        <f t="shared" ca="1" si="205"/>
        <v>6.4273520472397649E-3</v>
      </c>
      <c r="AG439">
        <f t="shared" ca="1" si="206"/>
        <v>0</v>
      </c>
      <c r="AH439">
        <f ca="1">IFERROR(IF(V32="Supercritical",MAX($D$16,IFERROR(L439,MAX($D$16,POWER((ABS(K439)^2)/($I$5*MAX(F439,0.1)^2),1/3)))),IF(V32="Subcritical",MAX($D$16,IFERROR(W439,MAX($D$16,POWER((ABS(K439)^2)/($I$5*MAX(F439,0.1)^2),1/3)))),IF(AND(IFERROR(V439,0)=1,IFERROR(AG439,0)=1),IF(IFERROR(T439,-1E+99)&gt;=IFERROR(AE439,-1E+99),MAX($D$16,IFERROR(L439,MAX($D$16,POWER((ABS(K439)^2)/($I$5*MAX(F439,0.1)^2),1/3)))),MAX($D$16,IFERROR(W439,MAX($D$16,POWER((ABS(K439)^2)/($I$5*MAX(F439,0.1)^2),1/3))))),IF(IFERROR(V439,0)=1,MAX($D$16,IFERROR(L439,MAX($D$16,POWER((ABS(K439)^2)/($I$5*MAX(F439,0.1)^2),1/3)))),IF(IFERROR(AG439,0)=1,MAX($D$16,IFERROR(W439,MAX($D$16,POWER((ABS(K439)^2)/($I$5*MAX(F439,0.1)^2),1/3)))),MAX($D$16,POWER((ABS(K439)^2)/($I$5*MAX(F439,0.1)^2),1/3))))))),MAX($D$16,POWER((ABS(K439)^2)/($I$5*MAX(F439,0.1)^2),1/3)))</f>
        <v>2.1389677043987478</v>
      </c>
      <c r="AI439">
        <f t="shared" ca="1" si="207"/>
        <v>634.51296770439876</v>
      </c>
      <c r="AJ439">
        <f t="shared" ca="1" si="208"/>
        <v>635.58245155659813</v>
      </c>
      <c r="AM439">
        <v>0</v>
      </c>
      <c r="AN439">
        <v>0</v>
      </c>
      <c r="AO439">
        <f t="shared" si="209"/>
        <v>0</v>
      </c>
      <c r="AP439">
        <f t="shared" si="218"/>
        <v>0</v>
      </c>
      <c r="AQ439">
        <f t="shared" ca="1" si="210"/>
        <v>1.0000000000000004</v>
      </c>
      <c r="AR439" t="str">
        <f t="shared" ca="1" si="211"/>
        <v>Supercritical</v>
      </c>
      <c r="AS439">
        <f t="shared" ca="1" si="212"/>
        <v>3.8141460404132466E-3</v>
      </c>
    </row>
    <row r="440" spans="1:45" x14ac:dyDescent="0.35">
      <c r="A440">
        <v>379</v>
      </c>
      <c r="B440">
        <v>377.99599999999998</v>
      </c>
      <c r="C440">
        <v>616263.47199999995</v>
      </c>
      <c r="D440">
        <v>3097586.4539999999</v>
      </c>
      <c r="E440">
        <v>632.37350000000004</v>
      </c>
      <c r="F440">
        <v>5.2</v>
      </c>
      <c r="G440">
        <v>0</v>
      </c>
      <c r="H440" t="s">
        <v>154</v>
      </c>
      <c r="I440">
        <v>2.3E-2</v>
      </c>
      <c r="J440">
        <f t="shared" si="213"/>
        <v>1.0009999999999764</v>
      </c>
      <c r="K440">
        <f t="shared" ca="1" si="214"/>
        <v>50.95</v>
      </c>
      <c r="L440">
        <f t="shared" ca="1" si="215"/>
        <v>2.1389677043987478</v>
      </c>
      <c r="M440">
        <f t="shared" ca="1" si="188"/>
        <v>11.122632062873489</v>
      </c>
      <c r="N440">
        <f t="shared" ca="1" si="189"/>
        <v>1.1735290000551568</v>
      </c>
      <c r="O440">
        <f t="shared" ca="1" si="190"/>
        <v>4.5807502857230418</v>
      </c>
      <c r="P440">
        <f t="shared" ca="1" si="191"/>
        <v>634.51246770439877</v>
      </c>
      <c r="Q440">
        <f t="shared" ca="1" si="192"/>
        <v>635.58195155659814</v>
      </c>
      <c r="R440">
        <f t="shared" ca="1" si="193"/>
        <v>3.8141460404132466E-3</v>
      </c>
      <c r="S440">
        <f t="shared" ca="1" si="194"/>
        <v>1.0000000000000004</v>
      </c>
      <c r="T440">
        <f t="shared" ca="1" si="195"/>
        <v>35.686426155594638</v>
      </c>
      <c r="U440">
        <f t="shared" ca="1" si="216"/>
        <v>-3.3589570674621427E-3</v>
      </c>
      <c r="V440">
        <f t="shared" ca="1" si="217"/>
        <v>1</v>
      </c>
      <c r="W440">
        <f t="shared" ca="1" si="196"/>
        <v>1.7287589538858747</v>
      </c>
      <c r="X440">
        <f t="shared" ca="1" si="197"/>
        <v>8.9895465602065485</v>
      </c>
      <c r="Y440">
        <f t="shared" ca="1" si="198"/>
        <v>1.0383514831816565</v>
      </c>
      <c r="Z440">
        <f t="shared" ca="1" si="199"/>
        <v>5.6676940998934375</v>
      </c>
      <c r="AA440">
        <f t="shared" ca="1" si="200"/>
        <v>634.10225895388589</v>
      </c>
      <c r="AB440">
        <f t="shared" ca="1" si="201"/>
        <v>635.73950443859371</v>
      </c>
      <c r="AC440">
        <f t="shared" ca="1" si="202"/>
        <v>6.8738936044671541E-3</v>
      </c>
      <c r="AD440">
        <f t="shared" ca="1" si="203"/>
        <v>1.3762732769394364</v>
      </c>
      <c r="AE440">
        <f t="shared" ca="1" si="204"/>
        <v>37.206568584202792</v>
      </c>
      <c r="AF440">
        <f t="shared" ca="1" si="205"/>
        <v>6.3738936045183436E-3</v>
      </c>
      <c r="AG440">
        <f t="shared" ca="1" si="206"/>
        <v>0</v>
      </c>
      <c r="AH440">
        <f ca="1">IFERROR(IF(V32="Supercritical",MAX($D$16,IFERROR(L440,MAX($D$16,POWER((ABS(K440)^2)/($I$5*MAX(F440,0.1)^2),1/3)))),IF(V32="Subcritical",MAX($D$16,IFERROR(W440,MAX($D$16,POWER((ABS(K440)^2)/($I$5*MAX(F440,0.1)^2),1/3)))),IF(AND(IFERROR(V440,0)=1,IFERROR(AG440,0)=1),IF(IFERROR(T440,-1E+99)&gt;=IFERROR(AE440,-1E+99),MAX($D$16,IFERROR(L440,MAX($D$16,POWER((ABS(K440)^2)/($I$5*MAX(F440,0.1)^2),1/3)))),MAX($D$16,IFERROR(W440,MAX($D$16,POWER((ABS(K440)^2)/($I$5*MAX(F440,0.1)^2),1/3))))),IF(IFERROR(V440,0)=1,MAX($D$16,IFERROR(L440,MAX($D$16,POWER((ABS(K440)^2)/($I$5*MAX(F440,0.1)^2),1/3)))),IF(IFERROR(AG440,0)=1,MAX($D$16,IFERROR(W440,MAX($D$16,POWER((ABS(K440)^2)/($I$5*MAX(F440,0.1)^2),1/3)))),MAX($D$16,POWER((ABS(K440)^2)/($I$5*MAX(F440,0.1)^2),1/3))))))),MAX($D$16,POWER((ABS(K440)^2)/($I$5*MAX(F440,0.1)^2),1/3)))</f>
        <v>2.1389677043987478</v>
      </c>
      <c r="AI440">
        <f t="shared" ca="1" si="207"/>
        <v>634.51246770439877</v>
      </c>
      <c r="AJ440">
        <f t="shared" ca="1" si="208"/>
        <v>635.58195155659814</v>
      </c>
      <c r="AM440">
        <v>0</v>
      </c>
      <c r="AN440">
        <v>0</v>
      </c>
      <c r="AO440">
        <f t="shared" si="209"/>
        <v>0</v>
      </c>
      <c r="AP440">
        <f t="shared" si="218"/>
        <v>0</v>
      </c>
      <c r="AQ440">
        <f t="shared" ca="1" si="210"/>
        <v>1.0000000000000004</v>
      </c>
      <c r="AR440" t="str">
        <f t="shared" ca="1" si="211"/>
        <v>Supercritical</v>
      </c>
      <c r="AS440">
        <f t="shared" ca="1" si="212"/>
        <v>3.8141460404132466E-3</v>
      </c>
    </row>
    <row r="441" spans="1:45" x14ac:dyDescent="0.35">
      <c r="A441">
        <v>380</v>
      </c>
      <c r="B441">
        <v>378.99599999999998</v>
      </c>
      <c r="C441">
        <v>616262.99800000002</v>
      </c>
      <c r="D441">
        <v>3097585.574</v>
      </c>
      <c r="E441">
        <v>632.37300000000005</v>
      </c>
      <c r="F441">
        <v>5.2</v>
      </c>
      <c r="G441">
        <v>0</v>
      </c>
      <c r="H441" t="s">
        <v>154</v>
      </c>
      <c r="I441">
        <v>0</v>
      </c>
      <c r="J441">
        <f t="shared" si="213"/>
        <v>1</v>
      </c>
      <c r="K441">
        <f t="shared" ca="1" si="214"/>
        <v>50.95</v>
      </c>
      <c r="L441">
        <f t="shared" ca="1" si="215"/>
        <v>2.1389677043987478</v>
      </c>
      <c r="M441">
        <f t="shared" ca="1" si="188"/>
        <v>11.122632062873489</v>
      </c>
      <c r="N441">
        <f t="shared" ca="1" si="189"/>
        <v>1.1735290000551568</v>
      </c>
      <c r="O441">
        <f t="shared" ca="1" si="190"/>
        <v>4.5807502857230418</v>
      </c>
      <c r="P441">
        <f t="shared" ca="1" si="191"/>
        <v>634.51196770439878</v>
      </c>
      <c r="Q441">
        <f t="shared" ca="1" si="192"/>
        <v>635.58145155659815</v>
      </c>
      <c r="R441">
        <f t="shared" ca="1" si="193"/>
        <v>3.8141460404132466E-3</v>
      </c>
      <c r="S441">
        <f t="shared" ca="1" si="194"/>
        <v>1.0000000000000004</v>
      </c>
      <c r="T441">
        <f t="shared" ca="1" si="195"/>
        <v>35.686426155594638</v>
      </c>
      <c r="U441">
        <f t="shared" ca="1" si="216"/>
        <v>-3.3141460404522149E-3</v>
      </c>
      <c r="V441">
        <f t="shared" ca="1" si="217"/>
        <v>1</v>
      </c>
      <c r="W441">
        <f t="shared" ca="1" si="196"/>
        <v>1.7273986506347221</v>
      </c>
      <c r="X441">
        <f t="shared" ca="1" si="197"/>
        <v>8.9824729833005552</v>
      </c>
      <c r="Y441">
        <f t="shared" ca="1" si="198"/>
        <v>1.037860584208373</v>
      </c>
      <c r="Z441">
        <f t="shared" ca="1" si="199"/>
        <v>5.6721573329217776</v>
      </c>
      <c r="AA441">
        <f t="shared" ca="1" si="200"/>
        <v>634.10039865063482</v>
      </c>
      <c r="AB441">
        <f t="shared" ca="1" si="201"/>
        <v>635.74022376834216</v>
      </c>
      <c r="AC441">
        <f t="shared" ca="1" si="202"/>
        <v>6.8890662929882458E-3</v>
      </c>
      <c r="AD441">
        <f t="shared" ca="1" si="203"/>
        <v>1.3778992920492967</v>
      </c>
      <c r="AE441">
        <f t="shared" ca="1" si="204"/>
        <v>37.217525489646043</v>
      </c>
      <c r="AF441">
        <f t="shared" ca="1" si="205"/>
        <v>6.4559693568071452E-3</v>
      </c>
      <c r="AG441">
        <f t="shared" ca="1" si="206"/>
        <v>0</v>
      </c>
      <c r="AH441">
        <f ca="1">IFERROR(IF(V32="Supercritical",MAX($D$16,IFERROR(L441,MAX($D$16,POWER((ABS(K441)^2)/($I$5*MAX(F441,0.1)^2),1/3)))),IF(V32="Subcritical",MAX($D$16,IFERROR(W441,MAX($D$16,POWER((ABS(K441)^2)/($I$5*MAX(F441,0.1)^2),1/3)))),IF(AND(IFERROR(V441,0)=1,IFERROR(AG441,0)=1),IF(IFERROR(T441,-1E+99)&gt;=IFERROR(AE441,-1E+99),MAX($D$16,IFERROR(L441,MAX($D$16,POWER((ABS(K441)^2)/($I$5*MAX(F441,0.1)^2),1/3)))),MAX($D$16,IFERROR(W441,MAX($D$16,POWER((ABS(K441)^2)/($I$5*MAX(F441,0.1)^2),1/3))))),IF(IFERROR(V441,0)=1,MAX($D$16,IFERROR(L441,MAX($D$16,POWER((ABS(K441)^2)/($I$5*MAX(F441,0.1)^2),1/3)))),IF(IFERROR(AG441,0)=1,MAX($D$16,IFERROR(W441,MAX($D$16,POWER((ABS(K441)^2)/($I$5*MAX(F441,0.1)^2),1/3)))),MAX($D$16,POWER((ABS(K441)^2)/($I$5*MAX(F441,0.1)^2),1/3))))))),MAX($D$16,POWER((ABS(K441)^2)/($I$5*MAX(F441,0.1)^2),1/3)))</f>
        <v>2.1389677043987478</v>
      </c>
      <c r="AI441">
        <f t="shared" ca="1" si="207"/>
        <v>634.51196770439878</v>
      </c>
      <c r="AJ441">
        <f t="shared" ca="1" si="208"/>
        <v>635.58145155659815</v>
      </c>
      <c r="AM441">
        <v>0</v>
      </c>
      <c r="AN441">
        <v>0</v>
      </c>
      <c r="AO441">
        <f t="shared" si="209"/>
        <v>0</v>
      </c>
      <c r="AP441">
        <f t="shared" si="218"/>
        <v>0</v>
      </c>
      <c r="AQ441">
        <f t="shared" ca="1" si="210"/>
        <v>1.0000000000000004</v>
      </c>
      <c r="AR441" t="str">
        <f t="shared" ca="1" si="211"/>
        <v>Supercritical</v>
      </c>
      <c r="AS441">
        <f t="shared" ca="1" si="212"/>
        <v>3.8141460404132466E-3</v>
      </c>
    </row>
    <row r="442" spans="1:45" x14ac:dyDescent="0.35">
      <c r="A442">
        <v>381</v>
      </c>
      <c r="B442">
        <v>379.995</v>
      </c>
      <c r="C442">
        <v>616262.52399999998</v>
      </c>
      <c r="D442">
        <v>3097584.6940000001</v>
      </c>
      <c r="E442">
        <v>632.37249999999995</v>
      </c>
      <c r="F442">
        <v>5.2</v>
      </c>
      <c r="G442">
        <v>0</v>
      </c>
      <c r="H442" t="s">
        <v>154</v>
      </c>
      <c r="I442">
        <v>2.7E-2</v>
      </c>
      <c r="J442">
        <f t="shared" si="213"/>
        <v>0.99900000000002365</v>
      </c>
      <c r="K442">
        <f t="shared" ca="1" si="214"/>
        <v>50.95</v>
      </c>
      <c r="L442">
        <f t="shared" ca="1" si="215"/>
        <v>2.1389677043987478</v>
      </c>
      <c r="M442">
        <f t="shared" ca="1" si="188"/>
        <v>11.122632062873489</v>
      </c>
      <c r="N442">
        <f t="shared" ca="1" si="189"/>
        <v>1.1735290000551568</v>
      </c>
      <c r="O442">
        <f t="shared" ca="1" si="190"/>
        <v>4.5807502857230418</v>
      </c>
      <c r="P442">
        <f t="shared" ca="1" si="191"/>
        <v>634.51146770439868</v>
      </c>
      <c r="Q442">
        <f t="shared" ca="1" si="192"/>
        <v>635.58095155659805</v>
      </c>
      <c r="R442">
        <f t="shared" ca="1" si="193"/>
        <v>3.8141460404132466E-3</v>
      </c>
      <c r="S442">
        <f t="shared" ca="1" si="194"/>
        <v>1.0000000000000004</v>
      </c>
      <c r="T442">
        <f t="shared" ca="1" si="195"/>
        <v>35.686426155594638</v>
      </c>
      <c r="U442">
        <f t="shared" ca="1" si="216"/>
        <v>-3.3584586675488026E-3</v>
      </c>
      <c r="V442">
        <f t="shared" ca="1" si="217"/>
        <v>1</v>
      </c>
      <c r="W442">
        <f t="shared" ca="1" si="196"/>
        <v>1.7261179276834404</v>
      </c>
      <c r="X442">
        <f t="shared" ca="1" si="197"/>
        <v>8.9758132239538906</v>
      </c>
      <c r="Y442">
        <f t="shared" ca="1" si="198"/>
        <v>1.0373981215949284</v>
      </c>
      <c r="Z442">
        <f t="shared" ca="1" si="199"/>
        <v>5.6763658878316399</v>
      </c>
      <c r="AA442">
        <f t="shared" ca="1" si="200"/>
        <v>634.09861792768334</v>
      </c>
      <c r="AB442">
        <f t="shared" ca="1" si="201"/>
        <v>635.74087734116642</v>
      </c>
      <c r="AC442">
        <f t="shared" ca="1" si="202"/>
        <v>6.9033941689592235E-3</v>
      </c>
      <c r="AD442">
        <f t="shared" ca="1" si="203"/>
        <v>1.3794331106701285</v>
      </c>
      <c r="AE442">
        <f t="shared" ca="1" si="204"/>
        <v>37.227883582111431</v>
      </c>
      <c r="AF442">
        <f t="shared" ca="1" si="205"/>
        <v>6.6237912868700732E-3</v>
      </c>
      <c r="AG442">
        <f t="shared" ca="1" si="206"/>
        <v>0</v>
      </c>
      <c r="AH442">
        <f ca="1">IFERROR(IF(V32="Supercritical",MAX($D$16,IFERROR(L442,MAX($D$16,POWER((ABS(K442)^2)/($I$5*MAX(F442,0.1)^2),1/3)))),IF(V32="Subcritical",MAX($D$16,IFERROR(W442,MAX($D$16,POWER((ABS(K442)^2)/($I$5*MAX(F442,0.1)^2),1/3)))),IF(AND(IFERROR(V442,0)=1,IFERROR(AG442,0)=1),IF(IFERROR(T442,-1E+99)&gt;=IFERROR(AE442,-1E+99),MAX($D$16,IFERROR(L442,MAX($D$16,POWER((ABS(K442)^2)/($I$5*MAX(F442,0.1)^2),1/3)))),MAX($D$16,IFERROR(W442,MAX($D$16,POWER((ABS(K442)^2)/($I$5*MAX(F442,0.1)^2),1/3))))),IF(IFERROR(V442,0)=1,MAX($D$16,IFERROR(L442,MAX($D$16,POWER((ABS(K442)^2)/($I$5*MAX(F442,0.1)^2),1/3)))),IF(IFERROR(AG442,0)=1,MAX($D$16,IFERROR(W442,MAX($D$16,POWER((ABS(K442)^2)/($I$5*MAX(F442,0.1)^2),1/3)))),MAX($D$16,POWER((ABS(K442)^2)/($I$5*MAX(F442,0.1)^2),1/3))))))),MAX($D$16,POWER((ABS(K442)^2)/($I$5*MAX(F442,0.1)^2),1/3)))</f>
        <v>2.1389677043987478</v>
      </c>
      <c r="AI442">
        <f t="shared" ca="1" si="207"/>
        <v>634.51146770439868</v>
      </c>
      <c r="AJ442">
        <f t="shared" ca="1" si="208"/>
        <v>635.58095155659805</v>
      </c>
      <c r="AM442">
        <v>0</v>
      </c>
      <c r="AN442">
        <v>0</v>
      </c>
      <c r="AO442">
        <f t="shared" si="209"/>
        <v>0</v>
      </c>
      <c r="AP442">
        <f t="shared" si="218"/>
        <v>0</v>
      </c>
      <c r="AQ442">
        <f t="shared" ca="1" si="210"/>
        <v>1.0000000000000004</v>
      </c>
      <c r="AR442" t="str">
        <f t="shared" ca="1" si="211"/>
        <v>Supercritical</v>
      </c>
      <c r="AS442">
        <f t="shared" ca="1" si="212"/>
        <v>3.8141460404132466E-3</v>
      </c>
    </row>
    <row r="443" spans="1:45" x14ac:dyDescent="0.35">
      <c r="A443">
        <v>382</v>
      </c>
      <c r="B443">
        <v>380.99599999999998</v>
      </c>
      <c r="C443">
        <v>616262.05000000005</v>
      </c>
      <c r="D443">
        <v>3097583.8130000001</v>
      </c>
      <c r="E443">
        <v>632.37199999999996</v>
      </c>
      <c r="F443">
        <v>5.2</v>
      </c>
      <c r="G443">
        <v>0</v>
      </c>
      <c r="H443" t="s">
        <v>154</v>
      </c>
      <c r="I443">
        <v>7.8E-2</v>
      </c>
      <c r="J443">
        <f t="shared" si="213"/>
        <v>1.0009999999999764</v>
      </c>
      <c r="K443">
        <f t="shared" ca="1" si="214"/>
        <v>50.95</v>
      </c>
      <c r="L443">
        <f t="shared" ca="1" si="215"/>
        <v>2.1389677043987478</v>
      </c>
      <c r="M443">
        <f t="shared" ca="1" si="188"/>
        <v>11.122632062873489</v>
      </c>
      <c r="N443">
        <f t="shared" ca="1" si="189"/>
        <v>1.1735290000551568</v>
      </c>
      <c r="O443">
        <f t="shared" ca="1" si="190"/>
        <v>4.5807502857230418</v>
      </c>
      <c r="P443">
        <f t="shared" ca="1" si="191"/>
        <v>634.51096770439869</v>
      </c>
      <c r="Q443">
        <f t="shared" ca="1" si="192"/>
        <v>635.58045155659806</v>
      </c>
      <c r="R443">
        <f t="shared" ca="1" si="193"/>
        <v>3.8141460404132466E-3</v>
      </c>
      <c r="S443">
        <f t="shared" ca="1" si="194"/>
        <v>1.0000000000000004</v>
      </c>
      <c r="T443">
        <f t="shared" ca="1" si="195"/>
        <v>35.686426155594638</v>
      </c>
      <c r="U443">
        <f t="shared" ca="1" si="216"/>
        <v>-3.456993087183946E-3</v>
      </c>
      <c r="V443">
        <f t="shared" ca="1" si="217"/>
        <v>1</v>
      </c>
      <c r="W443">
        <f t="shared" ca="1" si="196"/>
        <v>1.7249127417292918</v>
      </c>
      <c r="X443">
        <f t="shared" ca="1" si="197"/>
        <v>8.9695462569923183</v>
      </c>
      <c r="Y443">
        <f t="shared" ca="1" si="198"/>
        <v>1.0369626848709435</v>
      </c>
      <c r="Z443">
        <f t="shared" ca="1" si="199"/>
        <v>5.6803319298656065</v>
      </c>
      <c r="AA443">
        <f t="shared" ca="1" si="200"/>
        <v>634.09691274172928</v>
      </c>
      <c r="AB443">
        <f t="shared" ca="1" si="201"/>
        <v>635.74146783008052</v>
      </c>
      <c r="AC443">
        <f t="shared" ca="1" si="202"/>
        <v>6.9169150542950086E-3</v>
      </c>
      <c r="AD443">
        <f t="shared" ca="1" si="203"/>
        <v>1.3808790653485554</v>
      </c>
      <c r="AE443">
        <f t="shared" ca="1" si="204"/>
        <v>37.237668187384685</v>
      </c>
      <c r="AF443">
        <f t="shared" ca="1" si="205"/>
        <v>6.6307072157769653E-3</v>
      </c>
      <c r="AG443">
        <f t="shared" ca="1" si="206"/>
        <v>0</v>
      </c>
      <c r="AH443">
        <f ca="1">IFERROR(IF(V32="Supercritical",MAX($D$16,IFERROR(L443,MAX($D$16,POWER((ABS(K443)^2)/($I$5*MAX(F443,0.1)^2),1/3)))),IF(V32="Subcritical",MAX($D$16,IFERROR(W443,MAX($D$16,POWER((ABS(K443)^2)/($I$5*MAX(F443,0.1)^2),1/3)))),IF(AND(IFERROR(V443,0)=1,IFERROR(AG443,0)=1),IF(IFERROR(T443,-1E+99)&gt;=IFERROR(AE443,-1E+99),MAX($D$16,IFERROR(L443,MAX($D$16,POWER((ABS(K443)^2)/($I$5*MAX(F443,0.1)^2),1/3)))),MAX($D$16,IFERROR(W443,MAX($D$16,POWER((ABS(K443)^2)/($I$5*MAX(F443,0.1)^2),1/3))))),IF(IFERROR(V443,0)=1,MAX($D$16,IFERROR(L443,MAX($D$16,POWER((ABS(K443)^2)/($I$5*MAX(F443,0.1)^2),1/3)))),IF(IFERROR(AG443,0)=1,MAX($D$16,IFERROR(W443,MAX($D$16,POWER((ABS(K443)^2)/($I$5*MAX(F443,0.1)^2),1/3)))),MAX($D$16,POWER((ABS(K443)^2)/($I$5*MAX(F443,0.1)^2),1/3))))))),MAX($D$16,POWER((ABS(K443)^2)/($I$5*MAX(F443,0.1)^2),1/3)))</f>
        <v>2.1389677043987478</v>
      </c>
      <c r="AI443">
        <f t="shared" ca="1" si="207"/>
        <v>634.51096770439869</v>
      </c>
      <c r="AJ443">
        <f t="shared" ca="1" si="208"/>
        <v>635.58045155659806</v>
      </c>
      <c r="AM443">
        <v>0</v>
      </c>
      <c r="AN443">
        <v>0</v>
      </c>
      <c r="AO443">
        <f t="shared" si="209"/>
        <v>0</v>
      </c>
      <c r="AP443">
        <f t="shared" si="218"/>
        <v>0</v>
      </c>
      <c r="AQ443">
        <f t="shared" ca="1" si="210"/>
        <v>1.0000000000000004</v>
      </c>
      <c r="AR443" t="str">
        <f t="shared" ca="1" si="211"/>
        <v>Supercritical</v>
      </c>
      <c r="AS443">
        <f t="shared" ca="1" si="212"/>
        <v>3.8141460404132466E-3</v>
      </c>
    </row>
    <row r="444" spans="1:45" x14ac:dyDescent="0.35">
      <c r="A444">
        <v>383</v>
      </c>
      <c r="B444">
        <v>381.99599999999998</v>
      </c>
      <c r="C444">
        <v>616261.57499999995</v>
      </c>
      <c r="D444">
        <v>3097582.9330000002</v>
      </c>
      <c r="E444">
        <v>632.37149999999997</v>
      </c>
      <c r="F444">
        <v>5.2</v>
      </c>
      <c r="G444">
        <v>0</v>
      </c>
      <c r="H444" t="s">
        <v>154</v>
      </c>
      <c r="I444">
        <v>7.8E-2</v>
      </c>
      <c r="J444">
        <f t="shared" si="213"/>
        <v>1</v>
      </c>
      <c r="K444">
        <f t="shared" ca="1" si="214"/>
        <v>50.95</v>
      </c>
      <c r="L444">
        <f t="shared" ca="1" si="215"/>
        <v>2.1389677043987478</v>
      </c>
      <c r="M444">
        <f t="shared" ca="1" si="188"/>
        <v>11.122632062873489</v>
      </c>
      <c r="N444">
        <f t="shared" ca="1" si="189"/>
        <v>1.1735290000551568</v>
      </c>
      <c r="O444">
        <f t="shared" ca="1" si="190"/>
        <v>4.5807502857230418</v>
      </c>
      <c r="P444">
        <f t="shared" ca="1" si="191"/>
        <v>634.51046770439871</v>
      </c>
      <c r="Q444">
        <f t="shared" ca="1" si="192"/>
        <v>635.57995155659808</v>
      </c>
      <c r="R444">
        <f t="shared" ca="1" si="193"/>
        <v>3.8141460404132466E-3</v>
      </c>
      <c r="S444">
        <f t="shared" ca="1" si="194"/>
        <v>1.0000000000000004</v>
      </c>
      <c r="T444">
        <f t="shared" ca="1" si="195"/>
        <v>35.686426155594638</v>
      </c>
      <c r="U444">
        <f t="shared" ca="1" si="216"/>
        <v>-3.4531789411857972E-3</v>
      </c>
      <c r="V444">
        <f t="shared" ca="1" si="217"/>
        <v>1</v>
      </c>
      <c r="W444">
        <f t="shared" ca="1" si="196"/>
        <v>1.7237791815537142</v>
      </c>
      <c r="X444">
        <f t="shared" ca="1" si="197"/>
        <v>8.9636517440793142</v>
      </c>
      <c r="Y444">
        <f t="shared" ca="1" si="198"/>
        <v>1.0365529051900264</v>
      </c>
      <c r="Z444">
        <f t="shared" ca="1" si="199"/>
        <v>5.6840673259816885</v>
      </c>
      <c r="AA444">
        <f t="shared" ca="1" si="200"/>
        <v>634.09527918155368</v>
      </c>
      <c r="AB444">
        <f t="shared" ca="1" si="201"/>
        <v>635.74199790562568</v>
      </c>
      <c r="AC444">
        <f t="shared" ca="1" si="202"/>
        <v>6.9296661784492893E-3</v>
      </c>
      <c r="AD444">
        <f t="shared" ca="1" si="203"/>
        <v>1.3822413919521188</v>
      </c>
      <c r="AE444">
        <f t="shared" ca="1" si="204"/>
        <v>37.246904459642856</v>
      </c>
      <c r="AF444">
        <f t="shared" ca="1" si="205"/>
        <v>6.5037685210427298E-3</v>
      </c>
      <c r="AG444">
        <f t="shared" ca="1" si="206"/>
        <v>0</v>
      </c>
      <c r="AH444">
        <f ca="1">IFERROR(IF(V32="Supercritical",MAX($D$16,IFERROR(L444,MAX($D$16,POWER((ABS(K444)^2)/($I$5*MAX(F444,0.1)^2),1/3)))),IF(V32="Subcritical",MAX($D$16,IFERROR(W444,MAX($D$16,POWER((ABS(K444)^2)/($I$5*MAX(F444,0.1)^2),1/3)))),IF(AND(IFERROR(V444,0)=1,IFERROR(AG444,0)=1),IF(IFERROR(T444,-1E+99)&gt;=IFERROR(AE444,-1E+99),MAX($D$16,IFERROR(L444,MAX($D$16,POWER((ABS(K444)^2)/($I$5*MAX(F444,0.1)^2),1/3)))),MAX($D$16,IFERROR(W444,MAX($D$16,POWER((ABS(K444)^2)/($I$5*MAX(F444,0.1)^2),1/3))))),IF(IFERROR(V444,0)=1,MAX($D$16,IFERROR(L444,MAX($D$16,POWER((ABS(K444)^2)/($I$5*MAX(F444,0.1)^2),1/3)))),IF(IFERROR(AG444,0)=1,MAX($D$16,IFERROR(W444,MAX($D$16,POWER((ABS(K444)^2)/($I$5*MAX(F444,0.1)^2),1/3)))),MAX($D$16,POWER((ABS(K444)^2)/($I$5*MAX(F444,0.1)^2),1/3))))))),MAX($D$16,POWER((ABS(K444)^2)/($I$5*MAX(F444,0.1)^2),1/3)))</f>
        <v>2.1389677043987478</v>
      </c>
      <c r="AI444">
        <f t="shared" ca="1" si="207"/>
        <v>634.51046770439871</v>
      </c>
      <c r="AJ444">
        <f t="shared" ca="1" si="208"/>
        <v>635.57995155659808</v>
      </c>
      <c r="AM444">
        <v>0</v>
      </c>
      <c r="AN444">
        <v>0</v>
      </c>
      <c r="AO444">
        <f t="shared" si="209"/>
        <v>0</v>
      </c>
      <c r="AP444">
        <f t="shared" si="218"/>
        <v>0</v>
      </c>
      <c r="AQ444">
        <f t="shared" ca="1" si="210"/>
        <v>1.0000000000000004</v>
      </c>
      <c r="AR444" t="str">
        <f t="shared" ca="1" si="211"/>
        <v>Supercritical</v>
      </c>
      <c r="AS444">
        <f t="shared" ca="1" si="212"/>
        <v>3.8141460404132466E-3</v>
      </c>
    </row>
    <row r="445" spans="1:45" x14ac:dyDescent="0.35">
      <c r="A445">
        <v>384</v>
      </c>
      <c r="B445">
        <v>382.99599999999998</v>
      </c>
      <c r="C445">
        <v>616261.10100000002</v>
      </c>
      <c r="D445">
        <v>3097582.0520000001</v>
      </c>
      <c r="E445">
        <v>632.37099999999998</v>
      </c>
      <c r="F445">
        <v>5.2</v>
      </c>
      <c r="G445">
        <v>0</v>
      </c>
      <c r="H445" t="s">
        <v>154</v>
      </c>
      <c r="I445">
        <v>2.7E-2</v>
      </c>
      <c r="J445">
        <f t="shared" si="213"/>
        <v>1</v>
      </c>
      <c r="K445">
        <f t="shared" ca="1" si="214"/>
        <v>50.95</v>
      </c>
      <c r="L445">
        <f t="shared" ca="1" si="215"/>
        <v>2.1389677043987478</v>
      </c>
      <c r="M445">
        <f t="shared" ca="1" si="188"/>
        <v>11.122632062873489</v>
      </c>
      <c r="N445">
        <f t="shared" ca="1" si="189"/>
        <v>1.1735290000551568</v>
      </c>
      <c r="O445">
        <f t="shared" ca="1" si="190"/>
        <v>4.5807502857230418</v>
      </c>
      <c r="P445">
        <f t="shared" ca="1" si="191"/>
        <v>634.50996770439872</v>
      </c>
      <c r="Q445">
        <f t="shared" ca="1" si="192"/>
        <v>635.57945155659809</v>
      </c>
      <c r="R445">
        <f t="shared" ca="1" si="193"/>
        <v>3.8141460404132466E-3</v>
      </c>
      <c r="S445">
        <f t="shared" ca="1" si="194"/>
        <v>1.0000000000000004</v>
      </c>
      <c r="T445">
        <f t="shared" ca="1" si="195"/>
        <v>35.686426155594638</v>
      </c>
      <c r="U445">
        <f t="shared" ca="1" si="216"/>
        <v>-3.3622728137743252E-3</v>
      </c>
      <c r="V445">
        <f t="shared" ca="1" si="217"/>
        <v>1</v>
      </c>
      <c r="W445">
        <f t="shared" ca="1" si="196"/>
        <v>1.7227134730249125</v>
      </c>
      <c r="X445">
        <f t="shared" ca="1" si="197"/>
        <v>8.9581100597295453</v>
      </c>
      <c r="Y445">
        <f t="shared" ca="1" si="198"/>
        <v>1.0361674577358597</v>
      </c>
      <c r="Z445">
        <f t="shared" ca="1" si="199"/>
        <v>5.6875836153254671</v>
      </c>
      <c r="AA445">
        <f t="shared" ca="1" si="200"/>
        <v>634.09371347302488</v>
      </c>
      <c r="AB445">
        <f t="shared" ca="1" si="201"/>
        <v>635.74247022028885</v>
      </c>
      <c r="AC445">
        <f t="shared" ca="1" si="202"/>
        <v>6.9416840394477411E-3</v>
      </c>
      <c r="AD445">
        <f t="shared" ca="1" si="203"/>
        <v>1.383524217788535</v>
      </c>
      <c r="AE445">
        <f t="shared" ca="1" si="204"/>
        <v>37.255617253792366</v>
      </c>
      <c r="AF445">
        <f t="shared" ca="1" si="205"/>
        <v>6.4416840394869723E-3</v>
      </c>
      <c r="AG445">
        <f t="shared" ca="1" si="206"/>
        <v>0</v>
      </c>
      <c r="AH445">
        <f ca="1">IFERROR(IF(V32="Supercritical",MAX($D$16,IFERROR(L445,MAX($D$16,POWER((ABS(K445)^2)/($I$5*MAX(F445,0.1)^2),1/3)))),IF(V32="Subcritical",MAX($D$16,IFERROR(W445,MAX($D$16,POWER((ABS(K445)^2)/($I$5*MAX(F445,0.1)^2),1/3)))),IF(AND(IFERROR(V445,0)=1,IFERROR(AG445,0)=1),IF(IFERROR(T445,-1E+99)&gt;=IFERROR(AE445,-1E+99),MAX($D$16,IFERROR(L445,MAX($D$16,POWER((ABS(K445)^2)/($I$5*MAX(F445,0.1)^2),1/3)))),MAX($D$16,IFERROR(W445,MAX($D$16,POWER((ABS(K445)^2)/($I$5*MAX(F445,0.1)^2),1/3))))),IF(IFERROR(V445,0)=1,MAX($D$16,IFERROR(L445,MAX($D$16,POWER((ABS(K445)^2)/($I$5*MAX(F445,0.1)^2),1/3)))),IF(IFERROR(AG445,0)=1,MAX($D$16,IFERROR(W445,MAX($D$16,POWER((ABS(K445)^2)/($I$5*MAX(F445,0.1)^2),1/3)))),MAX($D$16,POWER((ABS(K445)^2)/($I$5*MAX(F445,0.1)^2),1/3))))))),MAX($D$16,POWER((ABS(K445)^2)/($I$5*MAX(F445,0.1)^2),1/3)))</f>
        <v>2.1389677043987478</v>
      </c>
      <c r="AI445">
        <f t="shared" ca="1" si="207"/>
        <v>634.50996770439872</v>
      </c>
      <c r="AJ445">
        <f t="shared" ca="1" si="208"/>
        <v>635.57945155659809</v>
      </c>
      <c r="AM445">
        <v>0</v>
      </c>
      <c r="AN445">
        <v>0</v>
      </c>
      <c r="AO445">
        <f t="shared" si="209"/>
        <v>0</v>
      </c>
      <c r="AP445">
        <f t="shared" si="218"/>
        <v>0</v>
      </c>
      <c r="AQ445">
        <f t="shared" ca="1" si="210"/>
        <v>1.0000000000000004</v>
      </c>
      <c r="AR445" t="str">
        <f t="shared" ca="1" si="211"/>
        <v>Supercritical</v>
      </c>
      <c r="AS445">
        <f t="shared" ca="1" si="212"/>
        <v>3.8141460404132466E-3</v>
      </c>
    </row>
    <row r="446" spans="1:45" x14ac:dyDescent="0.35">
      <c r="A446">
        <v>385</v>
      </c>
      <c r="B446">
        <v>383.99599999999998</v>
      </c>
      <c r="C446">
        <v>616260.62699999998</v>
      </c>
      <c r="D446">
        <v>3097581.1719999998</v>
      </c>
      <c r="E446">
        <v>632.37049999999999</v>
      </c>
      <c r="F446">
        <v>5.2</v>
      </c>
      <c r="G446">
        <v>0</v>
      </c>
      <c r="H446" t="s">
        <v>154</v>
      </c>
      <c r="I446">
        <v>0</v>
      </c>
      <c r="J446">
        <f t="shared" si="213"/>
        <v>1</v>
      </c>
      <c r="K446">
        <f t="shared" ca="1" si="214"/>
        <v>50.95</v>
      </c>
      <c r="L446">
        <f t="shared" ca="1" si="215"/>
        <v>2.1389677043987478</v>
      </c>
      <c r="M446">
        <f t="shared" ref="M446:M509" ca="1" si="219">((F446)+(G446)*(L446))*(L446)</f>
        <v>11.122632062873489</v>
      </c>
      <c r="N446">
        <f t="shared" ref="N446:N509" ca="1" si="220">(((F446)+(G446)*(L446))*(L446))/MAX((F446)+2*(L446)*SQRT(1+(G446)^2),0.000001)</f>
        <v>1.1735290000551568</v>
      </c>
      <c r="O446">
        <f t="shared" ref="O446:O509" ca="1" si="221">ABS(K446)/MAX(((F446)+(G446)*(L446))*(L446),0.000001)</f>
        <v>4.5807502857230418</v>
      </c>
      <c r="P446">
        <f t="shared" ref="P446:P509" ca="1" si="222">E446+L446</f>
        <v>634.50946770439873</v>
      </c>
      <c r="Q446">
        <f t="shared" ref="Q446:Q509" ca="1" si="223">P446+((ABS(K446)/MAX(((F446)+(G446)*(L446))*(L446),0.000001))^2)/(2*$I$5)</f>
        <v>635.5789515565981</v>
      </c>
      <c r="R446">
        <f t="shared" ref="R446:R509" ca="1" si="224">((ABS(K446)*$D$6)/(MAX(((F446)+(G446)*(L446))*(L446),0.000001)*MAX(((((F446)+(G446)*(L446))*(L446))/MAX((F446)+2*(L446)*SQRT(1+(G446)^2),0.000001))^(2/3),0.000001)))^2</f>
        <v>3.8141460404132466E-3</v>
      </c>
      <c r="S446">
        <f t="shared" ref="S446:S509" ca="1" si="225">ABS(ABS(K446)/MAX(((F446)+(G446)*(L446))*(L446),0.000001))/SQRT($I$5*MAX((((F446)+(G446)*(L446))*(L446))/MAX((F446)+2*(G446)*(L446),0.000001),0.000001))</f>
        <v>1.0000000000000004</v>
      </c>
      <c r="T446">
        <f t="shared" ref="T446:T509" ca="1" si="226">((F446)*(L446)^2)/2+(G446)*(L446)^3/3+(ABS(K446)^2)/($I$5*MAX(((F446)+(G446)*(L446))*(L446),0.000001))</f>
        <v>35.686426155594638</v>
      </c>
      <c r="U446">
        <f t="shared" ca="1" si="216"/>
        <v>-3.3141460404522149E-3</v>
      </c>
      <c r="V446">
        <f t="shared" ca="1" si="217"/>
        <v>1</v>
      </c>
      <c r="W446">
        <f t="shared" ref="W446:W509" ca="1" si="227">IF($D$20=0,IFERROR(W447,MAX($D$16,POWER((ABS(K446)^2)/($I$5*MAX(F446,0.1)^2),1/3))),IF(IFERROR(AG447,0)=0,IFERROR(W447,MAX($D$16,POWER((ABS(K446)^2)/($I$5*MAX(F446,0.1)^2),1/3))),IF(OR(IFERROR(W446,0)=0,IFERROR(AD447,0)&gt;1),MAX($D$16,POWER((ABS(K446)^2)/($I$5*MAX(F446,0.1)^2),1/3)),IF(IFERROR(AF446,0)&gt;0,MAX($D$16,IFERROR(W446,0)+((IFERROR(AF446,0))*$D$18*IF((IFERROR(AD446,0))&lt;1,1,-1))),IF(IFERROR(AF446,0)&lt;0,IF(ABS((MAX($D$16,POWER((ABS(K446)^2)/($I$5*MAX(F446,0.1)^2),1/3)))-IFERROR(W446,0))&gt;$D$19,MAX($D$16,IF((MAX($D$16,POWER((ABS(K446)^2)/($I$5*MAX(F446,0.1)^2),1/3)))&gt;IFERROR(W446,0),MIN((MAX($D$16,POWER((ABS(K446)^2)/($I$5*MAX(F446,0.1)^2),1/3))),IFERROR(W446,0)+(MIN(ABS(IFERROR(AF446,0))*$D$18,ABS((MAX($D$16,POWER((ABS(K446)^2)/($I$5*MAX(F446,0.1)^2),1/3)))-IFERROR(W446,0))))),MAX((MAX($D$16,POWER((ABS(K446)^2)/($I$5*MAX(F446,0.1)^2),1/3))),IFERROR(W446,0)-(MIN(ABS(IFERROR(AF446,0))*$D$18,ABS((MAX($D$16,POWER((ABS(K446)^2)/($I$5*MAX(F446,0.1)^2),1/3)))-IFERROR(W446,0))))))),MAX($D$16,POWER((ABS(K446)^2)/($I$5*MAX(F446,0.1)^2),1/3))),MAX($D$16,IFERROR(W446,0)))))))</f>
        <v>1.7217119825890215</v>
      </c>
      <c r="X446">
        <f t="shared" ref="X446:X509" ca="1" si="228">((F446)+(G446)*(W446))*(W446)</f>
        <v>8.9529023094629121</v>
      </c>
      <c r="Y446">
        <f t="shared" ref="Y446:Y509" ca="1" si="229">(((F446)+(G446)*(W446))*(W446))/MAX((F446)+2*(W446)*SQRT(1+(G446)^2),0.000001)</f>
        <v>1.0358050635409846</v>
      </c>
      <c r="Z446">
        <f t="shared" ref="Z446:Z509" ca="1" si="230">ABS(K446)/MAX(((F446)+(G446)*(W446))*(W446),0.000001)</f>
        <v>5.6908919855126303</v>
      </c>
      <c r="AA446">
        <f t="shared" ref="AA446:AA509" ca="1" si="231">E446+W446</f>
        <v>634.09221198258899</v>
      </c>
      <c r="AB446">
        <f t="shared" ref="AB446:AB509" ca="1" si="232">AA446+((ABS(K446)/MAX(((F446)+(G446)*(W446))*(W446),0.000001))^2)/(2*$I$5)</f>
        <v>635.74288739496274</v>
      </c>
      <c r="AC446">
        <f t="shared" ref="AC446:AC509" ca="1" si="233">((ABS(K446)*$D$6)/(MAX(((F446)+(G446)*(W446))*(W446),0.000001)*MAX(((((F446)+(G446)*(W446))*(W446))/MAX((F446)+2*(W446)*SQRT(1+(G446)^2),0.000001))^(2/3),0.000001)))^2</f>
        <v>6.9530042867172685E-3</v>
      </c>
      <c r="AD446">
        <f t="shared" ref="AD446:AD509" ca="1" si="234">ABS(ABS(K446)/MAX(((F446)+(G446)*(W446))*(W446),0.000001))/SQRT($I$5*MAX((((F446)+(G446)*(W446))*(W446))/MAX((F446)+2*(G446)*(W446),0.000001),0.000001))</f>
        <v>1.3847315519065986</v>
      </c>
      <c r="AE446">
        <f t="shared" ref="AE446:AE509" ca="1" si="235">((F446)*(W446)^2)/2+(G446)*(W446)^3/3+(ABS(K446)^2)/($I$5*MAX(((F446)+(G446)*(W446))*(W446),0.000001))</f>
        <v>37.263831015803788</v>
      </c>
      <c r="AF446">
        <f t="shared" ref="AF446:AF509" ca="1" si="236">IF($D$20=0,0,IFERROR(AB447+(((AC446+AC447)/2)*J447)+(IF(Z446&gt;Z447,$D$8*((Z446^2-Z447^2)/(2*$I$5)),$D$9*((Z447^2-Z446^2)/(2*$I$5)))+($D$10*(ABS(I447)/90)*(MAX(Z446^2,Z447^2)/(2*$I$5))))-AB446,0))</f>
        <v>6.5093271732621361E-3</v>
      </c>
      <c r="AG446">
        <f t="shared" ref="AG446:AG509" ca="1" si="237">IF($D$20=0,1,IFERROR(IF(ROUND(AD446,3)=1,1,IF(AND(ABS(AF446)&lt;$D$19,AD446&lt;1),1,0)),0))</f>
        <v>0</v>
      </c>
      <c r="AH446">
        <f ca="1">IFERROR(IF(V32="Supercritical",MAX($D$16,IFERROR(L446,MAX($D$16,POWER((ABS(K446)^2)/($I$5*MAX(F446,0.1)^2),1/3)))),IF(V32="Subcritical",MAX($D$16,IFERROR(W446,MAX($D$16,POWER((ABS(K446)^2)/($I$5*MAX(F446,0.1)^2),1/3)))),IF(AND(IFERROR(V446,0)=1,IFERROR(AG446,0)=1),IF(IFERROR(T446,-1E+99)&gt;=IFERROR(AE446,-1E+99),MAX($D$16,IFERROR(L446,MAX($D$16,POWER((ABS(K446)^2)/($I$5*MAX(F446,0.1)^2),1/3)))),MAX($D$16,IFERROR(W446,MAX($D$16,POWER((ABS(K446)^2)/($I$5*MAX(F446,0.1)^2),1/3))))),IF(IFERROR(V446,0)=1,MAX($D$16,IFERROR(L446,MAX($D$16,POWER((ABS(K446)^2)/($I$5*MAX(F446,0.1)^2),1/3)))),IF(IFERROR(AG446,0)=1,MAX($D$16,IFERROR(W446,MAX($D$16,POWER((ABS(K446)^2)/($I$5*MAX(F446,0.1)^2),1/3)))),MAX($D$16,POWER((ABS(K446)^2)/($I$5*MAX(F446,0.1)^2),1/3))))))),MAX($D$16,POWER((ABS(K446)^2)/($I$5*MAX(F446,0.1)^2),1/3)))</f>
        <v>2.1389677043987478</v>
      </c>
      <c r="AI446">
        <f t="shared" ref="AI446:AI509" ca="1" si="238">E446+AH446</f>
        <v>634.50946770439873</v>
      </c>
      <c r="AJ446">
        <f t="shared" ref="AJ446:AJ509" ca="1" si="239">AI446+((ABS(K446)/MAX(((F446)+(G446)*(AH446))*(AH446),0.000001))^2)/(2*$I$5)</f>
        <v>635.5789515565981</v>
      </c>
      <c r="AM446">
        <v>0</v>
      </c>
      <c r="AN446">
        <v>0</v>
      </c>
      <c r="AO446">
        <f t="shared" ref="AO446:AO509" si="240">AM446+AN446</f>
        <v>0</v>
      </c>
      <c r="AP446">
        <f t="shared" si="218"/>
        <v>0</v>
      </c>
      <c r="AQ446">
        <f t="shared" ref="AQ446:AQ509" ca="1" si="241">ABS(ABS(K446)/MAX(((F446)+(G446)*(AH446))*(AH446),0.000001))/SQRT($I$5*MAX((((F446)+(G446)*(AH446))*(AH446))/MAX((F446)+2*(G446)*(AH446),0.000001),0.000001))</f>
        <v>1.0000000000000004</v>
      </c>
      <c r="AR446" t="str">
        <f t="shared" ref="AR446:AR509" ca="1" si="242">IF(AQ446&lt;1,"Subcritical","Supercritical")</f>
        <v>Supercritical</v>
      </c>
      <c r="AS446">
        <f t="shared" ref="AS446:AS509" ca="1" si="243">((ABS(K446)*$D$6)/(MAX(((F446)+(G446)*(AH446))*(AH446),0.000001)*MAX(((((F446)+(G446)*(AH446))*(AH446))/MAX((F446)+2*(AH446)*SQRT(1+(G446)^2),0.000001))^(2/3),0.000001)))^2</f>
        <v>3.8141460404132466E-3</v>
      </c>
    </row>
    <row r="447" spans="1:45" x14ac:dyDescent="0.35">
      <c r="A447">
        <v>386</v>
      </c>
      <c r="B447">
        <v>384.995</v>
      </c>
      <c r="C447">
        <v>616260.15300000005</v>
      </c>
      <c r="D447">
        <v>3097580.2919999999</v>
      </c>
      <c r="E447">
        <v>632.37</v>
      </c>
      <c r="F447">
        <v>5.2</v>
      </c>
      <c r="G447">
        <v>0</v>
      </c>
      <c r="H447" t="s">
        <v>154</v>
      </c>
      <c r="I447">
        <v>2.3E-2</v>
      </c>
      <c r="J447">
        <f t="shared" ref="J447:J510" si="244">B447-B446</f>
        <v>0.99900000000002365</v>
      </c>
      <c r="K447">
        <f t="shared" ref="K447:K510" ca="1" si="245">MAX(0,K446-AO446)</f>
        <v>50.95</v>
      </c>
      <c r="L447">
        <f t="shared" ref="L447:L510" ca="1" si="246">IF($D$20=0,IFERROR(L446,MAX($D$16,POWER((ABS(K447)^2)/($I$5*MAX(F447,0.1)^2),1/3))),IF(IFERROR(V446,0)=0,IFERROR(L446,MAX($D$16,POWER((ABS(K447)^2)/($I$5*MAX(F447,0.1)^2),1/3))),IF(OR(IFERROR(L447,0)=0,IFERROR(S446,0)&lt;1,IFERROR(S447,0)&lt;1),MAX($D$16,POWER((ABS(K447)^2)/($I$5*MAX(F447,0.1)^2),1/3)),IF(IFERROR(U447,0)&gt;0,MAX($D$16,IFERROR(L447,0)+((IFERROR(U447,0))*$D$18*IF((IFERROR(S447,0))&lt;1,1,-1))),IF(IFERROR(U447,0)&lt;0,IF(ABS((MAX($D$16,POWER((ABS(K447)^2)/($I$5*MAX(F447,0.1)^2),1/3)))-IFERROR(L447,0))&gt;$D$19,MAX($D$16,IF((MAX($D$16,POWER((ABS(K447)^2)/($I$5*MAX(F447,0.1)^2),1/3)))&gt;IFERROR(L447,0),MIN((MAX($D$16,POWER((ABS(K447)^2)/($I$5*MAX(F447,0.1)^2),1/3))),IFERROR(L447,0)+(MIN(ABS(IFERROR(U447,0))*$D$18,ABS((MAX($D$16,POWER((ABS(K447)^2)/($I$5*MAX(F447,0.1)^2),1/3)))-IFERROR(L447,0))))),MAX((MAX($D$16,POWER((ABS(K447)^2)/($I$5*MAX(F447,0.1)^2),1/3))),IFERROR(L447,0)-(MIN(ABS(IFERROR(U447,0))*$D$18,ABS((MAX($D$16,POWER((ABS(K447)^2)/($I$5*MAX(F447,0.1)^2),1/3)))-IFERROR(L447,0))))))),MAX($D$16,POWER((ABS(K447)^2)/($I$5*MAX(F447,0.1)^2),1/3))),MAX($D$16,IFERROR(L447,0)))))))</f>
        <v>2.1389677043987478</v>
      </c>
      <c r="M447">
        <f t="shared" ca="1" si="219"/>
        <v>11.122632062873489</v>
      </c>
      <c r="N447">
        <f t="shared" ca="1" si="220"/>
        <v>1.1735290000551568</v>
      </c>
      <c r="O447">
        <f t="shared" ca="1" si="221"/>
        <v>4.5807502857230418</v>
      </c>
      <c r="P447">
        <f t="shared" ca="1" si="222"/>
        <v>634.50896770439874</v>
      </c>
      <c r="Q447">
        <f t="shared" ca="1" si="223"/>
        <v>635.57845155659811</v>
      </c>
      <c r="R447">
        <f t="shared" ca="1" si="224"/>
        <v>3.8141460404132466E-3</v>
      </c>
      <c r="S447">
        <f t="shared" ca="1" si="225"/>
        <v>1.0000000000000004</v>
      </c>
      <c r="T447">
        <f t="shared" ca="1" si="226"/>
        <v>35.686426155594638</v>
      </c>
      <c r="U447">
        <f t="shared" ref="U447:U510" ca="1" si="247">IF($D$20=0,0,IFERROR(Q446-(((R446+R447)/2)*J447)-(IF(O446&gt;O447,$D$8*((O446^2-O447^2)/(2*$I$5)),$D$9*((O447^2-O446^2)/(2*$I$5)))+($D$10*(ABS(I447)/90)*(MAX(O446^2,O447^2)/(2*$I$5))))-Q447,0))</f>
        <v>-3.3513287753521581E-3</v>
      </c>
      <c r="V447">
        <f t="shared" ref="V447:V510" ca="1" si="248">IF($D$20=0,1,IFERROR(IF(ROUND(S447,3)=1,1,IF(AND(ABS(U447)&lt;$D$19,S447&gt;1),1,0)),0))</f>
        <v>1</v>
      </c>
      <c r="W447">
        <f t="shared" ca="1" si="227"/>
        <v>1.7207712194138245</v>
      </c>
      <c r="X447">
        <f t="shared" ca="1" si="228"/>
        <v>8.9480103409518872</v>
      </c>
      <c r="Y447">
        <f t="shared" ca="1" si="229"/>
        <v>1.0354644907773913</v>
      </c>
      <c r="Z447">
        <f t="shared" ca="1" si="230"/>
        <v>5.6940032542005259</v>
      </c>
      <c r="AA447">
        <f t="shared" ca="1" si="231"/>
        <v>634.0907712194138</v>
      </c>
      <c r="AB447">
        <f t="shared" ca="1" si="232"/>
        <v>635.74325200732642</v>
      </c>
      <c r="AC447">
        <f t="shared" ca="1" si="233"/>
        <v>6.9636616240972005E-3</v>
      </c>
      <c r="AD447">
        <f t="shared" ca="1" si="234"/>
        <v>1.3858672773921541</v>
      </c>
      <c r="AE447">
        <f t="shared" ca="1" si="235"/>
        <v>37.271569689797062</v>
      </c>
      <c r="AF447">
        <f t="shared" ca="1" si="236"/>
        <v>6.5339703826339246E-3</v>
      </c>
      <c r="AG447">
        <f t="shared" ca="1" si="237"/>
        <v>0</v>
      </c>
      <c r="AH447">
        <f ca="1">IFERROR(IF(V32="Supercritical",MAX($D$16,IFERROR(L447,MAX($D$16,POWER((ABS(K447)^2)/($I$5*MAX(F447,0.1)^2),1/3)))),IF(V32="Subcritical",MAX($D$16,IFERROR(W447,MAX($D$16,POWER((ABS(K447)^2)/($I$5*MAX(F447,0.1)^2),1/3)))),IF(AND(IFERROR(V447,0)=1,IFERROR(AG447,0)=1),IF(IFERROR(T447,-1E+99)&gt;=IFERROR(AE447,-1E+99),MAX($D$16,IFERROR(L447,MAX($D$16,POWER((ABS(K447)^2)/($I$5*MAX(F447,0.1)^2),1/3)))),MAX($D$16,IFERROR(W447,MAX($D$16,POWER((ABS(K447)^2)/($I$5*MAX(F447,0.1)^2),1/3))))),IF(IFERROR(V447,0)=1,MAX($D$16,IFERROR(L447,MAX($D$16,POWER((ABS(K447)^2)/($I$5*MAX(F447,0.1)^2),1/3)))),IF(IFERROR(AG447,0)=1,MAX($D$16,IFERROR(W447,MAX($D$16,POWER((ABS(K447)^2)/($I$5*MAX(F447,0.1)^2),1/3)))),MAX($D$16,POWER((ABS(K447)^2)/($I$5*MAX(F447,0.1)^2),1/3))))))),MAX($D$16,POWER((ABS(K447)^2)/($I$5*MAX(F447,0.1)^2),1/3)))</f>
        <v>2.1389677043987478</v>
      </c>
      <c r="AI447">
        <f t="shared" ca="1" si="238"/>
        <v>634.50896770439874</v>
      </c>
      <c r="AJ447">
        <f t="shared" ca="1" si="239"/>
        <v>635.57845155659811</v>
      </c>
      <c r="AM447">
        <v>0</v>
      </c>
      <c r="AN447">
        <v>0</v>
      </c>
      <c r="AO447">
        <f t="shared" si="240"/>
        <v>0</v>
      </c>
      <c r="AP447">
        <f t="shared" ref="AP447:AP510" si="249">AP446+AO447</f>
        <v>0</v>
      </c>
      <c r="AQ447">
        <f t="shared" ca="1" si="241"/>
        <v>1.0000000000000004</v>
      </c>
      <c r="AR447" t="str">
        <f t="shared" ca="1" si="242"/>
        <v>Supercritical</v>
      </c>
      <c r="AS447">
        <f t="shared" ca="1" si="243"/>
        <v>3.8141460404132466E-3</v>
      </c>
    </row>
    <row r="448" spans="1:45" x14ac:dyDescent="0.35">
      <c r="A448">
        <v>387</v>
      </c>
      <c r="B448">
        <v>385.99599999999998</v>
      </c>
      <c r="C448">
        <v>616259.67799999996</v>
      </c>
      <c r="D448">
        <v>3097579.4109999998</v>
      </c>
      <c r="E448">
        <v>632.36950000000002</v>
      </c>
      <c r="F448">
        <v>5.2</v>
      </c>
      <c r="G448">
        <v>0</v>
      </c>
      <c r="H448" t="s">
        <v>154</v>
      </c>
      <c r="I448">
        <v>2.3E-2</v>
      </c>
      <c r="J448">
        <f t="shared" si="244"/>
        <v>1.0009999999999764</v>
      </c>
      <c r="K448">
        <f t="shared" ca="1" si="245"/>
        <v>50.95</v>
      </c>
      <c r="L448">
        <f t="shared" ca="1" si="246"/>
        <v>2.1389677043987478</v>
      </c>
      <c r="M448">
        <f t="shared" ca="1" si="219"/>
        <v>11.122632062873489</v>
      </c>
      <c r="N448">
        <f t="shared" ca="1" si="220"/>
        <v>1.1735290000551568</v>
      </c>
      <c r="O448">
        <f t="shared" ca="1" si="221"/>
        <v>4.5807502857230418</v>
      </c>
      <c r="P448">
        <f t="shared" ca="1" si="222"/>
        <v>634.50846770439875</v>
      </c>
      <c r="Q448">
        <f t="shared" ca="1" si="223"/>
        <v>635.57795155659812</v>
      </c>
      <c r="R448">
        <f t="shared" ca="1" si="224"/>
        <v>3.8141460404132466E-3</v>
      </c>
      <c r="S448">
        <f t="shared" ca="1" si="225"/>
        <v>1.0000000000000004</v>
      </c>
      <c r="T448">
        <f t="shared" ca="1" si="226"/>
        <v>35.686426155594638</v>
      </c>
      <c r="U448">
        <f t="shared" ca="1" si="247"/>
        <v>-3.3589570674621427E-3</v>
      </c>
      <c r="V448">
        <f t="shared" ca="1" si="248"/>
        <v>1</v>
      </c>
      <c r="W448">
        <f t="shared" ca="1" si="227"/>
        <v>1.7198878363420524</v>
      </c>
      <c r="X448">
        <f t="shared" ca="1" si="228"/>
        <v>8.9434167489786738</v>
      </c>
      <c r="Y448">
        <f t="shared" ca="1" si="229"/>
        <v>1.0351445555762024</v>
      </c>
      <c r="Z448">
        <f t="shared" ca="1" si="230"/>
        <v>5.6969278554327039</v>
      </c>
      <c r="AA448">
        <f t="shared" ca="1" si="231"/>
        <v>634.0893878363421</v>
      </c>
      <c r="AB448">
        <f t="shared" ca="1" si="232"/>
        <v>635.74356658201009</v>
      </c>
      <c r="AC448">
        <f t="shared" ca="1" si="233"/>
        <v>6.9736897313688838E-3</v>
      </c>
      <c r="AD448">
        <f t="shared" ca="1" si="234"/>
        <v>1.3869351454726973</v>
      </c>
      <c r="AE448">
        <f t="shared" ca="1" si="235"/>
        <v>37.278856640575555</v>
      </c>
      <c r="AF448">
        <f t="shared" ca="1" si="236"/>
        <v>6.5481277749768196E-3</v>
      </c>
      <c r="AG448">
        <f t="shared" ca="1" si="237"/>
        <v>0</v>
      </c>
      <c r="AH448">
        <f ca="1">IFERROR(IF(V32="Supercritical",MAX($D$16,IFERROR(L448,MAX($D$16,POWER((ABS(K448)^2)/($I$5*MAX(F448,0.1)^2),1/3)))),IF(V32="Subcritical",MAX($D$16,IFERROR(W448,MAX($D$16,POWER((ABS(K448)^2)/($I$5*MAX(F448,0.1)^2),1/3)))),IF(AND(IFERROR(V448,0)=1,IFERROR(AG448,0)=1),IF(IFERROR(T448,-1E+99)&gt;=IFERROR(AE448,-1E+99),MAX($D$16,IFERROR(L448,MAX($D$16,POWER((ABS(K448)^2)/($I$5*MAX(F448,0.1)^2),1/3)))),MAX($D$16,IFERROR(W448,MAX($D$16,POWER((ABS(K448)^2)/($I$5*MAX(F448,0.1)^2),1/3))))),IF(IFERROR(V448,0)=1,MAX($D$16,IFERROR(L448,MAX($D$16,POWER((ABS(K448)^2)/($I$5*MAX(F448,0.1)^2),1/3)))),IF(IFERROR(AG448,0)=1,MAX($D$16,IFERROR(W448,MAX($D$16,POWER((ABS(K448)^2)/($I$5*MAX(F448,0.1)^2),1/3)))),MAX($D$16,POWER((ABS(K448)^2)/($I$5*MAX(F448,0.1)^2),1/3))))))),MAX($D$16,POWER((ABS(K448)^2)/($I$5*MAX(F448,0.1)^2),1/3)))</f>
        <v>2.1389677043987478</v>
      </c>
      <c r="AI448">
        <f t="shared" ca="1" si="238"/>
        <v>634.50846770439875</v>
      </c>
      <c r="AJ448">
        <f t="shared" ca="1" si="239"/>
        <v>635.57795155659812</v>
      </c>
      <c r="AM448">
        <v>0</v>
      </c>
      <c r="AN448">
        <v>0</v>
      </c>
      <c r="AO448">
        <f t="shared" si="240"/>
        <v>0</v>
      </c>
      <c r="AP448">
        <f t="shared" si="249"/>
        <v>0</v>
      </c>
      <c r="AQ448">
        <f t="shared" ca="1" si="241"/>
        <v>1.0000000000000004</v>
      </c>
      <c r="AR448" t="str">
        <f t="shared" ca="1" si="242"/>
        <v>Supercritical</v>
      </c>
      <c r="AS448">
        <f t="shared" ca="1" si="243"/>
        <v>3.8141460404132466E-3</v>
      </c>
    </row>
    <row r="449" spans="1:45" x14ac:dyDescent="0.35">
      <c r="A449">
        <v>388</v>
      </c>
      <c r="B449">
        <v>386.99599999999998</v>
      </c>
      <c r="C449">
        <v>616259.20400000003</v>
      </c>
      <c r="D449">
        <v>3097578.531</v>
      </c>
      <c r="E449">
        <v>632.36900000000003</v>
      </c>
      <c r="F449">
        <v>5.2</v>
      </c>
      <c r="G449">
        <v>0</v>
      </c>
      <c r="H449" t="s">
        <v>154</v>
      </c>
      <c r="I449">
        <v>2.7E-2</v>
      </c>
      <c r="J449">
        <f t="shared" si="244"/>
        <v>1</v>
      </c>
      <c r="K449">
        <f t="shared" ca="1" si="245"/>
        <v>50.95</v>
      </c>
      <c r="L449">
        <f t="shared" ca="1" si="246"/>
        <v>2.1389677043987478</v>
      </c>
      <c r="M449">
        <f t="shared" ca="1" si="219"/>
        <v>11.122632062873489</v>
      </c>
      <c r="N449">
        <f t="shared" ca="1" si="220"/>
        <v>1.1735290000551568</v>
      </c>
      <c r="O449">
        <f t="shared" ca="1" si="221"/>
        <v>4.5807502857230418</v>
      </c>
      <c r="P449">
        <f t="shared" ca="1" si="222"/>
        <v>634.50796770439877</v>
      </c>
      <c r="Q449">
        <f t="shared" ca="1" si="223"/>
        <v>635.57745155659813</v>
      </c>
      <c r="R449">
        <f t="shared" ca="1" si="224"/>
        <v>3.8141460404132466E-3</v>
      </c>
      <c r="S449">
        <f t="shared" ca="1" si="225"/>
        <v>1.0000000000000004</v>
      </c>
      <c r="T449">
        <f t="shared" ca="1" si="226"/>
        <v>35.686426155594638</v>
      </c>
      <c r="U449">
        <f t="shared" ca="1" si="247"/>
        <v>-3.3622728137743252E-3</v>
      </c>
      <c r="V449">
        <f t="shared" ca="1" si="248"/>
        <v>1</v>
      </c>
      <c r="W449">
        <f t="shared" ca="1" si="227"/>
        <v>1.7190586298026054</v>
      </c>
      <c r="X449">
        <f t="shared" ca="1" si="228"/>
        <v>8.9391048749735482</v>
      </c>
      <c r="Y449">
        <f t="shared" ca="1" si="229"/>
        <v>1.0348441224311526</v>
      </c>
      <c r="Z449">
        <f t="shared" ca="1" si="230"/>
        <v>5.6996758302548463</v>
      </c>
      <c r="AA449">
        <f t="shared" ca="1" si="231"/>
        <v>634.08805862980262</v>
      </c>
      <c r="AB449">
        <f t="shared" ca="1" si="232"/>
        <v>635.74383358240152</v>
      </c>
      <c r="AC449">
        <f t="shared" ca="1" si="233"/>
        <v>6.9831212026330797E-3</v>
      </c>
      <c r="AD449">
        <f t="shared" ca="1" si="234"/>
        <v>1.3879387712479738</v>
      </c>
      <c r="AE449">
        <f t="shared" ca="1" si="235"/>
        <v>37.28571459028953</v>
      </c>
      <c r="AF449">
        <f t="shared" ca="1" si="236"/>
        <v>6.5576310755659506E-3</v>
      </c>
      <c r="AG449">
        <f t="shared" ca="1" si="237"/>
        <v>0</v>
      </c>
      <c r="AH449">
        <f ca="1">IFERROR(IF(V32="Supercritical",MAX($D$16,IFERROR(L449,MAX($D$16,POWER((ABS(K449)^2)/($I$5*MAX(F449,0.1)^2),1/3)))),IF(V32="Subcritical",MAX($D$16,IFERROR(W449,MAX($D$16,POWER((ABS(K449)^2)/($I$5*MAX(F449,0.1)^2),1/3)))),IF(AND(IFERROR(V449,0)=1,IFERROR(AG449,0)=1),IF(IFERROR(T449,-1E+99)&gt;=IFERROR(AE449,-1E+99),MAX($D$16,IFERROR(L449,MAX($D$16,POWER((ABS(K449)^2)/($I$5*MAX(F449,0.1)^2),1/3)))),MAX($D$16,IFERROR(W449,MAX($D$16,POWER((ABS(K449)^2)/($I$5*MAX(F449,0.1)^2),1/3))))),IF(IFERROR(V449,0)=1,MAX($D$16,IFERROR(L449,MAX($D$16,POWER((ABS(K449)^2)/($I$5*MAX(F449,0.1)^2),1/3)))),IF(IFERROR(AG449,0)=1,MAX($D$16,IFERROR(W449,MAX($D$16,POWER((ABS(K449)^2)/($I$5*MAX(F449,0.1)^2),1/3)))),MAX($D$16,POWER((ABS(K449)^2)/($I$5*MAX(F449,0.1)^2),1/3))))))),MAX($D$16,POWER((ABS(K449)^2)/($I$5*MAX(F449,0.1)^2),1/3)))</f>
        <v>2.1389677043987478</v>
      </c>
      <c r="AI449">
        <f t="shared" ca="1" si="238"/>
        <v>634.50796770439877</v>
      </c>
      <c r="AJ449">
        <f t="shared" ca="1" si="239"/>
        <v>635.57745155659813</v>
      </c>
      <c r="AM449">
        <v>0</v>
      </c>
      <c r="AN449">
        <v>0</v>
      </c>
      <c r="AO449">
        <f t="shared" si="240"/>
        <v>0</v>
      </c>
      <c r="AP449">
        <f t="shared" si="249"/>
        <v>0</v>
      </c>
      <c r="AQ449">
        <f t="shared" ca="1" si="241"/>
        <v>1.0000000000000004</v>
      </c>
      <c r="AR449" t="str">
        <f t="shared" ca="1" si="242"/>
        <v>Supercritical</v>
      </c>
      <c r="AS449">
        <f t="shared" ca="1" si="243"/>
        <v>3.8141460404132466E-3</v>
      </c>
    </row>
    <row r="450" spans="1:45" x14ac:dyDescent="0.35">
      <c r="A450">
        <v>389</v>
      </c>
      <c r="B450">
        <v>387.99599999999998</v>
      </c>
      <c r="C450">
        <v>616258.73</v>
      </c>
      <c r="D450">
        <v>3097577.65</v>
      </c>
      <c r="E450">
        <v>632.36850000000004</v>
      </c>
      <c r="F450">
        <v>5.2</v>
      </c>
      <c r="G450">
        <v>0</v>
      </c>
      <c r="H450" t="s">
        <v>154</v>
      </c>
      <c r="I450">
        <v>2.7E-2</v>
      </c>
      <c r="J450">
        <f t="shared" si="244"/>
        <v>1</v>
      </c>
      <c r="K450">
        <f t="shared" ca="1" si="245"/>
        <v>50.95</v>
      </c>
      <c r="L450">
        <f t="shared" ca="1" si="246"/>
        <v>2.1389677043987478</v>
      </c>
      <c r="M450">
        <f t="shared" ca="1" si="219"/>
        <v>11.122632062873489</v>
      </c>
      <c r="N450">
        <f t="shared" ca="1" si="220"/>
        <v>1.1735290000551568</v>
      </c>
      <c r="O450">
        <f t="shared" ca="1" si="221"/>
        <v>4.5807502857230418</v>
      </c>
      <c r="P450">
        <f t="shared" ca="1" si="222"/>
        <v>634.50746770439878</v>
      </c>
      <c r="Q450">
        <f t="shared" ca="1" si="223"/>
        <v>635.57695155659815</v>
      </c>
      <c r="R450">
        <f t="shared" ca="1" si="224"/>
        <v>3.8141460404132466E-3</v>
      </c>
      <c r="S450">
        <f t="shared" ca="1" si="225"/>
        <v>1.0000000000000004</v>
      </c>
      <c r="T450">
        <f t="shared" ca="1" si="226"/>
        <v>35.686426155594638</v>
      </c>
      <c r="U450">
        <f t="shared" ca="1" si="247"/>
        <v>-3.3622728137743252E-3</v>
      </c>
      <c r="V450">
        <f t="shared" ca="1" si="248"/>
        <v>1</v>
      </c>
      <c r="W450">
        <f t="shared" ca="1" si="227"/>
        <v>1.7182805388186286</v>
      </c>
      <c r="X450">
        <f t="shared" ca="1" si="228"/>
        <v>8.9350588018568686</v>
      </c>
      <c r="Y450">
        <f t="shared" ca="1" si="229"/>
        <v>1.0345621042375901</v>
      </c>
      <c r="Z450">
        <f t="shared" ca="1" si="230"/>
        <v>5.7022568211203781</v>
      </c>
      <c r="AA450">
        <f t="shared" ca="1" si="231"/>
        <v>634.08678053881863</v>
      </c>
      <c r="AB450">
        <f t="shared" ca="1" si="232"/>
        <v>635.74405540395696</v>
      </c>
      <c r="AC450">
        <f t="shared" ca="1" si="233"/>
        <v>6.991987499886527E-3</v>
      </c>
      <c r="AD450">
        <f t="shared" ca="1" si="234"/>
        <v>1.3888816308700056</v>
      </c>
      <c r="AE450">
        <f t="shared" ca="1" si="235"/>
        <v>37.292165567916008</v>
      </c>
      <c r="AF450">
        <f t="shared" ca="1" si="236"/>
        <v>6.4919874998849991E-3</v>
      </c>
      <c r="AG450">
        <f t="shared" ca="1" si="237"/>
        <v>0</v>
      </c>
      <c r="AH450">
        <f ca="1">IFERROR(IF(V32="Supercritical",MAX($D$16,IFERROR(L450,MAX($D$16,POWER((ABS(K450)^2)/($I$5*MAX(F450,0.1)^2),1/3)))),IF(V32="Subcritical",MAX($D$16,IFERROR(W450,MAX($D$16,POWER((ABS(K450)^2)/($I$5*MAX(F450,0.1)^2),1/3)))),IF(AND(IFERROR(V450,0)=1,IFERROR(AG450,0)=1),IF(IFERROR(T450,-1E+99)&gt;=IFERROR(AE450,-1E+99),MAX($D$16,IFERROR(L450,MAX($D$16,POWER((ABS(K450)^2)/($I$5*MAX(F450,0.1)^2),1/3)))),MAX($D$16,IFERROR(W450,MAX($D$16,POWER((ABS(K450)^2)/($I$5*MAX(F450,0.1)^2),1/3))))),IF(IFERROR(V450,0)=1,MAX($D$16,IFERROR(L450,MAX($D$16,POWER((ABS(K450)^2)/($I$5*MAX(F450,0.1)^2),1/3)))),IF(IFERROR(AG450,0)=1,MAX($D$16,IFERROR(W450,MAX($D$16,POWER((ABS(K450)^2)/($I$5*MAX(F450,0.1)^2),1/3)))),MAX($D$16,POWER((ABS(K450)^2)/($I$5*MAX(F450,0.1)^2),1/3))))))),MAX($D$16,POWER((ABS(K450)^2)/($I$5*MAX(F450,0.1)^2),1/3)))</f>
        <v>2.1389677043987478</v>
      </c>
      <c r="AI450">
        <f t="shared" ca="1" si="238"/>
        <v>634.50746770439878</v>
      </c>
      <c r="AJ450">
        <f t="shared" ca="1" si="239"/>
        <v>635.57695155659815</v>
      </c>
      <c r="AM450">
        <v>0</v>
      </c>
      <c r="AN450">
        <v>0</v>
      </c>
      <c r="AO450">
        <f t="shared" si="240"/>
        <v>0</v>
      </c>
      <c r="AP450">
        <f t="shared" si="249"/>
        <v>0</v>
      </c>
      <c r="AQ450">
        <f t="shared" ca="1" si="241"/>
        <v>1.0000000000000004</v>
      </c>
      <c r="AR450" t="str">
        <f t="shared" ca="1" si="242"/>
        <v>Supercritical</v>
      </c>
      <c r="AS450">
        <f t="shared" ca="1" si="243"/>
        <v>3.8141460404132466E-3</v>
      </c>
    </row>
    <row r="451" spans="1:45" x14ac:dyDescent="0.35">
      <c r="A451">
        <v>390</v>
      </c>
      <c r="B451">
        <v>388.99599999999998</v>
      </c>
      <c r="C451">
        <v>616258.25600000005</v>
      </c>
      <c r="D451">
        <v>3097576.77</v>
      </c>
      <c r="E451">
        <v>632.36800000000005</v>
      </c>
      <c r="F451">
        <v>5.2</v>
      </c>
      <c r="G451">
        <v>0</v>
      </c>
      <c r="H451" t="s">
        <v>154</v>
      </c>
      <c r="I451">
        <v>0</v>
      </c>
      <c r="J451">
        <f t="shared" si="244"/>
        <v>1</v>
      </c>
      <c r="K451">
        <f t="shared" ca="1" si="245"/>
        <v>50.95</v>
      </c>
      <c r="L451">
        <f t="shared" ca="1" si="246"/>
        <v>2.1389677043987478</v>
      </c>
      <c r="M451">
        <f t="shared" ca="1" si="219"/>
        <v>11.122632062873489</v>
      </c>
      <c r="N451">
        <f t="shared" ca="1" si="220"/>
        <v>1.1735290000551568</v>
      </c>
      <c r="O451">
        <f t="shared" ca="1" si="221"/>
        <v>4.5807502857230418</v>
      </c>
      <c r="P451">
        <f t="shared" ca="1" si="222"/>
        <v>634.50696770439879</v>
      </c>
      <c r="Q451">
        <f t="shared" ca="1" si="223"/>
        <v>635.57645155659816</v>
      </c>
      <c r="R451">
        <f t="shared" ca="1" si="224"/>
        <v>3.8141460404132466E-3</v>
      </c>
      <c r="S451">
        <f t="shared" ca="1" si="225"/>
        <v>1.0000000000000004</v>
      </c>
      <c r="T451">
        <f t="shared" ca="1" si="226"/>
        <v>35.686426155594638</v>
      </c>
      <c r="U451">
        <f t="shared" ca="1" si="247"/>
        <v>-3.3141460404522149E-3</v>
      </c>
      <c r="V451">
        <f t="shared" ca="1" si="248"/>
        <v>1</v>
      </c>
      <c r="W451">
        <f t="shared" ca="1" si="227"/>
        <v>1.7175506432412637</v>
      </c>
      <c r="X451">
        <f t="shared" ca="1" si="228"/>
        <v>8.9312633448545711</v>
      </c>
      <c r="Y451">
        <f t="shared" ca="1" si="229"/>
        <v>1.0342974620153742</v>
      </c>
      <c r="Z451">
        <f t="shared" ca="1" si="230"/>
        <v>5.7046800696290108</v>
      </c>
      <c r="AA451">
        <f t="shared" ca="1" si="231"/>
        <v>634.08555064324128</v>
      </c>
      <c r="AB451">
        <f t="shared" ca="1" si="232"/>
        <v>635.74423436886934</v>
      </c>
      <c r="AC451">
        <f t="shared" ca="1" si="233"/>
        <v>7.0003189201974817E-3</v>
      </c>
      <c r="AD451">
        <f t="shared" ca="1" si="234"/>
        <v>1.3897670600041434</v>
      </c>
      <c r="AE451">
        <f t="shared" ca="1" si="235"/>
        <v>37.298230870273379</v>
      </c>
      <c r="AF451">
        <f t="shared" ca="1" si="236"/>
        <v>6.5569014773245726E-3</v>
      </c>
      <c r="AG451">
        <f t="shared" ca="1" si="237"/>
        <v>0</v>
      </c>
      <c r="AH451">
        <f ca="1">IFERROR(IF(V32="Supercritical",MAX($D$16,IFERROR(L451,MAX($D$16,POWER((ABS(K451)^2)/($I$5*MAX(F451,0.1)^2),1/3)))),IF(V32="Subcritical",MAX($D$16,IFERROR(W451,MAX($D$16,POWER((ABS(K451)^2)/($I$5*MAX(F451,0.1)^2),1/3)))),IF(AND(IFERROR(V451,0)=1,IFERROR(AG451,0)=1),IF(IFERROR(T451,-1E+99)&gt;=IFERROR(AE451,-1E+99),MAX($D$16,IFERROR(L451,MAX($D$16,POWER((ABS(K451)^2)/($I$5*MAX(F451,0.1)^2),1/3)))),MAX($D$16,IFERROR(W451,MAX($D$16,POWER((ABS(K451)^2)/($I$5*MAX(F451,0.1)^2),1/3))))),IF(IFERROR(V451,0)=1,MAX($D$16,IFERROR(L451,MAX($D$16,POWER((ABS(K451)^2)/($I$5*MAX(F451,0.1)^2),1/3)))),IF(IFERROR(AG451,0)=1,MAX($D$16,IFERROR(W451,MAX($D$16,POWER((ABS(K451)^2)/($I$5*MAX(F451,0.1)^2),1/3)))),MAX($D$16,POWER((ABS(K451)^2)/($I$5*MAX(F451,0.1)^2),1/3))))))),MAX($D$16,POWER((ABS(K451)^2)/($I$5*MAX(F451,0.1)^2),1/3)))</f>
        <v>2.1389677043987478</v>
      </c>
      <c r="AI451">
        <f t="shared" ca="1" si="238"/>
        <v>634.50696770439879</v>
      </c>
      <c r="AJ451">
        <f t="shared" ca="1" si="239"/>
        <v>635.57645155659816</v>
      </c>
      <c r="AM451">
        <v>0</v>
      </c>
      <c r="AN451">
        <v>0</v>
      </c>
      <c r="AO451">
        <f t="shared" si="240"/>
        <v>0</v>
      </c>
      <c r="AP451">
        <f t="shared" si="249"/>
        <v>0</v>
      </c>
      <c r="AQ451">
        <f t="shared" ca="1" si="241"/>
        <v>1.0000000000000004</v>
      </c>
      <c r="AR451" t="str">
        <f t="shared" ca="1" si="242"/>
        <v>Supercritical</v>
      </c>
      <c r="AS451">
        <f t="shared" ca="1" si="243"/>
        <v>3.8141460404132466E-3</v>
      </c>
    </row>
    <row r="452" spans="1:45" x14ac:dyDescent="0.35">
      <c r="A452">
        <v>391</v>
      </c>
      <c r="B452">
        <v>389.995</v>
      </c>
      <c r="C452">
        <v>616257.78200000001</v>
      </c>
      <c r="D452">
        <v>3097575.89</v>
      </c>
      <c r="E452">
        <v>632.36749999999995</v>
      </c>
      <c r="F452">
        <v>5.2</v>
      </c>
      <c r="G452">
        <v>0</v>
      </c>
      <c r="H452" t="s">
        <v>154</v>
      </c>
      <c r="I452">
        <v>2.3E-2</v>
      </c>
      <c r="J452">
        <f t="shared" si="244"/>
        <v>0.99900000000002365</v>
      </c>
      <c r="K452">
        <f t="shared" ca="1" si="245"/>
        <v>50.95</v>
      </c>
      <c r="L452">
        <f t="shared" ca="1" si="246"/>
        <v>2.1389677043987478</v>
      </c>
      <c r="M452">
        <f t="shared" ca="1" si="219"/>
        <v>11.122632062873489</v>
      </c>
      <c r="N452">
        <f t="shared" ca="1" si="220"/>
        <v>1.1735290000551568</v>
      </c>
      <c r="O452">
        <f t="shared" ca="1" si="221"/>
        <v>4.5807502857230418</v>
      </c>
      <c r="P452">
        <f t="shared" ca="1" si="222"/>
        <v>634.50646770439869</v>
      </c>
      <c r="Q452">
        <f t="shared" ca="1" si="223"/>
        <v>635.57595155659806</v>
      </c>
      <c r="R452">
        <f t="shared" ca="1" si="224"/>
        <v>3.8141460404132466E-3</v>
      </c>
      <c r="S452">
        <f t="shared" ca="1" si="225"/>
        <v>1.0000000000000004</v>
      </c>
      <c r="T452">
        <f t="shared" ca="1" si="226"/>
        <v>35.686426155594638</v>
      </c>
      <c r="U452">
        <f t="shared" ca="1" si="247"/>
        <v>-3.3513287752384713E-3</v>
      </c>
      <c r="V452">
        <f t="shared" ca="1" si="248"/>
        <v>1</v>
      </c>
      <c r="W452">
        <f t="shared" ca="1" si="227"/>
        <v>1.7168661613274356</v>
      </c>
      <c r="X452">
        <f t="shared" ca="1" si="228"/>
        <v>8.9277040389026663</v>
      </c>
      <c r="Y452">
        <f t="shared" ca="1" si="229"/>
        <v>1.0340492043604843</v>
      </c>
      <c r="Z452">
        <f t="shared" ca="1" si="230"/>
        <v>5.7069544171697739</v>
      </c>
      <c r="AA452">
        <f t="shared" ca="1" si="231"/>
        <v>634.08436616132735</v>
      </c>
      <c r="AB452">
        <f t="shared" ca="1" si="232"/>
        <v>635.74437272196212</v>
      </c>
      <c r="AC452">
        <f t="shared" ca="1" si="233"/>
        <v>7.0081445749481074E-3</v>
      </c>
      <c r="AD452">
        <f t="shared" ca="1" si="234"/>
        <v>1.3905982534123689</v>
      </c>
      <c r="AE452">
        <f t="shared" ca="1" si="235"/>
        <v>37.303931033336511</v>
      </c>
      <c r="AF452">
        <f t="shared" ca="1" si="236"/>
        <v>6.5787863043169637E-3</v>
      </c>
      <c r="AG452">
        <f t="shared" ca="1" si="237"/>
        <v>0</v>
      </c>
      <c r="AH452">
        <f ca="1">IFERROR(IF(V32="Supercritical",MAX($D$16,IFERROR(L452,MAX($D$16,POWER((ABS(K452)^2)/($I$5*MAX(F452,0.1)^2),1/3)))),IF(V32="Subcritical",MAX($D$16,IFERROR(W452,MAX($D$16,POWER((ABS(K452)^2)/($I$5*MAX(F452,0.1)^2),1/3)))),IF(AND(IFERROR(V452,0)=1,IFERROR(AG452,0)=1),IF(IFERROR(T452,-1E+99)&gt;=IFERROR(AE452,-1E+99),MAX($D$16,IFERROR(L452,MAX($D$16,POWER((ABS(K452)^2)/($I$5*MAX(F452,0.1)^2),1/3)))),MAX($D$16,IFERROR(W452,MAX($D$16,POWER((ABS(K452)^2)/($I$5*MAX(F452,0.1)^2),1/3))))),IF(IFERROR(V452,0)=1,MAX($D$16,IFERROR(L452,MAX($D$16,POWER((ABS(K452)^2)/($I$5*MAX(F452,0.1)^2),1/3)))),IF(IFERROR(AG452,0)=1,MAX($D$16,IFERROR(W452,MAX($D$16,POWER((ABS(K452)^2)/($I$5*MAX(F452,0.1)^2),1/3)))),MAX($D$16,POWER((ABS(K452)^2)/($I$5*MAX(F452,0.1)^2),1/3))))))),MAX($D$16,POWER((ABS(K452)^2)/($I$5*MAX(F452,0.1)^2),1/3)))</f>
        <v>2.1389677043987478</v>
      </c>
      <c r="AI452">
        <f t="shared" ca="1" si="238"/>
        <v>634.50646770439869</v>
      </c>
      <c r="AJ452">
        <f t="shared" ca="1" si="239"/>
        <v>635.57595155659806</v>
      </c>
      <c r="AM452">
        <v>0</v>
      </c>
      <c r="AN452">
        <v>0</v>
      </c>
      <c r="AO452">
        <f t="shared" si="240"/>
        <v>0</v>
      </c>
      <c r="AP452">
        <f t="shared" si="249"/>
        <v>0</v>
      </c>
      <c r="AQ452">
        <f t="shared" ca="1" si="241"/>
        <v>1.0000000000000004</v>
      </c>
      <c r="AR452" t="str">
        <f t="shared" ca="1" si="242"/>
        <v>Supercritical</v>
      </c>
      <c r="AS452">
        <f t="shared" ca="1" si="243"/>
        <v>3.8141460404132466E-3</v>
      </c>
    </row>
    <row r="453" spans="1:45" x14ac:dyDescent="0.35">
      <c r="A453">
        <v>392</v>
      </c>
      <c r="B453">
        <v>390.99599999999998</v>
      </c>
      <c r="C453">
        <v>616257.30700000003</v>
      </c>
      <c r="D453">
        <v>3097575.0090000001</v>
      </c>
      <c r="E453">
        <v>632.36699999999996</v>
      </c>
      <c r="F453">
        <v>5.2</v>
      </c>
      <c r="G453">
        <v>0</v>
      </c>
      <c r="H453" t="s">
        <v>154</v>
      </c>
      <c r="I453">
        <v>2.3E-2</v>
      </c>
      <c r="J453">
        <f t="shared" si="244"/>
        <v>1.0009999999999764</v>
      </c>
      <c r="K453">
        <f t="shared" ca="1" si="245"/>
        <v>50.95</v>
      </c>
      <c r="L453">
        <f t="shared" ca="1" si="246"/>
        <v>2.1389677043987478</v>
      </c>
      <c r="M453">
        <f t="shared" ca="1" si="219"/>
        <v>11.122632062873489</v>
      </c>
      <c r="N453">
        <f t="shared" ca="1" si="220"/>
        <v>1.1735290000551568</v>
      </c>
      <c r="O453">
        <f t="shared" ca="1" si="221"/>
        <v>4.5807502857230418</v>
      </c>
      <c r="P453">
        <f t="shared" ca="1" si="222"/>
        <v>634.5059677043987</v>
      </c>
      <c r="Q453">
        <f t="shared" ca="1" si="223"/>
        <v>635.57545155659807</v>
      </c>
      <c r="R453">
        <f t="shared" ca="1" si="224"/>
        <v>3.8141460404132466E-3</v>
      </c>
      <c r="S453">
        <f t="shared" ca="1" si="225"/>
        <v>1.0000000000000004</v>
      </c>
      <c r="T453">
        <f t="shared" ca="1" si="226"/>
        <v>35.686426155594638</v>
      </c>
      <c r="U453">
        <f t="shared" ca="1" si="247"/>
        <v>-3.3589570674621427E-3</v>
      </c>
      <c r="V453">
        <f t="shared" ca="1" si="248"/>
        <v>1</v>
      </c>
      <c r="W453">
        <f t="shared" ca="1" si="227"/>
        <v>1.7162244467700691</v>
      </c>
      <c r="X453">
        <f t="shared" ca="1" si="228"/>
        <v>8.9243671232043607</v>
      </c>
      <c r="Y453">
        <f t="shared" ca="1" si="229"/>
        <v>1.0338163866666703</v>
      </c>
      <c r="Z453">
        <f t="shared" ca="1" si="230"/>
        <v>5.7090883080688446</v>
      </c>
      <c r="AA453">
        <f t="shared" ca="1" si="231"/>
        <v>634.08322444677003</v>
      </c>
      <c r="AB453">
        <f t="shared" ca="1" si="232"/>
        <v>635.74447262767364</v>
      </c>
      <c r="AC453">
        <f t="shared" ca="1" si="233"/>
        <v>7.0154923796886788E-3</v>
      </c>
      <c r="AD453">
        <f t="shared" ca="1" si="234"/>
        <v>1.3913782655100297</v>
      </c>
      <c r="AE453">
        <f t="shared" ca="1" si="235"/>
        <v>37.309285812675242</v>
      </c>
      <c r="AF453">
        <f t="shared" ca="1" si="236"/>
        <v>6.5902485478090966E-3</v>
      </c>
      <c r="AG453">
        <f t="shared" ca="1" si="237"/>
        <v>0</v>
      </c>
      <c r="AH453">
        <f ca="1">IFERROR(IF(V32="Supercritical",MAX($D$16,IFERROR(L453,MAX($D$16,POWER((ABS(K453)^2)/($I$5*MAX(F453,0.1)^2),1/3)))),IF(V32="Subcritical",MAX($D$16,IFERROR(W453,MAX($D$16,POWER((ABS(K453)^2)/($I$5*MAX(F453,0.1)^2),1/3)))),IF(AND(IFERROR(V453,0)=1,IFERROR(AG453,0)=1),IF(IFERROR(T453,-1E+99)&gt;=IFERROR(AE453,-1E+99),MAX($D$16,IFERROR(L453,MAX($D$16,POWER((ABS(K453)^2)/($I$5*MAX(F453,0.1)^2),1/3)))),MAX($D$16,IFERROR(W453,MAX($D$16,POWER((ABS(K453)^2)/($I$5*MAX(F453,0.1)^2),1/3))))),IF(IFERROR(V453,0)=1,MAX($D$16,IFERROR(L453,MAX($D$16,POWER((ABS(K453)^2)/($I$5*MAX(F453,0.1)^2),1/3)))),IF(IFERROR(AG453,0)=1,MAX($D$16,IFERROR(W453,MAX($D$16,POWER((ABS(K453)^2)/($I$5*MAX(F453,0.1)^2),1/3)))),MAX($D$16,POWER((ABS(K453)^2)/($I$5*MAX(F453,0.1)^2),1/3))))))),MAX($D$16,POWER((ABS(K453)^2)/($I$5*MAX(F453,0.1)^2),1/3)))</f>
        <v>2.1389677043987478</v>
      </c>
      <c r="AI453">
        <f t="shared" ca="1" si="238"/>
        <v>634.5059677043987</v>
      </c>
      <c r="AJ453">
        <f t="shared" ca="1" si="239"/>
        <v>635.57545155659807</v>
      </c>
      <c r="AM453">
        <v>0</v>
      </c>
      <c r="AN453">
        <v>0</v>
      </c>
      <c r="AO453">
        <f t="shared" si="240"/>
        <v>0</v>
      </c>
      <c r="AP453">
        <f t="shared" si="249"/>
        <v>0</v>
      </c>
      <c r="AQ453">
        <f t="shared" ca="1" si="241"/>
        <v>1.0000000000000004</v>
      </c>
      <c r="AR453" t="str">
        <f t="shared" ca="1" si="242"/>
        <v>Supercritical</v>
      </c>
      <c r="AS453">
        <f t="shared" ca="1" si="243"/>
        <v>3.8141460404132466E-3</v>
      </c>
    </row>
    <row r="454" spans="1:45" x14ac:dyDescent="0.35">
      <c r="A454">
        <v>393</v>
      </c>
      <c r="B454">
        <v>391.99599999999998</v>
      </c>
      <c r="C454">
        <v>616256.83299999998</v>
      </c>
      <c r="D454">
        <v>3097574.1290000002</v>
      </c>
      <c r="E454">
        <v>632.36649999999997</v>
      </c>
      <c r="F454">
        <v>5.2</v>
      </c>
      <c r="G454">
        <v>0</v>
      </c>
      <c r="H454" t="s">
        <v>154</v>
      </c>
      <c r="I454">
        <v>2.7E-2</v>
      </c>
      <c r="J454">
        <f t="shared" si="244"/>
        <v>1</v>
      </c>
      <c r="K454">
        <f t="shared" ca="1" si="245"/>
        <v>50.95</v>
      </c>
      <c r="L454">
        <f t="shared" ca="1" si="246"/>
        <v>2.1389677043987478</v>
      </c>
      <c r="M454">
        <f t="shared" ca="1" si="219"/>
        <v>11.122632062873489</v>
      </c>
      <c r="N454">
        <f t="shared" ca="1" si="220"/>
        <v>1.1735290000551568</v>
      </c>
      <c r="O454">
        <f t="shared" ca="1" si="221"/>
        <v>4.5807502857230418</v>
      </c>
      <c r="P454">
        <f t="shared" ca="1" si="222"/>
        <v>634.50546770439871</v>
      </c>
      <c r="Q454">
        <f t="shared" ca="1" si="223"/>
        <v>635.57495155659808</v>
      </c>
      <c r="R454">
        <f t="shared" ca="1" si="224"/>
        <v>3.8141460404132466E-3</v>
      </c>
      <c r="S454">
        <f t="shared" ca="1" si="225"/>
        <v>1.0000000000000004</v>
      </c>
      <c r="T454">
        <f t="shared" ca="1" si="226"/>
        <v>35.686426155594638</v>
      </c>
      <c r="U454">
        <f t="shared" ca="1" si="247"/>
        <v>-3.3622728137743252E-3</v>
      </c>
      <c r="V454">
        <f t="shared" ca="1" si="248"/>
        <v>1</v>
      </c>
      <c r="W454">
        <f t="shared" ca="1" si="227"/>
        <v>1.7156229852785134</v>
      </c>
      <c r="X454">
        <f t="shared" ca="1" si="228"/>
        <v>8.9212395234482695</v>
      </c>
      <c r="Y454">
        <f t="shared" ca="1" si="229"/>
        <v>1.0335981101547183</v>
      </c>
      <c r="Z454">
        <f t="shared" ca="1" si="230"/>
        <v>5.7110897948748969</v>
      </c>
      <c r="AA454">
        <f t="shared" ca="1" si="231"/>
        <v>634.08212298527849</v>
      </c>
      <c r="AB454">
        <f t="shared" ca="1" si="232"/>
        <v>635.74453616800656</v>
      </c>
      <c r="AC454">
        <f t="shared" ca="1" si="233"/>
        <v>7.0223890532436772E-3</v>
      </c>
      <c r="AD454">
        <f t="shared" ca="1" si="234"/>
        <v>1.3921100117586744</v>
      </c>
      <c r="AE454">
        <f t="shared" ca="1" si="235"/>
        <v>37.314314171911171</v>
      </c>
      <c r="AF454">
        <f t="shared" ca="1" si="236"/>
        <v>6.5971976464425097E-3</v>
      </c>
      <c r="AG454">
        <f t="shared" ca="1" si="237"/>
        <v>0</v>
      </c>
      <c r="AH454">
        <f ca="1">IFERROR(IF(V32="Supercritical",MAX($D$16,IFERROR(L454,MAX($D$16,POWER((ABS(K454)^2)/($I$5*MAX(F454,0.1)^2),1/3)))),IF(V32="Subcritical",MAX($D$16,IFERROR(W454,MAX($D$16,POWER((ABS(K454)^2)/($I$5*MAX(F454,0.1)^2),1/3)))),IF(AND(IFERROR(V454,0)=1,IFERROR(AG454,0)=1),IF(IFERROR(T454,-1E+99)&gt;=IFERROR(AE454,-1E+99),MAX($D$16,IFERROR(L454,MAX($D$16,POWER((ABS(K454)^2)/($I$5*MAX(F454,0.1)^2),1/3)))),MAX($D$16,IFERROR(W454,MAX($D$16,POWER((ABS(K454)^2)/($I$5*MAX(F454,0.1)^2),1/3))))),IF(IFERROR(V454,0)=1,MAX($D$16,IFERROR(L454,MAX($D$16,POWER((ABS(K454)^2)/($I$5*MAX(F454,0.1)^2),1/3)))),IF(IFERROR(AG454,0)=1,MAX($D$16,IFERROR(W454,MAX($D$16,POWER((ABS(K454)^2)/($I$5*MAX(F454,0.1)^2),1/3)))),MAX($D$16,POWER((ABS(K454)^2)/($I$5*MAX(F454,0.1)^2),1/3))))))),MAX($D$16,POWER((ABS(K454)^2)/($I$5*MAX(F454,0.1)^2),1/3)))</f>
        <v>2.1389677043987478</v>
      </c>
      <c r="AI454">
        <f t="shared" ca="1" si="238"/>
        <v>634.50546770439871</v>
      </c>
      <c r="AJ454">
        <f t="shared" ca="1" si="239"/>
        <v>635.57495155659808</v>
      </c>
      <c r="AM454">
        <v>0</v>
      </c>
      <c r="AN454">
        <v>0</v>
      </c>
      <c r="AO454">
        <f t="shared" si="240"/>
        <v>0</v>
      </c>
      <c r="AP454">
        <f t="shared" si="249"/>
        <v>0</v>
      </c>
      <c r="AQ454">
        <f t="shared" ca="1" si="241"/>
        <v>1.0000000000000004</v>
      </c>
      <c r="AR454" t="str">
        <f t="shared" ca="1" si="242"/>
        <v>Supercritical</v>
      </c>
      <c r="AS454">
        <f t="shared" ca="1" si="243"/>
        <v>3.8141460404132466E-3</v>
      </c>
    </row>
    <row r="455" spans="1:45" x14ac:dyDescent="0.35">
      <c r="A455">
        <v>394</v>
      </c>
      <c r="B455">
        <v>392.99599999999998</v>
      </c>
      <c r="C455">
        <v>616256.35900000005</v>
      </c>
      <c r="D455">
        <v>3097573.2480000001</v>
      </c>
      <c r="E455">
        <v>632.36599999999999</v>
      </c>
      <c r="F455">
        <v>5.2</v>
      </c>
      <c r="G455">
        <v>0</v>
      </c>
      <c r="H455" t="s">
        <v>154</v>
      </c>
      <c r="I455">
        <v>2.7E-2</v>
      </c>
      <c r="J455">
        <f t="shared" si="244"/>
        <v>1</v>
      </c>
      <c r="K455">
        <f t="shared" ca="1" si="245"/>
        <v>50.95</v>
      </c>
      <c r="L455">
        <f t="shared" ca="1" si="246"/>
        <v>2.1389677043987478</v>
      </c>
      <c r="M455">
        <f t="shared" ca="1" si="219"/>
        <v>11.122632062873489</v>
      </c>
      <c r="N455">
        <f t="shared" ca="1" si="220"/>
        <v>1.1735290000551568</v>
      </c>
      <c r="O455">
        <f t="shared" ca="1" si="221"/>
        <v>4.5807502857230418</v>
      </c>
      <c r="P455">
        <f t="shared" ca="1" si="222"/>
        <v>634.50496770439872</v>
      </c>
      <c r="Q455">
        <f t="shared" ca="1" si="223"/>
        <v>635.57445155659809</v>
      </c>
      <c r="R455">
        <f t="shared" ca="1" si="224"/>
        <v>3.8141460404132466E-3</v>
      </c>
      <c r="S455">
        <f t="shared" ca="1" si="225"/>
        <v>1.0000000000000004</v>
      </c>
      <c r="T455">
        <f t="shared" ca="1" si="226"/>
        <v>35.686426155594638</v>
      </c>
      <c r="U455">
        <f t="shared" ca="1" si="247"/>
        <v>-3.3622728137743252E-3</v>
      </c>
      <c r="V455">
        <f t="shared" ca="1" si="248"/>
        <v>1</v>
      </c>
      <c r="W455">
        <f t="shared" ca="1" si="227"/>
        <v>1.7150593907972722</v>
      </c>
      <c r="X455">
        <f t="shared" ca="1" si="228"/>
        <v>8.918308832145815</v>
      </c>
      <c r="Y455">
        <f t="shared" ca="1" si="229"/>
        <v>1.03339352074341</v>
      </c>
      <c r="Z455">
        <f t="shared" ca="1" si="230"/>
        <v>5.7129665454454814</v>
      </c>
      <c r="AA455">
        <f t="shared" ca="1" si="231"/>
        <v>634.08105939079724</v>
      </c>
      <c r="AB455">
        <f t="shared" ca="1" si="232"/>
        <v>635.74456534132628</v>
      </c>
      <c r="AC455">
        <f t="shared" ca="1" si="233"/>
        <v>7.0288601248049282E-3</v>
      </c>
      <c r="AD455">
        <f t="shared" ca="1" si="234"/>
        <v>1.3927962707686468</v>
      </c>
      <c r="AE455">
        <f t="shared" ca="1" si="235"/>
        <v>37.319034278161041</v>
      </c>
      <c r="AF455">
        <f t="shared" ca="1" si="236"/>
        <v>6.6604567605281773E-3</v>
      </c>
      <c r="AG455">
        <f t="shared" ca="1" si="237"/>
        <v>0</v>
      </c>
      <c r="AH455">
        <f ca="1">IFERROR(IF(V32="Supercritical",MAX($D$16,IFERROR(L455,MAX($D$16,POWER((ABS(K455)^2)/($I$5*MAX(F455,0.1)^2),1/3)))),IF(V32="Subcritical",MAX($D$16,IFERROR(W455,MAX($D$16,POWER((ABS(K455)^2)/($I$5*MAX(F455,0.1)^2),1/3)))),IF(AND(IFERROR(V455,0)=1,IFERROR(AG455,0)=1),IF(IFERROR(T455,-1E+99)&gt;=IFERROR(AE455,-1E+99),MAX($D$16,IFERROR(L455,MAX($D$16,POWER((ABS(K455)^2)/($I$5*MAX(F455,0.1)^2),1/3)))),MAX($D$16,IFERROR(W455,MAX($D$16,POWER((ABS(K455)^2)/($I$5*MAX(F455,0.1)^2),1/3))))),IF(IFERROR(V455,0)=1,MAX($D$16,IFERROR(L455,MAX($D$16,POWER((ABS(K455)^2)/($I$5*MAX(F455,0.1)^2),1/3)))),IF(IFERROR(AG455,0)=1,MAX($D$16,IFERROR(W455,MAX($D$16,POWER((ABS(K455)^2)/($I$5*MAX(F455,0.1)^2),1/3)))),MAX($D$16,POWER((ABS(K455)^2)/($I$5*MAX(F455,0.1)^2),1/3))))))),MAX($D$16,POWER((ABS(K455)^2)/($I$5*MAX(F455,0.1)^2),1/3)))</f>
        <v>2.1389677043987478</v>
      </c>
      <c r="AI455">
        <f t="shared" ca="1" si="238"/>
        <v>634.50496770439872</v>
      </c>
      <c r="AJ455">
        <f t="shared" ca="1" si="239"/>
        <v>635.57445155659809</v>
      </c>
      <c r="AM455">
        <v>0</v>
      </c>
      <c r="AN455">
        <v>0</v>
      </c>
      <c r="AO455">
        <f t="shared" si="240"/>
        <v>0</v>
      </c>
      <c r="AP455">
        <f t="shared" si="249"/>
        <v>0</v>
      </c>
      <c r="AQ455">
        <f t="shared" ca="1" si="241"/>
        <v>1.0000000000000004</v>
      </c>
      <c r="AR455" t="str">
        <f t="shared" ca="1" si="242"/>
        <v>Supercritical</v>
      </c>
      <c r="AS455">
        <f t="shared" ca="1" si="243"/>
        <v>3.8141460404132466E-3</v>
      </c>
    </row>
    <row r="456" spans="1:45" x14ac:dyDescent="0.35">
      <c r="A456">
        <v>395</v>
      </c>
      <c r="B456">
        <v>393.995</v>
      </c>
      <c r="C456">
        <v>616255.88500000001</v>
      </c>
      <c r="D456">
        <v>3097572.3679999998</v>
      </c>
      <c r="E456">
        <v>632.3655</v>
      </c>
      <c r="F456">
        <v>5.2</v>
      </c>
      <c r="G456">
        <v>0</v>
      </c>
      <c r="H456" t="s">
        <v>154</v>
      </c>
      <c r="I456">
        <v>0.05</v>
      </c>
      <c r="J456">
        <f t="shared" si="244"/>
        <v>0.99900000000002365</v>
      </c>
      <c r="K456">
        <f t="shared" ca="1" si="245"/>
        <v>50.95</v>
      </c>
      <c r="L456">
        <f t="shared" ca="1" si="246"/>
        <v>2.1389677043987478</v>
      </c>
      <c r="M456">
        <f t="shared" ca="1" si="219"/>
        <v>11.122632062873489</v>
      </c>
      <c r="N456">
        <f t="shared" ca="1" si="220"/>
        <v>1.1735290000551568</v>
      </c>
      <c r="O456">
        <f t="shared" ca="1" si="221"/>
        <v>4.5807502857230418</v>
      </c>
      <c r="P456">
        <f t="shared" ca="1" si="222"/>
        <v>634.50446770439873</v>
      </c>
      <c r="Q456">
        <f t="shared" ca="1" si="223"/>
        <v>635.5739515565981</v>
      </c>
      <c r="R456">
        <f t="shared" ca="1" si="224"/>
        <v>3.8141460404132466E-3</v>
      </c>
      <c r="S456">
        <f t="shared" ca="1" si="225"/>
        <v>1.0000000000000004</v>
      </c>
      <c r="T456">
        <f t="shared" ca="1" si="226"/>
        <v>35.686426155594638</v>
      </c>
      <c r="U456">
        <f t="shared" ca="1" si="247"/>
        <v>-3.3994555486742684E-3</v>
      </c>
      <c r="V456">
        <f t="shared" ca="1" si="248"/>
        <v>1</v>
      </c>
      <c r="W456">
        <f t="shared" ca="1" si="227"/>
        <v>1.7145314014418591</v>
      </c>
      <c r="X456">
        <f t="shared" ca="1" si="228"/>
        <v>8.9155632874976671</v>
      </c>
      <c r="Y456">
        <f t="shared" ca="1" si="229"/>
        <v>1.03320180779287</v>
      </c>
      <c r="Z456">
        <f t="shared" ca="1" si="230"/>
        <v>5.7147258515283506</v>
      </c>
      <c r="AA456">
        <f t="shared" ca="1" si="231"/>
        <v>634.08003140144183</v>
      </c>
      <c r="AB456">
        <f t="shared" ca="1" si="232"/>
        <v>635.74456206189677</v>
      </c>
      <c r="AC456">
        <f t="shared" ca="1" si="233"/>
        <v>7.0349299478450643E-3</v>
      </c>
      <c r="AD456">
        <f t="shared" ca="1" si="234"/>
        <v>1.3934396869961032</v>
      </c>
      <c r="AE456">
        <f t="shared" ca="1" si="235"/>
        <v>37.323463503511555</v>
      </c>
      <c r="AF456">
        <f t="shared" ca="1" si="236"/>
        <v>6.7513189337660151E-3</v>
      </c>
      <c r="AG456">
        <f t="shared" ca="1" si="237"/>
        <v>0</v>
      </c>
      <c r="AH456">
        <f ca="1">IFERROR(IF(V32="Supercritical",MAX($D$16,IFERROR(L456,MAX($D$16,POWER((ABS(K456)^2)/($I$5*MAX(F456,0.1)^2),1/3)))),IF(V32="Subcritical",MAX($D$16,IFERROR(W456,MAX($D$16,POWER((ABS(K456)^2)/($I$5*MAX(F456,0.1)^2),1/3)))),IF(AND(IFERROR(V456,0)=1,IFERROR(AG456,0)=1),IF(IFERROR(T456,-1E+99)&gt;=IFERROR(AE456,-1E+99),MAX($D$16,IFERROR(L456,MAX($D$16,POWER((ABS(K456)^2)/($I$5*MAX(F456,0.1)^2),1/3)))),MAX($D$16,IFERROR(W456,MAX($D$16,POWER((ABS(K456)^2)/($I$5*MAX(F456,0.1)^2),1/3))))),IF(IFERROR(V456,0)=1,MAX($D$16,IFERROR(L456,MAX($D$16,POWER((ABS(K456)^2)/($I$5*MAX(F456,0.1)^2),1/3)))),IF(IFERROR(AG456,0)=1,MAX($D$16,IFERROR(W456,MAX($D$16,POWER((ABS(K456)^2)/($I$5*MAX(F456,0.1)^2),1/3)))),MAX($D$16,POWER((ABS(K456)^2)/($I$5*MAX(F456,0.1)^2),1/3))))))),MAX($D$16,POWER((ABS(K456)^2)/($I$5*MAX(F456,0.1)^2),1/3)))</f>
        <v>2.1389677043987478</v>
      </c>
      <c r="AI456">
        <f t="shared" ca="1" si="238"/>
        <v>634.50446770439873</v>
      </c>
      <c r="AJ456">
        <f t="shared" ca="1" si="239"/>
        <v>635.5739515565981</v>
      </c>
      <c r="AM456">
        <v>0</v>
      </c>
      <c r="AN456">
        <v>0</v>
      </c>
      <c r="AO456">
        <f t="shared" si="240"/>
        <v>0</v>
      </c>
      <c r="AP456">
        <f t="shared" si="249"/>
        <v>0</v>
      </c>
      <c r="AQ456">
        <f t="shared" ca="1" si="241"/>
        <v>1.0000000000000004</v>
      </c>
      <c r="AR456" t="str">
        <f t="shared" ca="1" si="242"/>
        <v>Supercritical</v>
      </c>
      <c r="AS456">
        <f t="shared" ca="1" si="243"/>
        <v>3.8141460404132466E-3</v>
      </c>
    </row>
    <row r="457" spans="1:45" x14ac:dyDescent="0.35">
      <c r="A457">
        <v>396</v>
      </c>
      <c r="B457">
        <v>394.995</v>
      </c>
      <c r="C457">
        <v>616255.41</v>
      </c>
      <c r="D457">
        <v>3097571.4879999999</v>
      </c>
      <c r="E457">
        <v>632.36500000000001</v>
      </c>
      <c r="F457">
        <v>5.2</v>
      </c>
      <c r="G457">
        <v>0</v>
      </c>
      <c r="H457" t="s">
        <v>154</v>
      </c>
      <c r="I457">
        <v>7.8E-2</v>
      </c>
      <c r="J457">
        <f t="shared" si="244"/>
        <v>1</v>
      </c>
      <c r="K457">
        <f t="shared" ca="1" si="245"/>
        <v>50.95</v>
      </c>
      <c r="L457">
        <f t="shared" ca="1" si="246"/>
        <v>2.1389677043987478</v>
      </c>
      <c r="M457">
        <f t="shared" ca="1" si="219"/>
        <v>11.122632062873489</v>
      </c>
      <c r="N457">
        <f t="shared" ca="1" si="220"/>
        <v>1.1735290000551568</v>
      </c>
      <c r="O457">
        <f t="shared" ca="1" si="221"/>
        <v>4.5807502857230418</v>
      </c>
      <c r="P457">
        <f t="shared" ca="1" si="222"/>
        <v>634.50396770439875</v>
      </c>
      <c r="Q457">
        <f t="shared" ca="1" si="223"/>
        <v>635.57345155659812</v>
      </c>
      <c r="R457">
        <f t="shared" ca="1" si="224"/>
        <v>3.8141460404132466E-3</v>
      </c>
      <c r="S457">
        <f t="shared" ca="1" si="225"/>
        <v>1.0000000000000004</v>
      </c>
      <c r="T457">
        <f t="shared" ca="1" si="226"/>
        <v>35.686426155594638</v>
      </c>
      <c r="U457">
        <f t="shared" ca="1" si="247"/>
        <v>-3.4531789411857972E-3</v>
      </c>
      <c r="V457">
        <f t="shared" ca="1" si="248"/>
        <v>1</v>
      </c>
      <c r="W457">
        <f t="shared" ca="1" si="227"/>
        <v>1.7140368752213693</v>
      </c>
      <c r="X457">
        <f t="shared" ca="1" si="228"/>
        <v>8.9129917511511199</v>
      </c>
      <c r="Y457">
        <f t="shared" ca="1" si="229"/>
        <v>1.0330222027476019</v>
      </c>
      <c r="Z457">
        <f t="shared" ca="1" si="230"/>
        <v>5.7163746385628338</v>
      </c>
      <c r="AA457">
        <f t="shared" ca="1" si="231"/>
        <v>634.07903687522139</v>
      </c>
      <c r="AB457">
        <f t="shared" ca="1" si="232"/>
        <v>635.74452816005339</v>
      </c>
      <c r="AC457">
        <f t="shared" ca="1" si="233"/>
        <v>7.0406217197883985E-3</v>
      </c>
      <c r="AD457">
        <f t="shared" ca="1" si="234"/>
        <v>1.3940427739304588</v>
      </c>
      <c r="AE457">
        <f t="shared" ca="1" si="235"/>
        <v>37.327618431652326</v>
      </c>
      <c r="AF457">
        <f t="shared" ca="1" si="236"/>
        <v>6.6226094493231358E-3</v>
      </c>
      <c r="AG457">
        <f t="shared" ca="1" si="237"/>
        <v>0</v>
      </c>
      <c r="AH457">
        <f ca="1">IFERROR(IF(V32="Supercritical",MAX($D$16,IFERROR(L457,MAX($D$16,POWER((ABS(K457)^2)/($I$5*MAX(F457,0.1)^2),1/3)))),IF(V32="Subcritical",MAX($D$16,IFERROR(W457,MAX($D$16,POWER((ABS(K457)^2)/($I$5*MAX(F457,0.1)^2),1/3)))),IF(AND(IFERROR(V457,0)=1,IFERROR(AG457,0)=1),IF(IFERROR(T457,-1E+99)&gt;=IFERROR(AE457,-1E+99),MAX($D$16,IFERROR(L457,MAX($D$16,POWER((ABS(K457)^2)/($I$5*MAX(F457,0.1)^2),1/3)))),MAX($D$16,IFERROR(W457,MAX($D$16,POWER((ABS(K457)^2)/($I$5*MAX(F457,0.1)^2),1/3))))),IF(IFERROR(V457,0)=1,MAX($D$16,IFERROR(L457,MAX($D$16,POWER((ABS(K457)^2)/($I$5*MAX(F457,0.1)^2),1/3)))),IF(IFERROR(AG457,0)=1,MAX($D$16,IFERROR(W457,MAX($D$16,POWER((ABS(K457)^2)/($I$5*MAX(F457,0.1)^2),1/3)))),MAX($D$16,POWER((ABS(K457)^2)/($I$5*MAX(F457,0.1)^2),1/3))))))),MAX($D$16,POWER((ABS(K457)^2)/($I$5*MAX(F457,0.1)^2),1/3)))</f>
        <v>2.1389677043987478</v>
      </c>
      <c r="AI457">
        <f t="shared" ca="1" si="238"/>
        <v>634.50396770439875</v>
      </c>
      <c r="AJ457">
        <f t="shared" ca="1" si="239"/>
        <v>635.57345155659812</v>
      </c>
      <c r="AM457">
        <v>0</v>
      </c>
      <c r="AN457">
        <v>0</v>
      </c>
      <c r="AO457">
        <f t="shared" si="240"/>
        <v>0</v>
      </c>
      <c r="AP457">
        <f t="shared" si="249"/>
        <v>0</v>
      </c>
      <c r="AQ457">
        <f t="shared" ca="1" si="241"/>
        <v>1.0000000000000004</v>
      </c>
      <c r="AR457" t="str">
        <f t="shared" ca="1" si="242"/>
        <v>Supercritical</v>
      </c>
      <c r="AS457">
        <f t="shared" ca="1" si="243"/>
        <v>3.8141460404132466E-3</v>
      </c>
    </row>
    <row r="458" spans="1:45" x14ac:dyDescent="0.35">
      <c r="A458">
        <v>397</v>
      </c>
      <c r="B458">
        <v>395.99599999999998</v>
      </c>
      <c r="C458">
        <v>616254.93599999999</v>
      </c>
      <c r="D458">
        <v>3097570.6069999998</v>
      </c>
      <c r="E458">
        <v>632.36450000000002</v>
      </c>
      <c r="F458">
        <v>5.2</v>
      </c>
      <c r="G458">
        <v>0</v>
      </c>
      <c r="H458" t="s">
        <v>154</v>
      </c>
      <c r="I458">
        <v>2.7E-2</v>
      </c>
      <c r="J458">
        <f t="shared" si="244"/>
        <v>1.0009999999999764</v>
      </c>
      <c r="K458">
        <f t="shared" ca="1" si="245"/>
        <v>50.95</v>
      </c>
      <c r="L458">
        <f t="shared" ca="1" si="246"/>
        <v>2.1389677043987478</v>
      </c>
      <c r="M458">
        <f t="shared" ca="1" si="219"/>
        <v>11.122632062873489</v>
      </c>
      <c r="N458">
        <f t="shared" ca="1" si="220"/>
        <v>1.1735290000551568</v>
      </c>
      <c r="O458">
        <f t="shared" ca="1" si="221"/>
        <v>4.5807502857230418</v>
      </c>
      <c r="P458">
        <f t="shared" ca="1" si="222"/>
        <v>634.50346770439876</v>
      </c>
      <c r="Q458">
        <f t="shared" ca="1" si="223"/>
        <v>635.57295155659813</v>
      </c>
      <c r="R458">
        <f t="shared" ca="1" si="224"/>
        <v>3.8141460404132466E-3</v>
      </c>
      <c r="S458">
        <f t="shared" ca="1" si="225"/>
        <v>1.0000000000000004</v>
      </c>
      <c r="T458">
        <f t="shared" ca="1" si="226"/>
        <v>35.686426155594638</v>
      </c>
      <c r="U458">
        <f t="shared" ca="1" si="247"/>
        <v>-3.3660869597724741E-3</v>
      </c>
      <c r="V458">
        <f t="shared" ca="1" si="248"/>
        <v>1</v>
      </c>
      <c r="W458">
        <f t="shared" ca="1" si="227"/>
        <v>1.7135737856091953</v>
      </c>
      <c r="X458">
        <f t="shared" ca="1" si="228"/>
        <v>8.9105836851678148</v>
      </c>
      <c r="Y458">
        <f t="shared" ca="1" si="229"/>
        <v>1.032853977703478</v>
      </c>
      <c r="Z458">
        <f t="shared" ca="1" si="230"/>
        <v>5.7179194764546395</v>
      </c>
      <c r="AA458">
        <f t="shared" ca="1" si="231"/>
        <v>634.07807378560926</v>
      </c>
      <c r="AB458">
        <f t="shared" ca="1" si="232"/>
        <v>635.74446538291909</v>
      </c>
      <c r="AC458">
        <f t="shared" ca="1" si="233"/>
        <v>7.0459575064732733E-3</v>
      </c>
      <c r="AD458">
        <f t="shared" ca="1" si="234"/>
        <v>1.3946079176786397</v>
      </c>
      <c r="AE458">
        <f t="shared" ca="1" si="235"/>
        <v>37.331514868870073</v>
      </c>
      <c r="AF458">
        <f t="shared" ca="1" si="236"/>
        <v>6.6138991709294714E-3</v>
      </c>
      <c r="AG458">
        <f t="shared" ca="1" si="237"/>
        <v>0</v>
      </c>
      <c r="AH458">
        <f ca="1">IFERROR(IF(V32="Supercritical",MAX($D$16,IFERROR(L458,MAX($D$16,POWER((ABS(K458)^2)/($I$5*MAX(F458,0.1)^2),1/3)))),IF(V32="Subcritical",MAX($D$16,IFERROR(W458,MAX($D$16,POWER((ABS(K458)^2)/($I$5*MAX(F458,0.1)^2),1/3)))),IF(AND(IFERROR(V458,0)=1,IFERROR(AG458,0)=1),IF(IFERROR(T458,-1E+99)&gt;=IFERROR(AE458,-1E+99),MAX($D$16,IFERROR(L458,MAX($D$16,POWER((ABS(K458)^2)/($I$5*MAX(F458,0.1)^2),1/3)))),MAX($D$16,IFERROR(W458,MAX($D$16,POWER((ABS(K458)^2)/($I$5*MAX(F458,0.1)^2),1/3))))),IF(IFERROR(V458,0)=1,MAX($D$16,IFERROR(L458,MAX($D$16,POWER((ABS(K458)^2)/($I$5*MAX(F458,0.1)^2),1/3)))),IF(IFERROR(AG458,0)=1,MAX($D$16,IFERROR(W458,MAX($D$16,POWER((ABS(K458)^2)/($I$5*MAX(F458,0.1)^2),1/3)))),MAX($D$16,POWER((ABS(K458)^2)/($I$5*MAX(F458,0.1)^2),1/3))))))),MAX($D$16,POWER((ABS(K458)^2)/($I$5*MAX(F458,0.1)^2),1/3)))</f>
        <v>2.1389677043987478</v>
      </c>
      <c r="AI458">
        <f t="shared" ca="1" si="238"/>
        <v>634.50346770439876</v>
      </c>
      <c r="AJ458">
        <f t="shared" ca="1" si="239"/>
        <v>635.57295155659813</v>
      </c>
      <c r="AM458">
        <v>0</v>
      </c>
      <c r="AN458">
        <v>0</v>
      </c>
      <c r="AO458">
        <f t="shared" si="240"/>
        <v>0</v>
      </c>
      <c r="AP458">
        <f t="shared" si="249"/>
        <v>0</v>
      </c>
      <c r="AQ458">
        <f t="shared" ca="1" si="241"/>
        <v>1.0000000000000004</v>
      </c>
      <c r="AR458" t="str">
        <f t="shared" ca="1" si="242"/>
        <v>Supercritical</v>
      </c>
      <c r="AS458">
        <f t="shared" ca="1" si="243"/>
        <v>3.8141460404132466E-3</v>
      </c>
    </row>
    <row r="459" spans="1:45" x14ac:dyDescent="0.35">
      <c r="A459">
        <v>398</v>
      </c>
      <c r="B459">
        <v>396.995</v>
      </c>
      <c r="C459">
        <v>616254.46200000006</v>
      </c>
      <c r="D459">
        <v>3097569.727</v>
      </c>
      <c r="E459">
        <v>632.36400000000003</v>
      </c>
      <c r="F459">
        <v>5.2</v>
      </c>
      <c r="G459">
        <v>0</v>
      </c>
      <c r="H459" t="s">
        <v>154</v>
      </c>
      <c r="I459">
        <v>2.7E-2</v>
      </c>
      <c r="J459">
        <f t="shared" si="244"/>
        <v>0.99900000000002365</v>
      </c>
      <c r="K459">
        <f t="shared" ca="1" si="245"/>
        <v>50.95</v>
      </c>
      <c r="L459">
        <f t="shared" ca="1" si="246"/>
        <v>2.1389677043987478</v>
      </c>
      <c r="M459">
        <f t="shared" ca="1" si="219"/>
        <v>11.122632062873489</v>
      </c>
      <c r="N459">
        <f t="shared" ca="1" si="220"/>
        <v>1.1735290000551568</v>
      </c>
      <c r="O459">
        <f t="shared" ca="1" si="221"/>
        <v>4.5807502857230418</v>
      </c>
      <c r="P459">
        <f t="shared" ca="1" si="222"/>
        <v>634.50296770439877</v>
      </c>
      <c r="Q459">
        <f t="shared" ca="1" si="223"/>
        <v>635.57245155659814</v>
      </c>
      <c r="R459">
        <f t="shared" ca="1" si="224"/>
        <v>3.8141460404132466E-3</v>
      </c>
      <c r="S459">
        <f t="shared" ca="1" si="225"/>
        <v>1.0000000000000004</v>
      </c>
      <c r="T459">
        <f t="shared" ca="1" si="226"/>
        <v>35.686426155594638</v>
      </c>
      <c r="U459">
        <f t="shared" ca="1" si="247"/>
        <v>-3.3584586676624895E-3</v>
      </c>
      <c r="V459">
        <f t="shared" ca="1" si="248"/>
        <v>1</v>
      </c>
      <c r="W459">
        <f t="shared" ca="1" si="227"/>
        <v>1.7131402170157219</v>
      </c>
      <c r="X459">
        <f t="shared" ca="1" si="228"/>
        <v>8.9083291284817552</v>
      </c>
      <c r="Y459">
        <f t="shared" ca="1" si="229"/>
        <v>1.0326964439200939</v>
      </c>
      <c r="Z459">
        <f t="shared" ca="1" si="230"/>
        <v>5.7193665911043183</v>
      </c>
      <c r="AA459">
        <f t="shared" ca="1" si="231"/>
        <v>634.07714021701577</v>
      </c>
      <c r="AB459">
        <f t="shared" ca="1" si="232"/>
        <v>635.74437539558051</v>
      </c>
      <c r="AC459">
        <f t="shared" ca="1" si="233"/>
        <v>7.0509582705341901E-3</v>
      </c>
      <c r="AD459">
        <f t="shared" ca="1" si="234"/>
        <v>1.3951373808624252</v>
      </c>
      <c r="AE459">
        <f t="shared" ca="1" si="235"/>
        <v>37.335167858682894</v>
      </c>
      <c r="AF459">
        <f t="shared" ca="1" si="236"/>
        <v>6.7747498020480634E-3</v>
      </c>
      <c r="AG459">
        <f t="shared" ca="1" si="237"/>
        <v>0</v>
      </c>
      <c r="AH459">
        <f ca="1">IFERROR(IF(V32="Supercritical",MAX($D$16,IFERROR(L459,MAX($D$16,POWER((ABS(K459)^2)/($I$5*MAX(F459,0.1)^2),1/3)))),IF(V32="Subcritical",MAX($D$16,IFERROR(W459,MAX($D$16,POWER((ABS(K459)^2)/($I$5*MAX(F459,0.1)^2),1/3)))),IF(AND(IFERROR(V459,0)=1,IFERROR(AG459,0)=1),IF(IFERROR(T459,-1E+99)&gt;=IFERROR(AE459,-1E+99),MAX($D$16,IFERROR(L459,MAX($D$16,POWER((ABS(K459)^2)/($I$5*MAX(F459,0.1)^2),1/3)))),MAX($D$16,IFERROR(W459,MAX($D$16,POWER((ABS(K459)^2)/($I$5*MAX(F459,0.1)^2),1/3))))),IF(IFERROR(V459,0)=1,MAX($D$16,IFERROR(L459,MAX($D$16,POWER((ABS(K459)^2)/($I$5*MAX(F459,0.1)^2),1/3)))),IF(IFERROR(AG459,0)=1,MAX($D$16,IFERROR(W459,MAX($D$16,POWER((ABS(K459)^2)/($I$5*MAX(F459,0.1)^2),1/3)))),MAX($D$16,POWER((ABS(K459)^2)/($I$5*MAX(F459,0.1)^2),1/3))))))),MAX($D$16,POWER((ABS(K459)^2)/($I$5*MAX(F459,0.1)^2),1/3)))</f>
        <v>2.1389677043987478</v>
      </c>
      <c r="AI459">
        <f t="shared" ca="1" si="238"/>
        <v>634.50296770439877</v>
      </c>
      <c r="AJ459">
        <f t="shared" ca="1" si="239"/>
        <v>635.57245155659814</v>
      </c>
      <c r="AM459">
        <v>0</v>
      </c>
      <c r="AN459">
        <v>0</v>
      </c>
      <c r="AO459">
        <f t="shared" si="240"/>
        <v>0</v>
      </c>
      <c r="AP459">
        <f t="shared" si="249"/>
        <v>0</v>
      </c>
      <c r="AQ459">
        <f t="shared" ca="1" si="241"/>
        <v>1.0000000000000004</v>
      </c>
      <c r="AR459" t="str">
        <f t="shared" ca="1" si="242"/>
        <v>Supercritical</v>
      </c>
      <c r="AS459">
        <f t="shared" ca="1" si="243"/>
        <v>3.8141460404132466E-3</v>
      </c>
    </row>
    <row r="460" spans="1:45" x14ac:dyDescent="0.35">
      <c r="A460">
        <v>399</v>
      </c>
      <c r="B460">
        <v>397.99599999999998</v>
      </c>
      <c r="C460">
        <v>616253.98800000001</v>
      </c>
      <c r="D460">
        <v>3097568.8459999999</v>
      </c>
      <c r="E460">
        <v>632.36350000000004</v>
      </c>
      <c r="F460">
        <v>5.2</v>
      </c>
      <c r="G460">
        <v>0</v>
      </c>
      <c r="H460" t="s">
        <v>154</v>
      </c>
      <c r="I460">
        <v>7.8E-2</v>
      </c>
      <c r="J460">
        <f t="shared" si="244"/>
        <v>1.0009999999999764</v>
      </c>
      <c r="K460">
        <f t="shared" ca="1" si="245"/>
        <v>50.95</v>
      </c>
      <c r="L460">
        <f t="shared" ca="1" si="246"/>
        <v>2.1389677043987478</v>
      </c>
      <c r="M460">
        <f t="shared" ca="1" si="219"/>
        <v>11.122632062873489</v>
      </c>
      <c r="N460">
        <f t="shared" ca="1" si="220"/>
        <v>1.1735290000551568</v>
      </c>
      <c r="O460">
        <f t="shared" ca="1" si="221"/>
        <v>4.5807502857230418</v>
      </c>
      <c r="P460">
        <f t="shared" ca="1" si="222"/>
        <v>634.50246770439878</v>
      </c>
      <c r="Q460">
        <f t="shared" ca="1" si="223"/>
        <v>635.57195155659815</v>
      </c>
      <c r="R460">
        <f t="shared" ca="1" si="224"/>
        <v>3.8141460404132466E-3</v>
      </c>
      <c r="S460">
        <f t="shared" ca="1" si="225"/>
        <v>1.0000000000000004</v>
      </c>
      <c r="T460">
        <f t="shared" ca="1" si="226"/>
        <v>35.686426155594638</v>
      </c>
      <c r="U460">
        <f t="shared" ca="1" si="247"/>
        <v>-3.456993087183946E-3</v>
      </c>
      <c r="V460">
        <f t="shared" ca="1" si="248"/>
        <v>1</v>
      </c>
      <c r="W460">
        <f t="shared" ca="1" si="227"/>
        <v>1.712734360209264</v>
      </c>
      <c r="X460">
        <f t="shared" ca="1" si="228"/>
        <v>8.9062186730881727</v>
      </c>
      <c r="Y460">
        <f t="shared" ca="1" si="229"/>
        <v>1.032548950297048</v>
      </c>
      <c r="Z460">
        <f t="shared" ca="1" si="230"/>
        <v>5.7207218764968211</v>
      </c>
      <c r="AA460">
        <f t="shared" ca="1" si="231"/>
        <v>634.07623436020936</v>
      </c>
      <c r="AB460">
        <f t="shared" ca="1" si="232"/>
        <v>635.74425978264719</v>
      </c>
      <c r="AC460">
        <f t="shared" ca="1" si="233"/>
        <v>7.0556439029289385E-3</v>
      </c>
      <c r="AD460">
        <f t="shared" ca="1" si="234"/>
        <v>1.3956333067552207</v>
      </c>
      <c r="AE460">
        <f t="shared" ca="1" si="235"/>
        <v>37.338591699470086</v>
      </c>
      <c r="AF460">
        <f t="shared" ca="1" si="236"/>
        <v>6.6946460215149273E-3</v>
      </c>
      <c r="AG460">
        <f t="shared" ca="1" si="237"/>
        <v>0</v>
      </c>
      <c r="AH460">
        <f ca="1">IFERROR(IF(V32="Supercritical",MAX($D$16,IFERROR(L460,MAX($D$16,POWER((ABS(K460)^2)/($I$5*MAX(F460,0.1)^2),1/3)))),IF(V32="Subcritical",MAX($D$16,IFERROR(W460,MAX($D$16,POWER((ABS(K460)^2)/($I$5*MAX(F460,0.1)^2),1/3)))),IF(AND(IFERROR(V460,0)=1,IFERROR(AG460,0)=1),IF(IFERROR(T460,-1E+99)&gt;=IFERROR(AE460,-1E+99),MAX($D$16,IFERROR(L460,MAX($D$16,POWER((ABS(K460)^2)/($I$5*MAX(F460,0.1)^2),1/3)))),MAX($D$16,IFERROR(W460,MAX($D$16,POWER((ABS(K460)^2)/($I$5*MAX(F460,0.1)^2),1/3))))),IF(IFERROR(V460,0)=1,MAX($D$16,IFERROR(L460,MAX($D$16,POWER((ABS(K460)^2)/($I$5*MAX(F460,0.1)^2),1/3)))),IF(IFERROR(AG460,0)=1,MAX($D$16,IFERROR(W460,MAX($D$16,POWER((ABS(K460)^2)/($I$5*MAX(F460,0.1)^2),1/3)))),MAX($D$16,POWER((ABS(K460)^2)/($I$5*MAX(F460,0.1)^2),1/3))))))),MAX($D$16,POWER((ABS(K460)^2)/($I$5*MAX(F460,0.1)^2),1/3)))</f>
        <v>2.1389677043987478</v>
      </c>
      <c r="AI460">
        <f t="shared" ca="1" si="238"/>
        <v>634.50246770439878</v>
      </c>
      <c r="AJ460">
        <f t="shared" ca="1" si="239"/>
        <v>635.57195155659815</v>
      </c>
      <c r="AM460">
        <v>0</v>
      </c>
      <c r="AN460">
        <v>0</v>
      </c>
      <c r="AO460">
        <f t="shared" si="240"/>
        <v>0</v>
      </c>
      <c r="AP460">
        <f t="shared" si="249"/>
        <v>0</v>
      </c>
      <c r="AQ460">
        <f t="shared" ca="1" si="241"/>
        <v>1.0000000000000004</v>
      </c>
      <c r="AR460" t="str">
        <f t="shared" ca="1" si="242"/>
        <v>Supercritical</v>
      </c>
      <c r="AS460">
        <f t="shared" ca="1" si="243"/>
        <v>3.8141460404132466E-3</v>
      </c>
    </row>
    <row r="461" spans="1:45" x14ac:dyDescent="0.35">
      <c r="A461">
        <v>400</v>
      </c>
      <c r="B461">
        <v>398.99599999999998</v>
      </c>
      <c r="C461">
        <v>616253.51300000004</v>
      </c>
      <c r="D461">
        <v>3097567.966</v>
      </c>
      <c r="E461">
        <v>632.36300000000006</v>
      </c>
      <c r="F461">
        <v>5.2</v>
      </c>
      <c r="G461">
        <v>0</v>
      </c>
      <c r="H461" t="s">
        <v>154</v>
      </c>
      <c r="I461">
        <v>0.05</v>
      </c>
      <c r="J461">
        <f t="shared" si="244"/>
        <v>1</v>
      </c>
      <c r="K461">
        <f t="shared" ca="1" si="245"/>
        <v>50.95</v>
      </c>
      <c r="L461">
        <f t="shared" ca="1" si="246"/>
        <v>2.1389677043987478</v>
      </c>
      <c r="M461">
        <f t="shared" ca="1" si="219"/>
        <v>11.122632062873489</v>
      </c>
      <c r="N461">
        <f t="shared" ca="1" si="220"/>
        <v>1.1735290000551568</v>
      </c>
      <c r="O461">
        <f t="shared" ca="1" si="221"/>
        <v>4.5807502857230418</v>
      </c>
      <c r="P461">
        <f t="shared" ca="1" si="222"/>
        <v>634.50196770439879</v>
      </c>
      <c r="Q461">
        <f t="shared" ca="1" si="223"/>
        <v>635.57145155659816</v>
      </c>
      <c r="R461">
        <f t="shared" ca="1" si="224"/>
        <v>3.8141460404132466E-3</v>
      </c>
      <c r="S461">
        <f t="shared" ca="1" si="225"/>
        <v>1.0000000000000004</v>
      </c>
      <c r="T461">
        <f t="shared" ca="1" si="226"/>
        <v>35.686426155594638</v>
      </c>
      <c r="U461">
        <f t="shared" ca="1" si="247"/>
        <v>-3.4032696947861041E-3</v>
      </c>
      <c r="V461">
        <f t="shared" ca="1" si="248"/>
        <v>1</v>
      </c>
      <c r="W461">
        <f t="shared" ca="1" si="227"/>
        <v>1.7123545077253925</v>
      </c>
      <c r="X461">
        <f t="shared" ca="1" si="228"/>
        <v>8.9042434401720421</v>
      </c>
      <c r="Y461">
        <f t="shared" ca="1" si="229"/>
        <v>1.0324108818303879</v>
      </c>
      <c r="Z461">
        <f t="shared" ca="1" si="230"/>
        <v>5.721990907182068</v>
      </c>
      <c r="AA461">
        <f t="shared" ca="1" si="231"/>
        <v>634.07535450772548</v>
      </c>
      <c r="AB461">
        <f t="shared" ca="1" si="232"/>
        <v>635.74412005012482</v>
      </c>
      <c r="AC461">
        <f t="shared" ca="1" si="233"/>
        <v>7.0600332569179308E-3</v>
      </c>
      <c r="AD461">
        <f t="shared" ca="1" si="234"/>
        <v>1.396097723592987</v>
      </c>
      <c r="AE461">
        <f t="shared" ca="1" si="235"/>
        <v>37.341799964519637</v>
      </c>
      <c r="AF461">
        <f t="shared" ca="1" si="236"/>
        <v>6.6280676728638355E-3</v>
      </c>
      <c r="AG461">
        <f t="shared" ca="1" si="237"/>
        <v>0</v>
      </c>
      <c r="AH461">
        <f ca="1">IFERROR(IF(V32="Supercritical",MAX($D$16,IFERROR(L461,MAX($D$16,POWER((ABS(K461)^2)/($I$5*MAX(F461,0.1)^2),1/3)))),IF(V32="Subcritical",MAX($D$16,IFERROR(W461,MAX($D$16,POWER((ABS(K461)^2)/($I$5*MAX(F461,0.1)^2),1/3)))),IF(AND(IFERROR(V461,0)=1,IFERROR(AG461,0)=1),IF(IFERROR(T461,-1E+99)&gt;=IFERROR(AE461,-1E+99),MAX($D$16,IFERROR(L461,MAX($D$16,POWER((ABS(K461)^2)/($I$5*MAX(F461,0.1)^2),1/3)))),MAX($D$16,IFERROR(W461,MAX($D$16,POWER((ABS(K461)^2)/($I$5*MAX(F461,0.1)^2),1/3))))),IF(IFERROR(V461,0)=1,MAX($D$16,IFERROR(L461,MAX($D$16,POWER((ABS(K461)^2)/($I$5*MAX(F461,0.1)^2),1/3)))),IF(IFERROR(AG461,0)=1,MAX($D$16,IFERROR(W461,MAX($D$16,POWER((ABS(K461)^2)/($I$5*MAX(F461,0.1)^2),1/3)))),MAX($D$16,POWER((ABS(K461)^2)/($I$5*MAX(F461,0.1)^2),1/3))))))),MAX($D$16,POWER((ABS(K461)^2)/($I$5*MAX(F461,0.1)^2),1/3)))</f>
        <v>2.1389677043987478</v>
      </c>
      <c r="AI461">
        <f t="shared" ca="1" si="238"/>
        <v>634.50196770439879</v>
      </c>
      <c r="AJ461">
        <f t="shared" ca="1" si="239"/>
        <v>635.57145155659816</v>
      </c>
      <c r="AM461">
        <v>0</v>
      </c>
      <c r="AN461">
        <v>0</v>
      </c>
      <c r="AO461">
        <f t="shared" si="240"/>
        <v>0</v>
      </c>
      <c r="AP461">
        <f t="shared" si="249"/>
        <v>0</v>
      </c>
      <c r="AQ461">
        <f t="shared" ca="1" si="241"/>
        <v>1.0000000000000004</v>
      </c>
      <c r="AR461" t="str">
        <f t="shared" ca="1" si="242"/>
        <v>Supercritical</v>
      </c>
      <c r="AS461">
        <f t="shared" ca="1" si="243"/>
        <v>3.8141460404132466E-3</v>
      </c>
    </row>
    <row r="462" spans="1:45" x14ac:dyDescent="0.35">
      <c r="A462">
        <v>401</v>
      </c>
      <c r="B462">
        <v>399.995</v>
      </c>
      <c r="C462">
        <v>616253.03899999999</v>
      </c>
      <c r="D462">
        <v>3097567.0860000001</v>
      </c>
      <c r="E462">
        <v>632.36249999999995</v>
      </c>
      <c r="F462">
        <v>5.2</v>
      </c>
      <c r="G462">
        <v>0</v>
      </c>
      <c r="H462" t="s">
        <v>154</v>
      </c>
      <c r="I462">
        <v>2.7E-2</v>
      </c>
      <c r="J462">
        <f t="shared" si="244"/>
        <v>0.99900000000002365</v>
      </c>
      <c r="K462">
        <f t="shared" ca="1" si="245"/>
        <v>50.95</v>
      </c>
      <c r="L462">
        <f t="shared" ca="1" si="246"/>
        <v>2.1389677043987478</v>
      </c>
      <c r="M462">
        <f t="shared" ca="1" si="219"/>
        <v>11.122632062873489</v>
      </c>
      <c r="N462">
        <f t="shared" ca="1" si="220"/>
        <v>1.1735290000551568</v>
      </c>
      <c r="O462">
        <f t="shared" ca="1" si="221"/>
        <v>4.5807502857230418</v>
      </c>
      <c r="P462">
        <f t="shared" ca="1" si="222"/>
        <v>634.50146770439869</v>
      </c>
      <c r="Q462">
        <f t="shared" ca="1" si="223"/>
        <v>635.57095155659806</v>
      </c>
      <c r="R462">
        <f t="shared" ca="1" si="224"/>
        <v>3.8141460404132466E-3</v>
      </c>
      <c r="S462">
        <f t="shared" ca="1" si="225"/>
        <v>1.0000000000000004</v>
      </c>
      <c r="T462">
        <f t="shared" ca="1" si="226"/>
        <v>35.686426155594638</v>
      </c>
      <c r="U462">
        <f t="shared" ca="1" si="247"/>
        <v>-3.3584586675488026E-3</v>
      </c>
      <c r="V462">
        <f t="shared" ca="1" si="248"/>
        <v>1</v>
      </c>
      <c r="W462">
        <f t="shared" ca="1" si="227"/>
        <v>1.711999049298804</v>
      </c>
      <c r="X462">
        <f t="shared" ca="1" si="228"/>
        <v>8.9023950563537806</v>
      </c>
      <c r="Y462">
        <f t="shared" ca="1" si="229"/>
        <v>1.0322816580631486</v>
      </c>
      <c r="Z462">
        <f t="shared" ca="1" si="230"/>
        <v>5.7231789509988307</v>
      </c>
      <c r="AA462">
        <f t="shared" ca="1" si="231"/>
        <v>634.07449904929877</v>
      </c>
      <c r="AB462">
        <f t="shared" ca="1" si="232"/>
        <v>635.74395762754318</v>
      </c>
      <c r="AC462">
        <f t="shared" ca="1" si="233"/>
        <v>7.0641441838856277E-3</v>
      </c>
      <c r="AD462">
        <f t="shared" ca="1" si="234"/>
        <v>1.3965325490024054</v>
      </c>
      <c r="AE462">
        <f t="shared" ca="1" si="235"/>
        <v>37.344805523981591</v>
      </c>
      <c r="AF462">
        <f t="shared" ca="1" si="236"/>
        <v>6.6463339641131824E-3</v>
      </c>
      <c r="AG462">
        <f t="shared" ca="1" si="237"/>
        <v>0</v>
      </c>
      <c r="AH462">
        <f ca="1">IFERROR(IF(V32="Supercritical",MAX($D$16,IFERROR(L462,MAX($D$16,POWER((ABS(K462)^2)/($I$5*MAX(F462,0.1)^2),1/3)))),IF(V32="Subcritical",MAX($D$16,IFERROR(W462,MAX($D$16,POWER((ABS(K462)^2)/($I$5*MAX(F462,0.1)^2),1/3)))),IF(AND(IFERROR(V462,0)=1,IFERROR(AG462,0)=1),IF(IFERROR(T462,-1E+99)&gt;=IFERROR(AE462,-1E+99),MAX($D$16,IFERROR(L462,MAX($D$16,POWER((ABS(K462)^2)/($I$5*MAX(F462,0.1)^2),1/3)))),MAX($D$16,IFERROR(W462,MAX($D$16,POWER((ABS(K462)^2)/($I$5*MAX(F462,0.1)^2),1/3))))),IF(IFERROR(V462,0)=1,MAX($D$16,IFERROR(L462,MAX($D$16,POWER((ABS(K462)^2)/($I$5*MAX(F462,0.1)^2),1/3)))),IF(IFERROR(AG462,0)=1,MAX($D$16,IFERROR(W462,MAX($D$16,POWER((ABS(K462)^2)/($I$5*MAX(F462,0.1)^2),1/3)))),MAX($D$16,POWER((ABS(K462)^2)/($I$5*MAX(F462,0.1)^2),1/3))))))),MAX($D$16,POWER((ABS(K462)^2)/($I$5*MAX(F462,0.1)^2),1/3)))</f>
        <v>2.1389677043987478</v>
      </c>
      <c r="AI462">
        <f t="shared" ca="1" si="238"/>
        <v>634.50146770439869</v>
      </c>
      <c r="AJ462">
        <f t="shared" ca="1" si="239"/>
        <v>635.57095155659806</v>
      </c>
      <c r="AM462">
        <v>0</v>
      </c>
      <c r="AN462">
        <v>0</v>
      </c>
      <c r="AO462">
        <f t="shared" si="240"/>
        <v>0</v>
      </c>
      <c r="AP462">
        <f t="shared" si="249"/>
        <v>0</v>
      </c>
      <c r="AQ462">
        <f t="shared" ca="1" si="241"/>
        <v>1.0000000000000004</v>
      </c>
      <c r="AR462" t="str">
        <f t="shared" ca="1" si="242"/>
        <v>Supercritical</v>
      </c>
      <c r="AS462">
        <f t="shared" ca="1" si="243"/>
        <v>3.8141460404132466E-3</v>
      </c>
    </row>
    <row r="463" spans="1:45" x14ac:dyDescent="0.35">
      <c r="A463">
        <v>402</v>
      </c>
      <c r="B463">
        <v>400.99599999999998</v>
      </c>
      <c r="C463">
        <v>616252.56499999994</v>
      </c>
      <c r="D463">
        <v>3097566.2050000001</v>
      </c>
      <c r="E463">
        <v>632.36199999999997</v>
      </c>
      <c r="F463">
        <v>5.2</v>
      </c>
      <c r="G463">
        <v>0</v>
      </c>
      <c r="H463" t="s">
        <v>154</v>
      </c>
      <c r="I463">
        <v>2.7E-2</v>
      </c>
      <c r="J463">
        <f t="shared" si="244"/>
        <v>1.0009999999999764</v>
      </c>
      <c r="K463">
        <f t="shared" ca="1" si="245"/>
        <v>50.95</v>
      </c>
      <c r="L463">
        <f t="shared" ca="1" si="246"/>
        <v>2.1389677043987478</v>
      </c>
      <c r="M463">
        <f t="shared" ca="1" si="219"/>
        <v>11.122632062873489</v>
      </c>
      <c r="N463">
        <f t="shared" ca="1" si="220"/>
        <v>1.1735290000551568</v>
      </c>
      <c r="O463">
        <f t="shared" ca="1" si="221"/>
        <v>4.5807502857230418</v>
      </c>
      <c r="P463">
        <f t="shared" ca="1" si="222"/>
        <v>634.5009677043987</v>
      </c>
      <c r="Q463">
        <f t="shared" ca="1" si="223"/>
        <v>635.57045155659807</v>
      </c>
      <c r="R463">
        <f t="shared" ca="1" si="224"/>
        <v>3.8141460404132466E-3</v>
      </c>
      <c r="S463">
        <f t="shared" ca="1" si="225"/>
        <v>1.0000000000000004</v>
      </c>
      <c r="T463">
        <f t="shared" ca="1" si="226"/>
        <v>35.686426155594638</v>
      </c>
      <c r="U463">
        <f t="shared" ca="1" si="247"/>
        <v>-3.3660869597724741E-3</v>
      </c>
      <c r="V463">
        <f t="shared" ca="1" si="248"/>
        <v>1</v>
      </c>
      <c r="W463">
        <f t="shared" ca="1" si="227"/>
        <v>1.7116664673463151</v>
      </c>
      <c r="X463">
        <f t="shared" ca="1" si="228"/>
        <v>8.9006656302008391</v>
      </c>
      <c r="Y463">
        <f t="shared" ca="1" si="229"/>
        <v>1.0321607315417995</v>
      </c>
      <c r="Z463">
        <f t="shared" ca="1" si="230"/>
        <v>5.724290981915062</v>
      </c>
      <c r="AA463">
        <f t="shared" ca="1" si="231"/>
        <v>634.07366646734624</v>
      </c>
      <c r="AB463">
        <f t="shared" ca="1" si="232"/>
        <v>635.7437738702838</v>
      </c>
      <c r="AC463">
        <f t="shared" ca="1" si="233"/>
        <v>7.0679935704715795E-3</v>
      </c>
      <c r="AD463">
        <f t="shared" ca="1" si="234"/>
        <v>1.3969395944971559</v>
      </c>
      <c r="AE463">
        <f t="shared" ca="1" si="235"/>
        <v>37.347620568278217</v>
      </c>
      <c r="AF463">
        <f t="shared" ca="1" si="236"/>
        <v>6.6249463606027348E-3</v>
      </c>
      <c r="AG463">
        <f t="shared" ca="1" si="237"/>
        <v>0</v>
      </c>
      <c r="AH463">
        <f ca="1">IFERROR(IF(V32="Supercritical",MAX($D$16,IFERROR(L463,MAX($D$16,POWER((ABS(K463)^2)/($I$5*MAX(F463,0.1)^2),1/3)))),IF(V32="Subcritical",MAX($D$16,IFERROR(W463,MAX($D$16,POWER((ABS(K463)^2)/($I$5*MAX(F463,0.1)^2),1/3)))),IF(AND(IFERROR(V463,0)=1,IFERROR(AG463,0)=1),IF(IFERROR(T463,-1E+99)&gt;=IFERROR(AE463,-1E+99),MAX($D$16,IFERROR(L463,MAX($D$16,POWER((ABS(K463)^2)/($I$5*MAX(F463,0.1)^2),1/3)))),MAX($D$16,IFERROR(W463,MAX($D$16,POWER((ABS(K463)^2)/($I$5*MAX(F463,0.1)^2),1/3))))),IF(IFERROR(V463,0)=1,MAX($D$16,IFERROR(L463,MAX($D$16,POWER((ABS(K463)^2)/($I$5*MAX(F463,0.1)^2),1/3)))),IF(IFERROR(AG463,0)=1,MAX($D$16,IFERROR(W463,MAX($D$16,POWER((ABS(K463)^2)/($I$5*MAX(F463,0.1)^2),1/3)))),MAX($D$16,POWER((ABS(K463)^2)/($I$5*MAX(F463,0.1)^2),1/3))))))),MAX($D$16,POWER((ABS(K463)^2)/($I$5*MAX(F463,0.1)^2),1/3)))</f>
        <v>2.1389677043987478</v>
      </c>
      <c r="AI463">
        <f t="shared" ca="1" si="238"/>
        <v>634.5009677043987</v>
      </c>
      <c r="AJ463">
        <f t="shared" ca="1" si="239"/>
        <v>635.57045155659807</v>
      </c>
      <c r="AM463">
        <v>0</v>
      </c>
      <c r="AN463">
        <v>0</v>
      </c>
      <c r="AO463">
        <f t="shared" si="240"/>
        <v>0</v>
      </c>
      <c r="AP463">
        <f t="shared" si="249"/>
        <v>0</v>
      </c>
      <c r="AQ463">
        <f t="shared" ca="1" si="241"/>
        <v>1.0000000000000004</v>
      </c>
      <c r="AR463" t="str">
        <f t="shared" ca="1" si="242"/>
        <v>Supercritical</v>
      </c>
      <c r="AS463">
        <f t="shared" ca="1" si="243"/>
        <v>3.8141460404132466E-3</v>
      </c>
    </row>
    <row r="464" spans="1:45" x14ac:dyDescent="0.35">
      <c r="A464">
        <v>403</v>
      </c>
      <c r="B464">
        <v>401.995</v>
      </c>
      <c r="C464">
        <v>616252.09100000001</v>
      </c>
      <c r="D464">
        <v>3097565.3250000002</v>
      </c>
      <c r="E464">
        <v>632.36149999999998</v>
      </c>
      <c r="F464">
        <v>5.2</v>
      </c>
      <c r="G464">
        <v>0</v>
      </c>
      <c r="H464" t="s">
        <v>154</v>
      </c>
      <c r="I464">
        <v>2.3E-2</v>
      </c>
      <c r="J464">
        <f t="shared" si="244"/>
        <v>0.99900000000002365</v>
      </c>
      <c r="K464">
        <f t="shared" ca="1" si="245"/>
        <v>50.95</v>
      </c>
      <c r="L464">
        <f t="shared" ca="1" si="246"/>
        <v>2.1389677043987478</v>
      </c>
      <c r="M464">
        <f t="shared" ca="1" si="219"/>
        <v>11.122632062873489</v>
      </c>
      <c r="N464">
        <f t="shared" ca="1" si="220"/>
        <v>1.1735290000551568</v>
      </c>
      <c r="O464">
        <f t="shared" ca="1" si="221"/>
        <v>4.5807502857230418</v>
      </c>
      <c r="P464">
        <f t="shared" ca="1" si="222"/>
        <v>634.50046770439872</v>
      </c>
      <c r="Q464">
        <f t="shared" ca="1" si="223"/>
        <v>635.56995155659808</v>
      </c>
      <c r="R464">
        <f t="shared" ca="1" si="224"/>
        <v>3.8141460404132466E-3</v>
      </c>
      <c r="S464">
        <f t="shared" ca="1" si="225"/>
        <v>1.0000000000000004</v>
      </c>
      <c r="T464">
        <f t="shared" ca="1" si="226"/>
        <v>35.686426155594638</v>
      </c>
      <c r="U464">
        <f t="shared" ca="1" si="247"/>
        <v>-3.3513287753521581E-3</v>
      </c>
      <c r="V464">
        <f t="shared" ca="1" si="248"/>
        <v>1</v>
      </c>
      <c r="W464">
        <f t="shared" ca="1" si="227"/>
        <v>1.7113553325252315</v>
      </c>
      <c r="X464">
        <f t="shared" ca="1" si="228"/>
        <v>8.8990477291312047</v>
      </c>
      <c r="Y464">
        <f t="shared" ca="1" si="229"/>
        <v>1.0320475862887051</v>
      </c>
      <c r="Z464">
        <f t="shared" ca="1" si="230"/>
        <v>5.7253316928747546</v>
      </c>
      <c r="AA464">
        <f t="shared" ca="1" si="231"/>
        <v>634.07285533252525</v>
      </c>
      <c r="AB464">
        <f t="shared" ca="1" si="232"/>
        <v>635.74357006205821</v>
      </c>
      <c r="AC464">
        <f t="shared" ca="1" si="233"/>
        <v>7.0715973765432859E-3</v>
      </c>
      <c r="AD464">
        <f t="shared" ca="1" si="234"/>
        <v>1.3973205699995825</v>
      </c>
      <c r="AE464">
        <f t="shared" ca="1" si="235"/>
        <v>37.350256632574784</v>
      </c>
      <c r="AF464">
        <f t="shared" ca="1" si="236"/>
        <v>6.6427130385591227E-3</v>
      </c>
      <c r="AG464">
        <f t="shared" ca="1" si="237"/>
        <v>0</v>
      </c>
      <c r="AH464">
        <f ca="1">IFERROR(IF(V32="Supercritical",MAX($D$16,IFERROR(L464,MAX($D$16,POWER((ABS(K464)^2)/($I$5*MAX(F464,0.1)^2),1/3)))),IF(V32="Subcritical",MAX($D$16,IFERROR(W464,MAX($D$16,POWER((ABS(K464)^2)/($I$5*MAX(F464,0.1)^2),1/3)))),IF(AND(IFERROR(V464,0)=1,IFERROR(AG464,0)=1),IF(IFERROR(T464,-1E+99)&gt;=IFERROR(AE464,-1E+99),MAX($D$16,IFERROR(L464,MAX($D$16,POWER((ABS(K464)^2)/($I$5*MAX(F464,0.1)^2),1/3)))),MAX($D$16,IFERROR(W464,MAX($D$16,POWER((ABS(K464)^2)/($I$5*MAX(F464,0.1)^2),1/3))))),IF(IFERROR(V464,0)=1,MAX($D$16,IFERROR(L464,MAX($D$16,POWER((ABS(K464)^2)/($I$5*MAX(F464,0.1)^2),1/3)))),IF(IFERROR(AG464,0)=1,MAX($D$16,IFERROR(W464,MAX($D$16,POWER((ABS(K464)^2)/($I$5*MAX(F464,0.1)^2),1/3)))),MAX($D$16,POWER((ABS(K464)^2)/($I$5*MAX(F464,0.1)^2),1/3))))))),MAX($D$16,POWER((ABS(K464)^2)/($I$5*MAX(F464,0.1)^2),1/3)))</f>
        <v>2.1389677043987478</v>
      </c>
      <c r="AI464">
        <f t="shared" ca="1" si="238"/>
        <v>634.50046770439872</v>
      </c>
      <c r="AJ464">
        <f t="shared" ca="1" si="239"/>
        <v>635.56995155659808</v>
      </c>
      <c r="AM464">
        <v>0</v>
      </c>
      <c r="AN464">
        <v>0</v>
      </c>
      <c r="AO464">
        <f t="shared" si="240"/>
        <v>0</v>
      </c>
      <c r="AP464">
        <f t="shared" si="249"/>
        <v>0</v>
      </c>
      <c r="AQ464">
        <f t="shared" ca="1" si="241"/>
        <v>1.0000000000000004</v>
      </c>
      <c r="AR464" t="str">
        <f t="shared" ca="1" si="242"/>
        <v>Supercritical</v>
      </c>
      <c r="AS464">
        <f t="shared" ca="1" si="243"/>
        <v>3.8141460404132466E-3</v>
      </c>
    </row>
    <row r="465" spans="1:45" x14ac:dyDescent="0.35">
      <c r="A465">
        <v>404</v>
      </c>
      <c r="B465">
        <v>402.99599999999998</v>
      </c>
      <c r="C465">
        <v>616251.61600000004</v>
      </c>
      <c r="D465">
        <v>3097564.4440000001</v>
      </c>
      <c r="E465">
        <v>632.36099999999999</v>
      </c>
      <c r="F465">
        <v>5.2</v>
      </c>
      <c r="G465">
        <v>0</v>
      </c>
      <c r="H465" t="s">
        <v>154</v>
      </c>
      <c r="I465">
        <v>2.3E-2</v>
      </c>
      <c r="J465">
        <f t="shared" si="244"/>
        <v>1.0009999999999764</v>
      </c>
      <c r="K465">
        <f t="shared" ca="1" si="245"/>
        <v>50.95</v>
      </c>
      <c r="L465">
        <f t="shared" ca="1" si="246"/>
        <v>2.1389677043987478</v>
      </c>
      <c r="M465">
        <f t="shared" ca="1" si="219"/>
        <v>11.122632062873489</v>
      </c>
      <c r="N465">
        <f t="shared" ca="1" si="220"/>
        <v>1.1735290000551568</v>
      </c>
      <c r="O465">
        <f t="shared" ca="1" si="221"/>
        <v>4.5807502857230418</v>
      </c>
      <c r="P465">
        <f t="shared" ca="1" si="222"/>
        <v>634.49996770439873</v>
      </c>
      <c r="Q465">
        <f t="shared" ca="1" si="223"/>
        <v>635.5694515565981</v>
      </c>
      <c r="R465">
        <f t="shared" ca="1" si="224"/>
        <v>3.8141460404132466E-3</v>
      </c>
      <c r="S465">
        <f t="shared" ca="1" si="225"/>
        <v>1.0000000000000004</v>
      </c>
      <c r="T465">
        <f t="shared" ca="1" si="226"/>
        <v>35.686426155594638</v>
      </c>
      <c r="U465">
        <f t="shared" ca="1" si="247"/>
        <v>-3.3589570674621427E-3</v>
      </c>
      <c r="V465">
        <f t="shared" ca="1" si="248"/>
        <v>1</v>
      </c>
      <c r="W465">
        <f t="shared" ca="1" si="227"/>
        <v>1.7110642993864462</v>
      </c>
      <c r="X465">
        <f t="shared" ca="1" si="228"/>
        <v>8.8975343568095209</v>
      </c>
      <c r="Y465">
        <f t="shared" ca="1" si="229"/>
        <v>1.0319417362988328</v>
      </c>
      <c r="Z465">
        <f t="shared" ca="1" si="230"/>
        <v>5.7263055085599763</v>
      </c>
      <c r="AA465">
        <f t="shared" ca="1" si="231"/>
        <v>634.0720642993864</v>
      </c>
      <c r="AB465">
        <f t="shared" ca="1" si="232"/>
        <v>635.74334741749874</v>
      </c>
      <c r="AC465">
        <f t="shared" ca="1" si="233"/>
        <v>7.074970673613728E-3</v>
      </c>
      <c r="AD465">
        <f t="shared" ca="1" si="234"/>
        <v>1.3976770883519956</v>
      </c>
      <c r="AE465">
        <f t="shared" ca="1" si="235"/>
        <v>37.352724621971326</v>
      </c>
      <c r="AF465">
        <f t="shared" ca="1" si="236"/>
        <v>6.5749706735687141E-3</v>
      </c>
      <c r="AG465">
        <f t="shared" ca="1" si="237"/>
        <v>0</v>
      </c>
      <c r="AH465">
        <f ca="1">IFERROR(IF(V32="Supercritical",MAX($D$16,IFERROR(L465,MAX($D$16,POWER((ABS(K465)^2)/($I$5*MAX(F465,0.1)^2),1/3)))),IF(V32="Subcritical",MAX($D$16,IFERROR(W465,MAX($D$16,POWER((ABS(K465)^2)/($I$5*MAX(F465,0.1)^2),1/3)))),IF(AND(IFERROR(V465,0)=1,IFERROR(AG465,0)=1),IF(IFERROR(T465,-1E+99)&gt;=IFERROR(AE465,-1E+99),MAX($D$16,IFERROR(L465,MAX($D$16,POWER((ABS(K465)^2)/($I$5*MAX(F465,0.1)^2),1/3)))),MAX($D$16,IFERROR(W465,MAX($D$16,POWER((ABS(K465)^2)/($I$5*MAX(F465,0.1)^2),1/3))))),IF(IFERROR(V465,0)=1,MAX($D$16,IFERROR(L465,MAX($D$16,POWER((ABS(K465)^2)/($I$5*MAX(F465,0.1)^2),1/3)))),IF(IFERROR(AG465,0)=1,MAX($D$16,IFERROR(W465,MAX($D$16,POWER((ABS(K465)^2)/($I$5*MAX(F465,0.1)^2),1/3)))),MAX($D$16,POWER((ABS(K465)^2)/($I$5*MAX(F465,0.1)^2),1/3))))))),MAX($D$16,POWER((ABS(K465)^2)/($I$5*MAX(F465,0.1)^2),1/3)))</f>
        <v>2.1389677043987478</v>
      </c>
      <c r="AI465">
        <f t="shared" ca="1" si="238"/>
        <v>634.49996770439873</v>
      </c>
      <c r="AJ465">
        <f t="shared" ca="1" si="239"/>
        <v>635.5694515565981</v>
      </c>
      <c r="AM465">
        <v>0</v>
      </c>
      <c r="AN465">
        <v>0</v>
      </c>
      <c r="AO465">
        <f t="shared" si="240"/>
        <v>0</v>
      </c>
      <c r="AP465">
        <f t="shared" si="249"/>
        <v>0</v>
      </c>
      <c r="AQ465">
        <f t="shared" ca="1" si="241"/>
        <v>1.0000000000000004</v>
      </c>
      <c r="AR465" t="str">
        <f t="shared" ca="1" si="242"/>
        <v>Supercritical</v>
      </c>
      <c r="AS465">
        <f t="shared" ca="1" si="243"/>
        <v>3.8141460404132466E-3</v>
      </c>
    </row>
    <row r="466" spans="1:45" x14ac:dyDescent="0.35">
      <c r="A466">
        <v>405</v>
      </c>
      <c r="B466">
        <v>403.99599999999998</v>
      </c>
      <c r="C466">
        <v>616251.14199999999</v>
      </c>
      <c r="D466">
        <v>3097563.5639999998</v>
      </c>
      <c r="E466">
        <v>632.3605</v>
      </c>
      <c r="F466">
        <v>5.2</v>
      </c>
      <c r="G466">
        <v>0</v>
      </c>
      <c r="H466" t="s">
        <v>154</v>
      </c>
      <c r="I466">
        <v>0</v>
      </c>
      <c r="J466">
        <f t="shared" si="244"/>
        <v>1</v>
      </c>
      <c r="K466">
        <f t="shared" ca="1" si="245"/>
        <v>50.95</v>
      </c>
      <c r="L466">
        <f t="shared" ca="1" si="246"/>
        <v>2.1389677043987478</v>
      </c>
      <c r="M466">
        <f t="shared" ca="1" si="219"/>
        <v>11.122632062873489</v>
      </c>
      <c r="N466">
        <f t="shared" ca="1" si="220"/>
        <v>1.1735290000551568</v>
      </c>
      <c r="O466">
        <f t="shared" ca="1" si="221"/>
        <v>4.5807502857230418</v>
      </c>
      <c r="P466">
        <f t="shared" ca="1" si="222"/>
        <v>634.49946770439874</v>
      </c>
      <c r="Q466">
        <f t="shared" ca="1" si="223"/>
        <v>635.56895155659811</v>
      </c>
      <c r="R466">
        <f t="shared" ca="1" si="224"/>
        <v>3.8141460404132466E-3</v>
      </c>
      <c r="S466">
        <f t="shared" ca="1" si="225"/>
        <v>1.0000000000000004</v>
      </c>
      <c r="T466">
        <f t="shared" ca="1" si="226"/>
        <v>35.686426155594638</v>
      </c>
      <c r="U466">
        <f t="shared" ca="1" si="247"/>
        <v>-3.3141460404522149E-3</v>
      </c>
      <c r="V466">
        <f t="shared" ca="1" si="248"/>
        <v>1</v>
      </c>
      <c r="W466">
        <f t="shared" ca="1" si="227"/>
        <v>1.7107921021385197</v>
      </c>
      <c r="X466">
        <f t="shared" ca="1" si="228"/>
        <v>8.8961189311203022</v>
      </c>
      <c r="Y466">
        <f t="shared" ca="1" si="229"/>
        <v>1.0318427240677033</v>
      </c>
      <c r="Z466">
        <f t="shared" ca="1" si="230"/>
        <v>5.7272165979894103</v>
      </c>
      <c r="AA466">
        <f t="shared" ca="1" si="231"/>
        <v>634.0712921021385</v>
      </c>
      <c r="AB466">
        <f t="shared" ca="1" si="232"/>
        <v>635.74310708482381</v>
      </c>
      <c r="AC466">
        <f t="shared" ca="1" si="233"/>
        <v>7.078127683356185E-3</v>
      </c>
      <c r="AD466">
        <f t="shared" ca="1" si="234"/>
        <v>1.3980106697866879</v>
      </c>
      <c r="AE466">
        <f t="shared" ca="1" si="235"/>
        <v>37.355034837117124</v>
      </c>
      <c r="AF466">
        <f t="shared" ca="1" si="236"/>
        <v>6.6462812299050711E-3</v>
      </c>
      <c r="AG466">
        <f t="shared" ca="1" si="237"/>
        <v>0</v>
      </c>
      <c r="AH466">
        <f ca="1">IFERROR(IF(V32="Supercritical",MAX($D$16,IFERROR(L466,MAX($D$16,POWER((ABS(K466)^2)/($I$5*MAX(F466,0.1)^2),1/3)))),IF(V32="Subcritical",MAX($D$16,IFERROR(W466,MAX($D$16,POWER((ABS(K466)^2)/($I$5*MAX(F466,0.1)^2),1/3)))),IF(AND(IFERROR(V466,0)=1,IFERROR(AG466,0)=1),IF(IFERROR(T466,-1E+99)&gt;=IFERROR(AE466,-1E+99),MAX($D$16,IFERROR(L466,MAX($D$16,POWER((ABS(K466)^2)/($I$5*MAX(F466,0.1)^2),1/3)))),MAX($D$16,IFERROR(W466,MAX($D$16,POWER((ABS(K466)^2)/($I$5*MAX(F466,0.1)^2),1/3))))),IF(IFERROR(V466,0)=1,MAX($D$16,IFERROR(L466,MAX($D$16,POWER((ABS(K466)^2)/($I$5*MAX(F466,0.1)^2),1/3)))),IF(IFERROR(AG466,0)=1,MAX($D$16,IFERROR(W466,MAX($D$16,POWER((ABS(K466)^2)/($I$5*MAX(F466,0.1)^2),1/3)))),MAX($D$16,POWER((ABS(K466)^2)/($I$5*MAX(F466,0.1)^2),1/3))))))),MAX($D$16,POWER((ABS(K466)^2)/($I$5*MAX(F466,0.1)^2),1/3)))</f>
        <v>2.1389677043987478</v>
      </c>
      <c r="AI466">
        <f t="shared" ca="1" si="238"/>
        <v>634.49946770439874</v>
      </c>
      <c r="AJ466">
        <f t="shared" ca="1" si="239"/>
        <v>635.56895155659811</v>
      </c>
      <c r="AM466">
        <v>0</v>
      </c>
      <c r="AN466">
        <v>0</v>
      </c>
      <c r="AO466">
        <f t="shared" si="240"/>
        <v>0</v>
      </c>
      <c r="AP466">
        <f t="shared" si="249"/>
        <v>0</v>
      </c>
      <c r="AQ466">
        <f t="shared" ca="1" si="241"/>
        <v>1.0000000000000004</v>
      </c>
      <c r="AR466" t="str">
        <f t="shared" ca="1" si="242"/>
        <v>Supercritical</v>
      </c>
      <c r="AS466">
        <f t="shared" ca="1" si="243"/>
        <v>3.8141460404132466E-3</v>
      </c>
    </row>
    <row r="467" spans="1:45" x14ac:dyDescent="0.35">
      <c r="A467">
        <v>406</v>
      </c>
      <c r="B467">
        <v>404.995</v>
      </c>
      <c r="C467">
        <v>616250.66799999995</v>
      </c>
      <c r="D467">
        <v>3097562.6839999999</v>
      </c>
      <c r="E467">
        <v>632.36</v>
      </c>
      <c r="F467">
        <v>5.2</v>
      </c>
      <c r="G467">
        <v>0</v>
      </c>
      <c r="H467" t="s">
        <v>154</v>
      </c>
      <c r="I467">
        <v>2.7E-2</v>
      </c>
      <c r="J467">
        <f t="shared" si="244"/>
        <v>0.99900000000002365</v>
      </c>
      <c r="K467">
        <f t="shared" ca="1" si="245"/>
        <v>50.95</v>
      </c>
      <c r="L467">
        <f t="shared" ca="1" si="246"/>
        <v>2.1389677043987478</v>
      </c>
      <c r="M467">
        <f t="shared" ca="1" si="219"/>
        <v>11.122632062873489</v>
      </c>
      <c r="N467">
        <f t="shared" ca="1" si="220"/>
        <v>1.1735290000551568</v>
      </c>
      <c r="O467">
        <f t="shared" ca="1" si="221"/>
        <v>4.5807502857230418</v>
      </c>
      <c r="P467">
        <f t="shared" ca="1" si="222"/>
        <v>634.49896770439875</v>
      </c>
      <c r="Q467">
        <f t="shared" ca="1" si="223"/>
        <v>635.56845155659812</v>
      </c>
      <c r="R467">
        <f t="shared" ca="1" si="224"/>
        <v>3.8141460404132466E-3</v>
      </c>
      <c r="S467">
        <f t="shared" ca="1" si="225"/>
        <v>1.0000000000000004</v>
      </c>
      <c r="T467">
        <f t="shared" ca="1" si="226"/>
        <v>35.686426155594638</v>
      </c>
      <c r="U467">
        <f t="shared" ca="1" si="247"/>
        <v>-3.3584586676624895E-3</v>
      </c>
      <c r="V467">
        <f t="shared" ca="1" si="248"/>
        <v>1</v>
      </c>
      <c r="W467">
        <f t="shared" ca="1" si="227"/>
        <v>1.7105375505353253</v>
      </c>
      <c r="X467">
        <f t="shared" ca="1" si="228"/>
        <v>8.8947952627836919</v>
      </c>
      <c r="Y467">
        <f t="shared" ca="1" si="229"/>
        <v>1.0317501191561418</v>
      </c>
      <c r="Z467">
        <f t="shared" ca="1" si="230"/>
        <v>5.7280688868891207</v>
      </c>
      <c r="AA467">
        <f t="shared" ca="1" si="231"/>
        <v>634.07053755053539</v>
      </c>
      <c r="AB467">
        <f t="shared" ca="1" si="232"/>
        <v>635.7428501485449</v>
      </c>
      <c r="AC467">
        <f t="shared" ca="1" si="233"/>
        <v>7.0810818159251238E-3</v>
      </c>
      <c r="AD467">
        <f t="shared" ca="1" si="234"/>
        <v>1.3983227463291836</v>
      </c>
      <c r="AE467">
        <f t="shared" ca="1" si="235"/>
        <v>37.357196999995097</v>
      </c>
      <c r="AF467">
        <f t="shared" ca="1" si="236"/>
        <v>6.6634169646704322E-3</v>
      </c>
      <c r="AG467">
        <f t="shared" ca="1" si="237"/>
        <v>0</v>
      </c>
      <c r="AH467">
        <f ca="1">IFERROR(IF(V32="Supercritical",MAX($D$16,IFERROR(L467,MAX($D$16,POWER((ABS(K467)^2)/($I$5*MAX(F467,0.1)^2),1/3)))),IF(V32="Subcritical",MAX($D$16,IFERROR(W467,MAX($D$16,POWER((ABS(K467)^2)/($I$5*MAX(F467,0.1)^2),1/3)))),IF(AND(IFERROR(V467,0)=1,IFERROR(AG467,0)=1),IF(IFERROR(T467,-1E+99)&gt;=IFERROR(AE467,-1E+99),MAX($D$16,IFERROR(L467,MAX($D$16,POWER((ABS(K467)^2)/($I$5*MAX(F467,0.1)^2),1/3)))),MAX($D$16,IFERROR(W467,MAX($D$16,POWER((ABS(K467)^2)/($I$5*MAX(F467,0.1)^2),1/3))))),IF(IFERROR(V467,0)=1,MAX($D$16,IFERROR(L467,MAX($D$16,POWER((ABS(K467)^2)/($I$5*MAX(F467,0.1)^2),1/3)))),IF(IFERROR(AG467,0)=1,MAX($D$16,IFERROR(W467,MAX($D$16,POWER((ABS(K467)^2)/($I$5*MAX(F467,0.1)^2),1/3)))),MAX($D$16,POWER((ABS(K467)^2)/($I$5*MAX(F467,0.1)^2),1/3))))))),MAX($D$16,POWER((ABS(K467)^2)/($I$5*MAX(F467,0.1)^2),1/3)))</f>
        <v>2.1389677043987478</v>
      </c>
      <c r="AI467">
        <f t="shared" ca="1" si="238"/>
        <v>634.49896770439875</v>
      </c>
      <c r="AJ467">
        <f t="shared" ca="1" si="239"/>
        <v>635.56845155659812</v>
      </c>
      <c r="AM467">
        <v>0</v>
      </c>
      <c r="AN467">
        <v>0</v>
      </c>
      <c r="AO467">
        <f t="shared" si="240"/>
        <v>0</v>
      </c>
      <c r="AP467">
        <f t="shared" si="249"/>
        <v>0</v>
      </c>
      <c r="AQ467">
        <f t="shared" ca="1" si="241"/>
        <v>1.0000000000000004</v>
      </c>
      <c r="AR467" t="str">
        <f t="shared" ca="1" si="242"/>
        <v>Supercritical</v>
      </c>
      <c r="AS467">
        <f t="shared" ca="1" si="243"/>
        <v>3.8141460404132466E-3</v>
      </c>
    </row>
    <row r="468" spans="1:45" x14ac:dyDescent="0.35">
      <c r="A468">
        <v>407</v>
      </c>
      <c r="B468">
        <v>405.99599999999998</v>
      </c>
      <c r="C468">
        <v>616250.19400000002</v>
      </c>
      <c r="D468">
        <v>3097561.8029999998</v>
      </c>
      <c r="E468">
        <v>632.35950000000003</v>
      </c>
      <c r="F468">
        <v>5.2</v>
      </c>
      <c r="G468">
        <v>0</v>
      </c>
      <c r="H468" t="s">
        <v>154</v>
      </c>
      <c r="I468">
        <v>2.7E-2</v>
      </c>
      <c r="J468">
        <f t="shared" si="244"/>
        <v>1.0009999999999764</v>
      </c>
      <c r="K468">
        <f t="shared" ca="1" si="245"/>
        <v>50.95</v>
      </c>
      <c r="L468">
        <f t="shared" ca="1" si="246"/>
        <v>2.1389677043987478</v>
      </c>
      <c r="M468">
        <f t="shared" ca="1" si="219"/>
        <v>11.122632062873489</v>
      </c>
      <c r="N468">
        <f t="shared" ca="1" si="220"/>
        <v>1.1735290000551568</v>
      </c>
      <c r="O468">
        <f t="shared" ca="1" si="221"/>
        <v>4.5807502857230418</v>
      </c>
      <c r="P468">
        <f t="shared" ca="1" si="222"/>
        <v>634.49846770439876</v>
      </c>
      <c r="Q468">
        <f t="shared" ca="1" si="223"/>
        <v>635.56795155659813</v>
      </c>
      <c r="R468">
        <f t="shared" ca="1" si="224"/>
        <v>3.8141460404132466E-3</v>
      </c>
      <c r="S468">
        <f t="shared" ca="1" si="225"/>
        <v>1.0000000000000004</v>
      </c>
      <c r="T468">
        <f t="shared" ca="1" si="226"/>
        <v>35.686426155594638</v>
      </c>
      <c r="U468">
        <f t="shared" ca="1" si="247"/>
        <v>-3.3660869597724741E-3</v>
      </c>
      <c r="V468">
        <f t="shared" ca="1" si="248"/>
        <v>1</v>
      </c>
      <c r="W468">
        <f t="shared" ca="1" si="227"/>
        <v>1.7102995258966744</v>
      </c>
      <c r="X468">
        <f t="shared" ca="1" si="228"/>
        <v>8.8935575346627083</v>
      </c>
      <c r="Y468">
        <f t="shared" ca="1" si="229"/>
        <v>1.031663516796153</v>
      </c>
      <c r="Z468">
        <f t="shared" ca="1" si="230"/>
        <v>5.7288660697838845</v>
      </c>
      <c r="AA468">
        <f t="shared" ca="1" si="231"/>
        <v>634.06979952589666</v>
      </c>
      <c r="AB468">
        <f t="shared" ca="1" si="232"/>
        <v>635.74257763219236</v>
      </c>
      <c r="AC468">
        <f t="shared" ca="1" si="233"/>
        <v>7.0838457078414019E-3</v>
      </c>
      <c r="AD468">
        <f t="shared" ca="1" si="234"/>
        <v>1.3986146661140377</v>
      </c>
      <c r="AE468">
        <f t="shared" ca="1" si="235"/>
        <v>37.35922027966356</v>
      </c>
      <c r="AF468">
        <f t="shared" ca="1" si="236"/>
        <v>6.640885022875409E-3</v>
      </c>
      <c r="AG468">
        <f t="shared" ca="1" si="237"/>
        <v>0</v>
      </c>
      <c r="AH468">
        <f ca="1">IFERROR(IF(V32="Supercritical",MAX($D$16,IFERROR(L468,MAX($D$16,POWER((ABS(K468)^2)/($I$5*MAX(F468,0.1)^2),1/3)))),IF(V32="Subcritical",MAX($D$16,IFERROR(W468,MAX($D$16,POWER((ABS(K468)^2)/($I$5*MAX(F468,0.1)^2),1/3)))),IF(AND(IFERROR(V468,0)=1,IFERROR(AG468,0)=1),IF(IFERROR(T468,-1E+99)&gt;=IFERROR(AE468,-1E+99),MAX($D$16,IFERROR(L468,MAX($D$16,POWER((ABS(K468)^2)/($I$5*MAX(F468,0.1)^2),1/3)))),MAX($D$16,IFERROR(W468,MAX($D$16,POWER((ABS(K468)^2)/($I$5*MAX(F468,0.1)^2),1/3))))),IF(IFERROR(V468,0)=1,MAX($D$16,IFERROR(L468,MAX($D$16,POWER((ABS(K468)^2)/($I$5*MAX(F468,0.1)^2),1/3)))),IF(IFERROR(AG468,0)=1,MAX($D$16,IFERROR(W468,MAX($D$16,POWER((ABS(K468)^2)/($I$5*MAX(F468,0.1)^2),1/3)))),MAX($D$16,POWER((ABS(K468)^2)/($I$5*MAX(F468,0.1)^2),1/3))))))),MAX($D$16,POWER((ABS(K468)^2)/($I$5*MAX(F468,0.1)^2),1/3)))</f>
        <v>2.1389677043987478</v>
      </c>
      <c r="AI468">
        <f t="shared" ca="1" si="238"/>
        <v>634.49846770439876</v>
      </c>
      <c r="AJ468">
        <f t="shared" ca="1" si="239"/>
        <v>635.56795155659813</v>
      </c>
      <c r="AM468">
        <v>0</v>
      </c>
      <c r="AN468">
        <v>0</v>
      </c>
      <c r="AO468">
        <f t="shared" si="240"/>
        <v>0</v>
      </c>
      <c r="AP468">
        <f t="shared" si="249"/>
        <v>0</v>
      </c>
      <c r="AQ468">
        <f t="shared" ca="1" si="241"/>
        <v>1.0000000000000004</v>
      </c>
      <c r="AR468" t="str">
        <f t="shared" ca="1" si="242"/>
        <v>Supercritical</v>
      </c>
      <c r="AS468">
        <f t="shared" ca="1" si="243"/>
        <v>3.8141460404132466E-3</v>
      </c>
    </row>
    <row r="469" spans="1:45" x14ac:dyDescent="0.35">
      <c r="A469">
        <v>408</v>
      </c>
      <c r="B469">
        <v>406.995</v>
      </c>
      <c r="C469">
        <v>616249.72</v>
      </c>
      <c r="D469">
        <v>3097560.923</v>
      </c>
      <c r="E469">
        <v>632.35900000000004</v>
      </c>
      <c r="F469">
        <v>5.2</v>
      </c>
      <c r="G469">
        <v>0</v>
      </c>
      <c r="H469" t="s">
        <v>154</v>
      </c>
      <c r="I469">
        <v>2.3E-2</v>
      </c>
      <c r="J469">
        <f t="shared" si="244"/>
        <v>0.99900000000002365</v>
      </c>
      <c r="K469">
        <f t="shared" ca="1" si="245"/>
        <v>50.95</v>
      </c>
      <c r="L469">
        <f t="shared" ca="1" si="246"/>
        <v>2.1389677043987478</v>
      </c>
      <c r="M469">
        <f t="shared" ca="1" si="219"/>
        <v>11.122632062873489</v>
      </c>
      <c r="N469">
        <f t="shared" ca="1" si="220"/>
        <v>1.1735290000551568</v>
      </c>
      <c r="O469">
        <f t="shared" ca="1" si="221"/>
        <v>4.5807502857230418</v>
      </c>
      <c r="P469">
        <f t="shared" ca="1" si="222"/>
        <v>634.49796770439877</v>
      </c>
      <c r="Q469">
        <f t="shared" ca="1" si="223"/>
        <v>635.56745155659814</v>
      </c>
      <c r="R469">
        <f t="shared" ca="1" si="224"/>
        <v>3.8141460404132466E-3</v>
      </c>
      <c r="S469">
        <f t="shared" ca="1" si="225"/>
        <v>1.0000000000000004</v>
      </c>
      <c r="T469">
        <f t="shared" ca="1" si="226"/>
        <v>35.686426155594638</v>
      </c>
      <c r="U469">
        <f t="shared" ca="1" si="247"/>
        <v>-3.3513287753521581E-3</v>
      </c>
      <c r="V469">
        <f t="shared" ca="1" si="248"/>
        <v>1</v>
      </c>
      <c r="W469">
        <f t="shared" ca="1" si="227"/>
        <v>1.7100769772694933</v>
      </c>
      <c r="X469">
        <f t="shared" ca="1" si="228"/>
        <v>8.8924002818013648</v>
      </c>
      <c r="Y469">
        <f t="shared" ca="1" si="229"/>
        <v>1.0315825365414761</v>
      </c>
      <c r="Z469">
        <f t="shared" ca="1" si="230"/>
        <v>5.7296116217655104</v>
      </c>
      <c r="AA469">
        <f t="shared" ca="1" si="231"/>
        <v>634.06907697726956</v>
      </c>
      <c r="AB469">
        <f t="shared" ca="1" si="232"/>
        <v>635.74229050103463</v>
      </c>
      <c r="AC469">
        <f t="shared" ca="1" si="233"/>
        <v>7.086431259233558E-3</v>
      </c>
      <c r="AD469">
        <f t="shared" ca="1" si="234"/>
        <v>1.3988876975956184</v>
      </c>
      <c r="AE469">
        <f t="shared" ca="1" si="235"/>
        <v>37.361113317771114</v>
      </c>
      <c r="AF469">
        <f t="shared" ca="1" si="236"/>
        <v>6.6576575421777306E-3</v>
      </c>
      <c r="AG469">
        <f t="shared" ca="1" si="237"/>
        <v>0</v>
      </c>
      <c r="AH469">
        <f ca="1">IFERROR(IF(V32="Supercritical",MAX($D$16,IFERROR(L469,MAX($D$16,POWER((ABS(K469)^2)/($I$5*MAX(F469,0.1)^2),1/3)))),IF(V32="Subcritical",MAX($D$16,IFERROR(W469,MAX($D$16,POWER((ABS(K469)^2)/($I$5*MAX(F469,0.1)^2),1/3)))),IF(AND(IFERROR(V469,0)=1,IFERROR(AG469,0)=1),IF(IFERROR(T469,-1E+99)&gt;=IFERROR(AE469,-1E+99),MAX($D$16,IFERROR(L469,MAX($D$16,POWER((ABS(K469)^2)/($I$5*MAX(F469,0.1)^2),1/3)))),MAX($D$16,IFERROR(W469,MAX($D$16,POWER((ABS(K469)^2)/($I$5*MAX(F469,0.1)^2),1/3))))),IF(IFERROR(V469,0)=1,MAX($D$16,IFERROR(L469,MAX($D$16,POWER((ABS(K469)^2)/($I$5*MAX(F469,0.1)^2),1/3)))),IF(IFERROR(AG469,0)=1,MAX($D$16,IFERROR(W469,MAX($D$16,POWER((ABS(K469)^2)/($I$5*MAX(F469,0.1)^2),1/3)))),MAX($D$16,POWER((ABS(K469)^2)/($I$5*MAX(F469,0.1)^2),1/3))))))),MAX($D$16,POWER((ABS(K469)^2)/($I$5*MAX(F469,0.1)^2),1/3)))</f>
        <v>2.1389677043987478</v>
      </c>
      <c r="AI469">
        <f t="shared" ca="1" si="238"/>
        <v>634.49796770439877</v>
      </c>
      <c r="AJ469">
        <f t="shared" ca="1" si="239"/>
        <v>635.56745155659814</v>
      </c>
      <c r="AM469">
        <v>0</v>
      </c>
      <c r="AN469">
        <v>0</v>
      </c>
      <c r="AO469">
        <f t="shared" si="240"/>
        <v>0</v>
      </c>
      <c r="AP469">
        <f t="shared" si="249"/>
        <v>0</v>
      </c>
      <c r="AQ469">
        <f t="shared" ca="1" si="241"/>
        <v>1.0000000000000004</v>
      </c>
      <c r="AR469" t="str">
        <f t="shared" ca="1" si="242"/>
        <v>Supercritical</v>
      </c>
      <c r="AS469">
        <f t="shared" ca="1" si="243"/>
        <v>3.8141460404132466E-3</v>
      </c>
    </row>
    <row r="470" spans="1:45" x14ac:dyDescent="0.35">
      <c r="A470">
        <v>409</v>
      </c>
      <c r="B470">
        <v>407.99599999999998</v>
      </c>
      <c r="C470">
        <v>616249.245</v>
      </c>
      <c r="D470">
        <v>3097560.0419999999</v>
      </c>
      <c r="E470">
        <v>632.35850000000005</v>
      </c>
      <c r="F470">
        <v>5.2</v>
      </c>
      <c r="G470">
        <v>0</v>
      </c>
      <c r="H470" t="s">
        <v>154</v>
      </c>
      <c r="I470">
        <v>2.3E-2</v>
      </c>
      <c r="J470">
        <f t="shared" si="244"/>
        <v>1.0009999999999764</v>
      </c>
      <c r="K470">
        <f t="shared" ca="1" si="245"/>
        <v>50.95</v>
      </c>
      <c r="L470">
        <f t="shared" ca="1" si="246"/>
        <v>2.1389677043987478</v>
      </c>
      <c r="M470">
        <f t="shared" ca="1" si="219"/>
        <v>11.122632062873489</v>
      </c>
      <c r="N470">
        <f t="shared" ca="1" si="220"/>
        <v>1.1735290000551568</v>
      </c>
      <c r="O470">
        <f t="shared" ca="1" si="221"/>
        <v>4.5807502857230418</v>
      </c>
      <c r="P470">
        <f t="shared" ca="1" si="222"/>
        <v>634.49746770439879</v>
      </c>
      <c r="Q470">
        <f t="shared" ca="1" si="223"/>
        <v>635.56695155659816</v>
      </c>
      <c r="R470">
        <f t="shared" ca="1" si="224"/>
        <v>3.8141460404132466E-3</v>
      </c>
      <c r="S470">
        <f t="shared" ca="1" si="225"/>
        <v>1.0000000000000004</v>
      </c>
      <c r="T470">
        <f t="shared" ca="1" si="226"/>
        <v>35.686426155594638</v>
      </c>
      <c r="U470">
        <f t="shared" ca="1" si="247"/>
        <v>-3.3589570674621427E-3</v>
      </c>
      <c r="V470">
        <f t="shared" ca="1" si="248"/>
        <v>1</v>
      </c>
      <c r="W470">
        <f t="shared" ca="1" si="227"/>
        <v>1.7098689177342052</v>
      </c>
      <c r="X470">
        <f t="shared" ca="1" si="228"/>
        <v>8.8913183722178672</v>
      </c>
      <c r="Y470">
        <f t="shared" ca="1" si="229"/>
        <v>1.0315068209652456</v>
      </c>
      <c r="Z470">
        <f t="shared" ca="1" si="230"/>
        <v>5.7303088099060995</v>
      </c>
      <c r="AA470">
        <f t="shared" ca="1" si="231"/>
        <v>634.06836891773423</v>
      </c>
      <c r="AB470">
        <f t="shared" ca="1" si="232"/>
        <v>635.74198966477229</v>
      </c>
      <c r="AC470">
        <f t="shared" ca="1" si="233"/>
        <v>7.088849670272299E-3</v>
      </c>
      <c r="AD470">
        <f t="shared" ca="1" si="234"/>
        <v>1.3991430336406778</v>
      </c>
      <c r="AE470">
        <f t="shared" ca="1" si="235"/>
        <v>37.362884253696848</v>
      </c>
      <c r="AF470">
        <f t="shared" ca="1" si="236"/>
        <v>6.5888496701518307E-3</v>
      </c>
      <c r="AG470">
        <f t="shared" ca="1" si="237"/>
        <v>0</v>
      </c>
      <c r="AH470">
        <f ca="1">IFERROR(IF(V32="Supercritical",MAX($D$16,IFERROR(L470,MAX($D$16,POWER((ABS(K470)^2)/($I$5*MAX(F470,0.1)^2),1/3)))),IF(V32="Subcritical",MAX($D$16,IFERROR(W470,MAX($D$16,POWER((ABS(K470)^2)/($I$5*MAX(F470,0.1)^2),1/3)))),IF(AND(IFERROR(V470,0)=1,IFERROR(AG470,0)=1),IF(IFERROR(T470,-1E+99)&gt;=IFERROR(AE470,-1E+99),MAX($D$16,IFERROR(L470,MAX($D$16,POWER((ABS(K470)^2)/($I$5*MAX(F470,0.1)^2),1/3)))),MAX($D$16,IFERROR(W470,MAX($D$16,POWER((ABS(K470)^2)/($I$5*MAX(F470,0.1)^2),1/3))))),IF(IFERROR(V470,0)=1,MAX($D$16,IFERROR(L470,MAX($D$16,POWER((ABS(K470)^2)/($I$5*MAX(F470,0.1)^2),1/3)))),IF(IFERROR(AG470,0)=1,MAX($D$16,IFERROR(W470,MAX($D$16,POWER((ABS(K470)^2)/($I$5*MAX(F470,0.1)^2),1/3)))),MAX($D$16,POWER((ABS(K470)^2)/($I$5*MAX(F470,0.1)^2),1/3))))))),MAX($D$16,POWER((ABS(K470)^2)/($I$5*MAX(F470,0.1)^2),1/3)))</f>
        <v>2.1389677043987478</v>
      </c>
      <c r="AI470">
        <f t="shared" ca="1" si="238"/>
        <v>634.49746770439879</v>
      </c>
      <c r="AJ470">
        <f t="shared" ca="1" si="239"/>
        <v>635.56695155659816</v>
      </c>
      <c r="AM470">
        <v>0</v>
      </c>
      <c r="AN470">
        <v>0</v>
      </c>
      <c r="AO470">
        <f t="shared" si="240"/>
        <v>0</v>
      </c>
      <c r="AP470">
        <f t="shared" si="249"/>
        <v>0</v>
      </c>
      <c r="AQ470">
        <f t="shared" ca="1" si="241"/>
        <v>1.0000000000000004</v>
      </c>
      <c r="AR470" t="str">
        <f t="shared" ca="1" si="242"/>
        <v>Supercritical</v>
      </c>
      <c r="AS470">
        <f t="shared" ca="1" si="243"/>
        <v>3.8141460404132466E-3</v>
      </c>
    </row>
    <row r="471" spans="1:45" x14ac:dyDescent="0.35">
      <c r="A471">
        <v>410</v>
      </c>
      <c r="B471">
        <v>408.99599999999998</v>
      </c>
      <c r="C471">
        <v>616248.77099999995</v>
      </c>
      <c r="D471">
        <v>3097559.162</v>
      </c>
      <c r="E471">
        <v>632.35799999999995</v>
      </c>
      <c r="F471">
        <v>5.2</v>
      </c>
      <c r="G471">
        <v>0</v>
      </c>
      <c r="H471" t="s">
        <v>154</v>
      </c>
      <c r="I471">
        <v>0</v>
      </c>
      <c r="J471">
        <f t="shared" si="244"/>
        <v>1</v>
      </c>
      <c r="K471">
        <f t="shared" ca="1" si="245"/>
        <v>50.95</v>
      </c>
      <c r="L471">
        <f t="shared" ca="1" si="246"/>
        <v>2.1389677043987478</v>
      </c>
      <c r="M471">
        <f t="shared" ca="1" si="219"/>
        <v>11.122632062873489</v>
      </c>
      <c r="N471">
        <f t="shared" ca="1" si="220"/>
        <v>1.1735290000551568</v>
      </c>
      <c r="O471">
        <f t="shared" ca="1" si="221"/>
        <v>4.5807502857230418</v>
      </c>
      <c r="P471">
        <f t="shared" ca="1" si="222"/>
        <v>634.49696770439868</v>
      </c>
      <c r="Q471">
        <f t="shared" ca="1" si="223"/>
        <v>635.56645155659805</v>
      </c>
      <c r="R471">
        <f t="shared" ca="1" si="224"/>
        <v>3.8141460404132466E-3</v>
      </c>
      <c r="S471">
        <f t="shared" ca="1" si="225"/>
        <v>1.0000000000000004</v>
      </c>
      <c r="T471">
        <f t="shared" ca="1" si="226"/>
        <v>35.686426155594638</v>
      </c>
      <c r="U471">
        <f t="shared" ca="1" si="247"/>
        <v>-3.3141460403385281E-3</v>
      </c>
      <c r="V471">
        <f t="shared" ca="1" si="248"/>
        <v>1</v>
      </c>
      <c r="W471">
        <f t="shared" ca="1" si="227"/>
        <v>1.709674420859578</v>
      </c>
      <c r="X471">
        <f t="shared" ca="1" si="228"/>
        <v>8.8903069884698063</v>
      </c>
      <c r="Y471">
        <f t="shared" ca="1" si="229"/>
        <v>1.031436034406586</v>
      </c>
      <c r="Z471">
        <f t="shared" ca="1" si="230"/>
        <v>5.7309607042905366</v>
      </c>
      <c r="AA471">
        <f t="shared" ca="1" si="231"/>
        <v>634.06767442085948</v>
      </c>
      <c r="AB471">
        <f t="shared" ca="1" si="232"/>
        <v>635.74167598019289</v>
      </c>
      <c r="AC471">
        <f t="shared" ca="1" si="233"/>
        <v>7.0911114766621921E-3</v>
      </c>
      <c r="AD471">
        <f t="shared" ca="1" si="234"/>
        <v>1.3993817954919854</v>
      </c>
      <c r="AE471">
        <f t="shared" ca="1" si="235"/>
        <v>37.364540749191029</v>
      </c>
      <c r="AF471">
        <f t="shared" ca="1" si="236"/>
        <v>6.6593504353704702E-3</v>
      </c>
      <c r="AG471">
        <f t="shared" ca="1" si="237"/>
        <v>0</v>
      </c>
      <c r="AH471">
        <f ca="1">IFERROR(IF(V32="Supercritical",MAX($D$16,IFERROR(L471,MAX($D$16,POWER((ABS(K471)^2)/($I$5*MAX(F471,0.1)^2),1/3)))),IF(V32="Subcritical",MAX($D$16,IFERROR(W471,MAX($D$16,POWER((ABS(K471)^2)/($I$5*MAX(F471,0.1)^2),1/3)))),IF(AND(IFERROR(V471,0)=1,IFERROR(AG471,0)=1),IF(IFERROR(T471,-1E+99)&gt;=IFERROR(AE471,-1E+99),MAX($D$16,IFERROR(L471,MAX($D$16,POWER((ABS(K471)^2)/($I$5*MAX(F471,0.1)^2),1/3)))),MAX($D$16,IFERROR(W471,MAX($D$16,POWER((ABS(K471)^2)/($I$5*MAX(F471,0.1)^2),1/3))))),IF(IFERROR(V471,0)=1,MAX($D$16,IFERROR(L471,MAX($D$16,POWER((ABS(K471)^2)/($I$5*MAX(F471,0.1)^2),1/3)))),IF(IFERROR(AG471,0)=1,MAX($D$16,IFERROR(W471,MAX($D$16,POWER((ABS(K471)^2)/($I$5*MAX(F471,0.1)^2),1/3)))),MAX($D$16,POWER((ABS(K471)^2)/($I$5*MAX(F471,0.1)^2),1/3))))))),MAX($D$16,POWER((ABS(K471)^2)/($I$5*MAX(F471,0.1)^2),1/3)))</f>
        <v>2.1389677043987478</v>
      </c>
      <c r="AI471">
        <f t="shared" ca="1" si="238"/>
        <v>634.49696770439868</v>
      </c>
      <c r="AJ471">
        <f t="shared" ca="1" si="239"/>
        <v>635.56645155659805</v>
      </c>
      <c r="AM471">
        <v>0</v>
      </c>
      <c r="AN471">
        <v>0</v>
      </c>
      <c r="AO471">
        <f t="shared" si="240"/>
        <v>0</v>
      </c>
      <c r="AP471">
        <f t="shared" si="249"/>
        <v>0</v>
      </c>
      <c r="AQ471">
        <f t="shared" ca="1" si="241"/>
        <v>1.0000000000000004</v>
      </c>
      <c r="AR471" t="str">
        <f t="shared" ca="1" si="242"/>
        <v>Supercritical</v>
      </c>
      <c r="AS471">
        <f t="shared" ca="1" si="243"/>
        <v>3.8141460404132466E-3</v>
      </c>
    </row>
    <row r="472" spans="1:45" x14ac:dyDescent="0.35">
      <c r="A472">
        <v>411</v>
      </c>
      <c r="B472">
        <v>409.995</v>
      </c>
      <c r="C472">
        <v>616248.29700000002</v>
      </c>
      <c r="D472">
        <v>3097558.2820000001</v>
      </c>
      <c r="E472">
        <v>632.35749999999996</v>
      </c>
      <c r="F472">
        <v>5.2</v>
      </c>
      <c r="G472">
        <v>0</v>
      </c>
      <c r="H472" t="s">
        <v>154</v>
      </c>
      <c r="I472">
        <v>2.7E-2</v>
      </c>
      <c r="J472">
        <f t="shared" si="244"/>
        <v>0.99900000000002365</v>
      </c>
      <c r="K472">
        <f t="shared" ca="1" si="245"/>
        <v>50.95</v>
      </c>
      <c r="L472">
        <f t="shared" ca="1" si="246"/>
        <v>2.1389677043987478</v>
      </c>
      <c r="M472">
        <f t="shared" ca="1" si="219"/>
        <v>11.122632062873489</v>
      </c>
      <c r="N472">
        <f t="shared" ca="1" si="220"/>
        <v>1.1735290000551568</v>
      </c>
      <c r="O472">
        <f t="shared" ca="1" si="221"/>
        <v>4.5807502857230418</v>
      </c>
      <c r="P472">
        <f t="shared" ca="1" si="222"/>
        <v>634.4964677043987</v>
      </c>
      <c r="Q472">
        <f t="shared" ca="1" si="223"/>
        <v>635.56595155659807</v>
      </c>
      <c r="R472">
        <f t="shared" ca="1" si="224"/>
        <v>3.8141460404132466E-3</v>
      </c>
      <c r="S472">
        <f t="shared" ca="1" si="225"/>
        <v>1.0000000000000004</v>
      </c>
      <c r="T472">
        <f t="shared" ca="1" si="226"/>
        <v>35.686426155594638</v>
      </c>
      <c r="U472">
        <f t="shared" ca="1" si="247"/>
        <v>-3.3584586676624895E-3</v>
      </c>
      <c r="V472">
        <f t="shared" ca="1" si="248"/>
        <v>1</v>
      </c>
      <c r="W472">
        <f t="shared" ca="1" si="227"/>
        <v>1.7094926173074996</v>
      </c>
      <c r="X472">
        <f t="shared" ca="1" si="228"/>
        <v>8.889361609998998</v>
      </c>
      <c r="Y472">
        <f t="shared" ca="1" si="229"/>
        <v>1.0313698617672682</v>
      </c>
      <c r="Z472">
        <f t="shared" ca="1" si="230"/>
        <v>5.7315701886499975</v>
      </c>
      <c r="AA472">
        <f t="shared" ca="1" si="231"/>
        <v>634.06699261730751</v>
      </c>
      <c r="AB472">
        <f t="shared" ca="1" si="232"/>
        <v>635.74135025377143</v>
      </c>
      <c r="AC472">
        <f t="shared" ca="1" si="233"/>
        <v>7.0932265840850037E-3</v>
      </c>
      <c r="AD472">
        <f t="shared" ca="1" si="234"/>
        <v>1.3996050365951609</v>
      </c>
      <c r="AE472">
        <f t="shared" ca="1" si="235"/>
        <v>37.366090012416379</v>
      </c>
      <c r="AF472">
        <f t="shared" ca="1" si="236"/>
        <v>6.8179863034174559E-3</v>
      </c>
      <c r="AG472">
        <f t="shared" ca="1" si="237"/>
        <v>0</v>
      </c>
      <c r="AH472">
        <f ca="1">IFERROR(IF(V32="Supercritical",MAX($D$16,IFERROR(L472,MAX($D$16,POWER((ABS(K472)^2)/($I$5*MAX(F472,0.1)^2),1/3)))),IF(V32="Subcritical",MAX($D$16,IFERROR(W472,MAX($D$16,POWER((ABS(K472)^2)/($I$5*MAX(F472,0.1)^2),1/3)))),IF(AND(IFERROR(V472,0)=1,IFERROR(AG472,0)=1),IF(IFERROR(T472,-1E+99)&gt;=IFERROR(AE472,-1E+99),MAX($D$16,IFERROR(L472,MAX($D$16,POWER((ABS(K472)^2)/($I$5*MAX(F472,0.1)^2),1/3)))),MAX($D$16,IFERROR(W472,MAX($D$16,POWER((ABS(K472)^2)/($I$5*MAX(F472,0.1)^2),1/3))))),IF(IFERROR(V472,0)=1,MAX($D$16,IFERROR(L472,MAX($D$16,POWER((ABS(K472)^2)/($I$5*MAX(F472,0.1)^2),1/3)))),IF(IFERROR(AG472,0)=1,MAX($D$16,IFERROR(W472,MAX($D$16,POWER((ABS(K472)^2)/($I$5*MAX(F472,0.1)^2),1/3)))),MAX($D$16,POWER((ABS(K472)^2)/($I$5*MAX(F472,0.1)^2),1/3))))))),MAX($D$16,POWER((ABS(K472)^2)/($I$5*MAX(F472,0.1)^2),1/3)))</f>
        <v>2.1389677043987478</v>
      </c>
      <c r="AI472">
        <f t="shared" ca="1" si="238"/>
        <v>634.4964677043987</v>
      </c>
      <c r="AJ472">
        <f t="shared" ca="1" si="239"/>
        <v>635.56595155659807</v>
      </c>
      <c r="AM472">
        <v>0</v>
      </c>
      <c r="AN472">
        <v>0</v>
      </c>
      <c r="AO472">
        <f t="shared" si="240"/>
        <v>0</v>
      </c>
      <c r="AP472">
        <f t="shared" si="249"/>
        <v>0</v>
      </c>
      <c r="AQ472">
        <f t="shared" ca="1" si="241"/>
        <v>1.0000000000000004</v>
      </c>
      <c r="AR472" t="str">
        <f t="shared" ca="1" si="242"/>
        <v>Supercritical</v>
      </c>
      <c r="AS472">
        <f t="shared" ca="1" si="243"/>
        <v>3.8141460404132466E-3</v>
      </c>
    </row>
    <row r="473" spans="1:45" x14ac:dyDescent="0.35">
      <c r="A473">
        <v>412</v>
      </c>
      <c r="B473">
        <v>410.99599999999998</v>
      </c>
      <c r="C473">
        <v>616247.82299999997</v>
      </c>
      <c r="D473">
        <v>3097557.4010000001</v>
      </c>
      <c r="E473">
        <v>632.35699999999997</v>
      </c>
      <c r="F473">
        <v>5.2</v>
      </c>
      <c r="G473">
        <v>0</v>
      </c>
      <c r="H473" t="s">
        <v>154</v>
      </c>
      <c r="I473">
        <v>7.8E-2</v>
      </c>
      <c r="J473">
        <f t="shared" si="244"/>
        <v>1.0009999999999764</v>
      </c>
      <c r="K473">
        <f t="shared" ca="1" si="245"/>
        <v>50.95</v>
      </c>
      <c r="L473">
        <f t="shared" ca="1" si="246"/>
        <v>2.1389677043987478</v>
      </c>
      <c r="M473">
        <f t="shared" ca="1" si="219"/>
        <v>11.122632062873489</v>
      </c>
      <c r="N473">
        <f t="shared" ca="1" si="220"/>
        <v>1.1735290000551568</v>
      </c>
      <c r="O473">
        <f t="shared" ca="1" si="221"/>
        <v>4.5807502857230418</v>
      </c>
      <c r="P473">
        <f t="shared" ca="1" si="222"/>
        <v>634.49596770439871</v>
      </c>
      <c r="Q473">
        <f t="shared" ca="1" si="223"/>
        <v>635.56545155659808</v>
      </c>
      <c r="R473">
        <f t="shared" ca="1" si="224"/>
        <v>3.8141460404132466E-3</v>
      </c>
      <c r="S473">
        <f t="shared" ca="1" si="225"/>
        <v>1.0000000000000004</v>
      </c>
      <c r="T473">
        <f t="shared" ca="1" si="226"/>
        <v>35.686426155594638</v>
      </c>
      <c r="U473">
        <f t="shared" ca="1" si="247"/>
        <v>-3.456993087183946E-3</v>
      </c>
      <c r="V473">
        <f t="shared" ca="1" si="248"/>
        <v>1</v>
      </c>
      <c r="W473">
        <f t="shared" ca="1" si="227"/>
        <v>1.7093226915877195</v>
      </c>
      <c r="X473">
        <f t="shared" ca="1" si="228"/>
        <v>8.8884779962561424</v>
      </c>
      <c r="Y473">
        <f t="shared" ca="1" si="229"/>
        <v>1.0313080073589578</v>
      </c>
      <c r="Z473">
        <f t="shared" ca="1" si="230"/>
        <v>5.7321399705844263</v>
      </c>
      <c r="AA473">
        <f t="shared" ca="1" si="231"/>
        <v>634.06632269158774</v>
      </c>
      <c r="AB473">
        <f t="shared" ca="1" si="232"/>
        <v>635.7410132442061</v>
      </c>
      <c r="AC473">
        <f t="shared" ca="1" si="233"/>
        <v>7.0952043015150255E-3</v>
      </c>
      <c r="AD473">
        <f t="shared" ca="1" si="234"/>
        <v>1.3998137462832445</v>
      </c>
      <c r="AE473">
        <f t="shared" ca="1" si="235"/>
        <v>37.367538821311506</v>
      </c>
      <c r="AF473">
        <f t="shared" ca="1" si="236"/>
        <v>6.812914073407228E-3</v>
      </c>
      <c r="AG473">
        <f t="shared" ca="1" si="237"/>
        <v>0</v>
      </c>
      <c r="AH473">
        <f ca="1">IFERROR(IF(V32="Supercritical",MAX($D$16,IFERROR(L473,MAX($D$16,POWER((ABS(K473)^2)/($I$5*MAX(F473,0.1)^2),1/3)))),IF(V32="Subcritical",MAX($D$16,IFERROR(W473,MAX($D$16,POWER((ABS(K473)^2)/($I$5*MAX(F473,0.1)^2),1/3)))),IF(AND(IFERROR(V473,0)=1,IFERROR(AG473,0)=1),IF(IFERROR(T473,-1E+99)&gt;=IFERROR(AE473,-1E+99),MAX($D$16,IFERROR(L473,MAX($D$16,POWER((ABS(K473)^2)/($I$5*MAX(F473,0.1)^2),1/3)))),MAX($D$16,IFERROR(W473,MAX($D$16,POWER((ABS(K473)^2)/($I$5*MAX(F473,0.1)^2),1/3))))),IF(IFERROR(V473,0)=1,MAX($D$16,IFERROR(L473,MAX($D$16,POWER((ABS(K473)^2)/($I$5*MAX(F473,0.1)^2),1/3)))),IF(IFERROR(AG473,0)=1,MAX($D$16,IFERROR(W473,MAX($D$16,POWER((ABS(K473)^2)/($I$5*MAX(F473,0.1)^2),1/3)))),MAX($D$16,POWER((ABS(K473)^2)/($I$5*MAX(F473,0.1)^2),1/3))))))),MAX($D$16,POWER((ABS(K473)^2)/($I$5*MAX(F473,0.1)^2),1/3)))</f>
        <v>2.1389677043987478</v>
      </c>
      <c r="AI473">
        <f t="shared" ca="1" si="238"/>
        <v>634.49596770439871</v>
      </c>
      <c r="AJ473">
        <f t="shared" ca="1" si="239"/>
        <v>635.56545155659808</v>
      </c>
      <c r="AM473">
        <v>0</v>
      </c>
      <c r="AN473">
        <v>0</v>
      </c>
      <c r="AO473">
        <f t="shared" si="240"/>
        <v>0</v>
      </c>
      <c r="AP473">
        <f t="shared" si="249"/>
        <v>0</v>
      </c>
      <c r="AQ473">
        <f t="shared" ca="1" si="241"/>
        <v>1.0000000000000004</v>
      </c>
      <c r="AR473" t="str">
        <f t="shared" ca="1" si="242"/>
        <v>Supercritical</v>
      </c>
      <c r="AS473">
        <f t="shared" ca="1" si="243"/>
        <v>3.8141460404132466E-3</v>
      </c>
    </row>
    <row r="474" spans="1:45" x14ac:dyDescent="0.35">
      <c r="A474">
        <v>413</v>
      </c>
      <c r="B474">
        <v>411.99599999999998</v>
      </c>
      <c r="C474">
        <v>616247.348</v>
      </c>
      <c r="D474">
        <v>3097556.5210000002</v>
      </c>
      <c r="E474">
        <v>632.35649999999998</v>
      </c>
      <c r="F474">
        <v>5.2</v>
      </c>
      <c r="G474">
        <v>0</v>
      </c>
      <c r="H474" t="s">
        <v>154</v>
      </c>
      <c r="I474">
        <v>7.8E-2</v>
      </c>
      <c r="J474">
        <f t="shared" si="244"/>
        <v>1</v>
      </c>
      <c r="K474">
        <f t="shared" ca="1" si="245"/>
        <v>50.95</v>
      </c>
      <c r="L474">
        <f t="shared" ca="1" si="246"/>
        <v>2.1389677043987478</v>
      </c>
      <c r="M474">
        <f t="shared" ca="1" si="219"/>
        <v>11.122632062873489</v>
      </c>
      <c r="N474">
        <f t="shared" ca="1" si="220"/>
        <v>1.1735290000551568</v>
      </c>
      <c r="O474">
        <f t="shared" ca="1" si="221"/>
        <v>4.5807502857230418</v>
      </c>
      <c r="P474">
        <f t="shared" ca="1" si="222"/>
        <v>634.49546770439872</v>
      </c>
      <c r="Q474">
        <f t="shared" ca="1" si="223"/>
        <v>635.56495155659809</v>
      </c>
      <c r="R474">
        <f t="shared" ca="1" si="224"/>
        <v>3.8141460404132466E-3</v>
      </c>
      <c r="S474">
        <f t="shared" ca="1" si="225"/>
        <v>1.0000000000000004</v>
      </c>
      <c r="T474">
        <f t="shared" ca="1" si="226"/>
        <v>35.686426155594638</v>
      </c>
      <c r="U474">
        <f t="shared" ca="1" si="247"/>
        <v>-3.4531789411857972E-3</v>
      </c>
      <c r="V474">
        <f t="shared" ca="1" si="248"/>
        <v>1</v>
      </c>
      <c r="W474">
        <f t="shared" ca="1" si="227"/>
        <v>1.7091638789615657</v>
      </c>
      <c r="X474">
        <f t="shared" ca="1" si="228"/>
        <v>8.887652170600143</v>
      </c>
      <c r="Y474">
        <f t="shared" ca="1" si="229"/>
        <v>1.0312501938011596</v>
      </c>
      <c r="Z474">
        <f t="shared" ca="1" si="230"/>
        <v>5.7326725913666783</v>
      </c>
      <c r="AA474">
        <f t="shared" ca="1" si="231"/>
        <v>634.06566387896157</v>
      </c>
      <c r="AB474">
        <f t="shared" ca="1" si="232"/>
        <v>635.74066566488443</v>
      </c>
      <c r="AC474">
        <f t="shared" ca="1" si="233"/>
        <v>7.0970533733468524E-3</v>
      </c>
      <c r="AD474">
        <f t="shared" ca="1" si="234"/>
        <v>1.400008853315361</v>
      </c>
      <c r="AE474">
        <f t="shared" ca="1" si="235"/>
        <v>37.368893546215112</v>
      </c>
      <c r="AF474">
        <f t="shared" ca="1" si="236"/>
        <v>6.6724284537258427E-3</v>
      </c>
      <c r="AG474">
        <f t="shared" ca="1" si="237"/>
        <v>0</v>
      </c>
      <c r="AH474">
        <f ca="1">IFERROR(IF(V32="Supercritical",MAX($D$16,IFERROR(L474,MAX($D$16,POWER((ABS(K474)^2)/($I$5*MAX(F474,0.1)^2),1/3)))),IF(V32="Subcritical",MAX($D$16,IFERROR(W474,MAX($D$16,POWER((ABS(K474)^2)/($I$5*MAX(F474,0.1)^2),1/3)))),IF(AND(IFERROR(V474,0)=1,IFERROR(AG474,0)=1),IF(IFERROR(T474,-1E+99)&gt;=IFERROR(AE474,-1E+99),MAX($D$16,IFERROR(L474,MAX($D$16,POWER((ABS(K474)^2)/($I$5*MAX(F474,0.1)^2),1/3)))),MAX($D$16,IFERROR(W474,MAX($D$16,POWER((ABS(K474)^2)/($I$5*MAX(F474,0.1)^2),1/3))))),IF(IFERROR(V474,0)=1,MAX($D$16,IFERROR(L474,MAX($D$16,POWER((ABS(K474)^2)/($I$5*MAX(F474,0.1)^2),1/3)))),IF(IFERROR(AG474,0)=1,MAX($D$16,IFERROR(W474,MAX($D$16,POWER((ABS(K474)^2)/($I$5*MAX(F474,0.1)^2),1/3)))),MAX($D$16,POWER((ABS(K474)^2)/($I$5*MAX(F474,0.1)^2),1/3))))))),MAX($D$16,POWER((ABS(K474)^2)/($I$5*MAX(F474,0.1)^2),1/3)))</f>
        <v>2.1389677043987478</v>
      </c>
      <c r="AI474">
        <f t="shared" ca="1" si="238"/>
        <v>634.49546770439872</v>
      </c>
      <c r="AJ474">
        <f t="shared" ca="1" si="239"/>
        <v>635.56495155659809</v>
      </c>
      <c r="AM474">
        <v>0</v>
      </c>
      <c r="AN474">
        <v>0</v>
      </c>
      <c r="AO474">
        <f t="shared" si="240"/>
        <v>0</v>
      </c>
      <c r="AP474">
        <f t="shared" si="249"/>
        <v>0</v>
      </c>
      <c r="AQ474">
        <f t="shared" ca="1" si="241"/>
        <v>1.0000000000000004</v>
      </c>
      <c r="AR474" t="str">
        <f t="shared" ca="1" si="242"/>
        <v>Supercritical</v>
      </c>
      <c r="AS474">
        <f t="shared" ca="1" si="243"/>
        <v>3.8141460404132466E-3</v>
      </c>
    </row>
    <row r="475" spans="1:45" x14ac:dyDescent="0.35">
      <c r="A475">
        <v>414</v>
      </c>
      <c r="B475">
        <v>412.99599999999998</v>
      </c>
      <c r="C475">
        <v>616246.87399999995</v>
      </c>
      <c r="D475">
        <v>3097555.64</v>
      </c>
      <c r="E475">
        <v>632.35599999999999</v>
      </c>
      <c r="F475">
        <v>5.2</v>
      </c>
      <c r="G475">
        <v>0</v>
      </c>
      <c r="H475" t="s">
        <v>154</v>
      </c>
      <c r="I475">
        <v>2.7E-2</v>
      </c>
      <c r="J475">
        <f t="shared" si="244"/>
        <v>1</v>
      </c>
      <c r="K475">
        <f t="shared" ca="1" si="245"/>
        <v>50.95</v>
      </c>
      <c r="L475">
        <f t="shared" ca="1" si="246"/>
        <v>2.1389677043987478</v>
      </c>
      <c r="M475">
        <f t="shared" ca="1" si="219"/>
        <v>11.122632062873489</v>
      </c>
      <c r="N475">
        <f t="shared" ca="1" si="220"/>
        <v>1.1735290000551568</v>
      </c>
      <c r="O475">
        <f t="shared" ca="1" si="221"/>
        <v>4.5807502857230418</v>
      </c>
      <c r="P475">
        <f t="shared" ca="1" si="222"/>
        <v>634.49496770439873</v>
      </c>
      <c r="Q475">
        <f t="shared" ca="1" si="223"/>
        <v>635.5644515565981</v>
      </c>
      <c r="R475">
        <f t="shared" ca="1" si="224"/>
        <v>3.8141460404132466E-3</v>
      </c>
      <c r="S475">
        <f t="shared" ca="1" si="225"/>
        <v>1.0000000000000004</v>
      </c>
      <c r="T475">
        <f t="shared" ca="1" si="226"/>
        <v>35.686426155594638</v>
      </c>
      <c r="U475">
        <f t="shared" ca="1" si="247"/>
        <v>-3.3622728137743252E-3</v>
      </c>
      <c r="V475">
        <f t="shared" ca="1" si="248"/>
        <v>1</v>
      </c>
      <c r="W475">
        <f t="shared" ca="1" si="227"/>
        <v>1.7090154624927421</v>
      </c>
      <c r="X475">
        <f t="shared" ca="1" si="228"/>
        <v>8.886880404962259</v>
      </c>
      <c r="Y475">
        <f t="shared" ca="1" si="229"/>
        <v>1.0311961609695925</v>
      </c>
      <c r="Z475">
        <f t="shared" ca="1" si="230"/>
        <v>5.7331704353251478</v>
      </c>
      <c r="AA475">
        <f t="shared" ca="1" si="231"/>
        <v>634.06501546249274</v>
      </c>
      <c r="AB475">
        <f t="shared" ca="1" si="232"/>
        <v>635.74030818626875</v>
      </c>
      <c r="AC475">
        <f t="shared" ca="1" si="233"/>
        <v>7.09878201029405E-3</v>
      </c>
      <c r="AD475">
        <f t="shared" ca="1" si="234"/>
        <v>1.4001912292674754</v>
      </c>
      <c r="AE475">
        <f t="shared" ca="1" si="235"/>
        <v>37.370160171704811</v>
      </c>
      <c r="AF475">
        <f t="shared" ca="1" si="236"/>
        <v>6.5987820103146078E-3</v>
      </c>
      <c r="AG475">
        <f t="shared" ca="1" si="237"/>
        <v>0</v>
      </c>
      <c r="AH475">
        <f ca="1">IFERROR(IF(V32="Supercritical",MAX($D$16,IFERROR(L475,MAX($D$16,POWER((ABS(K475)^2)/($I$5*MAX(F475,0.1)^2),1/3)))),IF(V32="Subcritical",MAX($D$16,IFERROR(W475,MAX($D$16,POWER((ABS(K475)^2)/($I$5*MAX(F475,0.1)^2),1/3)))),IF(AND(IFERROR(V475,0)=1,IFERROR(AG475,0)=1),IF(IFERROR(T475,-1E+99)&gt;=IFERROR(AE475,-1E+99),MAX($D$16,IFERROR(L475,MAX($D$16,POWER((ABS(K475)^2)/($I$5*MAX(F475,0.1)^2),1/3)))),MAX($D$16,IFERROR(W475,MAX($D$16,POWER((ABS(K475)^2)/($I$5*MAX(F475,0.1)^2),1/3))))),IF(IFERROR(V475,0)=1,MAX($D$16,IFERROR(L475,MAX($D$16,POWER((ABS(K475)^2)/($I$5*MAX(F475,0.1)^2),1/3)))),IF(IFERROR(AG475,0)=1,MAX($D$16,IFERROR(W475,MAX($D$16,POWER((ABS(K475)^2)/($I$5*MAX(F475,0.1)^2),1/3)))),MAX($D$16,POWER((ABS(K475)^2)/($I$5*MAX(F475,0.1)^2),1/3))))))),MAX($D$16,POWER((ABS(K475)^2)/($I$5*MAX(F475,0.1)^2),1/3)))</f>
        <v>2.1389677043987478</v>
      </c>
      <c r="AI475">
        <f t="shared" ca="1" si="238"/>
        <v>634.49496770439873</v>
      </c>
      <c r="AJ475">
        <f t="shared" ca="1" si="239"/>
        <v>635.5644515565981</v>
      </c>
      <c r="AM475">
        <v>0</v>
      </c>
      <c r="AN475">
        <v>0</v>
      </c>
      <c r="AO475">
        <f t="shared" si="240"/>
        <v>0</v>
      </c>
      <c r="AP475">
        <f t="shared" si="249"/>
        <v>0</v>
      </c>
      <c r="AQ475">
        <f t="shared" ca="1" si="241"/>
        <v>1.0000000000000004</v>
      </c>
      <c r="AR475" t="str">
        <f t="shared" ca="1" si="242"/>
        <v>Supercritical</v>
      </c>
      <c r="AS475">
        <f t="shared" ca="1" si="243"/>
        <v>3.8141460404132466E-3</v>
      </c>
    </row>
    <row r="476" spans="1:45" x14ac:dyDescent="0.35">
      <c r="A476">
        <v>415</v>
      </c>
      <c r="B476">
        <v>413.99599999999998</v>
      </c>
      <c r="C476">
        <v>616246.4</v>
      </c>
      <c r="D476">
        <v>3097554.76</v>
      </c>
      <c r="E476">
        <v>632.35550000000001</v>
      </c>
      <c r="F476">
        <v>5.2</v>
      </c>
      <c r="G476">
        <v>0</v>
      </c>
      <c r="H476" t="s">
        <v>154</v>
      </c>
      <c r="I476">
        <v>0</v>
      </c>
      <c r="J476">
        <f t="shared" si="244"/>
        <v>1</v>
      </c>
      <c r="K476">
        <f t="shared" ca="1" si="245"/>
        <v>50.95</v>
      </c>
      <c r="L476">
        <f t="shared" ca="1" si="246"/>
        <v>2.1389677043987478</v>
      </c>
      <c r="M476">
        <f t="shared" ca="1" si="219"/>
        <v>11.122632062873489</v>
      </c>
      <c r="N476">
        <f t="shared" ca="1" si="220"/>
        <v>1.1735290000551568</v>
      </c>
      <c r="O476">
        <f t="shared" ca="1" si="221"/>
        <v>4.5807502857230418</v>
      </c>
      <c r="P476">
        <f t="shared" ca="1" si="222"/>
        <v>634.49446770439874</v>
      </c>
      <c r="Q476">
        <f t="shared" ca="1" si="223"/>
        <v>635.56395155659811</v>
      </c>
      <c r="R476">
        <f t="shared" ca="1" si="224"/>
        <v>3.8141460404132466E-3</v>
      </c>
      <c r="S476">
        <f t="shared" ca="1" si="225"/>
        <v>1.0000000000000004</v>
      </c>
      <c r="T476">
        <f t="shared" ca="1" si="226"/>
        <v>35.686426155594638</v>
      </c>
      <c r="U476">
        <f t="shared" ca="1" si="247"/>
        <v>-3.3141460404522149E-3</v>
      </c>
      <c r="V476">
        <f t="shared" ca="1" si="248"/>
        <v>1</v>
      </c>
      <c r="W476">
        <f t="shared" ca="1" si="227"/>
        <v>1.7088767702424135</v>
      </c>
      <c r="X476">
        <f t="shared" ca="1" si="228"/>
        <v>8.8861592052605509</v>
      </c>
      <c r="Y476">
        <f t="shared" ca="1" si="229"/>
        <v>1.0311456649943396</v>
      </c>
      <c r="Z476">
        <f t="shared" ca="1" si="230"/>
        <v>5.7336357388057957</v>
      </c>
      <c r="AA476">
        <f t="shared" ca="1" si="231"/>
        <v>634.06437677024246</v>
      </c>
      <c r="AB476">
        <f t="shared" ca="1" si="232"/>
        <v>635.73994143819914</v>
      </c>
      <c r="AC476">
        <f t="shared" ca="1" si="233"/>
        <v>7.1003979190346284E-3</v>
      </c>
      <c r="AD476">
        <f t="shared" ca="1" si="234"/>
        <v>1.4003616917748054</v>
      </c>
      <c r="AE476">
        <f t="shared" ca="1" si="235"/>
        <v>37.37134431761887</v>
      </c>
      <c r="AF476">
        <f t="shared" ca="1" si="236"/>
        <v>6.6575275001241607E-3</v>
      </c>
      <c r="AG476">
        <f t="shared" ca="1" si="237"/>
        <v>0</v>
      </c>
      <c r="AH476">
        <f ca="1">IFERROR(IF(V32="Supercritical",MAX($D$16,IFERROR(L476,MAX($D$16,POWER((ABS(K476)^2)/($I$5*MAX(F476,0.1)^2),1/3)))),IF(V32="Subcritical",MAX($D$16,IFERROR(W476,MAX($D$16,POWER((ABS(K476)^2)/($I$5*MAX(F476,0.1)^2),1/3)))),IF(AND(IFERROR(V476,0)=1,IFERROR(AG476,0)=1),IF(IFERROR(T476,-1E+99)&gt;=IFERROR(AE476,-1E+99),MAX($D$16,IFERROR(L476,MAX($D$16,POWER((ABS(K476)^2)/($I$5*MAX(F476,0.1)^2),1/3)))),MAX($D$16,IFERROR(W476,MAX($D$16,POWER((ABS(K476)^2)/($I$5*MAX(F476,0.1)^2),1/3))))),IF(IFERROR(V476,0)=1,MAX($D$16,IFERROR(L476,MAX($D$16,POWER((ABS(K476)^2)/($I$5*MAX(F476,0.1)^2),1/3)))),IF(IFERROR(AG476,0)=1,MAX($D$16,IFERROR(W476,MAX($D$16,POWER((ABS(K476)^2)/($I$5*MAX(F476,0.1)^2),1/3)))),MAX($D$16,POWER((ABS(K476)^2)/($I$5*MAX(F476,0.1)^2),1/3))))))),MAX($D$16,POWER((ABS(K476)^2)/($I$5*MAX(F476,0.1)^2),1/3)))</f>
        <v>2.1389677043987478</v>
      </c>
      <c r="AI476">
        <f t="shared" ca="1" si="238"/>
        <v>634.49446770439874</v>
      </c>
      <c r="AJ476">
        <f t="shared" ca="1" si="239"/>
        <v>635.56395155659811</v>
      </c>
      <c r="AM476">
        <v>0</v>
      </c>
      <c r="AN476">
        <v>0</v>
      </c>
      <c r="AO476">
        <f t="shared" si="240"/>
        <v>0</v>
      </c>
      <c r="AP476">
        <f t="shared" si="249"/>
        <v>0</v>
      </c>
      <c r="AQ476">
        <f t="shared" ca="1" si="241"/>
        <v>1.0000000000000004</v>
      </c>
      <c r="AR476" t="str">
        <f t="shared" ca="1" si="242"/>
        <v>Supercritical</v>
      </c>
      <c r="AS476">
        <f t="shared" ca="1" si="243"/>
        <v>3.8141460404132466E-3</v>
      </c>
    </row>
    <row r="477" spans="1:45" x14ac:dyDescent="0.35">
      <c r="A477">
        <v>416</v>
      </c>
      <c r="B477">
        <v>414.995</v>
      </c>
      <c r="C477">
        <v>616245.92599999998</v>
      </c>
      <c r="D477">
        <v>3097553.88</v>
      </c>
      <c r="E477">
        <v>632.35500000000002</v>
      </c>
      <c r="F477">
        <v>5.2</v>
      </c>
      <c r="G477">
        <v>0</v>
      </c>
      <c r="H477" t="s">
        <v>154</v>
      </c>
      <c r="I477">
        <v>2.3E-2</v>
      </c>
      <c r="J477">
        <f t="shared" si="244"/>
        <v>0.99900000000002365</v>
      </c>
      <c r="K477">
        <f t="shared" ca="1" si="245"/>
        <v>50.95</v>
      </c>
      <c r="L477">
        <f t="shared" ca="1" si="246"/>
        <v>2.1389677043987478</v>
      </c>
      <c r="M477">
        <f t="shared" ca="1" si="219"/>
        <v>11.122632062873489</v>
      </c>
      <c r="N477">
        <f t="shared" ca="1" si="220"/>
        <v>1.1735290000551568</v>
      </c>
      <c r="O477">
        <f t="shared" ca="1" si="221"/>
        <v>4.5807502857230418</v>
      </c>
      <c r="P477">
        <f t="shared" ca="1" si="222"/>
        <v>634.49396770439876</v>
      </c>
      <c r="Q477">
        <f t="shared" ca="1" si="223"/>
        <v>635.56345155659812</v>
      </c>
      <c r="R477">
        <f t="shared" ca="1" si="224"/>
        <v>3.8141460404132466E-3</v>
      </c>
      <c r="S477">
        <f t="shared" ca="1" si="225"/>
        <v>1.0000000000000004</v>
      </c>
      <c r="T477">
        <f t="shared" ca="1" si="226"/>
        <v>35.686426155594638</v>
      </c>
      <c r="U477">
        <f t="shared" ca="1" si="247"/>
        <v>-3.3513287753521581E-3</v>
      </c>
      <c r="V477">
        <f t="shared" ca="1" si="248"/>
        <v>1</v>
      </c>
      <c r="W477">
        <f t="shared" ca="1" si="227"/>
        <v>1.7087471726050623</v>
      </c>
      <c r="X477">
        <f t="shared" ca="1" si="228"/>
        <v>8.8854852975463245</v>
      </c>
      <c r="Y477">
        <f t="shared" ca="1" si="229"/>
        <v>1.0310984773068239</v>
      </c>
      <c r="Z477">
        <f t="shared" ca="1" si="230"/>
        <v>5.734070598717838</v>
      </c>
      <c r="AA477">
        <f t="shared" ca="1" si="231"/>
        <v>634.06374717260508</v>
      </c>
      <c r="AB477">
        <f t="shared" ca="1" si="232"/>
        <v>635.73956601210966</v>
      </c>
      <c r="AC477">
        <f t="shared" ca="1" si="233"/>
        <v>7.1019083305938271E-3</v>
      </c>
      <c r="AD477">
        <f t="shared" ca="1" si="234"/>
        <v>1.4005210076267804</v>
      </c>
      <c r="AE477">
        <f t="shared" ca="1" si="235"/>
        <v>37.372451259241686</v>
      </c>
      <c r="AF477">
        <f t="shared" ca="1" si="236"/>
        <v>6.6732499610679952E-3</v>
      </c>
      <c r="AG477">
        <f t="shared" ca="1" si="237"/>
        <v>0</v>
      </c>
      <c r="AH477">
        <f ca="1">IFERROR(IF(V32="Supercritical",MAX($D$16,IFERROR(L477,MAX($D$16,POWER((ABS(K477)^2)/($I$5*MAX(F477,0.1)^2),1/3)))),IF(V32="Subcritical",MAX($D$16,IFERROR(W477,MAX($D$16,POWER((ABS(K477)^2)/($I$5*MAX(F477,0.1)^2),1/3)))),IF(AND(IFERROR(V477,0)=1,IFERROR(AG477,0)=1),IF(IFERROR(T477,-1E+99)&gt;=IFERROR(AE477,-1E+99),MAX($D$16,IFERROR(L477,MAX($D$16,POWER((ABS(K477)^2)/($I$5*MAX(F477,0.1)^2),1/3)))),MAX($D$16,IFERROR(W477,MAX($D$16,POWER((ABS(K477)^2)/($I$5*MAX(F477,0.1)^2),1/3))))),IF(IFERROR(V477,0)=1,MAX($D$16,IFERROR(L477,MAX($D$16,POWER((ABS(K477)^2)/($I$5*MAX(F477,0.1)^2),1/3)))),IF(IFERROR(AG477,0)=1,MAX($D$16,IFERROR(W477,MAX($D$16,POWER((ABS(K477)^2)/($I$5*MAX(F477,0.1)^2),1/3)))),MAX($D$16,POWER((ABS(K477)^2)/($I$5*MAX(F477,0.1)^2),1/3))))))),MAX($D$16,POWER((ABS(K477)^2)/($I$5*MAX(F477,0.1)^2),1/3)))</f>
        <v>2.1389677043987478</v>
      </c>
      <c r="AI477">
        <f t="shared" ca="1" si="238"/>
        <v>634.49396770439876</v>
      </c>
      <c r="AJ477">
        <f t="shared" ca="1" si="239"/>
        <v>635.56345155659812</v>
      </c>
      <c r="AM477">
        <v>0</v>
      </c>
      <c r="AN477">
        <v>0</v>
      </c>
      <c r="AO477">
        <f t="shared" si="240"/>
        <v>0</v>
      </c>
      <c r="AP477">
        <f t="shared" si="249"/>
        <v>0</v>
      </c>
      <c r="AQ477">
        <f t="shared" ca="1" si="241"/>
        <v>1.0000000000000004</v>
      </c>
      <c r="AR477" t="str">
        <f t="shared" ca="1" si="242"/>
        <v>Supercritical</v>
      </c>
      <c r="AS477">
        <f t="shared" ca="1" si="243"/>
        <v>3.8141460404132466E-3</v>
      </c>
    </row>
    <row r="478" spans="1:45" x14ac:dyDescent="0.35">
      <c r="A478">
        <v>417</v>
      </c>
      <c r="B478">
        <v>415.99599999999998</v>
      </c>
      <c r="C478">
        <v>616245.451</v>
      </c>
      <c r="D478">
        <v>3097552.9989999998</v>
      </c>
      <c r="E478">
        <v>632.35450000000003</v>
      </c>
      <c r="F478">
        <v>5.2</v>
      </c>
      <c r="G478">
        <v>0</v>
      </c>
      <c r="H478" t="s">
        <v>154</v>
      </c>
      <c r="I478">
        <v>2.3E-2</v>
      </c>
      <c r="J478">
        <f t="shared" si="244"/>
        <v>1.0009999999999764</v>
      </c>
      <c r="K478">
        <f t="shared" ca="1" si="245"/>
        <v>50.95</v>
      </c>
      <c r="L478">
        <f t="shared" ca="1" si="246"/>
        <v>2.1389677043987478</v>
      </c>
      <c r="M478">
        <f t="shared" ca="1" si="219"/>
        <v>11.122632062873489</v>
      </c>
      <c r="N478">
        <f t="shared" ca="1" si="220"/>
        <v>1.1735290000551568</v>
      </c>
      <c r="O478">
        <f t="shared" ca="1" si="221"/>
        <v>4.5807502857230418</v>
      </c>
      <c r="P478">
        <f t="shared" ca="1" si="222"/>
        <v>634.49346770439877</v>
      </c>
      <c r="Q478">
        <f t="shared" ca="1" si="223"/>
        <v>635.56295155659814</v>
      </c>
      <c r="R478">
        <f t="shared" ca="1" si="224"/>
        <v>3.8141460404132466E-3</v>
      </c>
      <c r="S478">
        <f t="shared" ca="1" si="225"/>
        <v>1.0000000000000004</v>
      </c>
      <c r="T478">
        <f t="shared" ca="1" si="226"/>
        <v>35.686426155594638</v>
      </c>
      <c r="U478">
        <f t="shared" ca="1" si="247"/>
        <v>-3.3589570674621427E-3</v>
      </c>
      <c r="V478">
        <f t="shared" ca="1" si="248"/>
        <v>1</v>
      </c>
      <c r="W478">
        <f t="shared" ca="1" si="227"/>
        <v>1.7086260797814516</v>
      </c>
      <c r="X478">
        <f t="shared" ca="1" si="228"/>
        <v>8.8848556148635485</v>
      </c>
      <c r="Y478">
        <f t="shared" ca="1" si="229"/>
        <v>1.0310543837345729</v>
      </c>
      <c r="Z478">
        <f t="shared" ca="1" si="230"/>
        <v>5.7344769806686928</v>
      </c>
      <c r="AA478">
        <f t="shared" ca="1" si="231"/>
        <v>634.06312607978145</v>
      </c>
      <c r="AB478">
        <f t="shared" ca="1" si="232"/>
        <v>635.73918246315657</v>
      </c>
      <c r="AC478">
        <f t="shared" ca="1" si="233"/>
        <v>7.1033200274619006E-3</v>
      </c>
      <c r="AD478">
        <f t="shared" ca="1" si="234"/>
        <v>1.4006698957159924</v>
      </c>
      <c r="AE478">
        <f t="shared" ca="1" si="235"/>
        <v>37.373485946640258</v>
      </c>
      <c r="AF478">
        <f t="shared" ca="1" si="236"/>
        <v>6.6787425647589771E-3</v>
      </c>
      <c r="AG478">
        <f t="shared" ca="1" si="237"/>
        <v>0</v>
      </c>
      <c r="AH478">
        <f ca="1">IFERROR(IF(V32="Supercritical",MAX($D$16,IFERROR(L478,MAX($D$16,POWER((ABS(K478)^2)/($I$5*MAX(F478,0.1)^2),1/3)))),IF(V32="Subcritical",MAX($D$16,IFERROR(W478,MAX($D$16,POWER((ABS(K478)^2)/($I$5*MAX(F478,0.1)^2),1/3)))),IF(AND(IFERROR(V478,0)=1,IFERROR(AG478,0)=1),IF(IFERROR(T478,-1E+99)&gt;=IFERROR(AE478,-1E+99),MAX($D$16,IFERROR(L478,MAX($D$16,POWER((ABS(K478)^2)/($I$5*MAX(F478,0.1)^2),1/3)))),MAX($D$16,IFERROR(W478,MAX($D$16,POWER((ABS(K478)^2)/($I$5*MAX(F478,0.1)^2),1/3))))),IF(IFERROR(V478,0)=1,MAX($D$16,IFERROR(L478,MAX($D$16,POWER((ABS(K478)^2)/($I$5*MAX(F478,0.1)^2),1/3)))),IF(IFERROR(AG478,0)=1,MAX($D$16,IFERROR(W478,MAX($D$16,POWER((ABS(K478)^2)/($I$5*MAX(F478,0.1)^2),1/3)))),MAX($D$16,POWER((ABS(K478)^2)/($I$5*MAX(F478,0.1)^2),1/3))))))),MAX($D$16,POWER((ABS(K478)^2)/($I$5*MAX(F478,0.1)^2),1/3)))</f>
        <v>2.1389677043987478</v>
      </c>
      <c r="AI478">
        <f t="shared" ca="1" si="238"/>
        <v>634.49346770439877</v>
      </c>
      <c r="AJ478">
        <f t="shared" ca="1" si="239"/>
        <v>635.56295155659814</v>
      </c>
      <c r="AM478">
        <v>0</v>
      </c>
      <c r="AN478">
        <v>0</v>
      </c>
      <c r="AO478">
        <f t="shared" si="240"/>
        <v>0</v>
      </c>
      <c r="AP478">
        <f t="shared" si="249"/>
        <v>0</v>
      </c>
      <c r="AQ478">
        <f t="shared" ca="1" si="241"/>
        <v>1.0000000000000004</v>
      </c>
      <c r="AR478" t="str">
        <f t="shared" ca="1" si="242"/>
        <v>Supercritical</v>
      </c>
      <c r="AS478">
        <f t="shared" ca="1" si="243"/>
        <v>3.8141460404132466E-3</v>
      </c>
    </row>
    <row r="479" spans="1:45" x14ac:dyDescent="0.35">
      <c r="A479">
        <v>418</v>
      </c>
      <c r="B479">
        <v>416.99599999999998</v>
      </c>
      <c r="C479">
        <v>616244.97699999996</v>
      </c>
      <c r="D479">
        <v>3097552.1189999999</v>
      </c>
      <c r="E479">
        <v>632.35400000000004</v>
      </c>
      <c r="F479">
        <v>5.2</v>
      </c>
      <c r="G479">
        <v>0</v>
      </c>
      <c r="H479" t="s">
        <v>154</v>
      </c>
      <c r="I479">
        <v>2.7E-2</v>
      </c>
      <c r="J479">
        <f t="shared" si="244"/>
        <v>1</v>
      </c>
      <c r="K479">
        <f t="shared" ca="1" si="245"/>
        <v>50.95</v>
      </c>
      <c r="L479">
        <f t="shared" ca="1" si="246"/>
        <v>2.1389677043987478</v>
      </c>
      <c r="M479">
        <f t="shared" ca="1" si="219"/>
        <v>11.122632062873489</v>
      </c>
      <c r="N479">
        <f t="shared" ca="1" si="220"/>
        <v>1.1735290000551568</v>
      </c>
      <c r="O479">
        <f t="shared" ca="1" si="221"/>
        <v>4.5807502857230418</v>
      </c>
      <c r="P479">
        <f t="shared" ca="1" si="222"/>
        <v>634.49296770439878</v>
      </c>
      <c r="Q479">
        <f t="shared" ca="1" si="223"/>
        <v>635.56245155659815</v>
      </c>
      <c r="R479">
        <f t="shared" ca="1" si="224"/>
        <v>3.8141460404132466E-3</v>
      </c>
      <c r="S479">
        <f t="shared" ca="1" si="225"/>
        <v>1.0000000000000004</v>
      </c>
      <c r="T479">
        <f t="shared" ca="1" si="226"/>
        <v>35.686426155594638</v>
      </c>
      <c r="U479">
        <f t="shared" ca="1" si="247"/>
        <v>-3.3622728137743252E-3</v>
      </c>
      <c r="V479">
        <f t="shared" ca="1" si="248"/>
        <v>1</v>
      </c>
      <c r="W479">
        <f t="shared" ca="1" si="227"/>
        <v>1.7085129393843472</v>
      </c>
      <c r="X479">
        <f t="shared" ca="1" si="228"/>
        <v>8.8842672847986055</v>
      </c>
      <c r="Y479">
        <f t="shared" ca="1" si="229"/>
        <v>1.0310131836424399</v>
      </c>
      <c r="Z479">
        <f t="shared" ca="1" si="230"/>
        <v>5.7348567266968455</v>
      </c>
      <c r="AA479">
        <f t="shared" ca="1" si="231"/>
        <v>634.06251293938442</v>
      </c>
      <c r="AB479">
        <f t="shared" ca="1" si="232"/>
        <v>635.73879131225601</v>
      </c>
      <c r="AC479">
        <f t="shared" ca="1" si="233"/>
        <v>7.1046393694577893E-3</v>
      </c>
      <c r="AD479">
        <f t="shared" ca="1" si="234"/>
        <v>1.4008090298437794</v>
      </c>
      <c r="AE479">
        <f t="shared" ca="1" si="235"/>
        <v>37.374453023150252</v>
      </c>
      <c r="AF479">
        <f t="shared" ca="1" si="236"/>
        <v>6.6800718961985694E-3</v>
      </c>
      <c r="AG479">
        <f t="shared" ca="1" si="237"/>
        <v>0</v>
      </c>
      <c r="AH479">
        <f ca="1">IFERROR(IF(V32="Supercritical",MAX($D$16,IFERROR(L479,MAX($D$16,POWER((ABS(K479)^2)/($I$5*MAX(F479,0.1)^2),1/3)))),IF(V32="Subcritical",MAX($D$16,IFERROR(W479,MAX($D$16,POWER((ABS(K479)^2)/($I$5*MAX(F479,0.1)^2),1/3)))),IF(AND(IFERROR(V479,0)=1,IFERROR(AG479,0)=1),IF(IFERROR(T479,-1E+99)&gt;=IFERROR(AE479,-1E+99),MAX($D$16,IFERROR(L479,MAX($D$16,POWER((ABS(K479)^2)/($I$5*MAX(F479,0.1)^2),1/3)))),MAX($D$16,IFERROR(W479,MAX($D$16,POWER((ABS(K479)^2)/($I$5*MAX(F479,0.1)^2),1/3))))),IF(IFERROR(V479,0)=1,MAX($D$16,IFERROR(L479,MAX($D$16,POWER((ABS(K479)^2)/($I$5*MAX(F479,0.1)^2),1/3)))),IF(IFERROR(AG479,0)=1,MAX($D$16,IFERROR(W479,MAX($D$16,POWER((ABS(K479)^2)/($I$5*MAX(F479,0.1)^2),1/3)))),MAX($D$16,POWER((ABS(K479)^2)/($I$5*MAX(F479,0.1)^2),1/3))))))),MAX($D$16,POWER((ABS(K479)^2)/($I$5*MAX(F479,0.1)^2),1/3)))</f>
        <v>2.1389677043987478</v>
      </c>
      <c r="AI479">
        <f t="shared" ca="1" si="238"/>
        <v>634.49296770439878</v>
      </c>
      <c r="AJ479">
        <f t="shared" ca="1" si="239"/>
        <v>635.56245155659815</v>
      </c>
      <c r="AM479">
        <v>0</v>
      </c>
      <c r="AN479">
        <v>0</v>
      </c>
      <c r="AO479">
        <f t="shared" si="240"/>
        <v>0</v>
      </c>
      <c r="AP479">
        <f t="shared" si="249"/>
        <v>0</v>
      </c>
      <c r="AQ479">
        <f t="shared" ca="1" si="241"/>
        <v>1.0000000000000004</v>
      </c>
      <c r="AR479" t="str">
        <f t="shared" ca="1" si="242"/>
        <v>Supercritical</v>
      </c>
      <c r="AS479">
        <f t="shared" ca="1" si="243"/>
        <v>3.8141460404132466E-3</v>
      </c>
    </row>
    <row r="480" spans="1:45" x14ac:dyDescent="0.35">
      <c r="A480">
        <v>419</v>
      </c>
      <c r="B480">
        <v>417.99599999999998</v>
      </c>
      <c r="C480">
        <v>616244.50300000003</v>
      </c>
      <c r="D480">
        <v>3097551.2379999999</v>
      </c>
      <c r="E480">
        <v>632.35350000000005</v>
      </c>
      <c r="F480">
        <v>5.2</v>
      </c>
      <c r="G480">
        <v>0</v>
      </c>
      <c r="H480" t="s">
        <v>154</v>
      </c>
      <c r="I480">
        <v>2.7E-2</v>
      </c>
      <c r="J480">
        <f t="shared" si="244"/>
        <v>1</v>
      </c>
      <c r="K480">
        <f t="shared" ca="1" si="245"/>
        <v>50.95</v>
      </c>
      <c r="L480">
        <f t="shared" ca="1" si="246"/>
        <v>2.1389677043987478</v>
      </c>
      <c r="M480">
        <f t="shared" ca="1" si="219"/>
        <v>11.122632062873489</v>
      </c>
      <c r="N480">
        <f t="shared" ca="1" si="220"/>
        <v>1.1735290000551568</v>
      </c>
      <c r="O480">
        <f t="shared" ca="1" si="221"/>
        <v>4.5807502857230418</v>
      </c>
      <c r="P480">
        <f t="shared" ca="1" si="222"/>
        <v>634.49246770439879</v>
      </c>
      <c r="Q480">
        <f t="shared" ca="1" si="223"/>
        <v>635.56195155659816</v>
      </c>
      <c r="R480">
        <f t="shared" ca="1" si="224"/>
        <v>3.8141460404132466E-3</v>
      </c>
      <c r="S480">
        <f t="shared" ca="1" si="225"/>
        <v>1.0000000000000004</v>
      </c>
      <c r="T480">
        <f t="shared" ca="1" si="226"/>
        <v>35.686426155594638</v>
      </c>
      <c r="U480">
        <f t="shared" ca="1" si="247"/>
        <v>-3.3622728137743252E-3</v>
      </c>
      <c r="V480">
        <f t="shared" ca="1" si="248"/>
        <v>1</v>
      </c>
      <c r="W480">
        <f t="shared" ca="1" si="227"/>
        <v>1.7084072341724079</v>
      </c>
      <c r="X480">
        <f t="shared" ca="1" si="228"/>
        <v>8.8837176176965222</v>
      </c>
      <c r="Y480">
        <f t="shared" ca="1" si="229"/>
        <v>1.0309746891188403</v>
      </c>
      <c r="Z480">
        <f t="shared" ca="1" si="230"/>
        <v>5.7352115626127853</v>
      </c>
      <c r="AA480">
        <f t="shared" ca="1" si="231"/>
        <v>634.06190723417251</v>
      </c>
      <c r="AB480">
        <f t="shared" ca="1" si="232"/>
        <v>635.73839304803221</v>
      </c>
      <c r="AC480">
        <f t="shared" ca="1" si="233"/>
        <v>7.1058723183568791E-3</v>
      </c>
      <c r="AD480">
        <f t="shared" ca="1" si="234"/>
        <v>1.4009390413856833</v>
      </c>
      <c r="AE480">
        <f t="shared" ca="1" si="235"/>
        <v>37.375356843016284</v>
      </c>
      <c r="AF480">
        <f t="shared" ca="1" si="236"/>
        <v>6.6058723182322865E-3</v>
      </c>
      <c r="AG480">
        <f t="shared" ca="1" si="237"/>
        <v>0</v>
      </c>
      <c r="AH480">
        <f ca="1">IFERROR(IF(V32="Supercritical",MAX($D$16,IFERROR(L480,MAX($D$16,POWER((ABS(K480)^2)/($I$5*MAX(F480,0.1)^2),1/3)))),IF(V32="Subcritical",MAX($D$16,IFERROR(W480,MAX($D$16,POWER((ABS(K480)^2)/($I$5*MAX(F480,0.1)^2),1/3)))),IF(AND(IFERROR(V480,0)=1,IFERROR(AG480,0)=1),IF(IFERROR(T480,-1E+99)&gt;=IFERROR(AE480,-1E+99),MAX($D$16,IFERROR(L480,MAX($D$16,POWER((ABS(K480)^2)/($I$5*MAX(F480,0.1)^2),1/3)))),MAX($D$16,IFERROR(W480,MAX($D$16,POWER((ABS(K480)^2)/($I$5*MAX(F480,0.1)^2),1/3))))),IF(IFERROR(V480,0)=1,MAX($D$16,IFERROR(L480,MAX($D$16,POWER((ABS(K480)^2)/($I$5*MAX(F480,0.1)^2),1/3)))),IF(IFERROR(AG480,0)=1,MAX($D$16,IFERROR(W480,MAX($D$16,POWER((ABS(K480)^2)/($I$5*MAX(F480,0.1)^2),1/3)))),MAX($D$16,POWER((ABS(K480)^2)/($I$5*MAX(F480,0.1)^2),1/3))))))),MAX($D$16,POWER((ABS(K480)^2)/($I$5*MAX(F480,0.1)^2),1/3)))</f>
        <v>2.1389677043987478</v>
      </c>
      <c r="AI480">
        <f t="shared" ca="1" si="238"/>
        <v>634.49246770439879</v>
      </c>
      <c r="AJ480">
        <f t="shared" ca="1" si="239"/>
        <v>635.56195155659816</v>
      </c>
      <c r="AM480">
        <v>0</v>
      </c>
      <c r="AN480">
        <v>0</v>
      </c>
      <c r="AO480">
        <f t="shared" si="240"/>
        <v>0</v>
      </c>
      <c r="AP480">
        <f t="shared" si="249"/>
        <v>0</v>
      </c>
      <c r="AQ480">
        <f t="shared" ca="1" si="241"/>
        <v>1.0000000000000004</v>
      </c>
      <c r="AR480" t="str">
        <f t="shared" ca="1" si="242"/>
        <v>Supercritical</v>
      </c>
      <c r="AS480">
        <f t="shared" ca="1" si="243"/>
        <v>3.8141460404132466E-3</v>
      </c>
    </row>
    <row r="481" spans="1:45" x14ac:dyDescent="0.35">
      <c r="A481">
        <v>420</v>
      </c>
      <c r="B481">
        <v>418.99599999999998</v>
      </c>
      <c r="C481">
        <v>616244.02899999998</v>
      </c>
      <c r="D481">
        <v>3097550.358</v>
      </c>
      <c r="E481">
        <v>632.35299999999995</v>
      </c>
      <c r="F481">
        <v>5.2</v>
      </c>
      <c r="G481">
        <v>0</v>
      </c>
      <c r="H481" t="s">
        <v>154</v>
      </c>
      <c r="I481">
        <v>0</v>
      </c>
      <c r="J481">
        <f t="shared" si="244"/>
        <v>1</v>
      </c>
      <c r="K481">
        <f t="shared" ca="1" si="245"/>
        <v>50.95</v>
      </c>
      <c r="L481">
        <f t="shared" ca="1" si="246"/>
        <v>2.1389677043987478</v>
      </c>
      <c r="M481">
        <f t="shared" ca="1" si="219"/>
        <v>11.122632062873489</v>
      </c>
      <c r="N481">
        <f t="shared" ca="1" si="220"/>
        <v>1.1735290000551568</v>
      </c>
      <c r="O481">
        <f t="shared" ca="1" si="221"/>
        <v>4.5807502857230418</v>
      </c>
      <c r="P481">
        <f t="shared" ca="1" si="222"/>
        <v>634.49196770439869</v>
      </c>
      <c r="Q481">
        <f t="shared" ca="1" si="223"/>
        <v>635.56145155659806</v>
      </c>
      <c r="R481">
        <f t="shared" ca="1" si="224"/>
        <v>3.8141460404132466E-3</v>
      </c>
      <c r="S481">
        <f t="shared" ca="1" si="225"/>
        <v>1.0000000000000004</v>
      </c>
      <c r="T481">
        <f t="shared" ca="1" si="226"/>
        <v>35.686426155594638</v>
      </c>
      <c r="U481">
        <f t="shared" ca="1" si="247"/>
        <v>-3.3141460403385281E-3</v>
      </c>
      <c r="V481">
        <f t="shared" ca="1" si="248"/>
        <v>1</v>
      </c>
      <c r="W481">
        <f t="shared" ca="1" si="227"/>
        <v>1.708308479907525</v>
      </c>
      <c r="X481">
        <f t="shared" ca="1" si="228"/>
        <v>8.8832040955191296</v>
      </c>
      <c r="Y481">
        <f t="shared" ca="1" si="229"/>
        <v>1.0309387242054915</v>
      </c>
      <c r="Z481">
        <f t="shared" ca="1" si="230"/>
        <v>5.7355431049591923</v>
      </c>
      <c r="AA481">
        <f t="shared" ca="1" si="231"/>
        <v>634.06130847990744</v>
      </c>
      <c r="AB481">
        <f t="shared" ca="1" si="232"/>
        <v>635.73798812867631</v>
      </c>
      <c r="AC481">
        <f t="shared" ca="1" si="233"/>
        <v>7.1070244613064357E-3</v>
      </c>
      <c r="AD481">
        <f t="shared" ca="1" si="234"/>
        <v>1.4010605218204606</v>
      </c>
      <c r="AE481">
        <f t="shared" ca="1" si="235"/>
        <v>37.376201488196429</v>
      </c>
      <c r="AF481">
        <f t="shared" ca="1" si="236"/>
        <v>6.6641901566981687E-3</v>
      </c>
      <c r="AG481">
        <f t="shared" ca="1" si="237"/>
        <v>0</v>
      </c>
      <c r="AH481">
        <f ca="1">IFERROR(IF(V32="Supercritical",MAX($D$16,IFERROR(L481,MAX($D$16,POWER((ABS(K481)^2)/($I$5*MAX(F481,0.1)^2),1/3)))),IF(V32="Subcritical",MAX($D$16,IFERROR(W481,MAX($D$16,POWER((ABS(K481)^2)/($I$5*MAX(F481,0.1)^2),1/3)))),IF(AND(IFERROR(V481,0)=1,IFERROR(AG481,0)=1),IF(IFERROR(T481,-1E+99)&gt;=IFERROR(AE481,-1E+99),MAX($D$16,IFERROR(L481,MAX($D$16,POWER((ABS(K481)^2)/($I$5*MAX(F481,0.1)^2),1/3)))),MAX($D$16,IFERROR(W481,MAX($D$16,POWER((ABS(K481)^2)/($I$5*MAX(F481,0.1)^2),1/3))))),IF(IFERROR(V481,0)=1,MAX($D$16,IFERROR(L481,MAX($D$16,POWER((ABS(K481)^2)/($I$5*MAX(F481,0.1)^2),1/3)))),IF(IFERROR(AG481,0)=1,MAX($D$16,IFERROR(W481,MAX($D$16,POWER((ABS(K481)^2)/($I$5*MAX(F481,0.1)^2),1/3)))),MAX($D$16,POWER((ABS(K481)^2)/($I$5*MAX(F481,0.1)^2),1/3))))))),MAX($D$16,POWER((ABS(K481)^2)/($I$5*MAX(F481,0.1)^2),1/3)))</f>
        <v>2.1389677043987478</v>
      </c>
      <c r="AI481">
        <f t="shared" ca="1" si="238"/>
        <v>634.49196770439869</v>
      </c>
      <c r="AJ481">
        <f t="shared" ca="1" si="239"/>
        <v>635.56145155659806</v>
      </c>
      <c r="AM481">
        <v>0</v>
      </c>
      <c r="AN481">
        <v>0</v>
      </c>
      <c r="AO481">
        <f t="shared" si="240"/>
        <v>0</v>
      </c>
      <c r="AP481">
        <f t="shared" si="249"/>
        <v>0</v>
      </c>
      <c r="AQ481">
        <f t="shared" ca="1" si="241"/>
        <v>1.0000000000000004</v>
      </c>
      <c r="AR481" t="str">
        <f t="shared" ca="1" si="242"/>
        <v>Supercritical</v>
      </c>
      <c r="AS481">
        <f t="shared" ca="1" si="243"/>
        <v>3.8141460404132466E-3</v>
      </c>
    </row>
    <row r="482" spans="1:45" x14ac:dyDescent="0.35">
      <c r="A482">
        <v>421</v>
      </c>
      <c r="B482">
        <v>419.995</v>
      </c>
      <c r="C482">
        <v>616243.55500000005</v>
      </c>
      <c r="D482">
        <v>3097549.4780000001</v>
      </c>
      <c r="E482">
        <v>632.35249999999996</v>
      </c>
      <c r="F482">
        <v>5.2</v>
      </c>
      <c r="G482">
        <v>0</v>
      </c>
      <c r="H482" t="s">
        <v>154</v>
      </c>
      <c r="I482">
        <v>2.3E-2</v>
      </c>
      <c r="J482">
        <f t="shared" si="244"/>
        <v>0.99900000000002365</v>
      </c>
      <c r="K482">
        <f t="shared" ca="1" si="245"/>
        <v>50.95</v>
      </c>
      <c r="L482">
        <f t="shared" ca="1" si="246"/>
        <v>2.1389677043987478</v>
      </c>
      <c r="M482">
        <f t="shared" ca="1" si="219"/>
        <v>11.122632062873489</v>
      </c>
      <c r="N482">
        <f t="shared" ca="1" si="220"/>
        <v>1.1735290000551568</v>
      </c>
      <c r="O482">
        <f t="shared" ca="1" si="221"/>
        <v>4.5807502857230418</v>
      </c>
      <c r="P482">
        <f t="shared" ca="1" si="222"/>
        <v>634.4914677043987</v>
      </c>
      <c r="Q482">
        <f t="shared" ca="1" si="223"/>
        <v>635.56095155659807</v>
      </c>
      <c r="R482">
        <f t="shared" ca="1" si="224"/>
        <v>3.8141460404132466E-3</v>
      </c>
      <c r="S482">
        <f t="shared" ca="1" si="225"/>
        <v>1.0000000000000004</v>
      </c>
      <c r="T482">
        <f t="shared" ca="1" si="226"/>
        <v>35.686426155594638</v>
      </c>
      <c r="U482">
        <f t="shared" ca="1" si="247"/>
        <v>-3.3513287753521581E-3</v>
      </c>
      <c r="V482">
        <f t="shared" ca="1" si="248"/>
        <v>1</v>
      </c>
      <c r="W482">
        <f t="shared" ca="1" si="227"/>
        <v>1.7082162233306446</v>
      </c>
      <c r="X482">
        <f t="shared" ca="1" si="228"/>
        <v>8.8827243613193527</v>
      </c>
      <c r="Y482">
        <f t="shared" ca="1" si="229"/>
        <v>1.0309051241690228</v>
      </c>
      <c r="Z482">
        <f t="shared" ca="1" si="230"/>
        <v>5.7358528676029286</v>
      </c>
      <c r="AA482">
        <f t="shared" ca="1" si="231"/>
        <v>634.06071622333059</v>
      </c>
      <c r="AB482">
        <f t="shared" ca="1" si="232"/>
        <v>635.73757698371742</v>
      </c>
      <c r="AC482">
        <f t="shared" ca="1" si="233"/>
        <v>7.1081010330590012E-3</v>
      </c>
      <c r="AD482">
        <f t="shared" ca="1" si="234"/>
        <v>1.4011740251268729</v>
      </c>
      <c r="AE482">
        <f t="shared" ca="1" si="235"/>
        <v>37.376990784346418</v>
      </c>
      <c r="AF482">
        <f t="shared" ca="1" si="236"/>
        <v>6.679488796635269E-3</v>
      </c>
      <c r="AG482">
        <f t="shared" ca="1" si="237"/>
        <v>0</v>
      </c>
      <c r="AH482">
        <f ca="1">IFERROR(IF(V32="Supercritical",MAX($D$16,IFERROR(L482,MAX($D$16,POWER((ABS(K482)^2)/($I$5*MAX(F482,0.1)^2),1/3)))),IF(V32="Subcritical",MAX($D$16,IFERROR(W482,MAX($D$16,POWER((ABS(K482)^2)/($I$5*MAX(F482,0.1)^2),1/3)))),IF(AND(IFERROR(V482,0)=1,IFERROR(AG482,0)=1),IF(IFERROR(T482,-1E+99)&gt;=IFERROR(AE482,-1E+99),MAX($D$16,IFERROR(L482,MAX($D$16,POWER((ABS(K482)^2)/($I$5*MAX(F482,0.1)^2),1/3)))),MAX($D$16,IFERROR(W482,MAX($D$16,POWER((ABS(K482)^2)/($I$5*MAX(F482,0.1)^2),1/3))))),IF(IFERROR(V482,0)=1,MAX($D$16,IFERROR(L482,MAX($D$16,POWER((ABS(K482)^2)/($I$5*MAX(F482,0.1)^2),1/3)))),IF(IFERROR(AG482,0)=1,MAX($D$16,IFERROR(W482,MAX($D$16,POWER((ABS(K482)^2)/($I$5*MAX(F482,0.1)^2),1/3)))),MAX($D$16,POWER((ABS(K482)^2)/($I$5*MAX(F482,0.1)^2),1/3))))))),MAX($D$16,POWER((ABS(K482)^2)/($I$5*MAX(F482,0.1)^2),1/3)))</f>
        <v>2.1389677043987478</v>
      </c>
      <c r="AI482">
        <f t="shared" ca="1" si="238"/>
        <v>634.4914677043987</v>
      </c>
      <c r="AJ482">
        <f t="shared" ca="1" si="239"/>
        <v>635.56095155659807</v>
      </c>
      <c r="AM482">
        <v>0</v>
      </c>
      <c r="AN482">
        <v>0</v>
      </c>
      <c r="AO482">
        <f t="shared" si="240"/>
        <v>0</v>
      </c>
      <c r="AP482">
        <f t="shared" si="249"/>
        <v>0</v>
      </c>
      <c r="AQ482">
        <f t="shared" ca="1" si="241"/>
        <v>1.0000000000000004</v>
      </c>
      <c r="AR482" t="str">
        <f t="shared" ca="1" si="242"/>
        <v>Supercritical</v>
      </c>
      <c r="AS482">
        <f t="shared" ca="1" si="243"/>
        <v>3.8141460404132466E-3</v>
      </c>
    </row>
    <row r="483" spans="1:45" x14ac:dyDescent="0.35">
      <c r="A483">
        <v>422</v>
      </c>
      <c r="B483">
        <v>420.99599999999998</v>
      </c>
      <c r="C483">
        <v>616243.07999999996</v>
      </c>
      <c r="D483">
        <v>3097548.5970000001</v>
      </c>
      <c r="E483">
        <v>632.35199999999998</v>
      </c>
      <c r="F483">
        <v>5.2</v>
      </c>
      <c r="G483">
        <v>0</v>
      </c>
      <c r="H483" t="s">
        <v>154</v>
      </c>
      <c r="I483">
        <v>2.3E-2</v>
      </c>
      <c r="J483">
        <f t="shared" si="244"/>
        <v>1.0009999999999764</v>
      </c>
      <c r="K483">
        <f t="shared" ca="1" si="245"/>
        <v>50.95</v>
      </c>
      <c r="L483">
        <f t="shared" ca="1" si="246"/>
        <v>2.1389677043987478</v>
      </c>
      <c r="M483">
        <f t="shared" ca="1" si="219"/>
        <v>11.122632062873489</v>
      </c>
      <c r="N483">
        <f t="shared" ca="1" si="220"/>
        <v>1.1735290000551568</v>
      </c>
      <c r="O483">
        <f t="shared" ca="1" si="221"/>
        <v>4.5807502857230418</v>
      </c>
      <c r="P483">
        <f t="shared" ca="1" si="222"/>
        <v>634.49096770439871</v>
      </c>
      <c r="Q483">
        <f t="shared" ca="1" si="223"/>
        <v>635.56045155659808</v>
      </c>
      <c r="R483">
        <f t="shared" ca="1" si="224"/>
        <v>3.8141460404132466E-3</v>
      </c>
      <c r="S483">
        <f t="shared" ca="1" si="225"/>
        <v>1.0000000000000004</v>
      </c>
      <c r="T483">
        <f t="shared" ca="1" si="226"/>
        <v>35.686426155594638</v>
      </c>
      <c r="U483">
        <f t="shared" ca="1" si="247"/>
        <v>-3.3589570674621427E-3</v>
      </c>
      <c r="V483">
        <f t="shared" ca="1" si="248"/>
        <v>1</v>
      </c>
      <c r="W483">
        <f t="shared" ca="1" si="227"/>
        <v>1.708130040251437</v>
      </c>
      <c r="X483">
        <f t="shared" ca="1" si="228"/>
        <v>8.8822762093074719</v>
      </c>
      <c r="Y483">
        <f t="shared" ca="1" si="229"/>
        <v>1.0308737348129204</v>
      </c>
      <c r="Z483">
        <f t="shared" ca="1" si="230"/>
        <v>5.7361422679707958</v>
      </c>
      <c r="AA483">
        <f t="shared" ca="1" si="231"/>
        <v>634.06013004025147</v>
      </c>
      <c r="AB483">
        <f t="shared" ca="1" si="232"/>
        <v>635.73716001570517</v>
      </c>
      <c r="AC483">
        <f t="shared" ca="1" si="233"/>
        <v>7.1091069370534353E-3</v>
      </c>
      <c r="AD483">
        <f t="shared" ca="1" si="234"/>
        <v>1.4012800700523123</v>
      </c>
      <c r="AE483">
        <f t="shared" ca="1" si="235"/>
        <v>37.377728315999754</v>
      </c>
      <c r="AF483">
        <f t="shared" ca="1" si="236"/>
        <v>6.6845732859519558E-3</v>
      </c>
      <c r="AG483">
        <f t="shared" ca="1" si="237"/>
        <v>0</v>
      </c>
      <c r="AH483">
        <f ca="1">IFERROR(IF(V32="Supercritical",MAX($D$16,IFERROR(L483,MAX($D$16,POWER((ABS(K483)^2)/($I$5*MAX(F483,0.1)^2),1/3)))),IF(V32="Subcritical",MAX($D$16,IFERROR(W483,MAX($D$16,POWER((ABS(K483)^2)/($I$5*MAX(F483,0.1)^2),1/3)))),IF(AND(IFERROR(V483,0)=1,IFERROR(AG483,0)=1),IF(IFERROR(T483,-1E+99)&gt;=IFERROR(AE483,-1E+99),MAX($D$16,IFERROR(L483,MAX($D$16,POWER((ABS(K483)^2)/($I$5*MAX(F483,0.1)^2),1/3)))),MAX($D$16,IFERROR(W483,MAX($D$16,POWER((ABS(K483)^2)/($I$5*MAX(F483,0.1)^2),1/3))))),IF(IFERROR(V483,0)=1,MAX($D$16,IFERROR(L483,MAX($D$16,POWER((ABS(K483)^2)/($I$5*MAX(F483,0.1)^2),1/3)))),IF(IFERROR(AG483,0)=1,MAX($D$16,IFERROR(W483,MAX($D$16,POWER((ABS(K483)^2)/($I$5*MAX(F483,0.1)^2),1/3)))),MAX($D$16,POWER((ABS(K483)^2)/($I$5*MAX(F483,0.1)^2),1/3))))))),MAX($D$16,POWER((ABS(K483)^2)/($I$5*MAX(F483,0.1)^2),1/3)))</f>
        <v>2.1389677043987478</v>
      </c>
      <c r="AI483">
        <f t="shared" ca="1" si="238"/>
        <v>634.49096770439871</v>
      </c>
      <c r="AJ483">
        <f t="shared" ca="1" si="239"/>
        <v>635.56045155659808</v>
      </c>
      <c r="AM483">
        <v>0</v>
      </c>
      <c r="AN483">
        <v>0</v>
      </c>
      <c r="AO483">
        <f t="shared" si="240"/>
        <v>0</v>
      </c>
      <c r="AP483">
        <f t="shared" si="249"/>
        <v>0</v>
      </c>
      <c r="AQ483">
        <f t="shared" ca="1" si="241"/>
        <v>1.0000000000000004</v>
      </c>
      <c r="AR483" t="str">
        <f t="shared" ca="1" si="242"/>
        <v>Supercritical</v>
      </c>
      <c r="AS483">
        <f t="shared" ca="1" si="243"/>
        <v>3.8141460404132466E-3</v>
      </c>
    </row>
    <row r="484" spans="1:45" x14ac:dyDescent="0.35">
      <c r="A484">
        <v>423</v>
      </c>
      <c r="B484">
        <v>421.99599999999998</v>
      </c>
      <c r="C484">
        <v>616242.60600000003</v>
      </c>
      <c r="D484">
        <v>3097547.7170000002</v>
      </c>
      <c r="E484">
        <v>632.35149999999999</v>
      </c>
      <c r="F484">
        <v>5.2</v>
      </c>
      <c r="G484">
        <v>0</v>
      </c>
      <c r="H484" t="s">
        <v>154</v>
      </c>
      <c r="I484">
        <v>2.7E-2</v>
      </c>
      <c r="J484">
        <f t="shared" si="244"/>
        <v>1</v>
      </c>
      <c r="K484">
        <f t="shared" ca="1" si="245"/>
        <v>50.95</v>
      </c>
      <c r="L484">
        <f t="shared" ca="1" si="246"/>
        <v>2.1389677043987478</v>
      </c>
      <c r="M484">
        <f t="shared" ca="1" si="219"/>
        <v>11.122632062873489</v>
      </c>
      <c r="N484">
        <f t="shared" ca="1" si="220"/>
        <v>1.1735290000551568</v>
      </c>
      <c r="O484">
        <f t="shared" ca="1" si="221"/>
        <v>4.5807502857230418</v>
      </c>
      <c r="P484">
        <f t="shared" ca="1" si="222"/>
        <v>634.49046770439872</v>
      </c>
      <c r="Q484">
        <f t="shared" ca="1" si="223"/>
        <v>635.55995155659809</v>
      </c>
      <c r="R484">
        <f t="shared" ca="1" si="224"/>
        <v>3.8141460404132466E-3</v>
      </c>
      <c r="S484">
        <f t="shared" ca="1" si="225"/>
        <v>1.0000000000000004</v>
      </c>
      <c r="T484">
        <f t="shared" ca="1" si="226"/>
        <v>35.686426155594638</v>
      </c>
      <c r="U484">
        <f t="shared" ca="1" si="247"/>
        <v>-3.3622728137743252E-3</v>
      </c>
      <c r="V484">
        <f t="shared" ca="1" si="248"/>
        <v>1</v>
      </c>
      <c r="W484">
        <f t="shared" ca="1" si="227"/>
        <v>1.7080495337462691</v>
      </c>
      <c r="X484">
        <f t="shared" ca="1" si="228"/>
        <v>8.8818575754806002</v>
      </c>
      <c r="Y484">
        <f t="shared" ca="1" si="229"/>
        <v>1.0308444118279392</v>
      </c>
      <c r="Z484">
        <f t="shared" ca="1" si="230"/>
        <v>5.7364126329444192</v>
      </c>
      <c r="AA484">
        <f t="shared" ca="1" si="231"/>
        <v>634.05954953374624</v>
      </c>
      <c r="AB484">
        <f t="shared" ca="1" si="232"/>
        <v>635.73673760180964</v>
      </c>
      <c r="AC484">
        <f t="shared" ca="1" si="233"/>
        <v>7.110046765386434E-3</v>
      </c>
      <c r="AD484">
        <f t="shared" ca="1" si="234"/>
        <v>1.4013791422585968</v>
      </c>
      <c r="AE484">
        <f t="shared" ca="1" si="235"/>
        <v>37.378417440969741</v>
      </c>
      <c r="AF484">
        <f t="shared" ca="1" si="236"/>
        <v>6.68552022852964E-3</v>
      </c>
      <c r="AG484">
        <f t="shared" ca="1" si="237"/>
        <v>0</v>
      </c>
      <c r="AH484">
        <f ca="1">IFERROR(IF(V32="Supercritical",MAX($D$16,IFERROR(L484,MAX($D$16,POWER((ABS(K484)^2)/($I$5*MAX(F484,0.1)^2),1/3)))),IF(V32="Subcritical",MAX($D$16,IFERROR(W484,MAX($D$16,POWER((ABS(K484)^2)/($I$5*MAX(F484,0.1)^2),1/3)))),IF(AND(IFERROR(V484,0)=1,IFERROR(AG484,0)=1),IF(IFERROR(T484,-1E+99)&gt;=IFERROR(AE484,-1E+99),MAX($D$16,IFERROR(L484,MAX($D$16,POWER((ABS(K484)^2)/($I$5*MAX(F484,0.1)^2),1/3)))),MAX($D$16,IFERROR(W484,MAX($D$16,POWER((ABS(K484)^2)/($I$5*MAX(F484,0.1)^2),1/3))))),IF(IFERROR(V484,0)=1,MAX($D$16,IFERROR(L484,MAX($D$16,POWER((ABS(K484)^2)/($I$5*MAX(F484,0.1)^2),1/3)))),IF(IFERROR(AG484,0)=1,MAX($D$16,IFERROR(W484,MAX($D$16,POWER((ABS(K484)^2)/($I$5*MAX(F484,0.1)^2),1/3)))),MAX($D$16,POWER((ABS(K484)^2)/($I$5*MAX(F484,0.1)^2),1/3))))))),MAX($D$16,POWER((ABS(K484)^2)/($I$5*MAX(F484,0.1)^2),1/3)))</f>
        <v>2.1389677043987478</v>
      </c>
      <c r="AI484">
        <f t="shared" ca="1" si="238"/>
        <v>634.49046770439872</v>
      </c>
      <c r="AJ484">
        <f t="shared" ca="1" si="239"/>
        <v>635.55995155659809</v>
      </c>
      <c r="AM484">
        <v>0</v>
      </c>
      <c r="AN484">
        <v>0</v>
      </c>
      <c r="AO484">
        <f t="shared" si="240"/>
        <v>0</v>
      </c>
      <c r="AP484">
        <f t="shared" si="249"/>
        <v>0</v>
      </c>
      <c r="AQ484">
        <f t="shared" ca="1" si="241"/>
        <v>1.0000000000000004</v>
      </c>
      <c r="AR484" t="str">
        <f t="shared" ca="1" si="242"/>
        <v>Supercritical</v>
      </c>
      <c r="AS484">
        <f t="shared" ca="1" si="243"/>
        <v>3.8141460404132466E-3</v>
      </c>
    </row>
    <row r="485" spans="1:45" x14ac:dyDescent="0.35">
      <c r="A485">
        <v>424</v>
      </c>
      <c r="B485">
        <v>422.99599999999998</v>
      </c>
      <c r="C485">
        <v>616242.13199999998</v>
      </c>
      <c r="D485">
        <v>3097546.8360000001</v>
      </c>
      <c r="E485">
        <v>632.351</v>
      </c>
      <c r="F485">
        <v>5.2</v>
      </c>
      <c r="G485">
        <v>0</v>
      </c>
      <c r="H485" t="s">
        <v>154</v>
      </c>
      <c r="I485">
        <v>2.7E-2</v>
      </c>
      <c r="J485">
        <f t="shared" si="244"/>
        <v>1</v>
      </c>
      <c r="K485">
        <f t="shared" ca="1" si="245"/>
        <v>50.95</v>
      </c>
      <c r="L485">
        <f t="shared" ca="1" si="246"/>
        <v>2.1389677043987478</v>
      </c>
      <c r="M485">
        <f t="shared" ca="1" si="219"/>
        <v>11.122632062873489</v>
      </c>
      <c r="N485">
        <f t="shared" ca="1" si="220"/>
        <v>1.1735290000551568</v>
      </c>
      <c r="O485">
        <f t="shared" ca="1" si="221"/>
        <v>4.5807502857230418</v>
      </c>
      <c r="P485">
        <f t="shared" ca="1" si="222"/>
        <v>634.48996770439874</v>
      </c>
      <c r="Q485">
        <f t="shared" ca="1" si="223"/>
        <v>635.55945155659811</v>
      </c>
      <c r="R485">
        <f t="shared" ca="1" si="224"/>
        <v>3.8141460404132466E-3</v>
      </c>
      <c r="S485">
        <f t="shared" ca="1" si="225"/>
        <v>1.0000000000000004</v>
      </c>
      <c r="T485">
        <f t="shared" ca="1" si="226"/>
        <v>35.686426155594638</v>
      </c>
      <c r="U485">
        <f t="shared" ca="1" si="247"/>
        <v>-3.3622728137743252E-3</v>
      </c>
      <c r="V485">
        <f t="shared" ca="1" si="248"/>
        <v>1</v>
      </c>
      <c r="W485">
        <f t="shared" ca="1" si="227"/>
        <v>1.7079743324600298</v>
      </c>
      <c r="X485">
        <f t="shared" ca="1" si="228"/>
        <v>8.8814665287921546</v>
      </c>
      <c r="Y485">
        <f t="shared" ca="1" si="229"/>
        <v>1.0308170201794671</v>
      </c>
      <c r="Z485">
        <f t="shared" ca="1" si="230"/>
        <v>5.736665204426437</v>
      </c>
      <c r="AA485">
        <f t="shared" ca="1" si="231"/>
        <v>634.05897433246002</v>
      </c>
      <c r="AB485">
        <f t="shared" ca="1" si="232"/>
        <v>635.73631009533858</v>
      </c>
      <c r="AC485">
        <f t="shared" ca="1" si="233"/>
        <v>7.110924817707716E-3</v>
      </c>
      <c r="AD485">
        <f t="shared" ca="1" si="234"/>
        <v>1.4014716963491476</v>
      </c>
      <c r="AE485">
        <f t="shared" ca="1" si="235"/>
        <v>37.379061303993602</v>
      </c>
      <c r="AF485">
        <f t="shared" ca="1" si="236"/>
        <v>6.7507027979445411E-3</v>
      </c>
      <c r="AG485">
        <f t="shared" ca="1" si="237"/>
        <v>0</v>
      </c>
      <c r="AH485">
        <f ca="1">IFERROR(IF(V32="Supercritical",MAX($D$16,IFERROR(L485,MAX($D$16,POWER((ABS(K485)^2)/($I$5*MAX(F485,0.1)^2),1/3)))),IF(V32="Subcritical",MAX($D$16,IFERROR(W485,MAX($D$16,POWER((ABS(K485)^2)/($I$5*MAX(F485,0.1)^2),1/3)))),IF(AND(IFERROR(V485,0)=1,IFERROR(AG485,0)=1),IF(IFERROR(T485,-1E+99)&gt;=IFERROR(AE485,-1E+99),MAX($D$16,IFERROR(L485,MAX($D$16,POWER((ABS(K485)^2)/($I$5*MAX(F485,0.1)^2),1/3)))),MAX($D$16,IFERROR(W485,MAX($D$16,POWER((ABS(K485)^2)/($I$5*MAX(F485,0.1)^2),1/3))))),IF(IFERROR(V485,0)=1,MAX($D$16,IFERROR(L485,MAX($D$16,POWER((ABS(K485)^2)/($I$5*MAX(F485,0.1)^2),1/3)))),IF(IFERROR(AG485,0)=1,MAX($D$16,IFERROR(W485,MAX($D$16,POWER((ABS(K485)^2)/($I$5*MAX(F485,0.1)^2),1/3)))),MAX($D$16,POWER((ABS(K485)^2)/($I$5*MAX(F485,0.1)^2),1/3))))))),MAX($D$16,POWER((ABS(K485)^2)/($I$5*MAX(F485,0.1)^2),1/3)))</f>
        <v>2.1389677043987478</v>
      </c>
      <c r="AI485">
        <f t="shared" ca="1" si="238"/>
        <v>634.48996770439874</v>
      </c>
      <c r="AJ485">
        <f t="shared" ca="1" si="239"/>
        <v>635.55945155659811</v>
      </c>
      <c r="AM485">
        <v>0</v>
      </c>
      <c r="AN485">
        <v>0</v>
      </c>
      <c r="AO485">
        <f t="shared" si="240"/>
        <v>0</v>
      </c>
      <c r="AP485">
        <f t="shared" si="249"/>
        <v>0</v>
      </c>
      <c r="AQ485">
        <f t="shared" ca="1" si="241"/>
        <v>1.0000000000000004</v>
      </c>
      <c r="AR485" t="str">
        <f t="shared" ca="1" si="242"/>
        <v>Supercritical</v>
      </c>
      <c r="AS485">
        <f t="shared" ca="1" si="243"/>
        <v>3.8141460404132466E-3</v>
      </c>
    </row>
    <row r="486" spans="1:45" x14ac:dyDescent="0.35">
      <c r="A486">
        <v>425</v>
      </c>
      <c r="B486">
        <v>423.99599999999998</v>
      </c>
      <c r="C486">
        <v>616241.65800000005</v>
      </c>
      <c r="D486">
        <v>3097545.9559999998</v>
      </c>
      <c r="E486">
        <v>632.35050000000001</v>
      </c>
      <c r="F486">
        <v>5.2</v>
      </c>
      <c r="G486">
        <v>0</v>
      </c>
      <c r="H486" t="s">
        <v>154</v>
      </c>
      <c r="I486">
        <v>0.05</v>
      </c>
      <c r="J486">
        <f t="shared" si="244"/>
        <v>1</v>
      </c>
      <c r="K486">
        <f t="shared" ca="1" si="245"/>
        <v>50.95</v>
      </c>
      <c r="L486">
        <f t="shared" ca="1" si="246"/>
        <v>2.1389677043987478</v>
      </c>
      <c r="M486">
        <f t="shared" ca="1" si="219"/>
        <v>11.122632062873489</v>
      </c>
      <c r="N486">
        <f t="shared" ca="1" si="220"/>
        <v>1.1735290000551568</v>
      </c>
      <c r="O486">
        <f t="shared" ca="1" si="221"/>
        <v>4.5807502857230418</v>
      </c>
      <c r="P486">
        <f t="shared" ca="1" si="222"/>
        <v>634.48946770439875</v>
      </c>
      <c r="Q486">
        <f t="shared" ca="1" si="223"/>
        <v>635.55895155659812</v>
      </c>
      <c r="R486">
        <f t="shared" ca="1" si="224"/>
        <v>3.8141460404132466E-3</v>
      </c>
      <c r="S486">
        <f t="shared" ca="1" si="225"/>
        <v>1.0000000000000004</v>
      </c>
      <c r="T486">
        <f t="shared" ca="1" si="226"/>
        <v>35.686426155594638</v>
      </c>
      <c r="U486">
        <f t="shared" ca="1" si="247"/>
        <v>-3.4032696947861041E-3</v>
      </c>
      <c r="V486">
        <f t="shared" ca="1" si="248"/>
        <v>1</v>
      </c>
      <c r="W486">
        <f t="shared" ca="1" si="227"/>
        <v>1.7079040890066761</v>
      </c>
      <c r="X486">
        <f t="shared" ca="1" si="228"/>
        <v>8.8811012628347168</v>
      </c>
      <c r="Y486">
        <f t="shared" ca="1" si="229"/>
        <v>1.0307914335300969</v>
      </c>
      <c r="Z486">
        <f t="shared" ca="1" si="230"/>
        <v>5.7369011445926823</v>
      </c>
      <c r="AA486">
        <f t="shared" ca="1" si="231"/>
        <v>634.05840408900667</v>
      </c>
      <c r="AB486">
        <f t="shared" ca="1" si="232"/>
        <v>635.73587782717323</v>
      </c>
      <c r="AC486">
        <f t="shared" ca="1" si="233"/>
        <v>7.1117451190816049E-3</v>
      </c>
      <c r="AD486">
        <f t="shared" ca="1" si="234"/>
        <v>1.4015581577826997</v>
      </c>
      <c r="AE486">
        <f t="shared" ca="1" si="235"/>
        <v>37.379662849645932</v>
      </c>
      <c r="AF486">
        <f t="shared" ca="1" si="236"/>
        <v>6.8298167051352721E-3</v>
      </c>
      <c r="AG486">
        <f t="shared" ca="1" si="237"/>
        <v>0</v>
      </c>
      <c r="AH486">
        <f ca="1">IFERROR(IF(V32="Supercritical",MAX($D$16,IFERROR(L486,MAX($D$16,POWER((ABS(K486)^2)/($I$5*MAX(F486,0.1)^2),1/3)))),IF(V32="Subcritical",MAX($D$16,IFERROR(W486,MAX($D$16,POWER((ABS(K486)^2)/($I$5*MAX(F486,0.1)^2),1/3)))),IF(AND(IFERROR(V486,0)=1,IFERROR(AG486,0)=1),IF(IFERROR(T486,-1E+99)&gt;=IFERROR(AE486,-1E+99),MAX($D$16,IFERROR(L486,MAX($D$16,POWER((ABS(K486)^2)/($I$5*MAX(F486,0.1)^2),1/3)))),MAX($D$16,IFERROR(W486,MAX($D$16,POWER((ABS(K486)^2)/($I$5*MAX(F486,0.1)^2),1/3))))),IF(IFERROR(V486,0)=1,MAX($D$16,IFERROR(L486,MAX($D$16,POWER((ABS(K486)^2)/($I$5*MAX(F486,0.1)^2),1/3)))),IF(IFERROR(AG486,0)=1,MAX($D$16,IFERROR(W486,MAX($D$16,POWER((ABS(K486)^2)/($I$5*MAX(F486,0.1)^2),1/3)))),MAX($D$16,POWER((ABS(K486)^2)/($I$5*MAX(F486,0.1)^2),1/3))))))),MAX($D$16,POWER((ABS(K486)^2)/($I$5*MAX(F486,0.1)^2),1/3)))</f>
        <v>2.1389677043987478</v>
      </c>
      <c r="AI486">
        <f t="shared" ca="1" si="238"/>
        <v>634.48946770439875</v>
      </c>
      <c r="AJ486">
        <f t="shared" ca="1" si="239"/>
        <v>635.55895155659812</v>
      </c>
      <c r="AM486">
        <v>0</v>
      </c>
      <c r="AN486">
        <v>0</v>
      </c>
      <c r="AO486">
        <f t="shared" si="240"/>
        <v>0</v>
      </c>
      <c r="AP486">
        <f t="shared" si="249"/>
        <v>0</v>
      </c>
      <c r="AQ486">
        <f t="shared" ca="1" si="241"/>
        <v>1.0000000000000004</v>
      </c>
      <c r="AR486" t="str">
        <f t="shared" ca="1" si="242"/>
        <v>Supercritical</v>
      </c>
      <c r="AS486">
        <f t="shared" ca="1" si="243"/>
        <v>3.8141460404132466E-3</v>
      </c>
    </row>
    <row r="487" spans="1:45" x14ac:dyDescent="0.35">
      <c r="A487">
        <v>426</v>
      </c>
      <c r="B487">
        <v>424.99599999999998</v>
      </c>
      <c r="C487">
        <v>616241.18299999996</v>
      </c>
      <c r="D487">
        <v>3097545.0759999999</v>
      </c>
      <c r="E487">
        <v>632.35</v>
      </c>
      <c r="F487">
        <v>5.2</v>
      </c>
      <c r="G487">
        <v>0</v>
      </c>
      <c r="H487" t="s">
        <v>154</v>
      </c>
      <c r="I487">
        <v>7.8E-2</v>
      </c>
      <c r="J487">
        <f t="shared" si="244"/>
        <v>1</v>
      </c>
      <c r="K487">
        <f t="shared" ca="1" si="245"/>
        <v>50.95</v>
      </c>
      <c r="L487">
        <f t="shared" ca="1" si="246"/>
        <v>2.1389677043987478</v>
      </c>
      <c r="M487">
        <f t="shared" ca="1" si="219"/>
        <v>11.122632062873489</v>
      </c>
      <c r="N487">
        <f t="shared" ca="1" si="220"/>
        <v>1.1735290000551568</v>
      </c>
      <c r="O487">
        <f t="shared" ca="1" si="221"/>
        <v>4.5807502857230418</v>
      </c>
      <c r="P487">
        <f t="shared" ca="1" si="222"/>
        <v>634.48896770439876</v>
      </c>
      <c r="Q487">
        <f t="shared" ca="1" si="223"/>
        <v>635.55845155659813</v>
      </c>
      <c r="R487">
        <f t="shared" ca="1" si="224"/>
        <v>3.8141460404132466E-3</v>
      </c>
      <c r="S487">
        <f t="shared" ca="1" si="225"/>
        <v>1.0000000000000004</v>
      </c>
      <c r="T487">
        <f t="shared" ca="1" si="226"/>
        <v>35.686426155594638</v>
      </c>
      <c r="U487">
        <f t="shared" ca="1" si="247"/>
        <v>-3.4531789411857972E-3</v>
      </c>
      <c r="V487">
        <f t="shared" ca="1" si="248"/>
        <v>1</v>
      </c>
      <c r="W487">
        <f t="shared" ca="1" si="227"/>
        <v>1.7078384784636551</v>
      </c>
      <c r="X487">
        <f t="shared" ca="1" si="228"/>
        <v>8.8807600880110069</v>
      </c>
      <c r="Y487">
        <f t="shared" ca="1" si="229"/>
        <v>1.0307675336957198</v>
      </c>
      <c r="Z487">
        <f t="shared" ca="1" si="230"/>
        <v>5.7371215408444955</v>
      </c>
      <c r="AA487">
        <f t="shared" ca="1" si="231"/>
        <v>634.05783847846362</v>
      </c>
      <c r="AB487">
        <f t="shared" ca="1" si="232"/>
        <v>635.73544110712942</v>
      </c>
      <c r="AC487">
        <f t="shared" ca="1" si="233"/>
        <v>7.1125114368571331E-3</v>
      </c>
      <c r="AD487">
        <f t="shared" ca="1" si="234"/>
        <v>1.401638924678527</v>
      </c>
      <c r="AE487">
        <f t="shared" ca="1" si="235"/>
        <v>37.380224834548926</v>
      </c>
      <c r="AF487">
        <f t="shared" ca="1" si="236"/>
        <v>6.6880035551548644E-3</v>
      </c>
      <c r="AG487">
        <f t="shared" ca="1" si="237"/>
        <v>0</v>
      </c>
      <c r="AH487">
        <f ca="1">IFERROR(IF(V32="Supercritical",MAX($D$16,IFERROR(L487,MAX($D$16,POWER((ABS(K487)^2)/($I$5*MAX(F487,0.1)^2),1/3)))),IF(V32="Subcritical",MAX($D$16,IFERROR(W487,MAX($D$16,POWER((ABS(K487)^2)/($I$5*MAX(F487,0.1)^2),1/3)))),IF(AND(IFERROR(V487,0)=1,IFERROR(AG487,0)=1),IF(IFERROR(T487,-1E+99)&gt;=IFERROR(AE487,-1E+99),MAX($D$16,IFERROR(L487,MAX($D$16,POWER((ABS(K487)^2)/($I$5*MAX(F487,0.1)^2),1/3)))),MAX($D$16,IFERROR(W487,MAX($D$16,POWER((ABS(K487)^2)/($I$5*MAX(F487,0.1)^2),1/3))))),IF(IFERROR(V487,0)=1,MAX($D$16,IFERROR(L487,MAX($D$16,POWER((ABS(K487)^2)/($I$5*MAX(F487,0.1)^2),1/3)))),IF(IFERROR(AG487,0)=1,MAX($D$16,IFERROR(W487,MAX($D$16,POWER((ABS(K487)^2)/($I$5*MAX(F487,0.1)^2),1/3)))),MAX($D$16,POWER((ABS(K487)^2)/($I$5*MAX(F487,0.1)^2),1/3))))))),MAX($D$16,POWER((ABS(K487)^2)/($I$5*MAX(F487,0.1)^2),1/3)))</f>
        <v>2.1389677043987478</v>
      </c>
      <c r="AI487">
        <f t="shared" ca="1" si="238"/>
        <v>634.48896770439876</v>
      </c>
      <c r="AJ487">
        <f t="shared" ca="1" si="239"/>
        <v>635.55845155659813</v>
      </c>
      <c r="AM487">
        <v>0</v>
      </c>
      <c r="AN487">
        <v>0</v>
      </c>
      <c r="AO487">
        <f t="shared" si="240"/>
        <v>0</v>
      </c>
      <c r="AP487">
        <f t="shared" si="249"/>
        <v>0</v>
      </c>
      <c r="AQ487">
        <f t="shared" ca="1" si="241"/>
        <v>1.0000000000000004</v>
      </c>
      <c r="AR487" t="str">
        <f t="shared" ca="1" si="242"/>
        <v>Supercritical</v>
      </c>
      <c r="AS487">
        <f t="shared" ca="1" si="243"/>
        <v>3.8141460404132466E-3</v>
      </c>
    </row>
    <row r="488" spans="1:45" x14ac:dyDescent="0.35">
      <c r="A488">
        <v>427</v>
      </c>
      <c r="B488">
        <v>425.99599999999998</v>
      </c>
      <c r="C488">
        <v>616240.70900000003</v>
      </c>
      <c r="D488">
        <v>3097544.1949999998</v>
      </c>
      <c r="E488">
        <v>632.34950000000003</v>
      </c>
      <c r="F488">
        <v>5.2</v>
      </c>
      <c r="G488">
        <v>0</v>
      </c>
      <c r="H488" t="s">
        <v>154</v>
      </c>
      <c r="I488">
        <v>2.7E-2</v>
      </c>
      <c r="J488">
        <f t="shared" si="244"/>
        <v>1</v>
      </c>
      <c r="K488">
        <f t="shared" ca="1" si="245"/>
        <v>50.95</v>
      </c>
      <c r="L488">
        <f t="shared" ca="1" si="246"/>
        <v>2.1389677043987478</v>
      </c>
      <c r="M488">
        <f t="shared" ca="1" si="219"/>
        <v>11.122632062873489</v>
      </c>
      <c r="N488">
        <f t="shared" ca="1" si="220"/>
        <v>1.1735290000551568</v>
      </c>
      <c r="O488">
        <f t="shared" ca="1" si="221"/>
        <v>4.5807502857230418</v>
      </c>
      <c r="P488">
        <f t="shared" ca="1" si="222"/>
        <v>634.48846770439877</v>
      </c>
      <c r="Q488">
        <f t="shared" ca="1" si="223"/>
        <v>635.55795155659814</v>
      </c>
      <c r="R488">
        <f t="shared" ca="1" si="224"/>
        <v>3.8141460404132466E-3</v>
      </c>
      <c r="S488">
        <f t="shared" ca="1" si="225"/>
        <v>1.0000000000000004</v>
      </c>
      <c r="T488">
        <f t="shared" ca="1" si="226"/>
        <v>35.686426155594638</v>
      </c>
      <c r="U488">
        <f t="shared" ca="1" si="247"/>
        <v>-3.3622728137743252E-3</v>
      </c>
      <c r="V488">
        <f t="shared" ca="1" si="248"/>
        <v>1</v>
      </c>
      <c r="W488">
        <f t="shared" ca="1" si="227"/>
        <v>1.7077771969555993</v>
      </c>
      <c r="X488">
        <f t="shared" ca="1" si="228"/>
        <v>8.880441424169117</v>
      </c>
      <c r="Y488">
        <f t="shared" ca="1" si="229"/>
        <v>1.0307452101335604</v>
      </c>
      <c r="Z488">
        <f t="shared" ca="1" si="230"/>
        <v>5.7373274104746486</v>
      </c>
      <c r="AA488">
        <f t="shared" ca="1" si="231"/>
        <v>634.05727719695562</v>
      </c>
      <c r="AB488">
        <f t="shared" ca="1" si="232"/>
        <v>635.73500022524229</v>
      </c>
      <c r="AC488">
        <f t="shared" ca="1" si="233"/>
        <v>7.1132272965870828E-3</v>
      </c>
      <c r="AD488">
        <f t="shared" ca="1" si="234"/>
        <v>1.4017143695179575</v>
      </c>
      <c r="AE488">
        <f t="shared" ca="1" si="235"/>
        <v>37.380749838906098</v>
      </c>
      <c r="AF488">
        <f t="shared" ca="1" si="236"/>
        <v>6.681611605586113E-3</v>
      </c>
      <c r="AG488">
        <f t="shared" ca="1" si="237"/>
        <v>0</v>
      </c>
      <c r="AH488">
        <f ca="1">IFERROR(IF(V32="Supercritical",MAX($D$16,IFERROR(L488,MAX($D$16,POWER((ABS(K488)^2)/($I$5*MAX(F488,0.1)^2),1/3)))),IF(V32="Subcritical",MAX($D$16,IFERROR(W488,MAX($D$16,POWER((ABS(K488)^2)/($I$5*MAX(F488,0.1)^2),1/3)))),IF(AND(IFERROR(V488,0)=1,IFERROR(AG488,0)=1),IF(IFERROR(T488,-1E+99)&gt;=IFERROR(AE488,-1E+99),MAX($D$16,IFERROR(L488,MAX($D$16,POWER((ABS(K488)^2)/($I$5*MAX(F488,0.1)^2),1/3)))),MAX($D$16,IFERROR(W488,MAX($D$16,POWER((ABS(K488)^2)/($I$5*MAX(F488,0.1)^2),1/3))))),IF(IFERROR(V488,0)=1,MAX($D$16,IFERROR(L488,MAX($D$16,POWER((ABS(K488)^2)/($I$5*MAX(F488,0.1)^2),1/3)))),IF(IFERROR(AG488,0)=1,MAX($D$16,IFERROR(W488,MAX($D$16,POWER((ABS(K488)^2)/($I$5*MAX(F488,0.1)^2),1/3)))),MAX($D$16,POWER((ABS(K488)^2)/($I$5*MAX(F488,0.1)^2),1/3))))))),MAX($D$16,POWER((ABS(K488)^2)/($I$5*MAX(F488,0.1)^2),1/3)))</f>
        <v>2.1389677043987478</v>
      </c>
      <c r="AI488">
        <f t="shared" ca="1" si="238"/>
        <v>634.48846770439877</v>
      </c>
      <c r="AJ488">
        <f t="shared" ca="1" si="239"/>
        <v>635.55795155659814</v>
      </c>
      <c r="AM488">
        <v>0</v>
      </c>
      <c r="AN488">
        <v>0</v>
      </c>
      <c r="AO488">
        <f t="shared" si="240"/>
        <v>0</v>
      </c>
      <c r="AP488">
        <f t="shared" si="249"/>
        <v>0</v>
      </c>
      <c r="AQ488">
        <f t="shared" ca="1" si="241"/>
        <v>1.0000000000000004</v>
      </c>
      <c r="AR488" t="str">
        <f t="shared" ca="1" si="242"/>
        <v>Supercritical</v>
      </c>
      <c r="AS488">
        <f t="shared" ca="1" si="243"/>
        <v>3.8141460404132466E-3</v>
      </c>
    </row>
    <row r="489" spans="1:45" x14ac:dyDescent="0.35">
      <c r="A489">
        <v>428</v>
      </c>
      <c r="B489">
        <v>426.995</v>
      </c>
      <c r="C489">
        <v>616240.23499999999</v>
      </c>
      <c r="D489">
        <v>3097543.3149999999</v>
      </c>
      <c r="E489">
        <v>632.34900000000005</v>
      </c>
      <c r="F489">
        <v>5.2</v>
      </c>
      <c r="G489">
        <v>0</v>
      </c>
      <c r="H489" t="s">
        <v>154</v>
      </c>
      <c r="I489">
        <v>2.7E-2</v>
      </c>
      <c r="J489">
        <f t="shared" si="244"/>
        <v>0.99900000000002365</v>
      </c>
      <c r="K489">
        <f t="shared" ca="1" si="245"/>
        <v>50.95</v>
      </c>
      <c r="L489">
        <f t="shared" ca="1" si="246"/>
        <v>2.1389677043987478</v>
      </c>
      <c r="M489">
        <f t="shared" ca="1" si="219"/>
        <v>11.122632062873489</v>
      </c>
      <c r="N489">
        <f t="shared" ca="1" si="220"/>
        <v>1.1735290000551568</v>
      </c>
      <c r="O489">
        <f t="shared" ca="1" si="221"/>
        <v>4.5807502857230418</v>
      </c>
      <c r="P489">
        <f t="shared" ca="1" si="222"/>
        <v>634.48796770439878</v>
      </c>
      <c r="Q489">
        <f t="shared" ca="1" si="223"/>
        <v>635.55745155659815</v>
      </c>
      <c r="R489">
        <f t="shared" ca="1" si="224"/>
        <v>3.8141460404132466E-3</v>
      </c>
      <c r="S489">
        <f t="shared" ca="1" si="225"/>
        <v>1.0000000000000004</v>
      </c>
      <c r="T489">
        <f t="shared" ca="1" si="226"/>
        <v>35.686426155594638</v>
      </c>
      <c r="U489">
        <f t="shared" ca="1" si="247"/>
        <v>-3.3584586676624895E-3</v>
      </c>
      <c r="V489">
        <f t="shared" ca="1" si="248"/>
        <v>1</v>
      </c>
      <c r="W489">
        <f t="shared" ca="1" si="227"/>
        <v>1.7077199603226727</v>
      </c>
      <c r="X489">
        <f t="shared" ca="1" si="228"/>
        <v>8.8801437936778989</v>
      </c>
      <c r="Y489">
        <f t="shared" ca="1" si="229"/>
        <v>1.0307243594605353</v>
      </c>
      <c r="Z489">
        <f t="shared" ca="1" si="230"/>
        <v>5.7375197050607651</v>
      </c>
      <c r="AA489">
        <f t="shared" ca="1" si="231"/>
        <v>634.05671996032277</v>
      </c>
      <c r="AB489">
        <f t="shared" ca="1" si="232"/>
        <v>635.73455545298134</v>
      </c>
      <c r="AC489">
        <f t="shared" ca="1" si="233"/>
        <v>7.1138959970386377E-3</v>
      </c>
      <c r="AD489">
        <f t="shared" ca="1" si="234"/>
        <v>1.4017848407470934</v>
      </c>
      <c r="AE489">
        <f t="shared" ca="1" si="235"/>
        <v>37.381240277388102</v>
      </c>
      <c r="AF489">
        <f t="shared" ca="1" si="236"/>
        <v>6.8391285069537844E-3</v>
      </c>
      <c r="AG489">
        <f t="shared" ca="1" si="237"/>
        <v>0</v>
      </c>
      <c r="AH489">
        <f ca="1">IFERROR(IF(V32="Supercritical",MAX($D$16,IFERROR(L489,MAX($D$16,POWER((ABS(K489)^2)/($I$5*MAX(F489,0.1)^2),1/3)))),IF(V32="Subcritical",MAX($D$16,IFERROR(W489,MAX($D$16,POWER((ABS(K489)^2)/($I$5*MAX(F489,0.1)^2),1/3)))),IF(AND(IFERROR(V489,0)=1,IFERROR(AG489,0)=1),IF(IFERROR(T489,-1E+99)&gt;=IFERROR(AE489,-1E+99),MAX($D$16,IFERROR(L489,MAX($D$16,POWER((ABS(K489)^2)/($I$5*MAX(F489,0.1)^2),1/3)))),MAX($D$16,IFERROR(W489,MAX($D$16,POWER((ABS(K489)^2)/($I$5*MAX(F489,0.1)^2),1/3))))),IF(IFERROR(V489,0)=1,MAX($D$16,IFERROR(L489,MAX($D$16,POWER((ABS(K489)^2)/($I$5*MAX(F489,0.1)^2),1/3)))),IF(IFERROR(AG489,0)=1,MAX($D$16,IFERROR(W489,MAX($D$16,POWER((ABS(K489)^2)/($I$5*MAX(F489,0.1)^2),1/3)))),MAX($D$16,POWER((ABS(K489)^2)/($I$5*MAX(F489,0.1)^2),1/3))))))),MAX($D$16,POWER((ABS(K489)^2)/($I$5*MAX(F489,0.1)^2),1/3)))</f>
        <v>2.1389677043987478</v>
      </c>
      <c r="AI489">
        <f t="shared" ca="1" si="238"/>
        <v>634.48796770439878</v>
      </c>
      <c r="AJ489">
        <f t="shared" ca="1" si="239"/>
        <v>635.55745155659815</v>
      </c>
      <c r="AM489">
        <v>0</v>
      </c>
      <c r="AN489">
        <v>0</v>
      </c>
      <c r="AO489">
        <f t="shared" si="240"/>
        <v>0</v>
      </c>
      <c r="AP489">
        <f t="shared" si="249"/>
        <v>0</v>
      </c>
      <c r="AQ489">
        <f t="shared" ca="1" si="241"/>
        <v>1.0000000000000004</v>
      </c>
      <c r="AR489" t="str">
        <f t="shared" ca="1" si="242"/>
        <v>Supercritical</v>
      </c>
      <c r="AS489">
        <f t="shared" ca="1" si="243"/>
        <v>3.8141460404132466E-3</v>
      </c>
    </row>
    <row r="490" spans="1:45" x14ac:dyDescent="0.35">
      <c r="A490">
        <v>429</v>
      </c>
      <c r="B490">
        <v>427.99599999999998</v>
      </c>
      <c r="C490">
        <v>616239.76100000006</v>
      </c>
      <c r="D490">
        <v>3097542.4339999999</v>
      </c>
      <c r="E490">
        <v>632.34849999999994</v>
      </c>
      <c r="F490">
        <v>5.2</v>
      </c>
      <c r="G490">
        <v>0</v>
      </c>
      <c r="H490" t="s">
        <v>154</v>
      </c>
      <c r="I490">
        <v>7.8E-2</v>
      </c>
      <c r="J490">
        <f t="shared" si="244"/>
        <v>1.0009999999999764</v>
      </c>
      <c r="K490">
        <f t="shared" ca="1" si="245"/>
        <v>50.95</v>
      </c>
      <c r="L490">
        <f t="shared" ca="1" si="246"/>
        <v>2.1389677043987478</v>
      </c>
      <c r="M490">
        <f t="shared" ca="1" si="219"/>
        <v>11.122632062873489</v>
      </c>
      <c r="N490">
        <f t="shared" ca="1" si="220"/>
        <v>1.1735290000551568</v>
      </c>
      <c r="O490">
        <f t="shared" ca="1" si="221"/>
        <v>4.5807502857230418</v>
      </c>
      <c r="P490">
        <f t="shared" ca="1" si="222"/>
        <v>634.48746770439868</v>
      </c>
      <c r="Q490">
        <f t="shared" ca="1" si="223"/>
        <v>635.55695155659805</v>
      </c>
      <c r="R490">
        <f t="shared" ca="1" si="224"/>
        <v>3.8141460404132466E-3</v>
      </c>
      <c r="S490">
        <f t="shared" ca="1" si="225"/>
        <v>1.0000000000000004</v>
      </c>
      <c r="T490">
        <f t="shared" ca="1" si="226"/>
        <v>35.686426155594638</v>
      </c>
      <c r="U490">
        <f t="shared" ca="1" si="247"/>
        <v>-3.4569930870702592E-3</v>
      </c>
      <c r="V490">
        <f t="shared" ca="1" si="248"/>
        <v>1</v>
      </c>
      <c r="W490">
        <f t="shared" ca="1" si="227"/>
        <v>1.7076665028689983</v>
      </c>
      <c r="X490">
        <f t="shared" ca="1" si="228"/>
        <v>8.8798658149187926</v>
      </c>
      <c r="Y490">
        <f t="shared" ca="1" si="229"/>
        <v>1.0307048850003373</v>
      </c>
      <c r="Z490">
        <f t="shared" ca="1" si="230"/>
        <v>5.7376993146000537</v>
      </c>
      <c r="AA490">
        <f t="shared" ca="1" si="231"/>
        <v>634.0561665028689</v>
      </c>
      <c r="AB490">
        <f t="shared" ca="1" si="232"/>
        <v>635.73410704439607</v>
      </c>
      <c r="AC490">
        <f t="shared" ca="1" si="233"/>
        <v>7.1145206243389651E-3</v>
      </c>
      <c r="AD490">
        <f t="shared" ca="1" si="234"/>
        <v>1.4018506642856867</v>
      </c>
      <c r="AE490">
        <f t="shared" ca="1" si="235"/>
        <v>37.381698409400016</v>
      </c>
      <c r="AF490">
        <f t="shared" ca="1" si="236"/>
        <v>6.7543490027901498E-3</v>
      </c>
      <c r="AG490">
        <f t="shared" ca="1" si="237"/>
        <v>0</v>
      </c>
      <c r="AH490">
        <f ca="1">IFERROR(IF(V32="Supercritical",MAX($D$16,IFERROR(L490,MAX($D$16,POWER((ABS(K490)^2)/($I$5*MAX(F490,0.1)^2),1/3)))),IF(V32="Subcritical",MAX($D$16,IFERROR(W490,MAX($D$16,POWER((ABS(K490)^2)/($I$5*MAX(F490,0.1)^2),1/3)))),IF(AND(IFERROR(V490,0)=1,IFERROR(AG490,0)=1),IF(IFERROR(T490,-1E+99)&gt;=IFERROR(AE490,-1E+99),MAX($D$16,IFERROR(L490,MAX($D$16,POWER((ABS(K490)^2)/($I$5*MAX(F490,0.1)^2),1/3)))),MAX($D$16,IFERROR(W490,MAX($D$16,POWER((ABS(K490)^2)/($I$5*MAX(F490,0.1)^2),1/3))))),IF(IFERROR(V490,0)=1,MAX($D$16,IFERROR(L490,MAX($D$16,POWER((ABS(K490)^2)/($I$5*MAX(F490,0.1)^2),1/3)))),IF(IFERROR(AG490,0)=1,MAX($D$16,IFERROR(W490,MAX($D$16,POWER((ABS(K490)^2)/($I$5*MAX(F490,0.1)^2),1/3)))),MAX($D$16,POWER((ABS(K490)^2)/($I$5*MAX(F490,0.1)^2),1/3))))))),MAX($D$16,POWER((ABS(K490)^2)/($I$5*MAX(F490,0.1)^2),1/3)))</f>
        <v>2.1389677043987478</v>
      </c>
      <c r="AI490">
        <f t="shared" ca="1" si="238"/>
        <v>634.48746770439868</v>
      </c>
      <c r="AJ490">
        <f t="shared" ca="1" si="239"/>
        <v>635.55695155659805</v>
      </c>
      <c r="AM490">
        <v>0</v>
      </c>
      <c r="AN490">
        <v>0</v>
      </c>
      <c r="AO490">
        <f t="shared" si="240"/>
        <v>0</v>
      </c>
      <c r="AP490">
        <f t="shared" si="249"/>
        <v>0</v>
      </c>
      <c r="AQ490">
        <f t="shared" ca="1" si="241"/>
        <v>1.0000000000000004</v>
      </c>
      <c r="AR490" t="str">
        <f t="shared" ca="1" si="242"/>
        <v>Supercritical</v>
      </c>
      <c r="AS490">
        <f t="shared" ca="1" si="243"/>
        <v>3.8141460404132466E-3</v>
      </c>
    </row>
    <row r="491" spans="1:45" x14ac:dyDescent="0.35">
      <c r="A491">
        <v>430</v>
      </c>
      <c r="B491">
        <v>428.99599999999998</v>
      </c>
      <c r="C491">
        <v>616239.28599999996</v>
      </c>
      <c r="D491">
        <v>3097541.554</v>
      </c>
      <c r="E491">
        <v>632.34799999999996</v>
      </c>
      <c r="F491">
        <v>5.2</v>
      </c>
      <c r="G491">
        <v>0</v>
      </c>
      <c r="H491" t="s">
        <v>154</v>
      </c>
      <c r="I491">
        <v>0.05</v>
      </c>
      <c r="J491">
        <f t="shared" si="244"/>
        <v>1</v>
      </c>
      <c r="K491">
        <f t="shared" ca="1" si="245"/>
        <v>50.95</v>
      </c>
      <c r="L491">
        <f t="shared" ca="1" si="246"/>
        <v>2.1389677043987478</v>
      </c>
      <c r="M491">
        <f t="shared" ca="1" si="219"/>
        <v>11.122632062873489</v>
      </c>
      <c r="N491">
        <f t="shared" ca="1" si="220"/>
        <v>1.1735290000551568</v>
      </c>
      <c r="O491">
        <f t="shared" ca="1" si="221"/>
        <v>4.5807502857230418</v>
      </c>
      <c r="P491">
        <f t="shared" ca="1" si="222"/>
        <v>634.48696770439869</v>
      </c>
      <c r="Q491">
        <f t="shared" ca="1" si="223"/>
        <v>635.55645155659806</v>
      </c>
      <c r="R491">
        <f t="shared" ca="1" si="224"/>
        <v>3.8141460404132466E-3</v>
      </c>
      <c r="S491">
        <f t="shared" ca="1" si="225"/>
        <v>1.0000000000000004</v>
      </c>
      <c r="T491">
        <f t="shared" ca="1" si="226"/>
        <v>35.686426155594638</v>
      </c>
      <c r="U491">
        <f t="shared" ca="1" si="247"/>
        <v>-3.4032696947861041E-3</v>
      </c>
      <c r="V491">
        <f t="shared" ca="1" si="248"/>
        <v>1</v>
      </c>
      <c r="W491">
        <f t="shared" ca="1" si="227"/>
        <v>1.7076165761870226</v>
      </c>
      <c r="X491">
        <f t="shared" ca="1" si="228"/>
        <v>8.8796061961725172</v>
      </c>
      <c r="Y491">
        <f t="shared" ca="1" si="229"/>
        <v>1.0306866963577903</v>
      </c>
      <c r="Z491">
        <f t="shared" ca="1" si="230"/>
        <v>5.7378670713980071</v>
      </c>
      <c r="AA491">
        <f t="shared" ca="1" si="231"/>
        <v>634.05561657618694</v>
      </c>
      <c r="AB491">
        <f t="shared" ca="1" si="232"/>
        <v>635.73365523719781</v>
      </c>
      <c r="AC491">
        <f t="shared" ca="1" si="233"/>
        <v>7.1151040652951735E-3</v>
      </c>
      <c r="AD491">
        <f t="shared" ca="1" si="234"/>
        <v>1.4019121449466716</v>
      </c>
      <c r="AE491">
        <f t="shared" ca="1" si="235"/>
        <v>37.382126348757154</v>
      </c>
      <c r="AF491">
        <f t="shared" ca="1" si="236"/>
        <v>6.6835007010013214E-3</v>
      </c>
      <c r="AG491">
        <f t="shared" ca="1" si="237"/>
        <v>0</v>
      </c>
      <c r="AH491">
        <f ca="1">IFERROR(IF(V32="Supercritical",MAX($D$16,IFERROR(L491,MAX($D$16,POWER((ABS(K491)^2)/($I$5*MAX(F491,0.1)^2),1/3)))),IF(V32="Subcritical",MAX($D$16,IFERROR(W491,MAX($D$16,POWER((ABS(K491)^2)/($I$5*MAX(F491,0.1)^2),1/3)))),IF(AND(IFERROR(V491,0)=1,IFERROR(AG491,0)=1),IF(IFERROR(T491,-1E+99)&gt;=IFERROR(AE491,-1E+99),MAX($D$16,IFERROR(L491,MAX($D$16,POWER((ABS(K491)^2)/($I$5*MAX(F491,0.1)^2),1/3)))),MAX($D$16,IFERROR(W491,MAX($D$16,POWER((ABS(K491)^2)/($I$5*MAX(F491,0.1)^2),1/3))))),IF(IFERROR(V491,0)=1,MAX($D$16,IFERROR(L491,MAX($D$16,POWER((ABS(K491)^2)/($I$5*MAX(F491,0.1)^2),1/3)))),IF(IFERROR(AG491,0)=1,MAX($D$16,IFERROR(W491,MAX($D$16,POWER((ABS(K491)^2)/($I$5*MAX(F491,0.1)^2),1/3)))),MAX($D$16,POWER((ABS(K491)^2)/($I$5*MAX(F491,0.1)^2),1/3))))))),MAX($D$16,POWER((ABS(K491)^2)/($I$5*MAX(F491,0.1)^2),1/3)))</f>
        <v>2.1389677043987478</v>
      </c>
      <c r="AI491">
        <f t="shared" ca="1" si="238"/>
        <v>634.48696770439869</v>
      </c>
      <c r="AJ491">
        <f t="shared" ca="1" si="239"/>
        <v>635.55645155659806</v>
      </c>
      <c r="AM491">
        <v>0</v>
      </c>
      <c r="AN491">
        <v>0</v>
      </c>
      <c r="AO491">
        <f t="shared" si="240"/>
        <v>0</v>
      </c>
      <c r="AP491">
        <f t="shared" si="249"/>
        <v>0</v>
      </c>
      <c r="AQ491">
        <f t="shared" ca="1" si="241"/>
        <v>1.0000000000000004</v>
      </c>
      <c r="AR491" t="str">
        <f t="shared" ca="1" si="242"/>
        <v>Supercritical</v>
      </c>
      <c r="AS491">
        <f t="shared" ca="1" si="243"/>
        <v>3.8141460404132466E-3</v>
      </c>
    </row>
    <row r="492" spans="1:45" x14ac:dyDescent="0.35">
      <c r="A492">
        <v>431</v>
      </c>
      <c r="B492">
        <v>429.995</v>
      </c>
      <c r="C492">
        <v>616238.81200000003</v>
      </c>
      <c r="D492">
        <v>3097540.6740000001</v>
      </c>
      <c r="E492">
        <v>632.34749999999997</v>
      </c>
      <c r="F492">
        <v>5.2</v>
      </c>
      <c r="G492">
        <v>0</v>
      </c>
      <c r="H492" t="s">
        <v>154</v>
      </c>
      <c r="I492">
        <v>2.7E-2</v>
      </c>
      <c r="J492">
        <f t="shared" si="244"/>
        <v>0.99900000000002365</v>
      </c>
      <c r="K492">
        <f t="shared" ca="1" si="245"/>
        <v>50.95</v>
      </c>
      <c r="L492">
        <f t="shared" ca="1" si="246"/>
        <v>2.1389677043987478</v>
      </c>
      <c r="M492">
        <f t="shared" ca="1" si="219"/>
        <v>11.122632062873489</v>
      </c>
      <c r="N492">
        <f t="shared" ca="1" si="220"/>
        <v>1.1735290000551568</v>
      </c>
      <c r="O492">
        <f t="shared" ca="1" si="221"/>
        <v>4.5807502857230418</v>
      </c>
      <c r="P492">
        <f t="shared" ca="1" si="222"/>
        <v>634.48646770439871</v>
      </c>
      <c r="Q492">
        <f t="shared" ca="1" si="223"/>
        <v>635.55595155659807</v>
      </c>
      <c r="R492">
        <f t="shared" ca="1" si="224"/>
        <v>3.8141460404132466E-3</v>
      </c>
      <c r="S492">
        <f t="shared" ca="1" si="225"/>
        <v>1.0000000000000004</v>
      </c>
      <c r="T492">
        <f t="shared" ca="1" si="226"/>
        <v>35.686426155594638</v>
      </c>
      <c r="U492">
        <f t="shared" ca="1" si="247"/>
        <v>-3.3584586676624895E-3</v>
      </c>
      <c r="V492">
        <f t="shared" ca="1" si="248"/>
        <v>1</v>
      </c>
      <c r="W492">
        <f t="shared" ca="1" si="227"/>
        <v>1.7075699480537576</v>
      </c>
      <c r="X492">
        <f t="shared" ca="1" si="228"/>
        <v>8.8793637298795396</v>
      </c>
      <c r="Y492">
        <f t="shared" ca="1" si="229"/>
        <v>1.03066970901905</v>
      </c>
      <c r="Z492">
        <f t="shared" ca="1" si="230"/>
        <v>5.7380237537235352</v>
      </c>
      <c r="AA492">
        <f t="shared" ca="1" si="231"/>
        <v>634.05506994805376</v>
      </c>
      <c r="AB492">
        <f t="shared" ca="1" si="232"/>
        <v>635.73320025377723</v>
      </c>
      <c r="AC492">
        <f t="shared" ca="1" si="233"/>
        <v>7.1156490199283957E-3</v>
      </c>
      <c r="AD492">
        <f t="shared" ca="1" si="234"/>
        <v>1.4019695677708228</v>
      </c>
      <c r="AE492">
        <f t="shared" ca="1" si="235"/>
        <v>37.382526072796637</v>
      </c>
      <c r="AF492">
        <f t="shared" ca="1" si="236"/>
        <v>6.6982805326460948E-3</v>
      </c>
      <c r="AG492">
        <f t="shared" ca="1" si="237"/>
        <v>0</v>
      </c>
      <c r="AH492">
        <f ca="1">IFERROR(IF(V32="Supercritical",MAX($D$16,IFERROR(L492,MAX($D$16,POWER((ABS(K492)^2)/($I$5*MAX(F492,0.1)^2),1/3)))),IF(V32="Subcritical",MAX($D$16,IFERROR(W492,MAX($D$16,POWER((ABS(K492)^2)/($I$5*MAX(F492,0.1)^2),1/3)))),IF(AND(IFERROR(V492,0)=1,IFERROR(AG492,0)=1),IF(IFERROR(T492,-1E+99)&gt;=IFERROR(AE492,-1E+99),MAX($D$16,IFERROR(L492,MAX($D$16,POWER((ABS(K492)^2)/($I$5*MAX(F492,0.1)^2),1/3)))),MAX($D$16,IFERROR(W492,MAX($D$16,POWER((ABS(K492)^2)/($I$5*MAX(F492,0.1)^2),1/3))))),IF(IFERROR(V492,0)=1,MAX($D$16,IFERROR(L492,MAX($D$16,POWER((ABS(K492)^2)/($I$5*MAX(F492,0.1)^2),1/3)))),IF(IFERROR(AG492,0)=1,MAX($D$16,IFERROR(W492,MAX($D$16,POWER((ABS(K492)^2)/($I$5*MAX(F492,0.1)^2),1/3)))),MAX($D$16,POWER((ABS(K492)^2)/($I$5*MAX(F492,0.1)^2),1/3))))))),MAX($D$16,POWER((ABS(K492)^2)/($I$5*MAX(F492,0.1)^2),1/3)))</f>
        <v>2.1389677043987478</v>
      </c>
      <c r="AI492">
        <f t="shared" ca="1" si="238"/>
        <v>634.48646770439871</v>
      </c>
      <c r="AJ492">
        <f t="shared" ca="1" si="239"/>
        <v>635.55595155659807</v>
      </c>
      <c r="AM492">
        <v>0</v>
      </c>
      <c r="AN492">
        <v>0</v>
      </c>
      <c r="AO492">
        <f t="shared" si="240"/>
        <v>0</v>
      </c>
      <c r="AP492">
        <f t="shared" si="249"/>
        <v>0</v>
      </c>
      <c r="AQ492">
        <f t="shared" ca="1" si="241"/>
        <v>1.0000000000000004</v>
      </c>
      <c r="AR492" t="str">
        <f t="shared" ca="1" si="242"/>
        <v>Supercritical</v>
      </c>
      <c r="AS492">
        <f t="shared" ca="1" si="243"/>
        <v>3.8141460404132466E-3</v>
      </c>
    </row>
    <row r="493" spans="1:45" x14ac:dyDescent="0.35">
      <c r="A493">
        <v>432</v>
      </c>
      <c r="B493">
        <v>430.99599999999998</v>
      </c>
      <c r="C493">
        <v>616238.33799999999</v>
      </c>
      <c r="D493">
        <v>3097539.7930000001</v>
      </c>
      <c r="E493">
        <v>632.34699999999998</v>
      </c>
      <c r="F493">
        <v>5.2</v>
      </c>
      <c r="G493">
        <v>0</v>
      </c>
      <c r="H493" t="s">
        <v>154</v>
      </c>
      <c r="I493">
        <v>2.7E-2</v>
      </c>
      <c r="J493">
        <f t="shared" si="244"/>
        <v>1.0009999999999764</v>
      </c>
      <c r="K493">
        <f t="shared" ca="1" si="245"/>
        <v>50.95</v>
      </c>
      <c r="L493">
        <f t="shared" ca="1" si="246"/>
        <v>2.1389677043987478</v>
      </c>
      <c r="M493">
        <f t="shared" ca="1" si="219"/>
        <v>11.122632062873489</v>
      </c>
      <c r="N493">
        <f t="shared" ca="1" si="220"/>
        <v>1.1735290000551568</v>
      </c>
      <c r="O493">
        <f t="shared" ca="1" si="221"/>
        <v>4.5807502857230418</v>
      </c>
      <c r="P493">
        <f t="shared" ca="1" si="222"/>
        <v>634.48596770439872</v>
      </c>
      <c r="Q493">
        <f t="shared" ca="1" si="223"/>
        <v>635.55545155659809</v>
      </c>
      <c r="R493">
        <f t="shared" ca="1" si="224"/>
        <v>3.8141460404132466E-3</v>
      </c>
      <c r="S493">
        <f t="shared" ca="1" si="225"/>
        <v>1.0000000000000004</v>
      </c>
      <c r="T493">
        <f t="shared" ca="1" si="226"/>
        <v>35.686426155594638</v>
      </c>
      <c r="U493">
        <f t="shared" ca="1" si="247"/>
        <v>-3.3660869597724741E-3</v>
      </c>
      <c r="V493">
        <f t="shared" ca="1" si="248"/>
        <v>1</v>
      </c>
      <c r="W493">
        <f t="shared" ca="1" si="227"/>
        <v>1.7075264013946065</v>
      </c>
      <c r="X493">
        <f t="shared" ca="1" si="228"/>
        <v>8.8791372872519538</v>
      </c>
      <c r="Y493">
        <f t="shared" ca="1" si="229"/>
        <v>1.0306538439761206</v>
      </c>
      <c r="Z493">
        <f t="shared" ca="1" si="230"/>
        <v>5.7381700892439698</v>
      </c>
      <c r="AA493">
        <f t="shared" ca="1" si="231"/>
        <v>634.05452640139458</v>
      </c>
      <c r="AB493">
        <f t="shared" ca="1" si="232"/>
        <v>635.73274230216396</v>
      </c>
      <c r="AC493">
        <f t="shared" ca="1" si="233"/>
        <v>7.1161580132653827E-3</v>
      </c>
      <c r="AD493">
        <f t="shared" ca="1" si="234"/>
        <v>1.4020231992813803</v>
      </c>
      <c r="AE493">
        <f t="shared" ca="1" si="235"/>
        <v>37.382899430955064</v>
      </c>
      <c r="AF493">
        <f t="shared" ca="1" si="236"/>
        <v>6.6845615708643891E-3</v>
      </c>
      <c r="AG493">
        <f t="shared" ca="1" si="237"/>
        <v>0</v>
      </c>
      <c r="AH493">
        <f ca="1">IFERROR(IF(V32="Supercritical",MAX($D$16,IFERROR(L493,MAX($D$16,POWER((ABS(K493)^2)/($I$5*MAX(F493,0.1)^2),1/3)))),IF(V32="Subcritical",MAX($D$16,IFERROR(W493,MAX($D$16,POWER((ABS(K493)^2)/($I$5*MAX(F493,0.1)^2),1/3)))),IF(AND(IFERROR(V493,0)=1,IFERROR(AG493,0)=1),IF(IFERROR(T493,-1E+99)&gt;=IFERROR(AE493,-1E+99),MAX($D$16,IFERROR(L493,MAX($D$16,POWER((ABS(K493)^2)/($I$5*MAX(F493,0.1)^2),1/3)))),MAX($D$16,IFERROR(W493,MAX($D$16,POWER((ABS(K493)^2)/($I$5*MAX(F493,0.1)^2),1/3))))),IF(IFERROR(V493,0)=1,MAX($D$16,IFERROR(L493,MAX($D$16,POWER((ABS(K493)^2)/($I$5*MAX(F493,0.1)^2),1/3)))),IF(IFERROR(AG493,0)=1,MAX($D$16,IFERROR(W493,MAX($D$16,POWER((ABS(K493)^2)/($I$5*MAX(F493,0.1)^2),1/3)))),MAX($D$16,POWER((ABS(K493)^2)/($I$5*MAX(F493,0.1)^2),1/3))))))),MAX($D$16,POWER((ABS(K493)^2)/($I$5*MAX(F493,0.1)^2),1/3)))</f>
        <v>2.1389677043987478</v>
      </c>
      <c r="AI493">
        <f t="shared" ca="1" si="238"/>
        <v>634.48596770439872</v>
      </c>
      <c r="AJ493">
        <f t="shared" ca="1" si="239"/>
        <v>635.55545155659809</v>
      </c>
      <c r="AM493">
        <v>0</v>
      </c>
      <c r="AN493">
        <v>0</v>
      </c>
      <c r="AO493">
        <f t="shared" si="240"/>
        <v>0</v>
      </c>
      <c r="AP493">
        <f t="shared" si="249"/>
        <v>0</v>
      </c>
      <c r="AQ493">
        <f t="shared" ca="1" si="241"/>
        <v>1.0000000000000004</v>
      </c>
      <c r="AR493" t="str">
        <f t="shared" ca="1" si="242"/>
        <v>Supercritical</v>
      </c>
      <c r="AS493">
        <f t="shared" ca="1" si="243"/>
        <v>3.8141460404132466E-3</v>
      </c>
    </row>
    <row r="494" spans="1:45" x14ac:dyDescent="0.35">
      <c r="A494">
        <v>433</v>
      </c>
      <c r="B494">
        <v>431.995</v>
      </c>
      <c r="C494">
        <v>616237.86399999994</v>
      </c>
      <c r="D494">
        <v>3097538.9130000002</v>
      </c>
      <c r="E494">
        <v>632.34649999999999</v>
      </c>
      <c r="F494">
        <v>5.2</v>
      </c>
      <c r="G494">
        <v>0</v>
      </c>
      <c r="H494" t="s">
        <v>154</v>
      </c>
      <c r="I494">
        <v>2.7E-2</v>
      </c>
      <c r="J494">
        <f t="shared" si="244"/>
        <v>0.99900000000002365</v>
      </c>
      <c r="K494">
        <f t="shared" ca="1" si="245"/>
        <v>50.95</v>
      </c>
      <c r="L494">
        <f t="shared" ca="1" si="246"/>
        <v>2.1389677043987478</v>
      </c>
      <c r="M494">
        <f t="shared" ca="1" si="219"/>
        <v>11.122632062873489</v>
      </c>
      <c r="N494">
        <f t="shared" ca="1" si="220"/>
        <v>1.1735290000551568</v>
      </c>
      <c r="O494">
        <f t="shared" ca="1" si="221"/>
        <v>4.5807502857230418</v>
      </c>
      <c r="P494">
        <f t="shared" ca="1" si="222"/>
        <v>634.48546770439873</v>
      </c>
      <c r="Q494">
        <f t="shared" ca="1" si="223"/>
        <v>635.5549515565981</v>
      </c>
      <c r="R494">
        <f t="shared" ca="1" si="224"/>
        <v>3.8141460404132466E-3</v>
      </c>
      <c r="S494">
        <f t="shared" ca="1" si="225"/>
        <v>1.0000000000000004</v>
      </c>
      <c r="T494">
        <f t="shared" ca="1" si="226"/>
        <v>35.686426155594638</v>
      </c>
      <c r="U494">
        <f t="shared" ca="1" si="247"/>
        <v>-3.3584586676624895E-3</v>
      </c>
      <c r="V494">
        <f t="shared" ca="1" si="248"/>
        <v>1</v>
      </c>
      <c r="W494">
        <f t="shared" ca="1" si="227"/>
        <v>1.7074857333111861</v>
      </c>
      <c r="X494">
        <f t="shared" ca="1" si="228"/>
        <v>8.878925813218169</v>
      </c>
      <c r="Y494">
        <f t="shared" ca="1" si="229"/>
        <v>1.0306390273744324</v>
      </c>
      <c r="Z494">
        <f t="shared" ca="1" si="230"/>
        <v>5.7383067582511043</v>
      </c>
      <c r="AA494">
        <f t="shared" ca="1" si="231"/>
        <v>634.05398573331115</v>
      </c>
      <c r="AB494">
        <f t="shared" ca="1" si="232"/>
        <v>635.73228157692938</v>
      </c>
      <c r="AC494">
        <f t="shared" ca="1" si="233"/>
        <v>7.1166334064233887E-3</v>
      </c>
      <c r="AD494">
        <f t="shared" ca="1" si="234"/>
        <v>1.4020732886626408</v>
      </c>
      <c r="AE494">
        <f t="shared" ca="1" si="235"/>
        <v>37.383248152837119</v>
      </c>
      <c r="AF494">
        <f t="shared" ca="1" si="236"/>
        <v>6.8419284995115959E-3</v>
      </c>
      <c r="AG494">
        <f t="shared" ca="1" si="237"/>
        <v>0</v>
      </c>
      <c r="AH494">
        <f ca="1">IFERROR(IF(V32="Supercritical",MAX($D$16,IFERROR(L494,MAX($D$16,POWER((ABS(K494)^2)/($I$5*MAX(F494,0.1)^2),1/3)))),IF(V32="Subcritical",MAX($D$16,IFERROR(W494,MAX($D$16,POWER((ABS(K494)^2)/($I$5*MAX(F494,0.1)^2),1/3)))),IF(AND(IFERROR(V494,0)=1,IFERROR(AG494,0)=1),IF(IFERROR(T494,-1E+99)&gt;=IFERROR(AE494,-1E+99),MAX($D$16,IFERROR(L494,MAX($D$16,POWER((ABS(K494)^2)/($I$5*MAX(F494,0.1)^2),1/3)))),MAX($D$16,IFERROR(W494,MAX($D$16,POWER((ABS(K494)^2)/($I$5*MAX(F494,0.1)^2),1/3))))),IF(IFERROR(V494,0)=1,MAX($D$16,IFERROR(L494,MAX($D$16,POWER((ABS(K494)^2)/($I$5*MAX(F494,0.1)^2),1/3)))),IF(IFERROR(AG494,0)=1,MAX($D$16,IFERROR(W494,MAX($D$16,POWER((ABS(K494)^2)/($I$5*MAX(F494,0.1)^2),1/3)))),MAX($D$16,POWER((ABS(K494)^2)/($I$5*MAX(F494,0.1)^2),1/3))))))),MAX($D$16,POWER((ABS(K494)^2)/($I$5*MAX(F494,0.1)^2),1/3)))</f>
        <v>2.1389677043987478</v>
      </c>
      <c r="AI494">
        <f t="shared" ca="1" si="238"/>
        <v>634.48546770439873</v>
      </c>
      <c r="AJ494">
        <f t="shared" ca="1" si="239"/>
        <v>635.5549515565981</v>
      </c>
      <c r="AM494">
        <v>0</v>
      </c>
      <c r="AN494">
        <v>0</v>
      </c>
      <c r="AO494">
        <f t="shared" si="240"/>
        <v>0</v>
      </c>
      <c r="AP494">
        <f t="shared" si="249"/>
        <v>0</v>
      </c>
      <c r="AQ494">
        <f t="shared" ca="1" si="241"/>
        <v>1.0000000000000004</v>
      </c>
      <c r="AR494" t="str">
        <f t="shared" ca="1" si="242"/>
        <v>Supercritical</v>
      </c>
      <c r="AS494">
        <f t="shared" ca="1" si="243"/>
        <v>3.8141460404132466E-3</v>
      </c>
    </row>
    <row r="495" spans="1:45" x14ac:dyDescent="0.35">
      <c r="A495">
        <v>434</v>
      </c>
      <c r="B495">
        <v>432.99599999999998</v>
      </c>
      <c r="C495">
        <v>616237.39</v>
      </c>
      <c r="D495">
        <v>3097538.0320000001</v>
      </c>
      <c r="E495">
        <v>632.346</v>
      </c>
      <c r="F495">
        <v>5.2</v>
      </c>
      <c r="G495">
        <v>0</v>
      </c>
      <c r="H495" t="s">
        <v>154</v>
      </c>
      <c r="I495">
        <v>7.8E-2</v>
      </c>
      <c r="J495">
        <f t="shared" si="244"/>
        <v>1.0009999999999764</v>
      </c>
      <c r="K495">
        <f t="shared" ca="1" si="245"/>
        <v>50.95</v>
      </c>
      <c r="L495">
        <f t="shared" ca="1" si="246"/>
        <v>2.1389677043987478</v>
      </c>
      <c r="M495">
        <f t="shared" ca="1" si="219"/>
        <v>11.122632062873489</v>
      </c>
      <c r="N495">
        <f t="shared" ca="1" si="220"/>
        <v>1.1735290000551568</v>
      </c>
      <c r="O495">
        <f t="shared" ca="1" si="221"/>
        <v>4.5807502857230418</v>
      </c>
      <c r="P495">
        <f t="shared" ca="1" si="222"/>
        <v>634.48496770439874</v>
      </c>
      <c r="Q495">
        <f t="shared" ca="1" si="223"/>
        <v>635.55445155659811</v>
      </c>
      <c r="R495">
        <f t="shared" ca="1" si="224"/>
        <v>3.8141460404132466E-3</v>
      </c>
      <c r="S495">
        <f t="shared" ca="1" si="225"/>
        <v>1.0000000000000004</v>
      </c>
      <c r="T495">
        <f t="shared" ca="1" si="226"/>
        <v>35.686426155594638</v>
      </c>
      <c r="U495">
        <f t="shared" ca="1" si="247"/>
        <v>-3.456993087183946E-3</v>
      </c>
      <c r="V495">
        <f t="shared" ca="1" si="248"/>
        <v>1</v>
      </c>
      <c r="W495">
        <f t="shared" ca="1" si="227"/>
        <v>1.7074477541696393</v>
      </c>
      <c r="X495">
        <f t="shared" ca="1" si="228"/>
        <v>8.8787283216821251</v>
      </c>
      <c r="Y495">
        <f t="shared" ca="1" si="229"/>
        <v>1.0306251901822203</v>
      </c>
      <c r="Z495">
        <f t="shared" ca="1" si="230"/>
        <v>5.7384343966892812</v>
      </c>
      <c r="AA495">
        <f t="shared" ca="1" si="231"/>
        <v>634.05344775416961</v>
      </c>
      <c r="AB495">
        <f t="shared" ca="1" si="232"/>
        <v>635.73181826003645</v>
      </c>
      <c r="AC495">
        <f t="shared" ca="1" si="233"/>
        <v>7.1170774070243225E-3</v>
      </c>
      <c r="AD495">
        <f t="shared" ca="1" si="234"/>
        <v>1.4021200688664877</v>
      </c>
      <c r="AE495">
        <f t="shared" ca="1" si="235"/>
        <v>37.383573855800336</v>
      </c>
      <c r="AF495">
        <f t="shared" ca="1" si="236"/>
        <v>6.7569416157766682E-3</v>
      </c>
      <c r="AG495">
        <f t="shared" ca="1" si="237"/>
        <v>0</v>
      </c>
      <c r="AH495">
        <f ca="1">IFERROR(IF(V32="Supercritical",MAX($D$16,IFERROR(L495,MAX($D$16,POWER((ABS(K495)^2)/($I$5*MAX(F495,0.1)^2),1/3)))),IF(V32="Subcritical",MAX($D$16,IFERROR(W495,MAX($D$16,POWER((ABS(K495)^2)/($I$5*MAX(F495,0.1)^2),1/3)))),IF(AND(IFERROR(V495,0)=1,IFERROR(AG495,0)=1),IF(IFERROR(T495,-1E+99)&gt;=IFERROR(AE495,-1E+99),MAX($D$16,IFERROR(L495,MAX($D$16,POWER((ABS(K495)^2)/($I$5*MAX(F495,0.1)^2),1/3)))),MAX($D$16,IFERROR(W495,MAX($D$16,POWER((ABS(K495)^2)/($I$5*MAX(F495,0.1)^2),1/3))))),IF(IFERROR(V495,0)=1,MAX($D$16,IFERROR(L495,MAX($D$16,POWER((ABS(K495)^2)/($I$5*MAX(F495,0.1)^2),1/3)))),IF(IFERROR(AG495,0)=1,MAX($D$16,IFERROR(W495,MAX($D$16,POWER((ABS(K495)^2)/($I$5*MAX(F495,0.1)^2),1/3)))),MAX($D$16,POWER((ABS(K495)^2)/($I$5*MAX(F495,0.1)^2),1/3))))))),MAX($D$16,POWER((ABS(K495)^2)/($I$5*MAX(F495,0.1)^2),1/3)))</f>
        <v>2.1389677043987478</v>
      </c>
      <c r="AI495">
        <f t="shared" ca="1" si="238"/>
        <v>634.48496770439874</v>
      </c>
      <c r="AJ495">
        <f t="shared" ca="1" si="239"/>
        <v>635.55445155659811</v>
      </c>
      <c r="AM495">
        <v>0</v>
      </c>
      <c r="AN495">
        <v>0</v>
      </c>
      <c r="AO495">
        <f t="shared" si="240"/>
        <v>0</v>
      </c>
      <c r="AP495">
        <f t="shared" si="249"/>
        <v>0</v>
      </c>
      <c r="AQ495">
        <f t="shared" ca="1" si="241"/>
        <v>1.0000000000000004</v>
      </c>
      <c r="AR495" t="str">
        <f t="shared" ca="1" si="242"/>
        <v>Supercritical</v>
      </c>
      <c r="AS495">
        <f t="shared" ca="1" si="243"/>
        <v>3.8141460404132466E-3</v>
      </c>
    </row>
    <row r="496" spans="1:45" x14ac:dyDescent="0.35">
      <c r="A496">
        <v>435</v>
      </c>
      <c r="B496">
        <v>433.99599999999998</v>
      </c>
      <c r="C496">
        <v>616236.91500000004</v>
      </c>
      <c r="D496">
        <v>3097537.1519999998</v>
      </c>
      <c r="E496">
        <v>632.34550000000002</v>
      </c>
      <c r="F496">
        <v>5.2</v>
      </c>
      <c r="G496">
        <v>0</v>
      </c>
      <c r="H496" t="s">
        <v>154</v>
      </c>
      <c r="I496">
        <v>0.05</v>
      </c>
      <c r="J496">
        <f t="shared" si="244"/>
        <v>1</v>
      </c>
      <c r="K496">
        <f t="shared" ca="1" si="245"/>
        <v>50.95</v>
      </c>
      <c r="L496">
        <f t="shared" ca="1" si="246"/>
        <v>2.1389677043987478</v>
      </c>
      <c r="M496">
        <f t="shared" ca="1" si="219"/>
        <v>11.122632062873489</v>
      </c>
      <c r="N496">
        <f t="shared" ca="1" si="220"/>
        <v>1.1735290000551568</v>
      </c>
      <c r="O496">
        <f t="shared" ca="1" si="221"/>
        <v>4.5807502857230418</v>
      </c>
      <c r="P496">
        <f t="shared" ca="1" si="222"/>
        <v>634.48446770439875</v>
      </c>
      <c r="Q496">
        <f t="shared" ca="1" si="223"/>
        <v>635.55395155659812</v>
      </c>
      <c r="R496">
        <f t="shared" ca="1" si="224"/>
        <v>3.8141460404132466E-3</v>
      </c>
      <c r="S496">
        <f t="shared" ca="1" si="225"/>
        <v>1.0000000000000004</v>
      </c>
      <c r="T496">
        <f t="shared" ca="1" si="226"/>
        <v>35.686426155594638</v>
      </c>
      <c r="U496">
        <f t="shared" ca="1" si="247"/>
        <v>-3.4032696947861041E-3</v>
      </c>
      <c r="V496">
        <f t="shared" ca="1" si="248"/>
        <v>1</v>
      </c>
      <c r="W496">
        <f t="shared" ca="1" si="227"/>
        <v>1.7074122867456123</v>
      </c>
      <c r="X496">
        <f t="shared" ca="1" si="228"/>
        <v>8.8785438910771841</v>
      </c>
      <c r="Y496">
        <f t="shared" ca="1" si="229"/>
        <v>1.0306122678803529</v>
      </c>
      <c r="Z496">
        <f t="shared" ca="1" si="230"/>
        <v>5.7385535989976981</v>
      </c>
      <c r="AA496">
        <f t="shared" ca="1" si="231"/>
        <v>634.0529122867456</v>
      </c>
      <c r="AB496">
        <f t="shared" ca="1" si="232"/>
        <v>635.73135252163695</v>
      </c>
      <c r="AC496">
        <f t="shared" ca="1" si="233"/>
        <v>7.1174920789780017E-3</v>
      </c>
      <c r="AD496">
        <f t="shared" ca="1" si="234"/>
        <v>1.4021637576512567</v>
      </c>
      <c r="AE496">
        <f t="shared" ca="1" si="235"/>
        <v>37.383878052084228</v>
      </c>
      <c r="AF496">
        <f t="shared" ca="1" si="236"/>
        <v>6.6859043975000532E-3</v>
      </c>
      <c r="AG496">
        <f t="shared" ca="1" si="237"/>
        <v>0</v>
      </c>
      <c r="AH496">
        <f ca="1">IFERROR(IF(V32="Supercritical",MAX($D$16,IFERROR(L496,MAX($D$16,POWER((ABS(K496)^2)/($I$5*MAX(F496,0.1)^2),1/3)))),IF(V32="Subcritical",MAX($D$16,IFERROR(W496,MAX($D$16,POWER((ABS(K496)^2)/($I$5*MAX(F496,0.1)^2),1/3)))),IF(AND(IFERROR(V496,0)=1,IFERROR(AG496,0)=1),IF(IFERROR(T496,-1E+99)&gt;=IFERROR(AE496,-1E+99),MAX($D$16,IFERROR(L496,MAX($D$16,POWER((ABS(K496)^2)/($I$5*MAX(F496,0.1)^2),1/3)))),MAX($D$16,IFERROR(W496,MAX($D$16,POWER((ABS(K496)^2)/($I$5*MAX(F496,0.1)^2),1/3))))),IF(IFERROR(V496,0)=1,MAX($D$16,IFERROR(L496,MAX($D$16,POWER((ABS(K496)^2)/($I$5*MAX(F496,0.1)^2),1/3)))),IF(IFERROR(AG496,0)=1,MAX($D$16,IFERROR(W496,MAX($D$16,POWER((ABS(K496)^2)/($I$5*MAX(F496,0.1)^2),1/3)))),MAX($D$16,POWER((ABS(K496)^2)/($I$5*MAX(F496,0.1)^2),1/3))))))),MAX($D$16,POWER((ABS(K496)^2)/($I$5*MAX(F496,0.1)^2),1/3)))</f>
        <v>2.1389677043987478</v>
      </c>
      <c r="AI496">
        <f t="shared" ca="1" si="238"/>
        <v>634.48446770439875</v>
      </c>
      <c r="AJ496">
        <f t="shared" ca="1" si="239"/>
        <v>635.55395155659812</v>
      </c>
      <c r="AM496">
        <v>0</v>
      </c>
      <c r="AN496">
        <v>0</v>
      </c>
      <c r="AO496">
        <f t="shared" si="240"/>
        <v>0</v>
      </c>
      <c r="AP496">
        <f t="shared" si="249"/>
        <v>0</v>
      </c>
      <c r="AQ496">
        <f t="shared" ca="1" si="241"/>
        <v>1.0000000000000004</v>
      </c>
      <c r="AR496" t="str">
        <f t="shared" ca="1" si="242"/>
        <v>Supercritical</v>
      </c>
      <c r="AS496">
        <f t="shared" ca="1" si="243"/>
        <v>3.8141460404132466E-3</v>
      </c>
    </row>
    <row r="497" spans="1:45" x14ac:dyDescent="0.35">
      <c r="A497">
        <v>436</v>
      </c>
      <c r="B497">
        <v>434.995</v>
      </c>
      <c r="C497">
        <v>616236.44099999999</v>
      </c>
      <c r="D497">
        <v>3097536.2719999999</v>
      </c>
      <c r="E497">
        <v>632.34500000000003</v>
      </c>
      <c r="F497">
        <v>5.2</v>
      </c>
      <c r="G497">
        <v>0</v>
      </c>
      <c r="H497" t="s">
        <v>154</v>
      </c>
      <c r="I497">
        <v>2.7E-2</v>
      </c>
      <c r="J497">
        <f t="shared" si="244"/>
        <v>0.99900000000002365</v>
      </c>
      <c r="K497">
        <f t="shared" ca="1" si="245"/>
        <v>50.95</v>
      </c>
      <c r="L497">
        <f t="shared" ca="1" si="246"/>
        <v>2.1389677043987478</v>
      </c>
      <c r="M497">
        <f t="shared" ca="1" si="219"/>
        <v>11.122632062873489</v>
      </c>
      <c r="N497">
        <f t="shared" ca="1" si="220"/>
        <v>1.1735290000551568</v>
      </c>
      <c r="O497">
        <f t="shared" ca="1" si="221"/>
        <v>4.5807502857230418</v>
      </c>
      <c r="P497">
        <f t="shared" ca="1" si="222"/>
        <v>634.48396770439876</v>
      </c>
      <c r="Q497">
        <f t="shared" ca="1" si="223"/>
        <v>635.55345155659813</v>
      </c>
      <c r="R497">
        <f t="shared" ca="1" si="224"/>
        <v>3.8141460404132466E-3</v>
      </c>
      <c r="S497">
        <f t="shared" ca="1" si="225"/>
        <v>1.0000000000000004</v>
      </c>
      <c r="T497">
        <f t="shared" ca="1" si="226"/>
        <v>35.686426155594638</v>
      </c>
      <c r="U497">
        <f t="shared" ca="1" si="247"/>
        <v>-3.3584586676624895E-3</v>
      </c>
      <c r="V497">
        <f t="shared" ca="1" si="248"/>
        <v>1</v>
      </c>
      <c r="W497">
        <f t="shared" ca="1" si="227"/>
        <v>1.7073791654228314</v>
      </c>
      <c r="X497">
        <f t="shared" ca="1" si="228"/>
        <v>8.8783716601987237</v>
      </c>
      <c r="Y497">
        <f t="shared" ca="1" si="229"/>
        <v>1.03060020017151</v>
      </c>
      <c r="Z497">
        <f t="shared" ca="1" si="230"/>
        <v>5.738664920776654</v>
      </c>
      <c r="AA497">
        <f t="shared" ca="1" si="231"/>
        <v>634.05237916542285</v>
      </c>
      <c r="AB497">
        <f t="shared" ca="1" si="232"/>
        <v>635.73088452082311</v>
      </c>
      <c r="AC497">
        <f t="shared" ca="1" si="233"/>
        <v>7.1178793516665801E-3</v>
      </c>
      <c r="AD497">
        <f t="shared" ca="1" si="234"/>
        <v>1.4022045585564491</v>
      </c>
      <c r="AE497">
        <f t="shared" ca="1" si="235"/>
        <v>37.384162155506289</v>
      </c>
      <c r="AF497">
        <f t="shared" ca="1" si="236"/>
        <v>6.7005299720221956E-3</v>
      </c>
      <c r="AG497">
        <f t="shared" ca="1" si="237"/>
        <v>0</v>
      </c>
      <c r="AH497">
        <f ca="1">IFERROR(IF(V32="Supercritical",MAX($D$16,IFERROR(L497,MAX($D$16,POWER((ABS(K497)^2)/($I$5*MAX(F497,0.1)^2),1/3)))),IF(V32="Subcritical",MAX($D$16,IFERROR(W497,MAX($D$16,POWER((ABS(K497)^2)/($I$5*MAX(F497,0.1)^2),1/3)))),IF(AND(IFERROR(V497,0)=1,IFERROR(AG497,0)=1),IF(IFERROR(T497,-1E+99)&gt;=IFERROR(AE497,-1E+99),MAX($D$16,IFERROR(L497,MAX($D$16,POWER((ABS(K497)^2)/($I$5*MAX(F497,0.1)^2),1/3)))),MAX($D$16,IFERROR(W497,MAX($D$16,POWER((ABS(K497)^2)/($I$5*MAX(F497,0.1)^2),1/3))))),IF(IFERROR(V497,0)=1,MAX($D$16,IFERROR(L497,MAX($D$16,POWER((ABS(K497)^2)/($I$5*MAX(F497,0.1)^2),1/3)))),IF(IFERROR(AG497,0)=1,MAX($D$16,IFERROR(W497,MAX($D$16,POWER((ABS(K497)^2)/($I$5*MAX(F497,0.1)^2),1/3)))),MAX($D$16,POWER((ABS(K497)^2)/($I$5*MAX(F497,0.1)^2),1/3))))))),MAX($D$16,POWER((ABS(K497)^2)/($I$5*MAX(F497,0.1)^2),1/3)))</f>
        <v>2.1389677043987478</v>
      </c>
      <c r="AI497">
        <f t="shared" ca="1" si="238"/>
        <v>634.48396770439876</v>
      </c>
      <c r="AJ497">
        <f t="shared" ca="1" si="239"/>
        <v>635.55345155659813</v>
      </c>
      <c r="AM497">
        <v>0</v>
      </c>
      <c r="AN497">
        <v>0</v>
      </c>
      <c r="AO497">
        <f t="shared" si="240"/>
        <v>0</v>
      </c>
      <c r="AP497">
        <f t="shared" si="249"/>
        <v>0</v>
      </c>
      <c r="AQ497">
        <f t="shared" ca="1" si="241"/>
        <v>1.0000000000000004</v>
      </c>
      <c r="AR497" t="str">
        <f t="shared" ca="1" si="242"/>
        <v>Supercritical</v>
      </c>
      <c r="AS497">
        <f t="shared" ca="1" si="243"/>
        <v>3.8141460404132466E-3</v>
      </c>
    </row>
    <row r="498" spans="1:45" x14ac:dyDescent="0.35">
      <c r="A498">
        <v>437</v>
      </c>
      <c r="B498">
        <v>435.99599999999998</v>
      </c>
      <c r="C498">
        <v>616235.96699999995</v>
      </c>
      <c r="D498">
        <v>3097535.3909999998</v>
      </c>
      <c r="E498">
        <v>632.34450000000004</v>
      </c>
      <c r="F498">
        <v>5.2</v>
      </c>
      <c r="G498">
        <v>0</v>
      </c>
      <c r="H498" t="s">
        <v>154</v>
      </c>
      <c r="I498">
        <v>2.7E-2</v>
      </c>
      <c r="J498">
        <f t="shared" si="244"/>
        <v>1.0009999999999764</v>
      </c>
      <c r="K498">
        <f t="shared" ca="1" si="245"/>
        <v>50.95</v>
      </c>
      <c r="L498">
        <f t="shared" ca="1" si="246"/>
        <v>2.1389677043987478</v>
      </c>
      <c r="M498">
        <f t="shared" ca="1" si="219"/>
        <v>11.122632062873489</v>
      </c>
      <c r="N498">
        <f t="shared" ca="1" si="220"/>
        <v>1.1735290000551568</v>
      </c>
      <c r="O498">
        <f t="shared" ca="1" si="221"/>
        <v>4.5807502857230418</v>
      </c>
      <c r="P498">
        <f t="shared" ca="1" si="222"/>
        <v>634.48346770439878</v>
      </c>
      <c r="Q498">
        <f t="shared" ca="1" si="223"/>
        <v>635.55295155659815</v>
      </c>
      <c r="R498">
        <f t="shared" ca="1" si="224"/>
        <v>3.8141460404132466E-3</v>
      </c>
      <c r="S498">
        <f t="shared" ca="1" si="225"/>
        <v>1.0000000000000004</v>
      </c>
      <c r="T498">
        <f t="shared" ca="1" si="226"/>
        <v>35.686426155594638</v>
      </c>
      <c r="U498">
        <f t="shared" ca="1" si="247"/>
        <v>-3.3660869597724741E-3</v>
      </c>
      <c r="V498">
        <f t="shared" ca="1" si="248"/>
        <v>1</v>
      </c>
      <c r="W498">
        <f t="shared" ca="1" si="227"/>
        <v>1.7073482354420704</v>
      </c>
      <c r="X498">
        <f t="shared" ca="1" si="228"/>
        <v>8.8782108242987654</v>
      </c>
      <c r="Y498">
        <f t="shared" ca="1" si="229"/>
        <v>1.0305889307075702</v>
      </c>
      <c r="Z498">
        <f t="shared" ca="1" si="230"/>
        <v>5.7387688812879958</v>
      </c>
      <c r="AA498">
        <f t="shared" ca="1" si="231"/>
        <v>634.05184823544209</v>
      </c>
      <c r="AB498">
        <f t="shared" ca="1" si="232"/>
        <v>635.73041440633096</v>
      </c>
      <c r="AC498">
        <f t="shared" ca="1" si="233"/>
        <v>7.1182410285639706E-3</v>
      </c>
      <c r="AD498">
        <f t="shared" ca="1" si="234"/>
        <v>1.4022426618169965</v>
      </c>
      <c r="AE498">
        <f t="shared" ca="1" si="235"/>
        <v>37.384427487749043</v>
      </c>
      <c r="AF498">
        <f t="shared" ca="1" si="236"/>
        <v>6.6754678241522925E-3</v>
      </c>
      <c r="AG498">
        <f t="shared" ca="1" si="237"/>
        <v>0</v>
      </c>
      <c r="AH498">
        <f ca="1">IFERROR(IF(V32="Supercritical",MAX($D$16,IFERROR(L498,MAX($D$16,POWER((ABS(K498)^2)/($I$5*MAX(F498,0.1)^2),1/3)))),IF(V32="Subcritical",MAX($D$16,IFERROR(W498,MAX($D$16,POWER((ABS(K498)^2)/($I$5*MAX(F498,0.1)^2),1/3)))),IF(AND(IFERROR(V498,0)=1,IFERROR(AG498,0)=1),IF(IFERROR(T498,-1E+99)&gt;=IFERROR(AE498,-1E+99),MAX($D$16,IFERROR(L498,MAX($D$16,POWER((ABS(K498)^2)/($I$5*MAX(F498,0.1)^2),1/3)))),MAX($D$16,IFERROR(W498,MAX($D$16,POWER((ABS(K498)^2)/($I$5*MAX(F498,0.1)^2),1/3))))),IF(IFERROR(V498,0)=1,MAX($D$16,IFERROR(L498,MAX($D$16,POWER((ABS(K498)^2)/($I$5*MAX(F498,0.1)^2),1/3)))),IF(IFERROR(AG498,0)=1,MAX($D$16,IFERROR(W498,MAX($D$16,POWER((ABS(K498)^2)/($I$5*MAX(F498,0.1)^2),1/3)))),MAX($D$16,POWER((ABS(K498)^2)/($I$5*MAX(F498,0.1)^2),1/3))))))),MAX($D$16,POWER((ABS(K498)^2)/($I$5*MAX(F498,0.1)^2),1/3)))</f>
        <v>2.1389677043987478</v>
      </c>
      <c r="AI498">
        <f t="shared" ca="1" si="238"/>
        <v>634.48346770439878</v>
      </c>
      <c r="AJ498">
        <f t="shared" ca="1" si="239"/>
        <v>635.55295155659815</v>
      </c>
      <c r="AM498">
        <v>0</v>
      </c>
      <c r="AN498">
        <v>0</v>
      </c>
      <c r="AO498">
        <f t="shared" si="240"/>
        <v>0</v>
      </c>
      <c r="AP498">
        <f t="shared" si="249"/>
        <v>0</v>
      </c>
      <c r="AQ498">
        <f t="shared" ca="1" si="241"/>
        <v>1.0000000000000004</v>
      </c>
      <c r="AR498" t="str">
        <f t="shared" ca="1" si="242"/>
        <v>Supercritical</v>
      </c>
      <c r="AS498">
        <f t="shared" ca="1" si="243"/>
        <v>3.8141460404132466E-3</v>
      </c>
    </row>
    <row r="499" spans="1:45" x14ac:dyDescent="0.35">
      <c r="A499">
        <v>438</v>
      </c>
      <c r="B499">
        <v>436.995</v>
      </c>
      <c r="C499">
        <v>616235.49300000002</v>
      </c>
      <c r="D499">
        <v>3097534.5109999999</v>
      </c>
      <c r="E499">
        <v>632.34400000000005</v>
      </c>
      <c r="F499">
        <v>5.2</v>
      </c>
      <c r="G499">
        <v>0</v>
      </c>
      <c r="H499" t="s">
        <v>154</v>
      </c>
      <c r="I499">
        <v>2.3E-2</v>
      </c>
      <c r="J499">
        <f t="shared" si="244"/>
        <v>0.99900000000002365</v>
      </c>
      <c r="K499">
        <f t="shared" ca="1" si="245"/>
        <v>50.95</v>
      </c>
      <c r="L499">
        <f t="shared" ca="1" si="246"/>
        <v>2.1389677043987478</v>
      </c>
      <c r="M499">
        <f t="shared" ca="1" si="219"/>
        <v>11.122632062873489</v>
      </c>
      <c r="N499">
        <f t="shared" ca="1" si="220"/>
        <v>1.1735290000551568</v>
      </c>
      <c r="O499">
        <f t="shared" ca="1" si="221"/>
        <v>4.5807502857230418</v>
      </c>
      <c r="P499">
        <f t="shared" ca="1" si="222"/>
        <v>634.48296770439879</v>
      </c>
      <c r="Q499">
        <f t="shared" ca="1" si="223"/>
        <v>635.55245155659816</v>
      </c>
      <c r="R499">
        <f t="shared" ca="1" si="224"/>
        <v>3.8141460404132466E-3</v>
      </c>
      <c r="S499">
        <f t="shared" ca="1" si="225"/>
        <v>1.0000000000000004</v>
      </c>
      <c r="T499">
        <f t="shared" ca="1" si="226"/>
        <v>35.686426155594638</v>
      </c>
      <c r="U499">
        <f t="shared" ca="1" si="247"/>
        <v>-3.3513287753521581E-3</v>
      </c>
      <c r="V499">
        <f t="shared" ca="1" si="248"/>
        <v>1</v>
      </c>
      <c r="W499">
        <f t="shared" ca="1" si="227"/>
        <v>1.7073193521975425</v>
      </c>
      <c r="X499">
        <f t="shared" ca="1" si="228"/>
        <v>8.8780606314272212</v>
      </c>
      <c r="Y499">
        <f t="shared" ca="1" si="229"/>
        <v>1.0305784068341417</v>
      </c>
      <c r="Z499">
        <f t="shared" ca="1" si="230"/>
        <v>5.7388659657992642</v>
      </c>
      <c r="AA499">
        <f t="shared" ca="1" si="231"/>
        <v>634.05131935219754</v>
      </c>
      <c r="AB499">
        <f t="shared" ca="1" si="232"/>
        <v>635.72994231720315</v>
      </c>
      <c r="AC499">
        <f t="shared" ca="1" si="233"/>
        <v>7.1185787953218843E-3</v>
      </c>
      <c r="AD499">
        <f t="shared" ca="1" si="234"/>
        <v>1.4022782452205313</v>
      </c>
      <c r="AE499">
        <f t="shared" ca="1" si="235"/>
        <v>37.384675284260432</v>
      </c>
      <c r="AF499">
        <f t="shared" ca="1" si="236"/>
        <v>6.6900445876854064E-3</v>
      </c>
      <c r="AG499">
        <f t="shared" ca="1" si="237"/>
        <v>0</v>
      </c>
      <c r="AH499">
        <f ca="1">IFERROR(IF(V32="Supercritical",MAX($D$16,IFERROR(L499,MAX($D$16,POWER((ABS(K499)^2)/($I$5*MAX(F499,0.1)^2),1/3)))),IF(V32="Subcritical",MAX($D$16,IFERROR(W499,MAX($D$16,POWER((ABS(K499)^2)/($I$5*MAX(F499,0.1)^2),1/3)))),IF(AND(IFERROR(V499,0)=1,IFERROR(AG499,0)=1),IF(IFERROR(T499,-1E+99)&gt;=IFERROR(AE499,-1E+99),MAX($D$16,IFERROR(L499,MAX($D$16,POWER((ABS(K499)^2)/($I$5*MAX(F499,0.1)^2),1/3)))),MAX($D$16,IFERROR(W499,MAX($D$16,POWER((ABS(K499)^2)/($I$5*MAX(F499,0.1)^2),1/3))))),IF(IFERROR(V499,0)=1,MAX($D$16,IFERROR(L499,MAX($D$16,POWER((ABS(K499)^2)/($I$5*MAX(F499,0.1)^2),1/3)))),IF(IFERROR(AG499,0)=1,MAX($D$16,IFERROR(W499,MAX($D$16,POWER((ABS(K499)^2)/($I$5*MAX(F499,0.1)^2),1/3)))),MAX($D$16,POWER((ABS(K499)^2)/($I$5*MAX(F499,0.1)^2),1/3))))))),MAX($D$16,POWER((ABS(K499)^2)/($I$5*MAX(F499,0.1)^2),1/3)))</f>
        <v>2.1389677043987478</v>
      </c>
      <c r="AI499">
        <f t="shared" ca="1" si="238"/>
        <v>634.48296770439879</v>
      </c>
      <c r="AJ499">
        <f t="shared" ca="1" si="239"/>
        <v>635.55245155659816</v>
      </c>
      <c r="AM499">
        <v>0</v>
      </c>
      <c r="AN499">
        <v>0</v>
      </c>
      <c r="AO499">
        <f t="shared" si="240"/>
        <v>0</v>
      </c>
      <c r="AP499">
        <f t="shared" si="249"/>
        <v>0</v>
      </c>
      <c r="AQ499">
        <f t="shared" ca="1" si="241"/>
        <v>1.0000000000000004</v>
      </c>
      <c r="AR499" t="str">
        <f t="shared" ca="1" si="242"/>
        <v>Supercritical</v>
      </c>
      <c r="AS499">
        <f t="shared" ca="1" si="243"/>
        <v>3.8141460404132466E-3</v>
      </c>
    </row>
    <row r="500" spans="1:45" x14ac:dyDescent="0.35">
      <c r="A500">
        <v>439</v>
      </c>
      <c r="B500">
        <v>437.99599999999998</v>
      </c>
      <c r="C500">
        <v>616235.01800000004</v>
      </c>
      <c r="D500">
        <v>3097533.63</v>
      </c>
      <c r="E500">
        <v>632.34349999999995</v>
      </c>
      <c r="F500">
        <v>5.2</v>
      </c>
      <c r="G500">
        <v>0</v>
      </c>
      <c r="H500" t="s">
        <v>154</v>
      </c>
      <c r="I500">
        <v>2.3E-2</v>
      </c>
      <c r="J500">
        <f t="shared" si="244"/>
        <v>1.0009999999999764</v>
      </c>
      <c r="K500">
        <f t="shared" ca="1" si="245"/>
        <v>50.95</v>
      </c>
      <c r="L500">
        <f t="shared" ca="1" si="246"/>
        <v>2.1389677043987478</v>
      </c>
      <c r="M500">
        <f t="shared" ca="1" si="219"/>
        <v>11.122632062873489</v>
      </c>
      <c r="N500">
        <f t="shared" ca="1" si="220"/>
        <v>1.1735290000551568</v>
      </c>
      <c r="O500">
        <f t="shared" ca="1" si="221"/>
        <v>4.5807502857230418</v>
      </c>
      <c r="P500">
        <f t="shared" ca="1" si="222"/>
        <v>634.48246770439869</v>
      </c>
      <c r="Q500">
        <f t="shared" ca="1" si="223"/>
        <v>635.55195155659806</v>
      </c>
      <c r="R500">
        <f t="shared" ca="1" si="224"/>
        <v>3.8141460404132466E-3</v>
      </c>
      <c r="S500">
        <f t="shared" ca="1" si="225"/>
        <v>1.0000000000000004</v>
      </c>
      <c r="T500">
        <f t="shared" ca="1" si="226"/>
        <v>35.686426155594638</v>
      </c>
      <c r="U500">
        <f t="shared" ca="1" si="247"/>
        <v>-3.3589570673484559E-3</v>
      </c>
      <c r="V500">
        <f t="shared" ca="1" si="248"/>
        <v>1</v>
      </c>
      <c r="W500">
        <f t="shared" ca="1" si="227"/>
        <v>1.7072923805778357</v>
      </c>
      <c r="X500">
        <f t="shared" ca="1" si="228"/>
        <v>8.8779203790047454</v>
      </c>
      <c r="Y500">
        <f t="shared" ca="1" si="229"/>
        <v>1.0305685793512056</v>
      </c>
      <c r="Z500">
        <f t="shared" ca="1" si="230"/>
        <v>5.7389566277808548</v>
      </c>
      <c r="AA500">
        <f t="shared" ca="1" si="231"/>
        <v>634.05079238057783</v>
      </c>
      <c r="AB500">
        <f t="shared" ca="1" si="232"/>
        <v>635.72946838340908</v>
      </c>
      <c r="AC500">
        <f t="shared" ca="1" si="233"/>
        <v>7.1188942273535229E-3</v>
      </c>
      <c r="AD500">
        <f t="shared" ca="1" si="234"/>
        <v>1.4023114749110275</v>
      </c>
      <c r="AE500">
        <f t="shared" ca="1" si="235"/>
        <v>37.384906699789923</v>
      </c>
      <c r="AF500">
        <f t="shared" ca="1" si="236"/>
        <v>6.6188942273583962E-3</v>
      </c>
      <c r="AG500">
        <f t="shared" ca="1" si="237"/>
        <v>0</v>
      </c>
      <c r="AH500">
        <f ca="1">IFERROR(IF(V32="Supercritical",MAX($D$16,IFERROR(L500,MAX($D$16,POWER((ABS(K500)^2)/($I$5*MAX(F500,0.1)^2),1/3)))),IF(V32="Subcritical",MAX($D$16,IFERROR(W500,MAX($D$16,POWER((ABS(K500)^2)/($I$5*MAX(F500,0.1)^2),1/3)))),IF(AND(IFERROR(V500,0)=1,IFERROR(AG500,0)=1),IF(IFERROR(T500,-1E+99)&gt;=IFERROR(AE500,-1E+99),MAX($D$16,IFERROR(L500,MAX($D$16,POWER((ABS(K500)^2)/($I$5*MAX(F500,0.1)^2),1/3)))),MAX($D$16,IFERROR(W500,MAX($D$16,POWER((ABS(K500)^2)/($I$5*MAX(F500,0.1)^2),1/3))))),IF(IFERROR(V500,0)=1,MAX($D$16,IFERROR(L500,MAX($D$16,POWER((ABS(K500)^2)/($I$5*MAX(F500,0.1)^2),1/3)))),IF(IFERROR(AG500,0)=1,MAX($D$16,IFERROR(W500,MAX($D$16,POWER((ABS(K500)^2)/($I$5*MAX(F500,0.1)^2),1/3)))),MAX($D$16,POWER((ABS(K500)^2)/($I$5*MAX(F500,0.1)^2),1/3))))))),MAX($D$16,POWER((ABS(K500)^2)/($I$5*MAX(F500,0.1)^2),1/3)))</f>
        <v>2.1389677043987478</v>
      </c>
      <c r="AI500">
        <f t="shared" ca="1" si="238"/>
        <v>634.48246770439869</v>
      </c>
      <c r="AJ500">
        <f t="shared" ca="1" si="239"/>
        <v>635.55195155659806</v>
      </c>
      <c r="AM500">
        <v>0</v>
      </c>
      <c r="AN500">
        <v>0</v>
      </c>
      <c r="AO500">
        <f t="shared" si="240"/>
        <v>0</v>
      </c>
      <c r="AP500">
        <f t="shared" si="249"/>
        <v>0</v>
      </c>
      <c r="AQ500">
        <f t="shared" ca="1" si="241"/>
        <v>1.0000000000000004</v>
      </c>
      <c r="AR500" t="str">
        <f t="shared" ca="1" si="242"/>
        <v>Supercritical</v>
      </c>
      <c r="AS500">
        <f t="shared" ca="1" si="243"/>
        <v>3.8141460404132466E-3</v>
      </c>
    </row>
    <row r="501" spans="1:45" x14ac:dyDescent="0.35">
      <c r="A501">
        <v>440</v>
      </c>
      <c r="B501">
        <v>438.99599999999998</v>
      </c>
      <c r="C501">
        <v>616234.54399999999</v>
      </c>
      <c r="D501">
        <v>3097532.75</v>
      </c>
      <c r="E501">
        <v>632.34299999999996</v>
      </c>
      <c r="F501">
        <v>5.2</v>
      </c>
      <c r="G501">
        <v>0</v>
      </c>
      <c r="H501" t="s">
        <v>154</v>
      </c>
      <c r="I501">
        <v>0</v>
      </c>
      <c r="J501">
        <f t="shared" si="244"/>
        <v>1</v>
      </c>
      <c r="K501">
        <f t="shared" ca="1" si="245"/>
        <v>50.95</v>
      </c>
      <c r="L501">
        <f t="shared" ca="1" si="246"/>
        <v>2.1389677043987478</v>
      </c>
      <c r="M501">
        <f t="shared" ca="1" si="219"/>
        <v>11.122632062873489</v>
      </c>
      <c r="N501">
        <f t="shared" ca="1" si="220"/>
        <v>1.1735290000551568</v>
      </c>
      <c r="O501">
        <f t="shared" ca="1" si="221"/>
        <v>4.5807502857230418</v>
      </c>
      <c r="P501">
        <f t="shared" ca="1" si="222"/>
        <v>634.4819677043987</v>
      </c>
      <c r="Q501">
        <f t="shared" ca="1" si="223"/>
        <v>635.55145155659807</v>
      </c>
      <c r="R501">
        <f t="shared" ca="1" si="224"/>
        <v>3.8141460404132466E-3</v>
      </c>
      <c r="S501">
        <f t="shared" ca="1" si="225"/>
        <v>1.0000000000000004</v>
      </c>
      <c r="T501">
        <f t="shared" ca="1" si="226"/>
        <v>35.686426155594638</v>
      </c>
      <c r="U501">
        <f t="shared" ca="1" si="247"/>
        <v>-3.3141460404522149E-3</v>
      </c>
      <c r="V501">
        <f t="shared" ca="1" si="248"/>
        <v>1</v>
      </c>
      <c r="W501">
        <f t="shared" ca="1" si="227"/>
        <v>1.7072671943486779</v>
      </c>
      <c r="X501">
        <f t="shared" ca="1" si="228"/>
        <v>8.8777894106131257</v>
      </c>
      <c r="Y501">
        <f t="shared" ca="1" si="229"/>
        <v>1.0305594022889004</v>
      </c>
      <c r="Z501">
        <f t="shared" ca="1" si="230"/>
        <v>5.7390412909649378</v>
      </c>
      <c r="AA501">
        <f t="shared" ca="1" si="231"/>
        <v>634.05026719434863</v>
      </c>
      <c r="AB501">
        <f t="shared" ca="1" si="232"/>
        <v>635.72899272642815</v>
      </c>
      <c r="AC501">
        <f t="shared" ca="1" si="233"/>
        <v>7.119188796944214E-3</v>
      </c>
      <c r="AD501">
        <f t="shared" ca="1" si="234"/>
        <v>1.4023425061419914</v>
      </c>
      <c r="AE501">
        <f t="shared" ca="1" si="235"/>
        <v>37.385122813581106</v>
      </c>
      <c r="AF501">
        <f t="shared" ca="1" si="236"/>
        <v>6.6876122571102314E-3</v>
      </c>
      <c r="AG501">
        <f t="shared" ca="1" si="237"/>
        <v>0</v>
      </c>
      <c r="AH501">
        <f ca="1">IFERROR(IF(V32="Supercritical",MAX($D$16,IFERROR(L501,MAX($D$16,POWER((ABS(K501)^2)/($I$5*MAX(F501,0.1)^2),1/3)))),IF(V32="Subcritical",MAX($D$16,IFERROR(W501,MAX($D$16,POWER((ABS(K501)^2)/($I$5*MAX(F501,0.1)^2),1/3)))),IF(AND(IFERROR(V501,0)=1,IFERROR(AG501,0)=1),IF(IFERROR(T501,-1E+99)&gt;=IFERROR(AE501,-1E+99),MAX($D$16,IFERROR(L501,MAX($D$16,POWER((ABS(K501)^2)/($I$5*MAX(F501,0.1)^2),1/3)))),MAX($D$16,IFERROR(W501,MAX($D$16,POWER((ABS(K501)^2)/($I$5*MAX(F501,0.1)^2),1/3))))),IF(IFERROR(V501,0)=1,MAX($D$16,IFERROR(L501,MAX($D$16,POWER((ABS(K501)^2)/($I$5*MAX(F501,0.1)^2),1/3)))),IF(IFERROR(AG501,0)=1,MAX($D$16,IFERROR(W501,MAX($D$16,POWER((ABS(K501)^2)/($I$5*MAX(F501,0.1)^2),1/3)))),MAX($D$16,POWER((ABS(K501)^2)/($I$5*MAX(F501,0.1)^2),1/3))))))),MAX($D$16,POWER((ABS(K501)^2)/($I$5*MAX(F501,0.1)^2),1/3)))</f>
        <v>2.1389677043987478</v>
      </c>
      <c r="AI501">
        <f t="shared" ca="1" si="238"/>
        <v>634.4819677043987</v>
      </c>
      <c r="AJ501">
        <f t="shared" ca="1" si="239"/>
        <v>635.55145155659807</v>
      </c>
      <c r="AM501">
        <v>0</v>
      </c>
      <c r="AN501">
        <v>0</v>
      </c>
      <c r="AO501">
        <f t="shared" si="240"/>
        <v>0</v>
      </c>
      <c r="AP501">
        <f t="shared" si="249"/>
        <v>0</v>
      </c>
      <c r="AQ501">
        <f t="shared" ca="1" si="241"/>
        <v>1.0000000000000004</v>
      </c>
      <c r="AR501" t="str">
        <f t="shared" ca="1" si="242"/>
        <v>Supercritical</v>
      </c>
      <c r="AS501">
        <f t="shared" ca="1" si="243"/>
        <v>3.8141460404132466E-3</v>
      </c>
    </row>
    <row r="502" spans="1:45" x14ac:dyDescent="0.35">
      <c r="A502">
        <v>441</v>
      </c>
      <c r="B502">
        <v>439.995</v>
      </c>
      <c r="C502">
        <v>616234.06999999995</v>
      </c>
      <c r="D502">
        <v>3097531.87</v>
      </c>
      <c r="E502">
        <v>632.34249999999997</v>
      </c>
      <c r="F502">
        <v>5.2</v>
      </c>
      <c r="G502">
        <v>0</v>
      </c>
      <c r="H502" t="s">
        <v>154</v>
      </c>
      <c r="I502">
        <v>2.7E-2</v>
      </c>
      <c r="J502">
        <f t="shared" si="244"/>
        <v>0.99900000000002365</v>
      </c>
      <c r="K502">
        <f t="shared" ca="1" si="245"/>
        <v>50.95</v>
      </c>
      <c r="L502">
        <f t="shared" ca="1" si="246"/>
        <v>2.1389677043987478</v>
      </c>
      <c r="M502">
        <f t="shared" ca="1" si="219"/>
        <v>11.122632062873489</v>
      </c>
      <c r="N502">
        <f t="shared" ca="1" si="220"/>
        <v>1.1735290000551568</v>
      </c>
      <c r="O502">
        <f t="shared" ca="1" si="221"/>
        <v>4.5807502857230418</v>
      </c>
      <c r="P502">
        <f t="shared" ca="1" si="222"/>
        <v>634.48146770439871</v>
      </c>
      <c r="Q502">
        <f t="shared" ca="1" si="223"/>
        <v>635.55095155659808</v>
      </c>
      <c r="R502">
        <f t="shared" ca="1" si="224"/>
        <v>3.8141460404132466E-3</v>
      </c>
      <c r="S502">
        <f t="shared" ca="1" si="225"/>
        <v>1.0000000000000004</v>
      </c>
      <c r="T502">
        <f t="shared" ca="1" si="226"/>
        <v>35.686426155594638</v>
      </c>
      <c r="U502">
        <f t="shared" ca="1" si="247"/>
        <v>-3.3584586676624895E-3</v>
      </c>
      <c r="V502">
        <f t="shared" ca="1" si="248"/>
        <v>1</v>
      </c>
      <c r="W502">
        <f t="shared" ca="1" si="227"/>
        <v>1.7072436755750442</v>
      </c>
      <c r="X502">
        <f t="shared" ca="1" si="228"/>
        <v>8.8776671129902294</v>
      </c>
      <c r="Y502">
        <f t="shared" ca="1" si="229"/>
        <v>1.0305508326975492</v>
      </c>
      <c r="Z502">
        <f t="shared" ca="1" si="230"/>
        <v>5.7391203512742122</v>
      </c>
      <c r="AA502">
        <f t="shared" ca="1" si="231"/>
        <v>634.04974367557497</v>
      </c>
      <c r="AB502">
        <f t="shared" ca="1" si="232"/>
        <v>635.72851545979563</v>
      </c>
      <c r="AC502">
        <f t="shared" ca="1" si="233"/>
        <v>7.119463879916103E-3</v>
      </c>
      <c r="AD502">
        <f t="shared" ca="1" si="234"/>
        <v>1.402371483982136</v>
      </c>
      <c r="AE502">
        <f t="shared" ca="1" si="235"/>
        <v>37.385324634240362</v>
      </c>
      <c r="AF502">
        <f t="shared" ca="1" si="236"/>
        <v>6.8448236758058556E-3</v>
      </c>
      <c r="AG502">
        <f t="shared" ca="1" si="237"/>
        <v>0</v>
      </c>
      <c r="AH502">
        <f ca="1">IFERROR(IF(V32="Supercritical",MAX($D$16,IFERROR(L502,MAX($D$16,POWER((ABS(K502)^2)/($I$5*MAX(F502,0.1)^2),1/3)))),IF(V32="Subcritical",MAX($D$16,IFERROR(W502,MAX($D$16,POWER((ABS(K502)^2)/($I$5*MAX(F502,0.1)^2),1/3)))),IF(AND(IFERROR(V502,0)=1,IFERROR(AG502,0)=1),IF(IFERROR(T502,-1E+99)&gt;=IFERROR(AE502,-1E+99),MAX($D$16,IFERROR(L502,MAX($D$16,POWER((ABS(K502)^2)/($I$5*MAX(F502,0.1)^2),1/3)))),MAX($D$16,IFERROR(W502,MAX($D$16,POWER((ABS(K502)^2)/($I$5*MAX(F502,0.1)^2),1/3))))),IF(IFERROR(V502,0)=1,MAX($D$16,IFERROR(L502,MAX($D$16,POWER((ABS(K502)^2)/($I$5*MAX(F502,0.1)^2),1/3)))),IF(IFERROR(AG502,0)=1,MAX($D$16,IFERROR(W502,MAX($D$16,POWER((ABS(K502)^2)/($I$5*MAX(F502,0.1)^2),1/3)))),MAX($D$16,POWER((ABS(K502)^2)/($I$5*MAX(F502,0.1)^2),1/3))))))),MAX($D$16,POWER((ABS(K502)^2)/($I$5*MAX(F502,0.1)^2),1/3)))</f>
        <v>2.1389677043987478</v>
      </c>
      <c r="AI502">
        <f t="shared" ca="1" si="238"/>
        <v>634.48146770439871</v>
      </c>
      <c r="AJ502">
        <f t="shared" ca="1" si="239"/>
        <v>635.55095155659808</v>
      </c>
      <c r="AM502">
        <v>0</v>
      </c>
      <c r="AN502">
        <v>0</v>
      </c>
      <c r="AO502">
        <f t="shared" si="240"/>
        <v>0</v>
      </c>
      <c r="AP502">
        <f t="shared" si="249"/>
        <v>0</v>
      </c>
      <c r="AQ502">
        <f t="shared" ca="1" si="241"/>
        <v>1.0000000000000004</v>
      </c>
      <c r="AR502" t="str">
        <f t="shared" ca="1" si="242"/>
        <v>Supercritical</v>
      </c>
      <c r="AS502">
        <f t="shared" ca="1" si="243"/>
        <v>3.8141460404132466E-3</v>
      </c>
    </row>
    <row r="503" spans="1:45" x14ac:dyDescent="0.35">
      <c r="A503">
        <v>442</v>
      </c>
      <c r="B503">
        <v>440.99599999999998</v>
      </c>
      <c r="C503">
        <v>616233.59600000002</v>
      </c>
      <c r="D503">
        <v>3097530.9890000001</v>
      </c>
      <c r="E503">
        <v>632.34199999999998</v>
      </c>
      <c r="F503">
        <v>5.2</v>
      </c>
      <c r="G503">
        <v>0</v>
      </c>
      <c r="H503" t="s">
        <v>154</v>
      </c>
      <c r="I503">
        <v>7.8E-2</v>
      </c>
      <c r="J503">
        <f t="shared" si="244"/>
        <v>1.0009999999999764</v>
      </c>
      <c r="K503">
        <f t="shared" ca="1" si="245"/>
        <v>50.95</v>
      </c>
      <c r="L503">
        <f t="shared" ca="1" si="246"/>
        <v>2.1389677043987478</v>
      </c>
      <c r="M503">
        <f t="shared" ca="1" si="219"/>
        <v>11.122632062873489</v>
      </c>
      <c r="N503">
        <f t="shared" ca="1" si="220"/>
        <v>1.1735290000551568</v>
      </c>
      <c r="O503">
        <f t="shared" ca="1" si="221"/>
        <v>4.5807502857230418</v>
      </c>
      <c r="P503">
        <f t="shared" ca="1" si="222"/>
        <v>634.48096770439872</v>
      </c>
      <c r="Q503">
        <f t="shared" ca="1" si="223"/>
        <v>635.55045155659809</v>
      </c>
      <c r="R503">
        <f t="shared" ca="1" si="224"/>
        <v>3.8141460404132466E-3</v>
      </c>
      <c r="S503">
        <f t="shared" ca="1" si="225"/>
        <v>1.0000000000000004</v>
      </c>
      <c r="T503">
        <f t="shared" ca="1" si="226"/>
        <v>35.686426155594638</v>
      </c>
      <c r="U503">
        <f t="shared" ca="1" si="247"/>
        <v>-3.456993087183946E-3</v>
      </c>
      <c r="V503">
        <f t="shared" ca="1" si="248"/>
        <v>1</v>
      </c>
      <c r="W503">
        <f t="shared" ca="1" si="227"/>
        <v>1.707221714080269</v>
      </c>
      <c r="X503">
        <f t="shared" ca="1" si="228"/>
        <v>8.8775529132174</v>
      </c>
      <c r="Y503">
        <f t="shared" ca="1" si="229"/>
        <v>1.0305428304510955</v>
      </c>
      <c r="Z503">
        <f t="shared" ca="1" si="230"/>
        <v>5.7391941786280745</v>
      </c>
      <c r="AA503">
        <f t="shared" ca="1" si="231"/>
        <v>634.0492217140802</v>
      </c>
      <c r="AB503">
        <f t="shared" ca="1" si="232"/>
        <v>635.72803668961524</v>
      </c>
      <c r="AC503">
        <f t="shared" ca="1" si="233"/>
        <v>7.1197207618722809E-3</v>
      </c>
      <c r="AD503">
        <f t="shared" ca="1" si="234"/>
        <v>1.4023985439762856</v>
      </c>
      <c r="AE503">
        <f t="shared" ca="1" si="235"/>
        <v>37.385513104299633</v>
      </c>
      <c r="AF503">
        <f t="shared" ca="1" si="236"/>
        <v>6.8379667087583584E-3</v>
      </c>
      <c r="AG503">
        <f t="shared" ca="1" si="237"/>
        <v>0</v>
      </c>
      <c r="AH503">
        <f ca="1">IFERROR(IF(V32="Supercritical",MAX($D$16,IFERROR(L503,MAX($D$16,POWER((ABS(K503)^2)/($I$5*MAX(F503,0.1)^2),1/3)))),IF(V32="Subcritical",MAX($D$16,IFERROR(W503,MAX($D$16,POWER((ABS(K503)^2)/($I$5*MAX(F503,0.1)^2),1/3)))),IF(AND(IFERROR(V503,0)=1,IFERROR(AG503,0)=1),IF(IFERROR(T503,-1E+99)&gt;=IFERROR(AE503,-1E+99),MAX($D$16,IFERROR(L503,MAX($D$16,POWER((ABS(K503)^2)/($I$5*MAX(F503,0.1)^2),1/3)))),MAX($D$16,IFERROR(W503,MAX($D$16,POWER((ABS(K503)^2)/($I$5*MAX(F503,0.1)^2),1/3))))),IF(IFERROR(V503,0)=1,MAX($D$16,IFERROR(L503,MAX($D$16,POWER((ABS(K503)^2)/($I$5*MAX(F503,0.1)^2),1/3)))),IF(IFERROR(AG503,0)=1,MAX($D$16,IFERROR(W503,MAX($D$16,POWER((ABS(K503)^2)/($I$5*MAX(F503,0.1)^2),1/3)))),MAX($D$16,POWER((ABS(K503)^2)/($I$5*MAX(F503,0.1)^2),1/3))))))),MAX($D$16,POWER((ABS(K503)^2)/($I$5*MAX(F503,0.1)^2),1/3)))</f>
        <v>2.1389677043987478</v>
      </c>
      <c r="AI503">
        <f t="shared" ca="1" si="238"/>
        <v>634.48096770439872</v>
      </c>
      <c r="AJ503">
        <f t="shared" ca="1" si="239"/>
        <v>635.55045155659809</v>
      </c>
      <c r="AM503">
        <v>0</v>
      </c>
      <c r="AN503">
        <v>0</v>
      </c>
      <c r="AO503">
        <f t="shared" si="240"/>
        <v>0</v>
      </c>
      <c r="AP503">
        <f t="shared" si="249"/>
        <v>0</v>
      </c>
      <c r="AQ503">
        <f t="shared" ca="1" si="241"/>
        <v>1.0000000000000004</v>
      </c>
      <c r="AR503" t="str">
        <f t="shared" ca="1" si="242"/>
        <v>Supercritical</v>
      </c>
      <c r="AS503">
        <f t="shared" ca="1" si="243"/>
        <v>3.8141460404132466E-3</v>
      </c>
    </row>
    <row r="504" spans="1:45" x14ac:dyDescent="0.35">
      <c r="A504">
        <v>443</v>
      </c>
      <c r="B504">
        <v>441.99599999999998</v>
      </c>
      <c r="C504">
        <v>616233.12100000004</v>
      </c>
      <c r="D504">
        <v>3097530.1090000002</v>
      </c>
      <c r="E504">
        <v>632.3415</v>
      </c>
      <c r="F504">
        <v>5.2</v>
      </c>
      <c r="G504">
        <v>0</v>
      </c>
      <c r="H504" t="s">
        <v>154</v>
      </c>
      <c r="I504">
        <v>7.8E-2</v>
      </c>
      <c r="J504">
        <f t="shared" si="244"/>
        <v>1</v>
      </c>
      <c r="K504">
        <f t="shared" ca="1" si="245"/>
        <v>50.95</v>
      </c>
      <c r="L504">
        <f t="shared" ca="1" si="246"/>
        <v>2.1389677043987478</v>
      </c>
      <c r="M504">
        <f t="shared" ca="1" si="219"/>
        <v>11.122632062873489</v>
      </c>
      <c r="N504">
        <f t="shared" ca="1" si="220"/>
        <v>1.1735290000551568</v>
      </c>
      <c r="O504">
        <f t="shared" ca="1" si="221"/>
        <v>4.5807502857230418</v>
      </c>
      <c r="P504">
        <f t="shared" ca="1" si="222"/>
        <v>634.48046770439873</v>
      </c>
      <c r="Q504">
        <f t="shared" ca="1" si="223"/>
        <v>635.5499515565981</v>
      </c>
      <c r="R504">
        <f t="shared" ca="1" si="224"/>
        <v>3.8141460404132466E-3</v>
      </c>
      <c r="S504">
        <f t="shared" ca="1" si="225"/>
        <v>1.0000000000000004</v>
      </c>
      <c r="T504">
        <f t="shared" ca="1" si="226"/>
        <v>35.686426155594638</v>
      </c>
      <c r="U504">
        <f t="shared" ca="1" si="247"/>
        <v>-3.4531789411857972E-3</v>
      </c>
      <c r="V504">
        <f t="shared" ca="1" si="248"/>
        <v>1</v>
      </c>
      <c r="W504">
        <f t="shared" ca="1" si="227"/>
        <v>1.7072012069397244</v>
      </c>
      <c r="X504">
        <f t="shared" ca="1" si="228"/>
        <v>8.8774462760865678</v>
      </c>
      <c r="Y504">
        <f t="shared" ca="1" si="229"/>
        <v>1.0305353580630623</v>
      </c>
      <c r="Z504">
        <f t="shared" ca="1" si="230"/>
        <v>5.7392631186341827</v>
      </c>
      <c r="AA504">
        <f t="shared" ca="1" si="231"/>
        <v>634.04870120693977</v>
      </c>
      <c r="AB504">
        <f t="shared" ca="1" si="232"/>
        <v>635.7275565150394</v>
      </c>
      <c r="AC504">
        <f t="shared" ca="1" si="233"/>
        <v>7.1199606440475408E-3</v>
      </c>
      <c r="AD504">
        <f t="shared" ca="1" si="234"/>
        <v>1.4024238127644246</v>
      </c>
      <c r="AE504">
        <f t="shared" ca="1" si="235"/>
        <v>37.385689104493068</v>
      </c>
      <c r="AF504">
        <f t="shared" ca="1" si="236"/>
        <v>6.6955091330100913E-3</v>
      </c>
      <c r="AG504">
        <f t="shared" ca="1" si="237"/>
        <v>0</v>
      </c>
      <c r="AH504">
        <f ca="1">IFERROR(IF(V32="Supercritical",MAX($D$16,IFERROR(L504,MAX($D$16,POWER((ABS(K504)^2)/($I$5*MAX(F504,0.1)^2),1/3)))),IF(V32="Subcritical",MAX($D$16,IFERROR(W504,MAX($D$16,POWER((ABS(K504)^2)/($I$5*MAX(F504,0.1)^2),1/3)))),IF(AND(IFERROR(V504,0)=1,IFERROR(AG504,0)=1),IF(IFERROR(T504,-1E+99)&gt;=IFERROR(AE504,-1E+99),MAX($D$16,IFERROR(L504,MAX($D$16,POWER((ABS(K504)^2)/($I$5*MAX(F504,0.1)^2),1/3)))),MAX($D$16,IFERROR(W504,MAX($D$16,POWER((ABS(K504)^2)/($I$5*MAX(F504,0.1)^2),1/3))))),IF(IFERROR(V504,0)=1,MAX($D$16,IFERROR(L504,MAX($D$16,POWER((ABS(K504)^2)/($I$5*MAX(F504,0.1)^2),1/3)))),IF(IFERROR(AG504,0)=1,MAX($D$16,IFERROR(W504,MAX($D$16,POWER((ABS(K504)^2)/($I$5*MAX(F504,0.1)^2),1/3)))),MAX($D$16,POWER((ABS(K504)^2)/($I$5*MAX(F504,0.1)^2),1/3))))))),MAX($D$16,POWER((ABS(K504)^2)/($I$5*MAX(F504,0.1)^2),1/3)))</f>
        <v>2.1389677043987478</v>
      </c>
      <c r="AI504">
        <f t="shared" ca="1" si="238"/>
        <v>634.48046770439873</v>
      </c>
      <c r="AJ504">
        <f t="shared" ca="1" si="239"/>
        <v>635.5499515565981</v>
      </c>
      <c r="AM504">
        <v>0</v>
      </c>
      <c r="AN504">
        <v>0</v>
      </c>
      <c r="AO504">
        <f t="shared" si="240"/>
        <v>0</v>
      </c>
      <c r="AP504">
        <f t="shared" si="249"/>
        <v>0</v>
      </c>
      <c r="AQ504">
        <f t="shared" ca="1" si="241"/>
        <v>1.0000000000000004</v>
      </c>
      <c r="AR504" t="str">
        <f t="shared" ca="1" si="242"/>
        <v>Supercritical</v>
      </c>
      <c r="AS504">
        <f t="shared" ca="1" si="243"/>
        <v>3.8141460404132466E-3</v>
      </c>
    </row>
    <row r="505" spans="1:45" x14ac:dyDescent="0.35">
      <c r="A505">
        <v>444</v>
      </c>
      <c r="B505">
        <v>442.99599999999998</v>
      </c>
      <c r="C505">
        <v>616232.647</v>
      </c>
      <c r="D505">
        <v>3097529.2280000001</v>
      </c>
      <c r="E505">
        <v>632.34100000000001</v>
      </c>
      <c r="F505">
        <v>5.2</v>
      </c>
      <c r="G505">
        <v>0</v>
      </c>
      <c r="H505" t="s">
        <v>154</v>
      </c>
      <c r="I505">
        <v>2.7E-2</v>
      </c>
      <c r="J505">
        <f t="shared" si="244"/>
        <v>1</v>
      </c>
      <c r="K505">
        <f t="shared" ca="1" si="245"/>
        <v>50.95</v>
      </c>
      <c r="L505">
        <f t="shared" ca="1" si="246"/>
        <v>2.1389677043987478</v>
      </c>
      <c r="M505">
        <f t="shared" ca="1" si="219"/>
        <v>11.122632062873489</v>
      </c>
      <c r="N505">
        <f t="shared" ca="1" si="220"/>
        <v>1.1735290000551568</v>
      </c>
      <c r="O505">
        <f t="shared" ca="1" si="221"/>
        <v>4.5807502857230418</v>
      </c>
      <c r="P505">
        <f t="shared" ca="1" si="222"/>
        <v>634.47996770439875</v>
      </c>
      <c r="Q505">
        <f t="shared" ca="1" si="223"/>
        <v>635.54945155659811</v>
      </c>
      <c r="R505">
        <f t="shared" ca="1" si="224"/>
        <v>3.8141460404132466E-3</v>
      </c>
      <c r="S505">
        <f t="shared" ca="1" si="225"/>
        <v>1.0000000000000004</v>
      </c>
      <c r="T505">
        <f t="shared" ca="1" si="226"/>
        <v>35.686426155594638</v>
      </c>
      <c r="U505">
        <f t="shared" ca="1" si="247"/>
        <v>-3.3622728137743252E-3</v>
      </c>
      <c r="V505">
        <f t="shared" ca="1" si="248"/>
        <v>1</v>
      </c>
      <c r="W505">
        <f t="shared" ca="1" si="227"/>
        <v>1.7071820580071047</v>
      </c>
      <c r="X505">
        <f t="shared" ca="1" si="228"/>
        <v>8.8773467016369452</v>
      </c>
      <c r="Y505">
        <f t="shared" ca="1" si="229"/>
        <v>1.0305283805143373</v>
      </c>
      <c r="Z505">
        <f t="shared" ca="1" si="230"/>
        <v>5.7393274941717705</v>
      </c>
      <c r="AA505">
        <f t="shared" ca="1" si="231"/>
        <v>634.04818205800711</v>
      </c>
      <c r="AB505">
        <f t="shared" ca="1" si="232"/>
        <v>635.72707502871845</v>
      </c>
      <c r="AC505">
        <f t="shared" ca="1" si="233"/>
        <v>7.1201846487869416E-3</v>
      </c>
      <c r="AD505">
        <f t="shared" ca="1" si="234"/>
        <v>1.4024474086611902</v>
      </c>
      <c r="AE505">
        <f t="shared" ca="1" si="235"/>
        <v>37.385853457762671</v>
      </c>
      <c r="AF505">
        <f t="shared" ca="1" si="236"/>
        <v>6.6201846487956573E-3</v>
      </c>
      <c r="AG505">
        <f t="shared" ca="1" si="237"/>
        <v>0</v>
      </c>
      <c r="AH505">
        <f ca="1">IFERROR(IF(V32="Supercritical",MAX($D$16,IFERROR(L505,MAX($D$16,POWER((ABS(K505)^2)/($I$5*MAX(F505,0.1)^2),1/3)))),IF(V32="Subcritical",MAX($D$16,IFERROR(W505,MAX($D$16,POWER((ABS(K505)^2)/($I$5*MAX(F505,0.1)^2),1/3)))),IF(AND(IFERROR(V505,0)=1,IFERROR(AG505,0)=1),IF(IFERROR(T505,-1E+99)&gt;=IFERROR(AE505,-1E+99),MAX($D$16,IFERROR(L505,MAX($D$16,POWER((ABS(K505)^2)/($I$5*MAX(F505,0.1)^2),1/3)))),MAX($D$16,IFERROR(W505,MAX($D$16,POWER((ABS(K505)^2)/($I$5*MAX(F505,0.1)^2),1/3))))),IF(IFERROR(V505,0)=1,MAX($D$16,IFERROR(L505,MAX($D$16,POWER((ABS(K505)^2)/($I$5*MAX(F505,0.1)^2),1/3)))),IF(IFERROR(AG505,0)=1,MAX($D$16,IFERROR(W505,MAX($D$16,POWER((ABS(K505)^2)/($I$5*MAX(F505,0.1)^2),1/3)))),MAX($D$16,POWER((ABS(K505)^2)/($I$5*MAX(F505,0.1)^2),1/3))))))),MAX($D$16,POWER((ABS(K505)^2)/($I$5*MAX(F505,0.1)^2),1/3)))</f>
        <v>2.1389677043987478</v>
      </c>
      <c r="AI505">
        <f t="shared" ca="1" si="238"/>
        <v>634.47996770439875</v>
      </c>
      <c r="AJ505">
        <f t="shared" ca="1" si="239"/>
        <v>635.54945155659811</v>
      </c>
      <c r="AM505">
        <v>0</v>
      </c>
      <c r="AN505">
        <v>0</v>
      </c>
      <c r="AO505">
        <f t="shared" si="240"/>
        <v>0</v>
      </c>
      <c r="AP505">
        <f t="shared" si="249"/>
        <v>0</v>
      </c>
      <c r="AQ505">
        <f t="shared" ca="1" si="241"/>
        <v>1.0000000000000004</v>
      </c>
      <c r="AR505" t="str">
        <f t="shared" ca="1" si="242"/>
        <v>Supercritical</v>
      </c>
      <c r="AS505">
        <f t="shared" ca="1" si="243"/>
        <v>3.8141460404132466E-3</v>
      </c>
    </row>
    <row r="506" spans="1:45" x14ac:dyDescent="0.35">
      <c r="A506">
        <v>445</v>
      </c>
      <c r="B506">
        <v>443.99599999999998</v>
      </c>
      <c r="C506">
        <v>616232.17299999995</v>
      </c>
      <c r="D506">
        <v>3097528.3480000002</v>
      </c>
      <c r="E506">
        <v>632.34050000000002</v>
      </c>
      <c r="F506">
        <v>5.2</v>
      </c>
      <c r="G506">
        <v>0</v>
      </c>
      <c r="H506" t="s">
        <v>154</v>
      </c>
      <c r="I506">
        <v>0</v>
      </c>
      <c r="J506">
        <f t="shared" si="244"/>
        <v>1</v>
      </c>
      <c r="K506">
        <f t="shared" ca="1" si="245"/>
        <v>50.95</v>
      </c>
      <c r="L506">
        <f t="shared" ca="1" si="246"/>
        <v>2.1389677043987478</v>
      </c>
      <c r="M506">
        <f t="shared" ca="1" si="219"/>
        <v>11.122632062873489</v>
      </c>
      <c r="N506">
        <f t="shared" ca="1" si="220"/>
        <v>1.1735290000551568</v>
      </c>
      <c r="O506">
        <f t="shared" ca="1" si="221"/>
        <v>4.5807502857230418</v>
      </c>
      <c r="P506">
        <f t="shared" ca="1" si="222"/>
        <v>634.47946770439876</v>
      </c>
      <c r="Q506">
        <f t="shared" ca="1" si="223"/>
        <v>635.54895155659813</v>
      </c>
      <c r="R506">
        <f t="shared" ca="1" si="224"/>
        <v>3.8141460404132466E-3</v>
      </c>
      <c r="S506">
        <f t="shared" ca="1" si="225"/>
        <v>1.0000000000000004</v>
      </c>
      <c r="T506">
        <f t="shared" ca="1" si="226"/>
        <v>35.686426155594638</v>
      </c>
      <c r="U506">
        <f t="shared" ca="1" si="247"/>
        <v>-3.3141460404522149E-3</v>
      </c>
      <c r="V506">
        <f t="shared" ca="1" si="248"/>
        <v>1</v>
      </c>
      <c r="W506">
        <f t="shared" ca="1" si="227"/>
        <v>1.7071641774710471</v>
      </c>
      <c r="X506">
        <f t="shared" ca="1" si="228"/>
        <v>8.8772537228494457</v>
      </c>
      <c r="Y506">
        <f t="shared" ca="1" si="229"/>
        <v>1.0305218650919559</v>
      </c>
      <c r="Z506">
        <f t="shared" ca="1" si="230"/>
        <v>5.7393876068742049</v>
      </c>
      <c r="AA506">
        <f t="shared" ca="1" si="231"/>
        <v>634.04766417747112</v>
      </c>
      <c r="AB506">
        <f t="shared" ca="1" si="232"/>
        <v>635.72659231722344</v>
      </c>
      <c r="AC506">
        <f t="shared" ca="1" si="233"/>
        <v>7.1203938246778859E-3</v>
      </c>
      <c r="AD506">
        <f t="shared" ca="1" si="234"/>
        <v>1.4024694421985491</v>
      </c>
      <c r="AE506">
        <f t="shared" ca="1" si="235"/>
        <v>37.386006933011608</v>
      </c>
      <c r="AF506">
        <f t="shared" ca="1" si="236"/>
        <v>6.6888251971022328E-3</v>
      </c>
      <c r="AG506">
        <f t="shared" ca="1" si="237"/>
        <v>0</v>
      </c>
      <c r="AH506">
        <f ca="1">IFERROR(IF(V32="Supercritical",MAX($D$16,IFERROR(L506,MAX($D$16,POWER((ABS(K506)^2)/($I$5*MAX(F506,0.1)^2),1/3)))),IF(V32="Subcritical",MAX($D$16,IFERROR(W506,MAX($D$16,POWER((ABS(K506)^2)/($I$5*MAX(F506,0.1)^2),1/3)))),IF(AND(IFERROR(V506,0)=1,IFERROR(AG506,0)=1),IF(IFERROR(T506,-1E+99)&gt;=IFERROR(AE506,-1E+99),MAX($D$16,IFERROR(L506,MAX($D$16,POWER((ABS(K506)^2)/($I$5*MAX(F506,0.1)^2),1/3)))),MAX($D$16,IFERROR(W506,MAX($D$16,POWER((ABS(K506)^2)/($I$5*MAX(F506,0.1)^2),1/3))))),IF(IFERROR(V506,0)=1,MAX($D$16,IFERROR(L506,MAX($D$16,POWER((ABS(K506)^2)/($I$5*MAX(F506,0.1)^2),1/3)))),IF(IFERROR(AG506,0)=1,MAX($D$16,IFERROR(W506,MAX($D$16,POWER((ABS(K506)^2)/($I$5*MAX(F506,0.1)^2),1/3)))),MAX($D$16,POWER((ABS(K506)^2)/($I$5*MAX(F506,0.1)^2),1/3))))))),MAX($D$16,POWER((ABS(K506)^2)/($I$5*MAX(F506,0.1)^2),1/3)))</f>
        <v>2.1389677043987478</v>
      </c>
      <c r="AI506">
        <f t="shared" ca="1" si="238"/>
        <v>634.47946770439876</v>
      </c>
      <c r="AJ506">
        <f t="shared" ca="1" si="239"/>
        <v>635.54895155659813</v>
      </c>
      <c r="AM506">
        <v>0</v>
      </c>
      <c r="AN506">
        <v>0</v>
      </c>
      <c r="AO506">
        <f t="shared" si="240"/>
        <v>0</v>
      </c>
      <c r="AP506">
        <f t="shared" si="249"/>
        <v>0</v>
      </c>
      <c r="AQ506">
        <f t="shared" ca="1" si="241"/>
        <v>1.0000000000000004</v>
      </c>
      <c r="AR506" t="str">
        <f t="shared" ca="1" si="242"/>
        <v>Supercritical</v>
      </c>
      <c r="AS506">
        <f t="shared" ca="1" si="243"/>
        <v>3.8141460404132466E-3</v>
      </c>
    </row>
    <row r="507" spans="1:45" x14ac:dyDescent="0.35">
      <c r="A507">
        <v>446</v>
      </c>
      <c r="B507">
        <v>444.995</v>
      </c>
      <c r="C507">
        <v>616231.69900000002</v>
      </c>
      <c r="D507">
        <v>3097527.4679999999</v>
      </c>
      <c r="E507">
        <v>632.34</v>
      </c>
      <c r="F507">
        <v>5.2</v>
      </c>
      <c r="G507">
        <v>0</v>
      </c>
      <c r="H507" t="s">
        <v>154</v>
      </c>
      <c r="I507">
        <v>2.7E-2</v>
      </c>
      <c r="J507">
        <f t="shared" si="244"/>
        <v>0.99900000000002365</v>
      </c>
      <c r="K507">
        <f t="shared" ca="1" si="245"/>
        <v>50.95</v>
      </c>
      <c r="L507">
        <f t="shared" ca="1" si="246"/>
        <v>2.1389677043987478</v>
      </c>
      <c r="M507">
        <f t="shared" ca="1" si="219"/>
        <v>11.122632062873489</v>
      </c>
      <c r="N507">
        <f t="shared" ca="1" si="220"/>
        <v>1.1735290000551568</v>
      </c>
      <c r="O507">
        <f t="shared" ca="1" si="221"/>
        <v>4.5807502857230418</v>
      </c>
      <c r="P507">
        <f t="shared" ca="1" si="222"/>
        <v>634.47896770439877</v>
      </c>
      <c r="Q507">
        <f t="shared" ca="1" si="223"/>
        <v>635.54845155659814</v>
      </c>
      <c r="R507">
        <f t="shared" ca="1" si="224"/>
        <v>3.8141460404132466E-3</v>
      </c>
      <c r="S507">
        <f t="shared" ca="1" si="225"/>
        <v>1.0000000000000004</v>
      </c>
      <c r="T507">
        <f t="shared" ca="1" si="226"/>
        <v>35.686426155594638</v>
      </c>
      <c r="U507">
        <f t="shared" ca="1" si="247"/>
        <v>-3.3584586676624895E-3</v>
      </c>
      <c r="V507">
        <f t="shared" ca="1" si="248"/>
        <v>1</v>
      </c>
      <c r="W507">
        <f t="shared" ca="1" si="227"/>
        <v>1.707147481440505</v>
      </c>
      <c r="X507">
        <f t="shared" ca="1" si="228"/>
        <v>8.8771669034906271</v>
      </c>
      <c r="Y507">
        <f t="shared" ca="1" si="229"/>
        <v>1.0305157812383174</v>
      </c>
      <c r="Z507">
        <f t="shared" ca="1" si="230"/>
        <v>5.7394437385159156</v>
      </c>
      <c r="AA507">
        <f t="shared" ca="1" si="231"/>
        <v>634.04714748144056</v>
      </c>
      <c r="AB507">
        <f t="shared" ca="1" si="232"/>
        <v>635.72610846144005</v>
      </c>
      <c r="AC507">
        <f t="shared" ca="1" si="233"/>
        <v>7.120589151352958E-3</v>
      </c>
      <c r="AD507">
        <f t="shared" ca="1" si="234"/>
        <v>1.4024900166335175</v>
      </c>
      <c r="AE507">
        <f t="shared" ca="1" si="235"/>
        <v>37.386150248617433</v>
      </c>
      <c r="AF507">
        <f t="shared" ca="1" si="236"/>
        <v>6.8459746679536693E-3</v>
      </c>
      <c r="AG507">
        <f t="shared" ca="1" si="237"/>
        <v>0</v>
      </c>
      <c r="AH507">
        <f ca="1">IFERROR(IF(V32="Supercritical",MAX($D$16,IFERROR(L507,MAX($D$16,POWER((ABS(K507)^2)/($I$5*MAX(F507,0.1)^2),1/3)))),IF(V32="Subcritical",MAX($D$16,IFERROR(W507,MAX($D$16,POWER((ABS(K507)^2)/($I$5*MAX(F507,0.1)^2),1/3)))),IF(AND(IFERROR(V507,0)=1,IFERROR(AG507,0)=1),IF(IFERROR(T507,-1E+99)&gt;=IFERROR(AE507,-1E+99),MAX($D$16,IFERROR(L507,MAX($D$16,POWER((ABS(K507)^2)/($I$5*MAX(F507,0.1)^2),1/3)))),MAX($D$16,IFERROR(W507,MAX($D$16,POWER((ABS(K507)^2)/($I$5*MAX(F507,0.1)^2),1/3))))),IF(IFERROR(V507,0)=1,MAX($D$16,IFERROR(L507,MAX($D$16,POWER((ABS(K507)^2)/($I$5*MAX(F507,0.1)^2),1/3)))),IF(IFERROR(AG507,0)=1,MAX($D$16,IFERROR(W507,MAX($D$16,POWER((ABS(K507)^2)/($I$5*MAX(F507,0.1)^2),1/3)))),MAX($D$16,POWER((ABS(K507)^2)/($I$5*MAX(F507,0.1)^2),1/3))))))),MAX($D$16,POWER((ABS(K507)^2)/($I$5*MAX(F507,0.1)^2),1/3)))</f>
        <v>2.1389677043987478</v>
      </c>
      <c r="AI507">
        <f t="shared" ca="1" si="238"/>
        <v>634.47896770439877</v>
      </c>
      <c r="AJ507">
        <f t="shared" ca="1" si="239"/>
        <v>635.54845155659814</v>
      </c>
      <c r="AM507">
        <v>0</v>
      </c>
      <c r="AN507">
        <v>0</v>
      </c>
      <c r="AO507">
        <f t="shared" si="240"/>
        <v>0</v>
      </c>
      <c r="AP507">
        <f t="shared" si="249"/>
        <v>0</v>
      </c>
      <c r="AQ507">
        <f t="shared" ca="1" si="241"/>
        <v>1.0000000000000004</v>
      </c>
      <c r="AR507" t="str">
        <f t="shared" ca="1" si="242"/>
        <v>Supercritical</v>
      </c>
      <c r="AS507">
        <f t="shared" ca="1" si="243"/>
        <v>3.8141460404132466E-3</v>
      </c>
    </row>
    <row r="508" spans="1:45" x14ac:dyDescent="0.35">
      <c r="A508">
        <v>447</v>
      </c>
      <c r="B508">
        <v>445.99599999999998</v>
      </c>
      <c r="C508">
        <v>616231.22499999998</v>
      </c>
      <c r="D508">
        <v>3097526.5869999998</v>
      </c>
      <c r="E508">
        <v>632.33950000000004</v>
      </c>
      <c r="F508">
        <v>5.2</v>
      </c>
      <c r="G508">
        <v>0</v>
      </c>
      <c r="H508" t="s">
        <v>154</v>
      </c>
      <c r="I508">
        <v>7.8E-2</v>
      </c>
      <c r="J508">
        <f t="shared" si="244"/>
        <v>1.0009999999999764</v>
      </c>
      <c r="K508">
        <f t="shared" ca="1" si="245"/>
        <v>50.95</v>
      </c>
      <c r="L508">
        <f t="shared" ca="1" si="246"/>
        <v>2.1389677043987478</v>
      </c>
      <c r="M508">
        <f t="shared" ca="1" si="219"/>
        <v>11.122632062873489</v>
      </c>
      <c r="N508">
        <f t="shared" ca="1" si="220"/>
        <v>1.1735290000551568</v>
      </c>
      <c r="O508">
        <f t="shared" ca="1" si="221"/>
        <v>4.5807502857230418</v>
      </c>
      <c r="P508">
        <f t="shared" ca="1" si="222"/>
        <v>634.47846770439878</v>
      </c>
      <c r="Q508">
        <f t="shared" ca="1" si="223"/>
        <v>635.54795155659815</v>
      </c>
      <c r="R508">
        <f t="shared" ca="1" si="224"/>
        <v>3.8141460404132466E-3</v>
      </c>
      <c r="S508">
        <f t="shared" ca="1" si="225"/>
        <v>1.0000000000000004</v>
      </c>
      <c r="T508">
        <f t="shared" ca="1" si="226"/>
        <v>35.686426155594638</v>
      </c>
      <c r="U508">
        <f t="shared" ca="1" si="247"/>
        <v>-3.456993087183946E-3</v>
      </c>
      <c r="V508">
        <f t="shared" ca="1" si="248"/>
        <v>1</v>
      </c>
      <c r="W508">
        <f t="shared" ca="1" si="227"/>
        <v>1.7071318915568254</v>
      </c>
      <c r="X508">
        <f t="shared" ca="1" si="228"/>
        <v>8.8770858360954925</v>
      </c>
      <c r="Y508">
        <f t="shared" ca="1" si="229"/>
        <v>1.0305101004100949</v>
      </c>
      <c r="Z508">
        <f t="shared" ca="1" si="230"/>
        <v>5.7394961523104868</v>
      </c>
      <c r="AA508">
        <f t="shared" ca="1" si="231"/>
        <v>634.0466318915569</v>
      </c>
      <c r="AB508">
        <f t="shared" ca="1" si="232"/>
        <v>635.72562353693854</v>
      </c>
      <c r="AC508">
        <f t="shared" ca="1" si="233"/>
        <v>7.1207715439865951E-3</v>
      </c>
      <c r="AD508">
        <f t="shared" ca="1" si="234"/>
        <v>1.402509228423404</v>
      </c>
      <c r="AE508">
        <f t="shared" ca="1" si="235"/>
        <v>37.386284075722237</v>
      </c>
      <c r="AF508">
        <f t="shared" ca="1" si="236"/>
        <v>6.8390404579758979E-3</v>
      </c>
      <c r="AG508">
        <f t="shared" ca="1" si="237"/>
        <v>0</v>
      </c>
      <c r="AH508">
        <f ca="1">IFERROR(IF(V32="Supercritical",MAX($D$16,IFERROR(L508,MAX($D$16,POWER((ABS(K508)^2)/($I$5*MAX(F508,0.1)^2),1/3)))),IF(V32="Subcritical",MAX($D$16,IFERROR(W508,MAX($D$16,POWER((ABS(K508)^2)/($I$5*MAX(F508,0.1)^2),1/3)))),IF(AND(IFERROR(V508,0)=1,IFERROR(AG508,0)=1),IF(IFERROR(T508,-1E+99)&gt;=IFERROR(AE508,-1E+99),MAX($D$16,IFERROR(L508,MAX($D$16,POWER((ABS(K508)^2)/($I$5*MAX(F508,0.1)^2),1/3)))),MAX($D$16,IFERROR(W508,MAX($D$16,POWER((ABS(K508)^2)/($I$5*MAX(F508,0.1)^2),1/3))))),IF(IFERROR(V508,0)=1,MAX($D$16,IFERROR(L508,MAX($D$16,POWER((ABS(K508)^2)/($I$5*MAX(F508,0.1)^2),1/3)))),IF(IFERROR(AG508,0)=1,MAX($D$16,IFERROR(W508,MAX($D$16,POWER((ABS(K508)^2)/($I$5*MAX(F508,0.1)^2),1/3)))),MAX($D$16,POWER((ABS(K508)^2)/($I$5*MAX(F508,0.1)^2),1/3))))))),MAX($D$16,POWER((ABS(K508)^2)/($I$5*MAX(F508,0.1)^2),1/3)))</f>
        <v>2.1389677043987478</v>
      </c>
      <c r="AI508">
        <f t="shared" ca="1" si="238"/>
        <v>634.47846770439878</v>
      </c>
      <c r="AJ508">
        <f t="shared" ca="1" si="239"/>
        <v>635.54795155659815</v>
      </c>
      <c r="AM508">
        <v>0</v>
      </c>
      <c r="AN508">
        <v>0</v>
      </c>
      <c r="AO508">
        <f t="shared" si="240"/>
        <v>0</v>
      </c>
      <c r="AP508">
        <f t="shared" si="249"/>
        <v>0</v>
      </c>
      <c r="AQ508">
        <f t="shared" ca="1" si="241"/>
        <v>1.0000000000000004</v>
      </c>
      <c r="AR508" t="str">
        <f t="shared" ca="1" si="242"/>
        <v>Supercritical</v>
      </c>
      <c r="AS508">
        <f t="shared" ca="1" si="243"/>
        <v>3.8141460404132466E-3</v>
      </c>
    </row>
    <row r="509" spans="1:45" x14ac:dyDescent="0.35">
      <c r="A509">
        <v>448</v>
      </c>
      <c r="B509">
        <v>446.99599999999998</v>
      </c>
      <c r="C509">
        <v>616230.75</v>
      </c>
      <c r="D509">
        <v>3097525.7069999999</v>
      </c>
      <c r="E509">
        <v>632.33900000000006</v>
      </c>
      <c r="F509">
        <v>5.2</v>
      </c>
      <c r="G509">
        <v>0</v>
      </c>
      <c r="H509" t="s">
        <v>154</v>
      </c>
      <c r="I509">
        <v>7.8E-2</v>
      </c>
      <c r="J509">
        <f t="shared" si="244"/>
        <v>1</v>
      </c>
      <c r="K509">
        <f t="shared" ca="1" si="245"/>
        <v>50.95</v>
      </c>
      <c r="L509">
        <f t="shared" ca="1" si="246"/>
        <v>2.1389677043987478</v>
      </c>
      <c r="M509">
        <f t="shared" ca="1" si="219"/>
        <v>11.122632062873489</v>
      </c>
      <c r="N509">
        <f t="shared" ca="1" si="220"/>
        <v>1.1735290000551568</v>
      </c>
      <c r="O509">
        <f t="shared" ca="1" si="221"/>
        <v>4.5807502857230418</v>
      </c>
      <c r="P509">
        <f t="shared" ca="1" si="222"/>
        <v>634.47796770439879</v>
      </c>
      <c r="Q509">
        <f t="shared" ca="1" si="223"/>
        <v>635.54745155659816</v>
      </c>
      <c r="R509">
        <f t="shared" ca="1" si="224"/>
        <v>3.8141460404132466E-3</v>
      </c>
      <c r="S509">
        <f t="shared" ca="1" si="225"/>
        <v>1.0000000000000004</v>
      </c>
      <c r="T509">
        <f t="shared" ca="1" si="226"/>
        <v>35.686426155594638</v>
      </c>
      <c r="U509">
        <f t="shared" ca="1" si="247"/>
        <v>-3.4531789411857972E-3</v>
      </c>
      <c r="V509">
        <f t="shared" ca="1" si="248"/>
        <v>1</v>
      </c>
      <c r="W509">
        <f t="shared" ca="1" si="227"/>
        <v>1.7071173346309976</v>
      </c>
      <c r="X509">
        <f t="shared" ca="1" si="228"/>
        <v>8.8770101400811878</v>
      </c>
      <c r="Y509">
        <f t="shared" ca="1" si="229"/>
        <v>1.0305047959462783</v>
      </c>
      <c r="Z509">
        <f t="shared" ca="1" si="230"/>
        <v>5.7395450941249031</v>
      </c>
      <c r="AA509">
        <f t="shared" ca="1" si="231"/>
        <v>634.04611733463105</v>
      </c>
      <c r="AB509">
        <f t="shared" ca="1" si="232"/>
        <v>635.72513761431981</v>
      </c>
      <c r="AC509">
        <f t="shared" ca="1" si="233"/>
        <v>7.1209418575027775E-3</v>
      </c>
      <c r="AD509">
        <f t="shared" ca="1" si="234"/>
        <v>1.4025271676703908</v>
      </c>
      <c r="AE509">
        <f t="shared" ca="1" si="235"/>
        <v>37.386409041311808</v>
      </c>
      <c r="AF509">
        <f t="shared" ca="1" si="236"/>
        <v>6.6964977698944494E-3</v>
      </c>
      <c r="AG509">
        <f t="shared" ca="1" si="237"/>
        <v>0</v>
      </c>
      <c r="AH509">
        <f ca="1">IFERROR(IF(V32="Supercritical",MAX($D$16,IFERROR(L509,MAX($D$16,POWER((ABS(K509)^2)/($I$5*MAX(F509,0.1)^2),1/3)))),IF(V32="Subcritical",MAX($D$16,IFERROR(W509,MAX($D$16,POWER((ABS(K509)^2)/($I$5*MAX(F509,0.1)^2),1/3)))),IF(AND(IFERROR(V509,0)=1,IFERROR(AG509,0)=1),IF(IFERROR(T509,-1E+99)&gt;=IFERROR(AE509,-1E+99),MAX($D$16,IFERROR(L509,MAX($D$16,POWER((ABS(K509)^2)/($I$5*MAX(F509,0.1)^2),1/3)))),MAX($D$16,IFERROR(W509,MAX($D$16,POWER((ABS(K509)^2)/($I$5*MAX(F509,0.1)^2),1/3))))),IF(IFERROR(V509,0)=1,MAX($D$16,IFERROR(L509,MAX($D$16,POWER((ABS(K509)^2)/($I$5*MAX(F509,0.1)^2),1/3)))),IF(IFERROR(AG509,0)=1,MAX($D$16,IFERROR(W509,MAX($D$16,POWER((ABS(K509)^2)/($I$5*MAX(F509,0.1)^2),1/3)))),MAX($D$16,POWER((ABS(K509)^2)/($I$5*MAX(F509,0.1)^2),1/3))))))),MAX($D$16,POWER((ABS(K509)^2)/($I$5*MAX(F509,0.1)^2),1/3)))</f>
        <v>2.1389677043987478</v>
      </c>
      <c r="AI509">
        <f t="shared" ca="1" si="238"/>
        <v>634.47796770439879</v>
      </c>
      <c r="AJ509">
        <f t="shared" ca="1" si="239"/>
        <v>635.54745155659816</v>
      </c>
      <c r="AM509">
        <v>0</v>
      </c>
      <c r="AN509">
        <v>0</v>
      </c>
      <c r="AO509">
        <f t="shared" si="240"/>
        <v>0</v>
      </c>
      <c r="AP509">
        <f t="shared" si="249"/>
        <v>0</v>
      </c>
      <c r="AQ509">
        <f t="shared" ca="1" si="241"/>
        <v>1.0000000000000004</v>
      </c>
      <c r="AR509" t="str">
        <f t="shared" ca="1" si="242"/>
        <v>Supercritical</v>
      </c>
      <c r="AS509">
        <f t="shared" ca="1" si="243"/>
        <v>3.8141460404132466E-3</v>
      </c>
    </row>
    <row r="510" spans="1:45" x14ac:dyDescent="0.35">
      <c r="A510">
        <v>449</v>
      </c>
      <c r="B510">
        <v>447.99599999999998</v>
      </c>
      <c r="C510">
        <v>616230.27599999995</v>
      </c>
      <c r="D510">
        <v>3097524.8259999999</v>
      </c>
      <c r="E510">
        <v>632.33849999999995</v>
      </c>
      <c r="F510">
        <v>5.2</v>
      </c>
      <c r="G510">
        <v>0</v>
      </c>
      <c r="H510" t="s">
        <v>154</v>
      </c>
      <c r="I510">
        <v>2.7E-2</v>
      </c>
      <c r="J510">
        <f t="shared" si="244"/>
        <v>1</v>
      </c>
      <c r="K510">
        <f t="shared" ca="1" si="245"/>
        <v>50.95</v>
      </c>
      <c r="L510">
        <f t="shared" ca="1" si="246"/>
        <v>2.1389677043987478</v>
      </c>
      <c r="M510">
        <f t="shared" ref="M510:M573" ca="1" si="250">((F510)+(G510)*(L510))*(L510)</f>
        <v>11.122632062873489</v>
      </c>
      <c r="N510">
        <f t="shared" ref="N510:N573" ca="1" si="251">(((F510)+(G510)*(L510))*(L510))/MAX((F510)+2*(L510)*SQRT(1+(G510)^2),0.000001)</f>
        <v>1.1735290000551568</v>
      </c>
      <c r="O510">
        <f t="shared" ref="O510:O573" ca="1" si="252">ABS(K510)/MAX(((F510)+(G510)*(L510))*(L510),0.000001)</f>
        <v>4.5807502857230418</v>
      </c>
      <c r="P510">
        <f t="shared" ref="P510:P573" ca="1" si="253">E510+L510</f>
        <v>634.47746770439869</v>
      </c>
      <c r="Q510">
        <f t="shared" ref="Q510:Q573" ca="1" si="254">P510+((ABS(K510)/MAX(((F510)+(G510)*(L510))*(L510),0.000001))^2)/(2*$I$5)</f>
        <v>635.54695155659806</v>
      </c>
      <c r="R510">
        <f t="shared" ref="R510:R573" ca="1" si="255">((ABS(K510)*$D$6)/(MAX(((F510)+(G510)*(L510))*(L510),0.000001)*MAX(((((F510)+(G510)*(L510))*(L510))/MAX((F510)+2*(L510)*SQRT(1+(G510)^2),0.000001))^(2/3),0.000001)))^2</f>
        <v>3.8141460404132466E-3</v>
      </c>
      <c r="S510">
        <f t="shared" ref="S510:S573" ca="1" si="256">ABS(ABS(K510)/MAX(((F510)+(G510)*(L510))*(L510),0.000001))/SQRT($I$5*MAX((((F510)+(G510)*(L510))*(L510))/MAX((F510)+2*(G510)*(L510),0.000001),0.000001))</f>
        <v>1.0000000000000004</v>
      </c>
      <c r="T510">
        <f t="shared" ref="T510:T573" ca="1" si="257">((F510)*(L510)^2)/2+(G510)*(L510)^3/3+(ABS(K510)^2)/($I$5*MAX(((F510)+(G510)*(L510))*(L510),0.000001))</f>
        <v>35.686426155594638</v>
      </c>
      <c r="U510">
        <f t="shared" ca="1" si="247"/>
        <v>-3.3622728136606383E-3</v>
      </c>
      <c r="V510">
        <f t="shared" ca="1" si="248"/>
        <v>1</v>
      </c>
      <c r="W510">
        <f t="shared" ref="W510:W573" ca="1" si="258">IF($D$20=0,IFERROR(W511,MAX($D$16,POWER((ABS(K510)^2)/($I$5*MAX(F510,0.1)^2),1/3))),IF(IFERROR(AG511,0)=0,IFERROR(W511,MAX($D$16,POWER((ABS(K510)^2)/($I$5*MAX(F510,0.1)^2),1/3))),IF(OR(IFERROR(W510,0)=0,IFERROR(AD511,0)&gt;1),MAX($D$16,POWER((ABS(K510)^2)/($I$5*MAX(F510,0.1)^2),1/3)),IF(IFERROR(AF510,0)&gt;0,MAX($D$16,IFERROR(W510,0)+((IFERROR(AF510,0))*$D$18*IF((IFERROR(AD510,0))&lt;1,1,-1))),IF(IFERROR(AF510,0)&lt;0,IF(ABS((MAX($D$16,POWER((ABS(K510)^2)/($I$5*MAX(F510,0.1)^2),1/3)))-IFERROR(W510,0))&gt;$D$19,MAX($D$16,IF((MAX($D$16,POWER((ABS(K510)^2)/($I$5*MAX(F510,0.1)^2),1/3)))&gt;IFERROR(W510,0),MIN((MAX($D$16,POWER((ABS(K510)^2)/($I$5*MAX(F510,0.1)^2),1/3))),IFERROR(W510,0)+(MIN(ABS(IFERROR(AF510,0))*$D$18,ABS((MAX($D$16,POWER((ABS(K510)^2)/($I$5*MAX(F510,0.1)^2),1/3)))-IFERROR(W510,0))))),MAX((MAX($D$16,POWER((ABS(K510)^2)/($I$5*MAX(F510,0.1)^2),1/3))),IFERROR(W510,0)-(MIN(ABS(IFERROR(AF510,0))*$D$18,ABS((MAX($D$16,POWER((ABS(K510)^2)/($I$5*MAX(F510,0.1)^2),1/3)))-IFERROR(W510,0))))))),MAX($D$16,POWER((ABS(K510)^2)/($I$5*MAX(F510,0.1)^2),1/3))),MAX($D$16,IFERROR(W510,0)))))))</f>
        <v>1.7071037423043307</v>
      </c>
      <c r="X510">
        <f t="shared" ref="X510:X573" ca="1" si="259">((F510)+(G510)*(W510))*(W510)</f>
        <v>8.8769394599825198</v>
      </c>
      <c r="Y510">
        <f t="shared" ref="Y510:Y573" ca="1" si="260">(((F510)+(G510)*(W510))*(W510))/MAX((F510)+2*(W510)*SQRT(1+(G510)^2),0.000001)</f>
        <v>1.0304998429447274</v>
      </c>
      <c r="Z510">
        <f t="shared" ref="Z510:Z573" ca="1" si="261">ABS(K510)/MAX(((F510)+(G510)*(W510))*(W510),0.000001)</f>
        <v>5.7395907936157462</v>
      </c>
      <c r="AA510">
        <f t="shared" ref="AA510:AA573" ca="1" si="262">E510+W510</f>
        <v>634.04560374230425</v>
      </c>
      <c r="AB510">
        <f t="shared" ref="AB510:AB573" ca="1" si="263">AA510+((ABS(K510)/MAX(((F510)+(G510)*(W510))*(W510),0.000001))^2)/(2*$I$5)</f>
        <v>635.7246507595396</v>
      </c>
      <c r="AC510">
        <f t="shared" ref="AC510:AC573" ca="1" si="264">((ABS(K510)*$D$6)/(MAX(((F510)+(G510)*(W510))*(W510),0.000001)*MAX(((((F510)+(G510)*(W510))*(W510))/MAX((F510)+2*(W510)*SQRT(1+(G510)^2),0.000001))^(2/3),0.000001)))^2</f>
        <v>7.1211008905133896E-3</v>
      </c>
      <c r="AD510">
        <f t="shared" ref="AD510:AD573" ca="1" si="265">ABS(ABS(K510)/MAX(((F510)+(G510)*(W510))*(W510),0.000001))/SQRT($I$5*MAX((((F510)+(G510)*(W510))*(W510))/MAX((F510)+2*(G510)*(W510),0.000001),0.000001))</f>
        <v>1.4025439185375732</v>
      </c>
      <c r="AE510">
        <f t="shared" ref="AE510:AE573" ca="1" si="266">((F510)*(W510)^2)/2+(G510)*(W510)^3/3+(ABS(K510)^2)/($I$5*MAX(((F510)+(G510)*(W510))*(W510),0.000001))</f>
        <v>37.386525731098388</v>
      </c>
      <c r="AF510">
        <f t="shared" ref="AF510:AF573" ca="1" si="267">IF($D$20=0,0,IFERROR(AB511+(((AC510+AC511)/2)*J511)+(IF(Z510&gt;Z511,$D$8*((Z510^2-Z511^2)/(2*$I$5)),$D$9*((Z511^2-Z510^2)/(2*$I$5)))+($D$10*(ABS(I511)/90)*(MAX(Z510^2,Z511^2)/(2*$I$5))))-AB510,0))</f>
        <v>6.6211008904701885E-3</v>
      </c>
      <c r="AG510">
        <f t="shared" ref="AG510:AG573" ca="1" si="268">IF($D$20=0,1,IFERROR(IF(ROUND(AD510,3)=1,1,IF(AND(ABS(AF510)&lt;$D$19,AD510&lt;1),1,0)),0))</f>
        <v>0</v>
      </c>
      <c r="AH510">
        <f ca="1">IFERROR(IF(V32="Supercritical",MAX($D$16,IFERROR(L510,MAX($D$16,POWER((ABS(K510)^2)/($I$5*MAX(F510,0.1)^2),1/3)))),IF(V32="Subcritical",MAX($D$16,IFERROR(W510,MAX($D$16,POWER((ABS(K510)^2)/($I$5*MAX(F510,0.1)^2),1/3)))),IF(AND(IFERROR(V510,0)=1,IFERROR(AG510,0)=1),IF(IFERROR(T510,-1E+99)&gt;=IFERROR(AE510,-1E+99),MAX($D$16,IFERROR(L510,MAX($D$16,POWER((ABS(K510)^2)/($I$5*MAX(F510,0.1)^2),1/3)))),MAX($D$16,IFERROR(W510,MAX($D$16,POWER((ABS(K510)^2)/($I$5*MAX(F510,0.1)^2),1/3))))),IF(IFERROR(V510,0)=1,MAX($D$16,IFERROR(L510,MAX($D$16,POWER((ABS(K510)^2)/($I$5*MAX(F510,0.1)^2),1/3)))),IF(IFERROR(AG510,0)=1,MAX($D$16,IFERROR(W510,MAX($D$16,POWER((ABS(K510)^2)/($I$5*MAX(F510,0.1)^2),1/3)))),MAX($D$16,POWER((ABS(K510)^2)/($I$5*MAX(F510,0.1)^2),1/3))))))),MAX($D$16,POWER((ABS(K510)^2)/($I$5*MAX(F510,0.1)^2),1/3)))</f>
        <v>2.1389677043987478</v>
      </c>
      <c r="AI510">
        <f t="shared" ref="AI510:AI573" ca="1" si="269">E510+AH510</f>
        <v>634.47746770439869</v>
      </c>
      <c r="AJ510">
        <f t="shared" ref="AJ510:AJ573" ca="1" si="270">AI510+((ABS(K510)/MAX(((F510)+(G510)*(AH510))*(AH510),0.000001))^2)/(2*$I$5)</f>
        <v>635.54695155659806</v>
      </c>
      <c r="AM510">
        <v>0</v>
      </c>
      <c r="AN510">
        <v>0</v>
      </c>
      <c r="AO510">
        <f t="shared" ref="AO510:AO573" si="271">AM510+AN510</f>
        <v>0</v>
      </c>
      <c r="AP510">
        <f t="shared" si="249"/>
        <v>0</v>
      </c>
      <c r="AQ510">
        <f t="shared" ref="AQ510:AQ573" ca="1" si="272">ABS(ABS(K510)/MAX(((F510)+(G510)*(AH510))*(AH510),0.000001))/SQRT($I$5*MAX((((F510)+(G510)*(AH510))*(AH510))/MAX((F510)+2*(G510)*(AH510),0.000001),0.000001))</f>
        <v>1.0000000000000004</v>
      </c>
      <c r="AR510" t="str">
        <f t="shared" ref="AR510:AR573" ca="1" si="273">IF(AQ510&lt;1,"Subcritical","Supercritical")</f>
        <v>Supercritical</v>
      </c>
      <c r="AS510">
        <f t="shared" ref="AS510:AS573" ca="1" si="274">((ABS(K510)*$D$6)/(MAX(((F510)+(G510)*(AH510))*(AH510),0.000001)*MAX(((((F510)+(G510)*(AH510))*(AH510))/MAX((F510)+2*(AH510)*SQRT(1+(G510)^2),0.000001))^(2/3),0.000001)))^2</f>
        <v>3.8141460404132466E-3</v>
      </c>
    </row>
    <row r="511" spans="1:45" x14ac:dyDescent="0.35">
      <c r="A511">
        <v>450</v>
      </c>
      <c r="B511">
        <v>448.99599999999998</v>
      </c>
      <c r="C511">
        <v>616229.80200000003</v>
      </c>
      <c r="D511">
        <v>3097523.946</v>
      </c>
      <c r="E511">
        <v>632.33799999999997</v>
      </c>
      <c r="F511">
        <v>5.2</v>
      </c>
      <c r="G511">
        <v>0</v>
      </c>
      <c r="H511" t="s">
        <v>154</v>
      </c>
      <c r="I511">
        <v>0</v>
      </c>
      <c r="J511">
        <f t="shared" ref="J511:J574" si="275">B511-B510</f>
        <v>1</v>
      </c>
      <c r="K511">
        <f t="shared" ref="K511:K574" ca="1" si="276">MAX(0,K510-AO510)</f>
        <v>50.95</v>
      </c>
      <c r="L511">
        <f t="shared" ref="L511:L574" ca="1" si="277">IF($D$20=0,IFERROR(L510,MAX($D$16,POWER((ABS(K511)^2)/($I$5*MAX(F511,0.1)^2),1/3))),IF(IFERROR(V510,0)=0,IFERROR(L510,MAX($D$16,POWER((ABS(K511)^2)/($I$5*MAX(F511,0.1)^2),1/3))),IF(OR(IFERROR(L511,0)=0,IFERROR(S510,0)&lt;1,IFERROR(S511,0)&lt;1),MAX($D$16,POWER((ABS(K511)^2)/($I$5*MAX(F511,0.1)^2),1/3)),IF(IFERROR(U511,0)&gt;0,MAX($D$16,IFERROR(L511,0)+((IFERROR(U511,0))*$D$18*IF((IFERROR(S511,0))&lt;1,1,-1))),IF(IFERROR(U511,0)&lt;0,IF(ABS((MAX($D$16,POWER((ABS(K511)^2)/($I$5*MAX(F511,0.1)^2),1/3)))-IFERROR(L511,0))&gt;$D$19,MAX($D$16,IF((MAX($D$16,POWER((ABS(K511)^2)/($I$5*MAX(F511,0.1)^2),1/3)))&gt;IFERROR(L511,0),MIN((MAX($D$16,POWER((ABS(K511)^2)/($I$5*MAX(F511,0.1)^2),1/3))),IFERROR(L511,0)+(MIN(ABS(IFERROR(U511,0))*$D$18,ABS((MAX($D$16,POWER((ABS(K511)^2)/($I$5*MAX(F511,0.1)^2),1/3)))-IFERROR(L511,0))))),MAX((MAX($D$16,POWER((ABS(K511)^2)/($I$5*MAX(F511,0.1)^2),1/3))),IFERROR(L511,0)-(MIN(ABS(IFERROR(U511,0))*$D$18,ABS((MAX($D$16,POWER((ABS(K511)^2)/($I$5*MAX(F511,0.1)^2),1/3)))-IFERROR(L511,0))))))),MAX($D$16,POWER((ABS(K511)^2)/($I$5*MAX(F511,0.1)^2),1/3))),MAX($D$16,IFERROR(L511,0)))))))</f>
        <v>2.1389677043987478</v>
      </c>
      <c r="M511">
        <f t="shared" ca="1" si="250"/>
        <v>11.122632062873489</v>
      </c>
      <c r="N511">
        <f t="shared" ca="1" si="251"/>
        <v>1.1735290000551568</v>
      </c>
      <c r="O511">
        <f t="shared" ca="1" si="252"/>
        <v>4.5807502857230418</v>
      </c>
      <c r="P511">
        <f t="shared" ca="1" si="253"/>
        <v>634.4769677043987</v>
      </c>
      <c r="Q511">
        <f t="shared" ca="1" si="254"/>
        <v>635.54645155659807</v>
      </c>
      <c r="R511">
        <f t="shared" ca="1" si="255"/>
        <v>3.8141460404132466E-3</v>
      </c>
      <c r="S511">
        <f t="shared" ca="1" si="256"/>
        <v>1.0000000000000004</v>
      </c>
      <c r="T511">
        <f t="shared" ca="1" si="257"/>
        <v>35.686426155594638</v>
      </c>
      <c r="U511">
        <f t="shared" ref="U511:U574" ca="1" si="278">IF($D$20=0,0,IFERROR(Q510-(((R510+R511)/2)*J511)-(IF(O510&gt;O511,$D$8*((O510^2-O511^2)/(2*$I$5)),$D$9*((O511^2-O510^2)/(2*$I$5)))+($D$10*(ABS(I511)/90)*(MAX(O510^2,O511^2)/(2*$I$5))))-Q511,0))</f>
        <v>-3.3141460404522149E-3</v>
      </c>
      <c r="V511">
        <f t="shared" ref="V511:V574" ca="1" si="279">IF($D$20=0,1,IFERROR(IF(ROUND(S511,3)=1,1,IF(AND(ABS(U511)&lt;$D$19,S511&gt;1),1,0)),0))</f>
        <v>1</v>
      </c>
      <c r="W511">
        <f t="shared" ca="1" si="258"/>
        <v>1.7070910507313199</v>
      </c>
      <c r="X511">
        <f t="shared" ca="1" si="259"/>
        <v>8.8768734638028644</v>
      </c>
      <c r="Y511">
        <f t="shared" ca="1" si="260"/>
        <v>1.0304952181467839</v>
      </c>
      <c r="Z511">
        <f t="shared" ca="1" si="261"/>
        <v>5.7396334652913881</v>
      </c>
      <c r="AA511">
        <f t="shared" ca="1" si="262"/>
        <v>634.04509105073123</v>
      </c>
      <c r="AB511">
        <f t="shared" ca="1" si="263"/>
        <v>635.72416303421198</v>
      </c>
      <c r="AC511">
        <f t="shared" ca="1" si="264"/>
        <v>7.1212493890011001E-3</v>
      </c>
      <c r="AD511">
        <f t="shared" ca="1" si="265"/>
        <v>1.4025595596379297</v>
      </c>
      <c r="AE511">
        <f t="shared" ca="1" si="266"/>
        <v>37.386634692216788</v>
      </c>
      <c r="AF511">
        <f t="shared" ca="1" si="267"/>
        <v>6.6784925656975247E-3</v>
      </c>
      <c r="AG511">
        <f t="shared" ca="1" si="268"/>
        <v>0</v>
      </c>
      <c r="AH511">
        <f ca="1">IFERROR(IF(V32="Supercritical",MAX($D$16,IFERROR(L511,MAX($D$16,POWER((ABS(K511)^2)/($I$5*MAX(F511,0.1)^2),1/3)))),IF(V32="Subcritical",MAX($D$16,IFERROR(W511,MAX($D$16,POWER((ABS(K511)^2)/($I$5*MAX(F511,0.1)^2),1/3)))),IF(AND(IFERROR(V511,0)=1,IFERROR(AG511,0)=1),IF(IFERROR(T511,-1E+99)&gt;=IFERROR(AE511,-1E+99),MAX($D$16,IFERROR(L511,MAX($D$16,POWER((ABS(K511)^2)/($I$5*MAX(F511,0.1)^2),1/3)))),MAX($D$16,IFERROR(W511,MAX($D$16,POWER((ABS(K511)^2)/($I$5*MAX(F511,0.1)^2),1/3))))),IF(IFERROR(V511,0)=1,MAX($D$16,IFERROR(L511,MAX($D$16,POWER((ABS(K511)^2)/($I$5*MAX(F511,0.1)^2),1/3)))),IF(IFERROR(AG511,0)=1,MAX($D$16,IFERROR(W511,MAX($D$16,POWER((ABS(K511)^2)/($I$5*MAX(F511,0.1)^2),1/3)))),MAX($D$16,POWER((ABS(K511)^2)/($I$5*MAX(F511,0.1)^2),1/3))))))),MAX($D$16,POWER((ABS(K511)^2)/($I$5*MAX(F511,0.1)^2),1/3)))</f>
        <v>2.1389677043987478</v>
      </c>
      <c r="AI511">
        <f t="shared" ca="1" si="269"/>
        <v>634.4769677043987</v>
      </c>
      <c r="AJ511">
        <f t="shared" ca="1" si="270"/>
        <v>635.54645155659807</v>
      </c>
      <c r="AM511">
        <v>0</v>
      </c>
      <c r="AN511">
        <v>0</v>
      </c>
      <c r="AO511">
        <f t="shared" si="271"/>
        <v>0</v>
      </c>
      <c r="AP511">
        <f t="shared" ref="AP511:AP574" si="280">AP510+AO511</f>
        <v>0</v>
      </c>
      <c r="AQ511">
        <f t="shared" ca="1" si="272"/>
        <v>1.0000000000000004</v>
      </c>
      <c r="AR511" t="str">
        <f t="shared" ca="1" si="273"/>
        <v>Supercritical</v>
      </c>
      <c r="AS511">
        <f t="shared" ca="1" si="274"/>
        <v>3.8141460404132466E-3</v>
      </c>
    </row>
    <row r="512" spans="1:45" x14ac:dyDescent="0.35">
      <c r="A512">
        <v>451</v>
      </c>
      <c r="B512">
        <v>449.995</v>
      </c>
      <c r="C512">
        <v>616229.32799999998</v>
      </c>
      <c r="D512">
        <v>3097523.0660000001</v>
      </c>
      <c r="E512">
        <v>632.33749999999998</v>
      </c>
      <c r="F512">
        <v>5.2</v>
      </c>
      <c r="G512">
        <v>0</v>
      </c>
      <c r="H512" t="s">
        <v>154</v>
      </c>
      <c r="I512">
        <v>2.3E-2</v>
      </c>
      <c r="J512">
        <f t="shared" si="275"/>
        <v>0.99900000000002365</v>
      </c>
      <c r="K512">
        <f t="shared" ca="1" si="276"/>
        <v>50.95</v>
      </c>
      <c r="L512">
        <f t="shared" ca="1" si="277"/>
        <v>2.1389677043987478</v>
      </c>
      <c r="M512">
        <f t="shared" ca="1" si="250"/>
        <v>11.122632062873489</v>
      </c>
      <c r="N512">
        <f t="shared" ca="1" si="251"/>
        <v>1.1735290000551568</v>
      </c>
      <c r="O512">
        <f t="shared" ca="1" si="252"/>
        <v>4.5807502857230418</v>
      </c>
      <c r="P512">
        <f t="shared" ca="1" si="253"/>
        <v>634.47646770439871</v>
      </c>
      <c r="Q512">
        <f t="shared" ca="1" si="254"/>
        <v>635.54595155659808</v>
      </c>
      <c r="R512">
        <f t="shared" ca="1" si="255"/>
        <v>3.8141460404132466E-3</v>
      </c>
      <c r="S512">
        <f t="shared" ca="1" si="256"/>
        <v>1.0000000000000004</v>
      </c>
      <c r="T512">
        <f t="shared" ca="1" si="257"/>
        <v>35.686426155594638</v>
      </c>
      <c r="U512">
        <f t="shared" ca="1" si="278"/>
        <v>-3.3513287753521581E-3</v>
      </c>
      <c r="V512">
        <f t="shared" ca="1" si="279"/>
        <v>1</v>
      </c>
      <c r="W512">
        <f t="shared" ca="1" si="258"/>
        <v>1.7070792002829918</v>
      </c>
      <c r="X512">
        <f t="shared" ca="1" si="259"/>
        <v>8.8768118414715573</v>
      </c>
      <c r="Y512">
        <f t="shared" ca="1" si="260"/>
        <v>1.0304908998293225</v>
      </c>
      <c r="Z512">
        <f t="shared" ca="1" si="261"/>
        <v>5.7396733095058758</v>
      </c>
      <c r="AA512">
        <f t="shared" ca="1" si="262"/>
        <v>634.04457920028301</v>
      </c>
      <c r="AB512">
        <f t="shared" ca="1" si="263"/>
        <v>635.72367449589228</v>
      </c>
      <c r="AC512">
        <f t="shared" ca="1" si="264"/>
        <v>7.1213880497663076E-3</v>
      </c>
      <c r="AD512">
        <f t="shared" ca="1" si="265"/>
        <v>1.4025741643982987</v>
      </c>
      <c r="AE512">
        <f t="shared" ca="1" si="266"/>
        <v>37.386736435748269</v>
      </c>
      <c r="AF512">
        <f t="shared" ca="1" si="267"/>
        <v>6.6928747575047964E-3</v>
      </c>
      <c r="AG512">
        <f t="shared" ca="1" si="268"/>
        <v>0</v>
      </c>
      <c r="AH512">
        <f ca="1">IFERROR(IF(V32="Supercritical",MAX($D$16,IFERROR(L512,MAX($D$16,POWER((ABS(K512)^2)/($I$5*MAX(F512,0.1)^2),1/3)))),IF(V32="Subcritical",MAX($D$16,IFERROR(W512,MAX($D$16,POWER((ABS(K512)^2)/($I$5*MAX(F512,0.1)^2),1/3)))),IF(AND(IFERROR(V512,0)=1,IFERROR(AG512,0)=1),IF(IFERROR(T512,-1E+99)&gt;=IFERROR(AE512,-1E+99),MAX($D$16,IFERROR(L512,MAX($D$16,POWER((ABS(K512)^2)/($I$5*MAX(F512,0.1)^2),1/3)))),MAX($D$16,IFERROR(W512,MAX($D$16,POWER((ABS(K512)^2)/($I$5*MAX(F512,0.1)^2),1/3))))),IF(IFERROR(V512,0)=1,MAX($D$16,IFERROR(L512,MAX($D$16,POWER((ABS(K512)^2)/($I$5*MAX(F512,0.1)^2),1/3)))),IF(IFERROR(AG512,0)=1,MAX($D$16,IFERROR(W512,MAX($D$16,POWER((ABS(K512)^2)/($I$5*MAX(F512,0.1)^2),1/3)))),MAX($D$16,POWER((ABS(K512)^2)/($I$5*MAX(F512,0.1)^2),1/3))))))),MAX($D$16,POWER((ABS(K512)^2)/($I$5*MAX(F512,0.1)^2),1/3)))</f>
        <v>2.1389677043987478</v>
      </c>
      <c r="AI512">
        <f t="shared" ca="1" si="269"/>
        <v>634.47646770439871</v>
      </c>
      <c r="AJ512">
        <f t="shared" ca="1" si="270"/>
        <v>635.54595155659808</v>
      </c>
      <c r="AM512">
        <v>0</v>
      </c>
      <c r="AN512">
        <v>0</v>
      </c>
      <c r="AO512">
        <f t="shared" si="271"/>
        <v>0</v>
      </c>
      <c r="AP512">
        <f t="shared" si="280"/>
        <v>0</v>
      </c>
      <c r="AQ512">
        <f t="shared" ca="1" si="272"/>
        <v>1.0000000000000004</v>
      </c>
      <c r="AR512" t="str">
        <f t="shared" ca="1" si="273"/>
        <v>Supercritical</v>
      </c>
      <c r="AS512">
        <f t="shared" ca="1" si="274"/>
        <v>3.8141460404132466E-3</v>
      </c>
    </row>
    <row r="513" spans="1:45" x14ac:dyDescent="0.35">
      <c r="A513">
        <v>452</v>
      </c>
      <c r="B513">
        <v>450.99599999999998</v>
      </c>
      <c r="C513">
        <v>616228.853</v>
      </c>
      <c r="D513">
        <v>3097522.1850000001</v>
      </c>
      <c r="E513">
        <v>632.33699999999999</v>
      </c>
      <c r="F513">
        <v>5.2</v>
      </c>
      <c r="G513">
        <v>0</v>
      </c>
      <c r="H513" t="s">
        <v>154</v>
      </c>
      <c r="I513">
        <v>2.3E-2</v>
      </c>
      <c r="J513">
        <f t="shared" si="275"/>
        <v>1.0009999999999764</v>
      </c>
      <c r="K513">
        <f t="shared" ca="1" si="276"/>
        <v>50.95</v>
      </c>
      <c r="L513">
        <f t="shared" ca="1" si="277"/>
        <v>2.1389677043987478</v>
      </c>
      <c r="M513">
        <f t="shared" ca="1" si="250"/>
        <v>11.122632062873489</v>
      </c>
      <c r="N513">
        <f t="shared" ca="1" si="251"/>
        <v>1.1735290000551568</v>
      </c>
      <c r="O513">
        <f t="shared" ca="1" si="252"/>
        <v>4.5807502857230418</v>
      </c>
      <c r="P513">
        <f t="shared" ca="1" si="253"/>
        <v>634.47596770439873</v>
      </c>
      <c r="Q513">
        <f t="shared" ca="1" si="254"/>
        <v>635.5454515565981</v>
      </c>
      <c r="R513">
        <f t="shared" ca="1" si="255"/>
        <v>3.8141460404132466E-3</v>
      </c>
      <c r="S513">
        <f t="shared" ca="1" si="256"/>
        <v>1.0000000000000004</v>
      </c>
      <c r="T513">
        <f t="shared" ca="1" si="257"/>
        <v>35.686426155594638</v>
      </c>
      <c r="U513">
        <f t="shared" ca="1" si="278"/>
        <v>-3.3589570674621427E-3</v>
      </c>
      <c r="V513">
        <f t="shared" ca="1" si="279"/>
        <v>1</v>
      </c>
      <c r="W513">
        <f t="shared" ca="1" si="258"/>
        <v>1.7070681352696211</v>
      </c>
      <c r="X513">
        <f t="shared" ca="1" si="259"/>
        <v>8.8767543034020306</v>
      </c>
      <c r="Y513">
        <f t="shared" ca="1" si="260"/>
        <v>1.030486867703841</v>
      </c>
      <c r="Z513">
        <f t="shared" ca="1" si="261"/>
        <v>5.7397105133881343</v>
      </c>
      <c r="AA513">
        <f t="shared" ca="1" si="262"/>
        <v>634.04406813526964</v>
      </c>
      <c r="AB513">
        <f t="shared" ca="1" si="263"/>
        <v>635.723185198343</v>
      </c>
      <c r="AC513">
        <f t="shared" ca="1" si="264"/>
        <v>7.1215175236505578E-3</v>
      </c>
      <c r="AD513">
        <f t="shared" ca="1" si="265"/>
        <v>1.4025878013996964</v>
      </c>
      <c r="AE513">
        <f t="shared" ca="1" si="266"/>
        <v>37.38683143908105</v>
      </c>
      <c r="AF513">
        <f t="shared" ca="1" si="267"/>
        <v>6.6970777915003055E-3</v>
      </c>
      <c r="AG513">
        <f t="shared" ca="1" si="268"/>
        <v>0</v>
      </c>
      <c r="AH513">
        <f ca="1">IFERROR(IF(V32="Supercritical",MAX($D$16,IFERROR(L513,MAX($D$16,POWER((ABS(K513)^2)/($I$5*MAX(F513,0.1)^2),1/3)))),IF(V32="Subcritical",MAX($D$16,IFERROR(W513,MAX($D$16,POWER((ABS(K513)^2)/($I$5*MAX(F513,0.1)^2),1/3)))),IF(AND(IFERROR(V513,0)=1,IFERROR(AG513,0)=1),IF(IFERROR(T513,-1E+99)&gt;=IFERROR(AE513,-1E+99),MAX($D$16,IFERROR(L513,MAX($D$16,POWER((ABS(K513)^2)/($I$5*MAX(F513,0.1)^2),1/3)))),MAX($D$16,IFERROR(W513,MAX($D$16,POWER((ABS(K513)^2)/($I$5*MAX(F513,0.1)^2),1/3))))),IF(IFERROR(V513,0)=1,MAX($D$16,IFERROR(L513,MAX($D$16,POWER((ABS(K513)^2)/($I$5*MAX(F513,0.1)^2),1/3)))),IF(IFERROR(AG513,0)=1,MAX($D$16,IFERROR(W513,MAX($D$16,POWER((ABS(K513)^2)/($I$5*MAX(F513,0.1)^2),1/3)))),MAX($D$16,POWER((ABS(K513)^2)/($I$5*MAX(F513,0.1)^2),1/3))))))),MAX($D$16,POWER((ABS(K513)^2)/($I$5*MAX(F513,0.1)^2),1/3)))</f>
        <v>2.1389677043987478</v>
      </c>
      <c r="AI513">
        <f t="shared" ca="1" si="269"/>
        <v>634.47596770439873</v>
      </c>
      <c r="AJ513">
        <f t="shared" ca="1" si="270"/>
        <v>635.5454515565981</v>
      </c>
      <c r="AM513">
        <v>0</v>
      </c>
      <c r="AN513">
        <v>0</v>
      </c>
      <c r="AO513">
        <f t="shared" si="271"/>
        <v>0</v>
      </c>
      <c r="AP513">
        <f t="shared" si="280"/>
        <v>0</v>
      </c>
      <c r="AQ513">
        <f t="shared" ca="1" si="272"/>
        <v>1.0000000000000004</v>
      </c>
      <c r="AR513" t="str">
        <f t="shared" ca="1" si="273"/>
        <v>Supercritical</v>
      </c>
      <c r="AS513">
        <f t="shared" ca="1" si="274"/>
        <v>3.8141460404132466E-3</v>
      </c>
    </row>
    <row r="514" spans="1:45" x14ac:dyDescent="0.35">
      <c r="A514">
        <v>453</v>
      </c>
      <c r="B514">
        <v>451.99599999999998</v>
      </c>
      <c r="C514">
        <v>616228.37899999996</v>
      </c>
      <c r="D514">
        <v>3097521.3050000002</v>
      </c>
      <c r="E514">
        <v>632.3365</v>
      </c>
      <c r="F514">
        <v>5.2</v>
      </c>
      <c r="G514">
        <v>0</v>
      </c>
      <c r="H514" t="s">
        <v>154</v>
      </c>
      <c r="I514">
        <v>2.7E-2</v>
      </c>
      <c r="J514">
        <f t="shared" si="275"/>
        <v>1</v>
      </c>
      <c r="K514">
        <f t="shared" ca="1" si="276"/>
        <v>50.95</v>
      </c>
      <c r="L514">
        <f t="shared" ca="1" si="277"/>
        <v>2.1389677043987478</v>
      </c>
      <c r="M514">
        <f t="shared" ca="1" si="250"/>
        <v>11.122632062873489</v>
      </c>
      <c r="N514">
        <f t="shared" ca="1" si="251"/>
        <v>1.1735290000551568</v>
      </c>
      <c r="O514">
        <f t="shared" ca="1" si="252"/>
        <v>4.5807502857230418</v>
      </c>
      <c r="P514">
        <f t="shared" ca="1" si="253"/>
        <v>634.47546770439874</v>
      </c>
      <c r="Q514">
        <f t="shared" ca="1" si="254"/>
        <v>635.54495155659811</v>
      </c>
      <c r="R514">
        <f t="shared" ca="1" si="255"/>
        <v>3.8141460404132466E-3</v>
      </c>
      <c r="S514">
        <f t="shared" ca="1" si="256"/>
        <v>1.0000000000000004</v>
      </c>
      <c r="T514">
        <f t="shared" ca="1" si="257"/>
        <v>35.686426155594638</v>
      </c>
      <c r="U514">
        <f t="shared" ca="1" si="278"/>
        <v>-3.3622728137743252E-3</v>
      </c>
      <c r="V514">
        <f t="shared" ca="1" si="279"/>
        <v>1</v>
      </c>
      <c r="W514">
        <f t="shared" ca="1" si="258"/>
        <v>1.7070578036815431</v>
      </c>
      <c r="X514">
        <f t="shared" ca="1" si="259"/>
        <v>8.8767005791440248</v>
      </c>
      <c r="Y514">
        <f t="shared" ca="1" si="260"/>
        <v>1.0304831028221271</v>
      </c>
      <c r="Z514">
        <f t="shared" ca="1" si="261"/>
        <v>5.7397452517107528</v>
      </c>
      <c r="AA514">
        <f t="shared" ca="1" si="262"/>
        <v>634.04355780368155</v>
      </c>
      <c r="AB514">
        <f t="shared" ca="1" si="263"/>
        <v>635.72269519178224</v>
      </c>
      <c r="AC514">
        <f t="shared" ca="1" si="264"/>
        <v>7.1216384185510198E-3</v>
      </c>
      <c r="AD514">
        <f t="shared" ca="1" si="265"/>
        <v>1.4026005346955188</v>
      </c>
      <c r="AE514">
        <f t="shared" ca="1" si="266"/>
        <v>37.386920148118236</v>
      </c>
      <c r="AF514">
        <f t="shared" ca="1" si="267"/>
        <v>6.6971996010352086E-3</v>
      </c>
      <c r="AG514">
        <f t="shared" ca="1" si="268"/>
        <v>0</v>
      </c>
      <c r="AH514">
        <f ca="1">IFERROR(IF(V32="Supercritical",MAX($D$16,IFERROR(L514,MAX($D$16,POWER((ABS(K514)^2)/($I$5*MAX(F514,0.1)^2),1/3)))),IF(V32="Subcritical",MAX($D$16,IFERROR(W514,MAX($D$16,POWER((ABS(K514)^2)/($I$5*MAX(F514,0.1)^2),1/3)))),IF(AND(IFERROR(V514,0)=1,IFERROR(AG514,0)=1),IF(IFERROR(T514,-1E+99)&gt;=IFERROR(AE514,-1E+99),MAX($D$16,IFERROR(L514,MAX($D$16,POWER((ABS(K514)^2)/($I$5*MAX(F514,0.1)^2),1/3)))),MAX($D$16,IFERROR(W514,MAX($D$16,POWER((ABS(K514)^2)/($I$5*MAX(F514,0.1)^2),1/3))))),IF(IFERROR(V514,0)=1,MAX($D$16,IFERROR(L514,MAX($D$16,POWER((ABS(K514)^2)/($I$5*MAX(F514,0.1)^2),1/3)))),IF(IFERROR(AG514,0)=1,MAX($D$16,IFERROR(W514,MAX($D$16,POWER((ABS(K514)^2)/($I$5*MAX(F514,0.1)^2),1/3)))),MAX($D$16,POWER((ABS(K514)^2)/($I$5*MAX(F514,0.1)^2),1/3))))))),MAX($D$16,POWER((ABS(K514)^2)/($I$5*MAX(F514,0.1)^2),1/3)))</f>
        <v>2.1389677043987478</v>
      </c>
      <c r="AI514">
        <f t="shared" ca="1" si="269"/>
        <v>634.47546770439874</v>
      </c>
      <c r="AJ514">
        <f t="shared" ca="1" si="270"/>
        <v>635.54495155659811</v>
      </c>
      <c r="AM514">
        <v>0</v>
      </c>
      <c r="AN514">
        <v>0</v>
      </c>
      <c r="AO514">
        <f t="shared" si="271"/>
        <v>0</v>
      </c>
      <c r="AP514">
        <f t="shared" si="280"/>
        <v>0</v>
      </c>
      <c r="AQ514">
        <f t="shared" ca="1" si="272"/>
        <v>1.0000000000000004</v>
      </c>
      <c r="AR514" t="str">
        <f t="shared" ca="1" si="273"/>
        <v>Supercritical</v>
      </c>
      <c r="AS514">
        <f t="shared" ca="1" si="274"/>
        <v>3.8141460404132466E-3</v>
      </c>
    </row>
    <row r="515" spans="1:45" x14ac:dyDescent="0.35">
      <c r="A515">
        <v>454</v>
      </c>
      <c r="B515">
        <v>452.99599999999998</v>
      </c>
      <c r="C515">
        <v>616227.90500000003</v>
      </c>
      <c r="D515">
        <v>3097520.4240000001</v>
      </c>
      <c r="E515">
        <v>632.33600000000001</v>
      </c>
      <c r="F515">
        <v>5.2</v>
      </c>
      <c r="G515">
        <v>0</v>
      </c>
      <c r="H515" t="s">
        <v>154</v>
      </c>
      <c r="I515">
        <v>2.7E-2</v>
      </c>
      <c r="J515">
        <f t="shared" si="275"/>
        <v>1</v>
      </c>
      <c r="K515">
        <f t="shared" ca="1" si="276"/>
        <v>50.95</v>
      </c>
      <c r="L515">
        <f t="shared" ca="1" si="277"/>
        <v>2.1389677043987478</v>
      </c>
      <c r="M515">
        <f t="shared" ca="1" si="250"/>
        <v>11.122632062873489</v>
      </c>
      <c r="N515">
        <f t="shared" ca="1" si="251"/>
        <v>1.1735290000551568</v>
      </c>
      <c r="O515">
        <f t="shared" ca="1" si="252"/>
        <v>4.5807502857230418</v>
      </c>
      <c r="P515">
        <f t="shared" ca="1" si="253"/>
        <v>634.47496770439875</v>
      </c>
      <c r="Q515">
        <f t="shared" ca="1" si="254"/>
        <v>635.54445155659812</v>
      </c>
      <c r="R515">
        <f t="shared" ca="1" si="255"/>
        <v>3.8141460404132466E-3</v>
      </c>
      <c r="S515">
        <f t="shared" ca="1" si="256"/>
        <v>1.0000000000000004</v>
      </c>
      <c r="T515">
        <f t="shared" ca="1" si="257"/>
        <v>35.686426155594638</v>
      </c>
      <c r="U515">
        <f t="shared" ca="1" si="278"/>
        <v>-3.3622728137743252E-3</v>
      </c>
      <c r="V515">
        <f t="shared" ca="1" si="279"/>
        <v>1</v>
      </c>
      <c r="W515">
        <f t="shared" ca="1" si="258"/>
        <v>1.7070481569468809</v>
      </c>
      <c r="X515">
        <f t="shared" ca="1" si="259"/>
        <v>8.8766504161237805</v>
      </c>
      <c r="Y515">
        <f t="shared" ca="1" si="260"/>
        <v>1.0304795874880737</v>
      </c>
      <c r="Z515">
        <f t="shared" ca="1" si="261"/>
        <v>5.7397776877022313</v>
      </c>
      <c r="AA515">
        <f t="shared" ca="1" si="262"/>
        <v>634.04304815694684</v>
      </c>
      <c r="AB515">
        <f t="shared" ca="1" si="263"/>
        <v>635.72220452311626</v>
      </c>
      <c r="AC515">
        <f t="shared" ca="1" si="264"/>
        <v>7.1217513022394556E-3</v>
      </c>
      <c r="AD515">
        <f t="shared" ca="1" si="265"/>
        <v>1.4026124241090561</v>
      </c>
      <c r="AE515">
        <f t="shared" ca="1" si="266"/>
        <v>37.387002979342604</v>
      </c>
      <c r="AF515">
        <f t="shared" ca="1" si="267"/>
        <v>6.7616809994888172E-3</v>
      </c>
      <c r="AG515">
        <f t="shared" ca="1" si="268"/>
        <v>0</v>
      </c>
      <c r="AH515">
        <f ca="1">IFERROR(IF(V32="Supercritical",MAX($D$16,IFERROR(L515,MAX($D$16,POWER((ABS(K515)^2)/($I$5*MAX(F515,0.1)^2),1/3)))),IF(V32="Subcritical",MAX($D$16,IFERROR(W515,MAX($D$16,POWER((ABS(K515)^2)/($I$5*MAX(F515,0.1)^2),1/3)))),IF(AND(IFERROR(V515,0)=1,IFERROR(AG515,0)=1),IF(IFERROR(T515,-1E+99)&gt;=IFERROR(AE515,-1E+99),MAX($D$16,IFERROR(L515,MAX($D$16,POWER((ABS(K515)^2)/($I$5*MAX(F515,0.1)^2),1/3)))),MAX($D$16,IFERROR(W515,MAX($D$16,POWER((ABS(K515)^2)/($I$5*MAX(F515,0.1)^2),1/3))))),IF(IFERROR(V515,0)=1,MAX($D$16,IFERROR(L515,MAX($D$16,POWER((ABS(K515)^2)/($I$5*MAX(F515,0.1)^2),1/3)))),IF(IFERROR(AG515,0)=1,MAX($D$16,IFERROR(W515,MAX($D$16,POWER((ABS(K515)^2)/($I$5*MAX(F515,0.1)^2),1/3)))),MAX($D$16,POWER((ABS(K515)^2)/($I$5*MAX(F515,0.1)^2),1/3))))))),MAX($D$16,POWER((ABS(K515)^2)/($I$5*MAX(F515,0.1)^2),1/3)))</f>
        <v>2.1389677043987478</v>
      </c>
      <c r="AI515">
        <f t="shared" ca="1" si="269"/>
        <v>634.47496770439875</v>
      </c>
      <c r="AJ515">
        <f t="shared" ca="1" si="270"/>
        <v>635.54445155659812</v>
      </c>
      <c r="AM515">
        <v>0</v>
      </c>
      <c r="AN515">
        <v>0</v>
      </c>
      <c r="AO515">
        <f t="shared" si="271"/>
        <v>0</v>
      </c>
      <c r="AP515">
        <f t="shared" si="280"/>
        <v>0</v>
      </c>
      <c r="AQ515">
        <f t="shared" ca="1" si="272"/>
        <v>1.0000000000000004</v>
      </c>
      <c r="AR515" t="str">
        <f t="shared" ca="1" si="273"/>
        <v>Supercritical</v>
      </c>
      <c r="AS515">
        <f t="shared" ca="1" si="274"/>
        <v>3.8141460404132466E-3</v>
      </c>
    </row>
    <row r="516" spans="1:45" x14ac:dyDescent="0.35">
      <c r="A516">
        <v>455</v>
      </c>
      <c r="B516">
        <v>453.99599999999998</v>
      </c>
      <c r="C516">
        <v>616227.43099999998</v>
      </c>
      <c r="D516">
        <v>3097519.5440000002</v>
      </c>
      <c r="E516">
        <v>632.33550000000002</v>
      </c>
      <c r="F516">
        <v>5.2</v>
      </c>
      <c r="G516">
        <v>0</v>
      </c>
      <c r="H516" t="s">
        <v>154</v>
      </c>
      <c r="I516">
        <v>0.05</v>
      </c>
      <c r="J516">
        <f t="shared" si="275"/>
        <v>1</v>
      </c>
      <c r="K516">
        <f t="shared" ca="1" si="276"/>
        <v>50.95</v>
      </c>
      <c r="L516">
        <f t="shared" ca="1" si="277"/>
        <v>2.1389677043987478</v>
      </c>
      <c r="M516">
        <f t="shared" ca="1" si="250"/>
        <v>11.122632062873489</v>
      </c>
      <c r="N516">
        <f t="shared" ca="1" si="251"/>
        <v>1.1735290000551568</v>
      </c>
      <c r="O516">
        <f t="shared" ca="1" si="252"/>
        <v>4.5807502857230418</v>
      </c>
      <c r="P516">
        <f t="shared" ca="1" si="253"/>
        <v>634.47446770439876</v>
      </c>
      <c r="Q516">
        <f t="shared" ca="1" si="254"/>
        <v>635.54395155659813</v>
      </c>
      <c r="R516">
        <f t="shared" ca="1" si="255"/>
        <v>3.8141460404132466E-3</v>
      </c>
      <c r="S516">
        <f t="shared" ca="1" si="256"/>
        <v>1.0000000000000004</v>
      </c>
      <c r="T516">
        <f t="shared" ca="1" si="257"/>
        <v>35.686426155594638</v>
      </c>
      <c r="U516">
        <f t="shared" ca="1" si="278"/>
        <v>-3.4032696947861041E-3</v>
      </c>
      <c r="V516">
        <f t="shared" ca="1" si="279"/>
        <v>1</v>
      </c>
      <c r="W516">
        <f t="shared" ca="1" si="258"/>
        <v>1.7070391497050976</v>
      </c>
      <c r="X516">
        <f t="shared" ca="1" si="259"/>
        <v>8.8766035784665078</v>
      </c>
      <c r="Y516">
        <f t="shared" ca="1" si="260"/>
        <v>1.0304763051752488</v>
      </c>
      <c r="Z516">
        <f t="shared" ca="1" si="261"/>
        <v>5.7398079738063457</v>
      </c>
      <c r="AA516">
        <f t="shared" ca="1" si="262"/>
        <v>634.04253914970514</v>
      </c>
      <c r="AB516">
        <f t="shared" ca="1" si="263"/>
        <v>635.72171323615623</v>
      </c>
      <c r="AC516">
        <f t="shared" ca="1" si="264"/>
        <v>7.1218567049980532E-3</v>
      </c>
      <c r="AD516">
        <f t="shared" ca="1" si="265"/>
        <v>1.4026235255116513</v>
      </c>
      <c r="AE516">
        <f t="shared" ca="1" si="266"/>
        <v>37.387080321747767</v>
      </c>
      <c r="AF516">
        <f t="shared" ca="1" si="267"/>
        <v>6.8401493361989196E-3</v>
      </c>
      <c r="AG516">
        <f t="shared" ca="1" si="268"/>
        <v>0</v>
      </c>
      <c r="AH516">
        <f ca="1">IFERROR(IF(V32="Supercritical",MAX($D$16,IFERROR(L516,MAX($D$16,POWER((ABS(K516)^2)/($I$5*MAX(F516,0.1)^2),1/3)))),IF(V32="Subcritical",MAX($D$16,IFERROR(W516,MAX($D$16,POWER((ABS(K516)^2)/($I$5*MAX(F516,0.1)^2),1/3)))),IF(AND(IFERROR(V516,0)=1,IFERROR(AG516,0)=1),IF(IFERROR(T516,-1E+99)&gt;=IFERROR(AE516,-1E+99),MAX($D$16,IFERROR(L516,MAX($D$16,POWER((ABS(K516)^2)/($I$5*MAX(F516,0.1)^2),1/3)))),MAX($D$16,IFERROR(W516,MAX($D$16,POWER((ABS(K516)^2)/($I$5*MAX(F516,0.1)^2),1/3))))),IF(IFERROR(V516,0)=1,MAX($D$16,IFERROR(L516,MAX($D$16,POWER((ABS(K516)^2)/($I$5*MAX(F516,0.1)^2),1/3)))),IF(IFERROR(AG516,0)=1,MAX($D$16,IFERROR(W516,MAX($D$16,POWER((ABS(K516)^2)/($I$5*MAX(F516,0.1)^2),1/3)))),MAX($D$16,POWER((ABS(K516)^2)/($I$5*MAX(F516,0.1)^2),1/3))))))),MAX($D$16,POWER((ABS(K516)^2)/($I$5*MAX(F516,0.1)^2),1/3)))</f>
        <v>2.1389677043987478</v>
      </c>
      <c r="AI516">
        <f t="shared" ca="1" si="269"/>
        <v>634.47446770439876</v>
      </c>
      <c r="AJ516">
        <f t="shared" ca="1" si="270"/>
        <v>635.54395155659813</v>
      </c>
      <c r="AM516">
        <v>0</v>
      </c>
      <c r="AN516">
        <v>0</v>
      </c>
      <c r="AO516">
        <f t="shared" si="271"/>
        <v>0</v>
      </c>
      <c r="AP516">
        <f t="shared" si="280"/>
        <v>0</v>
      </c>
      <c r="AQ516">
        <f t="shared" ca="1" si="272"/>
        <v>1.0000000000000004</v>
      </c>
      <c r="AR516" t="str">
        <f t="shared" ca="1" si="273"/>
        <v>Supercritical</v>
      </c>
      <c r="AS516">
        <f t="shared" ca="1" si="274"/>
        <v>3.8141460404132466E-3</v>
      </c>
    </row>
    <row r="517" spans="1:45" x14ac:dyDescent="0.35">
      <c r="A517">
        <v>456</v>
      </c>
      <c r="B517">
        <v>454.99599999999998</v>
      </c>
      <c r="C517">
        <v>616226.95600000001</v>
      </c>
      <c r="D517">
        <v>3097518.6639999999</v>
      </c>
      <c r="E517">
        <v>632.33500000000004</v>
      </c>
      <c r="F517">
        <v>5.2</v>
      </c>
      <c r="G517">
        <v>0</v>
      </c>
      <c r="H517" t="s">
        <v>154</v>
      </c>
      <c r="I517">
        <v>7.8E-2</v>
      </c>
      <c r="J517">
        <f t="shared" si="275"/>
        <v>1</v>
      </c>
      <c r="K517">
        <f t="shared" ca="1" si="276"/>
        <v>50.95</v>
      </c>
      <c r="L517">
        <f t="shared" ca="1" si="277"/>
        <v>2.1389677043987478</v>
      </c>
      <c r="M517">
        <f t="shared" ca="1" si="250"/>
        <v>11.122632062873489</v>
      </c>
      <c r="N517">
        <f t="shared" ca="1" si="251"/>
        <v>1.1735290000551568</v>
      </c>
      <c r="O517">
        <f t="shared" ca="1" si="252"/>
        <v>4.5807502857230418</v>
      </c>
      <c r="P517">
        <f t="shared" ca="1" si="253"/>
        <v>634.47396770439877</v>
      </c>
      <c r="Q517">
        <f t="shared" ca="1" si="254"/>
        <v>635.54345155659814</v>
      </c>
      <c r="R517">
        <f t="shared" ca="1" si="255"/>
        <v>3.8141460404132466E-3</v>
      </c>
      <c r="S517">
        <f t="shared" ca="1" si="256"/>
        <v>1.0000000000000004</v>
      </c>
      <c r="T517">
        <f t="shared" ca="1" si="257"/>
        <v>35.686426155594638</v>
      </c>
      <c r="U517">
        <f t="shared" ca="1" si="278"/>
        <v>-3.4531789411857972E-3</v>
      </c>
      <c r="V517">
        <f t="shared" ca="1" si="279"/>
        <v>1</v>
      </c>
      <c r="W517">
        <f t="shared" ca="1" si="258"/>
        <v>1.7070307395954032</v>
      </c>
      <c r="X517">
        <f t="shared" ca="1" si="259"/>
        <v>8.8765598458960966</v>
      </c>
      <c r="Y517">
        <f t="shared" ca="1" si="260"/>
        <v>1.0304732404498638</v>
      </c>
      <c r="Z517">
        <f t="shared" ca="1" si="261"/>
        <v>5.7398362523918243</v>
      </c>
      <c r="AA517">
        <f t="shared" ca="1" si="262"/>
        <v>634.04203073959548</v>
      </c>
      <c r="AB517">
        <f t="shared" ca="1" si="263"/>
        <v>635.72122137182134</v>
      </c>
      <c r="AC517">
        <f t="shared" ca="1" si="264"/>
        <v>7.1219551220834121E-3</v>
      </c>
      <c r="AD517">
        <f t="shared" ca="1" si="265"/>
        <v>1.4026338910826674</v>
      </c>
      <c r="AE517">
        <f t="shared" ca="1" si="266"/>
        <v>37.387152538643377</v>
      </c>
      <c r="AF517">
        <f t="shared" ca="1" si="267"/>
        <v>6.6975187005482439E-3</v>
      </c>
      <c r="AG517">
        <f t="shared" ca="1" si="268"/>
        <v>0</v>
      </c>
      <c r="AH517">
        <f ca="1">IFERROR(IF(V32="Supercritical",MAX($D$16,IFERROR(L517,MAX($D$16,POWER((ABS(K517)^2)/($I$5*MAX(F517,0.1)^2),1/3)))),IF(V32="Subcritical",MAX($D$16,IFERROR(W517,MAX($D$16,POWER((ABS(K517)^2)/($I$5*MAX(F517,0.1)^2),1/3)))),IF(AND(IFERROR(V517,0)=1,IFERROR(AG517,0)=1),IF(IFERROR(T517,-1E+99)&gt;=IFERROR(AE517,-1E+99),MAX($D$16,IFERROR(L517,MAX($D$16,POWER((ABS(K517)^2)/($I$5*MAX(F517,0.1)^2),1/3)))),MAX($D$16,IFERROR(W517,MAX($D$16,POWER((ABS(K517)^2)/($I$5*MAX(F517,0.1)^2),1/3))))),IF(IFERROR(V517,0)=1,MAX($D$16,IFERROR(L517,MAX($D$16,POWER((ABS(K517)^2)/($I$5*MAX(F517,0.1)^2),1/3)))),IF(IFERROR(AG517,0)=1,MAX($D$16,IFERROR(W517,MAX($D$16,POWER((ABS(K517)^2)/($I$5*MAX(F517,0.1)^2),1/3)))),MAX($D$16,POWER((ABS(K517)^2)/($I$5*MAX(F517,0.1)^2),1/3))))))),MAX($D$16,POWER((ABS(K517)^2)/($I$5*MAX(F517,0.1)^2),1/3)))</f>
        <v>2.1389677043987478</v>
      </c>
      <c r="AI517">
        <f t="shared" ca="1" si="269"/>
        <v>634.47396770439877</v>
      </c>
      <c r="AJ517">
        <f t="shared" ca="1" si="270"/>
        <v>635.54345155659814</v>
      </c>
      <c r="AM517">
        <v>0</v>
      </c>
      <c r="AN517">
        <v>0</v>
      </c>
      <c r="AO517">
        <f t="shared" si="271"/>
        <v>0</v>
      </c>
      <c r="AP517">
        <f t="shared" si="280"/>
        <v>0</v>
      </c>
      <c r="AQ517">
        <f t="shared" ca="1" si="272"/>
        <v>1.0000000000000004</v>
      </c>
      <c r="AR517" t="str">
        <f t="shared" ca="1" si="273"/>
        <v>Supercritical</v>
      </c>
      <c r="AS517">
        <f t="shared" ca="1" si="274"/>
        <v>3.8141460404132466E-3</v>
      </c>
    </row>
    <row r="518" spans="1:45" x14ac:dyDescent="0.35">
      <c r="A518">
        <v>457</v>
      </c>
      <c r="B518">
        <v>455.99599999999998</v>
      </c>
      <c r="C518">
        <v>616226.48199999996</v>
      </c>
      <c r="D518">
        <v>3097517.7829999998</v>
      </c>
      <c r="E518">
        <v>632.33450000000005</v>
      </c>
      <c r="F518">
        <v>5.2</v>
      </c>
      <c r="G518">
        <v>0</v>
      </c>
      <c r="H518" t="s">
        <v>154</v>
      </c>
      <c r="I518">
        <v>2.7E-2</v>
      </c>
      <c r="J518">
        <f t="shared" si="275"/>
        <v>1</v>
      </c>
      <c r="K518">
        <f t="shared" ca="1" si="276"/>
        <v>50.95</v>
      </c>
      <c r="L518">
        <f t="shared" ca="1" si="277"/>
        <v>2.1389677043987478</v>
      </c>
      <c r="M518">
        <f t="shared" ca="1" si="250"/>
        <v>11.122632062873489</v>
      </c>
      <c r="N518">
        <f t="shared" ca="1" si="251"/>
        <v>1.1735290000551568</v>
      </c>
      <c r="O518">
        <f t="shared" ca="1" si="252"/>
        <v>4.5807502857230418</v>
      </c>
      <c r="P518">
        <f t="shared" ca="1" si="253"/>
        <v>634.47346770439879</v>
      </c>
      <c r="Q518">
        <f t="shared" ca="1" si="254"/>
        <v>635.54295155659815</v>
      </c>
      <c r="R518">
        <f t="shared" ca="1" si="255"/>
        <v>3.8141460404132466E-3</v>
      </c>
      <c r="S518">
        <f t="shared" ca="1" si="256"/>
        <v>1.0000000000000004</v>
      </c>
      <c r="T518">
        <f t="shared" ca="1" si="257"/>
        <v>35.686426155594638</v>
      </c>
      <c r="U518">
        <f t="shared" ca="1" si="278"/>
        <v>-3.3622728137743252E-3</v>
      </c>
      <c r="V518">
        <f t="shared" ca="1" si="279"/>
        <v>1</v>
      </c>
      <c r="W518">
        <f t="shared" ca="1" si="258"/>
        <v>1.707022887058939</v>
      </c>
      <c r="X518">
        <f t="shared" ca="1" si="259"/>
        <v>8.876519012706483</v>
      </c>
      <c r="Y518">
        <f t="shared" ca="1" si="260"/>
        <v>1.0304703788987566</v>
      </c>
      <c r="Z518">
        <f t="shared" ca="1" si="261"/>
        <v>5.7398626564159372</v>
      </c>
      <c r="AA518">
        <f t="shared" ca="1" si="262"/>
        <v>634.04152288705893</v>
      </c>
      <c r="AB518">
        <f t="shared" ca="1" si="263"/>
        <v>635.72072896832901</v>
      </c>
      <c r="AC518">
        <f t="shared" ca="1" si="264"/>
        <v>7.122047016030723E-3</v>
      </c>
      <c r="AD518">
        <f t="shared" ca="1" si="265"/>
        <v>1.4026435695525865</v>
      </c>
      <c r="AE518">
        <f t="shared" ca="1" si="266"/>
        <v>37.387219969343633</v>
      </c>
      <c r="AF518">
        <f t="shared" ca="1" si="267"/>
        <v>6.6904892424872742E-3</v>
      </c>
      <c r="AG518">
        <f t="shared" ca="1" si="268"/>
        <v>0</v>
      </c>
      <c r="AH518">
        <f ca="1">IFERROR(IF(V32="Supercritical",MAX($D$16,IFERROR(L518,MAX($D$16,POWER((ABS(K518)^2)/($I$5*MAX(F518,0.1)^2),1/3)))),IF(V32="Subcritical",MAX($D$16,IFERROR(W518,MAX($D$16,POWER((ABS(K518)^2)/($I$5*MAX(F518,0.1)^2),1/3)))),IF(AND(IFERROR(V518,0)=1,IFERROR(AG518,0)=1),IF(IFERROR(T518,-1E+99)&gt;=IFERROR(AE518,-1E+99),MAX($D$16,IFERROR(L518,MAX($D$16,POWER((ABS(K518)^2)/($I$5*MAX(F518,0.1)^2),1/3)))),MAX($D$16,IFERROR(W518,MAX($D$16,POWER((ABS(K518)^2)/($I$5*MAX(F518,0.1)^2),1/3))))),IF(IFERROR(V518,0)=1,MAX($D$16,IFERROR(L518,MAX($D$16,POWER((ABS(K518)^2)/($I$5*MAX(F518,0.1)^2),1/3)))),IF(IFERROR(AG518,0)=1,MAX($D$16,IFERROR(W518,MAX($D$16,POWER((ABS(K518)^2)/($I$5*MAX(F518,0.1)^2),1/3)))),MAX($D$16,POWER((ABS(K518)^2)/($I$5*MAX(F518,0.1)^2),1/3))))))),MAX($D$16,POWER((ABS(K518)^2)/($I$5*MAX(F518,0.1)^2),1/3)))</f>
        <v>2.1389677043987478</v>
      </c>
      <c r="AI518">
        <f t="shared" ca="1" si="269"/>
        <v>634.47346770439879</v>
      </c>
      <c r="AJ518">
        <f t="shared" ca="1" si="270"/>
        <v>635.54295155659815</v>
      </c>
      <c r="AM518">
        <v>0</v>
      </c>
      <c r="AN518">
        <v>0</v>
      </c>
      <c r="AO518">
        <f t="shared" si="271"/>
        <v>0</v>
      </c>
      <c r="AP518">
        <f t="shared" si="280"/>
        <v>0</v>
      </c>
      <c r="AQ518">
        <f t="shared" ca="1" si="272"/>
        <v>1.0000000000000004</v>
      </c>
      <c r="AR518" t="str">
        <f t="shared" ca="1" si="273"/>
        <v>Supercritical</v>
      </c>
      <c r="AS518">
        <f t="shared" ca="1" si="274"/>
        <v>3.8141460404132466E-3</v>
      </c>
    </row>
    <row r="519" spans="1:45" x14ac:dyDescent="0.35">
      <c r="A519">
        <v>458</v>
      </c>
      <c r="B519">
        <v>456.995</v>
      </c>
      <c r="C519">
        <v>616226.00800000003</v>
      </c>
      <c r="D519">
        <v>3097516.9029999999</v>
      </c>
      <c r="E519">
        <v>632.33399999999995</v>
      </c>
      <c r="F519">
        <v>5.2</v>
      </c>
      <c r="G519">
        <v>0</v>
      </c>
      <c r="H519" t="s">
        <v>154</v>
      </c>
      <c r="I519">
        <v>2.7E-2</v>
      </c>
      <c r="J519">
        <f t="shared" si="275"/>
        <v>0.99900000000002365</v>
      </c>
      <c r="K519">
        <f t="shared" ca="1" si="276"/>
        <v>50.95</v>
      </c>
      <c r="L519">
        <f t="shared" ca="1" si="277"/>
        <v>2.1389677043987478</v>
      </c>
      <c r="M519">
        <f t="shared" ca="1" si="250"/>
        <v>11.122632062873489</v>
      </c>
      <c r="N519">
        <f t="shared" ca="1" si="251"/>
        <v>1.1735290000551568</v>
      </c>
      <c r="O519">
        <f t="shared" ca="1" si="252"/>
        <v>4.5807502857230418</v>
      </c>
      <c r="P519">
        <f t="shared" ca="1" si="253"/>
        <v>634.47296770439868</v>
      </c>
      <c r="Q519">
        <f t="shared" ca="1" si="254"/>
        <v>635.54245155659805</v>
      </c>
      <c r="R519">
        <f t="shared" ca="1" si="255"/>
        <v>3.8141460404132466E-3</v>
      </c>
      <c r="S519">
        <f t="shared" ca="1" si="256"/>
        <v>1.0000000000000004</v>
      </c>
      <c r="T519">
        <f t="shared" ca="1" si="257"/>
        <v>35.686426155594638</v>
      </c>
      <c r="U519">
        <f t="shared" ca="1" si="278"/>
        <v>-3.3584586675488026E-3</v>
      </c>
      <c r="V519">
        <f t="shared" ca="1" si="279"/>
        <v>1</v>
      </c>
      <c r="W519">
        <f t="shared" ca="1" si="258"/>
        <v>1.7070155551539401</v>
      </c>
      <c r="X519">
        <f t="shared" ca="1" si="259"/>
        <v>8.8764808868004881</v>
      </c>
      <c r="Y519">
        <f t="shared" ca="1" si="260"/>
        <v>1.030467707062092</v>
      </c>
      <c r="Z519">
        <f t="shared" ca="1" si="261"/>
        <v>5.7398873100446499</v>
      </c>
      <c r="AA519">
        <f t="shared" ca="1" si="262"/>
        <v>634.04101555515388</v>
      </c>
      <c r="AB519">
        <f t="shared" ca="1" si="263"/>
        <v>635.72023606137259</v>
      </c>
      <c r="AC519">
        <f t="shared" ca="1" si="264"/>
        <v>7.1221328188076404E-3</v>
      </c>
      <c r="AD519">
        <f t="shared" ca="1" si="265"/>
        <v>1.4026526064302041</v>
      </c>
      <c r="AE519">
        <f t="shared" ca="1" si="266"/>
        <v>37.387282930745641</v>
      </c>
      <c r="AF519">
        <f t="shared" ca="1" si="267"/>
        <v>6.7048198744714682E-3</v>
      </c>
      <c r="AG519">
        <f t="shared" ca="1" si="268"/>
        <v>0</v>
      </c>
      <c r="AH519">
        <f ca="1">IFERROR(IF(V32="Supercritical",MAX($D$16,IFERROR(L519,MAX($D$16,POWER((ABS(K519)^2)/($I$5*MAX(F519,0.1)^2),1/3)))),IF(V32="Subcritical",MAX($D$16,IFERROR(W519,MAX($D$16,POWER((ABS(K519)^2)/($I$5*MAX(F519,0.1)^2),1/3)))),IF(AND(IFERROR(V519,0)=1,IFERROR(AG519,0)=1),IF(IFERROR(T519,-1E+99)&gt;=IFERROR(AE519,-1E+99),MAX($D$16,IFERROR(L519,MAX($D$16,POWER((ABS(K519)^2)/($I$5*MAX(F519,0.1)^2),1/3)))),MAX($D$16,IFERROR(W519,MAX($D$16,POWER((ABS(K519)^2)/($I$5*MAX(F519,0.1)^2),1/3))))),IF(IFERROR(V519,0)=1,MAX($D$16,IFERROR(L519,MAX($D$16,POWER((ABS(K519)^2)/($I$5*MAX(F519,0.1)^2),1/3)))),IF(IFERROR(AG519,0)=1,MAX($D$16,IFERROR(W519,MAX($D$16,POWER((ABS(K519)^2)/($I$5*MAX(F519,0.1)^2),1/3)))),MAX($D$16,POWER((ABS(K519)^2)/($I$5*MAX(F519,0.1)^2),1/3))))))),MAX($D$16,POWER((ABS(K519)^2)/($I$5*MAX(F519,0.1)^2),1/3)))</f>
        <v>2.1389677043987478</v>
      </c>
      <c r="AI519">
        <f t="shared" ca="1" si="269"/>
        <v>634.47296770439868</v>
      </c>
      <c r="AJ519">
        <f t="shared" ca="1" si="270"/>
        <v>635.54245155659805</v>
      </c>
      <c r="AM519">
        <v>0</v>
      </c>
      <c r="AN519">
        <v>0</v>
      </c>
      <c r="AO519">
        <f t="shared" si="271"/>
        <v>0</v>
      </c>
      <c r="AP519">
        <f t="shared" si="280"/>
        <v>0</v>
      </c>
      <c r="AQ519">
        <f t="shared" ca="1" si="272"/>
        <v>1.0000000000000004</v>
      </c>
      <c r="AR519" t="str">
        <f t="shared" ca="1" si="273"/>
        <v>Supercritical</v>
      </c>
      <c r="AS519">
        <f t="shared" ca="1" si="274"/>
        <v>3.8141460404132466E-3</v>
      </c>
    </row>
    <row r="520" spans="1:45" x14ac:dyDescent="0.35">
      <c r="A520">
        <v>459</v>
      </c>
      <c r="B520">
        <v>457.99599999999998</v>
      </c>
      <c r="C520">
        <v>616225.53399999999</v>
      </c>
      <c r="D520">
        <v>3097516.0219999999</v>
      </c>
      <c r="E520">
        <v>632.33349999999996</v>
      </c>
      <c r="F520">
        <v>5.2</v>
      </c>
      <c r="G520">
        <v>0</v>
      </c>
      <c r="H520" t="s">
        <v>154</v>
      </c>
      <c r="I520">
        <v>2.7E-2</v>
      </c>
      <c r="J520">
        <f t="shared" si="275"/>
        <v>1.0009999999999764</v>
      </c>
      <c r="K520">
        <f t="shared" ca="1" si="276"/>
        <v>50.95</v>
      </c>
      <c r="L520">
        <f t="shared" ca="1" si="277"/>
        <v>2.1389677043987478</v>
      </c>
      <c r="M520">
        <f t="shared" ca="1" si="250"/>
        <v>11.122632062873489</v>
      </c>
      <c r="N520">
        <f t="shared" ca="1" si="251"/>
        <v>1.1735290000551568</v>
      </c>
      <c r="O520">
        <f t="shared" ca="1" si="252"/>
        <v>4.5807502857230418</v>
      </c>
      <c r="P520">
        <f t="shared" ca="1" si="253"/>
        <v>634.4724677043987</v>
      </c>
      <c r="Q520">
        <f t="shared" ca="1" si="254"/>
        <v>635.54195155659806</v>
      </c>
      <c r="R520">
        <f t="shared" ca="1" si="255"/>
        <v>3.8141460404132466E-3</v>
      </c>
      <c r="S520">
        <f t="shared" ca="1" si="256"/>
        <v>1.0000000000000004</v>
      </c>
      <c r="T520">
        <f t="shared" ca="1" si="257"/>
        <v>35.686426155594638</v>
      </c>
      <c r="U520">
        <f t="shared" ca="1" si="278"/>
        <v>-3.3660869597724741E-3</v>
      </c>
      <c r="V520">
        <f t="shared" ca="1" si="279"/>
        <v>1</v>
      </c>
      <c r="W520">
        <f t="shared" ca="1" si="258"/>
        <v>1.7070087093831419</v>
      </c>
      <c r="X520">
        <f t="shared" ca="1" si="259"/>
        <v>8.876445288792338</v>
      </c>
      <c r="Y520">
        <f t="shared" ca="1" si="260"/>
        <v>1.0304652123705178</v>
      </c>
      <c r="Z520">
        <f t="shared" ca="1" si="261"/>
        <v>5.7399103292317903</v>
      </c>
      <c r="AA520">
        <f t="shared" ca="1" si="262"/>
        <v>634.04050870938306</v>
      </c>
      <c r="AB520">
        <f t="shared" ca="1" si="263"/>
        <v>635.71974268428733</v>
      </c>
      <c r="AC520">
        <f t="shared" ca="1" si="264"/>
        <v>7.1222129338259542E-3</v>
      </c>
      <c r="AD520">
        <f t="shared" ca="1" si="265"/>
        <v>1.402661044214816</v>
      </c>
      <c r="AE520">
        <f t="shared" ca="1" si="266"/>
        <v>37.387341718803832</v>
      </c>
      <c r="AF520">
        <f t="shared" ca="1" si="267"/>
        <v>6.7550268854574824E-3</v>
      </c>
      <c r="AG520">
        <f t="shared" ca="1" si="268"/>
        <v>0</v>
      </c>
      <c r="AH520">
        <f ca="1">IFERROR(IF(V32="Supercritical",MAX($D$16,IFERROR(L520,MAX($D$16,POWER((ABS(K520)^2)/($I$5*MAX(F520,0.1)^2),1/3)))),IF(V32="Subcritical",MAX($D$16,IFERROR(W520,MAX($D$16,POWER((ABS(K520)^2)/($I$5*MAX(F520,0.1)^2),1/3)))),IF(AND(IFERROR(V520,0)=1,IFERROR(AG520,0)=1),IF(IFERROR(T520,-1E+99)&gt;=IFERROR(AE520,-1E+99),MAX($D$16,IFERROR(L520,MAX($D$16,POWER((ABS(K520)^2)/($I$5*MAX(F520,0.1)^2),1/3)))),MAX($D$16,IFERROR(W520,MAX($D$16,POWER((ABS(K520)^2)/($I$5*MAX(F520,0.1)^2),1/3))))),IF(IFERROR(V520,0)=1,MAX($D$16,IFERROR(L520,MAX($D$16,POWER((ABS(K520)^2)/($I$5*MAX(F520,0.1)^2),1/3)))),IF(IFERROR(AG520,0)=1,MAX($D$16,IFERROR(W520,MAX($D$16,POWER((ABS(K520)^2)/($I$5*MAX(F520,0.1)^2),1/3)))),MAX($D$16,POWER((ABS(K520)^2)/($I$5*MAX(F520,0.1)^2),1/3))))))),MAX($D$16,POWER((ABS(K520)^2)/($I$5*MAX(F520,0.1)^2),1/3)))</f>
        <v>2.1389677043987478</v>
      </c>
      <c r="AI520">
        <f t="shared" ca="1" si="269"/>
        <v>634.4724677043987</v>
      </c>
      <c r="AJ520">
        <f t="shared" ca="1" si="270"/>
        <v>635.54195155659806</v>
      </c>
      <c r="AM520">
        <v>0</v>
      </c>
      <c r="AN520">
        <v>0</v>
      </c>
      <c r="AO520">
        <f t="shared" si="271"/>
        <v>0</v>
      </c>
      <c r="AP520">
        <f t="shared" si="280"/>
        <v>0</v>
      </c>
      <c r="AQ520">
        <f t="shared" ca="1" si="272"/>
        <v>1.0000000000000004</v>
      </c>
      <c r="AR520" t="str">
        <f t="shared" ca="1" si="273"/>
        <v>Supercritical</v>
      </c>
      <c r="AS520">
        <f t="shared" ca="1" si="274"/>
        <v>3.8141460404132466E-3</v>
      </c>
    </row>
    <row r="521" spans="1:45" x14ac:dyDescent="0.35">
      <c r="A521">
        <v>460</v>
      </c>
      <c r="B521">
        <v>458.995</v>
      </c>
      <c r="C521">
        <v>616225.06000000006</v>
      </c>
      <c r="D521">
        <v>3097515.142</v>
      </c>
      <c r="E521">
        <v>632.33299999999997</v>
      </c>
      <c r="F521">
        <v>5.2</v>
      </c>
      <c r="G521">
        <v>0</v>
      </c>
      <c r="H521" t="s">
        <v>154</v>
      </c>
      <c r="I521">
        <v>0.05</v>
      </c>
      <c r="J521">
        <f t="shared" si="275"/>
        <v>0.99900000000002365</v>
      </c>
      <c r="K521">
        <f t="shared" ca="1" si="276"/>
        <v>50.95</v>
      </c>
      <c r="L521">
        <f t="shared" ca="1" si="277"/>
        <v>2.1389677043987478</v>
      </c>
      <c r="M521">
        <f t="shared" ca="1" si="250"/>
        <v>11.122632062873489</v>
      </c>
      <c r="N521">
        <f t="shared" ca="1" si="251"/>
        <v>1.1735290000551568</v>
      </c>
      <c r="O521">
        <f t="shared" ca="1" si="252"/>
        <v>4.5807502857230418</v>
      </c>
      <c r="P521">
        <f t="shared" ca="1" si="253"/>
        <v>634.47196770439871</v>
      </c>
      <c r="Q521">
        <f t="shared" ca="1" si="254"/>
        <v>635.54145155659808</v>
      </c>
      <c r="R521">
        <f t="shared" ca="1" si="255"/>
        <v>3.8141460404132466E-3</v>
      </c>
      <c r="S521">
        <f t="shared" ca="1" si="256"/>
        <v>1.0000000000000004</v>
      </c>
      <c r="T521">
        <f t="shared" ca="1" si="257"/>
        <v>35.686426155594638</v>
      </c>
      <c r="U521">
        <f t="shared" ca="1" si="278"/>
        <v>-3.3994555486742684E-3</v>
      </c>
      <c r="V521">
        <f t="shared" ca="1" si="279"/>
        <v>1</v>
      </c>
      <c r="W521">
        <f t="shared" ca="1" si="258"/>
        <v>1.7070023175323557</v>
      </c>
      <c r="X521">
        <f t="shared" ca="1" si="259"/>
        <v>8.8764120511682503</v>
      </c>
      <c r="Y521">
        <f t="shared" ca="1" si="260"/>
        <v>1.0304628830863831</v>
      </c>
      <c r="Z521">
        <f t="shared" ca="1" si="261"/>
        <v>5.7399318222608118</v>
      </c>
      <c r="AA521">
        <f t="shared" ca="1" si="262"/>
        <v>634.0400023175323</v>
      </c>
      <c r="AB521">
        <f t="shared" ca="1" si="263"/>
        <v>635.71924886820523</v>
      </c>
      <c r="AC521">
        <f t="shared" ca="1" si="264"/>
        <v>7.122287737823728E-3</v>
      </c>
      <c r="AD521">
        <f t="shared" ca="1" si="265"/>
        <v>1.4026689225947095</v>
      </c>
      <c r="AE521">
        <f t="shared" ca="1" si="266"/>
        <v>37.387396609909473</v>
      </c>
      <c r="AF521">
        <f t="shared" ca="1" si="267"/>
        <v>6.8405897894763257E-3</v>
      </c>
      <c r="AG521">
        <f t="shared" ca="1" si="268"/>
        <v>0</v>
      </c>
      <c r="AH521">
        <f ca="1">IFERROR(IF(V32="Supercritical",MAX($D$16,IFERROR(L521,MAX($D$16,POWER((ABS(K521)^2)/($I$5*MAX(F521,0.1)^2),1/3)))),IF(V32="Subcritical",MAX($D$16,IFERROR(W521,MAX($D$16,POWER((ABS(K521)^2)/($I$5*MAX(F521,0.1)^2),1/3)))),IF(AND(IFERROR(V521,0)=1,IFERROR(AG521,0)=1),IF(IFERROR(T521,-1E+99)&gt;=IFERROR(AE521,-1E+99),MAX($D$16,IFERROR(L521,MAX($D$16,POWER((ABS(K521)^2)/($I$5*MAX(F521,0.1)^2),1/3)))),MAX($D$16,IFERROR(W521,MAX($D$16,POWER((ABS(K521)^2)/($I$5*MAX(F521,0.1)^2),1/3))))),IF(IFERROR(V521,0)=1,MAX($D$16,IFERROR(L521,MAX($D$16,POWER((ABS(K521)^2)/($I$5*MAX(F521,0.1)^2),1/3)))),IF(IFERROR(AG521,0)=1,MAX($D$16,IFERROR(W521,MAX($D$16,POWER((ABS(K521)^2)/($I$5*MAX(F521,0.1)^2),1/3)))),MAX($D$16,POWER((ABS(K521)^2)/($I$5*MAX(F521,0.1)^2),1/3))))))),MAX($D$16,POWER((ABS(K521)^2)/($I$5*MAX(F521,0.1)^2),1/3)))</f>
        <v>2.1389677043987478</v>
      </c>
      <c r="AI521">
        <f t="shared" ca="1" si="269"/>
        <v>634.47196770439871</v>
      </c>
      <c r="AJ521">
        <f t="shared" ca="1" si="270"/>
        <v>635.54145155659808</v>
      </c>
      <c r="AM521">
        <v>0</v>
      </c>
      <c r="AN521">
        <v>0</v>
      </c>
      <c r="AO521">
        <f t="shared" si="271"/>
        <v>0</v>
      </c>
      <c r="AP521">
        <f t="shared" si="280"/>
        <v>0</v>
      </c>
      <c r="AQ521">
        <f t="shared" ca="1" si="272"/>
        <v>1.0000000000000004</v>
      </c>
      <c r="AR521" t="str">
        <f t="shared" ca="1" si="273"/>
        <v>Supercritical</v>
      </c>
      <c r="AS521">
        <f t="shared" ca="1" si="274"/>
        <v>3.8141460404132466E-3</v>
      </c>
    </row>
    <row r="522" spans="1:45" x14ac:dyDescent="0.35">
      <c r="A522">
        <v>461</v>
      </c>
      <c r="B522">
        <v>459.995</v>
      </c>
      <c r="C522">
        <v>616224.58499999996</v>
      </c>
      <c r="D522">
        <v>3097514.2620000001</v>
      </c>
      <c r="E522">
        <v>632.33249999999998</v>
      </c>
      <c r="F522">
        <v>5.2</v>
      </c>
      <c r="G522">
        <v>0</v>
      </c>
      <c r="H522" t="s">
        <v>154</v>
      </c>
      <c r="I522">
        <v>7.8E-2</v>
      </c>
      <c r="J522">
        <f t="shared" si="275"/>
        <v>1</v>
      </c>
      <c r="K522">
        <f t="shared" ca="1" si="276"/>
        <v>50.95</v>
      </c>
      <c r="L522">
        <f t="shared" ca="1" si="277"/>
        <v>2.1389677043987478</v>
      </c>
      <c r="M522">
        <f t="shared" ca="1" si="250"/>
        <v>11.122632062873489</v>
      </c>
      <c r="N522">
        <f t="shared" ca="1" si="251"/>
        <v>1.1735290000551568</v>
      </c>
      <c r="O522">
        <f t="shared" ca="1" si="252"/>
        <v>4.5807502857230418</v>
      </c>
      <c r="P522">
        <f t="shared" ca="1" si="253"/>
        <v>634.47146770439872</v>
      </c>
      <c r="Q522">
        <f t="shared" ca="1" si="254"/>
        <v>635.54095155659809</v>
      </c>
      <c r="R522">
        <f t="shared" ca="1" si="255"/>
        <v>3.8141460404132466E-3</v>
      </c>
      <c r="S522">
        <f t="shared" ca="1" si="256"/>
        <v>1.0000000000000004</v>
      </c>
      <c r="T522">
        <f t="shared" ca="1" si="257"/>
        <v>35.686426155594638</v>
      </c>
      <c r="U522">
        <f t="shared" ca="1" si="278"/>
        <v>-3.4531789411857972E-3</v>
      </c>
      <c r="V522">
        <f t="shared" ca="1" si="279"/>
        <v>1</v>
      </c>
      <c r="W522">
        <f t="shared" ca="1" si="258"/>
        <v>1.7069963495197371</v>
      </c>
      <c r="X522">
        <f t="shared" ca="1" si="259"/>
        <v>8.8763810175026325</v>
      </c>
      <c r="Y522">
        <f t="shared" ca="1" si="260"/>
        <v>1.0304607082488491</v>
      </c>
      <c r="Z522">
        <f t="shared" ca="1" si="261"/>
        <v>5.7399518902507376</v>
      </c>
      <c r="AA522">
        <f t="shared" ca="1" si="262"/>
        <v>634.03949634951971</v>
      </c>
      <c r="AB522">
        <f t="shared" ca="1" si="263"/>
        <v>635.71875464220034</v>
      </c>
      <c r="AC522">
        <f t="shared" ca="1" si="264"/>
        <v>7.1223575826231504E-3</v>
      </c>
      <c r="AD522">
        <f t="shared" ca="1" si="265"/>
        <v>1.402676278632538</v>
      </c>
      <c r="AE522">
        <f t="shared" ca="1" si="266"/>
        <v>37.387447862179229</v>
      </c>
      <c r="AF522">
        <f t="shared" ca="1" si="267"/>
        <v>6.7050465634110878E-3</v>
      </c>
      <c r="AG522">
        <f t="shared" ca="1" si="268"/>
        <v>0</v>
      </c>
      <c r="AH522">
        <f ca="1">IFERROR(IF(V32="Supercritical",MAX($D$16,IFERROR(L522,MAX($D$16,POWER((ABS(K522)^2)/($I$5*MAX(F522,0.1)^2),1/3)))),IF(V32="Subcritical",MAX($D$16,IFERROR(W522,MAX($D$16,POWER((ABS(K522)^2)/($I$5*MAX(F522,0.1)^2),1/3)))),IF(AND(IFERROR(V522,0)=1,IFERROR(AG522,0)=1),IF(IFERROR(T522,-1E+99)&gt;=IFERROR(AE522,-1E+99),MAX($D$16,IFERROR(L522,MAX($D$16,POWER((ABS(K522)^2)/($I$5*MAX(F522,0.1)^2),1/3)))),MAX($D$16,IFERROR(W522,MAX($D$16,POWER((ABS(K522)^2)/($I$5*MAX(F522,0.1)^2),1/3))))),IF(IFERROR(V522,0)=1,MAX($D$16,IFERROR(L522,MAX($D$16,POWER((ABS(K522)^2)/($I$5*MAX(F522,0.1)^2),1/3)))),IF(IFERROR(AG522,0)=1,MAX($D$16,IFERROR(W522,MAX($D$16,POWER((ABS(K522)^2)/($I$5*MAX(F522,0.1)^2),1/3)))),MAX($D$16,POWER((ABS(K522)^2)/($I$5*MAX(F522,0.1)^2),1/3))))))),MAX($D$16,POWER((ABS(K522)^2)/($I$5*MAX(F522,0.1)^2),1/3)))</f>
        <v>2.1389677043987478</v>
      </c>
      <c r="AI522">
        <f t="shared" ca="1" si="269"/>
        <v>634.47146770439872</v>
      </c>
      <c r="AJ522">
        <f t="shared" ca="1" si="270"/>
        <v>635.54095155659809</v>
      </c>
      <c r="AM522">
        <v>0</v>
      </c>
      <c r="AN522">
        <v>0</v>
      </c>
      <c r="AO522">
        <f t="shared" si="271"/>
        <v>0</v>
      </c>
      <c r="AP522">
        <f t="shared" si="280"/>
        <v>0</v>
      </c>
      <c r="AQ522">
        <f t="shared" ca="1" si="272"/>
        <v>1.0000000000000004</v>
      </c>
      <c r="AR522" t="str">
        <f t="shared" ca="1" si="273"/>
        <v>Supercritical</v>
      </c>
      <c r="AS522">
        <f t="shared" ca="1" si="274"/>
        <v>3.8141460404132466E-3</v>
      </c>
    </row>
    <row r="523" spans="1:45" x14ac:dyDescent="0.35">
      <c r="A523">
        <v>462</v>
      </c>
      <c r="B523">
        <v>460.99599999999998</v>
      </c>
      <c r="C523">
        <v>616224.11100000003</v>
      </c>
      <c r="D523">
        <v>3097513.3810000001</v>
      </c>
      <c r="E523">
        <v>632.33199999999999</v>
      </c>
      <c r="F523">
        <v>5.2</v>
      </c>
      <c r="G523">
        <v>0</v>
      </c>
      <c r="H523" t="s">
        <v>154</v>
      </c>
      <c r="I523">
        <v>2.7E-2</v>
      </c>
      <c r="J523">
        <f t="shared" si="275"/>
        <v>1.0009999999999764</v>
      </c>
      <c r="K523">
        <f t="shared" ca="1" si="276"/>
        <v>50.95</v>
      </c>
      <c r="L523">
        <f t="shared" ca="1" si="277"/>
        <v>2.1389677043987478</v>
      </c>
      <c r="M523">
        <f t="shared" ca="1" si="250"/>
        <v>11.122632062873489</v>
      </c>
      <c r="N523">
        <f t="shared" ca="1" si="251"/>
        <v>1.1735290000551568</v>
      </c>
      <c r="O523">
        <f t="shared" ca="1" si="252"/>
        <v>4.5807502857230418</v>
      </c>
      <c r="P523">
        <f t="shared" ca="1" si="253"/>
        <v>634.47096770439873</v>
      </c>
      <c r="Q523">
        <f t="shared" ca="1" si="254"/>
        <v>635.5404515565981</v>
      </c>
      <c r="R523">
        <f t="shared" ca="1" si="255"/>
        <v>3.8141460404132466E-3</v>
      </c>
      <c r="S523">
        <f t="shared" ca="1" si="256"/>
        <v>1.0000000000000004</v>
      </c>
      <c r="T523">
        <f t="shared" ca="1" si="257"/>
        <v>35.686426155594638</v>
      </c>
      <c r="U523">
        <f t="shared" ca="1" si="278"/>
        <v>-3.3660869597724741E-3</v>
      </c>
      <c r="V523">
        <f t="shared" ca="1" si="279"/>
        <v>1</v>
      </c>
      <c r="W523">
        <f t="shared" ca="1" si="258"/>
        <v>1.7069907772549286</v>
      </c>
      <c r="X523">
        <f t="shared" ca="1" si="259"/>
        <v>8.8763520417256299</v>
      </c>
      <c r="Y523">
        <f t="shared" ca="1" si="260"/>
        <v>1.0304586776225924</v>
      </c>
      <c r="Z523">
        <f t="shared" ca="1" si="261"/>
        <v>5.7399706276290203</v>
      </c>
      <c r="AA523">
        <f t="shared" ca="1" si="262"/>
        <v>634.03899077725487</v>
      </c>
      <c r="AB523">
        <f t="shared" ca="1" si="263"/>
        <v>635.71826003342426</v>
      </c>
      <c r="AC523">
        <f t="shared" ca="1" si="264"/>
        <v>7.1224227967736633E-3</v>
      </c>
      <c r="AD523">
        <f t="shared" ca="1" si="265"/>
        <v>1.4026831469385774</v>
      </c>
      <c r="AE523">
        <f t="shared" ca="1" si="266"/>
        <v>37.3874957166597</v>
      </c>
      <c r="AF523">
        <f t="shared" ca="1" si="267"/>
        <v>6.6908674904198051E-3</v>
      </c>
      <c r="AG523">
        <f t="shared" ca="1" si="268"/>
        <v>0</v>
      </c>
      <c r="AH523">
        <f ca="1">IFERROR(IF(V32="Supercritical",MAX($D$16,IFERROR(L523,MAX($D$16,POWER((ABS(K523)^2)/($I$5*MAX(F523,0.1)^2),1/3)))),IF(V32="Subcritical",MAX($D$16,IFERROR(W523,MAX($D$16,POWER((ABS(K523)^2)/($I$5*MAX(F523,0.1)^2),1/3)))),IF(AND(IFERROR(V523,0)=1,IFERROR(AG523,0)=1),IF(IFERROR(T523,-1E+99)&gt;=IFERROR(AE523,-1E+99),MAX($D$16,IFERROR(L523,MAX($D$16,POWER((ABS(K523)^2)/($I$5*MAX(F523,0.1)^2),1/3)))),MAX($D$16,IFERROR(W523,MAX($D$16,POWER((ABS(K523)^2)/($I$5*MAX(F523,0.1)^2),1/3))))),IF(IFERROR(V523,0)=1,MAX($D$16,IFERROR(L523,MAX($D$16,POWER((ABS(K523)^2)/($I$5*MAX(F523,0.1)^2),1/3)))),IF(IFERROR(AG523,0)=1,MAX($D$16,IFERROR(W523,MAX($D$16,POWER((ABS(K523)^2)/($I$5*MAX(F523,0.1)^2),1/3)))),MAX($D$16,POWER((ABS(K523)^2)/($I$5*MAX(F523,0.1)^2),1/3))))))),MAX($D$16,POWER((ABS(K523)^2)/($I$5*MAX(F523,0.1)^2),1/3)))</f>
        <v>2.1389677043987478</v>
      </c>
      <c r="AI523">
        <f t="shared" ca="1" si="269"/>
        <v>634.47096770439873</v>
      </c>
      <c r="AJ523">
        <f t="shared" ca="1" si="270"/>
        <v>635.5404515565981</v>
      </c>
      <c r="AM523">
        <v>0</v>
      </c>
      <c r="AN523">
        <v>0</v>
      </c>
      <c r="AO523">
        <f t="shared" si="271"/>
        <v>0</v>
      </c>
      <c r="AP523">
        <f t="shared" si="280"/>
        <v>0</v>
      </c>
      <c r="AQ523">
        <f t="shared" ca="1" si="272"/>
        <v>1.0000000000000004</v>
      </c>
      <c r="AR523" t="str">
        <f t="shared" ca="1" si="273"/>
        <v>Supercritical</v>
      </c>
      <c r="AS523">
        <f t="shared" ca="1" si="274"/>
        <v>3.8141460404132466E-3</v>
      </c>
    </row>
    <row r="524" spans="1:45" x14ac:dyDescent="0.35">
      <c r="A524">
        <v>463</v>
      </c>
      <c r="B524">
        <v>461.995</v>
      </c>
      <c r="C524">
        <v>616223.63699999999</v>
      </c>
      <c r="D524">
        <v>3097512.5010000002</v>
      </c>
      <c r="E524">
        <v>632.33150000000001</v>
      </c>
      <c r="F524">
        <v>5.2</v>
      </c>
      <c r="G524">
        <v>0</v>
      </c>
      <c r="H524" t="s">
        <v>154</v>
      </c>
      <c r="I524">
        <v>2.7E-2</v>
      </c>
      <c r="J524">
        <f t="shared" si="275"/>
        <v>0.99900000000002365</v>
      </c>
      <c r="K524">
        <f t="shared" ca="1" si="276"/>
        <v>50.95</v>
      </c>
      <c r="L524">
        <f t="shared" ca="1" si="277"/>
        <v>2.1389677043987478</v>
      </c>
      <c r="M524">
        <f t="shared" ca="1" si="250"/>
        <v>11.122632062873489</v>
      </c>
      <c r="N524">
        <f t="shared" ca="1" si="251"/>
        <v>1.1735290000551568</v>
      </c>
      <c r="O524">
        <f t="shared" ca="1" si="252"/>
        <v>4.5807502857230418</v>
      </c>
      <c r="P524">
        <f t="shared" ca="1" si="253"/>
        <v>634.47046770439874</v>
      </c>
      <c r="Q524">
        <f t="shared" ca="1" si="254"/>
        <v>635.53995155659811</v>
      </c>
      <c r="R524">
        <f t="shared" ca="1" si="255"/>
        <v>3.8141460404132466E-3</v>
      </c>
      <c r="S524">
        <f t="shared" ca="1" si="256"/>
        <v>1.0000000000000004</v>
      </c>
      <c r="T524">
        <f t="shared" ca="1" si="257"/>
        <v>35.686426155594638</v>
      </c>
      <c r="U524">
        <f t="shared" ca="1" si="278"/>
        <v>-3.3584586676624895E-3</v>
      </c>
      <c r="V524">
        <f t="shared" ca="1" si="279"/>
        <v>1</v>
      </c>
      <c r="W524">
        <f t="shared" ca="1" si="258"/>
        <v>1.7069855745075289</v>
      </c>
      <c r="X524">
        <f t="shared" ca="1" si="259"/>
        <v>8.8763249874391512</v>
      </c>
      <c r="Y524">
        <f t="shared" ca="1" si="260"/>
        <v>1.0304567816499004</v>
      </c>
      <c r="Z524">
        <f t="shared" ca="1" si="261"/>
        <v>5.7399881225731511</v>
      </c>
      <c r="AA524">
        <f t="shared" ca="1" si="262"/>
        <v>634.03848557450749</v>
      </c>
      <c r="AB524">
        <f t="shared" ca="1" si="263"/>
        <v>635.71776506723336</v>
      </c>
      <c r="AC524">
        <f t="shared" ca="1" si="264"/>
        <v>7.1224836870866677E-3</v>
      </c>
      <c r="AD524">
        <f t="shared" ca="1" si="265"/>
        <v>1.4026895598325397</v>
      </c>
      <c r="AE524">
        <f t="shared" ca="1" si="266"/>
        <v>37.387540398452586</v>
      </c>
      <c r="AF524">
        <f t="shared" ca="1" si="267"/>
        <v>6.8479125048952483E-3</v>
      </c>
      <c r="AG524">
        <f t="shared" ca="1" si="268"/>
        <v>0</v>
      </c>
      <c r="AH524">
        <f ca="1">IFERROR(IF(V32="Supercritical",MAX($D$16,IFERROR(L524,MAX($D$16,POWER((ABS(K524)^2)/($I$5*MAX(F524,0.1)^2),1/3)))),IF(V32="Subcritical",MAX($D$16,IFERROR(W524,MAX($D$16,POWER((ABS(K524)^2)/($I$5*MAX(F524,0.1)^2),1/3)))),IF(AND(IFERROR(V524,0)=1,IFERROR(AG524,0)=1),IF(IFERROR(T524,-1E+99)&gt;=IFERROR(AE524,-1E+99),MAX($D$16,IFERROR(L524,MAX($D$16,POWER((ABS(K524)^2)/($I$5*MAX(F524,0.1)^2),1/3)))),MAX($D$16,IFERROR(W524,MAX($D$16,POWER((ABS(K524)^2)/($I$5*MAX(F524,0.1)^2),1/3))))),IF(IFERROR(V524,0)=1,MAX($D$16,IFERROR(L524,MAX($D$16,POWER((ABS(K524)^2)/($I$5*MAX(F524,0.1)^2),1/3)))),IF(IFERROR(AG524,0)=1,MAX($D$16,IFERROR(W524,MAX($D$16,POWER((ABS(K524)^2)/($I$5*MAX(F524,0.1)^2),1/3)))),MAX($D$16,POWER((ABS(K524)^2)/($I$5*MAX(F524,0.1)^2),1/3))))))),MAX($D$16,POWER((ABS(K524)^2)/($I$5*MAX(F524,0.1)^2),1/3)))</f>
        <v>2.1389677043987478</v>
      </c>
      <c r="AI524">
        <f t="shared" ca="1" si="269"/>
        <v>634.47046770439874</v>
      </c>
      <c r="AJ524">
        <f t="shared" ca="1" si="270"/>
        <v>635.53995155659811</v>
      </c>
      <c r="AM524">
        <v>0</v>
      </c>
      <c r="AN524">
        <v>0</v>
      </c>
      <c r="AO524">
        <f t="shared" si="271"/>
        <v>0</v>
      </c>
      <c r="AP524">
        <f t="shared" si="280"/>
        <v>0</v>
      </c>
      <c r="AQ524">
        <f t="shared" ca="1" si="272"/>
        <v>1.0000000000000004</v>
      </c>
      <c r="AR524" t="str">
        <f t="shared" ca="1" si="273"/>
        <v>Supercritical</v>
      </c>
      <c r="AS524">
        <f t="shared" ca="1" si="274"/>
        <v>3.8141460404132466E-3</v>
      </c>
    </row>
    <row r="525" spans="1:45" x14ac:dyDescent="0.35">
      <c r="A525">
        <v>464</v>
      </c>
      <c r="B525">
        <v>462.99599999999998</v>
      </c>
      <c r="C525">
        <v>616223.16299999994</v>
      </c>
      <c r="D525">
        <v>3097511.62</v>
      </c>
      <c r="E525">
        <v>632.33100000000002</v>
      </c>
      <c r="F525">
        <v>5.2</v>
      </c>
      <c r="G525">
        <v>0</v>
      </c>
      <c r="H525" t="s">
        <v>154</v>
      </c>
      <c r="I525">
        <v>7.8E-2</v>
      </c>
      <c r="J525">
        <f t="shared" si="275"/>
        <v>1.0009999999999764</v>
      </c>
      <c r="K525">
        <f t="shared" ca="1" si="276"/>
        <v>50.95</v>
      </c>
      <c r="L525">
        <f t="shared" ca="1" si="277"/>
        <v>2.1389677043987478</v>
      </c>
      <c r="M525">
        <f t="shared" ca="1" si="250"/>
        <v>11.122632062873489</v>
      </c>
      <c r="N525">
        <f t="shared" ca="1" si="251"/>
        <v>1.1735290000551568</v>
      </c>
      <c r="O525">
        <f t="shared" ca="1" si="252"/>
        <v>4.5807502857230418</v>
      </c>
      <c r="P525">
        <f t="shared" ca="1" si="253"/>
        <v>634.46996770439875</v>
      </c>
      <c r="Q525">
        <f t="shared" ca="1" si="254"/>
        <v>635.53945155659812</v>
      </c>
      <c r="R525">
        <f t="shared" ca="1" si="255"/>
        <v>3.8141460404132466E-3</v>
      </c>
      <c r="S525">
        <f t="shared" ca="1" si="256"/>
        <v>1.0000000000000004</v>
      </c>
      <c r="T525">
        <f t="shared" ca="1" si="257"/>
        <v>35.686426155594638</v>
      </c>
      <c r="U525">
        <f t="shared" ca="1" si="278"/>
        <v>-3.456993087183946E-3</v>
      </c>
      <c r="V525">
        <f t="shared" ca="1" si="279"/>
        <v>1</v>
      </c>
      <c r="W525">
        <f t="shared" ca="1" si="258"/>
        <v>1.7069807167840894</v>
      </c>
      <c r="X525">
        <f t="shared" ca="1" si="259"/>
        <v>8.8762997272772655</v>
      </c>
      <c r="Y525">
        <f t="shared" ca="1" si="260"/>
        <v>1.030455011405875</v>
      </c>
      <c r="Z525">
        <f t="shared" ca="1" si="261"/>
        <v>5.7400044574236695</v>
      </c>
      <c r="AA525">
        <f t="shared" ca="1" si="262"/>
        <v>634.03798071678409</v>
      </c>
      <c r="AB525">
        <f t="shared" ca="1" si="263"/>
        <v>635.71726976730622</v>
      </c>
      <c r="AC525">
        <f t="shared" ca="1" si="264"/>
        <v>7.1225405400709941E-3</v>
      </c>
      <c r="AD525">
        <f t="shared" ca="1" si="265"/>
        <v>1.4026955474949083</v>
      </c>
      <c r="AE525">
        <f t="shared" ca="1" si="266"/>
        <v>37.387582117767096</v>
      </c>
      <c r="AF525">
        <f t="shared" ca="1" si="267"/>
        <v>6.7624812943449797E-3</v>
      </c>
      <c r="AG525">
        <f t="shared" ca="1" si="268"/>
        <v>0</v>
      </c>
      <c r="AH525">
        <f ca="1">IFERROR(IF(V32="Supercritical",MAX($D$16,IFERROR(L525,MAX($D$16,POWER((ABS(K525)^2)/($I$5*MAX(F525,0.1)^2),1/3)))),IF(V32="Subcritical",MAX($D$16,IFERROR(W525,MAX($D$16,POWER((ABS(K525)^2)/($I$5*MAX(F525,0.1)^2),1/3)))),IF(AND(IFERROR(V525,0)=1,IFERROR(AG525,0)=1),IF(IFERROR(T525,-1E+99)&gt;=IFERROR(AE525,-1E+99),MAX($D$16,IFERROR(L525,MAX($D$16,POWER((ABS(K525)^2)/($I$5*MAX(F525,0.1)^2),1/3)))),MAX($D$16,IFERROR(W525,MAX($D$16,POWER((ABS(K525)^2)/($I$5*MAX(F525,0.1)^2),1/3))))),IF(IFERROR(V525,0)=1,MAX($D$16,IFERROR(L525,MAX($D$16,POWER((ABS(K525)^2)/($I$5*MAX(F525,0.1)^2),1/3)))),IF(IFERROR(AG525,0)=1,MAX($D$16,IFERROR(W525,MAX($D$16,POWER((ABS(K525)^2)/($I$5*MAX(F525,0.1)^2),1/3)))),MAX($D$16,POWER((ABS(K525)^2)/($I$5*MAX(F525,0.1)^2),1/3))))))),MAX($D$16,POWER((ABS(K525)^2)/($I$5*MAX(F525,0.1)^2),1/3)))</f>
        <v>2.1389677043987478</v>
      </c>
      <c r="AI525">
        <f t="shared" ca="1" si="269"/>
        <v>634.46996770439875</v>
      </c>
      <c r="AJ525">
        <f t="shared" ca="1" si="270"/>
        <v>635.53945155659812</v>
      </c>
      <c r="AM525">
        <v>0</v>
      </c>
      <c r="AN525">
        <v>0</v>
      </c>
      <c r="AO525">
        <f t="shared" si="271"/>
        <v>0</v>
      </c>
      <c r="AP525">
        <f t="shared" si="280"/>
        <v>0</v>
      </c>
      <c r="AQ525">
        <f t="shared" ca="1" si="272"/>
        <v>1.0000000000000004</v>
      </c>
      <c r="AR525" t="str">
        <f t="shared" ca="1" si="273"/>
        <v>Supercritical</v>
      </c>
      <c r="AS525">
        <f t="shared" ca="1" si="274"/>
        <v>3.8141460404132466E-3</v>
      </c>
    </row>
    <row r="526" spans="1:45" x14ac:dyDescent="0.35">
      <c r="A526">
        <v>465</v>
      </c>
      <c r="B526">
        <v>463.99599999999998</v>
      </c>
      <c r="C526">
        <v>616222.68799999997</v>
      </c>
      <c r="D526">
        <v>3097510.74</v>
      </c>
      <c r="E526">
        <v>632.33050000000003</v>
      </c>
      <c r="F526">
        <v>5.2</v>
      </c>
      <c r="G526">
        <v>0</v>
      </c>
      <c r="H526" t="s">
        <v>154</v>
      </c>
      <c r="I526">
        <v>0.05</v>
      </c>
      <c r="J526">
        <f t="shared" si="275"/>
        <v>1</v>
      </c>
      <c r="K526">
        <f t="shared" ca="1" si="276"/>
        <v>50.95</v>
      </c>
      <c r="L526">
        <f t="shared" ca="1" si="277"/>
        <v>2.1389677043987478</v>
      </c>
      <c r="M526">
        <f t="shared" ca="1" si="250"/>
        <v>11.122632062873489</v>
      </c>
      <c r="N526">
        <f t="shared" ca="1" si="251"/>
        <v>1.1735290000551568</v>
      </c>
      <c r="O526">
        <f t="shared" ca="1" si="252"/>
        <v>4.5807502857230418</v>
      </c>
      <c r="P526">
        <f t="shared" ca="1" si="253"/>
        <v>634.46946770439877</v>
      </c>
      <c r="Q526">
        <f t="shared" ca="1" si="254"/>
        <v>635.53895155659814</v>
      </c>
      <c r="R526">
        <f t="shared" ca="1" si="255"/>
        <v>3.8141460404132466E-3</v>
      </c>
      <c r="S526">
        <f t="shared" ca="1" si="256"/>
        <v>1.0000000000000004</v>
      </c>
      <c r="T526">
        <f t="shared" ca="1" si="257"/>
        <v>35.686426155594638</v>
      </c>
      <c r="U526">
        <f t="shared" ca="1" si="278"/>
        <v>-3.4032696947861041E-3</v>
      </c>
      <c r="V526">
        <f t="shared" ca="1" si="279"/>
        <v>1</v>
      </c>
      <c r="W526">
        <f t="shared" ca="1" si="258"/>
        <v>1.7069761812133992</v>
      </c>
      <c r="X526">
        <f t="shared" ca="1" si="259"/>
        <v>8.8762761423096759</v>
      </c>
      <c r="Y526">
        <f t="shared" ca="1" si="260"/>
        <v>1.0304533585566489</v>
      </c>
      <c r="Z526">
        <f t="shared" ca="1" si="261"/>
        <v>5.7400197090693954</v>
      </c>
      <c r="AA526">
        <f t="shared" ca="1" si="262"/>
        <v>634.03747618121338</v>
      </c>
      <c r="AB526">
        <f t="shared" ca="1" si="263"/>
        <v>635.71677415575493</v>
      </c>
      <c r="AC526">
        <f t="shared" ca="1" si="264"/>
        <v>7.1225936232719722E-3</v>
      </c>
      <c r="AD526">
        <f t="shared" ca="1" si="265"/>
        <v>1.4027011381081007</v>
      </c>
      <c r="AE526">
        <f t="shared" ca="1" si="266"/>
        <v>37.387621070901837</v>
      </c>
      <c r="AF526">
        <f t="shared" ca="1" si="267"/>
        <v>6.6910394385786276E-3</v>
      </c>
      <c r="AG526">
        <f t="shared" ca="1" si="268"/>
        <v>0</v>
      </c>
      <c r="AH526">
        <f ca="1">IFERROR(IF(V32="Supercritical",MAX($D$16,IFERROR(L526,MAX($D$16,POWER((ABS(K526)^2)/($I$5*MAX(F526,0.1)^2),1/3)))),IF(V32="Subcritical",MAX($D$16,IFERROR(W526,MAX($D$16,POWER((ABS(K526)^2)/($I$5*MAX(F526,0.1)^2),1/3)))),IF(AND(IFERROR(V526,0)=1,IFERROR(AG526,0)=1),IF(IFERROR(T526,-1E+99)&gt;=IFERROR(AE526,-1E+99),MAX($D$16,IFERROR(L526,MAX($D$16,POWER((ABS(K526)^2)/($I$5*MAX(F526,0.1)^2),1/3)))),MAX($D$16,IFERROR(W526,MAX($D$16,POWER((ABS(K526)^2)/($I$5*MAX(F526,0.1)^2),1/3))))),IF(IFERROR(V526,0)=1,MAX($D$16,IFERROR(L526,MAX($D$16,POWER((ABS(K526)^2)/($I$5*MAX(F526,0.1)^2),1/3)))),IF(IFERROR(AG526,0)=1,MAX($D$16,IFERROR(W526,MAX($D$16,POWER((ABS(K526)^2)/($I$5*MAX(F526,0.1)^2),1/3)))),MAX($D$16,POWER((ABS(K526)^2)/($I$5*MAX(F526,0.1)^2),1/3))))))),MAX($D$16,POWER((ABS(K526)^2)/($I$5*MAX(F526,0.1)^2),1/3)))</f>
        <v>2.1389677043987478</v>
      </c>
      <c r="AI526">
        <f t="shared" ca="1" si="269"/>
        <v>634.46946770439877</v>
      </c>
      <c r="AJ526">
        <f t="shared" ca="1" si="270"/>
        <v>635.53895155659814</v>
      </c>
      <c r="AM526">
        <v>0</v>
      </c>
      <c r="AN526">
        <v>0</v>
      </c>
      <c r="AO526">
        <f t="shared" si="271"/>
        <v>0</v>
      </c>
      <c r="AP526">
        <f t="shared" si="280"/>
        <v>0</v>
      </c>
      <c r="AQ526">
        <f t="shared" ca="1" si="272"/>
        <v>1.0000000000000004</v>
      </c>
      <c r="AR526" t="str">
        <f t="shared" ca="1" si="273"/>
        <v>Supercritical</v>
      </c>
      <c r="AS526">
        <f t="shared" ca="1" si="274"/>
        <v>3.8141460404132466E-3</v>
      </c>
    </row>
    <row r="527" spans="1:45" x14ac:dyDescent="0.35">
      <c r="A527">
        <v>466</v>
      </c>
      <c r="B527">
        <v>464.995</v>
      </c>
      <c r="C527">
        <v>616222.21400000004</v>
      </c>
      <c r="D527">
        <v>3097509.86</v>
      </c>
      <c r="E527">
        <v>632.33000000000004</v>
      </c>
      <c r="F527">
        <v>5.2</v>
      </c>
      <c r="G527">
        <v>0</v>
      </c>
      <c r="H527" t="s">
        <v>154</v>
      </c>
      <c r="I527">
        <v>2.7E-2</v>
      </c>
      <c r="J527">
        <f t="shared" si="275"/>
        <v>0.99900000000002365</v>
      </c>
      <c r="K527">
        <f t="shared" ca="1" si="276"/>
        <v>50.95</v>
      </c>
      <c r="L527">
        <f t="shared" ca="1" si="277"/>
        <v>2.1389677043987478</v>
      </c>
      <c r="M527">
        <f t="shared" ca="1" si="250"/>
        <v>11.122632062873489</v>
      </c>
      <c r="N527">
        <f t="shared" ca="1" si="251"/>
        <v>1.1735290000551568</v>
      </c>
      <c r="O527">
        <f t="shared" ca="1" si="252"/>
        <v>4.5807502857230418</v>
      </c>
      <c r="P527">
        <f t="shared" ca="1" si="253"/>
        <v>634.46896770439878</v>
      </c>
      <c r="Q527">
        <f t="shared" ca="1" si="254"/>
        <v>635.53845155659815</v>
      </c>
      <c r="R527">
        <f t="shared" ca="1" si="255"/>
        <v>3.8141460404132466E-3</v>
      </c>
      <c r="S527">
        <f t="shared" ca="1" si="256"/>
        <v>1.0000000000000004</v>
      </c>
      <c r="T527">
        <f t="shared" ca="1" si="257"/>
        <v>35.686426155594638</v>
      </c>
      <c r="U527">
        <f t="shared" ca="1" si="278"/>
        <v>-3.3584586676624895E-3</v>
      </c>
      <c r="V527">
        <f t="shared" ca="1" si="279"/>
        <v>1</v>
      </c>
      <c r="W527">
        <f t="shared" ca="1" si="258"/>
        <v>1.7069719464391186</v>
      </c>
      <c r="X527">
        <f t="shared" ca="1" si="259"/>
        <v>8.8762541214834165</v>
      </c>
      <c r="Y527">
        <f t="shared" ca="1" si="260"/>
        <v>1.0304518153202795</v>
      </c>
      <c r="Z527">
        <f t="shared" ca="1" si="261"/>
        <v>5.7400339493080157</v>
      </c>
      <c r="AA527">
        <f t="shared" ca="1" si="262"/>
        <v>634.03697194643917</v>
      </c>
      <c r="AB527">
        <f t="shared" ca="1" si="263"/>
        <v>635.71627825322855</v>
      </c>
      <c r="AC527">
        <f t="shared" ca="1" si="264"/>
        <v>7.1226431865248786E-3</v>
      </c>
      <c r="AD527">
        <f t="shared" ca="1" si="265"/>
        <v>1.402706357988603</v>
      </c>
      <c r="AE527">
        <f t="shared" ca="1" si="266"/>
        <v>37.387657441163903</v>
      </c>
      <c r="AF527">
        <f t="shared" ca="1" si="267"/>
        <v>6.7053346135708125E-3</v>
      </c>
      <c r="AG527">
        <f t="shared" ca="1" si="268"/>
        <v>0</v>
      </c>
      <c r="AH527">
        <f ca="1">IFERROR(IF(V32="Supercritical",MAX($D$16,IFERROR(L527,MAX($D$16,POWER((ABS(K527)^2)/($I$5*MAX(F527,0.1)^2),1/3)))),IF(V32="Subcritical",MAX($D$16,IFERROR(W527,MAX($D$16,POWER((ABS(K527)^2)/($I$5*MAX(F527,0.1)^2),1/3)))),IF(AND(IFERROR(V527,0)=1,IFERROR(AG527,0)=1),IF(IFERROR(T527,-1E+99)&gt;=IFERROR(AE527,-1E+99),MAX($D$16,IFERROR(L527,MAX($D$16,POWER((ABS(K527)^2)/($I$5*MAX(F527,0.1)^2),1/3)))),MAX($D$16,IFERROR(W527,MAX($D$16,POWER((ABS(K527)^2)/($I$5*MAX(F527,0.1)^2),1/3))))),IF(IFERROR(V527,0)=1,MAX($D$16,IFERROR(L527,MAX($D$16,POWER((ABS(K527)^2)/($I$5*MAX(F527,0.1)^2),1/3)))),IF(IFERROR(AG527,0)=1,MAX($D$16,IFERROR(W527,MAX($D$16,POWER((ABS(K527)^2)/($I$5*MAX(F527,0.1)^2),1/3)))),MAX($D$16,POWER((ABS(K527)^2)/($I$5*MAX(F527,0.1)^2),1/3))))))),MAX($D$16,POWER((ABS(K527)^2)/($I$5*MAX(F527,0.1)^2),1/3)))</f>
        <v>2.1389677043987478</v>
      </c>
      <c r="AI527">
        <f t="shared" ca="1" si="269"/>
        <v>634.46896770439878</v>
      </c>
      <c r="AJ527">
        <f t="shared" ca="1" si="270"/>
        <v>635.53845155659815</v>
      </c>
      <c r="AM527">
        <v>0</v>
      </c>
      <c r="AN527">
        <v>0</v>
      </c>
      <c r="AO527">
        <f t="shared" si="271"/>
        <v>0</v>
      </c>
      <c r="AP527">
        <f t="shared" si="280"/>
        <v>0</v>
      </c>
      <c r="AQ527">
        <f t="shared" ca="1" si="272"/>
        <v>1.0000000000000004</v>
      </c>
      <c r="AR527" t="str">
        <f t="shared" ca="1" si="273"/>
        <v>Supercritical</v>
      </c>
      <c r="AS527">
        <f t="shared" ca="1" si="274"/>
        <v>3.8141460404132466E-3</v>
      </c>
    </row>
    <row r="528" spans="1:45" x14ac:dyDescent="0.35">
      <c r="A528">
        <v>467</v>
      </c>
      <c r="B528">
        <v>465.99599999999998</v>
      </c>
      <c r="C528">
        <v>616221.74</v>
      </c>
      <c r="D528">
        <v>3097508.9789999998</v>
      </c>
      <c r="E528">
        <v>632.32950000000005</v>
      </c>
      <c r="F528">
        <v>5.2</v>
      </c>
      <c r="G528">
        <v>0</v>
      </c>
      <c r="H528" t="s">
        <v>154</v>
      </c>
      <c r="I528">
        <v>2.7E-2</v>
      </c>
      <c r="J528">
        <f t="shared" si="275"/>
        <v>1.0009999999999764</v>
      </c>
      <c r="K528">
        <f t="shared" ca="1" si="276"/>
        <v>50.95</v>
      </c>
      <c r="L528">
        <f t="shared" ca="1" si="277"/>
        <v>2.1389677043987478</v>
      </c>
      <c r="M528">
        <f t="shared" ca="1" si="250"/>
        <v>11.122632062873489</v>
      </c>
      <c r="N528">
        <f t="shared" ca="1" si="251"/>
        <v>1.1735290000551568</v>
      </c>
      <c r="O528">
        <f t="shared" ca="1" si="252"/>
        <v>4.5807502857230418</v>
      </c>
      <c r="P528">
        <f t="shared" ca="1" si="253"/>
        <v>634.46846770439879</v>
      </c>
      <c r="Q528">
        <f t="shared" ca="1" si="254"/>
        <v>635.53795155659816</v>
      </c>
      <c r="R528">
        <f t="shared" ca="1" si="255"/>
        <v>3.8141460404132466E-3</v>
      </c>
      <c r="S528">
        <f t="shared" ca="1" si="256"/>
        <v>1.0000000000000004</v>
      </c>
      <c r="T528">
        <f t="shared" ca="1" si="257"/>
        <v>35.686426155594638</v>
      </c>
      <c r="U528">
        <f t="shared" ca="1" si="278"/>
        <v>-3.3660869597724741E-3</v>
      </c>
      <c r="V528">
        <f t="shared" ca="1" si="279"/>
        <v>1</v>
      </c>
      <c r="W528">
        <f t="shared" ca="1" si="258"/>
        <v>1.7069679925196783</v>
      </c>
      <c r="X528">
        <f t="shared" ca="1" si="259"/>
        <v>8.8762335611023282</v>
      </c>
      <c r="Y528">
        <f t="shared" ca="1" si="260"/>
        <v>1.0304503744302871</v>
      </c>
      <c r="Z528">
        <f t="shared" ca="1" si="261"/>
        <v>5.7400472451822893</v>
      </c>
      <c r="AA528">
        <f t="shared" ca="1" si="262"/>
        <v>634.03646799251976</v>
      </c>
      <c r="AB528">
        <f t="shared" ca="1" si="263"/>
        <v>635.71578207900927</v>
      </c>
      <c r="AC528">
        <f t="shared" ca="1" si="264"/>
        <v>7.1226894631238541E-3</v>
      </c>
      <c r="AD528">
        <f t="shared" ca="1" si="265"/>
        <v>1.4027112317101724</v>
      </c>
      <c r="AE528">
        <f t="shared" ca="1" si="266"/>
        <v>37.387691399726037</v>
      </c>
      <c r="AF528">
        <f t="shared" ca="1" si="267"/>
        <v>6.6799404802395657E-3</v>
      </c>
      <c r="AG528">
        <f t="shared" ca="1" si="268"/>
        <v>0</v>
      </c>
      <c r="AH528">
        <f ca="1">IFERROR(IF(V32="Supercritical",MAX($D$16,IFERROR(L528,MAX($D$16,POWER((ABS(K528)^2)/($I$5*MAX(F528,0.1)^2),1/3)))),IF(V32="Subcritical",MAX($D$16,IFERROR(W528,MAX($D$16,POWER((ABS(K528)^2)/($I$5*MAX(F528,0.1)^2),1/3)))),IF(AND(IFERROR(V528,0)=1,IFERROR(AG528,0)=1),IF(IFERROR(T528,-1E+99)&gt;=IFERROR(AE528,-1E+99),MAX($D$16,IFERROR(L528,MAX($D$16,POWER((ABS(K528)^2)/($I$5*MAX(F528,0.1)^2),1/3)))),MAX($D$16,IFERROR(W528,MAX($D$16,POWER((ABS(K528)^2)/($I$5*MAX(F528,0.1)^2),1/3))))),IF(IFERROR(V528,0)=1,MAX($D$16,IFERROR(L528,MAX($D$16,POWER((ABS(K528)^2)/($I$5*MAX(F528,0.1)^2),1/3)))),IF(IFERROR(AG528,0)=1,MAX($D$16,IFERROR(W528,MAX($D$16,POWER((ABS(K528)^2)/($I$5*MAX(F528,0.1)^2),1/3)))),MAX($D$16,POWER((ABS(K528)^2)/($I$5*MAX(F528,0.1)^2),1/3))))))),MAX($D$16,POWER((ABS(K528)^2)/($I$5*MAX(F528,0.1)^2),1/3)))</f>
        <v>2.1389677043987478</v>
      </c>
      <c r="AI528">
        <f t="shared" ca="1" si="269"/>
        <v>634.46846770439879</v>
      </c>
      <c r="AJ528">
        <f t="shared" ca="1" si="270"/>
        <v>635.53795155659816</v>
      </c>
      <c r="AM528">
        <v>0</v>
      </c>
      <c r="AN528">
        <v>0</v>
      </c>
      <c r="AO528">
        <f t="shared" si="271"/>
        <v>0</v>
      </c>
      <c r="AP528">
        <f t="shared" si="280"/>
        <v>0</v>
      </c>
      <c r="AQ528">
        <f t="shared" ca="1" si="272"/>
        <v>1.0000000000000004</v>
      </c>
      <c r="AR528" t="str">
        <f t="shared" ca="1" si="273"/>
        <v>Supercritical</v>
      </c>
      <c r="AS528">
        <f t="shared" ca="1" si="274"/>
        <v>3.8141460404132466E-3</v>
      </c>
    </row>
    <row r="529" spans="1:45" x14ac:dyDescent="0.35">
      <c r="A529">
        <v>468</v>
      </c>
      <c r="B529">
        <v>466.995</v>
      </c>
      <c r="C529">
        <v>616221.26599999995</v>
      </c>
      <c r="D529">
        <v>3097508.0989999999</v>
      </c>
      <c r="E529">
        <v>632.32899999999995</v>
      </c>
      <c r="F529">
        <v>5.2</v>
      </c>
      <c r="G529">
        <v>0</v>
      </c>
      <c r="H529" t="s">
        <v>154</v>
      </c>
      <c r="I529">
        <v>2.3E-2</v>
      </c>
      <c r="J529">
        <f t="shared" si="275"/>
        <v>0.99900000000002365</v>
      </c>
      <c r="K529">
        <f t="shared" ca="1" si="276"/>
        <v>50.95</v>
      </c>
      <c r="L529">
        <f t="shared" ca="1" si="277"/>
        <v>2.1389677043987478</v>
      </c>
      <c r="M529">
        <f t="shared" ca="1" si="250"/>
        <v>11.122632062873489</v>
      </c>
      <c r="N529">
        <f t="shared" ca="1" si="251"/>
        <v>1.1735290000551568</v>
      </c>
      <c r="O529">
        <f t="shared" ca="1" si="252"/>
        <v>4.5807502857230418</v>
      </c>
      <c r="P529">
        <f t="shared" ca="1" si="253"/>
        <v>634.46796770439869</v>
      </c>
      <c r="Q529">
        <f t="shared" ca="1" si="254"/>
        <v>635.53745155659806</v>
      </c>
      <c r="R529">
        <f t="shared" ca="1" si="255"/>
        <v>3.8141460404132466E-3</v>
      </c>
      <c r="S529">
        <f t="shared" ca="1" si="256"/>
        <v>1.0000000000000004</v>
      </c>
      <c r="T529">
        <f t="shared" ca="1" si="257"/>
        <v>35.686426155594638</v>
      </c>
      <c r="U529">
        <f t="shared" ca="1" si="278"/>
        <v>-3.3513287752384713E-3</v>
      </c>
      <c r="V529">
        <f t="shared" ca="1" si="279"/>
        <v>1</v>
      </c>
      <c r="W529">
        <f t="shared" ca="1" si="258"/>
        <v>1.7069643008346236</v>
      </c>
      <c r="X529">
        <f t="shared" ca="1" si="259"/>
        <v>8.8762143643400435</v>
      </c>
      <c r="Y529">
        <f t="shared" ca="1" si="260"/>
        <v>1.0304490291015378</v>
      </c>
      <c r="Z529">
        <f t="shared" ca="1" si="261"/>
        <v>5.7400596592946513</v>
      </c>
      <c r="AA529">
        <f t="shared" ca="1" si="262"/>
        <v>634.03596430083462</v>
      </c>
      <c r="AB529">
        <f t="shared" ca="1" si="263"/>
        <v>635.71528565110282</v>
      </c>
      <c r="AC529">
        <f t="shared" ca="1" si="264"/>
        <v>7.1227326709156925E-3</v>
      </c>
      <c r="AD529">
        <f t="shared" ca="1" si="265"/>
        <v>1.4027157822191265</v>
      </c>
      <c r="AE529">
        <f t="shared" ca="1" si="266"/>
        <v>37.387723106428766</v>
      </c>
      <c r="AF529">
        <f t="shared" ca="1" si="267"/>
        <v>6.6942293886995685E-3</v>
      </c>
      <c r="AG529">
        <f t="shared" ca="1" si="268"/>
        <v>0</v>
      </c>
      <c r="AH529">
        <f ca="1">IFERROR(IF(V32="Supercritical",MAX($D$16,IFERROR(L529,MAX($D$16,POWER((ABS(K529)^2)/($I$5*MAX(F529,0.1)^2),1/3)))),IF(V32="Subcritical",MAX($D$16,IFERROR(W529,MAX($D$16,POWER((ABS(K529)^2)/($I$5*MAX(F529,0.1)^2),1/3)))),IF(AND(IFERROR(V529,0)=1,IFERROR(AG529,0)=1),IF(IFERROR(T529,-1E+99)&gt;=IFERROR(AE529,-1E+99),MAX($D$16,IFERROR(L529,MAX($D$16,POWER((ABS(K529)^2)/($I$5*MAX(F529,0.1)^2),1/3)))),MAX($D$16,IFERROR(W529,MAX($D$16,POWER((ABS(K529)^2)/($I$5*MAX(F529,0.1)^2),1/3))))),IF(IFERROR(V529,0)=1,MAX($D$16,IFERROR(L529,MAX($D$16,POWER((ABS(K529)^2)/($I$5*MAX(F529,0.1)^2),1/3)))),IF(IFERROR(AG529,0)=1,MAX($D$16,IFERROR(W529,MAX($D$16,POWER((ABS(K529)^2)/($I$5*MAX(F529,0.1)^2),1/3)))),MAX($D$16,POWER((ABS(K529)^2)/($I$5*MAX(F529,0.1)^2),1/3))))))),MAX($D$16,POWER((ABS(K529)^2)/($I$5*MAX(F529,0.1)^2),1/3)))</f>
        <v>2.1389677043987478</v>
      </c>
      <c r="AI529">
        <f t="shared" ca="1" si="269"/>
        <v>634.46796770439869</v>
      </c>
      <c r="AJ529">
        <f t="shared" ca="1" si="270"/>
        <v>635.53745155659806</v>
      </c>
      <c r="AM529">
        <v>0</v>
      </c>
      <c r="AN529">
        <v>0</v>
      </c>
      <c r="AO529">
        <f t="shared" si="271"/>
        <v>0</v>
      </c>
      <c r="AP529">
        <f t="shared" si="280"/>
        <v>0</v>
      </c>
      <c r="AQ529">
        <f t="shared" ca="1" si="272"/>
        <v>1.0000000000000004</v>
      </c>
      <c r="AR529" t="str">
        <f t="shared" ca="1" si="273"/>
        <v>Supercritical</v>
      </c>
      <c r="AS529">
        <f t="shared" ca="1" si="274"/>
        <v>3.8141460404132466E-3</v>
      </c>
    </row>
    <row r="530" spans="1:45" x14ac:dyDescent="0.35">
      <c r="A530">
        <v>469</v>
      </c>
      <c r="B530">
        <v>467.99599999999998</v>
      </c>
      <c r="C530">
        <v>616220.79099999997</v>
      </c>
      <c r="D530">
        <v>3097507.2179999999</v>
      </c>
      <c r="E530">
        <v>632.32849999999996</v>
      </c>
      <c r="F530">
        <v>5.2</v>
      </c>
      <c r="G530">
        <v>0</v>
      </c>
      <c r="H530" t="s">
        <v>154</v>
      </c>
      <c r="I530">
        <v>2.3E-2</v>
      </c>
      <c r="J530">
        <f t="shared" si="275"/>
        <v>1.0009999999999764</v>
      </c>
      <c r="K530">
        <f t="shared" ca="1" si="276"/>
        <v>50.95</v>
      </c>
      <c r="L530">
        <f t="shared" ca="1" si="277"/>
        <v>2.1389677043987478</v>
      </c>
      <c r="M530">
        <f t="shared" ca="1" si="250"/>
        <v>11.122632062873489</v>
      </c>
      <c r="N530">
        <f t="shared" ca="1" si="251"/>
        <v>1.1735290000551568</v>
      </c>
      <c r="O530">
        <f t="shared" ca="1" si="252"/>
        <v>4.5807502857230418</v>
      </c>
      <c r="P530">
        <f t="shared" ca="1" si="253"/>
        <v>634.4674677043987</v>
      </c>
      <c r="Q530">
        <f t="shared" ca="1" si="254"/>
        <v>635.53695155659807</v>
      </c>
      <c r="R530">
        <f t="shared" ca="1" si="255"/>
        <v>3.8141460404132466E-3</v>
      </c>
      <c r="S530">
        <f t="shared" ca="1" si="256"/>
        <v>1.0000000000000004</v>
      </c>
      <c r="T530">
        <f t="shared" ca="1" si="257"/>
        <v>35.686426155594638</v>
      </c>
      <c r="U530">
        <f t="shared" ca="1" si="278"/>
        <v>-3.3589570674621427E-3</v>
      </c>
      <c r="V530">
        <f t="shared" ca="1" si="279"/>
        <v>1</v>
      </c>
      <c r="W530">
        <f t="shared" ca="1" si="258"/>
        <v>1.7069608539972352</v>
      </c>
      <c r="X530">
        <f t="shared" ca="1" si="259"/>
        <v>8.8761964407856233</v>
      </c>
      <c r="Y530">
        <f t="shared" ca="1" si="260"/>
        <v>1.0304477729984169</v>
      </c>
      <c r="Z530">
        <f t="shared" ca="1" si="261"/>
        <v>5.7400712501007325</v>
      </c>
      <c r="AA530">
        <f t="shared" ca="1" si="262"/>
        <v>634.03546085399717</v>
      </c>
      <c r="AB530">
        <f t="shared" ca="1" si="263"/>
        <v>635.71478898632301</v>
      </c>
      <c r="AC530">
        <f t="shared" ca="1" si="264"/>
        <v>7.1227730133204435E-3</v>
      </c>
      <c r="AD530">
        <f t="shared" ca="1" si="265"/>
        <v>1.4027200309419074</v>
      </c>
      <c r="AE530">
        <f t="shared" ca="1" si="266"/>
        <v>37.3877527105289</v>
      </c>
      <c r="AF530">
        <f t="shared" ca="1" si="267"/>
        <v>6.698342779259292E-3</v>
      </c>
      <c r="AG530">
        <f t="shared" ca="1" si="268"/>
        <v>0</v>
      </c>
      <c r="AH530">
        <f ca="1">IFERROR(IF(V32="Supercritical",MAX($D$16,IFERROR(L530,MAX($D$16,POWER((ABS(K530)^2)/($I$5*MAX(F530,0.1)^2),1/3)))),IF(V32="Subcritical",MAX($D$16,IFERROR(W530,MAX($D$16,POWER((ABS(K530)^2)/($I$5*MAX(F530,0.1)^2),1/3)))),IF(AND(IFERROR(V530,0)=1,IFERROR(AG530,0)=1),IF(IFERROR(T530,-1E+99)&gt;=IFERROR(AE530,-1E+99),MAX($D$16,IFERROR(L530,MAX($D$16,POWER((ABS(K530)^2)/($I$5*MAX(F530,0.1)^2),1/3)))),MAX($D$16,IFERROR(W530,MAX($D$16,POWER((ABS(K530)^2)/($I$5*MAX(F530,0.1)^2),1/3))))),IF(IFERROR(V530,0)=1,MAX($D$16,IFERROR(L530,MAX($D$16,POWER((ABS(K530)^2)/($I$5*MAX(F530,0.1)^2),1/3)))),IF(IFERROR(AG530,0)=1,MAX($D$16,IFERROR(W530,MAX($D$16,POWER((ABS(K530)^2)/($I$5*MAX(F530,0.1)^2),1/3)))),MAX($D$16,POWER((ABS(K530)^2)/($I$5*MAX(F530,0.1)^2),1/3))))))),MAX($D$16,POWER((ABS(K530)^2)/($I$5*MAX(F530,0.1)^2),1/3)))</f>
        <v>2.1389677043987478</v>
      </c>
      <c r="AI530">
        <f t="shared" ca="1" si="269"/>
        <v>634.4674677043987</v>
      </c>
      <c r="AJ530">
        <f t="shared" ca="1" si="270"/>
        <v>635.53695155659807</v>
      </c>
      <c r="AM530">
        <v>0</v>
      </c>
      <c r="AN530">
        <v>0</v>
      </c>
      <c r="AO530">
        <f t="shared" si="271"/>
        <v>0</v>
      </c>
      <c r="AP530">
        <f t="shared" si="280"/>
        <v>0</v>
      </c>
      <c r="AQ530">
        <f t="shared" ca="1" si="272"/>
        <v>1.0000000000000004</v>
      </c>
      <c r="AR530" t="str">
        <f t="shared" ca="1" si="273"/>
        <v>Supercritical</v>
      </c>
      <c r="AS530">
        <f t="shared" ca="1" si="274"/>
        <v>3.8141460404132466E-3</v>
      </c>
    </row>
    <row r="531" spans="1:45" x14ac:dyDescent="0.35">
      <c r="A531">
        <v>470</v>
      </c>
      <c r="B531">
        <v>468.99599999999998</v>
      </c>
      <c r="C531">
        <v>616220.31700000004</v>
      </c>
      <c r="D531">
        <v>3097506.338</v>
      </c>
      <c r="E531">
        <v>632.32799999999997</v>
      </c>
      <c r="F531">
        <v>5.2</v>
      </c>
      <c r="G531">
        <v>0</v>
      </c>
      <c r="H531" t="s">
        <v>154</v>
      </c>
      <c r="I531">
        <v>2.7E-2</v>
      </c>
      <c r="J531">
        <f t="shared" si="275"/>
        <v>1</v>
      </c>
      <c r="K531">
        <f t="shared" ca="1" si="276"/>
        <v>50.95</v>
      </c>
      <c r="L531">
        <f t="shared" ca="1" si="277"/>
        <v>2.1389677043987478</v>
      </c>
      <c r="M531">
        <f t="shared" ca="1" si="250"/>
        <v>11.122632062873489</v>
      </c>
      <c r="N531">
        <f t="shared" ca="1" si="251"/>
        <v>1.1735290000551568</v>
      </c>
      <c r="O531">
        <f t="shared" ca="1" si="252"/>
        <v>4.5807502857230418</v>
      </c>
      <c r="P531">
        <f t="shared" ca="1" si="253"/>
        <v>634.46696770439871</v>
      </c>
      <c r="Q531">
        <f t="shared" ca="1" si="254"/>
        <v>635.53645155659808</v>
      </c>
      <c r="R531">
        <f t="shared" ca="1" si="255"/>
        <v>3.8141460404132466E-3</v>
      </c>
      <c r="S531">
        <f t="shared" ca="1" si="256"/>
        <v>1.0000000000000004</v>
      </c>
      <c r="T531">
        <f t="shared" ca="1" si="257"/>
        <v>35.686426155594638</v>
      </c>
      <c r="U531">
        <f t="shared" ca="1" si="278"/>
        <v>-3.3622728137743252E-3</v>
      </c>
      <c r="V531">
        <f t="shared" ca="1" si="279"/>
        <v>1</v>
      </c>
      <c r="W531">
        <f t="shared" ca="1" si="258"/>
        <v>1.7069576357728624</v>
      </c>
      <c r="X531">
        <f t="shared" ca="1" si="259"/>
        <v>8.8761797060188847</v>
      </c>
      <c r="Y531">
        <f t="shared" ca="1" si="260"/>
        <v>1.0304466002050769</v>
      </c>
      <c r="Z531">
        <f t="shared" ca="1" si="261"/>
        <v>5.7400820721837249</v>
      </c>
      <c r="AA531">
        <f t="shared" ca="1" si="262"/>
        <v>634.0349576357728</v>
      </c>
      <c r="AB531">
        <f t="shared" ca="1" si="263"/>
        <v>635.71429210037036</v>
      </c>
      <c r="AC531">
        <f t="shared" ca="1" si="264"/>
        <v>7.1228106802855035E-3</v>
      </c>
      <c r="AD531">
        <f t="shared" ca="1" si="265"/>
        <v>1.402723997885631</v>
      </c>
      <c r="AE531">
        <f t="shared" ca="1" si="266"/>
        <v>37.387780351399215</v>
      </c>
      <c r="AF531">
        <f t="shared" ca="1" si="267"/>
        <v>6.6983807311089549E-3</v>
      </c>
      <c r="AG531">
        <f t="shared" ca="1" si="268"/>
        <v>0</v>
      </c>
      <c r="AH531">
        <f ca="1">IFERROR(IF(V32="Supercritical",MAX($D$16,IFERROR(L531,MAX($D$16,POWER((ABS(K531)^2)/($I$5*MAX(F531,0.1)^2),1/3)))),IF(V32="Subcritical",MAX($D$16,IFERROR(W531,MAX($D$16,POWER((ABS(K531)^2)/($I$5*MAX(F531,0.1)^2),1/3)))),IF(AND(IFERROR(V531,0)=1,IFERROR(AG531,0)=1),IF(IFERROR(T531,-1E+99)&gt;=IFERROR(AE531,-1E+99),MAX($D$16,IFERROR(L531,MAX($D$16,POWER((ABS(K531)^2)/($I$5*MAX(F531,0.1)^2),1/3)))),MAX($D$16,IFERROR(W531,MAX($D$16,POWER((ABS(K531)^2)/($I$5*MAX(F531,0.1)^2),1/3))))),IF(IFERROR(V531,0)=1,MAX($D$16,IFERROR(L531,MAX($D$16,POWER((ABS(K531)^2)/($I$5*MAX(F531,0.1)^2),1/3)))),IF(IFERROR(AG531,0)=1,MAX($D$16,IFERROR(W531,MAX($D$16,POWER((ABS(K531)^2)/($I$5*MAX(F531,0.1)^2),1/3)))),MAX($D$16,POWER((ABS(K531)^2)/($I$5*MAX(F531,0.1)^2),1/3))))))),MAX($D$16,POWER((ABS(K531)^2)/($I$5*MAX(F531,0.1)^2),1/3)))</f>
        <v>2.1389677043987478</v>
      </c>
      <c r="AI531">
        <f t="shared" ca="1" si="269"/>
        <v>634.46696770439871</v>
      </c>
      <c r="AJ531">
        <f t="shared" ca="1" si="270"/>
        <v>635.53645155659808</v>
      </c>
      <c r="AM531">
        <v>0</v>
      </c>
      <c r="AN531">
        <v>0</v>
      </c>
      <c r="AO531">
        <f t="shared" si="271"/>
        <v>0</v>
      </c>
      <c r="AP531">
        <f t="shared" si="280"/>
        <v>0</v>
      </c>
      <c r="AQ531">
        <f t="shared" ca="1" si="272"/>
        <v>1.0000000000000004</v>
      </c>
      <c r="AR531" t="str">
        <f t="shared" ca="1" si="273"/>
        <v>Supercritical</v>
      </c>
      <c r="AS531">
        <f t="shared" ca="1" si="274"/>
        <v>3.8141460404132466E-3</v>
      </c>
    </row>
    <row r="532" spans="1:45" x14ac:dyDescent="0.35">
      <c r="A532">
        <v>471</v>
      </c>
      <c r="B532">
        <v>469.99599999999998</v>
      </c>
      <c r="C532">
        <v>616219.84299999999</v>
      </c>
      <c r="D532">
        <v>3097505.4569999999</v>
      </c>
      <c r="E532">
        <v>632.32749999999999</v>
      </c>
      <c r="F532">
        <v>5.2</v>
      </c>
      <c r="G532">
        <v>0</v>
      </c>
      <c r="H532" t="s">
        <v>154</v>
      </c>
      <c r="I532">
        <v>2.7E-2</v>
      </c>
      <c r="J532">
        <f t="shared" si="275"/>
        <v>1</v>
      </c>
      <c r="K532">
        <f t="shared" ca="1" si="276"/>
        <v>50.95</v>
      </c>
      <c r="L532">
        <f t="shared" ca="1" si="277"/>
        <v>2.1389677043987478</v>
      </c>
      <c r="M532">
        <f t="shared" ca="1" si="250"/>
        <v>11.122632062873489</v>
      </c>
      <c r="N532">
        <f t="shared" ca="1" si="251"/>
        <v>1.1735290000551568</v>
      </c>
      <c r="O532">
        <f t="shared" ca="1" si="252"/>
        <v>4.5807502857230418</v>
      </c>
      <c r="P532">
        <f t="shared" ca="1" si="253"/>
        <v>634.46646770439872</v>
      </c>
      <c r="Q532">
        <f t="shared" ca="1" si="254"/>
        <v>635.53595155659809</v>
      </c>
      <c r="R532">
        <f t="shared" ca="1" si="255"/>
        <v>3.8141460404132466E-3</v>
      </c>
      <c r="S532">
        <f t="shared" ca="1" si="256"/>
        <v>1.0000000000000004</v>
      </c>
      <c r="T532">
        <f t="shared" ca="1" si="257"/>
        <v>35.686426155594638</v>
      </c>
      <c r="U532">
        <f t="shared" ca="1" si="278"/>
        <v>-3.3622728137743252E-3</v>
      </c>
      <c r="V532">
        <f t="shared" ca="1" si="279"/>
        <v>1</v>
      </c>
      <c r="W532">
        <f t="shared" ca="1" si="258"/>
        <v>1.7069546310027295</v>
      </c>
      <c r="X532">
        <f t="shared" ca="1" si="259"/>
        <v>8.8761640812141938</v>
      </c>
      <c r="Y532">
        <f t="shared" ca="1" si="260"/>
        <v>1.0304455051976804</v>
      </c>
      <c r="Z532">
        <f t="shared" ca="1" si="261"/>
        <v>5.7400921765103758</v>
      </c>
      <c r="AA532">
        <f t="shared" ca="1" si="262"/>
        <v>634.03445463100275</v>
      </c>
      <c r="AB532">
        <f t="shared" ca="1" si="263"/>
        <v>635.71379500790567</v>
      </c>
      <c r="AC532">
        <f t="shared" ca="1" si="264"/>
        <v>7.1228458491758469E-3</v>
      </c>
      <c r="AD532">
        <f t="shared" ca="1" si="265"/>
        <v>1.4027277017319004</v>
      </c>
      <c r="AE532">
        <f t="shared" ca="1" si="266"/>
        <v>37.387806159181437</v>
      </c>
      <c r="AF532">
        <f t="shared" ca="1" si="267"/>
        <v>6.6228458491650599E-3</v>
      </c>
      <c r="AG532">
        <f t="shared" ca="1" si="268"/>
        <v>0</v>
      </c>
      <c r="AH532">
        <f ca="1">IFERROR(IF(V32="Supercritical",MAX($D$16,IFERROR(L532,MAX($D$16,POWER((ABS(K532)^2)/($I$5*MAX(F532,0.1)^2),1/3)))),IF(V32="Subcritical",MAX($D$16,IFERROR(W532,MAX($D$16,POWER((ABS(K532)^2)/($I$5*MAX(F532,0.1)^2),1/3)))),IF(AND(IFERROR(V532,0)=1,IFERROR(AG532,0)=1),IF(IFERROR(T532,-1E+99)&gt;=IFERROR(AE532,-1E+99),MAX($D$16,IFERROR(L532,MAX($D$16,POWER((ABS(K532)^2)/($I$5*MAX(F532,0.1)^2),1/3)))),MAX($D$16,IFERROR(W532,MAX($D$16,POWER((ABS(K532)^2)/($I$5*MAX(F532,0.1)^2),1/3))))),IF(IFERROR(V532,0)=1,MAX($D$16,IFERROR(L532,MAX($D$16,POWER((ABS(K532)^2)/($I$5*MAX(F532,0.1)^2),1/3)))),IF(IFERROR(AG532,0)=1,MAX($D$16,IFERROR(W532,MAX($D$16,POWER((ABS(K532)^2)/($I$5*MAX(F532,0.1)^2),1/3)))),MAX($D$16,POWER((ABS(K532)^2)/($I$5*MAX(F532,0.1)^2),1/3))))))),MAX($D$16,POWER((ABS(K532)^2)/($I$5*MAX(F532,0.1)^2),1/3)))</f>
        <v>2.1389677043987478</v>
      </c>
      <c r="AI532">
        <f t="shared" ca="1" si="269"/>
        <v>634.46646770439872</v>
      </c>
      <c r="AJ532">
        <f t="shared" ca="1" si="270"/>
        <v>635.53595155659809</v>
      </c>
      <c r="AM532">
        <v>0</v>
      </c>
      <c r="AN532">
        <v>0</v>
      </c>
      <c r="AO532">
        <f t="shared" si="271"/>
        <v>0</v>
      </c>
      <c r="AP532">
        <f t="shared" si="280"/>
        <v>0</v>
      </c>
      <c r="AQ532">
        <f t="shared" ca="1" si="272"/>
        <v>1.0000000000000004</v>
      </c>
      <c r="AR532" t="str">
        <f t="shared" ca="1" si="273"/>
        <v>Supercritical</v>
      </c>
      <c r="AS532">
        <f t="shared" ca="1" si="274"/>
        <v>3.8141460404132466E-3</v>
      </c>
    </row>
    <row r="533" spans="1:45" x14ac:dyDescent="0.35">
      <c r="A533">
        <v>472</v>
      </c>
      <c r="B533">
        <v>470.99599999999998</v>
      </c>
      <c r="C533">
        <v>616219.36899999995</v>
      </c>
      <c r="D533">
        <v>3097504.577</v>
      </c>
      <c r="E533">
        <v>632.327</v>
      </c>
      <c r="F533">
        <v>5.2</v>
      </c>
      <c r="G533">
        <v>0</v>
      </c>
      <c r="H533" t="s">
        <v>154</v>
      </c>
      <c r="I533">
        <v>0</v>
      </c>
      <c r="J533">
        <f t="shared" si="275"/>
        <v>1</v>
      </c>
      <c r="K533">
        <f t="shared" ca="1" si="276"/>
        <v>50.95</v>
      </c>
      <c r="L533">
        <f t="shared" ca="1" si="277"/>
        <v>2.1389677043987478</v>
      </c>
      <c r="M533">
        <f t="shared" ca="1" si="250"/>
        <v>11.122632062873489</v>
      </c>
      <c r="N533">
        <f t="shared" ca="1" si="251"/>
        <v>1.1735290000551568</v>
      </c>
      <c r="O533">
        <f t="shared" ca="1" si="252"/>
        <v>4.5807502857230418</v>
      </c>
      <c r="P533">
        <f t="shared" ca="1" si="253"/>
        <v>634.46596770439874</v>
      </c>
      <c r="Q533">
        <f t="shared" ca="1" si="254"/>
        <v>635.5354515565981</v>
      </c>
      <c r="R533">
        <f t="shared" ca="1" si="255"/>
        <v>3.8141460404132466E-3</v>
      </c>
      <c r="S533">
        <f t="shared" ca="1" si="256"/>
        <v>1.0000000000000004</v>
      </c>
      <c r="T533">
        <f t="shared" ca="1" si="257"/>
        <v>35.686426155594638</v>
      </c>
      <c r="U533">
        <f t="shared" ca="1" si="278"/>
        <v>-3.3141460404522149E-3</v>
      </c>
      <c r="V533">
        <f t="shared" ca="1" si="279"/>
        <v>1</v>
      </c>
      <c r="W533">
        <f t="shared" ca="1" si="258"/>
        <v>1.7069518255326717</v>
      </c>
      <c r="X533">
        <f t="shared" ca="1" si="259"/>
        <v>8.8761494927698923</v>
      </c>
      <c r="Y533">
        <f t="shared" ca="1" si="260"/>
        <v>1.0304444828184391</v>
      </c>
      <c r="Z533">
        <f t="shared" ca="1" si="261"/>
        <v>5.7401016106704326</v>
      </c>
      <c r="AA533">
        <f t="shared" ca="1" si="262"/>
        <v>634.03395182553265</v>
      </c>
      <c r="AB533">
        <f t="shared" ca="1" si="263"/>
        <v>635.71329772261834</v>
      </c>
      <c r="AC533">
        <f t="shared" ca="1" si="264"/>
        <v>7.1228786856067519E-3</v>
      </c>
      <c r="AD533">
        <f t="shared" ca="1" si="265"/>
        <v>1.4027311599245615</v>
      </c>
      <c r="AE533">
        <f t="shared" ca="1" si="266"/>
        <v>37.387830255396977</v>
      </c>
      <c r="AF533">
        <f t="shared" ca="1" si="267"/>
        <v>6.6801307330024429E-3</v>
      </c>
      <c r="AG533">
        <f t="shared" ca="1" si="268"/>
        <v>0</v>
      </c>
      <c r="AH533">
        <f ca="1">IFERROR(IF(V32="Supercritical",MAX($D$16,IFERROR(L533,MAX($D$16,POWER((ABS(K533)^2)/($I$5*MAX(F533,0.1)^2),1/3)))),IF(V32="Subcritical",MAX($D$16,IFERROR(W533,MAX($D$16,POWER((ABS(K533)^2)/($I$5*MAX(F533,0.1)^2),1/3)))),IF(AND(IFERROR(V533,0)=1,IFERROR(AG533,0)=1),IF(IFERROR(T533,-1E+99)&gt;=IFERROR(AE533,-1E+99),MAX($D$16,IFERROR(L533,MAX($D$16,POWER((ABS(K533)^2)/($I$5*MAX(F533,0.1)^2),1/3)))),MAX($D$16,IFERROR(W533,MAX($D$16,POWER((ABS(K533)^2)/($I$5*MAX(F533,0.1)^2),1/3))))),IF(IFERROR(V533,0)=1,MAX($D$16,IFERROR(L533,MAX($D$16,POWER((ABS(K533)^2)/($I$5*MAX(F533,0.1)^2),1/3)))),IF(IFERROR(AG533,0)=1,MAX($D$16,IFERROR(W533,MAX($D$16,POWER((ABS(K533)^2)/($I$5*MAX(F533,0.1)^2),1/3)))),MAX($D$16,POWER((ABS(K533)^2)/($I$5*MAX(F533,0.1)^2),1/3))))))),MAX($D$16,POWER((ABS(K533)^2)/($I$5*MAX(F533,0.1)^2),1/3)))</f>
        <v>2.1389677043987478</v>
      </c>
      <c r="AI533">
        <f t="shared" ca="1" si="269"/>
        <v>634.46596770439874</v>
      </c>
      <c r="AJ533">
        <f t="shared" ca="1" si="270"/>
        <v>635.5354515565981</v>
      </c>
      <c r="AM533">
        <v>0</v>
      </c>
      <c r="AN533">
        <v>0</v>
      </c>
      <c r="AO533">
        <f t="shared" si="271"/>
        <v>0</v>
      </c>
      <c r="AP533">
        <f t="shared" si="280"/>
        <v>0</v>
      </c>
      <c r="AQ533">
        <f t="shared" ca="1" si="272"/>
        <v>1.0000000000000004</v>
      </c>
      <c r="AR533" t="str">
        <f t="shared" ca="1" si="273"/>
        <v>Supercritical</v>
      </c>
      <c r="AS533">
        <f t="shared" ca="1" si="274"/>
        <v>3.8141460404132466E-3</v>
      </c>
    </row>
    <row r="534" spans="1:45" x14ac:dyDescent="0.35">
      <c r="A534">
        <v>473</v>
      </c>
      <c r="B534">
        <v>471.995</v>
      </c>
      <c r="C534">
        <v>616218.89500000002</v>
      </c>
      <c r="D534">
        <v>3097503.6970000002</v>
      </c>
      <c r="E534">
        <v>632.32650000000001</v>
      </c>
      <c r="F534">
        <v>5.2</v>
      </c>
      <c r="G534">
        <v>0</v>
      </c>
      <c r="H534" t="s">
        <v>154</v>
      </c>
      <c r="I534">
        <v>2.3E-2</v>
      </c>
      <c r="J534">
        <f t="shared" si="275"/>
        <v>0.99900000000002365</v>
      </c>
      <c r="K534">
        <f t="shared" ca="1" si="276"/>
        <v>50.95</v>
      </c>
      <c r="L534">
        <f t="shared" ca="1" si="277"/>
        <v>2.1389677043987478</v>
      </c>
      <c r="M534">
        <f t="shared" ca="1" si="250"/>
        <v>11.122632062873489</v>
      </c>
      <c r="N534">
        <f t="shared" ca="1" si="251"/>
        <v>1.1735290000551568</v>
      </c>
      <c r="O534">
        <f t="shared" ca="1" si="252"/>
        <v>4.5807502857230418</v>
      </c>
      <c r="P534">
        <f t="shared" ca="1" si="253"/>
        <v>634.46546770439875</v>
      </c>
      <c r="Q534">
        <f t="shared" ca="1" si="254"/>
        <v>635.53495155659812</v>
      </c>
      <c r="R534">
        <f t="shared" ca="1" si="255"/>
        <v>3.8141460404132466E-3</v>
      </c>
      <c r="S534">
        <f t="shared" ca="1" si="256"/>
        <v>1.0000000000000004</v>
      </c>
      <c r="T534">
        <f t="shared" ca="1" si="257"/>
        <v>35.686426155594638</v>
      </c>
      <c r="U534">
        <f t="shared" ca="1" si="278"/>
        <v>-3.3513287753521581E-3</v>
      </c>
      <c r="V534">
        <f t="shared" ca="1" si="279"/>
        <v>1</v>
      </c>
      <c r="W534">
        <f t="shared" ca="1" si="258"/>
        <v>1.706949206146628</v>
      </c>
      <c r="X534">
        <f t="shared" ca="1" si="259"/>
        <v>8.8761358719624663</v>
      </c>
      <c r="Y534">
        <f t="shared" ca="1" si="260"/>
        <v>1.0304435282513851</v>
      </c>
      <c r="Z534">
        <f t="shared" ca="1" si="261"/>
        <v>5.7401104191001115</v>
      </c>
      <c r="AA534">
        <f t="shared" ca="1" si="262"/>
        <v>634.03344920614666</v>
      </c>
      <c r="AB534">
        <f t="shared" ca="1" si="263"/>
        <v>635.71280025729152</v>
      </c>
      <c r="AC534">
        <f t="shared" ca="1" si="264"/>
        <v>7.1229093442210416E-3</v>
      </c>
      <c r="AD534">
        <f t="shared" ca="1" si="265"/>
        <v>1.4027343887515993</v>
      </c>
      <c r="AE534">
        <f t="shared" ca="1" si="266"/>
        <v>37.387852753517045</v>
      </c>
      <c r="AF534">
        <f t="shared" ca="1" si="267"/>
        <v>6.6944073772674528E-3</v>
      </c>
      <c r="AG534">
        <f t="shared" ca="1" si="268"/>
        <v>0</v>
      </c>
      <c r="AH534">
        <f ca="1">IFERROR(IF(V32="Supercritical",MAX($D$16,IFERROR(L534,MAX($D$16,POWER((ABS(K534)^2)/($I$5*MAX(F534,0.1)^2),1/3)))),IF(V32="Subcritical",MAX($D$16,IFERROR(W534,MAX($D$16,POWER((ABS(K534)^2)/($I$5*MAX(F534,0.1)^2),1/3)))),IF(AND(IFERROR(V534,0)=1,IFERROR(AG534,0)=1),IF(IFERROR(T534,-1E+99)&gt;=IFERROR(AE534,-1E+99),MAX($D$16,IFERROR(L534,MAX($D$16,POWER((ABS(K534)^2)/($I$5*MAX(F534,0.1)^2),1/3)))),MAX($D$16,IFERROR(W534,MAX($D$16,POWER((ABS(K534)^2)/($I$5*MAX(F534,0.1)^2),1/3))))),IF(IFERROR(V534,0)=1,MAX($D$16,IFERROR(L534,MAX($D$16,POWER((ABS(K534)^2)/($I$5*MAX(F534,0.1)^2),1/3)))),IF(IFERROR(AG534,0)=1,MAX($D$16,IFERROR(W534,MAX($D$16,POWER((ABS(K534)^2)/($I$5*MAX(F534,0.1)^2),1/3)))),MAX($D$16,POWER((ABS(K534)^2)/($I$5*MAX(F534,0.1)^2),1/3))))))),MAX($D$16,POWER((ABS(K534)^2)/($I$5*MAX(F534,0.1)^2),1/3)))</f>
        <v>2.1389677043987478</v>
      </c>
      <c r="AI534">
        <f t="shared" ca="1" si="269"/>
        <v>634.46546770439875</v>
      </c>
      <c r="AJ534">
        <f t="shared" ca="1" si="270"/>
        <v>635.53495155659812</v>
      </c>
      <c r="AM534">
        <v>0</v>
      </c>
      <c r="AN534">
        <v>0</v>
      </c>
      <c r="AO534">
        <f t="shared" si="271"/>
        <v>0</v>
      </c>
      <c r="AP534">
        <f t="shared" si="280"/>
        <v>0</v>
      </c>
      <c r="AQ534">
        <f t="shared" ca="1" si="272"/>
        <v>1.0000000000000004</v>
      </c>
      <c r="AR534" t="str">
        <f t="shared" ca="1" si="273"/>
        <v>Supercritical</v>
      </c>
      <c r="AS534">
        <f t="shared" ca="1" si="274"/>
        <v>3.8141460404132466E-3</v>
      </c>
    </row>
    <row r="535" spans="1:45" x14ac:dyDescent="0.35">
      <c r="A535">
        <v>474</v>
      </c>
      <c r="B535">
        <v>472.99599999999998</v>
      </c>
      <c r="C535">
        <v>616218.42000000004</v>
      </c>
      <c r="D535">
        <v>3097502.8160000001</v>
      </c>
      <c r="E535">
        <v>632.32600000000002</v>
      </c>
      <c r="F535">
        <v>5.2</v>
      </c>
      <c r="G535">
        <v>0</v>
      </c>
      <c r="H535" t="s">
        <v>154</v>
      </c>
      <c r="I535">
        <v>2.3E-2</v>
      </c>
      <c r="J535">
        <f t="shared" si="275"/>
        <v>1.0009999999999764</v>
      </c>
      <c r="K535">
        <f t="shared" ca="1" si="276"/>
        <v>50.95</v>
      </c>
      <c r="L535">
        <f t="shared" ca="1" si="277"/>
        <v>2.1389677043987478</v>
      </c>
      <c r="M535">
        <f t="shared" ca="1" si="250"/>
        <v>11.122632062873489</v>
      </c>
      <c r="N535">
        <f t="shared" ca="1" si="251"/>
        <v>1.1735290000551568</v>
      </c>
      <c r="O535">
        <f t="shared" ca="1" si="252"/>
        <v>4.5807502857230418</v>
      </c>
      <c r="P535">
        <f t="shared" ca="1" si="253"/>
        <v>634.46496770439876</v>
      </c>
      <c r="Q535">
        <f t="shared" ca="1" si="254"/>
        <v>635.53445155659813</v>
      </c>
      <c r="R535">
        <f t="shared" ca="1" si="255"/>
        <v>3.8141460404132466E-3</v>
      </c>
      <c r="S535">
        <f t="shared" ca="1" si="256"/>
        <v>1.0000000000000004</v>
      </c>
      <c r="T535">
        <f t="shared" ca="1" si="257"/>
        <v>35.686426155594638</v>
      </c>
      <c r="U535">
        <f t="shared" ca="1" si="278"/>
        <v>-3.3589570674621427E-3</v>
      </c>
      <c r="V535">
        <f t="shared" ca="1" si="279"/>
        <v>1</v>
      </c>
      <c r="W535">
        <f t="shared" ca="1" si="258"/>
        <v>1.706946760504535</v>
      </c>
      <c r="X535">
        <f t="shared" ca="1" si="259"/>
        <v>8.876123154623583</v>
      </c>
      <c r="Y535">
        <f t="shared" ca="1" si="260"/>
        <v>1.0304426369997426</v>
      </c>
      <c r="Z535">
        <f t="shared" ca="1" si="261"/>
        <v>5.7401186432908027</v>
      </c>
      <c r="AA535">
        <f t="shared" ca="1" si="262"/>
        <v>634.0329467605045</v>
      </c>
      <c r="AB535">
        <f t="shared" ca="1" si="263"/>
        <v>635.71230262386098</v>
      </c>
      <c r="AC535">
        <f t="shared" ca="1" si="264"/>
        <v>7.1229379694150007E-3</v>
      </c>
      <c r="AD535">
        <f t="shared" ca="1" si="265"/>
        <v>1.40273740342163</v>
      </c>
      <c r="AE535">
        <f t="shared" ca="1" si="266"/>
        <v>37.387873759495129</v>
      </c>
      <c r="AF535">
        <f t="shared" ca="1" si="267"/>
        <v>6.6985089832769518E-3</v>
      </c>
      <c r="AG535">
        <f t="shared" ca="1" si="268"/>
        <v>0</v>
      </c>
      <c r="AH535">
        <f ca="1">IFERROR(IF(V32="Supercritical",MAX($D$16,IFERROR(L535,MAX($D$16,POWER((ABS(K535)^2)/($I$5*MAX(F535,0.1)^2),1/3)))),IF(V32="Subcritical",MAX($D$16,IFERROR(W535,MAX($D$16,POWER((ABS(K535)^2)/($I$5*MAX(F535,0.1)^2),1/3)))),IF(AND(IFERROR(V535,0)=1,IFERROR(AG535,0)=1),IF(IFERROR(T535,-1E+99)&gt;=IFERROR(AE535,-1E+99),MAX($D$16,IFERROR(L535,MAX($D$16,POWER((ABS(K535)^2)/($I$5*MAX(F535,0.1)^2),1/3)))),MAX($D$16,IFERROR(W535,MAX($D$16,POWER((ABS(K535)^2)/($I$5*MAX(F535,0.1)^2),1/3))))),IF(IFERROR(V535,0)=1,MAX($D$16,IFERROR(L535,MAX($D$16,POWER((ABS(K535)^2)/($I$5*MAX(F535,0.1)^2),1/3)))),IF(IFERROR(AG535,0)=1,MAX($D$16,IFERROR(W535,MAX($D$16,POWER((ABS(K535)^2)/($I$5*MAX(F535,0.1)^2),1/3)))),MAX($D$16,POWER((ABS(K535)^2)/($I$5*MAX(F535,0.1)^2),1/3))))))),MAX($D$16,POWER((ABS(K535)^2)/($I$5*MAX(F535,0.1)^2),1/3)))</f>
        <v>2.1389677043987478</v>
      </c>
      <c r="AI535">
        <f t="shared" ca="1" si="269"/>
        <v>634.46496770439876</v>
      </c>
      <c r="AJ535">
        <f t="shared" ca="1" si="270"/>
        <v>635.53445155659813</v>
      </c>
      <c r="AM535">
        <v>0</v>
      </c>
      <c r="AN535">
        <v>0</v>
      </c>
      <c r="AO535">
        <f t="shared" si="271"/>
        <v>0</v>
      </c>
      <c r="AP535">
        <f t="shared" si="280"/>
        <v>0</v>
      </c>
      <c r="AQ535">
        <f t="shared" ca="1" si="272"/>
        <v>1.0000000000000004</v>
      </c>
      <c r="AR535" t="str">
        <f t="shared" ca="1" si="273"/>
        <v>Supercritical</v>
      </c>
      <c r="AS535">
        <f t="shared" ca="1" si="274"/>
        <v>3.8141460404132466E-3</v>
      </c>
    </row>
    <row r="536" spans="1:45" x14ac:dyDescent="0.35">
      <c r="A536">
        <v>475</v>
      </c>
      <c r="B536">
        <v>473.99599999999998</v>
      </c>
      <c r="C536">
        <v>616217.946</v>
      </c>
      <c r="D536">
        <v>3097501.9360000002</v>
      </c>
      <c r="E536">
        <v>632.32550000000003</v>
      </c>
      <c r="F536">
        <v>5.2</v>
      </c>
      <c r="G536">
        <v>0</v>
      </c>
      <c r="H536" t="s">
        <v>154</v>
      </c>
      <c r="I536">
        <v>2.7E-2</v>
      </c>
      <c r="J536">
        <f t="shared" si="275"/>
        <v>1</v>
      </c>
      <c r="K536">
        <f t="shared" ca="1" si="276"/>
        <v>50.95</v>
      </c>
      <c r="L536">
        <f t="shared" ca="1" si="277"/>
        <v>2.1389677043987478</v>
      </c>
      <c r="M536">
        <f t="shared" ca="1" si="250"/>
        <v>11.122632062873489</v>
      </c>
      <c r="N536">
        <f t="shared" ca="1" si="251"/>
        <v>1.1735290000551568</v>
      </c>
      <c r="O536">
        <f t="shared" ca="1" si="252"/>
        <v>4.5807502857230418</v>
      </c>
      <c r="P536">
        <f t="shared" ca="1" si="253"/>
        <v>634.46446770439877</v>
      </c>
      <c r="Q536">
        <f t="shared" ca="1" si="254"/>
        <v>635.53395155659814</v>
      </c>
      <c r="R536">
        <f t="shared" ca="1" si="255"/>
        <v>3.8141460404132466E-3</v>
      </c>
      <c r="S536">
        <f t="shared" ca="1" si="256"/>
        <v>1.0000000000000004</v>
      </c>
      <c r="T536">
        <f t="shared" ca="1" si="257"/>
        <v>35.686426155594638</v>
      </c>
      <c r="U536">
        <f t="shared" ca="1" si="278"/>
        <v>-3.3622728137743252E-3</v>
      </c>
      <c r="V536">
        <f t="shared" ca="1" si="279"/>
        <v>1</v>
      </c>
      <c r="W536">
        <f t="shared" ca="1" si="258"/>
        <v>1.7069444770842939</v>
      </c>
      <c r="X536">
        <f t="shared" ca="1" si="259"/>
        <v>8.8761112808383285</v>
      </c>
      <c r="Y536">
        <f t="shared" ca="1" si="260"/>
        <v>1.0304418048647868</v>
      </c>
      <c r="Z536">
        <f t="shared" ca="1" si="261"/>
        <v>5.7401263219840901</v>
      </c>
      <c r="AA536">
        <f t="shared" ca="1" si="262"/>
        <v>634.03244447708437</v>
      </c>
      <c r="AB536">
        <f t="shared" ca="1" si="263"/>
        <v>635.71180483347246</v>
      </c>
      <c r="AC536">
        <f t="shared" ca="1" si="264"/>
        <v>7.1229646960166938E-3</v>
      </c>
      <c r="AD536">
        <f t="shared" ca="1" si="265"/>
        <v>1.4027402181353723</v>
      </c>
      <c r="AE536">
        <f t="shared" ca="1" si="266"/>
        <v>37.387893372264529</v>
      </c>
      <c r="AF536">
        <f t="shared" ca="1" si="267"/>
        <v>6.6985359120508292E-3</v>
      </c>
      <c r="AG536">
        <f t="shared" ca="1" si="268"/>
        <v>0</v>
      </c>
      <c r="AH536">
        <f ca="1">IFERROR(IF(V32="Supercritical",MAX($D$16,IFERROR(L536,MAX($D$16,POWER((ABS(K536)^2)/($I$5*MAX(F536,0.1)^2),1/3)))),IF(V32="Subcritical",MAX($D$16,IFERROR(W536,MAX($D$16,POWER((ABS(K536)^2)/($I$5*MAX(F536,0.1)^2),1/3)))),IF(AND(IFERROR(V536,0)=1,IFERROR(AG536,0)=1),IF(IFERROR(T536,-1E+99)&gt;=IFERROR(AE536,-1E+99),MAX($D$16,IFERROR(L536,MAX($D$16,POWER((ABS(K536)^2)/($I$5*MAX(F536,0.1)^2),1/3)))),MAX($D$16,IFERROR(W536,MAX($D$16,POWER((ABS(K536)^2)/($I$5*MAX(F536,0.1)^2),1/3))))),IF(IFERROR(V536,0)=1,MAX($D$16,IFERROR(L536,MAX($D$16,POWER((ABS(K536)^2)/($I$5*MAX(F536,0.1)^2),1/3)))),IF(IFERROR(AG536,0)=1,MAX($D$16,IFERROR(W536,MAX($D$16,POWER((ABS(K536)^2)/($I$5*MAX(F536,0.1)^2),1/3)))),MAX($D$16,POWER((ABS(K536)^2)/($I$5*MAX(F536,0.1)^2),1/3))))))),MAX($D$16,POWER((ABS(K536)^2)/($I$5*MAX(F536,0.1)^2),1/3)))</f>
        <v>2.1389677043987478</v>
      </c>
      <c r="AI536">
        <f t="shared" ca="1" si="269"/>
        <v>634.46446770439877</v>
      </c>
      <c r="AJ536">
        <f t="shared" ca="1" si="270"/>
        <v>635.53395155659814</v>
      </c>
      <c r="AM536">
        <v>0</v>
      </c>
      <c r="AN536">
        <v>0</v>
      </c>
      <c r="AO536">
        <f t="shared" si="271"/>
        <v>0</v>
      </c>
      <c r="AP536">
        <f t="shared" si="280"/>
        <v>0</v>
      </c>
      <c r="AQ536">
        <f t="shared" ca="1" si="272"/>
        <v>1.0000000000000004</v>
      </c>
      <c r="AR536" t="str">
        <f t="shared" ca="1" si="273"/>
        <v>Supercritical</v>
      </c>
      <c r="AS536">
        <f t="shared" ca="1" si="274"/>
        <v>3.8141460404132466E-3</v>
      </c>
    </row>
    <row r="537" spans="1:45" x14ac:dyDescent="0.35">
      <c r="A537">
        <v>476</v>
      </c>
      <c r="B537">
        <v>474.99599999999998</v>
      </c>
      <c r="C537">
        <v>616217.47199999995</v>
      </c>
      <c r="D537">
        <v>3097501.0550000002</v>
      </c>
      <c r="E537">
        <v>632.32500000000005</v>
      </c>
      <c r="F537">
        <v>5.2</v>
      </c>
      <c r="G537">
        <v>0</v>
      </c>
      <c r="H537" t="s">
        <v>154</v>
      </c>
      <c r="I537">
        <v>2.7E-2</v>
      </c>
      <c r="J537">
        <f t="shared" si="275"/>
        <v>1</v>
      </c>
      <c r="K537">
        <f t="shared" ca="1" si="276"/>
        <v>50.95</v>
      </c>
      <c r="L537">
        <f t="shared" ca="1" si="277"/>
        <v>2.1389677043987478</v>
      </c>
      <c r="M537">
        <f t="shared" ca="1" si="250"/>
        <v>11.122632062873489</v>
      </c>
      <c r="N537">
        <f t="shared" ca="1" si="251"/>
        <v>1.1735290000551568</v>
      </c>
      <c r="O537">
        <f t="shared" ca="1" si="252"/>
        <v>4.5807502857230418</v>
      </c>
      <c r="P537">
        <f t="shared" ca="1" si="253"/>
        <v>634.46396770439878</v>
      </c>
      <c r="Q537">
        <f t="shared" ca="1" si="254"/>
        <v>635.53345155659815</v>
      </c>
      <c r="R537">
        <f t="shared" ca="1" si="255"/>
        <v>3.8141460404132466E-3</v>
      </c>
      <c r="S537">
        <f t="shared" ca="1" si="256"/>
        <v>1.0000000000000004</v>
      </c>
      <c r="T537">
        <f t="shared" ca="1" si="257"/>
        <v>35.686426155594638</v>
      </c>
      <c r="U537">
        <f t="shared" ca="1" si="278"/>
        <v>-3.3622728137743252E-3</v>
      </c>
      <c r="V537">
        <f t="shared" ca="1" si="279"/>
        <v>1</v>
      </c>
      <c r="W537">
        <f t="shared" ca="1" si="258"/>
        <v>1.7069423451276453</v>
      </c>
      <c r="X537">
        <f t="shared" ca="1" si="259"/>
        <v>8.8761001946637563</v>
      </c>
      <c r="Y537">
        <f t="shared" ca="1" si="260"/>
        <v>1.0304410279261231</v>
      </c>
      <c r="Z537">
        <f t="shared" ca="1" si="261"/>
        <v>5.7401334913536415</v>
      </c>
      <c r="AA537">
        <f t="shared" ca="1" si="262"/>
        <v>634.03194234512773</v>
      </c>
      <c r="AB537">
        <f t="shared" ca="1" si="263"/>
        <v>635.71130689653239</v>
      </c>
      <c r="AC537">
        <f t="shared" ca="1" si="264"/>
        <v>7.1229896499187149E-3</v>
      </c>
      <c r="AD537">
        <f t="shared" ca="1" si="265"/>
        <v>1.4027428461523141</v>
      </c>
      <c r="AE537">
        <f t="shared" ca="1" si="266"/>
        <v>37.387911684202564</v>
      </c>
      <c r="AF537">
        <f t="shared" ca="1" si="267"/>
        <v>6.7629366957362436E-3</v>
      </c>
      <c r="AG537">
        <f t="shared" ca="1" si="268"/>
        <v>0</v>
      </c>
      <c r="AH537">
        <f ca="1">IFERROR(IF(V32="Supercritical",MAX($D$16,IFERROR(L537,MAX($D$16,POWER((ABS(K537)^2)/($I$5*MAX(F537,0.1)^2),1/3)))),IF(V32="Subcritical",MAX($D$16,IFERROR(W537,MAX($D$16,POWER((ABS(K537)^2)/($I$5*MAX(F537,0.1)^2),1/3)))),IF(AND(IFERROR(V537,0)=1,IFERROR(AG537,0)=1),IF(IFERROR(T537,-1E+99)&gt;=IFERROR(AE537,-1E+99),MAX($D$16,IFERROR(L537,MAX($D$16,POWER((ABS(K537)^2)/($I$5*MAX(F537,0.1)^2),1/3)))),MAX($D$16,IFERROR(W537,MAX($D$16,POWER((ABS(K537)^2)/($I$5*MAX(F537,0.1)^2),1/3))))),IF(IFERROR(V537,0)=1,MAX($D$16,IFERROR(L537,MAX($D$16,POWER((ABS(K537)^2)/($I$5*MAX(F537,0.1)^2),1/3)))),IF(IFERROR(AG537,0)=1,MAX($D$16,IFERROR(W537,MAX($D$16,POWER((ABS(K537)^2)/($I$5*MAX(F537,0.1)^2),1/3)))),MAX($D$16,POWER((ABS(K537)^2)/($I$5*MAX(F537,0.1)^2),1/3))))))),MAX($D$16,POWER((ABS(K537)^2)/($I$5*MAX(F537,0.1)^2),1/3)))</f>
        <v>2.1389677043987478</v>
      </c>
      <c r="AI537">
        <f t="shared" ca="1" si="269"/>
        <v>634.46396770439878</v>
      </c>
      <c r="AJ537">
        <f t="shared" ca="1" si="270"/>
        <v>635.53345155659815</v>
      </c>
      <c r="AM537">
        <v>0</v>
      </c>
      <c r="AN537">
        <v>0</v>
      </c>
      <c r="AO537">
        <f t="shared" si="271"/>
        <v>0</v>
      </c>
      <c r="AP537">
        <f t="shared" si="280"/>
        <v>0</v>
      </c>
      <c r="AQ537">
        <f t="shared" ca="1" si="272"/>
        <v>1.0000000000000004</v>
      </c>
      <c r="AR537" t="str">
        <f t="shared" ca="1" si="273"/>
        <v>Supercritical</v>
      </c>
      <c r="AS537">
        <f t="shared" ca="1" si="274"/>
        <v>3.8141460404132466E-3</v>
      </c>
    </row>
    <row r="538" spans="1:45" x14ac:dyDescent="0.35">
      <c r="A538">
        <v>477</v>
      </c>
      <c r="B538">
        <v>475.99599999999998</v>
      </c>
      <c r="C538">
        <v>616216.99800000002</v>
      </c>
      <c r="D538">
        <v>3097500.1749999998</v>
      </c>
      <c r="E538">
        <v>632.32449999999994</v>
      </c>
      <c r="F538">
        <v>5.2</v>
      </c>
      <c r="G538">
        <v>0</v>
      </c>
      <c r="H538" t="s">
        <v>154</v>
      </c>
      <c r="I538">
        <v>0.05</v>
      </c>
      <c r="J538">
        <f t="shared" si="275"/>
        <v>1</v>
      </c>
      <c r="K538">
        <f t="shared" ca="1" si="276"/>
        <v>50.95</v>
      </c>
      <c r="L538">
        <f t="shared" ca="1" si="277"/>
        <v>2.1389677043987478</v>
      </c>
      <c r="M538">
        <f t="shared" ca="1" si="250"/>
        <v>11.122632062873489</v>
      </c>
      <c r="N538">
        <f t="shared" ca="1" si="251"/>
        <v>1.1735290000551568</v>
      </c>
      <c r="O538">
        <f t="shared" ca="1" si="252"/>
        <v>4.5807502857230418</v>
      </c>
      <c r="P538">
        <f t="shared" ca="1" si="253"/>
        <v>634.46346770439868</v>
      </c>
      <c r="Q538">
        <f t="shared" ca="1" si="254"/>
        <v>635.53295155659805</v>
      </c>
      <c r="R538">
        <f t="shared" ca="1" si="255"/>
        <v>3.8141460404132466E-3</v>
      </c>
      <c r="S538">
        <f t="shared" ca="1" si="256"/>
        <v>1.0000000000000004</v>
      </c>
      <c r="T538">
        <f t="shared" ca="1" si="257"/>
        <v>35.686426155594638</v>
      </c>
      <c r="U538">
        <f t="shared" ca="1" si="278"/>
        <v>-3.4032696946724172E-3</v>
      </c>
      <c r="V538">
        <f t="shared" ca="1" si="279"/>
        <v>1</v>
      </c>
      <c r="W538">
        <f t="shared" ca="1" si="258"/>
        <v>1.7069403545894706</v>
      </c>
      <c r="X538">
        <f t="shared" ca="1" si="259"/>
        <v>8.8760898438652465</v>
      </c>
      <c r="Y538">
        <f t="shared" ca="1" si="260"/>
        <v>1.0304403025232165</v>
      </c>
      <c r="Z538">
        <f t="shared" ca="1" si="261"/>
        <v>5.7401401851756093</v>
      </c>
      <c r="AA538">
        <f t="shared" ca="1" si="262"/>
        <v>634.03144035458945</v>
      </c>
      <c r="AB538">
        <f t="shared" ca="1" si="263"/>
        <v>635.71080882275805</v>
      </c>
      <c r="AC538">
        <f t="shared" ca="1" si="264"/>
        <v>7.1230129486709003E-3</v>
      </c>
      <c r="AD538">
        <f t="shared" ca="1" si="265"/>
        <v>1.402745299853164</v>
      </c>
      <c r="AE538">
        <f t="shared" ca="1" si="266"/>
        <v>37.387928781565314</v>
      </c>
      <c r="AF538">
        <f t="shared" ca="1" si="267"/>
        <v>6.8413308495109959E-3</v>
      </c>
      <c r="AG538">
        <f t="shared" ca="1" si="268"/>
        <v>0</v>
      </c>
      <c r="AH538">
        <f ca="1">IFERROR(IF(V32="Supercritical",MAX($D$16,IFERROR(L538,MAX($D$16,POWER((ABS(K538)^2)/($I$5*MAX(F538,0.1)^2),1/3)))),IF(V32="Subcritical",MAX($D$16,IFERROR(W538,MAX($D$16,POWER((ABS(K538)^2)/($I$5*MAX(F538,0.1)^2),1/3)))),IF(AND(IFERROR(V538,0)=1,IFERROR(AG538,0)=1),IF(IFERROR(T538,-1E+99)&gt;=IFERROR(AE538,-1E+99),MAX($D$16,IFERROR(L538,MAX($D$16,POWER((ABS(K538)^2)/($I$5*MAX(F538,0.1)^2),1/3)))),MAX($D$16,IFERROR(W538,MAX($D$16,POWER((ABS(K538)^2)/($I$5*MAX(F538,0.1)^2),1/3))))),IF(IFERROR(V538,0)=1,MAX($D$16,IFERROR(L538,MAX($D$16,POWER((ABS(K538)^2)/($I$5*MAX(F538,0.1)^2),1/3)))),IF(IFERROR(AG538,0)=1,MAX($D$16,IFERROR(W538,MAX($D$16,POWER((ABS(K538)^2)/($I$5*MAX(F538,0.1)^2),1/3)))),MAX($D$16,POWER((ABS(K538)^2)/($I$5*MAX(F538,0.1)^2),1/3))))))),MAX($D$16,POWER((ABS(K538)^2)/($I$5*MAX(F538,0.1)^2),1/3)))</f>
        <v>2.1389677043987478</v>
      </c>
      <c r="AI538">
        <f t="shared" ca="1" si="269"/>
        <v>634.46346770439868</v>
      </c>
      <c r="AJ538">
        <f t="shared" ca="1" si="270"/>
        <v>635.53295155659805</v>
      </c>
      <c r="AM538">
        <v>0</v>
      </c>
      <c r="AN538">
        <v>0</v>
      </c>
      <c r="AO538">
        <f t="shared" si="271"/>
        <v>0</v>
      </c>
      <c r="AP538">
        <f t="shared" si="280"/>
        <v>0</v>
      </c>
      <c r="AQ538">
        <f t="shared" ca="1" si="272"/>
        <v>1.0000000000000004</v>
      </c>
      <c r="AR538" t="str">
        <f t="shared" ca="1" si="273"/>
        <v>Supercritical</v>
      </c>
      <c r="AS538">
        <f t="shared" ca="1" si="274"/>
        <v>3.8141460404132466E-3</v>
      </c>
    </row>
    <row r="539" spans="1:45" x14ac:dyDescent="0.35">
      <c r="A539">
        <v>478</v>
      </c>
      <c r="B539">
        <v>476.99599999999998</v>
      </c>
      <c r="C539">
        <v>616216.52300000004</v>
      </c>
      <c r="D539">
        <v>3097499.2949999999</v>
      </c>
      <c r="E539">
        <v>632.32399999999996</v>
      </c>
      <c r="F539">
        <v>5.2</v>
      </c>
      <c r="G539">
        <v>0</v>
      </c>
      <c r="H539" t="s">
        <v>154</v>
      </c>
      <c r="I539">
        <v>7.8E-2</v>
      </c>
      <c r="J539">
        <f t="shared" si="275"/>
        <v>1</v>
      </c>
      <c r="K539">
        <f t="shared" ca="1" si="276"/>
        <v>50.95</v>
      </c>
      <c r="L539">
        <f t="shared" ca="1" si="277"/>
        <v>2.1389677043987478</v>
      </c>
      <c r="M539">
        <f t="shared" ca="1" si="250"/>
        <v>11.122632062873489</v>
      </c>
      <c r="N539">
        <f t="shared" ca="1" si="251"/>
        <v>1.1735290000551568</v>
      </c>
      <c r="O539">
        <f t="shared" ca="1" si="252"/>
        <v>4.5807502857230418</v>
      </c>
      <c r="P539">
        <f t="shared" ca="1" si="253"/>
        <v>634.46296770439869</v>
      </c>
      <c r="Q539">
        <f t="shared" ca="1" si="254"/>
        <v>635.53245155659806</v>
      </c>
      <c r="R539">
        <f t="shared" ca="1" si="255"/>
        <v>3.8141460404132466E-3</v>
      </c>
      <c r="S539">
        <f t="shared" ca="1" si="256"/>
        <v>1.0000000000000004</v>
      </c>
      <c r="T539">
        <f t="shared" ca="1" si="257"/>
        <v>35.686426155594638</v>
      </c>
      <c r="U539">
        <f t="shared" ca="1" si="278"/>
        <v>-3.4531789411857972E-3</v>
      </c>
      <c r="V539">
        <f t="shared" ca="1" si="279"/>
        <v>1</v>
      </c>
      <c r="W539">
        <f t="shared" ca="1" si="258"/>
        <v>1.7069384960906735</v>
      </c>
      <c r="X539">
        <f t="shared" ca="1" si="259"/>
        <v>8.8760801796715025</v>
      </c>
      <c r="Y539">
        <f t="shared" ca="1" si="260"/>
        <v>1.0304396252382235</v>
      </c>
      <c r="Z539">
        <f t="shared" ca="1" si="261"/>
        <v>5.7401464349869835</v>
      </c>
      <c r="AA539">
        <f t="shared" ca="1" si="262"/>
        <v>634.03093849609058</v>
      </c>
      <c r="AB539">
        <f t="shared" ca="1" si="263"/>
        <v>635.71031062122279</v>
      </c>
      <c r="AC539">
        <f t="shared" ca="1" si="264"/>
        <v>7.1230347020312512E-3</v>
      </c>
      <c r="AD539">
        <f t="shared" ca="1" si="265"/>
        <v>1.4027475907978881</v>
      </c>
      <c r="AE539">
        <f t="shared" ca="1" si="266"/>
        <v>37.387944744891826</v>
      </c>
      <c r="AF539">
        <f t="shared" ca="1" si="267"/>
        <v>6.6986064475713647E-3</v>
      </c>
      <c r="AG539">
        <f t="shared" ca="1" si="268"/>
        <v>0</v>
      </c>
      <c r="AH539">
        <f ca="1">IFERROR(IF(V32="Supercritical",MAX($D$16,IFERROR(L539,MAX($D$16,POWER((ABS(K539)^2)/($I$5*MAX(F539,0.1)^2),1/3)))),IF(V32="Subcritical",MAX($D$16,IFERROR(W539,MAX($D$16,POWER((ABS(K539)^2)/($I$5*MAX(F539,0.1)^2),1/3)))),IF(AND(IFERROR(V539,0)=1,IFERROR(AG539,0)=1),IF(IFERROR(T539,-1E+99)&gt;=IFERROR(AE539,-1E+99),MAX($D$16,IFERROR(L539,MAX($D$16,POWER((ABS(K539)^2)/($I$5*MAX(F539,0.1)^2),1/3)))),MAX($D$16,IFERROR(W539,MAX($D$16,POWER((ABS(K539)^2)/($I$5*MAX(F539,0.1)^2),1/3))))),IF(IFERROR(V539,0)=1,MAX($D$16,IFERROR(L539,MAX($D$16,POWER((ABS(K539)^2)/($I$5*MAX(F539,0.1)^2),1/3)))),IF(IFERROR(AG539,0)=1,MAX($D$16,IFERROR(W539,MAX($D$16,POWER((ABS(K539)^2)/($I$5*MAX(F539,0.1)^2),1/3)))),MAX($D$16,POWER((ABS(K539)^2)/($I$5*MAX(F539,0.1)^2),1/3))))))),MAX($D$16,POWER((ABS(K539)^2)/($I$5*MAX(F539,0.1)^2),1/3)))</f>
        <v>2.1389677043987478</v>
      </c>
      <c r="AI539">
        <f t="shared" ca="1" si="269"/>
        <v>634.46296770439869</v>
      </c>
      <c r="AJ539">
        <f t="shared" ca="1" si="270"/>
        <v>635.53245155659806</v>
      </c>
      <c r="AM539">
        <v>0</v>
      </c>
      <c r="AN539">
        <v>0</v>
      </c>
      <c r="AO539">
        <f t="shared" si="271"/>
        <v>0</v>
      </c>
      <c r="AP539">
        <f t="shared" si="280"/>
        <v>0</v>
      </c>
      <c r="AQ539">
        <f t="shared" ca="1" si="272"/>
        <v>1.0000000000000004</v>
      </c>
      <c r="AR539" t="str">
        <f t="shared" ca="1" si="273"/>
        <v>Supercritical</v>
      </c>
      <c r="AS539">
        <f t="shared" ca="1" si="274"/>
        <v>3.8141460404132466E-3</v>
      </c>
    </row>
    <row r="540" spans="1:45" x14ac:dyDescent="0.35">
      <c r="A540">
        <v>479</v>
      </c>
      <c r="B540">
        <v>477.99599999999998</v>
      </c>
      <c r="C540">
        <v>616216.049</v>
      </c>
      <c r="D540">
        <v>3097498.4139999999</v>
      </c>
      <c r="E540">
        <v>632.32349999999997</v>
      </c>
      <c r="F540">
        <v>5.2</v>
      </c>
      <c r="G540">
        <v>0</v>
      </c>
      <c r="H540" t="s">
        <v>154</v>
      </c>
      <c r="I540">
        <v>2.7E-2</v>
      </c>
      <c r="J540">
        <f t="shared" si="275"/>
        <v>1</v>
      </c>
      <c r="K540">
        <f t="shared" ca="1" si="276"/>
        <v>50.95</v>
      </c>
      <c r="L540">
        <f t="shared" ca="1" si="277"/>
        <v>2.1389677043987478</v>
      </c>
      <c r="M540">
        <f t="shared" ca="1" si="250"/>
        <v>11.122632062873489</v>
      </c>
      <c r="N540">
        <f t="shared" ca="1" si="251"/>
        <v>1.1735290000551568</v>
      </c>
      <c r="O540">
        <f t="shared" ca="1" si="252"/>
        <v>4.5807502857230418</v>
      </c>
      <c r="P540">
        <f t="shared" ca="1" si="253"/>
        <v>634.4624677043987</v>
      </c>
      <c r="Q540">
        <f t="shared" ca="1" si="254"/>
        <v>635.53195155659807</v>
      </c>
      <c r="R540">
        <f t="shared" ca="1" si="255"/>
        <v>3.8141460404132466E-3</v>
      </c>
      <c r="S540">
        <f t="shared" ca="1" si="256"/>
        <v>1.0000000000000004</v>
      </c>
      <c r="T540">
        <f t="shared" ca="1" si="257"/>
        <v>35.686426155594638</v>
      </c>
      <c r="U540">
        <f t="shared" ca="1" si="278"/>
        <v>-3.3622728137743252E-3</v>
      </c>
      <c r="V540">
        <f t="shared" ca="1" si="279"/>
        <v>1</v>
      </c>
      <c r="W540">
        <f t="shared" ca="1" si="258"/>
        <v>1.7069367608739801</v>
      </c>
      <c r="X540">
        <f t="shared" ca="1" si="259"/>
        <v>8.8760711565446968</v>
      </c>
      <c r="Y540">
        <f t="shared" ca="1" si="260"/>
        <v>1.0304389928798874</v>
      </c>
      <c r="Z540">
        <f t="shared" ca="1" si="261"/>
        <v>5.7401522702341614</v>
      </c>
      <c r="AA540">
        <f t="shared" ca="1" si="262"/>
        <v>634.03043676087395</v>
      </c>
      <c r="AB540">
        <f t="shared" ca="1" si="263"/>
        <v>635.70981230039865</v>
      </c>
      <c r="AC540">
        <f t="shared" ca="1" si="264"/>
        <v>7.1230550124827818E-3</v>
      </c>
      <c r="AD540">
        <f t="shared" ca="1" si="265"/>
        <v>1.402749729780167</v>
      </c>
      <c r="AE540">
        <f t="shared" ca="1" si="266"/>
        <v>37.387959649383248</v>
      </c>
      <c r="AF540">
        <f t="shared" ca="1" si="267"/>
        <v>6.6986269117705888E-3</v>
      </c>
      <c r="AG540">
        <f t="shared" ca="1" si="268"/>
        <v>0</v>
      </c>
      <c r="AH540">
        <f ca="1">IFERROR(IF(V32="Supercritical",MAX($D$16,IFERROR(L540,MAX($D$16,POWER((ABS(K540)^2)/($I$5*MAX(F540,0.1)^2),1/3)))),IF(V32="Subcritical",MAX($D$16,IFERROR(W540,MAX($D$16,POWER((ABS(K540)^2)/($I$5*MAX(F540,0.1)^2),1/3)))),IF(AND(IFERROR(V540,0)=1,IFERROR(AG540,0)=1),IF(IFERROR(T540,-1E+99)&gt;=IFERROR(AE540,-1E+99),MAX($D$16,IFERROR(L540,MAX($D$16,POWER((ABS(K540)^2)/($I$5*MAX(F540,0.1)^2),1/3)))),MAX($D$16,IFERROR(W540,MAX($D$16,POWER((ABS(K540)^2)/($I$5*MAX(F540,0.1)^2),1/3))))),IF(IFERROR(V540,0)=1,MAX($D$16,IFERROR(L540,MAX($D$16,POWER((ABS(K540)^2)/($I$5*MAX(F540,0.1)^2),1/3)))),IF(IFERROR(AG540,0)=1,MAX($D$16,IFERROR(W540,MAX($D$16,POWER((ABS(K540)^2)/($I$5*MAX(F540,0.1)^2),1/3)))),MAX($D$16,POWER((ABS(K540)^2)/($I$5*MAX(F540,0.1)^2),1/3))))))),MAX($D$16,POWER((ABS(K540)^2)/($I$5*MAX(F540,0.1)^2),1/3)))</f>
        <v>2.1389677043987478</v>
      </c>
      <c r="AI540">
        <f t="shared" ca="1" si="269"/>
        <v>634.4624677043987</v>
      </c>
      <c r="AJ540">
        <f t="shared" ca="1" si="270"/>
        <v>635.53195155659807</v>
      </c>
      <c r="AM540">
        <v>0</v>
      </c>
      <c r="AN540">
        <v>0</v>
      </c>
      <c r="AO540">
        <f t="shared" si="271"/>
        <v>0</v>
      </c>
      <c r="AP540">
        <f t="shared" si="280"/>
        <v>0</v>
      </c>
      <c r="AQ540">
        <f t="shared" ca="1" si="272"/>
        <v>1.0000000000000004</v>
      </c>
      <c r="AR540" t="str">
        <f t="shared" ca="1" si="273"/>
        <v>Supercritical</v>
      </c>
      <c r="AS540">
        <f t="shared" ca="1" si="274"/>
        <v>3.8141460404132466E-3</v>
      </c>
    </row>
    <row r="541" spans="1:45" x14ac:dyDescent="0.35">
      <c r="A541">
        <v>480</v>
      </c>
      <c r="B541">
        <v>478.99599999999998</v>
      </c>
      <c r="C541">
        <v>616215.57499999995</v>
      </c>
      <c r="D541">
        <v>3097497.534</v>
      </c>
      <c r="E541">
        <v>632.32299999999998</v>
      </c>
      <c r="F541">
        <v>5.2</v>
      </c>
      <c r="G541">
        <v>0</v>
      </c>
      <c r="H541" t="s">
        <v>154</v>
      </c>
      <c r="I541">
        <v>2.7E-2</v>
      </c>
      <c r="J541">
        <f t="shared" si="275"/>
        <v>1</v>
      </c>
      <c r="K541">
        <f t="shared" ca="1" si="276"/>
        <v>50.95</v>
      </c>
      <c r="L541">
        <f t="shared" ca="1" si="277"/>
        <v>2.1389677043987478</v>
      </c>
      <c r="M541">
        <f t="shared" ca="1" si="250"/>
        <v>11.122632062873489</v>
      </c>
      <c r="N541">
        <f t="shared" ca="1" si="251"/>
        <v>1.1735290000551568</v>
      </c>
      <c r="O541">
        <f t="shared" ca="1" si="252"/>
        <v>4.5807502857230418</v>
      </c>
      <c r="P541">
        <f t="shared" ca="1" si="253"/>
        <v>634.46196770439872</v>
      </c>
      <c r="Q541">
        <f t="shared" ca="1" si="254"/>
        <v>635.53145155659809</v>
      </c>
      <c r="R541">
        <f t="shared" ca="1" si="255"/>
        <v>3.8141460404132466E-3</v>
      </c>
      <c r="S541">
        <f t="shared" ca="1" si="256"/>
        <v>1.0000000000000004</v>
      </c>
      <c r="T541">
        <f t="shared" ca="1" si="257"/>
        <v>35.686426155594638</v>
      </c>
      <c r="U541">
        <f t="shared" ca="1" si="278"/>
        <v>-3.3622728137743252E-3</v>
      </c>
      <c r="V541">
        <f t="shared" ca="1" si="279"/>
        <v>1</v>
      </c>
      <c r="W541">
        <f t="shared" ca="1" si="258"/>
        <v>1.706935140762754</v>
      </c>
      <c r="X541">
        <f t="shared" ca="1" si="259"/>
        <v>8.8760627319663215</v>
      </c>
      <c r="Y541">
        <f t="shared" ca="1" si="260"/>
        <v>1.0304384024685336</v>
      </c>
      <c r="Z541">
        <f t="shared" ca="1" si="261"/>
        <v>5.7401577184113712</v>
      </c>
      <c r="AA541">
        <f t="shared" ca="1" si="262"/>
        <v>634.02993514076275</v>
      </c>
      <c r="AB541">
        <f t="shared" ca="1" si="263"/>
        <v>635.70931386819586</v>
      </c>
      <c r="AC541">
        <f t="shared" ca="1" si="264"/>
        <v>7.1230739757150866E-3</v>
      </c>
      <c r="AD541">
        <f t="shared" ca="1" si="265"/>
        <v>1.402751726878126</v>
      </c>
      <c r="AE541">
        <f t="shared" ca="1" si="266"/>
        <v>37.387973565256104</v>
      </c>
      <c r="AF541">
        <f t="shared" ca="1" si="267"/>
        <v>6.8413932102657782E-3</v>
      </c>
      <c r="AG541">
        <f t="shared" ca="1" si="268"/>
        <v>0</v>
      </c>
      <c r="AH541">
        <f ca="1">IFERROR(IF(V32="Supercritical",MAX($D$16,IFERROR(L541,MAX($D$16,POWER((ABS(K541)^2)/($I$5*MAX(F541,0.1)^2),1/3)))),IF(V32="Subcritical",MAX($D$16,IFERROR(W541,MAX($D$16,POWER((ABS(K541)^2)/($I$5*MAX(F541,0.1)^2),1/3)))),IF(AND(IFERROR(V541,0)=1,IFERROR(AG541,0)=1),IF(IFERROR(T541,-1E+99)&gt;=IFERROR(AE541,-1E+99),MAX($D$16,IFERROR(L541,MAX($D$16,POWER((ABS(K541)^2)/($I$5*MAX(F541,0.1)^2),1/3)))),MAX($D$16,IFERROR(W541,MAX($D$16,POWER((ABS(K541)^2)/($I$5*MAX(F541,0.1)^2),1/3))))),IF(IFERROR(V541,0)=1,MAX($D$16,IFERROR(L541,MAX($D$16,POWER((ABS(K541)^2)/($I$5*MAX(F541,0.1)^2),1/3)))),IF(IFERROR(AG541,0)=1,MAX($D$16,IFERROR(W541,MAX($D$16,POWER((ABS(K541)^2)/($I$5*MAX(F541,0.1)^2),1/3)))),MAX($D$16,POWER((ABS(K541)^2)/($I$5*MAX(F541,0.1)^2),1/3))))))),MAX($D$16,POWER((ABS(K541)^2)/($I$5*MAX(F541,0.1)^2),1/3)))</f>
        <v>2.1389677043987478</v>
      </c>
      <c r="AI541">
        <f t="shared" ca="1" si="269"/>
        <v>634.46196770439872</v>
      </c>
      <c r="AJ541">
        <f t="shared" ca="1" si="270"/>
        <v>635.53145155659809</v>
      </c>
      <c r="AM541">
        <v>0</v>
      </c>
      <c r="AN541">
        <v>0</v>
      </c>
      <c r="AO541">
        <f t="shared" si="271"/>
        <v>0</v>
      </c>
      <c r="AP541">
        <f t="shared" si="280"/>
        <v>0</v>
      </c>
      <c r="AQ541">
        <f t="shared" ca="1" si="272"/>
        <v>1.0000000000000004</v>
      </c>
      <c r="AR541" t="str">
        <f t="shared" ca="1" si="273"/>
        <v>Supercritical</v>
      </c>
      <c r="AS541">
        <f t="shared" ca="1" si="274"/>
        <v>3.8141460404132466E-3</v>
      </c>
    </row>
    <row r="542" spans="1:45" x14ac:dyDescent="0.35">
      <c r="A542">
        <v>481</v>
      </c>
      <c r="B542">
        <v>479.99599999999998</v>
      </c>
      <c r="C542">
        <v>616215.10100000002</v>
      </c>
      <c r="D542">
        <v>3097496.6529999999</v>
      </c>
      <c r="E542">
        <v>632.32249999999999</v>
      </c>
      <c r="F542">
        <v>5.2</v>
      </c>
      <c r="G542">
        <v>0</v>
      </c>
      <c r="H542" t="s">
        <v>154</v>
      </c>
      <c r="I542">
        <v>7.8E-2</v>
      </c>
      <c r="J542">
        <f t="shared" si="275"/>
        <v>1</v>
      </c>
      <c r="K542">
        <f t="shared" ca="1" si="276"/>
        <v>50.95</v>
      </c>
      <c r="L542">
        <f t="shared" ca="1" si="277"/>
        <v>2.1389677043987478</v>
      </c>
      <c r="M542">
        <f t="shared" ca="1" si="250"/>
        <v>11.122632062873489</v>
      </c>
      <c r="N542">
        <f t="shared" ca="1" si="251"/>
        <v>1.1735290000551568</v>
      </c>
      <c r="O542">
        <f t="shared" ca="1" si="252"/>
        <v>4.5807502857230418</v>
      </c>
      <c r="P542">
        <f t="shared" ca="1" si="253"/>
        <v>634.46146770439873</v>
      </c>
      <c r="Q542">
        <f t="shared" ca="1" si="254"/>
        <v>635.5309515565981</v>
      </c>
      <c r="R542">
        <f t="shared" ca="1" si="255"/>
        <v>3.8141460404132466E-3</v>
      </c>
      <c r="S542">
        <f t="shared" ca="1" si="256"/>
        <v>1.0000000000000004</v>
      </c>
      <c r="T542">
        <f t="shared" ca="1" si="257"/>
        <v>35.686426155594638</v>
      </c>
      <c r="U542">
        <f t="shared" ca="1" si="278"/>
        <v>-3.4531789411857972E-3</v>
      </c>
      <c r="V542">
        <f t="shared" ca="1" si="279"/>
        <v>1</v>
      </c>
      <c r="W542">
        <f t="shared" ca="1" si="258"/>
        <v>1.7069336281225094</v>
      </c>
      <c r="X542">
        <f t="shared" ca="1" si="259"/>
        <v>8.8760548662370482</v>
      </c>
      <c r="Y542">
        <f t="shared" ca="1" si="260"/>
        <v>1.0304378512220449</v>
      </c>
      <c r="Z542">
        <f t="shared" ca="1" si="261"/>
        <v>5.7401628051900451</v>
      </c>
      <c r="AA542">
        <f t="shared" ca="1" si="262"/>
        <v>634.02943362812255</v>
      </c>
      <c r="AB542">
        <f t="shared" ca="1" si="263"/>
        <v>635.70881533200054</v>
      </c>
      <c r="AC542">
        <f t="shared" ca="1" si="264"/>
        <v>7.1230916810744753E-3</v>
      </c>
      <c r="AD542">
        <f t="shared" ca="1" si="265"/>
        <v>1.4027535915017564</v>
      </c>
      <c r="AE542">
        <f t="shared" ca="1" si="266"/>
        <v>37.387986558072598</v>
      </c>
      <c r="AF542">
        <f t="shared" ca="1" si="267"/>
        <v>6.7630401563292253E-3</v>
      </c>
      <c r="AG542">
        <f t="shared" ca="1" si="268"/>
        <v>0</v>
      </c>
      <c r="AH542">
        <f ca="1">IFERROR(IF(V32="Supercritical",MAX($D$16,IFERROR(L542,MAX($D$16,POWER((ABS(K542)^2)/($I$5*MAX(F542,0.1)^2),1/3)))),IF(V32="Subcritical",MAX($D$16,IFERROR(W542,MAX($D$16,POWER((ABS(K542)^2)/($I$5*MAX(F542,0.1)^2),1/3)))),IF(AND(IFERROR(V542,0)=1,IFERROR(AG542,0)=1),IF(IFERROR(T542,-1E+99)&gt;=IFERROR(AE542,-1E+99),MAX($D$16,IFERROR(L542,MAX($D$16,POWER((ABS(K542)^2)/($I$5*MAX(F542,0.1)^2),1/3)))),MAX($D$16,IFERROR(W542,MAX($D$16,POWER((ABS(K542)^2)/($I$5*MAX(F542,0.1)^2),1/3))))),IF(IFERROR(V542,0)=1,MAX($D$16,IFERROR(L542,MAX($D$16,POWER((ABS(K542)^2)/($I$5*MAX(F542,0.1)^2),1/3)))),IF(IFERROR(AG542,0)=1,MAX($D$16,IFERROR(W542,MAX($D$16,POWER((ABS(K542)^2)/($I$5*MAX(F542,0.1)^2),1/3)))),MAX($D$16,POWER((ABS(K542)^2)/($I$5*MAX(F542,0.1)^2),1/3))))))),MAX($D$16,POWER((ABS(K542)^2)/($I$5*MAX(F542,0.1)^2),1/3)))</f>
        <v>2.1389677043987478</v>
      </c>
      <c r="AI542">
        <f t="shared" ca="1" si="269"/>
        <v>634.46146770439873</v>
      </c>
      <c r="AJ542">
        <f t="shared" ca="1" si="270"/>
        <v>635.5309515565981</v>
      </c>
      <c r="AM542">
        <v>0</v>
      </c>
      <c r="AN542">
        <v>0</v>
      </c>
      <c r="AO542">
        <f t="shared" si="271"/>
        <v>0</v>
      </c>
      <c r="AP542">
        <f t="shared" si="280"/>
        <v>0</v>
      </c>
      <c r="AQ542">
        <f t="shared" ca="1" si="272"/>
        <v>1.0000000000000004</v>
      </c>
      <c r="AR542" t="str">
        <f t="shared" ca="1" si="273"/>
        <v>Supercritical</v>
      </c>
      <c r="AS542">
        <f t="shared" ca="1" si="274"/>
        <v>3.8141460404132466E-3</v>
      </c>
    </row>
    <row r="543" spans="1:45" x14ac:dyDescent="0.35">
      <c r="A543">
        <v>482</v>
      </c>
      <c r="B543">
        <v>480.99599999999998</v>
      </c>
      <c r="C543">
        <v>616214.62600000005</v>
      </c>
      <c r="D543">
        <v>3097495.773</v>
      </c>
      <c r="E543">
        <v>632.322</v>
      </c>
      <c r="F543">
        <v>5.2</v>
      </c>
      <c r="G543">
        <v>0</v>
      </c>
      <c r="H543" t="s">
        <v>154</v>
      </c>
      <c r="I543">
        <v>0.05</v>
      </c>
      <c r="J543">
        <f t="shared" si="275"/>
        <v>1</v>
      </c>
      <c r="K543">
        <f t="shared" ca="1" si="276"/>
        <v>50.95</v>
      </c>
      <c r="L543">
        <f t="shared" ca="1" si="277"/>
        <v>2.1389677043987478</v>
      </c>
      <c r="M543">
        <f t="shared" ca="1" si="250"/>
        <v>11.122632062873489</v>
      </c>
      <c r="N543">
        <f t="shared" ca="1" si="251"/>
        <v>1.1735290000551568</v>
      </c>
      <c r="O543">
        <f t="shared" ca="1" si="252"/>
        <v>4.5807502857230418</v>
      </c>
      <c r="P543">
        <f t="shared" ca="1" si="253"/>
        <v>634.46096770439874</v>
      </c>
      <c r="Q543">
        <f t="shared" ca="1" si="254"/>
        <v>635.53045155659811</v>
      </c>
      <c r="R543">
        <f t="shared" ca="1" si="255"/>
        <v>3.8141460404132466E-3</v>
      </c>
      <c r="S543">
        <f t="shared" ca="1" si="256"/>
        <v>1.0000000000000004</v>
      </c>
      <c r="T543">
        <f t="shared" ca="1" si="257"/>
        <v>35.686426155594638</v>
      </c>
      <c r="U543">
        <f t="shared" ca="1" si="278"/>
        <v>-3.4032696947861041E-3</v>
      </c>
      <c r="V543">
        <f t="shared" ca="1" si="279"/>
        <v>1</v>
      </c>
      <c r="W543">
        <f t="shared" ca="1" si="258"/>
        <v>1.7069322158249962</v>
      </c>
      <c r="X543">
        <f t="shared" ca="1" si="259"/>
        <v>8.87604752228998</v>
      </c>
      <c r="Y543">
        <f t="shared" ca="1" si="260"/>
        <v>1.0304373365427768</v>
      </c>
      <c r="Z543">
        <f t="shared" ca="1" si="261"/>
        <v>5.7401675545395383</v>
      </c>
      <c r="AA543">
        <f t="shared" ca="1" si="262"/>
        <v>634.02893221582497</v>
      </c>
      <c r="AB543">
        <f t="shared" ca="1" si="263"/>
        <v>635.70831669870915</v>
      </c>
      <c r="AC543">
        <f t="shared" ca="1" si="264"/>
        <v>7.1231082119839724E-3</v>
      </c>
      <c r="AD543">
        <f t="shared" ca="1" si="265"/>
        <v>1.4027553324371611</v>
      </c>
      <c r="AE543">
        <f t="shared" ca="1" si="266"/>
        <v>37.387998689048665</v>
      </c>
      <c r="AF543">
        <f t="shared" ca="1" si="267"/>
        <v>6.6986805137503325E-3</v>
      </c>
      <c r="AG543">
        <f t="shared" ca="1" si="268"/>
        <v>0</v>
      </c>
      <c r="AH543">
        <f ca="1">IFERROR(IF(V32="Supercritical",MAX($D$16,IFERROR(L543,MAX($D$16,POWER((ABS(K543)^2)/($I$5*MAX(F543,0.1)^2),1/3)))),IF(V32="Subcritical",MAX($D$16,IFERROR(W543,MAX($D$16,POWER((ABS(K543)^2)/($I$5*MAX(F543,0.1)^2),1/3)))),IF(AND(IFERROR(V543,0)=1,IFERROR(AG543,0)=1),IF(IFERROR(T543,-1E+99)&gt;=IFERROR(AE543,-1E+99),MAX($D$16,IFERROR(L543,MAX($D$16,POWER((ABS(K543)^2)/($I$5*MAX(F543,0.1)^2),1/3)))),MAX($D$16,IFERROR(W543,MAX($D$16,POWER((ABS(K543)^2)/($I$5*MAX(F543,0.1)^2),1/3))))),IF(IFERROR(V543,0)=1,MAX($D$16,IFERROR(L543,MAX($D$16,POWER((ABS(K543)^2)/($I$5*MAX(F543,0.1)^2),1/3)))),IF(IFERROR(AG543,0)=1,MAX($D$16,IFERROR(W543,MAX($D$16,POWER((ABS(K543)^2)/($I$5*MAX(F543,0.1)^2),1/3)))),MAX($D$16,POWER((ABS(K543)^2)/($I$5*MAX(F543,0.1)^2),1/3))))))),MAX($D$16,POWER((ABS(K543)^2)/($I$5*MAX(F543,0.1)^2),1/3)))</f>
        <v>2.1389677043987478</v>
      </c>
      <c r="AI543">
        <f t="shared" ca="1" si="269"/>
        <v>634.46096770439874</v>
      </c>
      <c r="AJ543">
        <f t="shared" ca="1" si="270"/>
        <v>635.53045155659811</v>
      </c>
      <c r="AM543">
        <v>0</v>
      </c>
      <c r="AN543">
        <v>0</v>
      </c>
      <c r="AO543">
        <f t="shared" si="271"/>
        <v>0</v>
      </c>
      <c r="AP543">
        <f t="shared" si="280"/>
        <v>0</v>
      </c>
      <c r="AQ543">
        <f t="shared" ca="1" si="272"/>
        <v>1.0000000000000004</v>
      </c>
      <c r="AR543" t="str">
        <f t="shared" ca="1" si="273"/>
        <v>Supercritical</v>
      </c>
      <c r="AS543">
        <f t="shared" ca="1" si="274"/>
        <v>3.8141460404132466E-3</v>
      </c>
    </row>
    <row r="544" spans="1:45" x14ac:dyDescent="0.35">
      <c r="A544">
        <v>483</v>
      </c>
      <c r="B544">
        <v>481.99599999999998</v>
      </c>
      <c r="C544">
        <v>616214.152</v>
      </c>
      <c r="D544">
        <v>3097494.8930000002</v>
      </c>
      <c r="E544">
        <v>632.32150000000001</v>
      </c>
      <c r="F544">
        <v>5.2</v>
      </c>
      <c r="G544">
        <v>0</v>
      </c>
      <c r="H544" t="s">
        <v>154</v>
      </c>
      <c r="I544">
        <v>2.7E-2</v>
      </c>
      <c r="J544">
        <f t="shared" si="275"/>
        <v>1</v>
      </c>
      <c r="K544">
        <f t="shared" ca="1" si="276"/>
        <v>50.95</v>
      </c>
      <c r="L544">
        <f t="shared" ca="1" si="277"/>
        <v>2.1389677043987478</v>
      </c>
      <c r="M544">
        <f t="shared" ca="1" si="250"/>
        <v>11.122632062873489</v>
      </c>
      <c r="N544">
        <f t="shared" ca="1" si="251"/>
        <v>1.1735290000551568</v>
      </c>
      <c r="O544">
        <f t="shared" ca="1" si="252"/>
        <v>4.5807502857230418</v>
      </c>
      <c r="P544">
        <f t="shared" ca="1" si="253"/>
        <v>634.46046770439875</v>
      </c>
      <c r="Q544">
        <f t="shared" ca="1" si="254"/>
        <v>635.52995155659812</v>
      </c>
      <c r="R544">
        <f t="shared" ca="1" si="255"/>
        <v>3.8141460404132466E-3</v>
      </c>
      <c r="S544">
        <f t="shared" ca="1" si="256"/>
        <v>1.0000000000000004</v>
      </c>
      <c r="T544">
        <f t="shared" ca="1" si="257"/>
        <v>35.686426155594638</v>
      </c>
      <c r="U544">
        <f t="shared" ca="1" si="278"/>
        <v>-3.3622728137743252E-3</v>
      </c>
      <c r="V544">
        <f t="shared" ca="1" si="279"/>
        <v>1</v>
      </c>
      <c r="W544">
        <f t="shared" ca="1" si="258"/>
        <v>1.7069308972146404</v>
      </c>
      <c r="X544">
        <f t="shared" ca="1" si="259"/>
        <v>8.8760406655161308</v>
      </c>
      <c r="Y544">
        <f t="shared" ca="1" si="260"/>
        <v>1.030436856005329</v>
      </c>
      <c r="Z544">
        <f t="shared" ca="1" si="261"/>
        <v>5.7401719888399505</v>
      </c>
      <c r="AA544">
        <f t="shared" ca="1" si="262"/>
        <v>634.02843089721466</v>
      </c>
      <c r="AB544">
        <f t="shared" ca="1" si="263"/>
        <v>635.70781797476116</v>
      </c>
      <c r="AC544">
        <f t="shared" ca="1" si="264"/>
        <v>7.1231236463358532E-3</v>
      </c>
      <c r="AD544">
        <f t="shared" ca="1" si="265"/>
        <v>1.4027569578879053</v>
      </c>
      <c r="AE544">
        <f t="shared" ca="1" si="266"/>
        <v>37.388010015342005</v>
      </c>
      <c r="AF544">
        <f t="shared" ca="1" si="267"/>
        <v>6.6986960648591776E-3</v>
      </c>
      <c r="AG544">
        <f t="shared" ca="1" si="268"/>
        <v>0</v>
      </c>
      <c r="AH544">
        <f ca="1">IFERROR(IF(V32="Supercritical",MAX($D$16,IFERROR(L544,MAX($D$16,POWER((ABS(K544)^2)/($I$5*MAX(F544,0.1)^2),1/3)))),IF(V32="Subcritical",MAX($D$16,IFERROR(W544,MAX($D$16,POWER((ABS(K544)^2)/($I$5*MAX(F544,0.1)^2),1/3)))),IF(AND(IFERROR(V544,0)=1,IFERROR(AG544,0)=1),IF(IFERROR(T544,-1E+99)&gt;=IFERROR(AE544,-1E+99),MAX($D$16,IFERROR(L544,MAX($D$16,POWER((ABS(K544)^2)/($I$5*MAX(F544,0.1)^2),1/3)))),MAX($D$16,IFERROR(W544,MAX($D$16,POWER((ABS(K544)^2)/($I$5*MAX(F544,0.1)^2),1/3))))),IF(IFERROR(V544,0)=1,MAX($D$16,IFERROR(L544,MAX($D$16,POWER((ABS(K544)^2)/($I$5*MAX(F544,0.1)^2),1/3)))),IF(IFERROR(AG544,0)=1,MAX($D$16,IFERROR(W544,MAX($D$16,POWER((ABS(K544)^2)/($I$5*MAX(F544,0.1)^2),1/3)))),MAX($D$16,POWER((ABS(K544)^2)/($I$5*MAX(F544,0.1)^2),1/3))))))),MAX($D$16,POWER((ABS(K544)^2)/($I$5*MAX(F544,0.1)^2),1/3)))</f>
        <v>2.1389677043987478</v>
      </c>
      <c r="AI544">
        <f t="shared" ca="1" si="269"/>
        <v>634.46046770439875</v>
      </c>
      <c r="AJ544">
        <f t="shared" ca="1" si="270"/>
        <v>635.52995155659812</v>
      </c>
      <c r="AM544">
        <v>0</v>
      </c>
      <c r="AN544">
        <v>0</v>
      </c>
      <c r="AO544">
        <f t="shared" si="271"/>
        <v>0</v>
      </c>
      <c r="AP544">
        <f t="shared" si="280"/>
        <v>0</v>
      </c>
      <c r="AQ544">
        <f t="shared" ca="1" si="272"/>
        <v>1.0000000000000004</v>
      </c>
      <c r="AR544" t="str">
        <f t="shared" ca="1" si="273"/>
        <v>Supercritical</v>
      </c>
      <c r="AS544">
        <f t="shared" ca="1" si="274"/>
        <v>3.8141460404132466E-3</v>
      </c>
    </row>
    <row r="545" spans="1:45" x14ac:dyDescent="0.35">
      <c r="A545">
        <v>484</v>
      </c>
      <c r="B545">
        <v>482.99599999999998</v>
      </c>
      <c r="C545">
        <v>616213.67799999996</v>
      </c>
      <c r="D545">
        <v>3097494.0120000001</v>
      </c>
      <c r="E545">
        <v>632.32100000000003</v>
      </c>
      <c r="F545">
        <v>5.2</v>
      </c>
      <c r="G545">
        <v>0</v>
      </c>
      <c r="H545" t="s">
        <v>154</v>
      </c>
      <c r="I545">
        <v>2.7E-2</v>
      </c>
      <c r="J545">
        <f t="shared" si="275"/>
        <v>1</v>
      </c>
      <c r="K545">
        <f t="shared" ca="1" si="276"/>
        <v>50.95</v>
      </c>
      <c r="L545">
        <f t="shared" ca="1" si="277"/>
        <v>2.1389677043987478</v>
      </c>
      <c r="M545">
        <f t="shared" ca="1" si="250"/>
        <v>11.122632062873489</v>
      </c>
      <c r="N545">
        <f t="shared" ca="1" si="251"/>
        <v>1.1735290000551568</v>
      </c>
      <c r="O545">
        <f t="shared" ca="1" si="252"/>
        <v>4.5807502857230418</v>
      </c>
      <c r="P545">
        <f t="shared" ca="1" si="253"/>
        <v>634.45996770439876</v>
      </c>
      <c r="Q545">
        <f t="shared" ca="1" si="254"/>
        <v>635.52945155659813</v>
      </c>
      <c r="R545">
        <f t="shared" ca="1" si="255"/>
        <v>3.8141460404132466E-3</v>
      </c>
      <c r="S545">
        <f t="shared" ca="1" si="256"/>
        <v>1.0000000000000004</v>
      </c>
      <c r="T545">
        <f t="shared" ca="1" si="257"/>
        <v>35.686426155594638</v>
      </c>
      <c r="U545">
        <f t="shared" ca="1" si="278"/>
        <v>-3.3622728137743252E-3</v>
      </c>
      <c r="V545">
        <f t="shared" ca="1" si="279"/>
        <v>1</v>
      </c>
      <c r="W545">
        <f t="shared" ca="1" si="258"/>
        <v>1.7069296660772511</v>
      </c>
      <c r="X545">
        <f t="shared" ca="1" si="259"/>
        <v>8.8760342636017064</v>
      </c>
      <c r="Y545">
        <f t="shared" ca="1" si="260"/>
        <v>1.0304364073451415</v>
      </c>
      <c r="Z545">
        <f t="shared" ca="1" si="261"/>
        <v>5.7401761289873132</v>
      </c>
      <c r="AA545">
        <f t="shared" ca="1" si="262"/>
        <v>634.02792966607728</v>
      </c>
      <c r="AB545">
        <f t="shared" ca="1" si="263"/>
        <v>635.70731916616876</v>
      </c>
      <c r="AC545">
        <f t="shared" ca="1" si="264"/>
        <v>7.1231380568576672E-3</v>
      </c>
      <c r="AD545">
        <f t="shared" ca="1" si="265"/>
        <v>1.4027584755135736</v>
      </c>
      <c r="AE545">
        <f t="shared" ca="1" si="266"/>
        <v>37.388020590320636</v>
      </c>
      <c r="AF545">
        <f t="shared" ca="1" si="267"/>
        <v>6.6987105843736572E-3</v>
      </c>
      <c r="AG545">
        <f t="shared" ca="1" si="268"/>
        <v>0</v>
      </c>
      <c r="AH545">
        <f ca="1">IFERROR(IF(V32="Supercritical",MAX($D$16,IFERROR(L545,MAX($D$16,POWER((ABS(K545)^2)/($I$5*MAX(F545,0.1)^2),1/3)))),IF(V32="Subcritical",MAX($D$16,IFERROR(W545,MAX($D$16,POWER((ABS(K545)^2)/($I$5*MAX(F545,0.1)^2),1/3)))),IF(AND(IFERROR(V545,0)=1,IFERROR(AG545,0)=1),IF(IFERROR(T545,-1E+99)&gt;=IFERROR(AE545,-1E+99),MAX($D$16,IFERROR(L545,MAX($D$16,POWER((ABS(K545)^2)/($I$5*MAX(F545,0.1)^2),1/3)))),MAX($D$16,IFERROR(W545,MAX($D$16,POWER((ABS(K545)^2)/($I$5*MAX(F545,0.1)^2),1/3))))),IF(IFERROR(V545,0)=1,MAX($D$16,IFERROR(L545,MAX($D$16,POWER((ABS(K545)^2)/($I$5*MAX(F545,0.1)^2),1/3)))),IF(IFERROR(AG545,0)=1,MAX($D$16,IFERROR(W545,MAX($D$16,POWER((ABS(K545)^2)/($I$5*MAX(F545,0.1)^2),1/3)))),MAX($D$16,POWER((ABS(K545)^2)/($I$5*MAX(F545,0.1)^2),1/3))))))),MAX($D$16,POWER((ABS(K545)^2)/($I$5*MAX(F545,0.1)^2),1/3)))</f>
        <v>2.1389677043987478</v>
      </c>
      <c r="AI545">
        <f t="shared" ca="1" si="269"/>
        <v>634.45996770439876</v>
      </c>
      <c r="AJ545">
        <f t="shared" ca="1" si="270"/>
        <v>635.52945155659813</v>
      </c>
      <c r="AM545">
        <v>0</v>
      </c>
      <c r="AN545">
        <v>0</v>
      </c>
      <c r="AO545">
        <f t="shared" si="271"/>
        <v>0</v>
      </c>
      <c r="AP545">
        <f t="shared" si="280"/>
        <v>0</v>
      </c>
      <c r="AQ545">
        <f t="shared" ca="1" si="272"/>
        <v>1.0000000000000004</v>
      </c>
      <c r="AR545" t="str">
        <f t="shared" ca="1" si="273"/>
        <v>Supercritical</v>
      </c>
      <c r="AS545">
        <f t="shared" ca="1" si="274"/>
        <v>3.8141460404132466E-3</v>
      </c>
    </row>
    <row r="546" spans="1:45" x14ac:dyDescent="0.35">
      <c r="A546">
        <v>485</v>
      </c>
      <c r="B546">
        <v>483.99599999999998</v>
      </c>
      <c r="C546">
        <v>616213.20400000003</v>
      </c>
      <c r="D546">
        <v>3097493.1320000002</v>
      </c>
      <c r="E546">
        <v>632.32050000000004</v>
      </c>
      <c r="F546">
        <v>5.2</v>
      </c>
      <c r="G546">
        <v>0</v>
      </c>
      <c r="H546" t="s">
        <v>154</v>
      </c>
      <c r="I546">
        <v>2.7E-2</v>
      </c>
      <c r="J546">
        <f t="shared" si="275"/>
        <v>1</v>
      </c>
      <c r="K546">
        <f t="shared" ca="1" si="276"/>
        <v>50.95</v>
      </c>
      <c r="L546">
        <f t="shared" ca="1" si="277"/>
        <v>2.1389677043987478</v>
      </c>
      <c r="M546">
        <f t="shared" ca="1" si="250"/>
        <v>11.122632062873489</v>
      </c>
      <c r="N546">
        <f t="shared" ca="1" si="251"/>
        <v>1.1735290000551568</v>
      </c>
      <c r="O546">
        <f t="shared" ca="1" si="252"/>
        <v>4.5807502857230418</v>
      </c>
      <c r="P546">
        <f t="shared" ca="1" si="253"/>
        <v>634.45946770439878</v>
      </c>
      <c r="Q546">
        <f t="shared" ca="1" si="254"/>
        <v>635.52895155659814</v>
      </c>
      <c r="R546">
        <f t="shared" ca="1" si="255"/>
        <v>3.8141460404132466E-3</v>
      </c>
      <c r="S546">
        <f t="shared" ca="1" si="256"/>
        <v>1.0000000000000004</v>
      </c>
      <c r="T546">
        <f t="shared" ca="1" si="257"/>
        <v>35.686426155594638</v>
      </c>
      <c r="U546">
        <f t="shared" ca="1" si="278"/>
        <v>-3.3622728137743252E-3</v>
      </c>
      <c r="V546">
        <f t="shared" ca="1" si="279"/>
        <v>1</v>
      </c>
      <c r="W546">
        <f t="shared" ca="1" si="258"/>
        <v>1.7069285166107067</v>
      </c>
      <c r="X546">
        <f t="shared" ca="1" si="259"/>
        <v>8.876028286375675</v>
      </c>
      <c r="Y546">
        <f t="shared" ca="1" si="260"/>
        <v>1.0304359884478154</v>
      </c>
      <c r="Z546">
        <f t="shared" ca="1" si="261"/>
        <v>5.7401799944921406</v>
      </c>
      <c r="AA546">
        <f t="shared" ca="1" si="262"/>
        <v>634.02742851661071</v>
      </c>
      <c r="AB546">
        <f t="shared" ca="1" si="263"/>
        <v>635.70682027854582</v>
      </c>
      <c r="AC546">
        <f t="shared" ca="1" si="264"/>
        <v>7.1231515114551181E-3</v>
      </c>
      <c r="AD546">
        <f t="shared" ca="1" si="265"/>
        <v>1.4027598924658893</v>
      </c>
      <c r="AE546">
        <f t="shared" ca="1" si="266"/>
        <v>37.388030463814431</v>
      </c>
      <c r="AF546">
        <f t="shared" ca="1" si="267"/>
        <v>6.8414724405556626E-3</v>
      </c>
      <c r="AG546">
        <f t="shared" ca="1" si="268"/>
        <v>0</v>
      </c>
      <c r="AH546">
        <f ca="1">IFERROR(IF(V32="Supercritical",MAX($D$16,IFERROR(L546,MAX($D$16,POWER((ABS(K546)^2)/($I$5*MAX(F546,0.1)^2),1/3)))),IF(V32="Subcritical",MAX($D$16,IFERROR(W546,MAX($D$16,POWER((ABS(K546)^2)/($I$5*MAX(F546,0.1)^2),1/3)))),IF(AND(IFERROR(V546,0)=1,IFERROR(AG546,0)=1),IF(IFERROR(T546,-1E+99)&gt;=IFERROR(AE546,-1E+99),MAX($D$16,IFERROR(L546,MAX($D$16,POWER((ABS(K546)^2)/($I$5*MAX(F546,0.1)^2),1/3)))),MAX($D$16,IFERROR(W546,MAX($D$16,POWER((ABS(K546)^2)/($I$5*MAX(F546,0.1)^2),1/3))))),IF(IFERROR(V546,0)=1,MAX($D$16,IFERROR(L546,MAX($D$16,POWER((ABS(K546)^2)/($I$5*MAX(F546,0.1)^2),1/3)))),IF(IFERROR(AG546,0)=1,MAX($D$16,IFERROR(W546,MAX($D$16,POWER((ABS(K546)^2)/($I$5*MAX(F546,0.1)^2),1/3)))),MAX($D$16,POWER((ABS(K546)^2)/($I$5*MAX(F546,0.1)^2),1/3))))))),MAX($D$16,POWER((ABS(K546)^2)/($I$5*MAX(F546,0.1)^2),1/3)))</f>
        <v>2.1389677043987478</v>
      </c>
      <c r="AI546">
        <f t="shared" ca="1" si="269"/>
        <v>634.45946770439878</v>
      </c>
      <c r="AJ546">
        <f t="shared" ca="1" si="270"/>
        <v>635.52895155659814</v>
      </c>
      <c r="AM546">
        <v>0</v>
      </c>
      <c r="AN546">
        <v>0</v>
      </c>
      <c r="AO546">
        <f t="shared" si="271"/>
        <v>0</v>
      </c>
      <c r="AP546">
        <f t="shared" si="280"/>
        <v>0</v>
      </c>
      <c r="AQ546">
        <f t="shared" ca="1" si="272"/>
        <v>1.0000000000000004</v>
      </c>
      <c r="AR546" t="str">
        <f t="shared" ca="1" si="273"/>
        <v>Supercritical</v>
      </c>
      <c r="AS546">
        <f t="shared" ca="1" si="274"/>
        <v>3.8141460404132466E-3</v>
      </c>
    </row>
    <row r="547" spans="1:45" x14ac:dyDescent="0.35">
      <c r="A547">
        <v>486</v>
      </c>
      <c r="B547">
        <v>484.99599999999998</v>
      </c>
      <c r="C547">
        <v>616212.73</v>
      </c>
      <c r="D547">
        <v>3097492.2510000002</v>
      </c>
      <c r="E547">
        <v>632.32000000000005</v>
      </c>
      <c r="F547">
        <v>5.2</v>
      </c>
      <c r="G547">
        <v>0</v>
      </c>
      <c r="H547" t="s">
        <v>154</v>
      </c>
      <c r="I547">
        <v>7.8E-2</v>
      </c>
      <c r="J547">
        <f t="shared" si="275"/>
        <v>1</v>
      </c>
      <c r="K547">
        <f t="shared" ca="1" si="276"/>
        <v>50.95</v>
      </c>
      <c r="L547">
        <f t="shared" ca="1" si="277"/>
        <v>2.1389677043987478</v>
      </c>
      <c r="M547">
        <f t="shared" ca="1" si="250"/>
        <v>11.122632062873489</v>
      </c>
      <c r="N547">
        <f t="shared" ca="1" si="251"/>
        <v>1.1735290000551568</v>
      </c>
      <c r="O547">
        <f t="shared" ca="1" si="252"/>
        <v>4.5807502857230418</v>
      </c>
      <c r="P547">
        <f t="shared" ca="1" si="253"/>
        <v>634.45896770439879</v>
      </c>
      <c r="Q547">
        <f t="shared" ca="1" si="254"/>
        <v>635.52845155659816</v>
      </c>
      <c r="R547">
        <f t="shared" ca="1" si="255"/>
        <v>3.8141460404132466E-3</v>
      </c>
      <c r="S547">
        <f t="shared" ca="1" si="256"/>
        <v>1.0000000000000004</v>
      </c>
      <c r="T547">
        <f t="shared" ca="1" si="257"/>
        <v>35.686426155594638</v>
      </c>
      <c r="U547">
        <f t="shared" ca="1" si="278"/>
        <v>-3.4531789411857972E-3</v>
      </c>
      <c r="V547">
        <f t="shared" ca="1" si="279"/>
        <v>1</v>
      </c>
      <c r="W547">
        <f t="shared" ca="1" si="258"/>
        <v>1.7069274433976362</v>
      </c>
      <c r="X547">
        <f t="shared" ca="1" si="259"/>
        <v>8.8760227056677081</v>
      </c>
      <c r="Y547">
        <f t="shared" ca="1" si="260"/>
        <v>1.0304355973391575</v>
      </c>
      <c r="Z547">
        <f t="shared" ca="1" si="261"/>
        <v>5.7401836035712615</v>
      </c>
      <c r="AA547">
        <f t="shared" ca="1" si="262"/>
        <v>634.02692744339765</v>
      </c>
      <c r="AB547">
        <f t="shared" ca="1" si="263"/>
        <v>635.7063213171341</v>
      </c>
      <c r="AC547">
        <f t="shared" ca="1" si="264"/>
        <v>7.1231640735316308E-3</v>
      </c>
      <c r="AD547">
        <f t="shared" ca="1" si="265"/>
        <v>1.402761215422375</v>
      </c>
      <c r="AE547">
        <f t="shared" ca="1" si="266"/>
        <v>37.388039682349607</v>
      </c>
      <c r="AF547">
        <f t="shared" ca="1" si="267"/>
        <v>6.7631135628971606E-3</v>
      </c>
      <c r="AG547">
        <f t="shared" ca="1" si="268"/>
        <v>0</v>
      </c>
      <c r="AH547">
        <f ca="1">IFERROR(IF(V32="Supercritical",MAX($D$16,IFERROR(L547,MAX($D$16,POWER((ABS(K547)^2)/($I$5*MAX(F547,0.1)^2),1/3)))),IF(V32="Subcritical",MAX($D$16,IFERROR(W547,MAX($D$16,POWER((ABS(K547)^2)/($I$5*MAX(F547,0.1)^2),1/3)))),IF(AND(IFERROR(V547,0)=1,IFERROR(AG547,0)=1),IF(IFERROR(T547,-1E+99)&gt;=IFERROR(AE547,-1E+99),MAX($D$16,IFERROR(L547,MAX($D$16,POWER((ABS(K547)^2)/($I$5*MAX(F547,0.1)^2),1/3)))),MAX($D$16,IFERROR(W547,MAX($D$16,POWER((ABS(K547)^2)/($I$5*MAX(F547,0.1)^2),1/3))))),IF(IFERROR(V547,0)=1,MAX($D$16,IFERROR(L547,MAX($D$16,POWER((ABS(K547)^2)/($I$5*MAX(F547,0.1)^2),1/3)))),IF(IFERROR(AG547,0)=1,MAX($D$16,IFERROR(W547,MAX($D$16,POWER((ABS(K547)^2)/($I$5*MAX(F547,0.1)^2),1/3)))),MAX($D$16,POWER((ABS(K547)^2)/($I$5*MAX(F547,0.1)^2),1/3))))))),MAX($D$16,POWER((ABS(K547)^2)/($I$5*MAX(F547,0.1)^2),1/3)))</f>
        <v>2.1389677043987478</v>
      </c>
      <c r="AI547">
        <f t="shared" ca="1" si="269"/>
        <v>634.45896770439879</v>
      </c>
      <c r="AJ547">
        <f t="shared" ca="1" si="270"/>
        <v>635.52845155659816</v>
      </c>
      <c r="AM547">
        <v>0</v>
      </c>
      <c r="AN547">
        <v>0</v>
      </c>
      <c r="AO547">
        <f t="shared" si="271"/>
        <v>0</v>
      </c>
      <c r="AP547">
        <f t="shared" si="280"/>
        <v>0</v>
      </c>
      <c r="AQ547">
        <f t="shared" ca="1" si="272"/>
        <v>1.0000000000000004</v>
      </c>
      <c r="AR547" t="str">
        <f t="shared" ca="1" si="273"/>
        <v>Supercritical</v>
      </c>
      <c r="AS547">
        <f t="shared" ca="1" si="274"/>
        <v>3.8141460404132466E-3</v>
      </c>
    </row>
    <row r="548" spans="1:45" x14ac:dyDescent="0.35">
      <c r="A548">
        <v>487</v>
      </c>
      <c r="B548">
        <v>485.99599999999998</v>
      </c>
      <c r="C548">
        <v>616212.255</v>
      </c>
      <c r="D548">
        <v>3097491.3709999998</v>
      </c>
      <c r="E548">
        <v>632.31949999999995</v>
      </c>
      <c r="F548">
        <v>5.2</v>
      </c>
      <c r="G548">
        <v>0</v>
      </c>
      <c r="H548" t="s">
        <v>154</v>
      </c>
      <c r="I548">
        <v>0.05</v>
      </c>
      <c r="J548">
        <f t="shared" si="275"/>
        <v>1</v>
      </c>
      <c r="K548">
        <f t="shared" ca="1" si="276"/>
        <v>50.95</v>
      </c>
      <c r="L548">
        <f t="shared" ca="1" si="277"/>
        <v>2.1389677043987478</v>
      </c>
      <c r="M548">
        <f t="shared" ca="1" si="250"/>
        <v>11.122632062873489</v>
      </c>
      <c r="N548">
        <f t="shared" ca="1" si="251"/>
        <v>1.1735290000551568</v>
      </c>
      <c r="O548">
        <f t="shared" ca="1" si="252"/>
        <v>4.5807502857230418</v>
      </c>
      <c r="P548">
        <f t="shared" ca="1" si="253"/>
        <v>634.45846770439869</v>
      </c>
      <c r="Q548">
        <f t="shared" ca="1" si="254"/>
        <v>635.52795155659805</v>
      </c>
      <c r="R548">
        <f t="shared" ca="1" si="255"/>
        <v>3.8141460404132466E-3</v>
      </c>
      <c r="S548">
        <f t="shared" ca="1" si="256"/>
        <v>1.0000000000000004</v>
      </c>
      <c r="T548">
        <f t="shared" ca="1" si="257"/>
        <v>35.686426155594638</v>
      </c>
      <c r="U548">
        <f t="shared" ca="1" si="278"/>
        <v>-3.4032696946724172E-3</v>
      </c>
      <c r="V548">
        <f t="shared" ca="1" si="279"/>
        <v>1</v>
      </c>
      <c r="W548">
        <f t="shared" ca="1" si="258"/>
        <v>1.70692644138001</v>
      </c>
      <c r="X548">
        <f t="shared" ca="1" si="259"/>
        <v>8.8760174951760522</v>
      </c>
      <c r="Y548">
        <f t="shared" ca="1" si="260"/>
        <v>1.0304352321759214</v>
      </c>
      <c r="Z548">
        <f t="shared" ca="1" si="261"/>
        <v>5.7401869732332509</v>
      </c>
      <c r="AA548">
        <f t="shared" ca="1" si="262"/>
        <v>634.02642644137995</v>
      </c>
      <c r="AB548">
        <f t="shared" ca="1" si="263"/>
        <v>635.70582228682724</v>
      </c>
      <c r="AC548">
        <f t="shared" ca="1" si="264"/>
        <v>7.1231758022856128E-3</v>
      </c>
      <c r="AD548">
        <f t="shared" ca="1" si="265"/>
        <v>1.402762450617667</v>
      </c>
      <c r="AE548">
        <f t="shared" ca="1" si="266"/>
        <v>37.388048289366822</v>
      </c>
      <c r="AF548">
        <f t="shared" ca="1" si="267"/>
        <v>6.6987486152356723E-3</v>
      </c>
      <c r="AG548">
        <f t="shared" ca="1" si="268"/>
        <v>0</v>
      </c>
      <c r="AH548">
        <f ca="1">IFERROR(IF(V32="Supercritical",MAX($D$16,IFERROR(L548,MAX($D$16,POWER((ABS(K548)^2)/($I$5*MAX(F548,0.1)^2),1/3)))),IF(V32="Subcritical",MAX($D$16,IFERROR(W548,MAX($D$16,POWER((ABS(K548)^2)/($I$5*MAX(F548,0.1)^2),1/3)))),IF(AND(IFERROR(V548,0)=1,IFERROR(AG548,0)=1),IF(IFERROR(T548,-1E+99)&gt;=IFERROR(AE548,-1E+99),MAX($D$16,IFERROR(L548,MAX($D$16,POWER((ABS(K548)^2)/($I$5*MAX(F548,0.1)^2),1/3)))),MAX($D$16,IFERROR(W548,MAX($D$16,POWER((ABS(K548)^2)/($I$5*MAX(F548,0.1)^2),1/3))))),IF(IFERROR(V548,0)=1,MAX($D$16,IFERROR(L548,MAX($D$16,POWER((ABS(K548)^2)/($I$5*MAX(F548,0.1)^2),1/3)))),IF(IFERROR(AG548,0)=1,MAX($D$16,IFERROR(W548,MAX($D$16,POWER((ABS(K548)^2)/($I$5*MAX(F548,0.1)^2),1/3)))),MAX($D$16,POWER((ABS(K548)^2)/($I$5*MAX(F548,0.1)^2),1/3))))))),MAX($D$16,POWER((ABS(K548)^2)/($I$5*MAX(F548,0.1)^2),1/3)))</f>
        <v>2.1389677043987478</v>
      </c>
      <c r="AI548">
        <f t="shared" ca="1" si="269"/>
        <v>634.45846770439869</v>
      </c>
      <c r="AJ548">
        <f t="shared" ca="1" si="270"/>
        <v>635.52795155659805</v>
      </c>
      <c r="AM548">
        <v>0</v>
      </c>
      <c r="AN548">
        <v>0</v>
      </c>
      <c r="AO548">
        <f t="shared" si="271"/>
        <v>0</v>
      </c>
      <c r="AP548">
        <f t="shared" si="280"/>
        <v>0</v>
      </c>
      <c r="AQ548">
        <f t="shared" ca="1" si="272"/>
        <v>1.0000000000000004</v>
      </c>
      <c r="AR548" t="str">
        <f t="shared" ca="1" si="273"/>
        <v>Supercritical</v>
      </c>
      <c r="AS548">
        <f t="shared" ca="1" si="274"/>
        <v>3.8141460404132466E-3</v>
      </c>
    </row>
    <row r="549" spans="1:45" x14ac:dyDescent="0.35">
      <c r="A549">
        <v>488</v>
      </c>
      <c r="B549">
        <v>486.99599999999998</v>
      </c>
      <c r="C549">
        <v>616211.78099999996</v>
      </c>
      <c r="D549">
        <v>3097490.4909999999</v>
      </c>
      <c r="E549">
        <v>632.31899999999996</v>
      </c>
      <c r="F549">
        <v>5.2</v>
      </c>
      <c r="G549">
        <v>0</v>
      </c>
      <c r="H549" t="s">
        <v>154</v>
      </c>
      <c r="I549">
        <v>2.7E-2</v>
      </c>
      <c r="J549">
        <f t="shared" si="275"/>
        <v>1</v>
      </c>
      <c r="K549">
        <f t="shared" ca="1" si="276"/>
        <v>50.95</v>
      </c>
      <c r="L549">
        <f t="shared" ca="1" si="277"/>
        <v>2.1389677043987478</v>
      </c>
      <c r="M549">
        <f t="shared" ca="1" si="250"/>
        <v>11.122632062873489</v>
      </c>
      <c r="N549">
        <f t="shared" ca="1" si="251"/>
        <v>1.1735290000551568</v>
      </c>
      <c r="O549">
        <f t="shared" ca="1" si="252"/>
        <v>4.5807502857230418</v>
      </c>
      <c r="P549">
        <f t="shared" ca="1" si="253"/>
        <v>634.4579677043987</v>
      </c>
      <c r="Q549">
        <f t="shared" ca="1" si="254"/>
        <v>635.52745155659807</v>
      </c>
      <c r="R549">
        <f t="shared" ca="1" si="255"/>
        <v>3.8141460404132466E-3</v>
      </c>
      <c r="S549">
        <f t="shared" ca="1" si="256"/>
        <v>1.0000000000000004</v>
      </c>
      <c r="T549">
        <f t="shared" ca="1" si="257"/>
        <v>35.686426155594638</v>
      </c>
      <c r="U549">
        <f t="shared" ca="1" si="278"/>
        <v>-3.3622728137743252E-3</v>
      </c>
      <c r="V549">
        <f t="shared" ca="1" si="279"/>
        <v>1</v>
      </c>
      <c r="W549">
        <f t="shared" ca="1" si="258"/>
        <v>1.7069255058352142</v>
      </c>
      <c r="X549">
        <f t="shared" ca="1" si="259"/>
        <v>8.8760126303431139</v>
      </c>
      <c r="Y549">
        <f t="shared" ca="1" si="260"/>
        <v>1.0304348912370898</v>
      </c>
      <c r="Z549">
        <f t="shared" ca="1" si="261"/>
        <v>5.7401901193588616</v>
      </c>
      <c r="AA549">
        <f t="shared" ca="1" si="262"/>
        <v>634.02592550583518</v>
      </c>
      <c r="AB549">
        <f t="shared" ca="1" si="263"/>
        <v>635.70532319219524</v>
      </c>
      <c r="AC549">
        <f t="shared" ca="1" si="264"/>
        <v>7.1231867529903342E-3</v>
      </c>
      <c r="AD549">
        <f t="shared" ca="1" si="265"/>
        <v>1.4027636038729956</v>
      </c>
      <c r="AE549">
        <f t="shared" ca="1" si="266"/>
        <v>37.388056325426533</v>
      </c>
      <c r="AF549">
        <f t="shared" ca="1" si="267"/>
        <v>6.6987596488843337E-3</v>
      </c>
      <c r="AG549">
        <f t="shared" ca="1" si="268"/>
        <v>0</v>
      </c>
      <c r="AH549">
        <f ca="1">IFERROR(IF(V32="Supercritical",MAX($D$16,IFERROR(L549,MAX($D$16,POWER((ABS(K549)^2)/($I$5*MAX(F549,0.1)^2),1/3)))),IF(V32="Subcritical",MAX($D$16,IFERROR(W549,MAX($D$16,POWER((ABS(K549)^2)/($I$5*MAX(F549,0.1)^2),1/3)))),IF(AND(IFERROR(V549,0)=1,IFERROR(AG549,0)=1),IF(IFERROR(T549,-1E+99)&gt;=IFERROR(AE549,-1E+99),MAX($D$16,IFERROR(L549,MAX($D$16,POWER((ABS(K549)^2)/($I$5*MAX(F549,0.1)^2),1/3)))),MAX($D$16,IFERROR(W549,MAX($D$16,POWER((ABS(K549)^2)/($I$5*MAX(F549,0.1)^2),1/3))))),IF(IFERROR(V549,0)=1,MAX($D$16,IFERROR(L549,MAX($D$16,POWER((ABS(K549)^2)/($I$5*MAX(F549,0.1)^2),1/3)))),IF(IFERROR(AG549,0)=1,MAX($D$16,IFERROR(W549,MAX($D$16,POWER((ABS(K549)^2)/($I$5*MAX(F549,0.1)^2),1/3)))),MAX($D$16,POWER((ABS(K549)^2)/($I$5*MAX(F549,0.1)^2),1/3))))))),MAX($D$16,POWER((ABS(K549)^2)/($I$5*MAX(F549,0.1)^2),1/3)))</f>
        <v>2.1389677043987478</v>
      </c>
      <c r="AI549">
        <f t="shared" ca="1" si="269"/>
        <v>634.4579677043987</v>
      </c>
      <c r="AJ549">
        <f t="shared" ca="1" si="270"/>
        <v>635.52745155659807</v>
      </c>
      <c r="AM549">
        <v>0</v>
      </c>
      <c r="AN549">
        <v>0</v>
      </c>
      <c r="AO549">
        <f t="shared" si="271"/>
        <v>0</v>
      </c>
      <c r="AP549">
        <f t="shared" si="280"/>
        <v>0</v>
      </c>
      <c r="AQ549">
        <f t="shared" ca="1" si="272"/>
        <v>1.0000000000000004</v>
      </c>
      <c r="AR549" t="str">
        <f t="shared" ca="1" si="273"/>
        <v>Supercritical</v>
      </c>
      <c r="AS549">
        <f t="shared" ca="1" si="274"/>
        <v>3.8141460404132466E-3</v>
      </c>
    </row>
    <row r="550" spans="1:45" x14ac:dyDescent="0.35">
      <c r="A550">
        <v>489</v>
      </c>
      <c r="B550">
        <v>487.99599999999998</v>
      </c>
      <c r="C550">
        <v>616211.30700000003</v>
      </c>
      <c r="D550">
        <v>3097489.61</v>
      </c>
      <c r="E550">
        <v>632.31849999999997</v>
      </c>
      <c r="F550">
        <v>5.2</v>
      </c>
      <c r="G550">
        <v>0</v>
      </c>
      <c r="H550" t="s">
        <v>154</v>
      </c>
      <c r="I550">
        <v>2.7E-2</v>
      </c>
      <c r="J550">
        <f t="shared" si="275"/>
        <v>1</v>
      </c>
      <c r="K550">
        <f t="shared" ca="1" si="276"/>
        <v>50.95</v>
      </c>
      <c r="L550">
        <f t="shared" ca="1" si="277"/>
        <v>2.1389677043987478</v>
      </c>
      <c r="M550">
        <f t="shared" ca="1" si="250"/>
        <v>11.122632062873489</v>
      </c>
      <c r="N550">
        <f t="shared" ca="1" si="251"/>
        <v>1.1735290000551568</v>
      </c>
      <c r="O550">
        <f t="shared" ca="1" si="252"/>
        <v>4.5807502857230418</v>
      </c>
      <c r="P550">
        <f t="shared" ca="1" si="253"/>
        <v>634.45746770439871</v>
      </c>
      <c r="Q550">
        <f t="shared" ca="1" si="254"/>
        <v>635.52695155659808</v>
      </c>
      <c r="R550">
        <f t="shared" ca="1" si="255"/>
        <v>3.8141460404132466E-3</v>
      </c>
      <c r="S550">
        <f t="shared" ca="1" si="256"/>
        <v>1.0000000000000004</v>
      </c>
      <c r="T550">
        <f t="shared" ca="1" si="257"/>
        <v>35.686426155594638</v>
      </c>
      <c r="U550">
        <f t="shared" ca="1" si="278"/>
        <v>-3.3622728137743252E-3</v>
      </c>
      <c r="V550">
        <f t="shared" ca="1" si="279"/>
        <v>1</v>
      </c>
      <c r="W550">
        <f t="shared" ca="1" si="258"/>
        <v>1.7069246323538481</v>
      </c>
      <c r="X550">
        <f t="shared" ca="1" si="259"/>
        <v>8.8760080882400096</v>
      </c>
      <c r="Y550">
        <f t="shared" ca="1" si="260"/>
        <v>1.0304345729157833</v>
      </c>
      <c r="Z550">
        <f t="shared" ca="1" si="261"/>
        <v>5.7401930567756709</v>
      </c>
      <c r="AA550">
        <f t="shared" ca="1" si="262"/>
        <v>634.02542463235386</v>
      </c>
      <c r="AB550">
        <f t="shared" ca="1" si="263"/>
        <v>635.70482403750452</v>
      </c>
      <c r="AC550">
        <f t="shared" ca="1" si="264"/>
        <v>7.1231969772537016E-3</v>
      </c>
      <c r="AD550">
        <f t="shared" ca="1" si="265"/>
        <v>1.4027646806235468</v>
      </c>
      <c r="AE550">
        <f t="shared" ca="1" si="266"/>
        <v>37.388063828399567</v>
      </c>
      <c r="AF550">
        <f t="shared" ca="1" si="267"/>
        <v>6.6804507574715899E-3</v>
      </c>
      <c r="AG550">
        <f t="shared" ca="1" si="268"/>
        <v>0</v>
      </c>
      <c r="AH550">
        <f ca="1">IFERROR(IF(V32="Supercritical",MAX($D$16,IFERROR(L550,MAX($D$16,POWER((ABS(K550)^2)/($I$5*MAX(F550,0.1)^2),1/3)))),IF(V32="Subcritical",MAX($D$16,IFERROR(W550,MAX($D$16,POWER((ABS(K550)^2)/($I$5*MAX(F550,0.1)^2),1/3)))),IF(AND(IFERROR(V550,0)=1,IFERROR(AG550,0)=1),IF(IFERROR(T550,-1E+99)&gt;=IFERROR(AE550,-1E+99),MAX($D$16,IFERROR(L550,MAX($D$16,POWER((ABS(K550)^2)/($I$5*MAX(F550,0.1)^2),1/3)))),MAX($D$16,IFERROR(W550,MAX($D$16,POWER((ABS(K550)^2)/($I$5*MAX(F550,0.1)^2),1/3))))),IF(IFERROR(V550,0)=1,MAX($D$16,IFERROR(L550,MAX($D$16,POWER((ABS(K550)^2)/($I$5*MAX(F550,0.1)^2),1/3)))),IF(IFERROR(AG550,0)=1,MAX($D$16,IFERROR(W550,MAX($D$16,POWER((ABS(K550)^2)/($I$5*MAX(F550,0.1)^2),1/3)))),MAX($D$16,POWER((ABS(K550)^2)/($I$5*MAX(F550,0.1)^2),1/3))))))),MAX($D$16,POWER((ABS(K550)^2)/($I$5*MAX(F550,0.1)^2),1/3)))</f>
        <v>2.1389677043987478</v>
      </c>
      <c r="AI550">
        <f t="shared" ca="1" si="269"/>
        <v>634.45746770439871</v>
      </c>
      <c r="AJ550">
        <f t="shared" ca="1" si="270"/>
        <v>635.52695155659808</v>
      </c>
      <c r="AM550">
        <v>0</v>
      </c>
      <c r="AN550">
        <v>0</v>
      </c>
      <c r="AO550">
        <f t="shared" si="271"/>
        <v>0</v>
      </c>
      <c r="AP550">
        <f t="shared" si="280"/>
        <v>0</v>
      </c>
      <c r="AQ550">
        <f t="shared" ca="1" si="272"/>
        <v>1.0000000000000004</v>
      </c>
      <c r="AR550" t="str">
        <f t="shared" ca="1" si="273"/>
        <v>Supercritical</v>
      </c>
      <c r="AS550">
        <f t="shared" ca="1" si="274"/>
        <v>3.8141460404132466E-3</v>
      </c>
    </row>
    <row r="551" spans="1:45" x14ac:dyDescent="0.35">
      <c r="A551">
        <v>490</v>
      </c>
      <c r="B551">
        <v>488.995</v>
      </c>
      <c r="C551">
        <v>616210.83299999998</v>
      </c>
      <c r="D551">
        <v>3097488.73</v>
      </c>
      <c r="E551">
        <v>632.31799999999998</v>
      </c>
      <c r="F551">
        <v>5.2</v>
      </c>
      <c r="G551">
        <v>0</v>
      </c>
      <c r="H551" t="s">
        <v>154</v>
      </c>
      <c r="I551">
        <v>2.3E-2</v>
      </c>
      <c r="J551">
        <f t="shared" si="275"/>
        <v>0.99900000000002365</v>
      </c>
      <c r="K551">
        <f t="shared" ca="1" si="276"/>
        <v>50.95</v>
      </c>
      <c r="L551">
        <f t="shared" ca="1" si="277"/>
        <v>2.1389677043987478</v>
      </c>
      <c r="M551">
        <f t="shared" ca="1" si="250"/>
        <v>11.122632062873489</v>
      </c>
      <c r="N551">
        <f t="shared" ca="1" si="251"/>
        <v>1.1735290000551568</v>
      </c>
      <c r="O551">
        <f t="shared" ca="1" si="252"/>
        <v>4.5807502857230418</v>
      </c>
      <c r="P551">
        <f t="shared" ca="1" si="253"/>
        <v>634.45696770439872</v>
      </c>
      <c r="Q551">
        <f t="shared" ca="1" si="254"/>
        <v>635.52645155659809</v>
      </c>
      <c r="R551">
        <f t="shared" ca="1" si="255"/>
        <v>3.8141460404132466E-3</v>
      </c>
      <c r="S551">
        <f t="shared" ca="1" si="256"/>
        <v>1.0000000000000004</v>
      </c>
      <c r="T551">
        <f t="shared" ca="1" si="257"/>
        <v>35.686426155594638</v>
      </c>
      <c r="U551">
        <f t="shared" ca="1" si="278"/>
        <v>-3.3513287753521581E-3</v>
      </c>
      <c r="V551">
        <f t="shared" ca="1" si="279"/>
        <v>1</v>
      </c>
      <c r="W551">
        <f t="shared" ca="1" si="258"/>
        <v>1.7069238168189529</v>
      </c>
      <c r="X551">
        <f t="shared" ca="1" si="259"/>
        <v>8.8760038474585556</v>
      </c>
      <c r="Y551">
        <f t="shared" ca="1" si="260"/>
        <v>1.0304342757116929</v>
      </c>
      <c r="Z551">
        <f t="shared" ca="1" si="261"/>
        <v>5.740195799327914</v>
      </c>
      <c r="AA551">
        <f t="shared" ca="1" si="262"/>
        <v>634.02492381681895</v>
      </c>
      <c r="AB551">
        <f t="shared" ca="1" si="263"/>
        <v>635.70432482673857</v>
      </c>
      <c r="AC551">
        <f t="shared" ca="1" si="264"/>
        <v>7.1232065232612529E-3</v>
      </c>
      <c r="AD551">
        <f t="shared" ca="1" si="265"/>
        <v>1.4027656859440587</v>
      </c>
      <c r="AE551">
        <f t="shared" ca="1" si="266"/>
        <v>37.388070833645479</v>
      </c>
      <c r="AF551">
        <f t="shared" ca="1" si="267"/>
        <v>6.6947067684850481E-3</v>
      </c>
      <c r="AG551">
        <f t="shared" ca="1" si="268"/>
        <v>0</v>
      </c>
      <c r="AH551">
        <f ca="1">IFERROR(IF(V32="Supercritical",MAX($D$16,IFERROR(L551,MAX($D$16,POWER((ABS(K551)^2)/($I$5*MAX(F551,0.1)^2),1/3)))),IF(V32="Subcritical",MAX($D$16,IFERROR(W551,MAX($D$16,POWER((ABS(K551)^2)/($I$5*MAX(F551,0.1)^2),1/3)))),IF(AND(IFERROR(V551,0)=1,IFERROR(AG551,0)=1),IF(IFERROR(T551,-1E+99)&gt;=IFERROR(AE551,-1E+99),MAX($D$16,IFERROR(L551,MAX($D$16,POWER((ABS(K551)^2)/($I$5*MAX(F551,0.1)^2),1/3)))),MAX($D$16,IFERROR(W551,MAX($D$16,POWER((ABS(K551)^2)/($I$5*MAX(F551,0.1)^2),1/3))))),IF(IFERROR(V551,0)=1,MAX($D$16,IFERROR(L551,MAX($D$16,POWER((ABS(K551)^2)/($I$5*MAX(F551,0.1)^2),1/3)))),IF(IFERROR(AG551,0)=1,MAX($D$16,IFERROR(W551,MAX($D$16,POWER((ABS(K551)^2)/($I$5*MAX(F551,0.1)^2),1/3)))),MAX($D$16,POWER((ABS(K551)^2)/($I$5*MAX(F551,0.1)^2),1/3))))))),MAX($D$16,POWER((ABS(K551)^2)/($I$5*MAX(F551,0.1)^2),1/3)))</f>
        <v>2.1389677043987478</v>
      </c>
      <c r="AI551">
        <f t="shared" ca="1" si="269"/>
        <v>634.45696770439872</v>
      </c>
      <c r="AJ551">
        <f t="shared" ca="1" si="270"/>
        <v>635.52645155659809</v>
      </c>
      <c r="AM551">
        <v>0</v>
      </c>
      <c r="AN551">
        <v>0</v>
      </c>
      <c r="AO551">
        <f t="shared" si="271"/>
        <v>0</v>
      </c>
      <c r="AP551">
        <f t="shared" si="280"/>
        <v>0</v>
      </c>
      <c r="AQ551">
        <f t="shared" ca="1" si="272"/>
        <v>1.0000000000000004</v>
      </c>
      <c r="AR551" t="str">
        <f t="shared" ca="1" si="273"/>
        <v>Supercritical</v>
      </c>
      <c r="AS551">
        <f t="shared" ca="1" si="274"/>
        <v>3.8141460404132466E-3</v>
      </c>
    </row>
    <row r="552" spans="1:45" x14ac:dyDescent="0.35">
      <c r="A552">
        <v>491</v>
      </c>
      <c r="B552">
        <v>489.99599999999998</v>
      </c>
      <c r="C552">
        <v>616210.35800000001</v>
      </c>
      <c r="D552">
        <v>3097487.8489999999</v>
      </c>
      <c r="E552">
        <v>632.3175</v>
      </c>
      <c r="F552">
        <v>5.2</v>
      </c>
      <c r="G552">
        <v>0</v>
      </c>
      <c r="H552" t="s">
        <v>154</v>
      </c>
      <c r="I552">
        <v>2.3E-2</v>
      </c>
      <c r="J552">
        <f t="shared" si="275"/>
        <v>1.0009999999999764</v>
      </c>
      <c r="K552">
        <f t="shared" ca="1" si="276"/>
        <v>50.95</v>
      </c>
      <c r="L552">
        <f t="shared" ca="1" si="277"/>
        <v>2.1389677043987478</v>
      </c>
      <c r="M552">
        <f t="shared" ca="1" si="250"/>
        <v>11.122632062873489</v>
      </c>
      <c r="N552">
        <f t="shared" ca="1" si="251"/>
        <v>1.1735290000551568</v>
      </c>
      <c r="O552">
        <f t="shared" ca="1" si="252"/>
        <v>4.5807502857230418</v>
      </c>
      <c r="P552">
        <f t="shared" ca="1" si="253"/>
        <v>634.45646770439873</v>
      </c>
      <c r="Q552">
        <f t="shared" ca="1" si="254"/>
        <v>635.5259515565981</v>
      </c>
      <c r="R552">
        <f t="shared" ca="1" si="255"/>
        <v>3.8141460404132466E-3</v>
      </c>
      <c r="S552">
        <f t="shared" ca="1" si="256"/>
        <v>1.0000000000000004</v>
      </c>
      <c r="T552">
        <f t="shared" ca="1" si="257"/>
        <v>35.686426155594638</v>
      </c>
      <c r="U552">
        <f t="shared" ca="1" si="278"/>
        <v>-3.3589570674621427E-3</v>
      </c>
      <c r="V552">
        <f t="shared" ca="1" si="279"/>
        <v>1</v>
      </c>
      <c r="W552">
        <f t="shared" ca="1" si="258"/>
        <v>1.7069230553866745</v>
      </c>
      <c r="X552">
        <f t="shared" ca="1" si="259"/>
        <v>8.8759998880107087</v>
      </c>
      <c r="Y552">
        <f t="shared" ca="1" si="260"/>
        <v>1.0304339982240318</v>
      </c>
      <c r="Z552">
        <f t="shared" ca="1" si="261"/>
        <v>5.7401983599414992</v>
      </c>
      <c r="AA552">
        <f t="shared" ca="1" si="262"/>
        <v>634.02442305538671</v>
      </c>
      <c r="AB552">
        <f t="shared" ca="1" si="263"/>
        <v>635.70382556361687</v>
      </c>
      <c r="AC552">
        <f t="shared" ca="1" si="264"/>
        <v>7.1232154360024221E-3</v>
      </c>
      <c r="AD552">
        <f t="shared" ca="1" si="265"/>
        <v>1.402766624572652</v>
      </c>
      <c r="AE552">
        <f t="shared" ca="1" si="266"/>
        <v>37.388077374178515</v>
      </c>
      <c r="AF552">
        <f t="shared" ca="1" si="267"/>
        <v>6.6232154359795459E-3</v>
      </c>
      <c r="AG552">
        <f t="shared" ca="1" si="268"/>
        <v>0</v>
      </c>
      <c r="AH552">
        <f ca="1">IFERROR(IF(V32="Supercritical",MAX($D$16,IFERROR(L552,MAX($D$16,POWER((ABS(K552)^2)/($I$5*MAX(F552,0.1)^2),1/3)))),IF(V32="Subcritical",MAX($D$16,IFERROR(W552,MAX($D$16,POWER((ABS(K552)^2)/($I$5*MAX(F552,0.1)^2),1/3)))),IF(AND(IFERROR(V552,0)=1,IFERROR(AG552,0)=1),IF(IFERROR(T552,-1E+99)&gt;=IFERROR(AE552,-1E+99),MAX($D$16,IFERROR(L552,MAX($D$16,POWER((ABS(K552)^2)/($I$5*MAX(F552,0.1)^2),1/3)))),MAX($D$16,IFERROR(W552,MAX($D$16,POWER((ABS(K552)^2)/($I$5*MAX(F552,0.1)^2),1/3))))),IF(IFERROR(V552,0)=1,MAX($D$16,IFERROR(L552,MAX($D$16,POWER((ABS(K552)^2)/($I$5*MAX(F552,0.1)^2),1/3)))),IF(IFERROR(AG552,0)=1,MAX($D$16,IFERROR(W552,MAX($D$16,POWER((ABS(K552)^2)/($I$5*MAX(F552,0.1)^2),1/3)))),MAX($D$16,POWER((ABS(K552)^2)/($I$5*MAX(F552,0.1)^2),1/3))))))),MAX($D$16,POWER((ABS(K552)^2)/($I$5*MAX(F552,0.1)^2),1/3)))</f>
        <v>2.1389677043987478</v>
      </c>
      <c r="AI552">
        <f t="shared" ca="1" si="269"/>
        <v>634.45646770439873</v>
      </c>
      <c r="AJ552">
        <f t="shared" ca="1" si="270"/>
        <v>635.5259515565981</v>
      </c>
      <c r="AM552">
        <v>0</v>
      </c>
      <c r="AN552">
        <v>0</v>
      </c>
      <c r="AO552">
        <f t="shared" si="271"/>
        <v>0</v>
      </c>
      <c r="AP552">
        <f t="shared" si="280"/>
        <v>0</v>
      </c>
      <c r="AQ552">
        <f t="shared" ca="1" si="272"/>
        <v>1.0000000000000004</v>
      </c>
      <c r="AR552" t="str">
        <f t="shared" ca="1" si="273"/>
        <v>Supercritical</v>
      </c>
      <c r="AS552">
        <f t="shared" ca="1" si="274"/>
        <v>3.8141460404132466E-3</v>
      </c>
    </row>
    <row r="553" spans="1:45" x14ac:dyDescent="0.35">
      <c r="A553">
        <v>492</v>
      </c>
      <c r="B553">
        <v>490.99599999999998</v>
      </c>
      <c r="C553">
        <v>616209.88399999996</v>
      </c>
      <c r="D553">
        <v>3097486.969</v>
      </c>
      <c r="E553">
        <v>632.31700000000001</v>
      </c>
      <c r="F553">
        <v>5.2</v>
      </c>
      <c r="G553">
        <v>0</v>
      </c>
      <c r="H553" t="s">
        <v>154</v>
      </c>
      <c r="I553">
        <v>0</v>
      </c>
      <c r="J553">
        <f t="shared" si="275"/>
        <v>1</v>
      </c>
      <c r="K553">
        <f t="shared" ca="1" si="276"/>
        <v>50.95</v>
      </c>
      <c r="L553">
        <f t="shared" ca="1" si="277"/>
        <v>2.1389677043987478</v>
      </c>
      <c r="M553">
        <f t="shared" ca="1" si="250"/>
        <v>11.122632062873489</v>
      </c>
      <c r="N553">
        <f t="shared" ca="1" si="251"/>
        <v>1.1735290000551568</v>
      </c>
      <c r="O553">
        <f t="shared" ca="1" si="252"/>
        <v>4.5807502857230418</v>
      </c>
      <c r="P553">
        <f t="shared" ca="1" si="253"/>
        <v>634.45596770439874</v>
      </c>
      <c r="Q553">
        <f t="shared" ca="1" si="254"/>
        <v>635.52545155659811</v>
      </c>
      <c r="R553">
        <f t="shared" ca="1" si="255"/>
        <v>3.8141460404132466E-3</v>
      </c>
      <c r="S553">
        <f t="shared" ca="1" si="256"/>
        <v>1.0000000000000004</v>
      </c>
      <c r="T553">
        <f t="shared" ca="1" si="257"/>
        <v>35.686426155594638</v>
      </c>
      <c r="U553">
        <f t="shared" ca="1" si="278"/>
        <v>-3.3141460404522149E-3</v>
      </c>
      <c r="V553">
        <f t="shared" ca="1" si="279"/>
        <v>1</v>
      </c>
      <c r="W553">
        <f t="shared" ca="1" si="258"/>
        <v>1.7069223444680333</v>
      </c>
      <c r="X553">
        <f t="shared" ca="1" si="259"/>
        <v>8.8759961912337726</v>
      </c>
      <c r="Y553">
        <f t="shared" ca="1" si="260"/>
        <v>1.0304337391448934</v>
      </c>
      <c r="Z553">
        <f t="shared" ca="1" si="261"/>
        <v>5.7402007506853039</v>
      </c>
      <c r="AA553">
        <f t="shared" ca="1" si="262"/>
        <v>634.02392234446802</v>
      </c>
      <c r="AB553">
        <f t="shared" ca="1" si="263"/>
        <v>635.70332625161211</v>
      </c>
      <c r="AC553">
        <f t="shared" ca="1" si="264"/>
        <v>7.1232237574838436E-3</v>
      </c>
      <c r="AD553">
        <f t="shared" ca="1" si="265"/>
        <v>1.4027675009332994</v>
      </c>
      <c r="AE553">
        <f t="shared" ca="1" si="266"/>
        <v>37.388083480824136</v>
      </c>
      <c r="AF553">
        <f t="shared" ca="1" si="267"/>
        <v>6.6916737096107681E-3</v>
      </c>
      <c r="AG553">
        <f t="shared" ca="1" si="268"/>
        <v>0</v>
      </c>
      <c r="AH553">
        <f ca="1">IFERROR(IF(V32="Supercritical",MAX($D$16,IFERROR(L553,MAX($D$16,POWER((ABS(K553)^2)/($I$5*MAX(F553,0.1)^2),1/3)))),IF(V32="Subcritical",MAX($D$16,IFERROR(W553,MAX($D$16,POWER((ABS(K553)^2)/($I$5*MAX(F553,0.1)^2),1/3)))),IF(AND(IFERROR(V553,0)=1,IFERROR(AG553,0)=1),IF(IFERROR(T553,-1E+99)&gt;=IFERROR(AE553,-1E+99),MAX($D$16,IFERROR(L553,MAX($D$16,POWER((ABS(K553)^2)/($I$5*MAX(F553,0.1)^2),1/3)))),MAX($D$16,IFERROR(W553,MAX($D$16,POWER((ABS(K553)^2)/($I$5*MAX(F553,0.1)^2),1/3))))),IF(IFERROR(V553,0)=1,MAX($D$16,IFERROR(L553,MAX($D$16,POWER((ABS(K553)^2)/($I$5*MAX(F553,0.1)^2),1/3)))),IF(IFERROR(AG553,0)=1,MAX($D$16,IFERROR(W553,MAX($D$16,POWER((ABS(K553)^2)/($I$5*MAX(F553,0.1)^2),1/3)))),MAX($D$16,POWER((ABS(K553)^2)/($I$5*MAX(F553,0.1)^2),1/3))))))),MAX($D$16,POWER((ABS(K553)^2)/($I$5*MAX(F553,0.1)^2),1/3)))</f>
        <v>2.1389677043987478</v>
      </c>
      <c r="AI553">
        <f t="shared" ca="1" si="269"/>
        <v>634.45596770439874</v>
      </c>
      <c r="AJ553">
        <f t="shared" ca="1" si="270"/>
        <v>635.52545155659811</v>
      </c>
      <c r="AM553">
        <v>0</v>
      </c>
      <c r="AN553">
        <v>0</v>
      </c>
      <c r="AO553">
        <f t="shared" si="271"/>
        <v>0</v>
      </c>
      <c r="AP553">
        <f t="shared" si="280"/>
        <v>0</v>
      </c>
      <c r="AQ553">
        <f t="shared" ca="1" si="272"/>
        <v>1.0000000000000004</v>
      </c>
      <c r="AR553" t="str">
        <f t="shared" ca="1" si="273"/>
        <v>Supercritical</v>
      </c>
      <c r="AS553">
        <f t="shared" ca="1" si="274"/>
        <v>3.8141460404132466E-3</v>
      </c>
    </row>
    <row r="554" spans="1:45" x14ac:dyDescent="0.35">
      <c r="A554">
        <v>493</v>
      </c>
      <c r="B554">
        <v>491.995</v>
      </c>
      <c r="C554">
        <v>616209.41</v>
      </c>
      <c r="D554">
        <v>3097486.0890000002</v>
      </c>
      <c r="E554">
        <v>632.31650000000002</v>
      </c>
      <c r="F554">
        <v>5.2</v>
      </c>
      <c r="G554">
        <v>0</v>
      </c>
      <c r="H554" t="s">
        <v>154</v>
      </c>
      <c r="I554">
        <v>2.7E-2</v>
      </c>
      <c r="J554">
        <f t="shared" si="275"/>
        <v>0.99900000000002365</v>
      </c>
      <c r="K554">
        <f t="shared" ca="1" si="276"/>
        <v>50.95</v>
      </c>
      <c r="L554">
        <f t="shared" ca="1" si="277"/>
        <v>2.1389677043987478</v>
      </c>
      <c r="M554">
        <f t="shared" ca="1" si="250"/>
        <v>11.122632062873489</v>
      </c>
      <c r="N554">
        <f t="shared" ca="1" si="251"/>
        <v>1.1735290000551568</v>
      </c>
      <c r="O554">
        <f t="shared" ca="1" si="252"/>
        <v>4.5807502857230418</v>
      </c>
      <c r="P554">
        <f t="shared" ca="1" si="253"/>
        <v>634.45546770439876</v>
      </c>
      <c r="Q554">
        <f t="shared" ca="1" si="254"/>
        <v>635.52495155659813</v>
      </c>
      <c r="R554">
        <f t="shared" ca="1" si="255"/>
        <v>3.8141460404132466E-3</v>
      </c>
      <c r="S554">
        <f t="shared" ca="1" si="256"/>
        <v>1.0000000000000004</v>
      </c>
      <c r="T554">
        <f t="shared" ca="1" si="257"/>
        <v>35.686426155594638</v>
      </c>
      <c r="U554">
        <f t="shared" ca="1" si="278"/>
        <v>-3.3584586676624895E-3</v>
      </c>
      <c r="V554">
        <f t="shared" ca="1" si="279"/>
        <v>1</v>
      </c>
      <c r="W554">
        <f t="shared" ca="1" si="258"/>
        <v>1.7069216807121435</v>
      </c>
      <c r="X554">
        <f t="shared" ca="1" si="259"/>
        <v>8.8759927397031468</v>
      </c>
      <c r="Y554">
        <f t="shared" ca="1" si="260"/>
        <v>1.0304334972531373</v>
      </c>
      <c r="Z554">
        <f t="shared" ca="1" si="261"/>
        <v>5.7402029828275865</v>
      </c>
      <c r="AA554">
        <f t="shared" ca="1" si="262"/>
        <v>634.0234216807122</v>
      </c>
      <c r="AB554">
        <f t="shared" ca="1" si="263"/>
        <v>635.7028268939672</v>
      </c>
      <c r="AC554">
        <f t="shared" ca="1" si="264"/>
        <v>7.1232315269256514E-3</v>
      </c>
      <c r="AD554">
        <f t="shared" ca="1" si="265"/>
        <v>1.4027683191565004</v>
      </c>
      <c r="AE554">
        <f t="shared" ca="1" si="266"/>
        <v>37.388089182363082</v>
      </c>
      <c r="AF554">
        <f t="shared" ca="1" si="267"/>
        <v>6.8486774362099823E-3</v>
      </c>
      <c r="AG554">
        <f t="shared" ca="1" si="268"/>
        <v>0</v>
      </c>
      <c r="AH554">
        <f ca="1">IFERROR(IF(V32="Supercritical",MAX($D$16,IFERROR(L554,MAX($D$16,POWER((ABS(K554)^2)/($I$5*MAX(F554,0.1)^2),1/3)))),IF(V32="Subcritical",MAX($D$16,IFERROR(W554,MAX($D$16,POWER((ABS(K554)^2)/($I$5*MAX(F554,0.1)^2),1/3)))),IF(AND(IFERROR(V554,0)=1,IFERROR(AG554,0)=1),IF(IFERROR(T554,-1E+99)&gt;=IFERROR(AE554,-1E+99),MAX($D$16,IFERROR(L554,MAX($D$16,POWER((ABS(K554)^2)/($I$5*MAX(F554,0.1)^2),1/3)))),MAX($D$16,IFERROR(W554,MAX($D$16,POWER((ABS(K554)^2)/($I$5*MAX(F554,0.1)^2),1/3))))),IF(IFERROR(V554,0)=1,MAX($D$16,IFERROR(L554,MAX($D$16,POWER((ABS(K554)^2)/($I$5*MAX(F554,0.1)^2),1/3)))),IF(IFERROR(AG554,0)=1,MAX($D$16,IFERROR(W554,MAX($D$16,POWER((ABS(K554)^2)/($I$5*MAX(F554,0.1)^2),1/3)))),MAX($D$16,POWER((ABS(K554)^2)/($I$5*MAX(F554,0.1)^2),1/3))))))),MAX($D$16,POWER((ABS(K554)^2)/($I$5*MAX(F554,0.1)^2),1/3)))</f>
        <v>2.1389677043987478</v>
      </c>
      <c r="AI554">
        <f t="shared" ca="1" si="269"/>
        <v>634.45546770439876</v>
      </c>
      <c r="AJ554">
        <f t="shared" ca="1" si="270"/>
        <v>635.52495155659813</v>
      </c>
      <c r="AM554">
        <v>0</v>
      </c>
      <c r="AN554">
        <v>0</v>
      </c>
      <c r="AO554">
        <f t="shared" si="271"/>
        <v>0</v>
      </c>
      <c r="AP554">
        <f t="shared" si="280"/>
        <v>0</v>
      </c>
      <c r="AQ554">
        <f t="shared" ca="1" si="272"/>
        <v>1.0000000000000004</v>
      </c>
      <c r="AR554" t="str">
        <f t="shared" ca="1" si="273"/>
        <v>Supercritical</v>
      </c>
      <c r="AS554">
        <f t="shared" ca="1" si="274"/>
        <v>3.8141460404132466E-3</v>
      </c>
    </row>
    <row r="555" spans="1:45" x14ac:dyDescent="0.35">
      <c r="A555">
        <v>494</v>
      </c>
      <c r="B555">
        <v>492.99599999999998</v>
      </c>
      <c r="C555">
        <v>616208.93599999999</v>
      </c>
      <c r="D555">
        <v>3097485.2080000001</v>
      </c>
      <c r="E555">
        <v>632.31600000000003</v>
      </c>
      <c r="F555">
        <v>5.2</v>
      </c>
      <c r="G555">
        <v>0</v>
      </c>
      <c r="H555" t="s">
        <v>154</v>
      </c>
      <c r="I555">
        <v>7.8E-2</v>
      </c>
      <c r="J555">
        <f t="shared" si="275"/>
        <v>1.0009999999999764</v>
      </c>
      <c r="K555">
        <f t="shared" ca="1" si="276"/>
        <v>50.95</v>
      </c>
      <c r="L555">
        <f t="shared" ca="1" si="277"/>
        <v>2.1389677043987478</v>
      </c>
      <c r="M555">
        <f t="shared" ca="1" si="250"/>
        <v>11.122632062873489</v>
      </c>
      <c r="N555">
        <f t="shared" ca="1" si="251"/>
        <v>1.1735290000551568</v>
      </c>
      <c r="O555">
        <f t="shared" ca="1" si="252"/>
        <v>4.5807502857230418</v>
      </c>
      <c r="P555">
        <f t="shared" ca="1" si="253"/>
        <v>634.45496770439877</v>
      </c>
      <c r="Q555">
        <f t="shared" ca="1" si="254"/>
        <v>635.52445155659814</v>
      </c>
      <c r="R555">
        <f t="shared" ca="1" si="255"/>
        <v>3.8141460404132466E-3</v>
      </c>
      <c r="S555">
        <f t="shared" ca="1" si="256"/>
        <v>1.0000000000000004</v>
      </c>
      <c r="T555">
        <f t="shared" ca="1" si="257"/>
        <v>35.686426155594638</v>
      </c>
      <c r="U555">
        <f t="shared" ca="1" si="278"/>
        <v>-3.456993087183946E-3</v>
      </c>
      <c r="V555">
        <f t="shared" ca="1" si="279"/>
        <v>1</v>
      </c>
      <c r="W555">
        <f t="shared" ca="1" si="258"/>
        <v>1.7069210609903891</v>
      </c>
      <c r="X555">
        <f t="shared" ca="1" si="259"/>
        <v>8.8759895171500229</v>
      </c>
      <c r="Y555">
        <f t="shared" ca="1" si="260"/>
        <v>1.0304332714086202</v>
      </c>
      <c r="Z555">
        <f t="shared" ca="1" si="261"/>
        <v>5.7402050668892022</v>
      </c>
      <c r="AA555">
        <f t="shared" ca="1" si="262"/>
        <v>634.02292106099037</v>
      </c>
      <c r="AB555">
        <f t="shared" ca="1" si="263"/>
        <v>635.70232749370905</v>
      </c>
      <c r="AC555">
        <f t="shared" ca="1" si="264"/>
        <v>7.1232387809467149E-3</v>
      </c>
      <c r="AD555">
        <f t="shared" ca="1" si="265"/>
        <v>1.4027690830987904</v>
      </c>
      <c r="AE555">
        <f t="shared" ca="1" si="266"/>
        <v>37.388094505667254</v>
      </c>
      <c r="AF555">
        <f t="shared" ca="1" si="267"/>
        <v>6.8415616173069793E-3</v>
      </c>
      <c r="AG555">
        <f t="shared" ca="1" si="268"/>
        <v>0</v>
      </c>
      <c r="AH555">
        <f ca="1">IFERROR(IF(V32="Supercritical",MAX($D$16,IFERROR(L555,MAX($D$16,POWER((ABS(K555)^2)/($I$5*MAX(F555,0.1)^2),1/3)))),IF(V32="Subcritical",MAX($D$16,IFERROR(W555,MAX($D$16,POWER((ABS(K555)^2)/($I$5*MAX(F555,0.1)^2),1/3)))),IF(AND(IFERROR(V555,0)=1,IFERROR(AG555,0)=1),IF(IFERROR(T555,-1E+99)&gt;=IFERROR(AE555,-1E+99),MAX($D$16,IFERROR(L555,MAX($D$16,POWER((ABS(K555)^2)/($I$5*MAX(F555,0.1)^2),1/3)))),MAX($D$16,IFERROR(W555,MAX($D$16,POWER((ABS(K555)^2)/($I$5*MAX(F555,0.1)^2),1/3))))),IF(IFERROR(V555,0)=1,MAX($D$16,IFERROR(L555,MAX($D$16,POWER((ABS(K555)^2)/($I$5*MAX(F555,0.1)^2),1/3)))),IF(IFERROR(AG555,0)=1,MAX($D$16,IFERROR(W555,MAX($D$16,POWER((ABS(K555)^2)/($I$5*MAX(F555,0.1)^2),1/3)))),MAX($D$16,POWER((ABS(K555)^2)/($I$5*MAX(F555,0.1)^2),1/3))))))),MAX($D$16,POWER((ABS(K555)^2)/($I$5*MAX(F555,0.1)^2),1/3)))</f>
        <v>2.1389677043987478</v>
      </c>
      <c r="AI555">
        <f t="shared" ca="1" si="269"/>
        <v>634.45496770439877</v>
      </c>
      <c r="AJ555">
        <f t="shared" ca="1" si="270"/>
        <v>635.52445155659814</v>
      </c>
      <c r="AM555">
        <v>0</v>
      </c>
      <c r="AN555">
        <v>0</v>
      </c>
      <c r="AO555">
        <f t="shared" si="271"/>
        <v>0</v>
      </c>
      <c r="AP555">
        <f t="shared" si="280"/>
        <v>0</v>
      </c>
      <c r="AQ555">
        <f t="shared" ca="1" si="272"/>
        <v>1.0000000000000004</v>
      </c>
      <c r="AR555" t="str">
        <f t="shared" ca="1" si="273"/>
        <v>Supercritical</v>
      </c>
      <c r="AS555">
        <f t="shared" ca="1" si="274"/>
        <v>3.8141460404132466E-3</v>
      </c>
    </row>
    <row r="556" spans="1:45" x14ac:dyDescent="0.35">
      <c r="A556">
        <v>495</v>
      </c>
      <c r="B556">
        <v>493.99599999999998</v>
      </c>
      <c r="C556">
        <v>616208.46100000001</v>
      </c>
      <c r="D556">
        <v>3097484.3280000002</v>
      </c>
      <c r="E556">
        <v>632.31550000000004</v>
      </c>
      <c r="F556">
        <v>5.2</v>
      </c>
      <c r="G556">
        <v>0</v>
      </c>
      <c r="H556" t="s">
        <v>154</v>
      </c>
      <c r="I556">
        <v>7.8E-2</v>
      </c>
      <c r="J556">
        <f t="shared" si="275"/>
        <v>1</v>
      </c>
      <c r="K556">
        <f t="shared" ca="1" si="276"/>
        <v>50.95</v>
      </c>
      <c r="L556">
        <f t="shared" ca="1" si="277"/>
        <v>2.1389677043987478</v>
      </c>
      <c r="M556">
        <f t="shared" ca="1" si="250"/>
        <v>11.122632062873489</v>
      </c>
      <c r="N556">
        <f t="shared" ca="1" si="251"/>
        <v>1.1735290000551568</v>
      </c>
      <c r="O556">
        <f t="shared" ca="1" si="252"/>
        <v>4.5807502857230418</v>
      </c>
      <c r="P556">
        <f t="shared" ca="1" si="253"/>
        <v>634.45446770439878</v>
      </c>
      <c r="Q556">
        <f t="shared" ca="1" si="254"/>
        <v>635.52395155659815</v>
      </c>
      <c r="R556">
        <f t="shared" ca="1" si="255"/>
        <v>3.8141460404132466E-3</v>
      </c>
      <c r="S556">
        <f t="shared" ca="1" si="256"/>
        <v>1.0000000000000004</v>
      </c>
      <c r="T556">
        <f t="shared" ca="1" si="257"/>
        <v>35.686426155594638</v>
      </c>
      <c r="U556">
        <f t="shared" ca="1" si="278"/>
        <v>-3.4531789411857972E-3</v>
      </c>
      <c r="V556">
        <f t="shared" ca="1" si="279"/>
        <v>1</v>
      </c>
      <c r="W556">
        <f t="shared" ca="1" si="258"/>
        <v>1.7069204823816548</v>
      </c>
      <c r="X556">
        <f t="shared" ca="1" si="259"/>
        <v>8.8759865083846048</v>
      </c>
      <c r="Y556">
        <f t="shared" ca="1" si="260"/>
        <v>1.0304330605468173</v>
      </c>
      <c r="Z556">
        <f t="shared" ca="1" si="261"/>
        <v>5.7402070126932525</v>
      </c>
      <c r="AA556">
        <f t="shared" ca="1" si="262"/>
        <v>634.02242048238168</v>
      </c>
      <c r="AB556">
        <f t="shared" ca="1" si="263"/>
        <v>635.70182805366471</v>
      </c>
      <c r="AC556">
        <f t="shared" ca="1" si="264"/>
        <v>7.1232455537373887E-3</v>
      </c>
      <c r="AD556">
        <f t="shared" ca="1" si="265"/>
        <v>1.402769796360938</v>
      </c>
      <c r="AE556">
        <f t="shared" ca="1" si="266"/>
        <v>37.388099475826479</v>
      </c>
      <c r="AF556">
        <f t="shared" ca="1" si="267"/>
        <v>6.6988188945060756E-3</v>
      </c>
      <c r="AG556">
        <f t="shared" ca="1" si="268"/>
        <v>0</v>
      </c>
      <c r="AH556">
        <f ca="1">IFERROR(IF(V32="Supercritical",MAX($D$16,IFERROR(L556,MAX($D$16,POWER((ABS(K556)^2)/($I$5*MAX(F556,0.1)^2),1/3)))),IF(V32="Subcritical",MAX($D$16,IFERROR(W556,MAX($D$16,POWER((ABS(K556)^2)/($I$5*MAX(F556,0.1)^2),1/3)))),IF(AND(IFERROR(V556,0)=1,IFERROR(AG556,0)=1),IF(IFERROR(T556,-1E+99)&gt;=IFERROR(AE556,-1E+99),MAX($D$16,IFERROR(L556,MAX($D$16,POWER((ABS(K556)^2)/($I$5*MAX(F556,0.1)^2),1/3)))),MAX($D$16,IFERROR(W556,MAX($D$16,POWER((ABS(K556)^2)/($I$5*MAX(F556,0.1)^2),1/3))))),IF(IFERROR(V556,0)=1,MAX($D$16,IFERROR(L556,MAX($D$16,POWER((ABS(K556)^2)/($I$5*MAX(F556,0.1)^2),1/3)))),IF(IFERROR(AG556,0)=1,MAX($D$16,IFERROR(W556,MAX($D$16,POWER((ABS(K556)^2)/($I$5*MAX(F556,0.1)^2),1/3)))),MAX($D$16,POWER((ABS(K556)^2)/($I$5*MAX(F556,0.1)^2),1/3))))))),MAX($D$16,POWER((ABS(K556)^2)/($I$5*MAX(F556,0.1)^2),1/3)))</f>
        <v>2.1389677043987478</v>
      </c>
      <c r="AI556">
        <f t="shared" ca="1" si="269"/>
        <v>634.45446770439878</v>
      </c>
      <c r="AJ556">
        <f t="shared" ca="1" si="270"/>
        <v>635.52395155659815</v>
      </c>
      <c r="AM556">
        <v>0</v>
      </c>
      <c r="AN556">
        <v>0</v>
      </c>
      <c r="AO556">
        <f t="shared" si="271"/>
        <v>0</v>
      </c>
      <c r="AP556">
        <f t="shared" si="280"/>
        <v>0</v>
      </c>
      <c r="AQ556">
        <f t="shared" ca="1" si="272"/>
        <v>1.0000000000000004</v>
      </c>
      <c r="AR556" t="str">
        <f t="shared" ca="1" si="273"/>
        <v>Supercritical</v>
      </c>
      <c r="AS556">
        <f t="shared" ca="1" si="274"/>
        <v>3.8141460404132466E-3</v>
      </c>
    </row>
    <row r="557" spans="1:45" x14ac:dyDescent="0.35">
      <c r="A557">
        <v>496</v>
      </c>
      <c r="B557">
        <v>494.99599999999998</v>
      </c>
      <c r="C557">
        <v>616207.98699999996</v>
      </c>
      <c r="D557">
        <v>3097483.4470000002</v>
      </c>
      <c r="E557">
        <v>632.31500000000005</v>
      </c>
      <c r="F557">
        <v>5.2</v>
      </c>
      <c r="G557">
        <v>0</v>
      </c>
      <c r="H557" t="s">
        <v>154</v>
      </c>
      <c r="I557">
        <v>2.7E-2</v>
      </c>
      <c r="J557">
        <f t="shared" si="275"/>
        <v>1</v>
      </c>
      <c r="K557">
        <f t="shared" ca="1" si="276"/>
        <v>50.95</v>
      </c>
      <c r="L557">
        <f t="shared" ca="1" si="277"/>
        <v>2.1389677043987478</v>
      </c>
      <c r="M557">
        <f t="shared" ca="1" si="250"/>
        <v>11.122632062873489</v>
      </c>
      <c r="N557">
        <f t="shared" ca="1" si="251"/>
        <v>1.1735290000551568</v>
      </c>
      <c r="O557">
        <f t="shared" ca="1" si="252"/>
        <v>4.5807502857230418</v>
      </c>
      <c r="P557">
        <f t="shared" ca="1" si="253"/>
        <v>634.45396770439879</v>
      </c>
      <c r="Q557">
        <f t="shared" ca="1" si="254"/>
        <v>635.52345155659816</v>
      </c>
      <c r="R557">
        <f t="shared" ca="1" si="255"/>
        <v>3.8141460404132466E-3</v>
      </c>
      <c r="S557">
        <f t="shared" ca="1" si="256"/>
        <v>1.0000000000000004</v>
      </c>
      <c r="T557">
        <f t="shared" ca="1" si="257"/>
        <v>35.686426155594638</v>
      </c>
      <c r="U557">
        <f t="shared" ca="1" si="278"/>
        <v>-3.3622728137743252E-3</v>
      </c>
      <c r="V557">
        <f t="shared" ca="1" si="279"/>
        <v>1</v>
      </c>
      <c r="W557">
        <f t="shared" ca="1" si="258"/>
        <v>1.7069199421585992</v>
      </c>
      <c r="X557">
        <f t="shared" ca="1" si="259"/>
        <v>8.875983699224717</v>
      </c>
      <c r="Y557">
        <f t="shared" ca="1" si="260"/>
        <v>1.0304328636738178</v>
      </c>
      <c r="Z557">
        <f t="shared" ca="1" si="261"/>
        <v>5.7402088294112446</v>
      </c>
      <c r="AA557">
        <f t="shared" ca="1" si="262"/>
        <v>634.02191994215866</v>
      </c>
      <c r="AB557">
        <f t="shared" ca="1" si="263"/>
        <v>635.7013285764732</v>
      </c>
      <c r="AC557">
        <f t="shared" ca="1" si="264"/>
        <v>7.1232518772201738E-3</v>
      </c>
      <c r="AD557">
        <f t="shared" ca="1" si="265"/>
        <v>1.402770462304864</v>
      </c>
      <c r="AE557">
        <f t="shared" ca="1" si="266"/>
        <v>37.38810411626644</v>
      </c>
      <c r="AF557">
        <f t="shared" ca="1" si="267"/>
        <v>6.6232518771585092E-3</v>
      </c>
      <c r="AG557">
        <f t="shared" ca="1" si="268"/>
        <v>0</v>
      </c>
      <c r="AH557">
        <f ca="1">IFERROR(IF(V32="Supercritical",MAX($D$16,IFERROR(L557,MAX($D$16,POWER((ABS(K557)^2)/($I$5*MAX(F557,0.1)^2),1/3)))),IF(V32="Subcritical",MAX($D$16,IFERROR(W557,MAX($D$16,POWER((ABS(K557)^2)/($I$5*MAX(F557,0.1)^2),1/3)))),IF(AND(IFERROR(V557,0)=1,IFERROR(AG557,0)=1),IF(IFERROR(T557,-1E+99)&gt;=IFERROR(AE557,-1E+99),MAX($D$16,IFERROR(L557,MAX($D$16,POWER((ABS(K557)^2)/($I$5*MAX(F557,0.1)^2),1/3)))),MAX($D$16,IFERROR(W557,MAX($D$16,POWER((ABS(K557)^2)/($I$5*MAX(F557,0.1)^2),1/3))))),IF(IFERROR(V557,0)=1,MAX($D$16,IFERROR(L557,MAX($D$16,POWER((ABS(K557)^2)/($I$5*MAX(F557,0.1)^2),1/3)))),IF(IFERROR(AG557,0)=1,MAX($D$16,IFERROR(W557,MAX($D$16,POWER((ABS(K557)^2)/($I$5*MAX(F557,0.1)^2),1/3)))),MAX($D$16,POWER((ABS(K557)^2)/($I$5*MAX(F557,0.1)^2),1/3))))))),MAX($D$16,POWER((ABS(K557)^2)/($I$5*MAX(F557,0.1)^2),1/3)))</f>
        <v>2.1389677043987478</v>
      </c>
      <c r="AI557">
        <f t="shared" ca="1" si="269"/>
        <v>634.45396770439879</v>
      </c>
      <c r="AJ557">
        <f t="shared" ca="1" si="270"/>
        <v>635.52345155659816</v>
      </c>
      <c r="AM557">
        <v>0</v>
      </c>
      <c r="AN557">
        <v>0</v>
      </c>
      <c r="AO557">
        <f t="shared" si="271"/>
        <v>0</v>
      </c>
      <c r="AP557">
        <f t="shared" si="280"/>
        <v>0</v>
      </c>
      <c r="AQ557">
        <f t="shared" ca="1" si="272"/>
        <v>1.0000000000000004</v>
      </c>
      <c r="AR557" t="str">
        <f t="shared" ca="1" si="273"/>
        <v>Supercritical</v>
      </c>
      <c r="AS557">
        <f t="shared" ca="1" si="274"/>
        <v>3.8141460404132466E-3</v>
      </c>
    </row>
    <row r="558" spans="1:45" x14ac:dyDescent="0.35">
      <c r="A558">
        <v>497</v>
      </c>
      <c r="B558">
        <v>495.99599999999998</v>
      </c>
      <c r="C558">
        <v>616207.51300000004</v>
      </c>
      <c r="D558">
        <v>3097482.5669999998</v>
      </c>
      <c r="E558">
        <v>632.31449999999995</v>
      </c>
      <c r="F558">
        <v>5.2</v>
      </c>
      <c r="G558">
        <v>0</v>
      </c>
      <c r="H558" t="s">
        <v>154</v>
      </c>
      <c r="I558">
        <v>0</v>
      </c>
      <c r="J558">
        <f t="shared" si="275"/>
        <v>1</v>
      </c>
      <c r="K558">
        <f t="shared" ca="1" si="276"/>
        <v>50.95</v>
      </c>
      <c r="L558">
        <f t="shared" ca="1" si="277"/>
        <v>2.1389677043987478</v>
      </c>
      <c r="M558">
        <f t="shared" ca="1" si="250"/>
        <v>11.122632062873489</v>
      </c>
      <c r="N558">
        <f t="shared" ca="1" si="251"/>
        <v>1.1735290000551568</v>
      </c>
      <c r="O558">
        <f t="shared" ca="1" si="252"/>
        <v>4.5807502857230418</v>
      </c>
      <c r="P558">
        <f t="shared" ca="1" si="253"/>
        <v>634.45346770439869</v>
      </c>
      <c r="Q558">
        <f t="shared" ca="1" si="254"/>
        <v>635.52295155659806</v>
      </c>
      <c r="R558">
        <f t="shared" ca="1" si="255"/>
        <v>3.8141460404132466E-3</v>
      </c>
      <c r="S558">
        <f t="shared" ca="1" si="256"/>
        <v>1.0000000000000004</v>
      </c>
      <c r="T558">
        <f t="shared" ca="1" si="257"/>
        <v>35.686426155594638</v>
      </c>
      <c r="U558">
        <f t="shared" ca="1" si="278"/>
        <v>-3.3141460403385281E-3</v>
      </c>
      <c r="V558">
        <f t="shared" ca="1" si="279"/>
        <v>1</v>
      </c>
      <c r="W558">
        <f t="shared" ca="1" si="258"/>
        <v>1.7069194377747621</v>
      </c>
      <c r="X558">
        <f t="shared" ca="1" si="259"/>
        <v>8.8759810764287632</v>
      </c>
      <c r="Y558">
        <f t="shared" ca="1" si="260"/>
        <v>1.0304326798616275</v>
      </c>
      <c r="Z558">
        <f t="shared" ca="1" si="261"/>
        <v>5.740210525606444</v>
      </c>
      <c r="AA558">
        <f t="shared" ca="1" si="262"/>
        <v>634.02141943777474</v>
      </c>
      <c r="AB558">
        <f t="shared" ca="1" si="263"/>
        <v>635.70082906459857</v>
      </c>
      <c r="AC558">
        <f t="shared" ca="1" si="264"/>
        <v>7.1232577812005817E-3</v>
      </c>
      <c r="AD558">
        <f t="shared" ca="1" si="265"/>
        <v>1.402771084069534</v>
      </c>
      <c r="AE558">
        <f t="shared" ca="1" si="266"/>
        <v>37.388108448859327</v>
      </c>
      <c r="AF558">
        <f t="shared" ca="1" si="267"/>
        <v>6.6917079566337634E-3</v>
      </c>
      <c r="AG558">
        <f t="shared" ca="1" si="268"/>
        <v>0</v>
      </c>
      <c r="AH558">
        <f ca="1">IFERROR(IF(V32="Supercritical",MAX($D$16,IFERROR(L558,MAX($D$16,POWER((ABS(K558)^2)/($I$5*MAX(F558,0.1)^2),1/3)))),IF(V32="Subcritical",MAX($D$16,IFERROR(W558,MAX($D$16,POWER((ABS(K558)^2)/($I$5*MAX(F558,0.1)^2),1/3)))),IF(AND(IFERROR(V558,0)=1,IFERROR(AG558,0)=1),IF(IFERROR(T558,-1E+99)&gt;=IFERROR(AE558,-1E+99),MAX($D$16,IFERROR(L558,MAX($D$16,POWER((ABS(K558)^2)/($I$5*MAX(F558,0.1)^2),1/3)))),MAX($D$16,IFERROR(W558,MAX($D$16,POWER((ABS(K558)^2)/($I$5*MAX(F558,0.1)^2),1/3))))),IF(IFERROR(V558,0)=1,MAX($D$16,IFERROR(L558,MAX($D$16,POWER((ABS(K558)^2)/($I$5*MAX(F558,0.1)^2),1/3)))),IF(IFERROR(AG558,0)=1,MAX($D$16,IFERROR(W558,MAX($D$16,POWER((ABS(K558)^2)/($I$5*MAX(F558,0.1)^2),1/3)))),MAX($D$16,POWER((ABS(K558)^2)/($I$5*MAX(F558,0.1)^2),1/3))))))),MAX($D$16,POWER((ABS(K558)^2)/($I$5*MAX(F558,0.1)^2),1/3)))</f>
        <v>2.1389677043987478</v>
      </c>
      <c r="AI558">
        <f t="shared" ca="1" si="269"/>
        <v>634.45346770439869</v>
      </c>
      <c r="AJ558">
        <f t="shared" ca="1" si="270"/>
        <v>635.52295155659806</v>
      </c>
      <c r="AM558">
        <v>0</v>
      </c>
      <c r="AN558">
        <v>0</v>
      </c>
      <c r="AO558">
        <f t="shared" si="271"/>
        <v>0</v>
      </c>
      <c r="AP558">
        <f t="shared" si="280"/>
        <v>0</v>
      </c>
      <c r="AQ558">
        <f t="shared" ca="1" si="272"/>
        <v>1.0000000000000004</v>
      </c>
      <c r="AR558" t="str">
        <f t="shared" ca="1" si="273"/>
        <v>Supercritical</v>
      </c>
      <c r="AS558">
        <f t="shared" ca="1" si="274"/>
        <v>3.8141460404132466E-3</v>
      </c>
    </row>
    <row r="559" spans="1:45" x14ac:dyDescent="0.35">
      <c r="A559">
        <v>498</v>
      </c>
      <c r="B559">
        <v>496.995</v>
      </c>
      <c r="C559">
        <v>616207.03899999999</v>
      </c>
      <c r="D559">
        <v>3097481.6869999999</v>
      </c>
      <c r="E559">
        <v>632.31399999999996</v>
      </c>
      <c r="F559">
        <v>5.2</v>
      </c>
      <c r="G559">
        <v>0</v>
      </c>
      <c r="H559" t="s">
        <v>154</v>
      </c>
      <c r="I559">
        <v>2.7E-2</v>
      </c>
      <c r="J559">
        <f t="shared" si="275"/>
        <v>0.99900000000002365</v>
      </c>
      <c r="K559">
        <f t="shared" ca="1" si="276"/>
        <v>50.95</v>
      </c>
      <c r="L559">
        <f t="shared" ca="1" si="277"/>
        <v>2.1389677043987478</v>
      </c>
      <c r="M559">
        <f t="shared" ca="1" si="250"/>
        <v>11.122632062873489</v>
      </c>
      <c r="N559">
        <f t="shared" ca="1" si="251"/>
        <v>1.1735290000551568</v>
      </c>
      <c r="O559">
        <f t="shared" ca="1" si="252"/>
        <v>4.5807502857230418</v>
      </c>
      <c r="P559">
        <f t="shared" ca="1" si="253"/>
        <v>634.4529677043987</v>
      </c>
      <c r="Q559">
        <f t="shared" ca="1" si="254"/>
        <v>635.52245155659807</v>
      </c>
      <c r="R559">
        <f t="shared" ca="1" si="255"/>
        <v>3.8141460404132466E-3</v>
      </c>
      <c r="S559">
        <f t="shared" ca="1" si="256"/>
        <v>1.0000000000000004</v>
      </c>
      <c r="T559">
        <f t="shared" ca="1" si="257"/>
        <v>35.686426155594638</v>
      </c>
      <c r="U559">
        <f t="shared" ca="1" si="278"/>
        <v>-3.3584586676624895E-3</v>
      </c>
      <c r="V559">
        <f t="shared" ca="1" si="279"/>
        <v>1</v>
      </c>
      <c r="W559">
        <f t="shared" ca="1" si="258"/>
        <v>1.7069189668526277</v>
      </c>
      <c r="X559">
        <f t="shared" ca="1" si="259"/>
        <v>8.8759786276336641</v>
      </c>
      <c r="Y559">
        <f t="shared" ca="1" si="260"/>
        <v>1.0304325082438193</v>
      </c>
      <c r="Z559">
        <f t="shared" ca="1" si="261"/>
        <v>5.7402121092740028</v>
      </c>
      <c r="AA559">
        <f t="shared" ca="1" si="262"/>
        <v>634.02091896685261</v>
      </c>
      <c r="AB559">
        <f t="shared" ca="1" si="263"/>
        <v>635.70032952034171</v>
      </c>
      <c r="AC559">
        <f t="shared" ca="1" si="264"/>
        <v>7.1232632935068164E-3</v>
      </c>
      <c r="AD559">
        <f t="shared" ca="1" si="265"/>
        <v>1.4027716645856672</v>
      </c>
      <c r="AE559">
        <f t="shared" ca="1" si="266"/>
        <v>37.388112494026352</v>
      </c>
      <c r="AF559">
        <f t="shared" ca="1" si="267"/>
        <v>6.8487099288176978E-3</v>
      </c>
      <c r="AG559">
        <f t="shared" ca="1" si="268"/>
        <v>0</v>
      </c>
      <c r="AH559">
        <f ca="1">IFERROR(IF(V32="Supercritical",MAX($D$16,IFERROR(L559,MAX($D$16,POWER((ABS(K559)^2)/($I$5*MAX(F559,0.1)^2),1/3)))),IF(V32="Subcritical",MAX($D$16,IFERROR(W559,MAX($D$16,POWER((ABS(K559)^2)/($I$5*MAX(F559,0.1)^2),1/3)))),IF(AND(IFERROR(V559,0)=1,IFERROR(AG559,0)=1),IF(IFERROR(T559,-1E+99)&gt;=IFERROR(AE559,-1E+99),MAX($D$16,IFERROR(L559,MAX($D$16,POWER((ABS(K559)^2)/($I$5*MAX(F559,0.1)^2),1/3)))),MAX($D$16,IFERROR(W559,MAX($D$16,POWER((ABS(K559)^2)/($I$5*MAX(F559,0.1)^2),1/3))))),IF(IFERROR(V559,0)=1,MAX($D$16,IFERROR(L559,MAX($D$16,POWER((ABS(K559)^2)/($I$5*MAX(F559,0.1)^2),1/3)))),IF(IFERROR(AG559,0)=1,MAX($D$16,IFERROR(W559,MAX($D$16,POWER((ABS(K559)^2)/($I$5*MAX(F559,0.1)^2),1/3)))),MAX($D$16,POWER((ABS(K559)^2)/($I$5*MAX(F559,0.1)^2),1/3))))))),MAX($D$16,POWER((ABS(K559)^2)/($I$5*MAX(F559,0.1)^2),1/3)))</f>
        <v>2.1389677043987478</v>
      </c>
      <c r="AI559">
        <f t="shared" ca="1" si="269"/>
        <v>634.4529677043987</v>
      </c>
      <c r="AJ559">
        <f t="shared" ca="1" si="270"/>
        <v>635.52245155659807</v>
      </c>
      <c r="AM559">
        <v>0</v>
      </c>
      <c r="AN559">
        <v>0</v>
      </c>
      <c r="AO559">
        <f t="shared" si="271"/>
        <v>0</v>
      </c>
      <c r="AP559">
        <f t="shared" si="280"/>
        <v>0</v>
      </c>
      <c r="AQ559">
        <f t="shared" ca="1" si="272"/>
        <v>1.0000000000000004</v>
      </c>
      <c r="AR559" t="str">
        <f t="shared" ca="1" si="273"/>
        <v>Supercritical</v>
      </c>
      <c r="AS559">
        <f t="shared" ca="1" si="274"/>
        <v>3.8141460404132466E-3</v>
      </c>
    </row>
    <row r="560" spans="1:45" x14ac:dyDescent="0.35">
      <c r="A560">
        <v>499</v>
      </c>
      <c r="B560">
        <v>497.99599999999998</v>
      </c>
      <c r="C560">
        <v>616206.56499999994</v>
      </c>
      <c r="D560">
        <v>3097480.8059999999</v>
      </c>
      <c r="E560">
        <v>632.31349999999998</v>
      </c>
      <c r="F560">
        <v>5.2</v>
      </c>
      <c r="G560">
        <v>0</v>
      </c>
      <c r="H560" t="s">
        <v>154</v>
      </c>
      <c r="I560">
        <v>7.8E-2</v>
      </c>
      <c r="J560">
        <f t="shared" si="275"/>
        <v>1.0009999999999764</v>
      </c>
      <c r="K560">
        <f t="shared" ca="1" si="276"/>
        <v>50.95</v>
      </c>
      <c r="L560">
        <f t="shared" ca="1" si="277"/>
        <v>2.1389677043987478</v>
      </c>
      <c r="M560">
        <f t="shared" ca="1" si="250"/>
        <v>11.122632062873489</v>
      </c>
      <c r="N560">
        <f t="shared" ca="1" si="251"/>
        <v>1.1735290000551568</v>
      </c>
      <c r="O560">
        <f t="shared" ca="1" si="252"/>
        <v>4.5807502857230418</v>
      </c>
      <c r="P560">
        <f t="shared" ca="1" si="253"/>
        <v>634.45246770439871</v>
      </c>
      <c r="Q560">
        <f t="shared" ca="1" si="254"/>
        <v>635.52195155659808</v>
      </c>
      <c r="R560">
        <f t="shared" ca="1" si="255"/>
        <v>3.8141460404132466E-3</v>
      </c>
      <c r="S560">
        <f t="shared" ca="1" si="256"/>
        <v>1.0000000000000004</v>
      </c>
      <c r="T560">
        <f t="shared" ca="1" si="257"/>
        <v>35.686426155594638</v>
      </c>
      <c r="U560">
        <f t="shared" ca="1" si="278"/>
        <v>-3.456993087183946E-3</v>
      </c>
      <c r="V560">
        <f t="shared" ca="1" si="279"/>
        <v>1</v>
      </c>
      <c r="W560">
        <f t="shared" ca="1" si="258"/>
        <v>1.7069185271723697</v>
      </c>
      <c r="X560">
        <f t="shared" ca="1" si="259"/>
        <v>8.8759763412963224</v>
      </c>
      <c r="Y560">
        <f t="shared" ca="1" si="260"/>
        <v>1.0304323480114315</v>
      </c>
      <c r="Z560">
        <f t="shared" ca="1" si="261"/>
        <v>5.7402135878788112</v>
      </c>
      <c r="AA560">
        <f t="shared" ca="1" si="262"/>
        <v>634.0204185271723</v>
      </c>
      <c r="AB560">
        <f t="shared" ca="1" si="263"/>
        <v>635.69982994585064</v>
      </c>
      <c r="AC560">
        <f t="shared" ca="1" si="264"/>
        <v>7.1232684401214691E-3</v>
      </c>
      <c r="AD560">
        <f t="shared" ca="1" si="265"/>
        <v>1.4027722065896093</v>
      </c>
      <c r="AE560">
        <f t="shared" ca="1" si="266"/>
        <v>37.388116270834381</v>
      </c>
      <c r="AF560">
        <f t="shared" ca="1" si="267"/>
        <v>6.8415919245126133E-3</v>
      </c>
      <c r="AG560">
        <f t="shared" ca="1" si="268"/>
        <v>0</v>
      </c>
      <c r="AH560">
        <f ca="1">IFERROR(IF(V32="Supercritical",MAX($D$16,IFERROR(L560,MAX($D$16,POWER((ABS(K560)^2)/($I$5*MAX(F560,0.1)^2),1/3)))),IF(V32="Subcritical",MAX($D$16,IFERROR(W560,MAX($D$16,POWER((ABS(K560)^2)/($I$5*MAX(F560,0.1)^2),1/3)))),IF(AND(IFERROR(V560,0)=1,IFERROR(AG560,0)=1),IF(IFERROR(T560,-1E+99)&gt;=IFERROR(AE560,-1E+99),MAX($D$16,IFERROR(L560,MAX($D$16,POWER((ABS(K560)^2)/($I$5*MAX(F560,0.1)^2),1/3)))),MAX($D$16,IFERROR(W560,MAX($D$16,POWER((ABS(K560)^2)/($I$5*MAX(F560,0.1)^2),1/3))))),IF(IFERROR(V560,0)=1,MAX($D$16,IFERROR(L560,MAX($D$16,POWER((ABS(K560)^2)/($I$5*MAX(F560,0.1)^2),1/3)))),IF(IFERROR(AG560,0)=1,MAX($D$16,IFERROR(W560,MAX($D$16,POWER((ABS(K560)^2)/($I$5*MAX(F560,0.1)^2),1/3)))),MAX($D$16,POWER((ABS(K560)^2)/($I$5*MAX(F560,0.1)^2),1/3))))))),MAX($D$16,POWER((ABS(K560)^2)/($I$5*MAX(F560,0.1)^2),1/3)))</f>
        <v>2.1389677043987478</v>
      </c>
      <c r="AI560">
        <f t="shared" ca="1" si="269"/>
        <v>634.45246770439871</v>
      </c>
      <c r="AJ560">
        <f t="shared" ca="1" si="270"/>
        <v>635.52195155659808</v>
      </c>
      <c r="AM560">
        <v>0</v>
      </c>
      <c r="AN560">
        <v>0</v>
      </c>
      <c r="AO560">
        <f t="shared" si="271"/>
        <v>0</v>
      </c>
      <c r="AP560">
        <f t="shared" si="280"/>
        <v>0</v>
      </c>
      <c r="AQ560">
        <f t="shared" ca="1" si="272"/>
        <v>1.0000000000000004</v>
      </c>
      <c r="AR560" t="str">
        <f t="shared" ca="1" si="273"/>
        <v>Supercritical</v>
      </c>
      <c r="AS560">
        <f t="shared" ca="1" si="274"/>
        <v>3.8141460404132466E-3</v>
      </c>
    </row>
    <row r="561" spans="1:45" x14ac:dyDescent="0.35">
      <c r="A561">
        <v>500</v>
      </c>
      <c r="B561">
        <v>498.99599999999998</v>
      </c>
      <c r="C561">
        <v>616206.09</v>
      </c>
      <c r="D561">
        <v>3097479.926</v>
      </c>
      <c r="E561">
        <v>632.31299999999999</v>
      </c>
      <c r="F561">
        <v>5.2</v>
      </c>
      <c r="G561">
        <v>0</v>
      </c>
      <c r="H561" t="s">
        <v>154</v>
      </c>
      <c r="I561">
        <v>7.8E-2</v>
      </c>
      <c r="J561">
        <f t="shared" si="275"/>
        <v>1</v>
      </c>
      <c r="K561">
        <f t="shared" ca="1" si="276"/>
        <v>50.95</v>
      </c>
      <c r="L561">
        <f t="shared" ca="1" si="277"/>
        <v>2.1389677043987478</v>
      </c>
      <c r="M561">
        <f t="shared" ca="1" si="250"/>
        <v>11.122632062873489</v>
      </c>
      <c r="N561">
        <f t="shared" ca="1" si="251"/>
        <v>1.1735290000551568</v>
      </c>
      <c r="O561">
        <f t="shared" ca="1" si="252"/>
        <v>4.5807502857230418</v>
      </c>
      <c r="P561">
        <f t="shared" ca="1" si="253"/>
        <v>634.45196770439873</v>
      </c>
      <c r="Q561">
        <f t="shared" ca="1" si="254"/>
        <v>635.52145155659809</v>
      </c>
      <c r="R561">
        <f t="shared" ca="1" si="255"/>
        <v>3.8141460404132466E-3</v>
      </c>
      <c r="S561">
        <f t="shared" ca="1" si="256"/>
        <v>1.0000000000000004</v>
      </c>
      <c r="T561">
        <f t="shared" ca="1" si="257"/>
        <v>35.686426155594638</v>
      </c>
      <c r="U561">
        <f t="shared" ca="1" si="278"/>
        <v>-3.4531789411857972E-3</v>
      </c>
      <c r="V561">
        <f t="shared" ca="1" si="279"/>
        <v>1</v>
      </c>
      <c r="W561">
        <f t="shared" ca="1" si="258"/>
        <v>1.7069181166614142</v>
      </c>
      <c r="X561">
        <f t="shared" ca="1" si="259"/>
        <v>8.8759742066393539</v>
      </c>
      <c r="Y561">
        <f t="shared" ca="1" si="260"/>
        <v>1.0304321984091638</v>
      </c>
      <c r="Z561">
        <f t="shared" ca="1" si="261"/>
        <v>5.740214968390589</v>
      </c>
      <c r="AA561">
        <f t="shared" ca="1" si="262"/>
        <v>634.01991811666142</v>
      </c>
      <c r="AB561">
        <f t="shared" ca="1" si="263"/>
        <v>635.69933034313112</v>
      </c>
      <c r="AC561">
        <f t="shared" ca="1" si="264"/>
        <v>7.1232732453036995E-3</v>
      </c>
      <c r="AD561">
        <f t="shared" ca="1" si="265"/>
        <v>1.4027727126361982</v>
      </c>
      <c r="AE561">
        <f t="shared" ca="1" si="266"/>
        <v>37.388119797085587</v>
      </c>
      <c r="AF561">
        <f t="shared" ca="1" si="267"/>
        <v>6.6988467954161024E-3</v>
      </c>
      <c r="AG561">
        <f t="shared" ca="1" si="268"/>
        <v>0</v>
      </c>
      <c r="AH561">
        <f ca="1">IFERROR(IF(V32="Supercritical",MAX($D$16,IFERROR(L561,MAX($D$16,POWER((ABS(K561)^2)/($I$5*MAX(F561,0.1)^2),1/3)))),IF(V32="Subcritical",MAX($D$16,IFERROR(W561,MAX($D$16,POWER((ABS(K561)^2)/($I$5*MAX(F561,0.1)^2),1/3)))),IF(AND(IFERROR(V561,0)=1,IFERROR(AG561,0)=1),IF(IFERROR(T561,-1E+99)&gt;=IFERROR(AE561,-1E+99),MAX($D$16,IFERROR(L561,MAX($D$16,POWER((ABS(K561)^2)/($I$5*MAX(F561,0.1)^2),1/3)))),MAX($D$16,IFERROR(W561,MAX($D$16,POWER((ABS(K561)^2)/($I$5*MAX(F561,0.1)^2),1/3))))),IF(IFERROR(V561,0)=1,MAX($D$16,IFERROR(L561,MAX($D$16,POWER((ABS(K561)^2)/($I$5*MAX(F561,0.1)^2),1/3)))),IF(IFERROR(AG561,0)=1,MAX($D$16,IFERROR(W561,MAX($D$16,POWER((ABS(K561)^2)/($I$5*MAX(F561,0.1)^2),1/3)))),MAX($D$16,POWER((ABS(K561)^2)/($I$5*MAX(F561,0.1)^2),1/3))))))),MAX($D$16,POWER((ABS(K561)^2)/($I$5*MAX(F561,0.1)^2),1/3)))</f>
        <v>2.1389677043987478</v>
      </c>
      <c r="AI561">
        <f t="shared" ca="1" si="269"/>
        <v>634.45196770439873</v>
      </c>
      <c r="AJ561">
        <f t="shared" ca="1" si="270"/>
        <v>635.52145155659809</v>
      </c>
      <c r="AM561">
        <v>0</v>
      </c>
      <c r="AN561">
        <v>0</v>
      </c>
      <c r="AO561">
        <f t="shared" si="271"/>
        <v>0</v>
      </c>
      <c r="AP561">
        <f t="shared" si="280"/>
        <v>0</v>
      </c>
      <c r="AQ561">
        <f t="shared" ca="1" si="272"/>
        <v>1.0000000000000004</v>
      </c>
      <c r="AR561" t="str">
        <f t="shared" ca="1" si="273"/>
        <v>Supercritical</v>
      </c>
      <c r="AS561">
        <f t="shared" ca="1" si="274"/>
        <v>3.8141460404132466E-3</v>
      </c>
    </row>
    <row r="562" spans="1:45" x14ac:dyDescent="0.35">
      <c r="A562">
        <v>501</v>
      </c>
      <c r="B562">
        <v>499.99599999999998</v>
      </c>
      <c r="C562">
        <v>616205.61600000004</v>
      </c>
      <c r="D562">
        <v>3097479.0449999999</v>
      </c>
      <c r="E562">
        <v>632.3125</v>
      </c>
      <c r="F562">
        <v>5.2</v>
      </c>
      <c r="G562">
        <v>0</v>
      </c>
      <c r="H562" t="s">
        <v>154</v>
      </c>
      <c r="I562">
        <v>2.7E-2</v>
      </c>
      <c r="J562">
        <f t="shared" si="275"/>
        <v>1</v>
      </c>
      <c r="K562">
        <f t="shared" ca="1" si="276"/>
        <v>50.95</v>
      </c>
      <c r="L562">
        <f t="shared" ca="1" si="277"/>
        <v>2.1389677043987478</v>
      </c>
      <c r="M562">
        <f t="shared" ca="1" si="250"/>
        <v>11.122632062873489</v>
      </c>
      <c r="N562">
        <f t="shared" ca="1" si="251"/>
        <v>1.1735290000551568</v>
      </c>
      <c r="O562">
        <f t="shared" ca="1" si="252"/>
        <v>4.5807502857230418</v>
      </c>
      <c r="P562">
        <f t="shared" ca="1" si="253"/>
        <v>634.45146770439874</v>
      </c>
      <c r="Q562">
        <f t="shared" ca="1" si="254"/>
        <v>635.52095155659811</v>
      </c>
      <c r="R562">
        <f t="shared" ca="1" si="255"/>
        <v>3.8141460404132466E-3</v>
      </c>
      <c r="S562">
        <f t="shared" ca="1" si="256"/>
        <v>1.0000000000000004</v>
      </c>
      <c r="T562">
        <f t="shared" ca="1" si="257"/>
        <v>35.686426155594638</v>
      </c>
      <c r="U562">
        <f t="shared" ca="1" si="278"/>
        <v>-3.3622728137743252E-3</v>
      </c>
      <c r="V562">
        <f t="shared" ca="1" si="279"/>
        <v>1</v>
      </c>
      <c r="W562">
        <f t="shared" ca="1" si="258"/>
        <v>1.7069177333846866</v>
      </c>
      <c r="X562">
        <f t="shared" ca="1" si="259"/>
        <v>8.8759722136003703</v>
      </c>
      <c r="Y562">
        <f t="shared" ca="1" si="260"/>
        <v>1.0304320587318243</v>
      </c>
      <c r="Z562">
        <f t="shared" ca="1" si="261"/>
        <v>5.7402162573166846</v>
      </c>
      <c r="AA562">
        <f t="shared" ca="1" si="262"/>
        <v>634.01941773338467</v>
      </c>
      <c r="AB562">
        <f t="shared" ca="1" si="263"/>
        <v>635.69883071405559</v>
      </c>
      <c r="AC562">
        <f t="shared" ca="1" si="264"/>
        <v>7.1232777317033254E-3</v>
      </c>
      <c r="AD562">
        <f t="shared" ca="1" si="265"/>
        <v>1.402773185110783</v>
      </c>
      <c r="AE562">
        <f t="shared" ca="1" si="266"/>
        <v>37.388123089401198</v>
      </c>
      <c r="AF562">
        <f t="shared" ca="1" si="267"/>
        <v>6.623277731705457E-3</v>
      </c>
      <c r="AG562">
        <f t="shared" ca="1" si="268"/>
        <v>0</v>
      </c>
      <c r="AH562">
        <f ca="1">IFERROR(IF(V32="Supercritical",MAX($D$16,IFERROR(L562,MAX($D$16,POWER((ABS(K562)^2)/($I$5*MAX(F562,0.1)^2),1/3)))),IF(V32="Subcritical",MAX($D$16,IFERROR(W562,MAX($D$16,POWER((ABS(K562)^2)/($I$5*MAX(F562,0.1)^2),1/3)))),IF(AND(IFERROR(V562,0)=1,IFERROR(AG562,0)=1),IF(IFERROR(T562,-1E+99)&gt;=IFERROR(AE562,-1E+99),MAX($D$16,IFERROR(L562,MAX($D$16,POWER((ABS(K562)^2)/($I$5*MAX(F562,0.1)^2),1/3)))),MAX($D$16,IFERROR(W562,MAX($D$16,POWER((ABS(K562)^2)/($I$5*MAX(F562,0.1)^2),1/3))))),IF(IFERROR(V562,0)=1,MAX($D$16,IFERROR(L562,MAX($D$16,POWER((ABS(K562)^2)/($I$5*MAX(F562,0.1)^2),1/3)))),IF(IFERROR(AG562,0)=1,MAX($D$16,IFERROR(W562,MAX($D$16,POWER((ABS(K562)^2)/($I$5*MAX(F562,0.1)^2),1/3)))),MAX($D$16,POWER((ABS(K562)^2)/($I$5*MAX(F562,0.1)^2),1/3))))))),MAX($D$16,POWER((ABS(K562)^2)/($I$5*MAX(F562,0.1)^2),1/3)))</f>
        <v>2.1389677043987478</v>
      </c>
      <c r="AI562">
        <f t="shared" ca="1" si="269"/>
        <v>634.45146770439874</v>
      </c>
      <c r="AJ562">
        <f t="shared" ca="1" si="270"/>
        <v>635.52095155659811</v>
      </c>
      <c r="AM562">
        <v>0</v>
      </c>
      <c r="AN562">
        <v>0</v>
      </c>
      <c r="AO562">
        <f t="shared" si="271"/>
        <v>0</v>
      </c>
      <c r="AP562">
        <f t="shared" si="280"/>
        <v>0</v>
      </c>
      <c r="AQ562">
        <f t="shared" ca="1" si="272"/>
        <v>1.0000000000000004</v>
      </c>
      <c r="AR562" t="str">
        <f t="shared" ca="1" si="273"/>
        <v>Supercritical</v>
      </c>
      <c r="AS562">
        <f t="shared" ca="1" si="274"/>
        <v>3.8141460404132466E-3</v>
      </c>
    </row>
    <row r="563" spans="1:45" x14ac:dyDescent="0.35">
      <c r="A563">
        <v>502</v>
      </c>
      <c r="B563">
        <v>500.99599999999998</v>
      </c>
      <c r="C563">
        <v>616205.14199999999</v>
      </c>
      <c r="D563">
        <v>3097478.165</v>
      </c>
      <c r="E563">
        <v>632.31200000000001</v>
      </c>
      <c r="F563">
        <v>5.2</v>
      </c>
      <c r="G563">
        <v>0</v>
      </c>
      <c r="H563" t="s">
        <v>154</v>
      </c>
      <c r="I563">
        <v>0</v>
      </c>
      <c r="J563">
        <f t="shared" si="275"/>
        <v>1</v>
      </c>
      <c r="K563">
        <f t="shared" ca="1" si="276"/>
        <v>50.95</v>
      </c>
      <c r="L563">
        <f t="shared" ca="1" si="277"/>
        <v>2.1389677043987478</v>
      </c>
      <c r="M563">
        <f t="shared" ca="1" si="250"/>
        <v>11.122632062873489</v>
      </c>
      <c r="N563">
        <f t="shared" ca="1" si="251"/>
        <v>1.1735290000551568</v>
      </c>
      <c r="O563">
        <f t="shared" ca="1" si="252"/>
        <v>4.5807502857230418</v>
      </c>
      <c r="P563">
        <f t="shared" ca="1" si="253"/>
        <v>634.45096770439875</v>
      </c>
      <c r="Q563">
        <f t="shared" ca="1" si="254"/>
        <v>635.52045155659812</v>
      </c>
      <c r="R563">
        <f t="shared" ca="1" si="255"/>
        <v>3.8141460404132466E-3</v>
      </c>
      <c r="S563">
        <f t="shared" ca="1" si="256"/>
        <v>1.0000000000000004</v>
      </c>
      <c r="T563">
        <f t="shared" ca="1" si="257"/>
        <v>35.686426155594638</v>
      </c>
      <c r="U563">
        <f t="shared" ca="1" si="278"/>
        <v>-3.3141460404522149E-3</v>
      </c>
      <c r="V563">
        <f t="shared" ca="1" si="279"/>
        <v>1</v>
      </c>
      <c r="W563">
        <f t="shared" ca="1" si="258"/>
        <v>1.7069173755354525</v>
      </c>
      <c r="X563">
        <f t="shared" ca="1" si="259"/>
        <v>8.8759703527843534</v>
      </c>
      <c r="Y563">
        <f t="shared" ca="1" si="260"/>
        <v>1.0304319283209906</v>
      </c>
      <c r="Z563">
        <f t="shared" ca="1" si="261"/>
        <v>5.7402174607328664</v>
      </c>
      <c r="AA563">
        <f t="shared" ca="1" si="262"/>
        <v>634.01891737553547</v>
      </c>
      <c r="AB563">
        <f t="shared" ca="1" si="263"/>
        <v>635.69833106037254</v>
      </c>
      <c r="AC563">
        <f t="shared" ca="1" si="264"/>
        <v>7.1232819204680529E-3</v>
      </c>
      <c r="AD563">
        <f t="shared" ca="1" si="265"/>
        <v>1.4027736262405148</v>
      </c>
      <c r="AE563">
        <f t="shared" ca="1" si="266"/>
        <v>37.388126163300136</v>
      </c>
      <c r="AF563">
        <f t="shared" ca="1" si="267"/>
        <v>6.6805361631168125E-3</v>
      </c>
      <c r="AG563">
        <f t="shared" ca="1" si="268"/>
        <v>0</v>
      </c>
      <c r="AH563">
        <f ca="1">IFERROR(IF(V32="Supercritical",MAX($D$16,IFERROR(L563,MAX($D$16,POWER((ABS(K563)^2)/($I$5*MAX(F563,0.1)^2),1/3)))),IF(V32="Subcritical",MAX($D$16,IFERROR(W563,MAX($D$16,POWER((ABS(K563)^2)/($I$5*MAX(F563,0.1)^2),1/3)))),IF(AND(IFERROR(V563,0)=1,IFERROR(AG563,0)=1),IF(IFERROR(T563,-1E+99)&gt;=IFERROR(AE563,-1E+99),MAX($D$16,IFERROR(L563,MAX($D$16,POWER((ABS(K563)^2)/($I$5*MAX(F563,0.1)^2),1/3)))),MAX($D$16,IFERROR(W563,MAX($D$16,POWER((ABS(K563)^2)/($I$5*MAX(F563,0.1)^2),1/3))))),IF(IFERROR(V563,0)=1,MAX($D$16,IFERROR(L563,MAX($D$16,POWER((ABS(K563)^2)/($I$5*MAX(F563,0.1)^2),1/3)))),IF(IFERROR(AG563,0)=1,MAX($D$16,IFERROR(W563,MAX($D$16,POWER((ABS(K563)^2)/($I$5*MAX(F563,0.1)^2),1/3)))),MAX($D$16,POWER((ABS(K563)^2)/($I$5*MAX(F563,0.1)^2),1/3))))))),MAX($D$16,POWER((ABS(K563)^2)/($I$5*MAX(F563,0.1)^2),1/3)))</f>
        <v>2.1389677043987478</v>
      </c>
      <c r="AI563">
        <f t="shared" ca="1" si="269"/>
        <v>634.45096770439875</v>
      </c>
      <c r="AJ563">
        <f t="shared" ca="1" si="270"/>
        <v>635.52045155659812</v>
      </c>
      <c r="AM563">
        <v>0</v>
      </c>
      <c r="AN563">
        <v>0</v>
      </c>
      <c r="AO563">
        <f t="shared" si="271"/>
        <v>0</v>
      </c>
      <c r="AP563">
        <f t="shared" si="280"/>
        <v>0</v>
      </c>
      <c r="AQ563">
        <f t="shared" ca="1" si="272"/>
        <v>1.0000000000000004</v>
      </c>
      <c r="AR563" t="str">
        <f t="shared" ca="1" si="273"/>
        <v>Supercritical</v>
      </c>
      <c r="AS563">
        <f t="shared" ca="1" si="274"/>
        <v>3.8141460404132466E-3</v>
      </c>
    </row>
    <row r="564" spans="1:45" x14ac:dyDescent="0.35">
      <c r="A564">
        <v>503</v>
      </c>
      <c r="B564">
        <v>501.995</v>
      </c>
      <c r="C564">
        <v>616204.66799999995</v>
      </c>
      <c r="D564">
        <v>3097477.2850000001</v>
      </c>
      <c r="E564">
        <v>632.31150000000002</v>
      </c>
      <c r="F564">
        <v>5.2</v>
      </c>
      <c r="G564">
        <v>0</v>
      </c>
      <c r="H564" t="s">
        <v>154</v>
      </c>
      <c r="I564">
        <v>2.3E-2</v>
      </c>
      <c r="J564">
        <f t="shared" si="275"/>
        <v>0.99900000000002365</v>
      </c>
      <c r="K564">
        <f t="shared" ca="1" si="276"/>
        <v>50.95</v>
      </c>
      <c r="L564">
        <f t="shared" ca="1" si="277"/>
        <v>2.1389677043987478</v>
      </c>
      <c r="M564">
        <f t="shared" ca="1" si="250"/>
        <v>11.122632062873489</v>
      </c>
      <c r="N564">
        <f t="shared" ca="1" si="251"/>
        <v>1.1735290000551568</v>
      </c>
      <c r="O564">
        <f t="shared" ca="1" si="252"/>
        <v>4.5807502857230418</v>
      </c>
      <c r="P564">
        <f t="shared" ca="1" si="253"/>
        <v>634.45046770439876</v>
      </c>
      <c r="Q564">
        <f t="shared" ca="1" si="254"/>
        <v>635.51995155659813</v>
      </c>
      <c r="R564">
        <f t="shared" ca="1" si="255"/>
        <v>3.8141460404132466E-3</v>
      </c>
      <c r="S564">
        <f t="shared" ca="1" si="256"/>
        <v>1.0000000000000004</v>
      </c>
      <c r="T564">
        <f t="shared" ca="1" si="257"/>
        <v>35.686426155594638</v>
      </c>
      <c r="U564">
        <f t="shared" ca="1" si="278"/>
        <v>-3.3513287753521581E-3</v>
      </c>
      <c r="V564">
        <f t="shared" ca="1" si="279"/>
        <v>1</v>
      </c>
      <c r="W564">
        <f t="shared" ca="1" si="258"/>
        <v>1.7069170414268611</v>
      </c>
      <c r="X564">
        <f t="shared" ca="1" si="259"/>
        <v>8.8759686154196782</v>
      </c>
      <c r="Y564">
        <f t="shared" ca="1" si="260"/>
        <v>1.0304318065619289</v>
      </c>
      <c r="Z564">
        <f t="shared" ca="1" si="261"/>
        <v>5.7402185843117648</v>
      </c>
      <c r="AA564">
        <f t="shared" ca="1" si="262"/>
        <v>634.01841704142691</v>
      </c>
      <c r="AB564">
        <f t="shared" ca="1" si="263"/>
        <v>635.69783138371429</v>
      </c>
      <c r="AC564">
        <f t="shared" ca="1" si="264"/>
        <v>7.1232858313424142E-3</v>
      </c>
      <c r="AD564">
        <f t="shared" ca="1" si="265"/>
        <v>1.4027740381047693</v>
      </c>
      <c r="AE564">
        <f t="shared" ca="1" si="266"/>
        <v>37.388129033271632</v>
      </c>
      <c r="AF564">
        <f t="shared" ca="1" si="267"/>
        <v>6.6947866669124778E-3</v>
      </c>
      <c r="AG564">
        <f t="shared" ca="1" si="268"/>
        <v>0</v>
      </c>
      <c r="AH564">
        <f ca="1">IFERROR(IF(V32="Supercritical",MAX($D$16,IFERROR(L564,MAX($D$16,POWER((ABS(K564)^2)/($I$5*MAX(F564,0.1)^2),1/3)))),IF(V32="Subcritical",MAX($D$16,IFERROR(W564,MAX($D$16,POWER((ABS(K564)^2)/($I$5*MAX(F564,0.1)^2),1/3)))),IF(AND(IFERROR(V564,0)=1,IFERROR(AG564,0)=1),IF(IFERROR(T564,-1E+99)&gt;=IFERROR(AE564,-1E+99),MAX($D$16,IFERROR(L564,MAX($D$16,POWER((ABS(K564)^2)/($I$5*MAX(F564,0.1)^2),1/3)))),MAX($D$16,IFERROR(W564,MAX($D$16,POWER((ABS(K564)^2)/($I$5*MAX(F564,0.1)^2),1/3))))),IF(IFERROR(V564,0)=1,MAX($D$16,IFERROR(L564,MAX($D$16,POWER((ABS(K564)^2)/($I$5*MAX(F564,0.1)^2),1/3)))),IF(IFERROR(AG564,0)=1,MAX($D$16,IFERROR(W564,MAX($D$16,POWER((ABS(K564)^2)/($I$5*MAX(F564,0.1)^2),1/3)))),MAX($D$16,POWER((ABS(K564)^2)/($I$5*MAX(F564,0.1)^2),1/3))))))),MAX($D$16,POWER((ABS(K564)^2)/($I$5*MAX(F564,0.1)^2),1/3)))</f>
        <v>2.1389677043987478</v>
      </c>
      <c r="AI564">
        <f t="shared" ca="1" si="269"/>
        <v>634.45046770439876</v>
      </c>
      <c r="AJ564">
        <f t="shared" ca="1" si="270"/>
        <v>635.51995155659813</v>
      </c>
      <c r="AM564">
        <v>0</v>
      </c>
      <c r="AN564">
        <v>0</v>
      </c>
      <c r="AO564">
        <f t="shared" si="271"/>
        <v>0</v>
      </c>
      <c r="AP564">
        <f t="shared" si="280"/>
        <v>0</v>
      </c>
      <c r="AQ564">
        <f t="shared" ca="1" si="272"/>
        <v>1.0000000000000004</v>
      </c>
      <c r="AR564" t="str">
        <f t="shared" ca="1" si="273"/>
        <v>Supercritical</v>
      </c>
      <c r="AS564">
        <f t="shared" ca="1" si="274"/>
        <v>3.8141460404132466E-3</v>
      </c>
    </row>
    <row r="565" spans="1:45" x14ac:dyDescent="0.35">
      <c r="A565">
        <v>504</v>
      </c>
      <c r="B565">
        <v>502.99599999999998</v>
      </c>
      <c r="C565">
        <v>616204.19299999997</v>
      </c>
      <c r="D565">
        <v>3097476.4040000001</v>
      </c>
      <c r="E565">
        <v>632.31100000000004</v>
      </c>
      <c r="F565">
        <v>5.2</v>
      </c>
      <c r="G565">
        <v>0</v>
      </c>
      <c r="H565" t="s">
        <v>154</v>
      </c>
      <c r="I565">
        <v>2.3E-2</v>
      </c>
      <c r="J565">
        <f t="shared" si="275"/>
        <v>1.0009999999999764</v>
      </c>
      <c r="K565">
        <f t="shared" ca="1" si="276"/>
        <v>50.95</v>
      </c>
      <c r="L565">
        <f t="shared" ca="1" si="277"/>
        <v>2.1389677043987478</v>
      </c>
      <c r="M565">
        <f t="shared" ca="1" si="250"/>
        <v>11.122632062873489</v>
      </c>
      <c r="N565">
        <f t="shared" ca="1" si="251"/>
        <v>1.1735290000551568</v>
      </c>
      <c r="O565">
        <f t="shared" ca="1" si="252"/>
        <v>4.5807502857230418</v>
      </c>
      <c r="P565">
        <f t="shared" ca="1" si="253"/>
        <v>634.44996770439877</v>
      </c>
      <c r="Q565">
        <f t="shared" ca="1" si="254"/>
        <v>635.51945155659814</v>
      </c>
      <c r="R565">
        <f t="shared" ca="1" si="255"/>
        <v>3.8141460404132466E-3</v>
      </c>
      <c r="S565">
        <f t="shared" ca="1" si="256"/>
        <v>1.0000000000000004</v>
      </c>
      <c r="T565">
        <f t="shared" ca="1" si="257"/>
        <v>35.686426155594638</v>
      </c>
      <c r="U565">
        <f t="shared" ca="1" si="278"/>
        <v>-3.3589570674621427E-3</v>
      </c>
      <c r="V565">
        <f t="shared" ca="1" si="279"/>
        <v>1</v>
      </c>
      <c r="W565">
        <f t="shared" ca="1" si="258"/>
        <v>1.7069167294839118</v>
      </c>
      <c r="X565">
        <f t="shared" ca="1" si="259"/>
        <v>8.8759669933163412</v>
      </c>
      <c r="Y565">
        <f t="shared" ca="1" si="260"/>
        <v>1.0304316928806665</v>
      </c>
      <c r="Z565">
        <f t="shared" ca="1" si="261"/>
        <v>5.7402196333498843</v>
      </c>
      <c r="AA565">
        <f t="shared" ca="1" si="262"/>
        <v>634.017916729484</v>
      </c>
      <c r="AB565">
        <f t="shared" ca="1" si="263"/>
        <v>635.69733168560504</v>
      </c>
      <c r="AC565">
        <f t="shared" ca="1" si="264"/>
        <v>7.123289482761792E-3</v>
      </c>
      <c r="AD565">
        <f t="shared" ca="1" si="265"/>
        <v>1.4027744226450487</v>
      </c>
      <c r="AE565">
        <f t="shared" ca="1" si="266"/>
        <v>37.38813171284427</v>
      </c>
      <c r="AF565">
        <f t="shared" ca="1" si="267"/>
        <v>6.6988631557478584E-3</v>
      </c>
      <c r="AG565">
        <f t="shared" ca="1" si="268"/>
        <v>0</v>
      </c>
      <c r="AH565">
        <f ca="1">IFERROR(IF(V32="Supercritical",MAX($D$16,IFERROR(L565,MAX($D$16,POWER((ABS(K565)^2)/($I$5*MAX(F565,0.1)^2),1/3)))),IF(V32="Subcritical",MAX($D$16,IFERROR(W565,MAX($D$16,POWER((ABS(K565)^2)/($I$5*MAX(F565,0.1)^2),1/3)))),IF(AND(IFERROR(V565,0)=1,IFERROR(AG565,0)=1),IF(IFERROR(T565,-1E+99)&gt;=IFERROR(AE565,-1E+99),MAX($D$16,IFERROR(L565,MAX($D$16,POWER((ABS(K565)^2)/($I$5*MAX(F565,0.1)^2),1/3)))),MAX($D$16,IFERROR(W565,MAX($D$16,POWER((ABS(K565)^2)/($I$5*MAX(F565,0.1)^2),1/3))))),IF(IFERROR(V565,0)=1,MAX($D$16,IFERROR(L565,MAX($D$16,POWER((ABS(K565)^2)/($I$5*MAX(F565,0.1)^2),1/3)))),IF(IFERROR(AG565,0)=1,MAX($D$16,IFERROR(W565,MAX($D$16,POWER((ABS(K565)^2)/($I$5*MAX(F565,0.1)^2),1/3)))),MAX($D$16,POWER((ABS(K565)^2)/($I$5*MAX(F565,0.1)^2),1/3))))))),MAX($D$16,POWER((ABS(K565)^2)/($I$5*MAX(F565,0.1)^2),1/3)))</f>
        <v>2.1389677043987478</v>
      </c>
      <c r="AI565">
        <f t="shared" ca="1" si="269"/>
        <v>634.44996770439877</v>
      </c>
      <c r="AJ565">
        <f t="shared" ca="1" si="270"/>
        <v>635.51945155659814</v>
      </c>
      <c r="AM565">
        <v>0</v>
      </c>
      <c r="AN565">
        <v>0</v>
      </c>
      <c r="AO565">
        <f t="shared" si="271"/>
        <v>0</v>
      </c>
      <c r="AP565">
        <f t="shared" si="280"/>
        <v>0</v>
      </c>
      <c r="AQ565">
        <f t="shared" ca="1" si="272"/>
        <v>1.0000000000000004</v>
      </c>
      <c r="AR565" t="str">
        <f t="shared" ca="1" si="273"/>
        <v>Supercritical</v>
      </c>
      <c r="AS565">
        <f t="shared" ca="1" si="274"/>
        <v>3.8141460404132466E-3</v>
      </c>
    </row>
    <row r="566" spans="1:45" x14ac:dyDescent="0.35">
      <c r="A566">
        <v>505</v>
      </c>
      <c r="B566">
        <v>503.99599999999998</v>
      </c>
      <c r="C566">
        <v>616203.71900000004</v>
      </c>
      <c r="D566">
        <v>3097475.5240000002</v>
      </c>
      <c r="E566">
        <v>632.31050000000005</v>
      </c>
      <c r="F566">
        <v>5.2</v>
      </c>
      <c r="G566">
        <v>0</v>
      </c>
      <c r="H566" t="s">
        <v>154</v>
      </c>
      <c r="I566">
        <v>2.7E-2</v>
      </c>
      <c r="J566">
        <f t="shared" si="275"/>
        <v>1</v>
      </c>
      <c r="K566">
        <f t="shared" ca="1" si="276"/>
        <v>50.95</v>
      </c>
      <c r="L566">
        <f t="shared" ca="1" si="277"/>
        <v>2.1389677043987478</v>
      </c>
      <c r="M566">
        <f t="shared" ca="1" si="250"/>
        <v>11.122632062873489</v>
      </c>
      <c r="N566">
        <f t="shared" ca="1" si="251"/>
        <v>1.1735290000551568</v>
      </c>
      <c r="O566">
        <f t="shared" ca="1" si="252"/>
        <v>4.5807502857230418</v>
      </c>
      <c r="P566">
        <f t="shared" ca="1" si="253"/>
        <v>634.44946770439878</v>
      </c>
      <c r="Q566">
        <f t="shared" ca="1" si="254"/>
        <v>635.51895155659815</v>
      </c>
      <c r="R566">
        <f t="shared" ca="1" si="255"/>
        <v>3.8141460404132466E-3</v>
      </c>
      <c r="S566">
        <f t="shared" ca="1" si="256"/>
        <v>1.0000000000000004</v>
      </c>
      <c r="T566">
        <f t="shared" ca="1" si="257"/>
        <v>35.686426155594638</v>
      </c>
      <c r="U566">
        <f t="shared" ca="1" si="278"/>
        <v>-3.3622728137743252E-3</v>
      </c>
      <c r="V566">
        <f t="shared" ca="1" si="279"/>
        <v>1</v>
      </c>
      <c r="W566">
        <f t="shared" ca="1" si="258"/>
        <v>1.7069164382361564</v>
      </c>
      <c r="X566">
        <f t="shared" ca="1" si="259"/>
        <v>8.8759654788280127</v>
      </c>
      <c r="Y566">
        <f t="shared" ca="1" si="260"/>
        <v>1.0304315867413316</v>
      </c>
      <c r="Z566">
        <f t="shared" ca="1" si="261"/>
        <v>5.7402206127921387</v>
      </c>
      <c r="AA566">
        <f t="shared" ca="1" si="262"/>
        <v>634.01741643823618</v>
      </c>
      <c r="AB566">
        <f t="shared" ca="1" si="263"/>
        <v>635.6968319674678</v>
      </c>
      <c r="AC566">
        <f t="shared" ca="1" si="264"/>
        <v>7.1232928919378576E-3</v>
      </c>
      <c r="AD566">
        <f t="shared" ca="1" si="265"/>
        <v>1.4027747816739768</v>
      </c>
      <c r="AE566">
        <f t="shared" ca="1" si="266"/>
        <v>37.388134214648595</v>
      </c>
      <c r="AF566">
        <f t="shared" ca="1" si="267"/>
        <v>6.6988665906819733E-3</v>
      </c>
      <c r="AG566">
        <f t="shared" ca="1" si="268"/>
        <v>0</v>
      </c>
      <c r="AH566">
        <f ca="1">IFERROR(IF(V32="Supercritical",MAX($D$16,IFERROR(L566,MAX($D$16,POWER((ABS(K566)^2)/($I$5*MAX(F566,0.1)^2),1/3)))),IF(V32="Subcritical",MAX($D$16,IFERROR(W566,MAX($D$16,POWER((ABS(K566)^2)/($I$5*MAX(F566,0.1)^2),1/3)))),IF(AND(IFERROR(V566,0)=1,IFERROR(AG566,0)=1),IF(IFERROR(T566,-1E+99)&gt;=IFERROR(AE566,-1E+99),MAX($D$16,IFERROR(L566,MAX($D$16,POWER((ABS(K566)^2)/($I$5*MAX(F566,0.1)^2),1/3)))),MAX($D$16,IFERROR(W566,MAX($D$16,POWER((ABS(K566)^2)/($I$5*MAX(F566,0.1)^2),1/3))))),IF(IFERROR(V566,0)=1,MAX($D$16,IFERROR(L566,MAX($D$16,POWER((ABS(K566)^2)/($I$5*MAX(F566,0.1)^2),1/3)))),IF(IFERROR(AG566,0)=1,MAX($D$16,IFERROR(W566,MAX($D$16,POWER((ABS(K566)^2)/($I$5*MAX(F566,0.1)^2),1/3)))),MAX($D$16,POWER((ABS(K566)^2)/($I$5*MAX(F566,0.1)^2),1/3))))))),MAX($D$16,POWER((ABS(K566)^2)/($I$5*MAX(F566,0.1)^2),1/3)))</f>
        <v>2.1389677043987478</v>
      </c>
      <c r="AI566">
        <f t="shared" ca="1" si="269"/>
        <v>634.44946770439878</v>
      </c>
      <c r="AJ566">
        <f t="shared" ca="1" si="270"/>
        <v>635.51895155659815</v>
      </c>
      <c r="AM566">
        <v>0</v>
      </c>
      <c r="AN566">
        <v>0</v>
      </c>
      <c r="AO566">
        <f t="shared" si="271"/>
        <v>0</v>
      </c>
      <c r="AP566">
        <f t="shared" si="280"/>
        <v>0</v>
      </c>
      <c r="AQ566">
        <f t="shared" ca="1" si="272"/>
        <v>1.0000000000000004</v>
      </c>
      <c r="AR566" t="str">
        <f t="shared" ca="1" si="273"/>
        <v>Supercritical</v>
      </c>
      <c r="AS566">
        <f t="shared" ca="1" si="274"/>
        <v>3.8141460404132466E-3</v>
      </c>
    </row>
    <row r="567" spans="1:45" x14ac:dyDescent="0.35">
      <c r="A567">
        <v>506</v>
      </c>
      <c r="B567">
        <v>504.99599999999998</v>
      </c>
      <c r="C567">
        <v>616203.245</v>
      </c>
      <c r="D567">
        <v>3097474.6430000002</v>
      </c>
      <c r="E567">
        <v>632.30999999999995</v>
      </c>
      <c r="F567">
        <v>5.2</v>
      </c>
      <c r="G567">
        <v>0</v>
      </c>
      <c r="H567" t="s">
        <v>154</v>
      </c>
      <c r="I567">
        <v>2.7E-2</v>
      </c>
      <c r="J567">
        <f t="shared" si="275"/>
        <v>1</v>
      </c>
      <c r="K567">
        <f t="shared" ca="1" si="276"/>
        <v>50.95</v>
      </c>
      <c r="L567">
        <f t="shared" ca="1" si="277"/>
        <v>2.1389677043987478</v>
      </c>
      <c r="M567">
        <f t="shared" ca="1" si="250"/>
        <v>11.122632062873489</v>
      </c>
      <c r="N567">
        <f t="shared" ca="1" si="251"/>
        <v>1.1735290000551568</v>
      </c>
      <c r="O567">
        <f t="shared" ca="1" si="252"/>
        <v>4.5807502857230418</v>
      </c>
      <c r="P567">
        <f t="shared" ca="1" si="253"/>
        <v>634.44896770439868</v>
      </c>
      <c r="Q567">
        <f t="shared" ca="1" si="254"/>
        <v>635.51845155659805</v>
      </c>
      <c r="R567">
        <f t="shared" ca="1" si="255"/>
        <v>3.8141460404132466E-3</v>
      </c>
      <c r="S567">
        <f t="shared" ca="1" si="256"/>
        <v>1.0000000000000004</v>
      </c>
      <c r="T567">
        <f t="shared" ca="1" si="257"/>
        <v>35.686426155594638</v>
      </c>
      <c r="U567">
        <f t="shared" ca="1" si="278"/>
        <v>-3.3622728136606383E-3</v>
      </c>
      <c r="V567">
        <f t="shared" ca="1" si="279"/>
        <v>1</v>
      </c>
      <c r="W567">
        <f t="shared" ca="1" si="258"/>
        <v>1.7069161663105874</v>
      </c>
      <c r="X567">
        <f t="shared" ca="1" si="259"/>
        <v>8.8759640648150544</v>
      </c>
      <c r="Y567">
        <f t="shared" ca="1" si="260"/>
        <v>1.0304314876435623</v>
      </c>
      <c r="Z567">
        <f t="shared" ca="1" si="261"/>
        <v>5.7402215272557697</v>
      </c>
      <c r="AA567">
        <f t="shared" ca="1" si="262"/>
        <v>634.01691616631058</v>
      </c>
      <c r="AB567">
        <f t="shared" ca="1" si="263"/>
        <v>635.69633223063124</v>
      </c>
      <c r="AC567">
        <f t="shared" ca="1" si="264"/>
        <v>7.1232960749417502E-3</v>
      </c>
      <c r="AD567">
        <f t="shared" ca="1" si="265"/>
        <v>1.402775116884065</v>
      </c>
      <c r="AE567">
        <f t="shared" ca="1" si="266"/>
        <v>37.388136550478222</v>
      </c>
      <c r="AF567">
        <f t="shared" ca="1" si="267"/>
        <v>6.7632474136871679E-3</v>
      </c>
      <c r="AG567">
        <f t="shared" ca="1" si="268"/>
        <v>0</v>
      </c>
      <c r="AH567">
        <f ca="1">IFERROR(IF(V32="Supercritical",MAX($D$16,IFERROR(L567,MAX($D$16,POWER((ABS(K567)^2)/($I$5*MAX(F567,0.1)^2),1/3)))),IF(V32="Subcritical",MAX($D$16,IFERROR(W567,MAX($D$16,POWER((ABS(K567)^2)/($I$5*MAX(F567,0.1)^2),1/3)))),IF(AND(IFERROR(V567,0)=1,IFERROR(AG567,0)=1),IF(IFERROR(T567,-1E+99)&gt;=IFERROR(AE567,-1E+99),MAX($D$16,IFERROR(L567,MAX($D$16,POWER((ABS(K567)^2)/($I$5*MAX(F567,0.1)^2),1/3)))),MAX($D$16,IFERROR(W567,MAX($D$16,POWER((ABS(K567)^2)/($I$5*MAX(F567,0.1)^2),1/3))))),IF(IFERROR(V567,0)=1,MAX($D$16,IFERROR(L567,MAX($D$16,POWER((ABS(K567)^2)/($I$5*MAX(F567,0.1)^2),1/3)))),IF(IFERROR(AG567,0)=1,MAX($D$16,IFERROR(W567,MAX($D$16,POWER((ABS(K567)^2)/($I$5*MAX(F567,0.1)^2),1/3)))),MAX($D$16,POWER((ABS(K567)^2)/($I$5*MAX(F567,0.1)^2),1/3))))))),MAX($D$16,POWER((ABS(K567)^2)/($I$5*MAX(F567,0.1)^2),1/3)))</f>
        <v>2.1389677043987478</v>
      </c>
      <c r="AI567">
        <f t="shared" ca="1" si="269"/>
        <v>634.44896770439868</v>
      </c>
      <c r="AJ567">
        <f t="shared" ca="1" si="270"/>
        <v>635.51845155659805</v>
      </c>
      <c r="AM567">
        <v>0</v>
      </c>
      <c r="AN567">
        <v>0</v>
      </c>
      <c r="AO567">
        <f t="shared" si="271"/>
        <v>0</v>
      </c>
      <c r="AP567">
        <f t="shared" si="280"/>
        <v>0</v>
      </c>
      <c r="AQ567">
        <f t="shared" ca="1" si="272"/>
        <v>1.0000000000000004</v>
      </c>
      <c r="AR567" t="str">
        <f t="shared" ca="1" si="273"/>
        <v>Supercritical</v>
      </c>
      <c r="AS567">
        <f t="shared" ca="1" si="274"/>
        <v>3.8141460404132466E-3</v>
      </c>
    </row>
    <row r="568" spans="1:45" x14ac:dyDescent="0.35">
      <c r="A568">
        <v>507</v>
      </c>
      <c r="B568">
        <v>505.99599999999998</v>
      </c>
      <c r="C568">
        <v>616202.77099999995</v>
      </c>
      <c r="D568">
        <v>3097473.7629999998</v>
      </c>
      <c r="E568">
        <v>632.30949999999996</v>
      </c>
      <c r="F568">
        <v>5.2</v>
      </c>
      <c r="G568">
        <v>0</v>
      </c>
      <c r="H568" t="s">
        <v>154</v>
      </c>
      <c r="I568">
        <v>0.05</v>
      </c>
      <c r="J568">
        <f t="shared" si="275"/>
        <v>1</v>
      </c>
      <c r="K568">
        <f t="shared" ca="1" si="276"/>
        <v>50.95</v>
      </c>
      <c r="L568">
        <f t="shared" ca="1" si="277"/>
        <v>2.1389677043987478</v>
      </c>
      <c r="M568">
        <f t="shared" ca="1" si="250"/>
        <v>11.122632062873489</v>
      </c>
      <c r="N568">
        <f t="shared" ca="1" si="251"/>
        <v>1.1735290000551568</v>
      </c>
      <c r="O568">
        <f t="shared" ca="1" si="252"/>
        <v>4.5807502857230418</v>
      </c>
      <c r="P568">
        <f t="shared" ca="1" si="253"/>
        <v>634.44846770439869</v>
      </c>
      <c r="Q568">
        <f t="shared" ca="1" si="254"/>
        <v>635.51795155659806</v>
      </c>
      <c r="R568">
        <f t="shared" ca="1" si="255"/>
        <v>3.8141460404132466E-3</v>
      </c>
      <c r="S568">
        <f t="shared" ca="1" si="256"/>
        <v>1.0000000000000004</v>
      </c>
      <c r="T568">
        <f t="shared" ca="1" si="257"/>
        <v>35.686426155594638</v>
      </c>
      <c r="U568">
        <f t="shared" ca="1" si="278"/>
        <v>-3.4032696947861041E-3</v>
      </c>
      <c r="V568">
        <f t="shared" ca="1" si="279"/>
        <v>1</v>
      </c>
      <c r="W568">
        <f t="shared" ca="1" si="258"/>
        <v>1.7069159124253972</v>
      </c>
      <c r="X568">
        <f t="shared" ca="1" si="259"/>
        <v>8.8759627446120657</v>
      </c>
      <c r="Y568">
        <f t="shared" ca="1" si="260"/>
        <v>1.0304313951202329</v>
      </c>
      <c r="Z568">
        <f t="shared" ca="1" si="261"/>
        <v>5.7402223810513338</v>
      </c>
      <c r="AA568">
        <f t="shared" ca="1" si="262"/>
        <v>634.01641591242537</v>
      </c>
      <c r="AB568">
        <f t="shared" ca="1" si="263"/>
        <v>635.6958324763358</v>
      </c>
      <c r="AC568">
        <f t="shared" ca="1" si="264"/>
        <v>7.1232990467771668E-3</v>
      </c>
      <c r="AD568">
        <f t="shared" ca="1" si="265"/>
        <v>1.4027754298554056</v>
      </c>
      <c r="AE568">
        <f t="shared" ca="1" si="266"/>
        <v>37.388138731343446</v>
      </c>
      <c r="AF568">
        <f t="shared" ca="1" si="267"/>
        <v>6.8416231999890442E-3</v>
      </c>
      <c r="AG568">
        <f t="shared" ca="1" si="268"/>
        <v>0</v>
      </c>
      <c r="AH568">
        <f ca="1">IFERROR(IF(V32="Supercritical",MAX($D$16,IFERROR(L568,MAX($D$16,POWER((ABS(K568)^2)/($I$5*MAX(F568,0.1)^2),1/3)))),IF(V32="Subcritical",MAX($D$16,IFERROR(W568,MAX($D$16,POWER((ABS(K568)^2)/($I$5*MAX(F568,0.1)^2),1/3)))),IF(AND(IFERROR(V568,0)=1,IFERROR(AG568,0)=1),IF(IFERROR(T568,-1E+99)&gt;=IFERROR(AE568,-1E+99),MAX($D$16,IFERROR(L568,MAX($D$16,POWER((ABS(K568)^2)/($I$5*MAX(F568,0.1)^2),1/3)))),MAX($D$16,IFERROR(W568,MAX($D$16,POWER((ABS(K568)^2)/($I$5*MAX(F568,0.1)^2),1/3))))),IF(IFERROR(V568,0)=1,MAX($D$16,IFERROR(L568,MAX($D$16,POWER((ABS(K568)^2)/($I$5*MAX(F568,0.1)^2),1/3)))),IF(IFERROR(AG568,0)=1,MAX($D$16,IFERROR(W568,MAX($D$16,POWER((ABS(K568)^2)/($I$5*MAX(F568,0.1)^2),1/3)))),MAX($D$16,POWER((ABS(K568)^2)/($I$5*MAX(F568,0.1)^2),1/3))))))),MAX($D$16,POWER((ABS(K568)^2)/($I$5*MAX(F568,0.1)^2),1/3)))</f>
        <v>2.1389677043987478</v>
      </c>
      <c r="AI568">
        <f t="shared" ca="1" si="269"/>
        <v>634.44846770439869</v>
      </c>
      <c r="AJ568">
        <f t="shared" ca="1" si="270"/>
        <v>635.51795155659806</v>
      </c>
      <c r="AM568">
        <v>0</v>
      </c>
      <c r="AN568">
        <v>0</v>
      </c>
      <c r="AO568">
        <f t="shared" si="271"/>
        <v>0</v>
      </c>
      <c r="AP568">
        <f t="shared" si="280"/>
        <v>0</v>
      </c>
      <c r="AQ568">
        <f t="shared" ca="1" si="272"/>
        <v>1.0000000000000004</v>
      </c>
      <c r="AR568" t="str">
        <f t="shared" ca="1" si="273"/>
        <v>Supercritical</v>
      </c>
      <c r="AS568">
        <f t="shared" ca="1" si="274"/>
        <v>3.8141460404132466E-3</v>
      </c>
    </row>
    <row r="569" spans="1:45" x14ac:dyDescent="0.35">
      <c r="A569">
        <v>508</v>
      </c>
      <c r="B569">
        <v>506.99599999999998</v>
      </c>
      <c r="C569">
        <v>616202.29599999997</v>
      </c>
      <c r="D569">
        <v>3097472.8829999999</v>
      </c>
      <c r="E569">
        <v>632.30899999999997</v>
      </c>
      <c r="F569">
        <v>5.2</v>
      </c>
      <c r="G569">
        <v>0</v>
      </c>
      <c r="H569" t="s">
        <v>154</v>
      </c>
      <c r="I569">
        <v>7.8E-2</v>
      </c>
      <c r="J569">
        <f t="shared" si="275"/>
        <v>1</v>
      </c>
      <c r="K569">
        <f t="shared" ca="1" si="276"/>
        <v>50.95</v>
      </c>
      <c r="L569">
        <f t="shared" ca="1" si="277"/>
        <v>2.1389677043987478</v>
      </c>
      <c r="M569">
        <f t="shared" ca="1" si="250"/>
        <v>11.122632062873489</v>
      </c>
      <c r="N569">
        <f t="shared" ca="1" si="251"/>
        <v>1.1735290000551568</v>
      </c>
      <c r="O569">
        <f t="shared" ca="1" si="252"/>
        <v>4.5807502857230418</v>
      </c>
      <c r="P569">
        <f t="shared" ca="1" si="253"/>
        <v>634.44796770439871</v>
      </c>
      <c r="Q569">
        <f t="shared" ca="1" si="254"/>
        <v>635.51745155659808</v>
      </c>
      <c r="R569">
        <f t="shared" ca="1" si="255"/>
        <v>3.8141460404132466E-3</v>
      </c>
      <c r="S569">
        <f t="shared" ca="1" si="256"/>
        <v>1.0000000000000004</v>
      </c>
      <c r="T569">
        <f t="shared" ca="1" si="257"/>
        <v>35.686426155594638</v>
      </c>
      <c r="U569">
        <f t="shared" ca="1" si="278"/>
        <v>-3.4531789411857972E-3</v>
      </c>
      <c r="V569">
        <f t="shared" ca="1" si="279"/>
        <v>1</v>
      </c>
      <c r="W569">
        <f t="shared" ca="1" si="258"/>
        <v>1.7069156753837362</v>
      </c>
      <c r="X569">
        <f t="shared" ca="1" si="259"/>
        <v>8.8759615119954294</v>
      </c>
      <c r="Y569">
        <f t="shared" ca="1" si="260"/>
        <v>1.0304313087351775</v>
      </c>
      <c r="Z569">
        <f t="shared" ca="1" si="261"/>
        <v>5.7402231782036868</v>
      </c>
      <c r="AA569">
        <f t="shared" ca="1" si="262"/>
        <v>634.01591567538367</v>
      </c>
      <c r="AB569">
        <f t="shared" ca="1" si="263"/>
        <v>635.69533270573982</v>
      </c>
      <c r="AC569">
        <f t="shared" ca="1" si="264"/>
        <v>7.1233018214533865E-3</v>
      </c>
      <c r="AD569">
        <f t="shared" ca="1" si="265"/>
        <v>1.4027757220633632</v>
      </c>
      <c r="AE569">
        <f t="shared" ca="1" si="266"/>
        <v>37.388140767524803</v>
      </c>
      <c r="AF569">
        <f t="shared" ca="1" si="267"/>
        <v>6.6988755878583106E-3</v>
      </c>
      <c r="AG569">
        <f t="shared" ca="1" si="268"/>
        <v>0</v>
      </c>
      <c r="AH569">
        <f ca="1">IFERROR(IF(V32="Supercritical",MAX($D$16,IFERROR(L569,MAX($D$16,POWER((ABS(K569)^2)/($I$5*MAX(F569,0.1)^2),1/3)))),IF(V32="Subcritical",MAX($D$16,IFERROR(W569,MAX($D$16,POWER((ABS(K569)^2)/($I$5*MAX(F569,0.1)^2),1/3)))),IF(AND(IFERROR(V569,0)=1,IFERROR(AG569,0)=1),IF(IFERROR(T569,-1E+99)&gt;=IFERROR(AE569,-1E+99),MAX($D$16,IFERROR(L569,MAX($D$16,POWER((ABS(K569)^2)/($I$5*MAX(F569,0.1)^2),1/3)))),MAX($D$16,IFERROR(W569,MAX($D$16,POWER((ABS(K569)^2)/($I$5*MAX(F569,0.1)^2),1/3))))),IF(IFERROR(V569,0)=1,MAX($D$16,IFERROR(L569,MAX($D$16,POWER((ABS(K569)^2)/($I$5*MAX(F569,0.1)^2),1/3)))),IF(IFERROR(AG569,0)=1,MAX($D$16,IFERROR(W569,MAX($D$16,POWER((ABS(K569)^2)/($I$5*MAX(F569,0.1)^2),1/3)))),MAX($D$16,POWER((ABS(K569)^2)/($I$5*MAX(F569,0.1)^2),1/3))))))),MAX($D$16,POWER((ABS(K569)^2)/($I$5*MAX(F569,0.1)^2),1/3)))</f>
        <v>2.1389677043987478</v>
      </c>
      <c r="AI569">
        <f t="shared" ca="1" si="269"/>
        <v>634.44796770439871</v>
      </c>
      <c r="AJ569">
        <f t="shared" ca="1" si="270"/>
        <v>635.51745155659808</v>
      </c>
      <c r="AM569">
        <v>0</v>
      </c>
      <c r="AN569">
        <v>0</v>
      </c>
      <c r="AO569">
        <f t="shared" si="271"/>
        <v>0</v>
      </c>
      <c r="AP569">
        <f t="shared" si="280"/>
        <v>0</v>
      </c>
      <c r="AQ569">
        <f t="shared" ca="1" si="272"/>
        <v>1.0000000000000004</v>
      </c>
      <c r="AR569" t="str">
        <f t="shared" ca="1" si="273"/>
        <v>Supercritical</v>
      </c>
      <c r="AS569">
        <f t="shared" ca="1" si="274"/>
        <v>3.8141460404132466E-3</v>
      </c>
    </row>
    <row r="570" spans="1:45" x14ac:dyDescent="0.35">
      <c r="A570">
        <v>509</v>
      </c>
      <c r="B570">
        <v>507.99599999999998</v>
      </c>
      <c r="C570">
        <v>616201.82200000004</v>
      </c>
      <c r="D570">
        <v>3097472.0019999999</v>
      </c>
      <c r="E570">
        <v>632.30849999999998</v>
      </c>
      <c r="F570">
        <v>5.2</v>
      </c>
      <c r="G570">
        <v>0</v>
      </c>
      <c r="H570" t="s">
        <v>154</v>
      </c>
      <c r="I570">
        <v>2.7E-2</v>
      </c>
      <c r="J570">
        <f t="shared" si="275"/>
        <v>1</v>
      </c>
      <c r="K570">
        <f t="shared" ca="1" si="276"/>
        <v>50.95</v>
      </c>
      <c r="L570">
        <f t="shared" ca="1" si="277"/>
        <v>2.1389677043987478</v>
      </c>
      <c r="M570">
        <f t="shared" ca="1" si="250"/>
        <v>11.122632062873489</v>
      </c>
      <c r="N570">
        <f t="shared" ca="1" si="251"/>
        <v>1.1735290000551568</v>
      </c>
      <c r="O570">
        <f t="shared" ca="1" si="252"/>
        <v>4.5807502857230418</v>
      </c>
      <c r="P570">
        <f t="shared" ca="1" si="253"/>
        <v>634.44746770439872</v>
      </c>
      <c r="Q570">
        <f t="shared" ca="1" si="254"/>
        <v>635.51695155659809</v>
      </c>
      <c r="R570">
        <f t="shared" ca="1" si="255"/>
        <v>3.8141460404132466E-3</v>
      </c>
      <c r="S570">
        <f t="shared" ca="1" si="256"/>
        <v>1.0000000000000004</v>
      </c>
      <c r="T570">
        <f t="shared" ca="1" si="257"/>
        <v>35.686426155594638</v>
      </c>
      <c r="U570">
        <f t="shared" ca="1" si="278"/>
        <v>-3.3622728137743252E-3</v>
      </c>
      <c r="V570">
        <f t="shared" ca="1" si="279"/>
        <v>1</v>
      </c>
      <c r="W570">
        <f t="shared" ca="1" si="258"/>
        <v>1.7069154540681708</v>
      </c>
      <c r="X570">
        <f t="shared" ca="1" si="259"/>
        <v>8.8759603611544886</v>
      </c>
      <c r="Y570">
        <f t="shared" ca="1" si="260"/>
        <v>1.030431228081172</v>
      </c>
      <c r="Z570">
        <f t="shared" ca="1" si="261"/>
        <v>5.7402239224706246</v>
      </c>
      <c r="AA570">
        <f t="shared" ca="1" si="262"/>
        <v>634.01541545406815</v>
      </c>
      <c r="AB570">
        <f t="shared" ca="1" si="263"/>
        <v>635.69483291992458</v>
      </c>
      <c r="AC570">
        <f t="shared" ca="1" si="264"/>
        <v>7.1233044120501523E-3</v>
      </c>
      <c r="AD570">
        <f t="shared" ca="1" si="265"/>
        <v>1.4027759948854102</v>
      </c>
      <c r="AE570">
        <f t="shared" ca="1" si="266"/>
        <v>37.388142668620745</v>
      </c>
      <c r="AF570">
        <f t="shared" ca="1" si="267"/>
        <v>6.6988781979944179E-3</v>
      </c>
      <c r="AG570">
        <f t="shared" ca="1" si="268"/>
        <v>0</v>
      </c>
      <c r="AH570">
        <f ca="1">IFERROR(IF(V32="Supercritical",MAX($D$16,IFERROR(L570,MAX($D$16,POWER((ABS(K570)^2)/($I$5*MAX(F570,0.1)^2),1/3)))),IF(V32="Subcritical",MAX($D$16,IFERROR(W570,MAX($D$16,POWER((ABS(K570)^2)/($I$5*MAX(F570,0.1)^2),1/3)))),IF(AND(IFERROR(V570,0)=1,IFERROR(AG570,0)=1),IF(IFERROR(T570,-1E+99)&gt;=IFERROR(AE570,-1E+99),MAX($D$16,IFERROR(L570,MAX($D$16,POWER((ABS(K570)^2)/($I$5*MAX(F570,0.1)^2),1/3)))),MAX($D$16,IFERROR(W570,MAX($D$16,POWER((ABS(K570)^2)/($I$5*MAX(F570,0.1)^2),1/3))))),IF(IFERROR(V570,0)=1,MAX($D$16,IFERROR(L570,MAX($D$16,POWER((ABS(K570)^2)/($I$5*MAX(F570,0.1)^2),1/3)))),IF(IFERROR(AG570,0)=1,MAX($D$16,IFERROR(W570,MAX($D$16,POWER((ABS(K570)^2)/($I$5*MAX(F570,0.1)^2),1/3)))),MAX($D$16,POWER((ABS(K570)^2)/($I$5*MAX(F570,0.1)^2),1/3))))))),MAX($D$16,POWER((ABS(K570)^2)/($I$5*MAX(F570,0.1)^2),1/3)))</f>
        <v>2.1389677043987478</v>
      </c>
      <c r="AI570">
        <f t="shared" ca="1" si="269"/>
        <v>634.44746770439872</v>
      </c>
      <c r="AJ570">
        <f t="shared" ca="1" si="270"/>
        <v>635.51695155659809</v>
      </c>
      <c r="AM570">
        <v>0</v>
      </c>
      <c r="AN570">
        <v>0</v>
      </c>
      <c r="AO570">
        <f t="shared" si="271"/>
        <v>0</v>
      </c>
      <c r="AP570">
        <f t="shared" si="280"/>
        <v>0</v>
      </c>
      <c r="AQ570">
        <f t="shared" ca="1" si="272"/>
        <v>1.0000000000000004</v>
      </c>
      <c r="AR570" t="str">
        <f t="shared" ca="1" si="273"/>
        <v>Supercritical</v>
      </c>
      <c r="AS570">
        <f t="shared" ca="1" si="274"/>
        <v>3.8141460404132466E-3</v>
      </c>
    </row>
    <row r="571" spans="1:45" x14ac:dyDescent="0.35">
      <c r="A571">
        <v>510</v>
      </c>
      <c r="B571">
        <v>508.99599999999998</v>
      </c>
      <c r="C571">
        <v>616201.348</v>
      </c>
      <c r="D571">
        <v>3097471.122</v>
      </c>
      <c r="E571">
        <v>632.30799999999999</v>
      </c>
      <c r="F571">
        <v>5.2</v>
      </c>
      <c r="G571">
        <v>0</v>
      </c>
      <c r="H571" t="s">
        <v>154</v>
      </c>
      <c r="I571">
        <v>2.7E-2</v>
      </c>
      <c r="J571">
        <f t="shared" si="275"/>
        <v>1</v>
      </c>
      <c r="K571">
        <f t="shared" ca="1" si="276"/>
        <v>50.95</v>
      </c>
      <c r="L571">
        <f t="shared" ca="1" si="277"/>
        <v>2.1389677043987478</v>
      </c>
      <c r="M571">
        <f t="shared" ca="1" si="250"/>
        <v>11.122632062873489</v>
      </c>
      <c r="N571">
        <f t="shared" ca="1" si="251"/>
        <v>1.1735290000551568</v>
      </c>
      <c r="O571">
        <f t="shared" ca="1" si="252"/>
        <v>4.5807502857230418</v>
      </c>
      <c r="P571">
        <f t="shared" ca="1" si="253"/>
        <v>634.44696770439873</v>
      </c>
      <c r="Q571">
        <f t="shared" ca="1" si="254"/>
        <v>635.5164515565981</v>
      </c>
      <c r="R571">
        <f t="shared" ca="1" si="255"/>
        <v>3.8141460404132466E-3</v>
      </c>
      <c r="S571">
        <f t="shared" ca="1" si="256"/>
        <v>1.0000000000000004</v>
      </c>
      <c r="T571">
        <f t="shared" ca="1" si="257"/>
        <v>35.686426155594638</v>
      </c>
      <c r="U571">
        <f t="shared" ca="1" si="278"/>
        <v>-3.3622728137743252E-3</v>
      </c>
      <c r="V571">
        <f t="shared" ca="1" si="279"/>
        <v>1</v>
      </c>
      <c r="W571">
        <f t="shared" ca="1" si="258"/>
        <v>1.7069152474354141</v>
      </c>
      <c r="X571">
        <f t="shared" ca="1" si="259"/>
        <v>8.8759592866641537</v>
      </c>
      <c r="Y571">
        <f t="shared" ca="1" si="260"/>
        <v>1.0304311527780134</v>
      </c>
      <c r="Z571">
        <f t="shared" ca="1" si="261"/>
        <v>5.7402246173605995</v>
      </c>
      <c r="AA571">
        <f t="shared" ca="1" si="262"/>
        <v>634.0149152474354</v>
      </c>
      <c r="AB571">
        <f t="shared" ca="1" si="263"/>
        <v>635.69433311989985</v>
      </c>
      <c r="AC571">
        <f t="shared" ca="1" si="264"/>
        <v>7.1233068307793249E-3</v>
      </c>
      <c r="AD571">
        <f t="shared" ca="1" si="265"/>
        <v>1.4027762496076177</v>
      </c>
      <c r="AE571">
        <f t="shared" ca="1" si="266"/>
        <v>37.3881444435928</v>
      </c>
      <c r="AF571">
        <f t="shared" ca="1" si="267"/>
        <v>6.6988806349854713E-3</v>
      </c>
      <c r="AG571">
        <f t="shared" ca="1" si="268"/>
        <v>0</v>
      </c>
      <c r="AH571">
        <f ca="1">IFERROR(IF(V32="Supercritical",MAX($D$16,IFERROR(L571,MAX($D$16,POWER((ABS(K571)^2)/($I$5*MAX(F571,0.1)^2),1/3)))),IF(V32="Subcritical",MAX($D$16,IFERROR(W571,MAX($D$16,POWER((ABS(K571)^2)/($I$5*MAX(F571,0.1)^2),1/3)))),IF(AND(IFERROR(V571,0)=1,IFERROR(AG571,0)=1),IF(IFERROR(T571,-1E+99)&gt;=IFERROR(AE571,-1E+99),MAX($D$16,IFERROR(L571,MAX($D$16,POWER((ABS(K571)^2)/($I$5*MAX(F571,0.1)^2),1/3)))),MAX($D$16,IFERROR(W571,MAX($D$16,POWER((ABS(K571)^2)/($I$5*MAX(F571,0.1)^2),1/3))))),IF(IFERROR(V571,0)=1,MAX($D$16,IFERROR(L571,MAX($D$16,POWER((ABS(K571)^2)/($I$5*MAX(F571,0.1)^2),1/3)))),IF(IFERROR(AG571,0)=1,MAX($D$16,IFERROR(W571,MAX($D$16,POWER((ABS(K571)^2)/($I$5*MAX(F571,0.1)^2),1/3)))),MAX($D$16,POWER((ABS(K571)^2)/($I$5*MAX(F571,0.1)^2),1/3))))))),MAX($D$16,POWER((ABS(K571)^2)/($I$5*MAX(F571,0.1)^2),1/3)))</f>
        <v>2.1389677043987478</v>
      </c>
      <c r="AI571">
        <f t="shared" ca="1" si="269"/>
        <v>634.44696770439873</v>
      </c>
      <c r="AJ571">
        <f t="shared" ca="1" si="270"/>
        <v>635.5164515565981</v>
      </c>
      <c r="AM571">
        <v>0</v>
      </c>
      <c r="AN571">
        <v>0</v>
      </c>
      <c r="AO571">
        <f t="shared" si="271"/>
        <v>0</v>
      </c>
      <c r="AP571">
        <f t="shared" si="280"/>
        <v>0</v>
      </c>
      <c r="AQ571">
        <f t="shared" ca="1" si="272"/>
        <v>1.0000000000000004</v>
      </c>
      <c r="AR571" t="str">
        <f t="shared" ca="1" si="273"/>
        <v>Supercritical</v>
      </c>
      <c r="AS571">
        <f t="shared" ca="1" si="274"/>
        <v>3.8141460404132466E-3</v>
      </c>
    </row>
    <row r="572" spans="1:45" x14ac:dyDescent="0.35">
      <c r="A572">
        <v>511</v>
      </c>
      <c r="B572">
        <v>509.99599999999998</v>
      </c>
      <c r="C572">
        <v>616200.87399999995</v>
      </c>
      <c r="D572">
        <v>3097470.2409999999</v>
      </c>
      <c r="E572">
        <v>632.3075</v>
      </c>
      <c r="F572">
        <v>5.2</v>
      </c>
      <c r="G572">
        <v>0</v>
      </c>
      <c r="H572" t="s">
        <v>154</v>
      </c>
      <c r="I572">
        <v>2.7E-2</v>
      </c>
      <c r="J572">
        <f t="shared" si="275"/>
        <v>1</v>
      </c>
      <c r="K572">
        <f t="shared" ca="1" si="276"/>
        <v>50.95</v>
      </c>
      <c r="L572">
        <f t="shared" ca="1" si="277"/>
        <v>2.1389677043987478</v>
      </c>
      <c r="M572">
        <f t="shared" ca="1" si="250"/>
        <v>11.122632062873489</v>
      </c>
      <c r="N572">
        <f t="shared" ca="1" si="251"/>
        <v>1.1735290000551568</v>
      </c>
      <c r="O572">
        <f t="shared" ca="1" si="252"/>
        <v>4.5807502857230418</v>
      </c>
      <c r="P572">
        <f t="shared" ca="1" si="253"/>
        <v>634.44646770439874</v>
      </c>
      <c r="Q572">
        <f t="shared" ca="1" si="254"/>
        <v>635.51595155659811</v>
      </c>
      <c r="R572">
        <f t="shared" ca="1" si="255"/>
        <v>3.8141460404132466E-3</v>
      </c>
      <c r="S572">
        <f t="shared" ca="1" si="256"/>
        <v>1.0000000000000004</v>
      </c>
      <c r="T572">
        <f t="shared" ca="1" si="257"/>
        <v>35.686426155594638</v>
      </c>
      <c r="U572">
        <f t="shared" ca="1" si="278"/>
        <v>-3.3622728137743252E-3</v>
      </c>
      <c r="V572">
        <f t="shared" ca="1" si="279"/>
        <v>1</v>
      </c>
      <c r="W572">
        <f t="shared" ca="1" si="258"/>
        <v>1.70691505451138</v>
      </c>
      <c r="X572">
        <f t="shared" ca="1" si="259"/>
        <v>8.8759582834591768</v>
      </c>
      <c r="Y572">
        <f t="shared" ca="1" si="260"/>
        <v>1.030431082470717</v>
      </c>
      <c r="Z572">
        <f t="shared" ca="1" si="261"/>
        <v>5.740225266149352</v>
      </c>
      <c r="AA572">
        <f t="shared" ca="1" si="262"/>
        <v>634.01441505451135</v>
      </c>
      <c r="AB572">
        <f t="shared" ca="1" si="263"/>
        <v>635.69383330660821</v>
      </c>
      <c r="AC572">
        <f t="shared" ca="1" si="264"/>
        <v>7.1233090890427796E-3</v>
      </c>
      <c r="AD572">
        <f t="shared" ca="1" si="265"/>
        <v>1.4027764874307533</v>
      </c>
      <c r="AE572">
        <f t="shared" ca="1" si="266"/>
        <v>37.388146100808143</v>
      </c>
      <c r="AF572">
        <f t="shared" ca="1" si="267"/>
        <v>6.7632606098868564E-3</v>
      </c>
      <c r="AG572">
        <f t="shared" ca="1" si="268"/>
        <v>0</v>
      </c>
      <c r="AH572">
        <f ca="1">IFERROR(IF(V32="Supercritical",MAX($D$16,IFERROR(L572,MAX($D$16,POWER((ABS(K572)^2)/($I$5*MAX(F572,0.1)^2),1/3)))),IF(V32="Subcritical",MAX($D$16,IFERROR(W572,MAX($D$16,POWER((ABS(K572)^2)/($I$5*MAX(F572,0.1)^2),1/3)))),IF(AND(IFERROR(V572,0)=1,IFERROR(AG572,0)=1),IF(IFERROR(T572,-1E+99)&gt;=IFERROR(AE572,-1E+99),MAX($D$16,IFERROR(L572,MAX($D$16,POWER((ABS(K572)^2)/($I$5*MAX(F572,0.1)^2),1/3)))),MAX($D$16,IFERROR(W572,MAX($D$16,POWER((ABS(K572)^2)/($I$5*MAX(F572,0.1)^2),1/3))))),IF(IFERROR(V572,0)=1,MAX($D$16,IFERROR(L572,MAX($D$16,POWER((ABS(K572)^2)/($I$5*MAX(F572,0.1)^2),1/3)))),IF(IFERROR(AG572,0)=1,MAX($D$16,IFERROR(W572,MAX($D$16,POWER((ABS(K572)^2)/($I$5*MAX(F572,0.1)^2),1/3)))),MAX($D$16,POWER((ABS(K572)^2)/($I$5*MAX(F572,0.1)^2),1/3))))))),MAX($D$16,POWER((ABS(K572)^2)/($I$5*MAX(F572,0.1)^2),1/3)))</f>
        <v>2.1389677043987478</v>
      </c>
      <c r="AI572">
        <f t="shared" ca="1" si="269"/>
        <v>634.44646770439874</v>
      </c>
      <c r="AJ572">
        <f t="shared" ca="1" si="270"/>
        <v>635.51595155659811</v>
      </c>
      <c r="AM572">
        <v>0</v>
      </c>
      <c r="AN572">
        <v>0</v>
      </c>
      <c r="AO572">
        <f t="shared" si="271"/>
        <v>0</v>
      </c>
      <c r="AP572">
        <f t="shared" si="280"/>
        <v>0</v>
      </c>
      <c r="AQ572">
        <f t="shared" ca="1" si="272"/>
        <v>1.0000000000000004</v>
      </c>
      <c r="AR572" t="str">
        <f t="shared" ca="1" si="273"/>
        <v>Supercritical</v>
      </c>
      <c r="AS572">
        <f t="shared" ca="1" si="274"/>
        <v>3.8141460404132466E-3</v>
      </c>
    </row>
    <row r="573" spans="1:45" x14ac:dyDescent="0.35">
      <c r="A573">
        <v>512</v>
      </c>
      <c r="B573">
        <v>510.99599999999998</v>
      </c>
      <c r="C573">
        <v>616200.4</v>
      </c>
      <c r="D573">
        <v>3097469.361</v>
      </c>
      <c r="E573">
        <v>632.30700000000002</v>
      </c>
      <c r="F573">
        <v>5.2</v>
      </c>
      <c r="G573">
        <v>0</v>
      </c>
      <c r="H573" t="s">
        <v>154</v>
      </c>
      <c r="I573">
        <v>0.05</v>
      </c>
      <c r="J573">
        <f t="shared" si="275"/>
        <v>1</v>
      </c>
      <c r="K573">
        <f t="shared" ca="1" si="276"/>
        <v>50.95</v>
      </c>
      <c r="L573">
        <f t="shared" ca="1" si="277"/>
        <v>2.1389677043987478</v>
      </c>
      <c r="M573">
        <f t="shared" ca="1" si="250"/>
        <v>11.122632062873489</v>
      </c>
      <c r="N573">
        <f t="shared" ca="1" si="251"/>
        <v>1.1735290000551568</v>
      </c>
      <c r="O573">
        <f t="shared" ca="1" si="252"/>
        <v>4.5807502857230418</v>
      </c>
      <c r="P573">
        <f t="shared" ca="1" si="253"/>
        <v>634.44596770439875</v>
      </c>
      <c r="Q573">
        <f t="shared" ca="1" si="254"/>
        <v>635.51545155659812</v>
      </c>
      <c r="R573">
        <f t="shared" ca="1" si="255"/>
        <v>3.8141460404132466E-3</v>
      </c>
      <c r="S573">
        <f t="shared" ca="1" si="256"/>
        <v>1.0000000000000004</v>
      </c>
      <c r="T573">
        <f t="shared" ca="1" si="257"/>
        <v>35.686426155594638</v>
      </c>
      <c r="U573">
        <f t="shared" ca="1" si="278"/>
        <v>-3.4032696947861041E-3</v>
      </c>
      <c r="V573">
        <f t="shared" ca="1" si="279"/>
        <v>1</v>
      </c>
      <c r="W573">
        <f t="shared" ca="1" si="258"/>
        <v>1.7069148743865796</v>
      </c>
      <c r="X573">
        <f t="shared" ca="1" si="259"/>
        <v>8.875957346810214</v>
      </c>
      <c r="Y573">
        <f t="shared" ca="1" si="260"/>
        <v>1.0304310168278388</v>
      </c>
      <c r="Z573">
        <f t="shared" ca="1" si="261"/>
        <v>5.7402258718953956</v>
      </c>
      <c r="AA573">
        <f t="shared" ca="1" si="262"/>
        <v>634.01391487438661</v>
      </c>
      <c r="AB573">
        <f t="shared" ca="1" si="263"/>
        <v>635.69333348092982</v>
      </c>
      <c r="AC573">
        <f t="shared" ca="1" si="264"/>
        <v>7.1233111974862949E-3</v>
      </c>
      <c r="AD573">
        <f t="shared" ca="1" si="265"/>
        <v>1.4027767094759578</v>
      </c>
      <c r="AE573">
        <f t="shared" ca="1" si="266"/>
        <v>37.388147648079077</v>
      </c>
      <c r="AF573">
        <f t="shared" ca="1" si="267"/>
        <v>6.841635616297026E-3</v>
      </c>
      <c r="AG573">
        <f t="shared" ca="1" si="268"/>
        <v>0</v>
      </c>
      <c r="AH573">
        <f ca="1">IFERROR(IF(V32="Supercritical",MAX($D$16,IFERROR(L573,MAX($D$16,POWER((ABS(K573)^2)/($I$5*MAX(F573,0.1)^2),1/3)))),IF(V32="Subcritical",MAX($D$16,IFERROR(W573,MAX($D$16,POWER((ABS(K573)^2)/($I$5*MAX(F573,0.1)^2),1/3)))),IF(AND(IFERROR(V573,0)=1,IFERROR(AG573,0)=1),IF(IFERROR(T573,-1E+99)&gt;=IFERROR(AE573,-1E+99),MAX($D$16,IFERROR(L573,MAX($D$16,POWER((ABS(K573)^2)/($I$5*MAX(F573,0.1)^2),1/3)))),MAX($D$16,IFERROR(W573,MAX($D$16,POWER((ABS(K573)^2)/($I$5*MAX(F573,0.1)^2),1/3))))),IF(IFERROR(V573,0)=1,MAX($D$16,IFERROR(L573,MAX($D$16,POWER((ABS(K573)^2)/($I$5*MAX(F573,0.1)^2),1/3)))),IF(IFERROR(AG573,0)=1,MAX($D$16,IFERROR(W573,MAX($D$16,POWER((ABS(K573)^2)/($I$5*MAX(F573,0.1)^2),1/3)))),MAX($D$16,POWER((ABS(K573)^2)/($I$5*MAX(F573,0.1)^2),1/3))))))),MAX($D$16,POWER((ABS(K573)^2)/($I$5*MAX(F573,0.1)^2),1/3)))</f>
        <v>2.1389677043987478</v>
      </c>
      <c r="AI573">
        <f t="shared" ca="1" si="269"/>
        <v>634.44596770439875</v>
      </c>
      <c r="AJ573">
        <f t="shared" ca="1" si="270"/>
        <v>635.51545155659812</v>
      </c>
      <c r="AM573">
        <v>0</v>
      </c>
      <c r="AN573">
        <v>0</v>
      </c>
      <c r="AO573">
        <f t="shared" si="271"/>
        <v>0</v>
      </c>
      <c r="AP573">
        <f t="shared" si="280"/>
        <v>0</v>
      </c>
      <c r="AQ573">
        <f t="shared" ca="1" si="272"/>
        <v>1.0000000000000004</v>
      </c>
      <c r="AR573" t="str">
        <f t="shared" ca="1" si="273"/>
        <v>Supercritical</v>
      </c>
      <c r="AS573">
        <f t="shared" ca="1" si="274"/>
        <v>3.8141460404132466E-3</v>
      </c>
    </row>
    <row r="574" spans="1:45" x14ac:dyDescent="0.35">
      <c r="A574">
        <v>513</v>
      </c>
      <c r="B574">
        <v>511.99599999999998</v>
      </c>
      <c r="C574">
        <v>616199.92500000005</v>
      </c>
      <c r="D574">
        <v>3097468.4810000001</v>
      </c>
      <c r="E574">
        <v>632.30650000000003</v>
      </c>
      <c r="F574">
        <v>5.2</v>
      </c>
      <c r="G574">
        <v>0</v>
      </c>
      <c r="H574" t="s">
        <v>154</v>
      </c>
      <c r="I574">
        <v>7.8E-2</v>
      </c>
      <c r="J574">
        <f t="shared" si="275"/>
        <v>1</v>
      </c>
      <c r="K574">
        <f t="shared" ca="1" si="276"/>
        <v>50.95</v>
      </c>
      <c r="L574">
        <f t="shared" ca="1" si="277"/>
        <v>2.1389677043987478</v>
      </c>
      <c r="M574">
        <f t="shared" ref="M574:M637" ca="1" si="281">((F574)+(G574)*(L574))*(L574)</f>
        <v>11.122632062873489</v>
      </c>
      <c r="N574">
        <f t="shared" ref="N574:N637" ca="1" si="282">(((F574)+(G574)*(L574))*(L574))/MAX((F574)+2*(L574)*SQRT(1+(G574)^2),0.000001)</f>
        <v>1.1735290000551568</v>
      </c>
      <c r="O574">
        <f t="shared" ref="O574:O637" ca="1" si="283">ABS(K574)/MAX(((F574)+(G574)*(L574))*(L574),0.000001)</f>
        <v>4.5807502857230418</v>
      </c>
      <c r="P574">
        <f t="shared" ref="P574:P637" ca="1" si="284">E574+L574</f>
        <v>634.44546770439877</v>
      </c>
      <c r="Q574">
        <f t="shared" ref="Q574:Q637" ca="1" si="285">P574+((ABS(K574)/MAX(((F574)+(G574)*(L574))*(L574),0.000001))^2)/(2*$I$5)</f>
        <v>635.51495155659813</v>
      </c>
      <c r="R574">
        <f t="shared" ref="R574:R637" ca="1" si="286">((ABS(K574)*$D$6)/(MAX(((F574)+(G574)*(L574))*(L574),0.000001)*MAX(((((F574)+(G574)*(L574))*(L574))/MAX((F574)+2*(L574)*SQRT(1+(G574)^2),0.000001))^(2/3),0.000001)))^2</f>
        <v>3.8141460404132466E-3</v>
      </c>
      <c r="S574">
        <f t="shared" ref="S574:S637" ca="1" si="287">ABS(ABS(K574)/MAX(((F574)+(G574)*(L574))*(L574),0.000001))/SQRT($I$5*MAX((((F574)+(G574)*(L574))*(L574))/MAX((F574)+2*(G574)*(L574),0.000001),0.000001))</f>
        <v>1.0000000000000004</v>
      </c>
      <c r="T574">
        <f t="shared" ref="T574:T637" ca="1" si="288">((F574)*(L574)^2)/2+(G574)*(L574)^3/3+(ABS(K574)^2)/($I$5*MAX(((F574)+(G574)*(L574))*(L574),0.000001))</f>
        <v>35.686426155594638</v>
      </c>
      <c r="U574">
        <f t="shared" ca="1" si="278"/>
        <v>-3.4531789411857972E-3</v>
      </c>
      <c r="V574">
        <f t="shared" ca="1" si="279"/>
        <v>1</v>
      </c>
      <c r="W574">
        <f t="shared" ref="W574:W637" ca="1" si="289">IF($D$20=0,IFERROR(W575,MAX($D$16,POWER((ABS(K574)^2)/($I$5*MAX(F574,0.1)^2),1/3))),IF(IFERROR(AG575,0)=0,IFERROR(W575,MAX($D$16,POWER((ABS(K574)^2)/($I$5*MAX(F574,0.1)^2),1/3))),IF(OR(IFERROR(W574,0)=0,IFERROR(AD575,0)&gt;1),MAX($D$16,POWER((ABS(K574)^2)/($I$5*MAX(F574,0.1)^2),1/3)),IF(IFERROR(AF574,0)&gt;0,MAX($D$16,IFERROR(W574,0)+((IFERROR(AF574,0))*$D$18*IF((IFERROR(AD574,0))&lt;1,1,-1))),IF(IFERROR(AF574,0)&lt;0,IF(ABS((MAX($D$16,POWER((ABS(K574)^2)/($I$5*MAX(F574,0.1)^2),1/3)))-IFERROR(W574,0))&gt;$D$19,MAX($D$16,IF((MAX($D$16,POWER((ABS(K574)^2)/($I$5*MAX(F574,0.1)^2),1/3)))&gt;IFERROR(W574,0),MIN((MAX($D$16,POWER((ABS(K574)^2)/($I$5*MAX(F574,0.1)^2),1/3))),IFERROR(W574,0)+(MIN(ABS(IFERROR(AF574,0))*$D$18,ABS((MAX($D$16,POWER((ABS(K574)^2)/($I$5*MAX(F574,0.1)^2),1/3)))-IFERROR(W574,0))))),MAX((MAX($D$16,POWER((ABS(K574)^2)/($I$5*MAX(F574,0.1)^2),1/3))),IFERROR(W574,0)-(MIN(ABS(IFERROR(AF574,0))*$D$18,ABS((MAX($D$16,POWER((ABS(K574)^2)/($I$5*MAX(F574,0.1)^2),1/3)))-IFERROR(W574,0))))))),MAX($D$16,POWER((ABS(K574)^2)/($I$5*MAX(F574,0.1)^2),1/3))),MAX($D$16,IFERROR(W574,0)))))))</f>
        <v>1.7069147062119086</v>
      </c>
      <c r="X574">
        <f t="shared" ref="X574:X637" ca="1" si="290">((F574)+(G574)*(W574))*(W574)</f>
        <v>8.8759564723019242</v>
      </c>
      <c r="Y574">
        <f t="shared" ref="Y574:Y637" ca="1" si="291">(((F574)+(G574)*(W574))*(W574))/MAX((F574)+2*(W574)*SQRT(1+(G574)^2),0.000001)</f>
        <v>1.0304309555399414</v>
      </c>
      <c r="Z574">
        <f t="shared" ref="Z574:Z637" ca="1" si="292">ABS(K574)/MAX(((F574)+(G574)*(W574))*(W574),0.000001)</f>
        <v>5.7402264374541749</v>
      </c>
      <c r="AA574">
        <f t="shared" ref="AA574:AA637" ca="1" si="293">E574+W574</f>
        <v>634.01341470621196</v>
      </c>
      <c r="AB574">
        <f t="shared" ref="AB574:AB637" ca="1" si="294">AA574+((ABS(K574)/MAX(((F574)+(G574)*(W574))*(W574),0.000001))^2)/(2*$I$5)</f>
        <v>635.69283364368641</v>
      </c>
      <c r="AC574">
        <f t="shared" ref="AC574:AC637" ca="1" si="295">((ABS(K574)*$D$6)/(MAX(((F574)+(G574)*(W574))*(W574),0.000001)*MAX(((((F574)+(G574)*(W574))*(W574))/MAX((F574)+2*(W574)*SQRT(1+(G574)^2),0.000001))^(2/3),0.000001)))^2</f>
        <v>7.1233131660488431E-3</v>
      </c>
      <c r="AD574">
        <f t="shared" ref="AD574:AD637" ca="1" si="296">ABS(ABS(K574)/MAX(((F574)+(G574)*(W574))*(W574),0.000001))/SQRT($I$5*MAX((((F574)+(G574)*(W574))*(W574))/MAX((F574)+2*(G574)*(W574),0.000001),0.000001))</f>
        <v>1.4027769167899351</v>
      </c>
      <c r="AE574">
        <f t="shared" ref="AE574:AE637" ca="1" si="297">((F574)*(W574)^2)/2+(G574)*(W574)^3/3+(ABS(K574)^2)/($I$5*MAX(((F574)+(G574)*(W574))*(W574),0.000001))</f>
        <v>37.388149092699223</v>
      </c>
      <c r="AF574">
        <f t="shared" ref="AF574:AF637" ca="1" si="298">IF($D$20=0,0,IFERROR(AB575+(((AC574+AC575)/2)*J575)+(IF(Z574&gt;Z575,$D$8*((Z574^2-Z575^2)/(2*$I$5)),$D$9*((Z575^2-Z574^2)/(2*$I$5)))+($D$10*(ABS(I575)/90)*(MAX(Z574^2,Z575^2)/(2*$I$5))))-AB574,0))</f>
        <v>6.6988870182740357E-3</v>
      </c>
      <c r="AG574">
        <f t="shared" ref="AG574:AG637" ca="1" si="299">IF($D$20=0,1,IFERROR(IF(ROUND(AD574,3)=1,1,IF(AND(ABS(AF574)&lt;$D$19,AD574&lt;1),1,0)),0))</f>
        <v>0</v>
      </c>
      <c r="AH574">
        <f ca="1">IFERROR(IF(V32="Supercritical",MAX($D$16,IFERROR(L574,MAX($D$16,POWER((ABS(K574)^2)/($I$5*MAX(F574,0.1)^2),1/3)))),IF(V32="Subcritical",MAX($D$16,IFERROR(W574,MAX($D$16,POWER((ABS(K574)^2)/($I$5*MAX(F574,0.1)^2),1/3)))),IF(AND(IFERROR(V574,0)=1,IFERROR(AG574,0)=1),IF(IFERROR(T574,-1E+99)&gt;=IFERROR(AE574,-1E+99),MAX($D$16,IFERROR(L574,MAX($D$16,POWER((ABS(K574)^2)/($I$5*MAX(F574,0.1)^2),1/3)))),MAX($D$16,IFERROR(W574,MAX($D$16,POWER((ABS(K574)^2)/($I$5*MAX(F574,0.1)^2),1/3))))),IF(IFERROR(V574,0)=1,MAX($D$16,IFERROR(L574,MAX($D$16,POWER((ABS(K574)^2)/($I$5*MAX(F574,0.1)^2),1/3)))),IF(IFERROR(AG574,0)=1,MAX($D$16,IFERROR(W574,MAX($D$16,POWER((ABS(K574)^2)/($I$5*MAX(F574,0.1)^2),1/3)))),MAX($D$16,POWER((ABS(K574)^2)/($I$5*MAX(F574,0.1)^2),1/3))))))),MAX($D$16,POWER((ABS(K574)^2)/($I$5*MAX(F574,0.1)^2),1/3)))</f>
        <v>2.1389677043987478</v>
      </c>
      <c r="AI574">
        <f t="shared" ref="AI574:AI637" ca="1" si="300">E574+AH574</f>
        <v>634.44546770439877</v>
      </c>
      <c r="AJ574">
        <f t="shared" ref="AJ574:AJ637" ca="1" si="301">AI574+((ABS(K574)/MAX(((F574)+(G574)*(AH574))*(AH574),0.000001))^2)/(2*$I$5)</f>
        <v>635.51495155659813</v>
      </c>
      <c r="AM574">
        <v>0</v>
      </c>
      <c r="AN574">
        <v>0</v>
      </c>
      <c r="AO574">
        <f t="shared" ref="AO574:AO637" si="302">AM574+AN574</f>
        <v>0</v>
      </c>
      <c r="AP574">
        <f t="shared" si="280"/>
        <v>0</v>
      </c>
      <c r="AQ574">
        <f t="shared" ref="AQ574:AQ637" ca="1" si="303">ABS(ABS(K574)/MAX(((F574)+(G574)*(AH574))*(AH574),0.000001))/SQRT($I$5*MAX((((F574)+(G574)*(AH574))*(AH574))/MAX((F574)+2*(G574)*(AH574),0.000001),0.000001))</f>
        <v>1.0000000000000004</v>
      </c>
      <c r="AR574" t="str">
        <f t="shared" ref="AR574:AR637" ca="1" si="304">IF(AQ574&lt;1,"Subcritical","Supercritical")</f>
        <v>Supercritical</v>
      </c>
      <c r="AS574">
        <f t="shared" ref="AS574:AS637" ca="1" si="305">((ABS(K574)*$D$6)/(MAX(((F574)+(G574)*(AH574))*(AH574),0.000001)*MAX(((((F574)+(G574)*(AH574))*(AH574))/MAX((F574)+2*(AH574)*SQRT(1+(G574)^2),0.000001))^(2/3),0.000001)))^2</f>
        <v>3.8141460404132466E-3</v>
      </c>
    </row>
    <row r="575" spans="1:45" x14ac:dyDescent="0.35">
      <c r="A575">
        <v>514</v>
      </c>
      <c r="B575">
        <v>512.99599999999998</v>
      </c>
      <c r="C575">
        <v>616199.451</v>
      </c>
      <c r="D575">
        <v>3097467.6</v>
      </c>
      <c r="E575">
        <v>632.30600000000004</v>
      </c>
      <c r="F575">
        <v>5.2</v>
      </c>
      <c r="G575">
        <v>0</v>
      </c>
      <c r="H575" t="s">
        <v>154</v>
      </c>
      <c r="I575">
        <v>2.7E-2</v>
      </c>
      <c r="J575">
        <f t="shared" ref="J575:J638" si="306">B575-B574</f>
        <v>1</v>
      </c>
      <c r="K575">
        <f t="shared" ref="K575:K638" ca="1" si="307">MAX(0,K574-AO574)</f>
        <v>50.95</v>
      </c>
      <c r="L575">
        <f t="shared" ref="L575:L638" ca="1" si="308">IF($D$20=0,IFERROR(L574,MAX($D$16,POWER((ABS(K575)^2)/($I$5*MAX(F575,0.1)^2),1/3))),IF(IFERROR(V574,0)=0,IFERROR(L574,MAX($D$16,POWER((ABS(K575)^2)/($I$5*MAX(F575,0.1)^2),1/3))),IF(OR(IFERROR(L575,0)=0,IFERROR(S574,0)&lt;1,IFERROR(S575,0)&lt;1),MAX($D$16,POWER((ABS(K575)^2)/($I$5*MAX(F575,0.1)^2),1/3)),IF(IFERROR(U575,0)&gt;0,MAX($D$16,IFERROR(L575,0)+((IFERROR(U575,0))*$D$18*IF((IFERROR(S575,0))&lt;1,1,-1))),IF(IFERROR(U575,0)&lt;0,IF(ABS((MAX($D$16,POWER((ABS(K575)^2)/($I$5*MAX(F575,0.1)^2),1/3)))-IFERROR(L575,0))&gt;$D$19,MAX($D$16,IF((MAX($D$16,POWER((ABS(K575)^2)/($I$5*MAX(F575,0.1)^2),1/3)))&gt;IFERROR(L575,0),MIN((MAX($D$16,POWER((ABS(K575)^2)/($I$5*MAX(F575,0.1)^2),1/3))),IFERROR(L575,0)+(MIN(ABS(IFERROR(U575,0))*$D$18,ABS((MAX($D$16,POWER((ABS(K575)^2)/($I$5*MAX(F575,0.1)^2),1/3)))-IFERROR(L575,0))))),MAX((MAX($D$16,POWER((ABS(K575)^2)/($I$5*MAX(F575,0.1)^2),1/3))),IFERROR(L575,0)-(MIN(ABS(IFERROR(U575,0))*$D$18,ABS((MAX($D$16,POWER((ABS(K575)^2)/($I$5*MAX(F575,0.1)^2),1/3)))-IFERROR(L575,0))))))),MAX($D$16,POWER((ABS(K575)^2)/($I$5*MAX(F575,0.1)^2),1/3))),MAX($D$16,IFERROR(L575,0)))))))</f>
        <v>2.1389677043987478</v>
      </c>
      <c r="M575">
        <f t="shared" ca="1" si="281"/>
        <v>11.122632062873489</v>
      </c>
      <c r="N575">
        <f t="shared" ca="1" si="282"/>
        <v>1.1735290000551568</v>
      </c>
      <c r="O575">
        <f t="shared" ca="1" si="283"/>
        <v>4.5807502857230418</v>
      </c>
      <c r="P575">
        <f t="shared" ca="1" si="284"/>
        <v>634.44496770439878</v>
      </c>
      <c r="Q575">
        <f t="shared" ca="1" si="285"/>
        <v>635.51445155659815</v>
      </c>
      <c r="R575">
        <f t="shared" ca="1" si="286"/>
        <v>3.8141460404132466E-3</v>
      </c>
      <c r="S575">
        <f t="shared" ca="1" si="287"/>
        <v>1.0000000000000004</v>
      </c>
      <c r="T575">
        <f t="shared" ca="1" si="288"/>
        <v>35.686426155594638</v>
      </c>
      <c r="U575">
        <f t="shared" ref="U575:U638" ca="1" si="309">IF($D$20=0,0,IFERROR(Q574-(((R574+R575)/2)*J575)-(IF(O574&gt;O575,$D$8*((O574^2-O575^2)/(2*$I$5)),$D$9*((O575^2-O574^2)/(2*$I$5)))+($D$10*(ABS(I575)/90)*(MAX(O574^2,O575^2)/(2*$I$5))))-Q575,0))</f>
        <v>-3.3622728137743252E-3</v>
      </c>
      <c r="V575">
        <f t="shared" ref="V575:V638" ca="1" si="310">IF($D$20=0,1,IFERROR(IF(ROUND(S575,3)=1,1,IF(AND(ABS(U575)&lt;$D$19,S575&gt;1),1,0)),0))</f>
        <v>1</v>
      </c>
      <c r="W575">
        <f t="shared" ca="1" si="289"/>
        <v>1.7069145491945548</v>
      </c>
      <c r="X575">
        <f t="shared" ca="1" si="290"/>
        <v>8.8759556558116852</v>
      </c>
      <c r="Y575">
        <f t="shared" ca="1" si="291"/>
        <v>1.0304308983181008</v>
      </c>
      <c r="Z575">
        <f t="shared" ca="1" si="292"/>
        <v>5.7402269654918356</v>
      </c>
      <c r="AA575">
        <f t="shared" ca="1" si="293"/>
        <v>634.01291454919465</v>
      </c>
      <c r="AB575">
        <f t="shared" ca="1" si="294"/>
        <v>635.69233379564514</v>
      </c>
      <c r="AC575">
        <f t="shared" ca="1" si="295"/>
        <v>7.1233150040104993E-3</v>
      </c>
      <c r="AD575">
        <f t="shared" ca="1" si="296"/>
        <v>1.4027771103499977</v>
      </c>
      <c r="AE575">
        <f t="shared" ca="1" si="297"/>
        <v>37.388150441478672</v>
      </c>
      <c r="AF575">
        <f t="shared" ca="1" si="298"/>
        <v>6.6988888701189353E-3</v>
      </c>
      <c r="AG575">
        <f t="shared" ca="1" si="299"/>
        <v>0</v>
      </c>
      <c r="AH575">
        <f ca="1">IFERROR(IF(V32="Supercritical",MAX($D$16,IFERROR(L575,MAX($D$16,POWER((ABS(K575)^2)/($I$5*MAX(F575,0.1)^2),1/3)))),IF(V32="Subcritical",MAX($D$16,IFERROR(W575,MAX($D$16,POWER((ABS(K575)^2)/($I$5*MAX(F575,0.1)^2),1/3)))),IF(AND(IFERROR(V575,0)=1,IFERROR(AG575,0)=1),IF(IFERROR(T575,-1E+99)&gt;=IFERROR(AE575,-1E+99),MAX($D$16,IFERROR(L575,MAX($D$16,POWER((ABS(K575)^2)/($I$5*MAX(F575,0.1)^2),1/3)))),MAX($D$16,IFERROR(W575,MAX($D$16,POWER((ABS(K575)^2)/($I$5*MAX(F575,0.1)^2),1/3))))),IF(IFERROR(V575,0)=1,MAX($D$16,IFERROR(L575,MAX($D$16,POWER((ABS(K575)^2)/($I$5*MAX(F575,0.1)^2),1/3)))),IF(IFERROR(AG575,0)=1,MAX($D$16,IFERROR(W575,MAX($D$16,POWER((ABS(K575)^2)/($I$5*MAX(F575,0.1)^2),1/3)))),MAX($D$16,POWER((ABS(K575)^2)/($I$5*MAX(F575,0.1)^2),1/3))))))),MAX($D$16,POWER((ABS(K575)^2)/($I$5*MAX(F575,0.1)^2),1/3)))</f>
        <v>2.1389677043987478</v>
      </c>
      <c r="AI575">
        <f t="shared" ca="1" si="300"/>
        <v>634.44496770439878</v>
      </c>
      <c r="AJ575">
        <f t="shared" ca="1" si="301"/>
        <v>635.51445155659815</v>
      </c>
      <c r="AM575">
        <v>0</v>
      </c>
      <c r="AN575">
        <v>0</v>
      </c>
      <c r="AO575">
        <f t="shared" si="302"/>
        <v>0</v>
      </c>
      <c r="AP575">
        <f t="shared" ref="AP575:AP638" si="311">AP574+AO575</f>
        <v>0</v>
      </c>
      <c r="AQ575">
        <f t="shared" ca="1" si="303"/>
        <v>1.0000000000000004</v>
      </c>
      <c r="AR575" t="str">
        <f t="shared" ca="1" si="304"/>
        <v>Supercritical</v>
      </c>
      <c r="AS575">
        <f t="shared" ca="1" si="305"/>
        <v>3.8141460404132466E-3</v>
      </c>
    </row>
    <row r="576" spans="1:45" x14ac:dyDescent="0.35">
      <c r="A576">
        <v>515</v>
      </c>
      <c r="B576">
        <v>513.99599999999998</v>
      </c>
      <c r="C576">
        <v>616198.97699999996</v>
      </c>
      <c r="D576">
        <v>3097466.72</v>
      </c>
      <c r="E576">
        <v>632.30550000000005</v>
      </c>
      <c r="F576">
        <v>5.2</v>
      </c>
      <c r="G576">
        <v>0</v>
      </c>
      <c r="H576" t="s">
        <v>154</v>
      </c>
      <c r="I576">
        <v>2.7E-2</v>
      </c>
      <c r="J576">
        <f t="shared" si="306"/>
        <v>1</v>
      </c>
      <c r="K576">
        <f t="shared" ca="1" si="307"/>
        <v>50.95</v>
      </c>
      <c r="L576">
        <f t="shared" ca="1" si="308"/>
        <v>2.1389677043987478</v>
      </c>
      <c r="M576">
        <f t="shared" ca="1" si="281"/>
        <v>11.122632062873489</v>
      </c>
      <c r="N576">
        <f t="shared" ca="1" si="282"/>
        <v>1.1735290000551568</v>
      </c>
      <c r="O576">
        <f t="shared" ca="1" si="283"/>
        <v>4.5807502857230418</v>
      </c>
      <c r="P576">
        <f t="shared" ca="1" si="284"/>
        <v>634.44446770439879</v>
      </c>
      <c r="Q576">
        <f t="shared" ca="1" si="285"/>
        <v>635.51395155659816</v>
      </c>
      <c r="R576">
        <f t="shared" ca="1" si="286"/>
        <v>3.8141460404132466E-3</v>
      </c>
      <c r="S576">
        <f t="shared" ca="1" si="287"/>
        <v>1.0000000000000004</v>
      </c>
      <c r="T576">
        <f t="shared" ca="1" si="288"/>
        <v>35.686426155594638</v>
      </c>
      <c r="U576">
        <f t="shared" ca="1" si="309"/>
        <v>-3.3622728137743252E-3</v>
      </c>
      <c r="V576">
        <f t="shared" ca="1" si="310"/>
        <v>1</v>
      </c>
      <c r="W576">
        <f t="shared" ca="1" si="289"/>
        <v>1.7069144025943146</v>
      </c>
      <c r="X576">
        <f t="shared" ca="1" si="290"/>
        <v>8.8759548934904355</v>
      </c>
      <c r="Y576">
        <f t="shared" ca="1" si="291"/>
        <v>1.0304308448925654</v>
      </c>
      <c r="Z576">
        <f t="shared" ca="1" si="292"/>
        <v>5.740227458497607</v>
      </c>
      <c r="AA576">
        <f t="shared" ca="1" si="293"/>
        <v>634.01241440259435</v>
      </c>
      <c r="AB576">
        <f t="shared" ca="1" si="294"/>
        <v>635.69183393752246</v>
      </c>
      <c r="AC576">
        <f t="shared" ca="1" si="295"/>
        <v>7.1233167200355644E-3</v>
      </c>
      <c r="AD576">
        <f t="shared" ca="1" si="296"/>
        <v>1.4027772910686078</v>
      </c>
      <c r="AE576">
        <f t="shared" ca="1" si="297"/>
        <v>37.388151700775673</v>
      </c>
      <c r="AF576">
        <f t="shared" ca="1" si="298"/>
        <v>6.8416412594842768E-3</v>
      </c>
      <c r="AG576">
        <f t="shared" ca="1" si="299"/>
        <v>0</v>
      </c>
      <c r="AH576">
        <f ca="1">IFERROR(IF(V32="Supercritical",MAX($D$16,IFERROR(L576,MAX($D$16,POWER((ABS(K576)^2)/($I$5*MAX(F576,0.1)^2),1/3)))),IF(V32="Subcritical",MAX($D$16,IFERROR(W576,MAX($D$16,POWER((ABS(K576)^2)/($I$5*MAX(F576,0.1)^2),1/3)))),IF(AND(IFERROR(V576,0)=1,IFERROR(AG576,0)=1),IF(IFERROR(T576,-1E+99)&gt;=IFERROR(AE576,-1E+99),MAX($D$16,IFERROR(L576,MAX($D$16,POWER((ABS(K576)^2)/($I$5*MAX(F576,0.1)^2),1/3)))),MAX($D$16,IFERROR(W576,MAX($D$16,POWER((ABS(K576)^2)/($I$5*MAX(F576,0.1)^2),1/3))))),IF(IFERROR(V576,0)=1,MAX($D$16,IFERROR(L576,MAX($D$16,POWER((ABS(K576)^2)/($I$5*MAX(F576,0.1)^2),1/3)))),IF(IFERROR(AG576,0)=1,MAX($D$16,IFERROR(W576,MAX($D$16,POWER((ABS(K576)^2)/($I$5*MAX(F576,0.1)^2),1/3)))),MAX($D$16,POWER((ABS(K576)^2)/($I$5*MAX(F576,0.1)^2),1/3))))))),MAX($D$16,POWER((ABS(K576)^2)/($I$5*MAX(F576,0.1)^2),1/3)))</f>
        <v>2.1389677043987478</v>
      </c>
      <c r="AI576">
        <f t="shared" ca="1" si="300"/>
        <v>634.44446770439879</v>
      </c>
      <c r="AJ576">
        <f t="shared" ca="1" si="301"/>
        <v>635.51395155659816</v>
      </c>
      <c r="AM576">
        <v>0</v>
      </c>
      <c r="AN576">
        <v>0</v>
      </c>
      <c r="AO576">
        <f t="shared" si="302"/>
        <v>0</v>
      </c>
      <c r="AP576">
        <f t="shared" si="311"/>
        <v>0</v>
      </c>
      <c r="AQ576">
        <f t="shared" ca="1" si="303"/>
        <v>1.0000000000000004</v>
      </c>
      <c r="AR576" t="str">
        <f t="shared" ca="1" si="304"/>
        <v>Supercritical</v>
      </c>
      <c r="AS576">
        <f t="shared" ca="1" si="305"/>
        <v>3.8141460404132466E-3</v>
      </c>
    </row>
    <row r="577" spans="1:45" x14ac:dyDescent="0.35">
      <c r="A577">
        <v>516</v>
      </c>
      <c r="B577">
        <v>514.99599999999998</v>
      </c>
      <c r="C577">
        <v>616198.50300000003</v>
      </c>
      <c r="D577">
        <v>3097465.8390000002</v>
      </c>
      <c r="E577">
        <v>632.30499999999995</v>
      </c>
      <c r="F577">
        <v>5.2</v>
      </c>
      <c r="G577">
        <v>0</v>
      </c>
      <c r="H577" t="s">
        <v>154</v>
      </c>
      <c r="I577">
        <v>7.8E-2</v>
      </c>
      <c r="J577">
        <f t="shared" si="306"/>
        <v>1</v>
      </c>
      <c r="K577">
        <f t="shared" ca="1" si="307"/>
        <v>50.95</v>
      </c>
      <c r="L577">
        <f t="shared" ca="1" si="308"/>
        <v>2.1389677043987478</v>
      </c>
      <c r="M577">
        <f t="shared" ca="1" si="281"/>
        <v>11.122632062873489</v>
      </c>
      <c r="N577">
        <f t="shared" ca="1" si="282"/>
        <v>1.1735290000551568</v>
      </c>
      <c r="O577">
        <f t="shared" ca="1" si="283"/>
        <v>4.5807502857230418</v>
      </c>
      <c r="P577">
        <f t="shared" ca="1" si="284"/>
        <v>634.44396770439869</v>
      </c>
      <c r="Q577">
        <f t="shared" ca="1" si="285"/>
        <v>635.51345155659806</v>
      </c>
      <c r="R577">
        <f t="shared" ca="1" si="286"/>
        <v>3.8141460404132466E-3</v>
      </c>
      <c r="S577">
        <f t="shared" ca="1" si="287"/>
        <v>1.0000000000000004</v>
      </c>
      <c r="T577">
        <f t="shared" ca="1" si="288"/>
        <v>35.686426155594638</v>
      </c>
      <c r="U577">
        <f t="shared" ca="1" si="309"/>
        <v>-3.4531789410721103E-3</v>
      </c>
      <c r="V577">
        <f t="shared" ca="1" si="310"/>
        <v>1</v>
      </c>
      <c r="W577">
        <f t="shared" ca="1" si="289"/>
        <v>1.7069142657200629</v>
      </c>
      <c r="X577">
        <f t="shared" ca="1" si="290"/>
        <v>8.8759541817443282</v>
      </c>
      <c r="Y577">
        <f t="shared" ca="1" si="291"/>
        <v>1.0304307950114695</v>
      </c>
      <c r="Z577">
        <f t="shared" ca="1" si="292"/>
        <v>5.7402279187956742</v>
      </c>
      <c r="AA577">
        <f t="shared" ca="1" si="293"/>
        <v>634.01191426572007</v>
      </c>
      <c r="AB577">
        <f t="shared" ca="1" si="294"/>
        <v>635.69133406998719</v>
      </c>
      <c r="AC577">
        <f t="shared" ca="1" si="295"/>
        <v>7.1233183222138589E-3</v>
      </c>
      <c r="AD577">
        <f t="shared" ca="1" si="296"/>
        <v>1.4027774597977287</v>
      </c>
      <c r="AE577">
        <f t="shared" ca="1" si="297"/>
        <v>37.388152876526867</v>
      </c>
      <c r="AF577">
        <f t="shared" ca="1" si="298"/>
        <v>6.763269972566377E-3</v>
      </c>
      <c r="AG577">
        <f t="shared" ca="1" si="299"/>
        <v>0</v>
      </c>
      <c r="AH577">
        <f ca="1">IFERROR(IF(V32="Supercritical",MAX($D$16,IFERROR(L577,MAX($D$16,POWER((ABS(K577)^2)/($I$5*MAX(F577,0.1)^2),1/3)))),IF(V32="Subcritical",MAX($D$16,IFERROR(W577,MAX($D$16,POWER((ABS(K577)^2)/($I$5*MAX(F577,0.1)^2),1/3)))),IF(AND(IFERROR(V577,0)=1,IFERROR(AG577,0)=1),IF(IFERROR(T577,-1E+99)&gt;=IFERROR(AE577,-1E+99),MAX($D$16,IFERROR(L577,MAX($D$16,POWER((ABS(K577)^2)/($I$5*MAX(F577,0.1)^2),1/3)))),MAX($D$16,IFERROR(W577,MAX($D$16,POWER((ABS(K577)^2)/($I$5*MAX(F577,0.1)^2),1/3))))),IF(IFERROR(V577,0)=1,MAX($D$16,IFERROR(L577,MAX($D$16,POWER((ABS(K577)^2)/($I$5*MAX(F577,0.1)^2),1/3)))),IF(IFERROR(AG577,0)=1,MAX($D$16,IFERROR(W577,MAX($D$16,POWER((ABS(K577)^2)/($I$5*MAX(F577,0.1)^2),1/3)))),MAX($D$16,POWER((ABS(K577)^2)/($I$5*MAX(F577,0.1)^2),1/3))))))),MAX($D$16,POWER((ABS(K577)^2)/($I$5*MAX(F577,0.1)^2),1/3)))</f>
        <v>2.1389677043987478</v>
      </c>
      <c r="AI577">
        <f t="shared" ca="1" si="300"/>
        <v>634.44396770439869</v>
      </c>
      <c r="AJ577">
        <f t="shared" ca="1" si="301"/>
        <v>635.51345155659806</v>
      </c>
      <c r="AM577">
        <v>0</v>
      </c>
      <c r="AN577">
        <v>0</v>
      </c>
      <c r="AO577">
        <f t="shared" si="302"/>
        <v>0</v>
      </c>
      <c r="AP577">
        <f t="shared" si="311"/>
        <v>0</v>
      </c>
      <c r="AQ577">
        <f t="shared" ca="1" si="303"/>
        <v>1.0000000000000004</v>
      </c>
      <c r="AR577" t="str">
        <f t="shared" ca="1" si="304"/>
        <v>Supercritical</v>
      </c>
      <c r="AS577">
        <f t="shared" ca="1" si="305"/>
        <v>3.8141460404132466E-3</v>
      </c>
    </row>
    <row r="578" spans="1:45" x14ac:dyDescent="0.35">
      <c r="A578">
        <v>517</v>
      </c>
      <c r="B578">
        <v>515.99599999999998</v>
      </c>
      <c r="C578">
        <v>616198.02800000005</v>
      </c>
      <c r="D578">
        <v>3097464.9589999998</v>
      </c>
      <c r="E578">
        <v>632.30449999999996</v>
      </c>
      <c r="F578">
        <v>5.2</v>
      </c>
      <c r="G578">
        <v>0</v>
      </c>
      <c r="H578" t="s">
        <v>154</v>
      </c>
      <c r="I578">
        <v>0.05</v>
      </c>
      <c r="J578">
        <f t="shared" si="306"/>
        <v>1</v>
      </c>
      <c r="K578">
        <f t="shared" ca="1" si="307"/>
        <v>50.95</v>
      </c>
      <c r="L578">
        <f t="shared" ca="1" si="308"/>
        <v>2.1389677043987478</v>
      </c>
      <c r="M578">
        <f t="shared" ca="1" si="281"/>
        <v>11.122632062873489</v>
      </c>
      <c r="N578">
        <f t="shared" ca="1" si="282"/>
        <v>1.1735290000551568</v>
      </c>
      <c r="O578">
        <f t="shared" ca="1" si="283"/>
        <v>4.5807502857230418</v>
      </c>
      <c r="P578">
        <f t="shared" ca="1" si="284"/>
        <v>634.4434677043987</v>
      </c>
      <c r="Q578">
        <f t="shared" ca="1" si="285"/>
        <v>635.51295155659807</v>
      </c>
      <c r="R578">
        <f t="shared" ca="1" si="286"/>
        <v>3.8141460404132466E-3</v>
      </c>
      <c r="S578">
        <f t="shared" ca="1" si="287"/>
        <v>1.0000000000000004</v>
      </c>
      <c r="T578">
        <f t="shared" ca="1" si="288"/>
        <v>35.686426155594638</v>
      </c>
      <c r="U578">
        <f t="shared" ca="1" si="309"/>
        <v>-3.4032696947861041E-3</v>
      </c>
      <c r="V578">
        <f t="shared" ca="1" si="310"/>
        <v>1</v>
      </c>
      <c r="W578">
        <f t="shared" ca="1" si="289"/>
        <v>1.7069141379265815</v>
      </c>
      <c r="X578">
        <f t="shared" ca="1" si="290"/>
        <v>8.8759535172182247</v>
      </c>
      <c r="Y578">
        <f t="shared" ca="1" si="291"/>
        <v>1.0304307484396769</v>
      </c>
      <c r="Z578">
        <f t="shared" ca="1" si="292"/>
        <v>5.7402283485558439</v>
      </c>
      <c r="AA578">
        <f t="shared" ca="1" si="293"/>
        <v>634.01141413792652</v>
      </c>
      <c r="AB578">
        <f t="shared" ca="1" si="294"/>
        <v>635.6908341936637</v>
      </c>
      <c r="AC578">
        <f t="shared" ca="1" si="295"/>
        <v>7.1233198180978676E-3</v>
      </c>
      <c r="AD578">
        <f t="shared" ca="1" si="296"/>
        <v>1.402777617332734</v>
      </c>
      <c r="AE578">
        <f t="shared" ca="1" si="297"/>
        <v>37.388153974274587</v>
      </c>
      <c r="AF578">
        <f t="shared" ca="1" si="298"/>
        <v>6.6988937206815535E-3</v>
      </c>
      <c r="AG578">
        <f t="shared" ca="1" si="299"/>
        <v>0</v>
      </c>
      <c r="AH578">
        <f ca="1">IFERROR(IF(V32="Supercritical",MAX($D$16,IFERROR(L578,MAX($D$16,POWER((ABS(K578)^2)/($I$5*MAX(F578,0.1)^2),1/3)))),IF(V32="Subcritical",MAX($D$16,IFERROR(W578,MAX($D$16,POWER((ABS(K578)^2)/($I$5*MAX(F578,0.1)^2),1/3)))),IF(AND(IFERROR(V578,0)=1,IFERROR(AG578,0)=1),IF(IFERROR(T578,-1E+99)&gt;=IFERROR(AE578,-1E+99),MAX($D$16,IFERROR(L578,MAX($D$16,POWER((ABS(K578)^2)/($I$5*MAX(F578,0.1)^2),1/3)))),MAX($D$16,IFERROR(W578,MAX($D$16,POWER((ABS(K578)^2)/($I$5*MAX(F578,0.1)^2),1/3))))),IF(IFERROR(V578,0)=1,MAX($D$16,IFERROR(L578,MAX($D$16,POWER((ABS(K578)^2)/($I$5*MAX(F578,0.1)^2),1/3)))),IF(IFERROR(AG578,0)=1,MAX($D$16,IFERROR(W578,MAX($D$16,POWER((ABS(K578)^2)/($I$5*MAX(F578,0.1)^2),1/3)))),MAX($D$16,POWER((ABS(K578)^2)/($I$5*MAX(F578,0.1)^2),1/3))))))),MAX($D$16,POWER((ABS(K578)^2)/($I$5*MAX(F578,0.1)^2),1/3)))</f>
        <v>2.1389677043987478</v>
      </c>
      <c r="AI578">
        <f t="shared" ca="1" si="300"/>
        <v>634.4434677043987</v>
      </c>
      <c r="AJ578">
        <f t="shared" ca="1" si="301"/>
        <v>635.51295155659807</v>
      </c>
      <c r="AM578">
        <v>0</v>
      </c>
      <c r="AN578">
        <v>0</v>
      </c>
      <c r="AO578">
        <f t="shared" si="302"/>
        <v>0</v>
      </c>
      <c r="AP578">
        <f t="shared" si="311"/>
        <v>0</v>
      </c>
      <c r="AQ578">
        <f t="shared" ca="1" si="303"/>
        <v>1.0000000000000004</v>
      </c>
      <c r="AR578" t="str">
        <f t="shared" ca="1" si="304"/>
        <v>Supercritical</v>
      </c>
      <c r="AS578">
        <f t="shared" ca="1" si="305"/>
        <v>3.8141460404132466E-3</v>
      </c>
    </row>
    <row r="579" spans="1:45" x14ac:dyDescent="0.35">
      <c r="A579">
        <v>518</v>
      </c>
      <c r="B579">
        <v>516.99599999999998</v>
      </c>
      <c r="C579">
        <v>616197.554</v>
      </c>
      <c r="D579">
        <v>3097464.0789999999</v>
      </c>
      <c r="E579">
        <v>632.30399999999997</v>
      </c>
      <c r="F579">
        <v>5.2</v>
      </c>
      <c r="G579">
        <v>0</v>
      </c>
      <c r="H579" t="s">
        <v>154</v>
      </c>
      <c r="I579">
        <v>2.7E-2</v>
      </c>
      <c r="J579">
        <f t="shared" si="306"/>
        <v>1</v>
      </c>
      <c r="K579">
        <f t="shared" ca="1" si="307"/>
        <v>50.95</v>
      </c>
      <c r="L579">
        <f t="shared" ca="1" si="308"/>
        <v>2.1389677043987478</v>
      </c>
      <c r="M579">
        <f t="shared" ca="1" si="281"/>
        <v>11.122632062873489</v>
      </c>
      <c r="N579">
        <f t="shared" ca="1" si="282"/>
        <v>1.1735290000551568</v>
      </c>
      <c r="O579">
        <f t="shared" ca="1" si="283"/>
        <v>4.5807502857230418</v>
      </c>
      <c r="P579">
        <f t="shared" ca="1" si="284"/>
        <v>634.44296770439871</v>
      </c>
      <c r="Q579">
        <f t="shared" ca="1" si="285"/>
        <v>635.51245155659808</v>
      </c>
      <c r="R579">
        <f t="shared" ca="1" si="286"/>
        <v>3.8141460404132466E-3</v>
      </c>
      <c r="S579">
        <f t="shared" ca="1" si="287"/>
        <v>1.0000000000000004</v>
      </c>
      <c r="T579">
        <f t="shared" ca="1" si="288"/>
        <v>35.686426155594638</v>
      </c>
      <c r="U579">
        <f t="shared" ca="1" si="309"/>
        <v>-3.3622728137743252E-3</v>
      </c>
      <c r="V579">
        <f t="shared" ca="1" si="310"/>
        <v>1</v>
      </c>
      <c r="W579">
        <f t="shared" ca="1" si="289"/>
        <v>1.70691401861137</v>
      </c>
      <c r="X579">
        <f t="shared" ca="1" si="290"/>
        <v>8.8759528967791237</v>
      </c>
      <c r="Y579">
        <f t="shared" ca="1" si="291"/>
        <v>1.030430704957618</v>
      </c>
      <c r="Z579">
        <f t="shared" ca="1" si="292"/>
        <v>5.7402287498042686</v>
      </c>
      <c r="AA579">
        <f t="shared" ca="1" si="293"/>
        <v>634.01091401861129</v>
      </c>
      <c r="AB579">
        <f t="shared" ca="1" si="294"/>
        <v>635.69033430913521</v>
      </c>
      <c r="AC579">
        <f t="shared" ca="1" si="295"/>
        <v>7.1233212147400618E-3</v>
      </c>
      <c r="AD579">
        <f t="shared" ca="1" si="296"/>
        <v>1.4027777644163388</v>
      </c>
      <c r="AE579">
        <f t="shared" ca="1" si="297"/>
        <v>37.388154999194242</v>
      </c>
      <c r="AF579">
        <f t="shared" ca="1" si="298"/>
        <v>6.698895127783544E-3</v>
      </c>
      <c r="AG579">
        <f t="shared" ca="1" si="299"/>
        <v>0</v>
      </c>
      <c r="AH579">
        <f ca="1">IFERROR(IF(V32="Supercritical",MAX($D$16,IFERROR(L579,MAX($D$16,POWER((ABS(K579)^2)/($I$5*MAX(F579,0.1)^2),1/3)))),IF(V32="Subcritical",MAX($D$16,IFERROR(W579,MAX($D$16,POWER((ABS(K579)^2)/($I$5*MAX(F579,0.1)^2),1/3)))),IF(AND(IFERROR(V579,0)=1,IFERROR(AG579,0)=1),IF(IFERROR(T579,-1E+99)&gt;=IFERROR(AE579,-1E+99),MAX($D$16,IFERROR(L579,MAX($D$16,POWER((ABS(K579)^2)/($I$5*MAX(F579,0.1)^2),1/3)))),MAX($D$16,IFERROR(W579,MAX($D$16,POWER((ABS(K579)^2)/($I$5*MAX(F579,0.1)^2),1/3))))),IF(IFERROR(V579,0)=1,MAX($D$16,IFERROR(L579,MAX($D$16,POWER((ABS(K579)^2)/($I$5*MAX(F579,0.1)^2),1/3)))),IF(IFERROR(AG579,0)=1,MAX($D$16,IFERROR(W579,MAX($D$16,POWER((ABS(K579)^2)/($I$5*MAX(F579,0.1)^2),1/3)))),MAX($D$16,POWER((ABS(K579)^2)/($I$5*MAX(F579,0.1)^2),1/3))))))),MAX($D$16,POWER((ABS(K579)^2)/($I$5*MAX(F579,0.1)^2),1/3)))</f>
        <v>2.1389677043987478</v>
      </c>
      <c r="AI579">
        <f t="shared" ca="1" si="300"/>
        <v>634.44296770439871</v>
      </c>
      <c r="AJ579">
        <f t="shared" ca="1" si="301"/>
        <v>635.51245155659808</v>
      </c>
      <c r="AM579">
        <v>0</v>
      </c>
      <c r="AN579">
        <v>0</v>
      </c>
      <c r="AO579">
        <f t="shared" si="302"/>
        <v>0</v>
      </c>
      <c r="AP579">
        <f t="shared" si="311"/>
        <v>0</v>
      </c>
      <c r="AQ579">
        <f t="shared" ca="1" si="303"/>
        <v>1.0000000000000004</v>
      </c>
      <c r="AR579" t="str">
        <f t="shared" ca="1" si="304"/>
        <v>Supercritical</v>
      </c>
      <c r="AS579">
        <f t="shared" ca="1" si="305"/>
        <v>3.8141460404132466E-3</v>
      </c>
    </row>
    <row r="580" spans="1:45" x14ac:dyDescent="0.35">
      <c r="A580">
        <v>519</v>
      </c>
      <c r="B580">
        <v>517.99599999999998</v>
      </c>
      <c r="C580">
        <v>616197.07999999996</v>
      </c>
      <c r="D580">
        <v>3097463.1979999999</v>
      </c>
      <c r="E580">
        <v>632.30349999999999</v>
      </c>
      <c r="F580">
        <v>5.2</v>
      </c>
      <c r="G580">
        <v>0</v>
      </c>
      <c r="H580" t="s">
        <v>154</v>
      </c>
      <c r="I580">
        <v>2.7E-2</v>
      </c>
      <c r="J580">
        <f t="shared" si="306"/>
        <v>1</v>
      </c>
      <c r="K580">
        <f t="shared" ca="1" si="307"/>
        <v>50.95</v>
      </c>
      <c r="L580">
        <f t="shared" ca="1" si="308"/>
        <v>2.1389677043987478</v>
      </c>
      <c r="M580">
        <f t="shared" ca="1" si="281"/>
        <v>11.122632062873489</v>
      </c>
      <c r="N580">
        <f t="shared" ca="1" si="282"/>
        <v>1.1735290000551568</v>
      </c>
      <c r="O580">
        <f t="shared" ca="1" si="283"/>
        <v>4.5807502857230418</v>
      </c>
      <c r="P580">
        <f t="shared" ca="1" si="284"/>
        <v>634.44246770439872</v>
      </c>
      <c r="Q580">
        <f t="shared" ca="1" si="285"/>
        <v>635.51195155659809</v>
      </c>
      <c r="R580">
        <f t="shared" ca="1" si="286"/>
        <v>3.8141460404132466E-3</v>
      </c>
      <c r="S580">
        <f t="shared" ca="1" si="287"/>
        <v>1.0000000000000004</v>
      </c>
      <c r="T580">
        <f t="shared" ca="1" si="288"/>
        <v>35.686426155594638</v>
      </c>
      <c r="U580">
        <f t="shared" ca="1" si="309"/>
        <v>-3.3622728137743252E-3</v>
      </c>
      <c r="V580">
        <f t="shared" ca="1" si="310"/>
        <v>1</v>
      </c>
      <c r="W580">
        <f t="shared" ca="1" si="289"/>
        <v>1.7069139072119854</v>
      </c>
      <c r="X580">
        <f t="shared" ca="1" si="290"/>
        <v>8.8759523175023247</v>
      </c>
      <c r="Y580">
        <f t="shared" ca="1" si="291"/>
        <v>1.0304306643603234</v>
      </c>
      <c r="Z580">
        <f t="shared" ca="1" si="292"/>
        <v>5.7402291244323891</v>
      </c>
      <c r="AA580">
        <f t="shared" ca="1" si="293"/>
        <v>634.01041390721196</v>
      </c>
      <c r="AB580">
        <f t="shared" ca="1" si="294"/>
        <v>635.68983441694604</v>
      </c>
      <c r="AC580">
        <f t="shared" ca="1" si="295"/>
        <v>7.1233225187240139E-3</v>
      </c>
      <c r="AD580">
        <f t="shared" ca="1" si="296"/>
        <v>1.4027779017418782</v>
      </c>
      <c r="AE580">
        <f t="shared" ca="1" si="297"/>
        <v>37.388155956117124</v>
      </c>
      <c r="AF580">
        <f t="shared" ca="1" si="298"/>
        <v>6.6805769823758965E-3</v>
      </c>
      <c r="AG580">
        <f t="shared" ca="1" si="299"/>
        <v>0</v>
      </c>
      <c r="AH580">
        <f ca="1">IFERROR(IF(V32="Supercritical",MAX($D$16,IFERROR(L580,MAX($D$16,POWER((ABS(K580)^2)/($I$5*MAX(F580,0.1)^2),1/3)))),IF(V32="Subcritical",MAX($D$16,IFERROR(W580,MAX($D$16,POWER((ABS(K580)^2)/($I$5*MAX(F580,0.1)^2),1/3)))),IF(AND(IFERROR(V580,0)=1,IFERROR(AG580,0)=1),IF(IFERROR(T580,-1E+99)&gt;=IFERROR(AE580,-1E+99),MAX($D$16,IFERROR(L580,MAX($D$16,POWER((ABS(K580)^2)/($I$5*MAX(F580,0.1)^2),1/3)))),MAX($D$16,IFERROR(W580,MAX($D$16,POWER((ABS(K580)^2)/($I$5*MAX(F580,0.1)^2),1/3))))),IF(IFERROR(V580,0)=1,MAX($D$16,IFERROR(L580,MAX($D$16,POWER((ABS(K580)^2)/($I$5*MAX(F580,0.1)^2),1/3)))),IF(IFERROR(AG580,0)=1,MAX($D$16,IFERROR(W580,MAX($D$16,POWER((ABS(K580)^2)/($I$5*MAX(F580,0.1)^2),1/3)))),MAX($D$16,POWER((ABS(K580)^2)/($I$5*MAX(F580,0.1)^2),1/3))))))),MAX($D$16,POWER((ABS(K580)^2)/($I$5*MAX(F580,0.1)^2),1/3)))</f>
        <v>2.1389677043987478</v>
      </c>
      <c r="AI580">
        <f t="shared" ca="1" si="300"/>
        <v>634.44246770439872</v>
      </c>
      <c r="AJ580">
        <f t="shared" ca="1" si="301"/>
        <v>635.51195155659809</v>
      </c>
      <c r="AM580">
        <v>0</v>
      </c>
      <c r="AN580">
        <v>0</v>
      </c>
      <c r="AO580">
        <f t="shared" si="302"/>
        <v>0</v>
      </c>
      <c r="AP580">
        <f t="shared" si="311"/>
        <v>0</v>
      </c>
      <c r="AQ580">
        <f t="shared" ca="1" si="303"/>
        <v>1.0000000000000004</v>
      </c>
      <c r="AR580" t="str">
        <f t="shared" ca="1" si="304"/>
        <v>Supercritical</v>
      </c>
      <c r="AS580">
        <f t="shared" ca="1" si="305"/>
        <v>3.8141460404132466E-3</v>
      </c>
    </row>
    <row r="581" spans="1:45" x14ac:dyDescent="0.35">
      <c r="A581">
        <v>520</v>
      </c>
      <c r="B581">
        <v>518.995</v>
      </c>
      <c r="C581">
        <v>616196.60600000003</v>
      </c>
      <c r="D581">
        <v>3097462.318</v>
      </c>
      <c r="E581">
        <v>632.303</v>
      </c>
      <c r="F581">
        <v>5.2</v>
      </c>
      <c r="G581">
        <v>0</v>
      </c>
      <c r="H581" t="s">
        <v>154</v>
      </c>
      <c r="I581">
        <v>2.3E-2</v>
      </c>
      <c r="J581">
        <f t="shared" si="306"/>
        <v>0.99900000000002365</v>
      </c>
      <c r="K581">
        <f t="shared" ca="1" si="307"/>
        <v>50.95</v>
      </c>
      <c r="L581">
        <f t="shared" ca="1" si="308"/>
        <v>2.1389677043987478</v>
      </c>
      <c r="M581">
        <f t="shared" ca="1" si="281"/>
        <v>11.122632062873489</v>
      </c>
      <c r="N581">
        <f t="shared" ca="1" si="282"/>
        <v>1.1735290000551568</v>
      </c>
      <c r="O581">
        <f t="shared" ca="1" si="283"/>
        <v>4.5807502857230418</v>
      </c>
      <c r="P581">
        <f t="shared" ca="1" si="284"/>
        <v>634.44196770439873</v>
      </c>
      <c r="Q581">
        <f t="shared" ca="1" si="285"/>
        <v>635.5114515565981</v>
      </c>
      <c r="R581">
        <f t="shared" ca="1" si="286"/>
        <v>3.8141460404132466E-3</v>
      </c>
      <c r="S581">
        <f t="shared" ca="1" si="287"/>
        <v>1.0000000000000004</v>
      </c>
      <c r="T581">
        <f t="shared" ca="1" si="288"/>
        <v>35.686426155594638</v>
      </c>
      <c r="U581">
        <f t="shared" ca="1" si="309"/>
        <v>-3.3513287753521581E-3</v>
      </c>
      <c r="V581">
        <f t="shared" ca="1" si="310"/>
        <v>1</v>
      </c>
      <c r="W581">
        <f t="shared" ca="1" si="289"/>
        <v>1.706913803203314</v>
      </c>
      <c r="X581">
        <f t="shared" ca="1" si="290"/>
        <v>8.8759517766572333</v>
      </c>
      <c r="Y581">
        <f t="shared" ca="1" si="291"/>
        <v>1.0304306264564254</v>
      </c>
      <c r="Z581">
        <f t="shared" ca="1" si="292"/>
        <v>5.7402294742061173</v>
      </c>
      <c r="AA581">
        <f t="shared" ca="1" si="293"/>
        <v>634.00991380320329</v>
      </c>
      <c r="AB581">
        <f t="shared" ca="1" si="294"/>
        <v>635.68933451760415</v>
      </c>
      <c r="AC581">
        <f t="shared" ca="1" si="295"/>
        <v>7.1233237361963842E-3</v>
      </c>
      <c r="AD581">
        <f t="shared" ca="1" si="296"/>
        <v>1.4027780299566728</v>
      </c>
      <c r="AE581">
        <f t="shared" ca="1" si="297"/>
        <v>37.388156849553937</v>
      </c>
      <c r="AF581">
        <f t="shared" ca="1" si="298"/>
        <v>6.694824853980208E-3</v>
      </c>
      <c r="AG581">
        <f t="shared" ca="1" si="299"/>
        <v>0</v>
      </c>
      <c r="AH581">
        <f ca="1">IFERROR(IF(V32="Supercritical",MAX($D$16,IFERROR(L581,MAX($D$16,POWER((ABS(K581)^2)/($I$5*MAX(F581,0.1)^2),1/3)))),IF(V32="Subcritical",MAX($D$16,IFERROR(W581,MAX($D$16,POWER((ABS(K581)^2)/($I$5*MAX(F581,0.1)^2),1/3)))),IF(AND(IFERROR(V581,0)=1,IFERROR(AG581,0)=1),IF(IFERROR(T581,-1E+99)&gt;=IFERROR(AE581,-1E+99),MAX($D$16,IFERROR(L581,MAX($D$16,POWER((ABS(K581)^2)/($I$5*MAX(F581,0.1)^2),1/3)))),MAX($D$16,IFERROR(W581,MAX($D$16,POWER((ABS(K581)^2)/($I$5*MAX(F581,0.1)^2),1/3))))),IF(IFERROR(V581,0)=1,MAX($D$16,IFERROR(L581,MAX($D$16,POWER((ABS(K581)^2)/($I$5*MAX(F581,0.1)^2),1/3)))),IF(IFERROR(AG581,0)=1,MAX($D$16,IFERROR(W581,MAX($D$16,POWER((ABS(K581)^2)/($I$5*MAX(F581,0.1)^2),1/3)))),MAX($D$16,POWER((ABS(K581)^2)/($I$5*MAX(F581,0.1)^2),1/3))))))),MAX($D$16,POWER((ABS(K581)^2)/($I$5*MAX(F581,0.1)^2),1/3)))</f>
        <v>2.1389677043987478</v>
      </c>
      <c r="AI581">
        <f t="shared" ca="1" si="300"/>
        <v>634.44196770439873</v>
      </c>
      <c r="AJ581">
        <f t="shared" ca="1" si="301"/>
        <v>635.5114515565981</v>
      </c>
      <c r="AM581">
        <v>0</v>
      </c>
      <c r="AN581">
        <v>0</v>
      </c>
      <c r="AO581">
        <f t="shared" si="302"/>
        <v>0</v>
      </c>
      <c r="AP581">
        <f t="shared" si="311"/>
        <v>0</v>
      </c>
      <c r="AQ581">
        <f t="shared" ca="1" si="303"/>
        <v>1.0000000000000004</v>
      </c>
      <c r="AR581" t="str">
        <f t="shared" ca="1" si="304"/>
        <v>Supercritical</v>
      </c>
      <c r="AS581">
        <f t="shared" ca="1" si="305"/>
        <v>3.8141460404132466E-3</v>
      </c>
    </row>
    <row r="582" spans="1:45" x14ac:dyDescent="0.35">
      <c r="A582">
        <v>521</v>
      </c>
      <c r="B582">
        <v>519.99599999999998</v>
      </c>
      <c r="C582">
        <v>616196.13100000005</v>
      </c>
      <c r="D582">
        <v>3097461.4369999999</v>
      </c>
      <c r="E582">
        <v>632.30250000000001</v>
      </c>
      <c r="F582">
        <v>5.2</v>
      </c>
      <c r="G582">
        <v>0</v>
      </c>
      <c r="H582" t="s">
        <v>154</v>
      </c>
      <c r="I582">
        <v>2.3E-2</v>
      </c>
      <c r="J582">
        <f t="shared" si="306"/>
        <v>1.0009999999999764</v>
      </c>
      <c r="K582">
        <f t="shared" ca="1" si="307"/>
        <v>50.95</v>
      </c>
      <c r="L582">
        <f t="shared" ca="1" si="308"/>
        <v>2.1389677043987478</v>
      </c>
      <c r="M582">
        <f t="shared" ca="1" si="281"/>
        <v>11.122632062873489</v>
      </c>
      <c r="N582">
        <f t="shared" ca="1" si="282"/>
        <v>1.1735290000551568</v>
      </c>
      <c r="O582">
        <f t="shared" ca="1" si="283"/>
        <v>4.5807502857230418</v>
      </c>
      <c r="P582">
        <f t="shared" ca="1" si="284"/>
        <v>634.44146770439875</v>
      </c>
      <c r="Q582">
        <f t="shared" ca="1" si="285"/>
        <v>635.51095155659812</v>
      </c>
      <c r="R582">
        <f t="shared" ca="1" si="286"/>
        <v>3.8141460404132466E-3</v>
      </c>
      <c r="S582">
        <f t="shared" ca="1" si="287"/>
        <v>1.0000000000000004</v>
      </c>
      <c r="T582">
        <f t="shared" ca="1" si="288"/>
        <v>35.686426155594638</v>
      </c>
      <c r="U582">
        <f t="shared" ca="1" si="309"/>
        <v>-3.3589570674621427E-3</v>
      </c>
      <c r="V582">
        <f t="shared" ca="1" si="310"/>
        <v>1</v>
      </c>
      <c r="W582">
        <f t="shared" ca="1" si="289"/>
        <v>1.7069137060949617</v>
      </c>
      <c r="X582">
        <f t="shared" ca="1" si="290"/>
        <v>8.8759512716938005</v>
      </c>
      <c r="Y582">
        <f t="shared" ca="1" si="291"/>
        <v>1.0304305910672102</v>
      </c>
      <c r="Z582">
        <f t="shared" ca="1" si="292"/>
        <v>5.7402298007746042</v>
      </c>
      <c r="AA582">
        <f t="shared" ca="1" si="293"/>
        <v>634.00941370609496</v>
      </c>
      <c r="AB582">
        <f t="shared" ca="1" si="294"/>
        <v>635.6888346115843</v>
      </c>
      <c r="AC582">
        <f t="shared" ca="1" si="295"/>
        <v>7.1233248728974049E-3</v>
      </c>
      <c r="AD582">
        <f t="shared" ca="1" si="296"/>
        <v>1.4027781496652418</v>
      </c>
      <c r="AE582">
        <f t="shared" ca="1" si="297"/>
        <v>37.388157683717104</v>
      </c>
      <c r="AF582">
        <f t="shared" ca="1" si="298"/>
        <v>6.6233248728622129E-3</v>
      </c>
      <c r="AG582">
        <f t="shared" ca="1" si="299"/>
        <v>0</v>
      </c>
      <c r="AH582">
        <f ca="1">IFERROR(IF(V32="Supercritical",MAX($D$16,IFERROR(L582,MAX($D$16,POWER((ABS(K582)^2)/($I$5*MAX(F582,0.1)^2),1/3)))),IF(V32="Subcritical",MAX($D$16,IFERROR(W582,MAX($D$16,POWER((ABS(K582)^2)/($I$5*MAX(F582,0.1)^2),1/3)))),IF(AND(IFERROR(V582,0)=1,IFERROR(AG582,0)=1),IF(IFERROR(T582,-1E+99)&gt;=IFERROR(AE582,-1E+99),MAX($D$16,IFERROR(L582,MAX($D$16,POWER((ABS(K582)^2)/($I$5*MAX(F582,0.1)^2),1/3)))),MAX($D$16,IFERROR(W582,MAX($D$16,POWER((ABS(K582)^2)/($I$5*MAX(F582,0.1)^2),1/3))))),IF(IFERROR(V582,0)=1,MAX($D$16,IFERROR(L582,MAX($D$16,POWER((ABS(K582)^2)/($I$5*MAX(F582,0.1)^2),1/3)))),IF(IFERROR(AG582,0)=1,MAX($D$16,IFERROR(W582,MAX($D$16,POWER((ABS(K582)^2)/($I$5*MAX(F582,0.1)^2),1/3)))),MAX($D$16,POWER((ABS(K582)^2)/($I$5*MAX(F582,0.1)^2),1/3))))))),MAX($D$16,POWER((ABS(K582)^2)/($I$5*MAX(F582,0.1)^2),1/3)))</f>
        <v>2.1389677043987478</v>
      </c>
      <c r="AI582">
        <f t="shared" ca="1" si="300"/>
        <v>634.44146770439875</v>
      </c>
      <c r="AJ582">
        <f t="shared" ca="1" si="301"/>
        <v>635.51095155659812</v>
      </c>
      <c r="AM582">
        <v>0</v>
      </c>
      <c r="AN582">
        <v>0</v>
      </c>
      <c r="AO582">
        <f t="shared" si="302"/>
        <v>0</v>
      </c>
      <c r="AP582">
        <f t="shared" si="311"/>
        <v>0</v>
      </c>
      <c r="AQ582">
        <f t="shared" ca="1" si="303"/>
        <v>1.0000000000000004</v>
      </c>
      <c r="AR582" t="str">
        <f t="shared" ca="1" si="304"/>
        <v>Supercritical</v>
      </c>
      <c r="AS582">
        <f t="shared" ca="1" si="305"/>
        <v>3.8141460404132466E-3</v>
      </c>
    </row>
    <row r="583" spans="1:45" x14ac:dyDescent="0.35">
      <c r="A583">
        <v>522</v>
      </c>
      <c r="B583">
        <v>520.99599999999998</v>
      </c>
      <c r="C583">
        <v>616195.65700000001</v>
      </c>
      <c r="D583">
        <v>3097460.557</v>
      </c>
      <c r="E583">
        <v>632.30200000000002</v>
      </c>
      <c r="F583">
        <v>5.2</v>
      </c>
      <c r="G583">
        <v>0</v>
      </c>
      <c r="H583" t="s">
        <v>154</v>
      </c>
      <c r="I583">
        <v>0</v>
      </c>
      <c r="J583">
        <f t="shared" si="306"/>
        <v>1</v>
      </c>
      <c r="K583">
        <f t="shared" ca="1" si="307"/>
        <v>50.95</v>
      </c>
      <c r="L583">
        <f t="shared" ca="1" si="308"/>
        <v>2.1389677043987478</v>
      </c>
      <c r="M583">
        <f t="shared" ca="1" si="281"/>
        <v>11.122632062873489</v>
      </c>
      <c r="N583">
        <f t="shared" ca="1" si="282"/>
        <v>1.1735290000551568</v>
      </c>
      <c r="O583">
        <f t="shared" ca="1" si="283"/>
        <v>4.5807502857230418</v>
      </c>
      <c r="P583">
        <f t="shared" ca="1" si="284"/>
        <v>634.44096770439876</v>
      </c>
      <c r="Q583">
        <f t="shared" ca="1" si="285"/>
        <v>635.51045155659813</v>
      </c>
      <c r="R583">
        <f t="shared" ca="1" si="286"/>
        <v>3.8141460404132466E-3</v>
      </c>
      <c r="S583">
        <f t="shared" ca="1" si="287"/>
        <v>1.0000000000000004</v>
      </c>
      <c r="T583">
        <f t="shared" ca="1" si="288"/>
        <v>35.686426155594638</v>
      </c>
      <c r="U583">
        <f t="shared" ca="1" si="309"/>
        <v>-3.3141460404522149E-3</v>
      </c>
      <c r="V583">
        <f t="shared" ca="1" si="310"/>
        <v>1</v>
      </c>
      <c r="W583">
        <f t="shared" ca="1" si="289"/>
        <v>1.7069136154291573</v>
      </c>
      <c r="X583">
        <f t="shared" ca="1" si="290"/>
        <v>8.8759508002316192</v>
      </c>
      <c r="Y583">
        <f t="shared" ca="1" si="291"/>
        <v>1.0304305580258528</v>
      </c>
      <c r="Z583">
        <f t="shared" ca="1" si="292"/>
        <v>5.7402301056772931</v>
      </c>
      <c r="AA583">
        <f t="shared" ca="1" si="293"/>
        <v>634.00891361542915</v>
      </c>
      <c r="AB583">
        <f t="shared" ca="1" si="294"/>
        <v>635.6883346993294</v>
      </c>
      <c r="AC583">
        <f t="shared" ca="1" si="295"/>
        <v>7.1233259341854545E-3</v>
      </c>
      <c r="AD583">
        <f t="shared" ca="1" si="296"/>
        <v>1.4027782614318913</v>
      </c>
      <c r="AE583">
        <f t="shared" ca="1" si="297"/>
        <v>37.388158462538833</v>
      </c>
      <c r="AF583">
        <f t="shared" ca="1" si="298"/>
        <v>6.6917765569769472E-3</v>
      </c>
      <c r="AG583">
        <f t="shared" ca="1" si="299"/>
        <v>0</v>
      </c>
      <c r="AH583">
        <f ca="1">IFERROR(IF(V32="Supercritical",MAX($D$16,IFERROR(L583,MAX($D$16,POWER((ABS(K583)^2)/($I$5*MAX(F583,0.1)^2),1/3)))),IF(V32="Subcritical",MAX($D$16,IFERROR(W583,MAX($D$16,POWER((ABS(K583)^2)/($I$5*MAX(F583,0.1)^2),1/3)))),IF(AND(IFERROR(V583,0)=1,IFERROR(AG583,0)=1),IF(IFERROR(T583,-1E+99)&gt;=IFERROR(AE583,-1E+99),MAX($D$16,IFERROR(L583,MAX($D$16,POWER((ABS(K583)^2)/($I$5*MAX(F583,0.1)^2),1/3)))),MAX($D$16,IFERROR(W583,MAX($D$16,POWER((ABS(K583)^2)/($I$5*MAX(F583,0.1)^2),1/3))))),IF(IFERROR(V583,0)=1,MAX($D$16,IFERROR(L583,MAX($D$16,POWER((ABS(K583)^2)/($I$5*MAX(F583,0.1)^2),1/3)))),IF(IFERROR(AG583,0)=1,MAX($D$16,IFERROR(W583,MAX($D$16,POWER((ABS(K583)^2)/($I$5*MAX(F583,0.1)^2),1/3)))),MAX($D$16,POWER((ABS(K583)^2)/($I$5*MAX(F583,0.1)^2),1/3))))))),MAX($D$16,POWER((ABS(K583)^2)/($I$5*MAX(F583,0.1)^2),1/3)))</f>
        <v>2.1389677043987478</v>
      </c>
      <c r="AI583">
        <f t="shared" ca="1" si="300"/>
        <v>634.44096770439876</v>
      </c>
      <c r="AJ583">
        <f t="shared" ca="1" si="301"/>
        <v>635.51045155659813</v>
      </c>
      <c r="AM583">
        <v>0</v>
      </c>
      <c r="AN583">
        <v>0</v>
      </c>
      <c r="AO583">
        <f t="shared" si="302"/>
        <v>0</v>
      </c>
      <c r="AP583">
        <f t="shared" si="311"/>
        <v>0</v>
      </c>
      <c r="AQ583">
        <f t="shared" ca="1" si="303"/>
        <v>1.0000000000000004</v>
      </c>
      <c r="AR583" t="str">
        <f t="shared" ca="1" si="304"/>
        <v>Supercritical</v>
      </c>
      <c r="AS583">
        <f t="shared" ca="1" si="305"/>
        <v>3.8141460404132466E-3</v>
      </c>
    </row>
    <row r="584" spans="1:45" x14ac:dyDescent="0.35">
      <c r="A584">
        <v>523</v>
      </c>
      <c r="B584">
        <v>521.995</v>
      </c>
      <c r="C584">
        <v>616195.18299999996</v>
      </c>
      <c r="D584">
        <v>3097459.6770000001</v>
      </c>
      <c r="E584">
        <v>632.30150000000003</v>
      </c>
      <c r="F584">
        <v>5.2</v>
      </c>
      <c r="G584">
        <v>0</v>
      </c>
      <c r="H584" t="s">
        <v>154</v>
      </c>
      <c r="I584">
        <v>2.7E-2</v>
      </c>
      <c r="J584">
        <f t="shared" si="306"/>
        <v>0.99900000000002365</v>
      </c>
      <c r="K584">
        <f t="shared" ca="1" si="307"/>
        <v>50.95</v>
      </c>
      <c r="L584">
        <f t="shared" ca="1" si="308"/>
        <v>2.1389677043987478</v>
      </c>
      <c r="M584">
        <f t="shared" ca="1" si="281"/>
        <v>11.122632062873489</v>
      </c>
      <c r="N584">
        <f t="shared" ca="1" si="282"/>
        <v>1.1735290000551568</v>
      </c>
      <c r="O584">
        <f t="shared" ca="1" si="283"/>
        <v>4.5807502857230418</v>
      </c>
      <c r="P584">
        <f t="shared" ca="1" si="284"/>
        <v>634.44046770439877</v>
      </c>
      <c r="Q584">
        <f t="shared" ca="1" si="285"/>
        <v>635.50995155659814</v>
      </c>
      <c r="R584">
        <f t="shared" ca="1" si="286"/>
        <v>3.8141460404132466E-3</v>
      </c>
      <c r="S584">
        <f t="shared" ca="1" si="287"/>
        <v>1.0000000000000004</v>
      </c>
      <c r="T584">
        <f t="shared" ca="1" si="288"/>
        <v>35.686426155594638</v>
      </c>
      <c r="U584">
        <f t="shared" ca="1" si="309"/>
        <v>-3.3584586676624895E-3</v>
      </c>
      <c r="V584">
        <f t="shared" ca="1" si="310"/>
        <v>1</v>
      </c>
      <c r="W584">
        <f t="shared" ca="1" si="289"/>
        <v>1.7069135307785006</v>
      </c>
      <c r="X584">
        <f t="shared" ca="1" si="290"/>
        <v>8.8759503600482041</v>
      </c>
      <c r="Y584">
        <f t="shared" ca="1" si="291"/>
        <v>1.0304305271765952</v>
      </c>
      <c r="Z584">
        <f t="shared" ca="1" si="292"/>
        <v>5.7402303903514955</v>
      </c>
      <c r="AA584">
        <f t="shared" ca="1" si="293"/>
        <v>634.00841353077851</v>
      </c>
      <c r="AB584">
        <f t="shared" ca="1" si="294"/>
        <v>635.68783478125329</v>
      </c>
      <c r="AC584">
        <f t="shared" ca="1" si="295"/>
        <v>7.1233269250634357E-3</v>
      </c>
      <c r="AD584">
        <f t="shared" ca="1" si="296"/>
        <v>1.4027783657834889</v>
      </c>
      <c r="AE584">
        <f t="shared" ca="1" si="297"/>
        <v>37.388159189690477</v>
      </c>
      <c r="AF584">
        <f t="shared" ca="1" si="298"/>
        <v>6.7060242082561672E-3</v>
      </c>
      <c r="AG584">
        <f t="shared" ca="1" si="299"/>
        <v>0</v>
      </c>
      <c r="AH584">
        <f ca="1">IFERROR(IF(V32="Supercritical",MAX($D$16,IFERROR(L584,MAX($D$16,POWER((ABS(K584)^2)/($I$5*MAX(F584,0.1)^2),1/3)))),IF(V32="Subcritical",MAX($D$16,IFERROR(W584,MAX($D$16,POWER((ABS(K584)^2)/($I$5*MAX(F584,0.1)^2),1/3)))),IF(AND(IFERROR(V584,0)=1,IFERROR(AG584,0)=1),IF(IFERROR(T584,-1E+99)&gt;=IFERROR(AE584,-1E+99),MAX($D$16,IFERROR(L584,MAX($D$16,POWER((ABS(K584)^2)/($I$5*MAX(F584,0.1)^2),1/3)))),MAX($D$16,IFERROR(W584,MAX($D$16,POWER((ABS(K584)^2)/($I$5*MAX(F584,0.1)^2),1/3))))),IF(IFERROR(V584,0)=1,MAX($D$16,IFERROR(L584,MAX($D$16,POWER((ABS(K584)^2)/($I$5*MAX(F584,0.1)^2),1/3)))),IF(IFERROR(AG584,0)=1,MAX($D$16,IFERROR(W584,MAX($D$16,POWER((ABS(K584)^2)/($I$5*MAX(F584,0.1)^2),1/3)))),MAX($D$16,POWER((ABS(K584)^2)/($I$5*MAX(F584,0.1)^2),1/3))))))),MAX($D$16,POWER((ABS(K584)^2)/($I$5*MAX(F584,0.1)^2),1/3)))</f>
        <v>2.1389677043987478</v>
      </c>
      <c r="AI584">
        <f t="shared" ca="1" si="300"/>
        <v>634.44046770439877</v>
      </c>
      <c r="AJ584">
        <f t="shared" ca="1" si="301"/>
        <v>635.50995155659814</v>
      </c>
      <c r="AM584">
        <v>0</v>
      </c>
      <c r="AN584">
        <v>0</v>
      </c>
      <c r="AO584">
        <f t="shared" si="302"/>
        <v>0</v>
      </c>
      <c r="AP584">
        <f t="shared" si="311"/>
        <v>0</v>
      </c>
      <c r="AQ584">
        <f t="shared" ca="1" si="303"/>
        <v>1.0000000000000004</v>
      </c>
      <c r="AR584" t="str">
        <f t="shared" ca="1" si="304"/>
        <v>Supercritical</v>
      </c>
      <c r="AS584">
        <f t="shared" ca="1" si="305"/>
        <v>3.8141460404132466E-3</v>
      </c>
    </row>
    <row r="585" spans="1:45" x14ac:dyDescent="0.35">
      <c r="A585">
        <v>524</v>
      </c>
      <c r="B585">
        <v>522.99599999999998</v>
      </c>
      <c r="C585">
        <v>616194.70900000003</v>
      </c>
      <c r="D585">
        <v>3097458.7960000001</v>
      </c>
      <c r="E585">
        <v>632.30100000000004</v>
      </c>
      <c r="F585">
        <v>5.2</v>
      </c>
      <c r="G585">
        <v>0</v>
      </c>
      <c r="H585" t="s">
        <v>154</v>
      </c>
      <c r="I585">
        <v>2.7E-2</v>
      </c>
      <c r="J585">
        <f t="shared" si="306"/>
        <v>1.0009999999999764</v>
      </c>
      <c r="K585">
        <f t="shared" ca="1" si="307"/>
        <v>50.95</v>
      </c>
      <c r="L585">
        <f t="shared" ca="1" si="308"/>
        <v>2.1389677043987478</v>
      </c>
      <c r="M585">
        <f t="shared" ca="1" si="281"/>
        <v>11.122632062873489</v>
      </c>
      <c r="N585">
        <f t="shared" ca="1" si="282"/>
        <v>1.1735290000551568</v>
      </c>
      <c r="O585">
        <f t="shared" ca="1" si="283"/>
        <v>4.5807502857230418</v>
      </c>
      <c r="P585">
        <f t="shared" ca="1" si="284"/>
        <v>634.43996770439878</v>
      </c>
      <c r="Q585">
        <f t="shared" ca="1" si="285"/>
        <v>635.50945155659815</v>
      </c>
      <c r="R585">
        <f t="shared" ca="1" si="286"/>
        <v>3.8141460404132466E-3</v>
      </c>
      <c r="S585">
        <f t="shared" ca="1" si="287"/>
        <v>1.0000000000000004</v>
      </c>
      <c r="T585">
        <f t="shared" ca="1" si="288"/>
        <v>35.686426155594638</v>
      </c>
      <c r="U585">
        <f t="shared" ca="1" si="309"/>
        <v>-3.3660869597724741E-3</v>
      </c>
      <c r="V585">
        <f t="shared" ca="1" si="310"/>
        <v>1</v>
      </c>
      <c r="W585">
        <f t="shared" ca="1" si="289"/>
        <v>1.7069134517439168</v>
      </c>
      <c r="X585">
        <f t="shared" ca="1" si="290"/>
        <v>8.8759499490683673</v>
      </c>
      <c r="Y585">
        <f t="shared" ca="1" si="291"/>
        <v>1.0304304983740036</v>
      </c>
      <c r="Z585">
        <f t="shared" ca="1" si="292"/>
        <v>5.7402306561392669</v>
      </c>
      <c r="AA585">
        <f t="shared" ca="1" si="293"/>
        <v>634.007913451744</v>
      </c>
      <c r="AB585">
        <f t="shared" ca="1" si="294"/>
        <v>635.68733485774203</v>
      </c>
      <c r="AC585">
        <f t="shared" ca="1" si="295"/>
        <v>7.1233278502026657E-3</v>
      </c>
      <c r="AD585">
        <f t="shared" ca="1" si="296"/>
        <v>1.4027784632119844</v>
      </c>
      <c r="AE585">
        <f t="shared" ca="1" si="297"/>
        <v>37.388159868600056</v>
      </c>
      <c r="AF585">
        <f t="shared" ca="1" si="298"/>
        <v>6.6805823429376687E-3</v>
      </c>
      <c r="AG585">
        <f t="shared" ca="1" si="299"/>
        <v>0</v>
      </c>
      <c r="AH585">
        <f ca="1">IFERROR(IF(V32="Supercritical",MAX($D$16,IFERROR(L585,MAX($D$16,POWER((ABS(K585)^2)/($I$5*MAX(F585,0.1)^2),1/3)))),IF(V32="Subcritical",MAX($D$16,IFERROR(W585,MAX($D$16,POWER((ABS(K585)^2)/($I$5*MAX(F585,0.1)^2),1/3)))),IF(AND(IFERROR(V585,0)=1,IFERROR(AG585,0)=1),IF(IFERROR(T585,-1E+99)&gt;=IFERROR(AE585,-1E+99),MAX($D$16,IFERROR(L585,MAX($D$16,POWER((ABS(K585)^2)/($I$5*MAX(F585,0.1)^2),1/3)))),MAX($D$16,IFERROR(W585,MAX($D$16,POWER((ABS(K585)^2)/($I$5*MAX(F585,0.1)^2),1/3))))),IF(IFERROR(V585,0)=1,MAX($D$16,IFERROR(L585,MAX($D$16,POWER((ABS(K585)^2)/($I$5*MAX(F585,0.1)^2),1/3)))),IF(IFERROR(AG585,0)=1,MAX($D$16,IFERROR(W585,MAX($D$16,POWER((ABS(K585)^2)/($I$5*MAX(F585,0.1)^2),1/3)))),MAX($D$16,POWER((ABS(K585)^2)/($I$5*MAX(F585,0.1)^2),1/3))))))),MAX($D$16,POWER((ABS(K585)^2)/($I$5*MAX(F585,0.1)^2),1/3)))</f>
        <v>2.1389677043987478</v>
      </c>
      <c r="AI585">
        <f t="shared" ca="1" si="300"/>
        <v>634.43996770439878</v>
      </c>
      <c r="AJ585">
        <f t="shared" ca="1" si="301"/>
        <v>635.50945155659815</v>
      </c>
      <c r="AM585">
        <v>0</v>
      </c>
      <c r="AN585">
        <v>0</v>
      </c>
      <c r="AO585">
        <f t="shared" si="302"/>
        <v>0</v>
      </c>
      <c r="AP585">
        <f t="shared" si="311"/>
        <v>0</v>
      </c>
      <c r="AQ585">
        <f t="shared" ca="1" si="303"/>
        <v>1.0000000000000004</v>
      </c>
      <c r="AR585" t="str">
        <f t="shared" ca="1" si="304"/>
        <v>Supercritical</v>
      </c>
      <c r="AS585">
        <f t="shared" ca="1" si="305"/>
        <v>3.8141460404132466E-3</v>
      </c>
    </row>
    <row r="586" spans="1:45" x14ac:dyDescent="0.35">
      <c r="A586">
        <v>525</v>
      </c>
      <c r="B586">
        <v>523.995</v>
      </c>
      <c r="C586">
        <v>616194.23499999999</v>
      </c>
      <c r="D586">
        <v>3097457.9160000002</v>
      </c>
      <c r="E586">
        <v>632.30050000000006</v>
      </c>
      <c r="F586">
        <v>5.2</v>
      </c>
      <c r="G586">
        <v>0</v>
      </c>
      <c r="H586" t="s">
        <v>154</v>
      </c>
      <c r="I586">
        <v>2.3E-2</v>
      </c>
      <c r="J586">
        <f t="shared" si="306"/>
        <v>0.99900000000002365</v>
      </c>
      <c r="K586">
        <f t="shared" ca="1" si="307"/>
        <v>50.95</v>
      </c>
      <c r="L586">
        <f t="shared" ca="1" si="308"/>
        <v>2.1389677043987478</v>
      </c>
      <c r="M586">
        <f t="shared" ca="1" si="281"/>
        <v>11.122632062873489</v>
      </c>
      <c r="N586">
        <f t="shared" ca="1" si="282"/>
        <v>1.1735290000551568</v>
      </c>
      <c r="O586">
        <f t="shared" ca="1" si="283"/>
        <v>4.5807502857230418</v>
      </c>
      <c r="P586">
        <f t="shared" ca="1" si="284"/>
        <v>634.43946770439879</v>
      </c>
      <c r="Q586">
        <f t="shared" ca="1" si="285"/>
        <v>635.50895155659816</v>
      </c>
      <c r="R586">
        <f t="shared" ca="1" si="286"/>
        <v>3.8141460404132466E-3</v>
      </c>
      <c r="S586">
        <f t="shared" ca="1" si="287"/>
        <v>1.0000000000000004</v>
      </c>
      <c r="T586">
        <f t="shared" ca="1" si="288"/>
        <v>35.686426155594638</v>
      </c>
      <c r="U586">
        <f t="shared" ca="1" si="309"/>
        <v>-3.3513287753521581E-3</v>
      </c>
      <c r="V586">
        <f t="shared" ca="1" si="310"/>
        <v>1</v>
      </c>
      <c r="W586">
        <f t="shared" ca="1" si="289"/>
        <v>1.7069133779528145</v>
      </c>
      <c r="X586">
        <f t="shared" ca="1" si="290"/>
        <v>8.8759495653546363</v>
      </c>
      <c r="Y586">
        <f t="shared" ca="1" si="291"/>
        <v>1.0304304714822941</v>
      </c>
      <c r="Z586">
        <f t="shared" ca="1" si="292"/>
        <v>5.7402309042935968</v>
      </c>
      <c r="AA586">
        <f t="shared" ca="1" si="293"/>
        <v>634.00741337795284</v>
      </c>
      <c r="AB586">
        <f t="shared" ca="1" si="294"/>
        <v>635.68683492915602</v>
      </c>
      <c r="AC586">
        <f t="shared" ca="1" si="295"/>
        <v>7.1233287139644786E-3</v>
      </c>
      <c r="AD586">
        <f t="shared" ca="1" si="296"/>
        <v>1.4027785541766791</v>
      </c>
      <c r="AE586">
        <f t="shared" ca="1" si="297"/>
        <v>37.388160502468104</v>
      </c>
      <c r="AF586">
        <f t="shared" ca="1" si="298"/>
        <v>6.6948298687066199E-3</v>
      </c>
      <c r="AG586">
        <f t="shared" ca="1" si="299"/>
        <v>0</v>
      </c>
      <c r="AH586">
        <f ca="1">IFERROR(IF(V32="Supercritical",MAX($D$16,IFERROR(L586,MAX($D$16,POWER((ABS(K586)^2)/($I$5*MAX(F586,0.1)^2),1/3)))),IF(V32="Subcritical",MAX($D$16,IFERROR(W586,MAX($D$16,POWER((ABS(K586)^2)/($I$5*MAX(F586,0.1)^2),1/3)))),IF(AND(IFERROR(V586,0)=1,IFERROR(AG586,0)=1),IF(IFERROR(T586,-1E+99)&gt;=IFERROR(AE586,-1E+99),MAX($D$16,IFERROR(L586,MAX($D$16,POWER((ABS(K586)^2)/($I$5*MAX(F586,0.1)^2),1/3)))),MAX($D$16,IFERROR(W586,MAX($D$16,POWER((ABS(K586)^2)/($I$5*MAX(F586,0.1)^2),1/3))))),IF(IFERROR(V586,0)=1,MAX($D$16,IFERROR(L586,MAX($D$16,POWER((ABS(K586)^2)/($I$5*MAX(F586,0.1)^2),1/3)))),IF(IFERROR(AG586,0)=1,MAX($D$16,IFERROR(W586,MAX($D$16,POWER((ABS(K586)^2)/($I$5*MAX(F586,0.1)^2),1/3)))),MAX($D$16,POWER((ABS(K586)^2)/($I$5*MAX(F586,0.1)^2),1/3))))))),MAX($D$16,POWER((ABS(K586)^2)/($I$5*MAX(F586,0.1)^2),1/3)))</f>
        <v>2.1389677043987478</v>
      </c>
      <c r="AI586">
        <f t="shared" ca="1" si="300"/>
        <v>634.43946770439879</v>
      </c>
      <c r="AJ586">
        <f t="shared" ca="1" si="301"/>
        <v>635.50895155659816</v>
      </c>
      <c r="AM586">
        <v>0</v>
      </c>
      <c r="AN586">
        <v>0</v>
      </c>
      <c r="AO586">
        <f t="shared" si="302"/>
        <v>0</v>
      </c>
      <c r="AP586">
        <f t="shared" si="311"/>
        <v>0</v>
      </c>
      <c r="AQ586">
        <f t="shared" ca="1" si="303"/>
        <v>1.0000000000000004</v>
      </c>
      <c r="AR586" t="str">
        <f t="shared" ca="1" si="304"/>
        <v>Supercritical</v>
      </c>
      <c r="AS586">
        <f t="shared" ca="1" si="305"/>
        <v>3.8141460404132466E-3</v>
      </c>
    </row>
    <row r="587" spans="1:45" x14ac:dyDescent="0.35">
      <c r="A587">
        <v>526</v>
      </c>
      <c r="B587">
        <v>524.99599999999998</v>
      </c>
      <c r="C587">
        <v>616193.76</v>
      </c>
      <c r="D587">
        <v>3097457.0350000001</v>
      </c>
      <c r="E587">
        <v>632.29999999999995</v>
      </c>
      <c r="F587">
        <v>5.2</v>
      </c>
      <c r="G587">
        <v>0</v>
      </c>
      <c r="H587" t="s">
        <v>154</v>
      </c>
      <c r="I587">
        <v>2.3E-2</v>
      </c>
      <c r="J587">
        <f t="shared" si="306"/>
        <v>1.0009999999999764</v>
      </c>
      <c r="K587">
        <f t="shared" ca="1" si="307"/>
        <v>50.95</v>
      </c>
      <c r="L587">
        <f t="shared" ca="1" si="308"/>
        <v>2.1389677043987478</v>
      </c>
      <c r="M587">
        <f t="shared" ca="1" si="281"/>
        <v>11.122632062873489</v>
      </c>
      <c r="N587">
        <f t="shared" ca="1" si="282"/>
        <v>1.1735290000551568</v>
      </c>
      <c r="O587">
        <f t="shared" ca="1" si="283"/>
        <v>4.5807502857230418</v>
      </c>
      <c r="P587">
        <f t="shared" ca="1" si="284"/>
        <v>634.43896770439869</v>
      </c>
      <c r="Q587">
        <f t="shared" ca="1" si="285"/>
        <v>635.50845155659806</v>
      </c>
      <c r="R587">
        <f t="shared" ca="1" si="286"/>
        <v>3.8141460404132466E-3</v>
      </c>
      <c r="S587">
        <f t="shared" ca="1" si="287"/>
        <v>1.0000000000000004</v>
      </c>
      <c r="T587">
        <f t="shared" ca="1" si="288"/>
        <v>35.686426155594638</v>
      </c>
      <c r="U587">
        <f t="shared" ca="1" si="309"/>
        <v>-3.3589570673484559E-3</v>
      </c>
      <c r="V587">
        <f t="shared" ca="1" si="310"/>
        <v>1</v>
      </c>
      <c r="W587">
        <f t="shared" ca="1" si="289"/>
        <v>1.7069133090573119</v>
      </c>
      <c r="X587">
        <f t="shared" ca="1" si="290"/>
        <v>8.8759492070980226</v>
      </c>
      <c r="Y587">
        <f t="shared" ca="1" si="291"/>
        <v>1.0304304463746883</v>
      </c>
      <c r="Z587">
        <f t="shared" ca="1" si="292"/>
        <v>5.7402311359843869</v>
      </c>
      <c r="AA587">
        <f t="shared" ca="1" si="293"/>
        <v>634.00691330905727</v>
      </c>
      <c r="AB587">
        <f t="shared" ca="1" si="294"/>
        <v>635.68633499583223</v>
      </c>
      <c r="AC587">
        <f t="shared" ca="1" si="295"/>
        <v>7.1233295204209792E-3</v>
      </c>
      <c r="AD587">
        <f t="shared" ca="1" si="296"/>
        <v>1.4027786391064183</v>
      </c>
      <c r="AE587">
        <f t="shared" ca="1" si="297"/>
        <v>37.388161094282914</v>
      </c>
      <c r="AF587">
        <f t="shared" ca="1" si="298"/>
        <v>6.623329520380139E-3</v>
      </c>
      <c r="AG587">
        <f t="shared" ca="1" si="299"/>
        <v>0</v>
      </c>
      <c r="AH587">
        <f ca="1">IFERROR(IF(V32="Supercritical",MAX($D$16,IFERROR(L587,MAX($D$16,POWER((ABS(K587)^2)/($I$5*MAX(F587,0.1)^2),1/3)))),IF(V32="Subcritical",MAX($D$16,IFERROR(W587,MAX($D$16,POWER((ABS(K587)^2)/($I$5*MAX(F587,0.1)^2),1/3)))),IF(AND(IFERROR(V587,0)=1,IFERROR(AG587,0)=1),IF(IFERROR(T587,-1E+99)&gt;=IFERROR(AE587,-1E+99),MAX($D$16,IFERROR(L587,MAX($D$16,POWER((ABS(K587)^2)/($I$5*MAX(F587,0.1)^2),1/3)))),MAX($D$16,IFERROR(W587,MAX($D$16,POWER((ABS(K587)^2)/($I$5*MAX(F587,0.1)^2),1/3))))),IF(IFERROR(V587,0)=1,MAX($D$16,IFERROR(L587,MAX($D$16,POWER((ABS(K587)^2)/($I$5*MAX(F587,0.1)^2),1/3)))),IF(IFERROR(AG587,0)=1,MAX($D$16,IFERROR(W587,MAX($D$16,POWER((ABS(K587)^2)/($I$5*MAX(F587,0.1)^2),1/3)))),MAX($D$16,POWER((ABS(K587)^2)/($I$5*MAX(F587,0.1)^2),1/3))))))),MAX($D$16,POWER((ABS(K587)^2)/($I$5*MAX(F587,0.1)^2),1/3)))</f>
        <v>2.1389677043987478</v>
      </c>
      <c r="AI587">
        <f t="shared" ca="1" si="300"/>
        <v>634.43896770439869</v>
      </c>
      <c r="AJ587">
        <f t="shared" ca="1" si="301"/>
        <v>635.50845155659806</v>
      </c>
      <c r="AM587">
        <v>0</v>
      </c>
      <c r="AN587">
        <v>0</v>
      </c>
      <c r="AO587">
        <f t="shared" si="302"/>
        <v>0</v>
      </c>
      <c r="AP587">
        <f t="shared" si="311"/>
        <v>0</v>
      </c>
      <c r="AQ587">
        <f t="shared" ca="1" si="303"/>
        <v>1.0000000000000004</v>
      </c>
      <c r="AR587" t="str">
        <f t="shared" ca="1" si="304"/>
        <v>Supercritical</v>
      </c>
      <c r="AS587">
        <f t="shared" ca="1" si="305"/>
        <v>3.8141460404132466E-3</v>
      </c>
    </row>
    <row r="588" spans="1:45" x14ac:dyDescent="0.35">
      <c r="A588">
        <v>527</v>
      </c>
      <c r="B588">
        <v>525.99599999999998</v>
      </c>
      <c r="C588">
        <v>616193.28599999996</v>
      </c>
      <c r="D588">
        <v>3097456.1549999998</v>
      </c>
      <c r="E588">
        <v>632.29949999999997</v>
      </c>
      <c r="F588">
        <v>5.2</v>
      </c>
      <c r="G588">
        <v>0</v>
      </c>
      <c r="H588" t="s">
        <v>154</v>
      </c>
      <c r="I588">
        <v>0</v>
      </c>
      <c r="J588">
        <f t="shared" si="306"/>
        <v>1</v>
      </c>
      <c r="K588">
        <f t="shared" ca="1" si="307"/>
        <v>50.95</v>
      </c>
      <c r="L588">
        <f t="shared" ca="1" si="308"/>
        <v>2.1389677043987478</v>
      </c>
      <c r="M588">
        <f t="shared" ca="1" si="281"/>
        <v>11.122632062873489</v>
      </c>
      <c r="N588">
        <f t="shared" ca="1" si="282"/>
        <v>1.1735290000551568</v>
      </c>
      <c r="O588">
        <f t="shared" ca="1" si="283"/>
        <v>4.5807502857230418</v>
      </c>
      <c r="P588">
        <f t="shared" ca="1" si="284"/>
        <v>634.4384677043987</v>
      </c>
      <c r="Q588">
        <f t="shared" ca="1" si="285"/>
        <v>635.50795155659807</v>
      </c>
      <c r="R588">
        <f t="shared" ca="1" si="286"/>
        <v>3.8141460404132466E-3</v>
      </c>
      <c r="S588">
        <f t="shared" ca="1" si="287"/>
        <v>1.0000000000000004</v>
      </c>
      <c r="T588">
        <f t="shared" ca="1" si="288"/>
        <v>35.686426155594638</v>
      </c>
      <c r="U588">
        <f t="shared" ca="1" si="309"/>
        <v>-3.3141460404522149E-3</v>
      </c>
      <c r="V588">
        <f t="shared" ca="1" si="310"/>
        <v>1</v>
      </c>
      <c r="W588">
        <f t="shared" ca="1" si="289"/>
        <v>1.7069132447326341</v>
      </c>
      <c r="X588">
        <f t="shared" ca="1" si="290"/>
        <v>8.8759488726096976</v>
      </c>
      <c r="Y588">
        <f t="shared" ca="1" si="291"/>
        <v>1.0304304229328285</v>
      </c>
      <c r="Z588">
        <f t="shared" ca="1" si="292"/>
        <v>5.7402313523038284</v>
      </c>
      <c r="AA588">
        <f t="shared" ca="1" si="293"/>
        <v>634.00641324473258</v>
      </c>
      <c r="AB588">
        <f t="shared" ca="1" si="294"/>
        <v>635.68583505808488</v>
      </c>
      <c r="AC588">
        <f t="shared" ca="1" si="295"/>
        <v>7.1233302733737921E-3</v>
      </c>
      <c r="AD588">
        <f t="shared" ca="1" si="296"/>
        <v>1.4027787184015601</v>
      </c>
      <c r="AE588">
        <f t="shared" ca="1" si="297"/>
        <v>37.388161646834284</v>
      </c>
      <c r="AF588">
        <f t="shared" ca="1" si="298"/>
        <v>6.6917809247115656E-3</v>
      </c>
      <c r="AG588">
        <f t="shared" ca="1" si="299"/>
        <v>0</v>
      </c>
      <c r="AH588">
        <f ca="1">IFERROR(IF(V32="Supercritical",MAX($D$16,IFERROR(L588,MAX($D$16,POWER((ABS(K588)^2)/($I$5*MAX(F588,0.1)^2),1/3)))),IF(V32="Subcritical",MAX($D$16,IFERROR(W588,MAX($D$16,POWER((ABS(K588)^2)/($I$5*MAX(F588,0.1)^2),1/3)))),IF(AND(IFERROR(V588,0)=1,IFERROR(AG588,0)=1),IF(IFERROR(T588,-1E+99)&gt;=IFERROR(AE588,-1E+99),MAX($D$16,IFERROR(L588,MAX($D$16,POWER((ABS(K588)^2)/($I$5*MAX(F588,0.1)^2),1/3)))),MAX($D$16,IFERROR(W588,MAX($D$16,POWER((ABS(K588)^2)/($I$5*MAX(F588,0.1)^2),1/3))))),IF(IFERROR(V588,0)=1,MAX($D$16,IFERROR(L588,MAX($D$16,POWER((ABS(K588)^2)/($I$5*MAX(F588,0.1)^2),1/3)))),IF(IFERROR(AG588,0)=1,MAX($D$16,IFERROR(W588,MAX($D$16,POWER((ABS(K588)^2)/($I$5*MAX(F588,0.1)^2),1/3)))),MAX($D$16,POWER((ABS(K588)^2)/($I$5*MAX(F588,0.1)^2),1/3))))))),MAX($D$16,POWER((ABS(K588)^2)/($I$5*MAX(F588,0.1)^2),1/3)))</f>
        <v>2.1389677043987478</v>
      </c>
      <c r="AI588">
        <f t="shared" ca="1" si="300"/>
        <v>634.4384677043987</v>
      </c>
      <c r="AJ588">
        <f t="shared" ca="1" si="301"/>
        <v>635.50795155659807</v>
      </c>
      <c r="AM588">
        <v>0</v>
      </c>
      <c r="AN588">
        <v>0</v>
      </c>
      <c r="AO588">
        <f t="shared" si="302"/>
        <v>0</v>
      </c>
      <c r="AP588">
        <f t="shared" si="311"/>
        <v>0</v>
      </c>
      <c r="AQ588">
        <f t="shared" ca="1" si="303"/>
        <v>1.0000000000000004</v>
      </c>
      <c r="AR588" t="str">
        <f t="shared" ca="1" si="304"/>
        <v>Supercritical</v>
      </c>
      <c r="AS588">
        <f t="shared" ca="1" si="305"/>
        <v>3.8141460404132466E-3</v>
      </c>
    </row>
    <row r="589" spans="1:45" x14ac:dyDescent="0.35">
      <c r="A589">
        <v>528</v>
      </c>
      <c r="B589">
        <v>526.995</v>
      </c>
      <c r="C589">
        <v>616192.81200000003</v>
      </c>
      <c r="D589">
        <v>3097455.2749999999</v>
      </c>
      <c r="E589">
        <v>632.29899999999998</v>
      </c>
      <c r="F589">
        <v>5.2</v>
      </c>
      <c r="G589">
        <v>0</v>
      </c>
      <c r="H589" t="s">
        <v>154</v>
      </c>
      <c r="I589">
        <v>2.7E-2</v>
      </c>
      <c r="J589">
        <f t="shared" si="306"/>
        <v>0.99900000000002365</v>
      </c>
      <c r="K589">
        <f t="shared" ca="1" si="307"/>
        <v>50.95</v>
      </c>
      <c r="L589">
        <f t="shared" ca="1" si="308"/>
        <v>2.1389677043987478</v>
      </c>
      <c r="M589">
        <f t="shared" ca="1" si="281"/>
        <v>11.122632062873489</v>
      </c>
      <c r="N589">
        <f t="shared" ca="1" si="282"/>
        <v>1.1735290000551568</v>
      </c>
      <c r="O589">
        <f t="shared" ca="1" si="283"/>
        <v>4.5807502857230418</v>
      </c>
      <c r="P589">
        <f t="shared" ca="1" si="284"/>
        <v>634.43796770439872</v>
      </c>
      <c r="Q589">
        <f t="shared" ca="1" si="285"/>
        <v>635.50745155659808</v>
      </c>
      <c r="R589">
        <f t="shared" ca="1" si="286"/>
        <v>3.8141460404132466E-3</v>
      </c>
      <c r="S589">
        <f t="shared" ca="1" si="287"/>
        <v>1.0000000000000004</v>
      </c>
      <c r="T589">
        <f t="shared" ca="1" si="288"/>
        <v>35.686426155594638</v>
      </c>
      <c r="U589">
        <f t="shared" ca="1" si="309"/>
        <v>-3.3584586676624895E-3</v>
      </c>
      <c r="V589">
        <f t="shared" ca="1" si="310"/>
        <v>1</v>
      </c>
      <c r="W589">
        <f t="shared" ca="1" si="289"/>
        <v>1.7069131846755099</v>
      </c>
      <c r="X589">
        <f t="shared" ca="1" si="290"/>
        <v>8.8759485603126524</v>
      </c>
      <c r="Y589">
        <f t="shared" ca="1" si="291"/>
        <v>1.030430401046194</v>
      </c>
      <c r="Z589">
        <f t="shared" ca="1" si="292"/>
        <v>5.7402315542717952</v>
      </c>
      <c r="AA589">
        <f t="shared" ca="1" si="293"/>
        <v>634.00591318467548</v>
      </c>
      <c r="AB589">
        <f t="shared" ca="1" si="294"/>
        <v>635.68533511620751</v>
      </c>
      <c r="AC589">
        <f t="shared" ca="1" si="295"/>
        <v>7.1233309763728356E-3</v>
      </c>
      <c r="AD589">
        <f t="shared" ca="1" si="296"/>
        <v>1.4027787924359543</v>
      </c>
      <c r="AE589">
        <f t="shared" ca="1" si="297"/>
        <v>37.388162162727305</v>
      </c>
      <c r="AF589">
        <f t="shared" ca="1" si="298"/>
        <v>6.8487791584175284E-3</v>
      </c>
      <c r="AG589">
        <f t="shared" ca="1" si="299"/>
        <v>0</v>
      </c>
      <c r="AH589">
        <f ca="1">IFERROR(IF(V32="Supercritical",MAX($D$16,IFERROR(L589,MAX($D$16,POWER((ABS(K589)^2)/($I$5*MAX(F589,0.1)^2),1/3)))),IF(V32="Subcritical",MAX($D$16,IFERROR(W589,MAX($D$16,POWER((ABS(K589)^2)/($I$5*MAX(F589,0.1)^2),1/3)))),IF(AND(IFERROR(V589,0)=1,IFERROR(AG589,0)=1),IF(IFERROR(T589,-1E+99)&gt;=IFERROR(AE589,-1E+99),MAX($D$16,IFERROR(L589,MAX($D$16,POWER((ABS(K589)^2)/($I$5*MAX(F589,0.1)^2),1/3)))),MAX($D$16,IFERROR(W589,MAX($D$16,POWER((ABS(K589)^2)/($I$5*MAX(F589,0.1)^2),1/3))))),IF(IFERROR(V589,0)=1,MAX($D$16,IFERROR(L589,MAX($D$16,POWER((ABS(K589)^2)/($I$5*MAX(F589,0.1)^2),1/3)))),IF(IFERROR(AG589,0)=1,MAX($D$16,IFERROR(W589,MAX($D$16,POWER((ABS(K589)^2)/($I$5*MAX(F589,0.1)^2),1/3)))),MAX($D$16,POWER((ABS(K589)^2)/($I$5*MAX(F589,0.1)^2),1/3))))))),MAX($D$16,POWER((ABS(K589)^2)/($I$5*MAX(F589,0.1)^2),1/3)))</f>
        <v>2.1389677043987478</v>
      </c>
      <c r="AI589">
        <f t="shared" ca="1" si="300"/>
        <v>634.43796770439872</v>
      </c>
      <c r="AJ589">
        <f t="shared" ca="1" si="301"/>
        <v>635.50745155659808</v>
      </c>
      <c r="AM589">
        <v>0</v>
      </c>
      <c r="AN589">
        <v>0</v>
      </c>
      <c r="AO589">
        <f t="shared" si="302"/>
        <v>0</v>
      </c>
      <c r="AP589">
        <f t="shared" si="311"/>
        <v>0</v>
      </c>
      <c r="AQ589">
        <f t="shared" ca="1" si="303"/>
        <v>1.0000000000000004</v>
      </c>
      <c r="AR589" t="str">
        <f t="shared" ca="1" si="304"/>
        <v>Supercritical</v>
      </c>
      <c r="AS589">
        <f t="shared" ca="1" si="305"/>
        <v>3.8141460404132466E-3</v>
      </c>
    </row>
    <row r="590" spans="1:45" x14ac:dyDescent="0.35">
      <c r="A590">
        <v>529</v>
      </c>
      <c r="B590">
        <v>527.99599999999998</v>
      </c>
      <c r="C590">
        <v>616192.33799999999</v>
      </c>
      <c r="D590">
        <v>3097454.3939999999</v>
      </c>
      <c r="E590">
        <v>632.29849999999999</v>
      </c>
      <c r="F590">
        <v>5.2</v>
      </c>
      <c r="G590">
        <v>0</v>
      </c>
      <c r="H590" t="s">
        <v>154</v>
      </c>
      <c r="I590">
        <v>7.8E-2</v>
      </c>
      <c r="J590">
        <f t="shared" si="306"/>
        <v>1.0009999999999764</v>
      </c>
      <c r="K590">
        <f t="shared" ca="1" si="307"/>
        <v>50.95</v>
      </c>
      <c r="L590">
        <f t="shared" ca="1" si="308"/>
        <v>2.1389677043987478</v>
      </c>
      <c r="M590">
        <f t="shared" ca="1" si="281"/>
        <v>11.122632062873489</v>
      </c>
      <c r="N590">
        <f t="shared" ca="1" si="282"/>
        <v>1.1735290000551568</v>
      </c>
      <c r="O590">
        <f t="shared" ca="1" si="283"/>
        <v>4.5807502857230418</v>
      </c>
      <c r="P590">
        <f t="shared" ca="1" si="284"/>
        <v>634.43746770439873</v>
      </c>
      <c r="Q590">
        <f t="shared" ca="1" si="285"/>
        <v>635.5069515565981</v>
      </c>
      <c r="R590">
        <f t="shared" ca="1" si="286"/>
        <v>3.8141460404132466E-3</v>
      </c>
      <c r="S590">
        <f t="shared" ca="1" si="287"/>
        <v>1.0000000000000004</v>
      </c>
      <c r="T590">
        <f t="shared" ca="1" si="288"/>
        <v>35.686426155594638</v>
      </c>
      <c r="U590">
        <f t="shared" ca="1" si="309"/>
        <v>-3.456993087183946E-3</v>
      </c>
      <c r="V590">
        <f t="shared" ca="1" si="310"/>
        <v>1</v>
      </c>
      <c r="W590">
        <f t="shared" ca="1" si="289"/>
        <v>1.7069131286028252</v>
      </c>
      <c r="X590">
        <f t="shared" ca="1" si="290"/>
        <v>8.8759482687346907</v>
      </c>
      <c r="Y590">
        <f t="shared" ca="1" si="291"/>
        <v>1.0304303806116091</v>
      </c>
      <c r="Z590">
        <f t="shared" ca="1" si="292"/>
        <v>5.7402317428403817</v>
      </c>
      <c r="AA590">
        <f t="shared" ca="1" si="293"/>
        <v>634.00541312860287</v>
      </c>
      <c r="AB590">
        <f t="shared" ca="1" si="294"/>
        <v>635.684835170474</v>
      </c>
      <c r="AC590">
        <f t="shared" ca="1" si="295"/>
        <v>7.1233316327320925E-3</v>
      </c>
      <c r="AD590">
        <f t="shared" ca="1" si="296"/>
        <v>1.4027788615586059</v>
      </c>
      <c r="AE590">
        <f t="shared" ca="1" si="297"/>
        <v>37.388162644393937</v>
      </c>
      <c r="AF590">
        <f t="shared" ca="1" si="298"/>
        <v>6.8416564982953787E-3</v>
      </c>
      <c r="AG590">
        <f t="shared" ca="1" si="299"/>
        <v>0</v>
      </c>
      <c r="AH590">
        <f ca="1">IFERROR(IF(V32="Supercritical",MAX($D$16,IFERROR(L590,MAX($D$16,POWER((ABS(K590)^2)/($I$5*MAX(F590,0.1)^2),1/3)))),IF(V32="Subcritical",MAX($D$16,IFERROR(W590,MAX($D$16,POWER((ABS(K590)^2)/($I$5*MAX(F590,0.1)^2),1/3)))),IF(AND(IFERROR(V590,0)=1,IFERROR(AG590,0)=1),IF(IFERROR(T590,-1E+99)&gt;=IFERROR(AE590,-1E+99),MAX($D$16,IFERROR(L590,MAX($D$16,POWER((ABS(K590)^2)/($I$5*MAX(F590,0.1)^2),1/3)))),MAX($D$16,IFERROR(W590,MAX($D$16,POWER((ABS(K590)^2)/($I$5*MAX(F590,0.1)^2),1/3))))),IF(IFERROR(V590,0)=1,MAX($D$16,IFERROR(L590,MAX($D$16,POWER((ABS(K590)^2)/($I$5*MAX(F590,0.1)^2),1/3)))),IF(IFERROR(AG590,0)=1,MAX($D$16,IFERROR(W590,MAX($D$16,POWER((ABS(K590)^2)/($I$5*MAX(F590,0.1)^2),1/3)))),MAX($D$16,POWER((ABS(K590)^2)/($I$5*MAX(F590,0.1)^2),1/3))))))),MAX($D$16,POWER((ABS(K590)^2)/($I$5*MAX(F590,0.1)^2),1/3)))</f>
        <v>2.1389677043987478</v>
      </c>
      <c r="AI590">
        <f t="shared" ca="1" si="300"/>
        <v>634.43746770439873</v>
      </c>
      <c r="AJ590">
        <f t="shared" ca="1" si="301"/>
        <v>635.5069515565981</v>
      </c>
      <c r="AM590">
        <v>0</v>
      </c>
      <c r="AN590">
        <v>0</v>
      </c>
      <c r="AO590">
        <f t="shared" si="302"/>
        <v>0</v>
      </c>
      <c r="AP590">
        <f t="shared" si="311"/>
        <v>0</v>
      </c>
      <c r="AQ590">
        <f t="shared" ca="1" si="303"/>
        <v>1.0000000000000004</v>
      </c>
      <c r="AR590" t="str">
        <f t="shared" ca="1" si="304"/>
        <v>Supercritical</v>
      </c>
      <c r="AS590">
        <f t="shared" ca="1" si="305"/>
        <v>3.8141460404132466E-3</v>
      </c>
    </row>
    <row r="591" spans="1:45" x14ac:dyDescent="0.35">
      <c r="A591">
        <v>530</v>
      </c>
      <c r="B591">
        <v>528.99599999999998</v>
      </c>
      <c r="C591">
        <v>616191.86300000001</v>
      </c>
      <c r="D591">
        <v>3097453.514</v>
      </c>
      <c r="E591">
        <v>632.298</v>
      </c>
      <c r="F591">
        <v>5.2</v>
      </c>
      <c r="G591">
        <v>0</v>
      </c>
      <c r="H591" t="s">
        <v>154</v>
      </c>
      <c r="I591">
        <v>7.8E-2</v>
      </c>
      <c r="J591">
        <f t="shared" si="306"/>
        <v>1</v>
      </c>
      <c r="K591">
        <f t="shared" ca="1" si="307"/>
        <v>50.95</v>
      </c>
      <c r="L591">
        <f t="shared" ca="1" si="308"/>
        <v>2.1389677043987478</v>
      </c>
      <c r="M591">
        <f t="shared" ca="1" si="281"/>
        <v>11.122632062873489</v>
      </c>
      <c r="N591">
        <f t="shared" ca="1" si="282"/>
        <v>1.1735290000551568</v>
      </c>
      <c r="O591">
        <f t="shared" ca="1" si="283"/>
        <v>4.5807502857230418</v>
      </c>
      <c r="P591">
        <f t="shared" ca="1" si="284"/>
        <v>634.43696770439874</v>
      </c>
      <c r="Q591">
        <f t="shared" ca="1" si="285"/>
        <v>635.50645155659811</v>
      </c>
      <c r="R591">
        <f t="shared" ca="1" si="286"/>
        <v>3.8141460404132466E-3</v>
      </c>
      <c r="S591">
        <f t="shared" ca="1" si="287"/>
        <v>1.0000000000000004</v>
      </c>
      <c r="T591">
        <f t="shared" ca="1" si="288"/>
        <v>35.686426155594638</v>
      </c>
      <c r="U591">
        <f t="shared" ca="1" si="309"/>
        <v>-3.4531789411857972E-3</v>
      </c>
      <c r="V591">
        <f t="shared" ca="1" si="310"/>
        <v>1</v>
      </c>
      <c r="W591">
        <f t="shared" ca="1" si="289"/>
        <v>1.706913076250258</v>
      </c>
      <c r="X591">
        <f t="shared" ca="1" si="290"/>
        <v>8.8759479965013419</v>
      </c>
      <c r="Y591">
        <f t="shared" ca="1" si="291"/>
        <v>1.0304303615327475</v>
      </c>
      <c r="Z591">
        <f t="shared" ca="1" si="292"/>
        <v>5.7402319188984787</v>
      </c>
      <c r="AA591">
        <f t="shared" ca="1" si="293"/>
        <v>634.0049130762502</v>
      </c>
      <c r="AB591">
        <f t="shared" ca="1" si="294"/>
        <v>635.68433522114015</v>
      </c>
      <c r="AC591">
        <f t="shared" ca="1" si="295"/>
        <v>7.1233322455455505E-3</v>
      </c>
      <c r="AD591">
        <f t="shared" ca="1" si="296"/>
        <v>1.4027789260953498</v>
      </c>
      <c r="AE591">
        <f t="shared" ca="1" si="297"/>
        <v>37.388163094104662</v>
      </c>
      <c r="AF591">
        <f t="shared" ca="1" si="298"/>
        <v>6.6989062420361734E-3</v>
      </c>
      <c r="AG591">
        <f t="shared" ca="1" si="299"/>
        <v>0</v>
      </c>
      <c r="AH591">
        <f ca="1">IFERROR(IF(V32="Supercritical",MAX($D$16,IFERROR(L591,MAX($D$16,POWER((ABS(K591)^2)/($I$5*MAX(F591,0.1)^2),1/3)))),IF(V32="Subcritical",MAX($D$16,IFERROR(W591,MAX($D$16,POWER((ABS(K591)^2)/($I$5*MAX(F591,0.1)^2),1/3)))),IF(AND(IFERROR(V591,0)=1,IFERROR(AG591,0)=1),IF(IFERROR(T591,-1E+99)&gt;=IFERROR(AE591,-1E+99),MAX($D$16,IFERROR(L591,MAX($D$16,POWER((ABS(K591)^2)/($I$5*MAX(F591,0.1)^2),1/3)))),MAX($D$16,IFERROR(W591,MAX($D$16,POWER((ABS(K591)^2)/($I$5*MAX(F591,0.1)^2),1/3))))),IF(IFERROR(V591,0)=1,MAX($D$16,IFERROR(L591,MAX($D$16,POWER((ABS(K591)^2)/($I$5*MAX(F591,0.1)^2),1/3)))),IF(IFERROR(AG591,0)=1,MAX($D$16,IFERROR(W591,MAX($D$16,POWER((ABS(K591)^2)/($I$5*MAX(F591,0.1)^2),1/3)))),MAX($D$16,POWER((ABS(K591)^2)/($I$5*MAX(F591,0.1)^2),1/3))))))),MAX($D$16,POWER((ABS(K591)^2)/($I$5*MAX(F591,0.1)^2),1/3)))</f>
        <v>2.1389677043987478</v>
      </c>
      <c r="AI591">
        <f t="shared" ca="1" si="300"/>
        <v>634.43696770439874</v>
      </c>
      <c r="AJ591">
        <f t="shared" ca="1" si="301"/>
        <v>635.50645155659811</v>
      </c>
      <c r="AM591">
        <v>0</v>
      </c>
      <c r="AN591">
        <v>0</v>
      </c>
      <c r="AO591">
        <f t="shared" si="302"/>
        <v>0</v>
      </c>
      <c r="AP591">
        <f t="shared" si="311"/>
        <v>0</v>
      </c>
      <c r="AQ591">
        <f t="shared" ca="1" si="303"/>
        <v>1.0000000000000004</v>
      </c>
      <c r="AR591" t="str">
        <f t="shared" ca="1" si="304"/>
        <v>Supercritical</v>
      </c>
      <c r="AS591">
        <f t="shared" ca="1" si="305"/>
        <v>3.8141460404132466E-3</v>
      </c>
    </row>
    <row r="592" spans="1:45" x14ac:dyDescent="0.35">
      <c r="A592">
        <v>531</v>
      </c>
      <c r="B592">
        <v>529.99599999999998</v>
      </c>
      <c r="C592">
        <v>616191.38899999997</v>
      </c>
      <c r="D592">
        <v>3097452.6329999999</v>
      </c>
      <c r="E592">
        <v>632.29750000000001</v>
      </c>
      <c r="F592">
        <v>5.2</v>
      </c>
      <c r="G592">
        <v>0</v>
      </c>
      <c r="H592" t="s">
        <v>154</v>
      </c>
      <c r="I592">
        <v>2.7E-2</v>
      </c>
      <c r="J592">
        <f t="shared" si="306"/>
        <v>1</v>
      </c>
      <c r="K592">
        <f t="shared" ca="1" si="307"/>
        <v>50.95</v>
      </c>
      <c r="L592">
        <f t="shared" ca="1" si="308"/>
        <v>2.1389677043987478</v>
      </c>
      <c r="M592">
        <f t="shared" ca="1" si="281"/>
        <v>11.122632062873489</v>
      </c>
      <c r="N592">
        <f t="shared" ca="1" si="282"/>
        <v>1.1735290000551568</v>
      </c>
      <c r="O592">
        <f t="shared" ca="1" si="283"/>
        <v>4.5807502857230418</v>
      </c>
      <c r="P592">
        <f t="shared" ca="1" si="284"/>
        <v>634.43646770439875</v>
      </c>
      <c r="Q592">
        <f t="shared" ca="1" si="285"/>
        <v>635.50595155659812</v>
      </c>
      <c r="R592">
        <f t="shared" ca="1" si="286"/>
        <v>3.8141460404132466E-3</v>
      </c>
      <c r="S592">
        <f t="shared" ca="1" si="287"/>
        <v>1.0000000000000004</v>
      </c>
      <c r="T592">
        <f t="shared" ca="1" si="288"/>
        <v>35.686426155594638</v>
      </c>
      <c r="U592">
        <f t="shared" ca="1" si="309"/>
        <v>-3.3622728137743252E-3</v>
      </c>
      <c r="V592">
        <f t="shared" ca="1" si="310"/>
        <v>1</v>
      </c>
      <c r="W592">
        <f t="shared" ca="1" si="289"/>
        <v>1.706913027370949</v>
      </c>
      <c r="X592">
        <f t="shared" ca="1" si="290"/>
        <v>8.8759477423289344</v>
      </c>
      <c r="Y592">
        <f t="shared" ca="1" si="291"/>
        <v>1.0304303437196458</v>
      </c>
      <c r="Z592">
        <f t="shared" ca="1" si="292"/>
        <v>5.7402320832762559</v>
      </c>
      <c r="AA592">
        <f t="shared" ca="1" si="293"/>
        <v>634.00441302737102</v>
      </c>
      <c r="AB592">
        <f t="shared" ca="1" si="294"/>
        <v>635.68383526844514</v>
      </c>
      <c r="AC592">
        <f t="shared" ca="1" si="295"/>
        <v>7.1233328177028234E-3</v>
      </c>
      <c r="AD592">
        <f t="shared" ca="1" si="296"/>
        <v>1.4027789863504982</v>
      </c>
      <c r="AE592">
        <f t="shared" ca="1" si="297"/>
        <v>37.388163513980032</v>
      </c>
      <c r="AF592">
        <f t="shared" ca="1" si="298"/>
        <v>6.6233328177531803E-3</v>
      </c>
      <c r="AG592">
        <f t="shared" ca="1" si="299"/>
        <v>0</v>
      </c>
      <c r="AH592">
        <f ca="1">IFERROR(IF(V32="Supercritical",MAX($D$16,IFERROR(L592,MAX($D$16,POWER((ABS(K592)^2)/($I$5*MAX(F592,0.1)^2),1/3)))),IF(V32="Subcritical",MAX($D$16,IFERROR(W592,MAX($D$16,POWER((ABS(K592)^2)/($I$5*MAX(F592,0.1)^2),1/3)))),IF(AND(IFERROR(V592,0)=1,IFERROR(AG592,0)=1),IF(IFERROR(T592,-1E+99)&gt;=IFERROR(AE592,-1E+99),MAX($D$16,IFERROR(L592,MAX($D$16,POWER((ABS(K592)^2)/($I$5*MAX(F592,0.1)^2),1/3)))),MAX($D$16,IFERROR(W592,MAX($D$16,POWER((ABS(K592)^2)/($I$5*MAX(F592,0.1)^2),1/3))))),IF(IFERROR(V592,0)=1,MAX($D$16,IFERROR(L592,MAX($D$16,POWER((ABS(K592)^2)/($I$5*MAX(F592,0.1)^2),1/3)))),IF(IFERROR(AG592,0)=1,MAX($D$16,IFERROR(W592,MAX($D$16,POWER((ABS(K592)^2)/($I$5*MAX(F592,0.1)^2),1/3)))),MAX($D$16,POWER((ABS(K592)^2)/($I$5*MAX(F592,0.1)^2),1/3))))))),MAX($D$16,POWER((ABS(K592)^2)/($I$5*MAX(F592,0.1)^2),1/3)))</f>
        <v>2.1389677043987478</v>
      </c>
      <c r="AI592">
        <f t="shared" ca="1" si="300"/>
        <v>634.43646770439875</v>
      </c>
      <c r="AJ592">
        <f t="shared" ca="1" si="301"/>
        <v>635.50595155659812</v>
      </c>
      <c r="AM592">
        <v>0</v>
      </c>
      <c r="AN592">
        <v>0</v>
      </c>
      <c r="AO592">
        <f t="shared" si="302"/>
        <v>0</v>
      </c>
      <c r="AP592">
        <f t="shared" si="311"/>
        <v>0</v>
      </c>
      <c r="AQ592">
        <f t="shared" ca="1" si="303"/>
        <v>1.0000000000000004</v>
      </c>
      <c r="AR592" t="str">
        <f t="shared" ca="1" si="304"/>
        <v>Supercritical</v>
      </c>
      <c r="AS592">
        <f t="shared" ca="1" si="305"/>
        <v>3.8141460404132466E-3</v>
      </c>
    </row>
    <row r="593" spans="1:45" x14ac:dyDescent="0.35">
      <c r="A593">
        <v>532</v>
      </c>
      <c r="B593">
        <v>530.99599999999998</v>
      </c>
      <c r="C593">
        <v>616190.91500000004</v>
      </c>
      <c r="D593">
        <v>3097451.753</v>
      </c>
      <c r="E593">
        <v>632.29700000000003</v>
      </c>
      <c r="F593">
        <v>5.2</v>
      </c>
      <c r="G593">
        <v>0</v>
      </c>
      <c r="H593" t="s">
        <v>154</v>
      </c>
      <c r="I593">
        <v>0</v>
      </c>
      <c r="J593">
        <f t="shared" si="306"/>
        <v>1</v>
      </c>
      <c r="K593">
        <f t="shared" ca="1" si="307"/>
        <v>50.95</v>
      </c>
      <c r="L593">
        <f t="shared" ca="1" si="308"/>
        <v>2.1389677043987478</v>
      </c>
      <c r="M593">
        <f t="shared" ca="1" si="281"/>
        <v>11.122632062873489</v>
      </c>
      <c r="N593">
        <f t="shared" ca="1" si="282"/>
        <v>1.1735290000551568</v>
      </c>
      <c r="O593">
        <f t="shared" ca="1" si="283"/>
        <v>4.5807502857230418</v>
      </c>
      <c r="P593">
        <f t="shared" ca="1" si="284"/>
        <v>634.43596770439876</v>
      </c>
      <c r="Q593">
        <f t="shared" ca="1" si="285"/>
        <v>635.50545155659813</v>
      </c>
      <c r="R593">
        <f t="shared" ca="1" si="286"/>
        <v>3.8141460404132466E-3</v>
      </c>
      <c r="S593">
        <f t="shared" ca="1" si="287"/>
        <v>1.0000000000000004</v>
      </c>
      <c r="T593">
        <f t="shared" ca="1" si="288"/>
        <v>35.686426155594638</v>
      </c>
      <c r="U593">
        <f t="shared" ca="1" si="309"/>
        <v>-3.3141460404522149E-3</v>
      </c>
      <c r="V593">
        <f t="shared" ca="1" si="310"/>
        <v>1</v>
      </c>
      <c r="W593">
        <f t="shared" ca="1" si="289"/>
        <v>1.7069129817345285</v>
      </c>
      <c r="X593">
        <f t="shared" ca="1" si="290"/>
        <v>8.875947505019548</v>
      </c>
      <c r="Y593">
        <f t="shared" ca="1" si="291"/>
        <v>1.0304303270883506</v>
      </c>
      <c r="Z593">
        <f t="shared" ca="1" si="292"/>
        <v>5.7402322367484295</v>
      </c>
      <c r="AA593">
        <f t="shared" ca="1" si="293"/>
        <v>634.00391298173452</v>
      </c>
      <c r="AB593">
        <f t="shared" ca="1" si="294"/>
        <v>635.68333531261146</v>
      </c>
      <c r="AC593">
        <f t="shared" ca="1" si="295"/>
        <v>7.1233333519004922E-3</v>
      </c>
      <c r="AD593">
        <f t="shared" ca="1" si="296"/>
        <v>1.402779042608034</v>
      </c>
      <c r="AE593">
        <f t="shared" ca="1" si="297"/>
        <v>37.388163905998894</v>
      </c>
      <c r="AF593">
        <f t="shared" ca="1" si="298"/>
        <v>6.6805878745981317E-3</v>
      </c>
      <c r="AG593">
        <f t="shared" ca="1" si="299"/>
        <v>0</v>
      </c>
      <c r="AH593">
        <f ca="1">IFERROR(IF(V32="Supercritical",MAX($D$16,IFERROR(L593,MAX($D$16,POWER((ABS(K593)^2)/($I$5*MAX(F593,0.1)^2),1/3)))),IF(V32="Subcritical",MAX($D$16,IFERROR(W593,MAX($D$16,POWER((ABS(K593)^2)/($I$5*MAX(F593,0.1)^2),1/3)))),IF(AND(IFERROR(V593,0)=1,IFERROR(AG593,0)=1),IF(IFERROR(T593,-1E+99)&gt;=IFERROR(AE593,-1E+99),MAX($D$16,IFERROR(L593,MAX($D$16,POWER((ABS(K593)^2)/($I$5*MAX(F593,0.1)^2),1/3)))),MAX($D$16,IFERROR(W593,MAX($D$16,POWER((ABS(K593)^2)/($I$5*MAX(F593,0.1)^2),1/3))))),IF(IFERROR(V593,0)=1,MAX($D$16,IFERROR(L593,MAX($D$16,POWER((ABS(K593)^2)/($I$5*MAX(F593,0.1)^2),1/3)))),IF(IFERROR(AG593,0)=1,MAX($D$16,IFERROR(W593,MAX($D$16,POWER((ABS(K593)^2)/($I$5*MAX(F593,0.1)^2),1/3)))),MAX($D$16,POWER((ABS(K593)^2)/($I$5*MAX(F593,0.1)^2),1/3))))))),MAX($D$16,POWER((ABS(K593)^2)/($I$5*MAX(F593,0.1)^2),1/3)))</f>
        <v>2.1389677043987478</v>
      </c>
      <c r="AI593">
        <f t="shared" ca="1" si="300"/>
        <v>634.43596770439876</v>
      </c>
      <c r="AJ593">
        <f t="shared" ca="1" si="301"/>
        <v>635.50545155659813</v>
      </c>
      <c r="AM593">
        <v>0</v>
      </c>
      <c r="AN593">
        <v>0</v>
      </c>
      <c r="AO593">
        <f t="shared" si="302"/>
        <v>0</v>
      </c>
      <c r="AP593">
        <f t="shared" si="311"/>
        <v>0</v>
      </c>
      <c r="AQ593">
        <f t="shared" ca="1" si="303"/>
        <v>1.0000000000000004</v>
      </c>
      <c r="AR593" t="str">
        <f t="shared" ca="1" si="304"/>
        <v>Supercritical</v>
      </c>
      <c r="AS593">
        <f t="shared" ca="1" si="305"/>
        <v>3.8141460404132466E-3</v>
      </c>
    </row>
    <row r="594" spans="1:45" x14ac:dyDescent="0.35">
      <c r="A594">
        <v>533</v>
      </c>
      <c r="B594">
        <v>531.995</v>
      </c>
      <c r="C594">
        <v>616190.44099999999</v>
      </c>
      <c r="D594">
        <v>3097450.8730000001</v>
      </c>
      <c r="E594">
        <v>632.29650000000004</v>
      </c>
      <c r="F594">
        <v>5.2</v>
      </c>
      <c r="G594">
        <v>0</v>
      </c>
      <c r="H594" t="s">
        <v>154</v>
      </c>
      <c r="I594">
        <v>2.3E-2</v>
      </c>
      <c r="J594">
        <f t="shared" si="306"/>
        <v>0.99900000000002365</v>
      </c>
      <c r="K594">
        <f t="shared" ca="1" si="307"/>
        <v>50.95</v>
      </c>
      <c r="L594">
        <f t="shared" ca="1" si="308"/>
        <v>2.1389677043987478</v>
      </c>
      <c r="M594">
        <f t="shared" ca="1" si="281"/>
        <v>11.122632062873489</v>
      </c>
      <c r="N594">
        <f t="shared" ca="1" si="282"/>
        <v>1.1735290000551568</v>
      </c>
      <c r="O594">
        <f t="shared" ca="1" si="283"/>
        <v>4.5807502857230418</v>
      </c>
      <c r="P594">
        <f t="shared" ca="1" si="284"/>
        <v>634.43546770439877</v>
      </c>
      <c r="Q594">
        <f t="shared" ca="1" si="285"/>
        <v>635.50495155659814</v>
      </c>
      <c r="R594">
        <f t="shared" ca="1" si="286"/>
        <v>3.8141460404132466E-3</v>
      </c>
      <c r="S594">
        <f t="shared" ca="1" si="287"/>
        <v>1.0000000000000004</v>
      </c>
      <c r="T594">
        <f t="shared" ca="1" si="288"/>
        <v>35.686426155594638</v>
      </c>
      <c r="U594">
        <f t="shared" ca="1" si="309"/>
        <v>-3.3513287753521581E-3</v>
      </c>
      <c r="V594">
        <f t="shared" ca="1" si="310"/>
        <v>1</v>
      </c>
      <c r="W594">
        <f t="shared" ca="1" si="289"/>
        <v>1.7069129391258044</v>
      </c>
      <c r="X594">
        <f t="shared" ca="1" si="290"/>
        <v>8.8759472834541828</v>
      </c>
      <c r="Y594">
        <f t="shared" ca="1" si="291"/>
        <v>1.0304303115604396</v>
      </c>
      <c r="Z594">
        <f t="shared" ca="1" si="292"/>
        <v>5.7402323800386732</v>
      </c>
      <c r="AA594">
        <f t="shared" ca="1" si="293"/>
        <v>634.00341293912584</v>
      </c>
      <c r="AB594">
        <f t="shared" ca="1" si="294"/>
        <v>635.68283535384774</v>
      </c>
      <c r="AC594">
        <f t="shared" ca="1" si="295"/>
        <v>7.1233338506574654E-3</v>
      </c>
      <c r="AD594">
        <f t="shared" ca="1" si="296"/>
        <v>1.4027790951332311</v>
      </c>
      <c r="AE594">
        <f t="shared" ca="1" si="297"/>
        <v>37.38816427200976</v>
      </c>
      <c r="AF594">
        <f t="shared" ca="1" si="298"/>
        <v>6.694835043731473E-3</v>
      </c>
      <c r="AG594">
        <f t="shared" ca="1" si="299"/>
        <v>0</v>
      </c>
      <c r="AH594">
        <f ca="1">IFERROR(IF(V32="Supercritical",MAX($D$16,IFERROR(L594,MAX($D$16,POWER((ABS(K594)^2)/($I$5*MAX(F594,0.1)^2),1/3)))),IF(V32="Subcritical",MAX($D$16,IFERROR(W594,MAX($D$16,POWER((ABS(K594)^2)/($I$5*MAX(F594,0.1)^2),1/3)))),IF(AND(IFERROR(V594,0)=1,IFERROR(AG594,0)=1),IF(IFERROR(T594,-1E+99)&gt;=IFERROR(AE594,-1E+99),MAX($D$16,IFERROR(L594,MAX($D$16,POWER((ABS(K594)^2)/($I$5*MAX(F594,0.1)^2),1/3)))),MAX($D$16,IFERROR(W594,MAX($D$16,POWER((ABS(K594)^2)/($I$5*MAX(F594,0.1)^2),1/3))))),IF(IFERROR(V594,0)=1,MAX($D$16,IFERROR(L594,MAX($D$16,POWER((ABS(K594)^2)/($I$5*MAX(F594,0.1)^2),1/3)))),IF(IFERROR(AG594,0)=1,MAX($D$16,IFERROR(W594,MAX($D$16,POWER((ABS(K594)^2)/($I$5*MAX(F594,0.1)^2),1/3)))),MAX($D$16,POWER((ABS(K594)^2)/($I$5*MAX(F594,0.1)^2),1/3))))))),MAX($D$16,POWER((ABS(K594)^2)/($I$5*MAX(F594,0.1)^2),1/3)))</f>
        <v>2.1389677043987478</v>
      </c>
      <c r="AI594">
        <f t="shared" ca="1" si="300"/>
        <v>634.43546770439877</v>
      </c>
      <c r="AJ594">
        <f t="shared" ca="1" si="301"/>
        <v>635.50495155659814</v>
      </c>
      <c r="AM594">
        <v>0</v>
      </c>
      <c r="AN594">
        <v>0</v>
      </c>
      <c r="AO594">
        <f t="shared" si="302"/>
        <v>0</v>
      </c>
      <c r="AP594">
        <f t="shared" si="311"/>
        <v>0</v>
      </c>
      <c r="AQ594">
        <f t="shared" ca="1" si="303"/>
        <v>1.0000000000000004</v>
      </c>
      <c r="AR594" t="str">
        <f t="shared" ca="1" si="304"/>
        <v>Supercritical</v>
      </c>
      <c r="AS594">
        <f t="shared" ca="1" si="305"/>
        <v>3.8141460404132466E-3</v>
      </c>
    </row>
    <row r="595" spans="1:45" x14ac:dyDescent="0.35">
      <c r="A595">
        <v>534</v>
      </c>
      <c r="B595">
        <v>532.99599999999998</v>
      </c>
      <c r="C595">
        <v>616189.96600000001</v>
      </c>
      <c r="D595">
        <v>3097449.9920000001</v>
      </c>
      <c r="E595">
        <v>632.29600000000005</v>
      </c>
      <c r="F595">
        <v>5.2</v>
      </c>
      <c r="G595">
        <v>0</v>
      </c>
      <c r="H595" t="s">
        <v>154</v>
      </c>
      <c r="I595">
        <v>2.3E-2</v>
      </c>
      <c r="J595">
        <f t="shared" si="306"/>
        <v>1.0009999999999764</v>
      </c>
      <c r="K595">
        <f t="shared" ca="1" si="307"/>
        <v>50.95</v>
      </c>
      <c r="L595">
        <f t="shared" ca="1" si="308"/>
        <v>2.1389677043987478</v>
      </c>
      <c r="M595">
        <f t="shared" ca="1" si="281"/>
        <v>11.122632062873489</v>
      </c>
      <c r="N595">
        <f t="shared" ca="1" si="282"/>
        <v>1.1735290000551568</v>
      </c>
      <c r="O595">
        <f t="shared" ca="1" si="283"/>
        <v>4.5807502857230418</v>
      </c>
      <c r="P595">
        <f t="shared" ca="1" si="284"/>
        <v>634.43496770439879</v>
      </c>
      <c r="Q595">
        <f t="shared" ca="1" si="285"/>
        <v>635.50445155659816</v>
      </c>
      <c r="R595">
        <f t="shared" ca="1" si="286"/>
        <v>3.8141460404132466E-3</v>
      </c>
      <c r="S595">
        <f t="shared" ca="1" si="287"/>
        <v>1.0000000000000004</v>
      </c>
      <c r="T595">
        <f t="shared" ca="1" si="288"/>
        <v>35.686426155594638</v>
      </c>
      <c r="U595">
        <f t="shared" ca="1" si="309"/>
        <v>-3.3589570674621427E-3</v>
      </c>
      <c r="V595">
        <f t="shared" ca="1" si="310"/>
        <v>1</v>
      </c>
      <c r="W595">
        <f t="shared" ca="1" si="289"/>
        <v>1.7069128993439435</v>
      </c>
      <c r="X595">
        <f t="shared" ca="1" si="290"/>
        <v>8.8759470765885062</v>
      </c>
      <c r="Y595">
        <f t="shared" ca="1" si="291"/>
        <v>1.0304302970627228</v>
      </c>
      <c r="Z595">
        <f t="shared" ca="1" si="292"/>
        <v>5.7402325138223755</v>
      </c>
      <c r="AA595">
        <f t="shared" ca="1" si="293"/>
        <v>634.00291289934398</v>
      </c>
      <c r="AB595">
        <f t="shared" ca="1" si="294"/>
        <v>635.68233539234825</v>
      </c>
      <c r="AC595">
        <f t="shared" ca="1" si="295"/>
        <v>7.1233343163246074E-3</v>
      </c>
      <c r="AD595">
        <f t="shared" ca="1" si="296"/>
        <v>1.4027791441736626</v>
      </c>
      <c r="AE595">
        <f t="shared" ca="1" si="297"/>
        <v>37.388164613737793</v>
      </c>
      <c r="AF595">
        <f t="shared" ca="1" si="298"/>
        <v>6.6989083284170192E-3</v>
      </c>
      <c r="AG595">
        <f t="shared" ca="1" si="299"/>
        <v>0</v>
      </c>
      <c r="AH595">
        <f ca="1">IFERROR(IF(V32="Supercritical",MAX($D$16,IFERROR(L595,MAX($D$16,POWER((ABS(K595)^2)/($I$5*MAX(F595,0.1)^2),1/3)))),IF(V32="Subcritical",MAX($D$16,IFERROR(W595,MAX($D$16,POWER((ABS(K595)^2)/($I$5*MAX(F595,0.1)^2),1/3)))),IF(AND(IFERROR(V595,0)=1,IFERROR(AG595,0)=1),IF(IFERROR(T595,-1E+99)&gt;=IFERROR(AE595,-1E+99),MAX($D$16,IFERROR(L595,MAX($D$16,POWER((ABS(K595)^2)/($I$5*MAX(F595,0.1)^2),1/3)))),MAX($D$16,IFERROR(W595,MAX($D$16,POWER((ABS(K595)^2)/($I$5*MAX(F595,0.1)^2),1/3))))),IF(IFERROR(V595,0)=1,MAX($D$16,IFERROR(L595,MAX($D$16,POWER((ABS(K595)^2)/($I$5*MAX(F595,0.1)^2),1/3)))),IF(IFERROR(AG595,0)=1,MAX($D$16,IFERROR(W595,MAX($D$16,POWER((ABS(K595)^2)/($I$5*MAX(F595,0.1)^2),1/3)))),MAX($D$16,POWER((ABS(K595)^2)/($I$5*MAX(F595,0.1)^2),1/3))))))),MAX($D$16,POWER((ABS(K595)^2)/($I$5*MAX(F595,0.1)^2),1/3)))</f>
        <v>2.1389677043987478</v>
      </c>
      <c r="AI595">
        <f t="shared" ca="1" si="300"/>
        <v>634.43496770439879</v>
      </c>
      <c r="AJ595">
        <f t="shared" ca="1" si="301"/>
        <v>635.50445155659816</v>
      </c>
      <c r="AM595">
        <v>0</v>
      </c>
      <c r="AN595">
        <v>0</v>
      </c>
      <c r="AO595">
        <f t="shared" si="302"/>
        <v>0</v>
      </c>
      <c r="AP595">
        <f t="shared" si="311"/>
        <v>0</v>
      </c>
      <c r="AQ595">
        <f t="shared" ca="1" si="303"/>
        <v>1.0000000000000004</v>
      </c>
      <c r="AR595" t="str">
        <f t="shared" ca="1" si="304"/>
        <v>Supercritical</v>
      </c>
      <c r="AS595">
        <f t="shared" ca="1" si="305"/>
        <v>3.8141460404132466E-3</v>
      </c>
    </row>
    <row r="596" spans="1:45" x14ac:dyDescent="0.35">
      <c r="A596">
        <v>535</v>
      </c>
      <c r="B596">
        <v>533.99599999999998</v>
      </c>
      <c r="C596">
        <v>616189.49199999997</v>
      </c>
      <c r="D596">
        <v>3097449.1120000002</v>
      </c>
      <c r="E596">
        <v>632.29549999999995</v>
      </c>
      <c r="F596">
        <v>5.2</v>
      </c>
      <c r="G596">
        <v>0</v>
      </c>
      <c r="H596" t="s">
        <v>154</v>
      </c>
      <c r="I596">
        <v>2.7E-2</v>
      </c>
      <c r="J596">
        <f t="shared" si="306"/>
        <v>1</v>
      </c>
      <c r="K596">
        <f t="shared" ca="1" si="307"/>
        <v>50.95</v>
      </c>
      <c r="L596">
        <f t="shared" ca="1" si="308"/>
        <v>2.1389677043987478</v>
      </c>
      <c r="M596">
        <f t="shared" ca="1" si="281"/>
        <v>11.122632062873489</v>
      </c>
      <c r="N596">
        <f t="shared" ca="1" si="282"/>
        <v>1.1735290000551568</v>
      </c>
      <c r="O596">
        <f t="shared" ca="1" si="283"/>
        <v>4.5807502857230418</v>
      </c>
      <c r="P596">
        <f t="shared" ca="1" si="284"/>
        <v>634.43446770439868</v>
      </c>
      <c r="Q596">
        <f t="shared" ca="1" si="285"/>
        <v>635.50395155659805</v>
      </c>
      <c r="R596">
        <f t="shared" ca="1" si="286"/>
        <v>3.8141460404132466E-3</v>
      </c>
      <c r="S596">
        <f t="shared" ca="1" si="287"/>
        <v>1.0000000000000004</v>
      </c>
      <c r="T596">
        <f t="shared" ca="1" si="288"/>
        <v>35.686426155594638</v>
      </c>
      <c r="U596">
        <f t="shared" ca="1" si="309"/>
        <v>-3.3622728136606383E-3</v>
      </c>
      <c r="V596">
        <f t="shared" ca="1" si="310"/>
        <v>1</v>
      </c>
      <c r="W596">
        <f t="shared" ca="1" si="289"/>
        <v>1.7069128622013794</v>
      </c>
      <c r="X596">
        <f t="shared" ca="1" si="290"/>
        <v>8.875946883447174</v>
      </c>
      <c r="Y596">
        <f t="shared" ca="1" si="291"/>
        <v>1.030430283526846</v>
      </c>
      <c r="Z596">
        <f t="shared" ca="1" si="292"/>
        <v>5.7402326387303058</v>
      </c>
      <c r="AA596">
        <f t="shared" ca="1" si="293"/>
        <v>634.00241286220137</v>
      </c>
      <c r="AB596">
        <f t="shared" ca="1" si="294"/>
        <v>635.68183542829433</v>
      </c>
      <c r="AC596">
        <f t="shared" ca="1" si="295"/>
        <v>7.1233347510974527E-3</v>
      </c>
      <c r="AD596">
        <f t="shared" ca="1" si="296"/>
        <v>1.4027791899605466</v>
      </c>
      <c r="AE596">
        <f t="shared" ca="1" si="297"/>
        <v>37.388164932794169</v>
      </c>
      <c r="AF596">
        <f t="shared" ca="1" si="298"/>
        <v>6.6989087665660918E-3</v>
      </c>
      <c r="AG596">
        <f t="shared" ca="1" si="299"/>
        <v>0</v>
      </c>
      <c r="AH596">
        <f ca="1">IFERROR(IF(V32="Supercritical",MAX($D$16,IFERROR(L596,MAX($D$16,POWER((ABS(K596)^2)/($I$5*MAX(F596,0.1)^2),1/3)))),IF(V32="Subcritical",MAX($D$16,IFERROR(W596,MAX($D$16,POWER((ABS(K596)^2)/($I$5*MAX(F596,0.1)^2),1/3)))),IF(AND(IFERROR(V596,0)=1,IFERROR(AG596,0)=1),IF(IFERROR(T596,-1E+99)&gt;=IFERROR(AE596,-1E+99),MAX($D$16,IFERROR(L596,MAX($D$16,POWER((ABS(K596)^2)/($I$5*MAX(F596,0.1)^2),1/3)))),MAX($D$16,IFERROR(W596,MAX($D$16,POWER((ABS(K596)^2)/($I$5*MAX(F596,0.1)^2),1/3))))),IF(IFERROR(V596,0)=1,MAX($D$16,IFERROR(L596,MAX($D$16,POWER((ABS(K596)^2)/($I$5*MAX(F596,0.1)^2),1/3)))),IF(IFERROR(AG596,0)=1,MAX($D$16,IFERROR(W596,MAX($D$16,POWER((ABS(K596)^2)/($I$5*MAX(F596,0.1)^2),1/3)))),MAX($D$16,POWER((ABS(K596)^2)/($I$5*MAX(F596,0.1)^2),1/3))))))),MAX($D$16,POWER((ABS(K596)^2)/($I$5*MAX(F596,0.1)^2),1/3)))</f>
        <v>2.1389677043987478</v>
      </c>
      <c r="AI596">
        <f t="shared" ca="1" si="300"/>
        <v>634.43446770439868</v>
      </c>
      <c r="AJ596">
        <f t="shared" ca="1" si="301"/>
        <v>635.50395155659805</v>
      </c>
      <c r="AM596">
        <v>0</v>
      </c>
      <c r="AN596">
        <v>0</v>
      </c>
      <c r="AO596">
        <f t="shared" si="302"/>
        <v>0</v>
      </c>
      <c r="AP596">
        <f t="shared" si="311"/>
        <v>0</v>
      </c>
      <c r="AQ596">
        <f t="shared" ca="1" si="303"/>
        <v>1.0000000000000004</v>
      </c>
      <c r="AR596" t="str">
        <f t="shared" ca="1" si="304"/>
        <v>Supercritical</v>
      </c>
      <c r="AS596">
        <f t="shared" ca="1" si="305"/>
        <v>3.8141460404132466E-3</v>
      </c>
    </row>
    <row r="597" spans="1:45" x14ac:dyDescent="0.35">
      <c r="A597">
        <v>536</v>
      </c>
      <c r="B597">
        <v>534.99599999999998</v>
      </c>
      <c r="C597">
        <v>616189.01800000004</v>
      </c>
      <c r="D597">
        <v>3097448.2310000001</v>
      </c>
      <c r="E597">
        <v>632.29499999999996</v>
      </c>
      <c r="F597">
        <v>5.2</v>
      </c>
      <c r="G597">
        <v>0</v>
      </c>
      <c r="H597" t="s">
        <v>154</v>
      </c>
      <c r="I597">
        <v>2.7E-2</v>
      </c>
      <c r="J597">
        <f t="shared" si="306"/>
        <v>1</v>
      </c>
      <c r="K597">
        <f t="shared" ca="1" si="307"/>
        <v>50.95</v>
      </c>
      <c r="L597">
        <f t="shared" ca="1" si="308"/>
        <v>2.1389677043987478</v>
      </c>
      <c r="M597">
        <f t="shared" ca="1" si="281"/>
        <v>11.122632062873489</v>
      </c>
      <c r="N597">
        <f t="shared" ca="1" si="282"/>
        <v>1.1735290000551568</v>
      </c>
      <c r="O597">
        <f t="shared" ca="1" si="283"/>
        <v>4.5807502857230418</v>
      </c>
      <c r="P597">
        <f t="shared" ca="1" si="284"/>
        <v>634.4339677043987</v>
      </c>
      <c r="Q597">
        <f t="shared" ca="1" si="285"/>
        <v>635.50345155659807</v>
      </c>
      <c r="R597">
        <f t="shared" ca="1" si="286"/>
        <v>3.8141460404132466E-3</v>
      </c>
      <c r="S597">
        <f t="shared" ca="1" si="287"/>
        <v>1.0000000000000004</v>
      </c>
      <c r="T597">
        <f t="shared" ca="1" si="288"/>
        <v>35.686426155594638</v>
      </c>
      <c r="U597">
        <f t="shared" ca="1" si="309"/>
        <v>-3.3622728137743252E-3</v>
      </c>
      <c r="V597">
        <f t="shared" ca="1" si="310"/>
        <v>1</v>
      </c>
      <c r="W597">
        <f t="shared" ca="1" si="289"/>
        <v>1.7069128275230114</v>
      </c>
      <c r="X597">
        <f t="shared" ca="1" si="290"/>
        <v>8.8759467031196593</v>
      </c>
      <c r="Y597">
        <f t="shared" ca="1" si="291"/>
        <v>1.0304302708889963</v>
      </c>
      <c r="Z597">
        <f t="shared" ca="1" si="292"/>
        <v>5.7402327553513173</v>
      </c>
      <c r="AA597">
        <f t="shared" ca="1" si="293"/>
        <v>634.00191282752291</v>
      </c>
      <c r="AB597">
        <f t="shared" ca="1" si="294"/>
        <v>635.68133546185561</v>
      </c>
      <c r="AC597">
        <f t="shared" ca="1" si="295"/>
        <v>7.1233351570256552E-3</v>
      </c>
      <c r="AD597">
        <f t="shared" ca="1" si="296"/>
        <v>1.4027792327097361</v>
      </c>
      <c r="AE597">
        <f t="shared" ca="1" si="297"/>
        <v>37.388165230683029</v>
      </c>
      <c r="AF597">
        <f t="shared" ca="1" si="298"/>
        <v>6.6233351570872401E-3</v>
      </c>
      <c r="AG597">
        <f t="shared" ca="1" si="299"/>
        <v>0</v>
      </c>
      <c r="AH597">
        <f ca="1">IFERROR(IF(V32="Supercritical",MAX($D$16,IFERROR(L597,MAX($D$16,POWER((ABS(K597)^2)/($I$5*MAX(F597,0.1)^2),1/3)))),IF(V32="Subcritical",MAX($D$16,IFERROR(W597,MAX($D$16,POWER((ABS(K597)^2)/($I$5*MAX(F597,0.1)^2),1/3)))),IF(AND(IFERROR(V597,0)=1,IFERROR(AG597,0)=1),IF(IFERROR(T597,-1E+99)&gt;=IFERROR(AE597,-1E+99),MAX($D$16,IFERROR(L597,MAX($D$16,POWER((ABS(K597)^2)/($I$5*MAX(F597,0.1)^2),1/3)))),MAX($D$16,IFERROR(W597,MAX($D$16,POWER((ABS(K597)^2)/($I$5*MAX(F597,0.1)^2),1/3))))),IF(IFERROR(V597,0)=1,MAX($D$16,IFERROR(L597,MAX($D$16,POWER((ABS(K597)^2)/($I$5*MAX(F597,0.1)^2),1/3)))),IF(IFERROR(AG597,0)=1,MAX($D$16,IFERROR(W597,MAX($D$16,POWER((ABS(K597)^2)/($I$5*MAX(F597,0.1)^2),1/3)))),MAX($D$16,POWER((ABS(K597)^2)/($I$5*MAX(F597,0.1)^2),1/3))))))),MAX($D$16,POWER((ABS(K597)^2)/($I$5*MAX(F597,0.1)^2),1/3)))</f>
        <v>2.1389677043987478</v>
      </c>
      <c r="AI597">
        <f t="shared" ca="1" si="300"/>
        <v>634.4339677043987</v>
      </c>
      <c r="AJ597">
        <f t="shared" ca="1" si="301"/>
        <v>635.50345155659807</v>
      </c>
      <c r="AM597">
        <v>0</v>
      </c>
      <c r="AN597">
        <v>0</v>
      </c>
      <c r="AO597">
        <f t="shared" si="302"/>
        <v>0</v>
      </c>
      <c r="AP597">
        <f t="shared" si="311"/>
        <v>0</v>
      </c>
      <c r="AQ597">
        <f t="shared" ca="1" si="303"/>
        <v>1.0000000000000004</v>
      </c>
      <c r="AR597" t="str">
        <f t="shared" ca="1" si="304"/>
        <v>Supercritical</v>
      </c>
      <c r="AS597">
        <f t="shared" ca="1" si="305"/>
        <v>3.8141460404132466E-3</v>
      </c>
    </row>
    <row r="598" spans="1:45" x14ac:dyDescent="0.35">
      <c r="A598">
        <v>537</v>
      </c>
      <c r="B598">
        <v>535.99599999999998</v>
      </c>
      <c r="C598">
        <v>616188.54399999999</v>
      </c>
      <c r="D598">
        <v>3097447.3509999998</v>
      </c>
      <c r="E598">
        <v>632.29449999999997</v>
      </c>
      <c r="F598">
        <v>5.2</v>
      </c>
      <c r="G598">
        <v>0</v>
      </c>
      <c r="H598" t="s">
        <v>154</v>
      </c>
      <c r="I598">
        <v>0</v>
      </c>
      <c r="J598">
        <f t="shared" si="306"/>
        <v>1</v>
      </c>
      <c r="K598">
        <f t="shared" ca="1" si="307"/>
        <v>50.95</v>
      </c>
      <c r="L598">
        <f t="shared" ca="1" si="308"/>
        <v>2.1389677043987478</v>
      </c>
      <c r="M598">
        <f t="shared" ca="1" si="281"/>
        <v>11.122632062873489</v>
      </c>
      <c r="N598">
        <f t="shared" ca="1" si="282"/>
        <v>1.1735290000551568</v>
      </c>
      <c r="O598">
        <f t="shared" ca="1" si="283"/>
        <v>4.5807502857230418</v>
      </c>
      <c r="P598">
        <f t="shared" ca="1" si="284"/>
        <v>634.43346770439871</v>
      </c>
      <c r="Q598">
        <f t="shared" ca="1" si="285"/>
        <v>635.50295155659808</v>
      </c>
      <c r="R598">
        <f t="shared" ca="1" si="286"/>
        <v>3.8141460404132466E-3</v>
      </c>
      <c r="S598">
        <f t="shared" ca="1" si="287"/>
        <v>1.0000000000000004</v>
      </c>
      <c r="T598">
        <f t="shared" ca="1" si="288"/>
        <v>35.686426155594638</v>
      </c>
      <c r="U598">
        <f t="shared" ca="1" si="309"/>
        <v>-3.3141460404522149E-3</v>
      </c>
      <c r="V598">
        <f t="shared" ca="1" si="310"/>
        <v>1</v>
      </c>
      <c r="W598">
        <f t="shared" ca="1" si="289"/>
        <v>1.7069127951453524</v>
      </c>
      <c r="X598">
        <f t="shared" ca="1" si="290"/>
        <v>8.8759465347558333</v>
      </c>
      <c r="Y598">
        <f t="shared" ca="1" si="291"/>
        <v>1.0304302590895948</v>
      </c>
      <c r="Z598">
        <f t="shared" ca="1" si="292"/>
        <v>5.7402328642352032</v>
      </c>
      <c r="AA598">
        <f t="shared" ca="1" si="293"/>
        <v>634.00141279514537</v>
      </c>
      <c r="AB598">
        <f t="shared" ca="1" si="294"/>
        <v>635.68083549319056</v>
      </c>
      <c r="AC598">
        <f t="shared" ca="1" si="295"/>
        <v>7.1233355360228951E-3</v>
      </c>
      <c r="AD598">
        <f t="shared" ca="1" si="296"/>
        <v>1.4027792726227661</v>
      </c>
      <c r="AE598">
        <f t="shared" ca="1" si="297"/>
        <v>37.388165508808704</v>
      </c>
      <c r="AF598">
        <f t="shared" ca="1" si="298"/>
        <v>6.6805900705730892E-3</v>
      </c>
      <c r="AG598">
        <f t="shared" ca="1" si="299"/>
        <v>0</v>
      </c>
      <c r="AH598">
        <f ca="1">IFERROR(IF(V32="Supercritical",MAX($D$16,IFERROR(L598,MAX($D$16,POWER((ABS(K598)^2)/($I$5*MAX(F598,0.1)^2),1/3)))),IF(V32="Subcritical",MAX($D$16,IFERROR(W598,MAX($D$16,POWER((ABS(K598)^2)/($I$5*MAX(F598,0.1)^2),1/3)))),IF(AND(IFERROR(V598,0)=1,IFERROR(AG598,0)=1),IF(IFERROR(T598,-1E+99)&gt;=IFERROR(AE598,-1E+99),MAX($D$16,IFERROR(L598,MAX($D$16,POWER((ABS(K598)^2)/($I$5*MAX(F598,0.1)^2),1/3)))),MAX($D$16,IFERROR(W598,MAX($D$16,POWER((ABS(K598)^2)/($I$5*MAX(F598,0.1)^2),1/3))))),IF(IFERROR(V598,0)=1,MAX($D$16,IFERROR(L598,MAX($D$16,POWER((ABS(K598)^2)/($I$5*MAX(F598,0.1)^2),1/3)))),IF(IFERROR(AG598,0)=1,MAX($D$16,IFERROR(W598,MAX($D$16,POWER((ABS(K598)^2)/($I$5*MAX(F598,0.1)^2),1/3)))),MAX($D$16,POWER((ABS(K598)^2)/($I$5*MAX(F598,0.1)^2),1/3))))))),MAX($D$16,POWER((ABS(K598)^2)/($I$5*MAX(F598,0.1)^2),1/3)))</f>
        <v>2.1389677043987478</v>
      </c>
      <c r="AI598">
        <f t="shared" ca="1" si="300"/>
        <v>634.43346770439871</v>
      </c>
      <c r="AJ598">
        <f t="shared" ca="1" si="301"/>
        <v>635.50295155659808</v>
      </c>
      <c r="AM598">
        <v>0</v>
      </c>
      <c r="AN598">
        <v>0</v>
      </c>
      <c r="AO598">
        <f t="shared" si="302"/>
        <v>0</v>
      </c>
      <c r="AP598">
        <f t="shared" si="311"/>
        <v>0</v>
      </c>
      <c r="AQ598">
        <f t="shared" ca="1" si="303"/>
        <v>1.0000000000000004</v>
      </c>
      <c r="AR598" t="str">
        <f t="shared" ca="1" si="304"/>
        <v>Supercritical</v>
      </c>
      <c r="AS598">
        <f t="shared" ca="1" si="305"/>
        <v>3.8141460404132466E-3</v>
      </c>
    </row>
    <row r="599" spans="1:45" x14ac:dyDescent="0.35">
      <c r="A599">
        <v>538</v>
      </c>
      <c r="B599">
        <v>536.995</v>
      </c>
      <c r="C599">
        <v>616188.06999999995</v>
      </c>
      <c r="D599">
        <v>3097446.4709999999</v>
      </c>
      <c r="E599">
        <v>632.29399999999998</v>
      </c>
      <c r="F599">
        <v>5.2</v>
      </c>
      <c r="G599">
        <v>0</v>
      </c>
      <c r="H599" t="s">
        <v>154</v>
      </c>
      <c r="I599">
        <v>2.3E-2</v>
      </c>
      <c r="J599">
        <f t="shared" si="306"/>
        <v>0.99900000000002365</v>
      </c>
      <c r="K599">
        <f t="shared" ca="1" si="307"/>
        <v>50.95</v>
      </c>
      <c r="L599">
        <f t="shared" ca="1" si="308"/>
        <v>2.1389677043987478</v>
      </c>
      <c r="M599">
        <f t="shared" ca="1" si="281"/>
        <v>11.122632062873489</v>
      </c>
      <c r="N599">
        <f t="shared" ca="1" si="282"/>
        <v>1.1735290000551568</v>
      </c>
      <c r="O599">
        <f t="shared" ca="1" si="283"/>
        <v>4.5807502857230418</v>
      </c>
      <c r="P599">
        <f t="shared" ca="1" si="284"/>
        <v>634.43296770439872</v>
      </c>
      <c r="Q599">
        <f t="shared" ca="1" si="285"/>
        <v>635.50245155659809</v>
      </c>
      <c r="R599">
        <f t="shared" ca="1" si="286"/>
        <v>3.8141460404132466E-3</v>
      </c>
      <c r="S599">
        <f t="shared" ca="1" si="287"/>
        <v>1.0000000000000004</v>
      </c>
      <c r="T599">
        <f t="shared" ca="1" si="288"/>
        <v>35.686426155594638</v>
      </c>
      <c r="U599">
        <f t="shared" ca="1" si="309"/>
        <v>-3.3513287753521581E-3</v>
      </c>
      <c r="V599">
        <f t="shared" ca="1" si="310"/>
        <v>1</v>
      </c>
      <c r="W599">
        <f t="shared" ca="1" si="289"/>
        <v>1.7069127649157778</v>
      </c>
      <c r="X599">
        <f t="shared" ca="1" si="290"/>
        <v>8.8759463775620446</v>
      </c>
      <c r="Y599">
        <f t="shared" ca="1" si="291"/>
        <v>1.0304302480730203</v>
      </c>
      <c r="Z599">
        <f t="shared" ca="1" si="292"/>
        <v>5.7402329658952302</v>
      </c>
      <c r="AA599">
        <f t="shared" ca="1" si="293"/>
        <v>634.00091276491571</v>
      </c>
      <c r="AB599">
        <f t="shared" ca="1" si="294"/>
        <v>635.68033552244628</v>
      </c>
      <c r="AC599">
        <f t="shared" ca="1" si="295"/>
        <v>7.1233358898757249E-3</v>
      </c>
      <c r="AD599">
        <f t="shared" ca="1" si="296"/>
        <v>1.4027793098877821</v>
      </c>
      <c r="AE599">
        <f t="shared" ca="1" si="297"/>
        <v>37.388165768482267</v>
      </c>
      <c r="AF599">
        <f t="shared" ca="1" si="298"/>
        <v>6.6948370981663174E-3</v>
      </c>
      <c r="AG599">
        <f t="shared" ca="1" si="299"/>
        <v>0</v>
      </c>
      <c r="AH599">
        <f ca="1">IFERROR(IF(V32="Supercritical",MAX($D$16,IFERROR(L599,MAX($D$16,POWER((ABS(K599)^2)/($I$5*MAX(F599,0.1)^2),1/3)))),IF(V32="Subcritical",MAX($D$16,IFERROR(W599,MAX($D$16,POWER((ABS(K599)^2)/($I$5*MAX(F599,0.1)^2),1/3)))),IF(AND(IFERROR(V599,0)=1,IFERROR(AG599,0)=1),IF(IFERROR(T599,-1E+99)&gt;=IFERROR(AE599,-1E+99),MAX($D$16,IFERROR(L599,MAX($D$16,POWER((ABS(K599)^2)/($I$5*MAX(F599,0.1)^2),1/3)))),MAX($D$16,IFERROR(W599,MAX($D$16,POWER((ABS(K599)^2)/($I$5*MAX(F599,0.1)^2),1/3))))),IF(IFERROR(V599,0)=1,MAX($D$16,IFERROR(L599,MAX($D$16,POWER((ABS(K599)^2)/($I$5*MAX(F599,0.1)^2),1/3)))),IF(IFERROR(AG599,0)=1,MAX($D$16,IFERROR(W599,MAX($D$16,POWER((ABS(K599)^2)/($I$5*MAX(F599,0.1)^2),1/3)))),MAX($D$16,POWER((ABS(K599)^2)/($I$5*MAX(F599,0.1)^2),1/3))))))),MAX($D$16,POWER((ABS(K599)^2)/($I$5*MAX(F599,0.1)^2),1/3)))</f>
        <v>2.1389677043987478</v>
      </c>
      <c r="AI599">
        <f t="shared" ca="1" si="300"/>
        <v>634.43296770439872</v>
      </c>
      <c r="AJ599">
        <f t="shared" ca="1" si="301"/>
        <v>635.50245155659809</v>
      </c>
      <c r="AM599">
        <v>0</v>
      </c>
      <c r="AN599">
        <v>0</v>
      </c>
      <c r="AO599">
        <f t="shared" si="302"/>
        <v>0</v>
      </c>
      <c r="AP599">
        <f t="shared" si="311"/>
        <v>0</v>
      </c>
      <c r="AQ599">
        <f t="shared" ca="1" si="303"/>
        <v>1.0000000000000004</v>
      </c>
      <c r="AR599" t="str">
        <f t="shared" ca="1" si="304"/>
        <v>Supercritical</v>
      </c>
      <c r="AS599">
        <f t="shared" ca="1" si="305"/>
        <v>3.8141460404132466E-3</v>
      </c>
    </row>
    <row r="600" spans="1:45" x14ac:dyDescent="0.35">
      <c r="A600">
        <v>539</v>
      </c>
      <c r="B600">
        <v>537.99599999999998</v>
      </c>
      <c r="C600">
        <v>616187.59499999997</v>
      </c>
      <c r="D600">
        <v>3097445.59</v>
      </c>
      <c r="E600">
        <v>632.29349999999999</v>
      </c>
      <c r="F600">
        <v>5.2</v>
      </c>
      <c r="G600">
        <v>0</v>
      </c>
      <c r="H600" t="s">
        <v>154</v>
      </c>
      <c r="I600">
        <v>2.3E-2</v>
      </c>
      <c r="J600">
        <f t="shared" si="306"/>
        <v>1.0009999999999764</v>
      </c>
      <c r="K600">
        <f t="shared" ca="1" si="307"/>
        <v>50.95</v>
      </c>
      <c r="L600">
        <f t="shared" ca="1" si="308"/>
        <v>2.1389677043987478</v>
      </c>
      <c r="M600">
        <f t="shared" ca="1" si="281"/>
        <v>11.122632062873489</v>
      </c>
      <c r="N600">
        <f t="shared" ca="1" si="282"/>
        <v>1.1735290000551568</v>
      </c>
      <c r="O600">
        <f t="shared" ca="1" si="283"/>
        <v>4.5807502857230418</v>
      </c>
      <c r="P600">
        <f t="shared" ca="1" si="284"/>
        <v>634.43246770439873</v>
      </c>
      <c r="Q600">
        <f t="shared" ca="1" si="285"/>
        <v>635.5019515565981</v>
      </c>
      <c r="R600">
        <f t="shared" ca="1" si="286"/>
        <v>3.8141460404132466E-3</v>
      </c>
      <c r="S600">
        <f t="shared" ca="1" si="287"/>
        <v>1.0000000000000004</v>
      </c>
      <c r="T600">
        <f t="shared" ca="1" si="288"/>
        <v>35.686426155594638</v>
      </c>
      <c r="U600">
        <f t="shared" ca="1" si="309"/>
        <v>-3.3589570674621427E-3</v>
      </c>
      <c r="V600">
        <f t="shared" ca="1" si="310"/>
        <v>1</v>
      </c>
      <c r="W600">
        <f t="shared" ca="1" si="289"/>
        <v>1.7069127366917414</v>
      </c>
      <c r="X600">
        <f t="shared" ca="1" si="290"/>
        <v>8.8759462307970551</v>
      </c>
      <c r="Y600">
        <f t="shared" ca="1" si="291"/>
        <v>1.0304302377873247</v>
      </c>
      <c r="Z600">
        <f t="shared" ca="1" si="292"/>
        <v>5.7402330608107706</v>
      </c>
      <c r="AA600">
        <f t="shared" ca="1" si="293"/>
        <v>634.00041273669171</v>
      </c>
      <c r="AB600">
        <f t="shared" ca="1" si="294"/>
        <v>635.67983554976126</v>
      </c>
      <c r="AC600">
        <f t="shared" ca="1" si="295"/>
        <v>7.1233362202527111E-3</v>
      </c>
      <c r="AD600">
        <f t="shared" ca="1" si="296"/>
        <v>1.4027793446805048</v>
      </c>
      <c r="AE600">
        <f t="shared" ca="1" si="297"/>
        <v>37.388166010928167</v>
      </c>
      <c r="AF600">
        <f t="shared" ca="1" si="298"/>
        <v>6.6989102468824058E-3</v>
      </c>
      <c r="AG600">
        <f t="shared" ca="1" si="299"/>
        <v>0</v>
      </c>
      <c r="AH600">
        <f ca="1">IFERROR(IF(V32="Supercritical",MAX($D$16,IFERROR(L600,MAX($D$16,POWER((ABS(K600)^2)/($I$5*MAX(F600,0.1)^2),1/3)))),IF(V32="Subcritical",MAX($D$16,IFERROR(W600,MAX($D$16,POWER((ABS(K600)^2)/($I$5*MAX(F600,0.1)^2),1/3)))),IF(AND(IFERROR(V600,0)=1,IFERROR(AG600,0)=1),IF(IFERROR(T600,-1E+99)&gt;=IFERROR(AE600,-1E+99),MAX($D$16,IFERROR(L600,MAX($D$16,POWER((ABS(K600)^2)/($I$5*MAX(F600,0.1)^2),1/3)))),MAX($D$16,IFERROR(W600,MAX($D$16,POWER((ABS(K600)^2)/($I$5*MAX(F600,0.1)^2),1/3))))),IF(IFERROR(V600,0)=1,MAX($D$16,IFERROR(L600,MAX($D$16,POWER((ABS(K600)^2)/($I$5*MAX(F600,0.1)^2),1/3)))),IF(IFERROR(AG600,0)=1,MAX($D$16,IFERROR(W600,MAX($D$16,POWER((ABS(K600)^2)/($I$5*MAX(F600,0.1)^2),1/3)))),MAX($D$16,POWER((ABS(K600)^2)/($I$5*MAX(F600,0.1)^2),1/3))))))),MAX($D$16,POWER((ABS(K600)^2)/($I$5*MAX(F600,0.1)^2),1/3)))</f>
        <v>2.1389677043987478</v>
      </c>
      <c r="AI600">
        <f t="shared" ca="1" si="300"/>
        <v>634.43246770439873</v>
      </c>
      <c r="AJ600">
        <f t="shared" ca="1" si="301"/>
        <v>635.5019515565981</v>
      </c>
      <c r="AM600">
        <v>0</v>
      </c>
      <c r="AN600">
        <v>0</v>
      </c>
      <c r="AO600">
        <f t="shared" si="302"/>
        <v>0</v>
      </c>
      <c r="AP600">
        <f t="shared" si="311"/>
        <v>0</v>
      </c>
      <c r="AQ600">
        <f t="shared" ca="1" si="303"/>
        <v>1.0000000000000004</v>
      </c>
      <c r="AR600" t="str">
        <f t="shared" ca="1" si="304"/>
        <v>Supercritical</v>
      </c>
      <c r="AS600">
        <f t="shared" ca="1" si="305"/>
        <v>3.8141460404132466E-3</v>
      </c>
    </row>
    <row r="601" spans="1:45" x14ac:dyDescent="0.35">
      <c r="A601">
        <v>540</v>
      </c>
      <c r="B601">
        <v>538.99599999999998</v>
      </c>
      <c r="C601">
        <v>616187.12100000004</v>
      </c>
      <c r="D601">
        <v>3097444.71</v>
      </c>
      <c r="E601">
        <v>632.29300000000001</v>
      </c>
      <c r="F601">
        <v>5.2</v>
      </c>
      <c r="G601">
        <v>0</v>
      </c>
      <c r="H601" t="s">
        <v>154</v>
      </c>
      <c r="I601">
        <v>2.7E-2</v>
      </c>
      <c r="J601">
        <f t="shared" si="306"/>
        <v>1</v>
      </c>
      <c r="K601">
        <f t="shared" ca="1" si="307"/>
        <v>50.95</v>
      </c>
      <c r="L601">
        <f t="shared" ca="1" si="308"/>
        <v>2.1389677043987478</v>
      </c>
      <c r="M601">
        <f t="shared" ca="1" si="281"/>
        <v>11.122632062873489</v>
      </c>
      <c r="N601">
        <f t="shared" ca="1" si="282"/>
        <v>1.1735290000551568</v>
      </c>
      <c r="O601">
        <f t="shared" ca="1" si="283"/>
        <v>4.5807502857230418</v>
      </c>
      <c r="P601">
        <f t="shared" ca="1" si="284"/>
        <v>634.43196770439874</v>
      </c>
      <c r="Q601">
        <f t="shared" ca="1" si="285"/>
        <v>635.50145155659811</v>
      </c>
      <c r="R601">
        <f t="shared" ca="1" si="286"/>
        <v>3.8141460404132466E-3</v>
      </c>
      <c r="S601">
        <f t="shared" ca="1" si="287"/>
        <v>1.0000000000000004</v>
      </c>
      <c r="T601">
        <f t="shared" ca="1" si="288"/>
        <v>35.686426155594638</v>
      </c>
      <c r="U601">
        <f t="shared" ca="1" si="309"/>
        <v>-3.3622728137743252E-3</v>
      </c>
      <c r="V601">
        <f t="shared" ca="1" si="310"/>
        <v>1</v>
      </c>
      <c r="W601">
        <f t="shared" ca="1" si="289"/>
        <v>1.7069127103402295</v>
      </c>
      <c r="X601">
        <f t="shared" ca="1" si="290"/>
        <v>8.8759460937691941</v>
      </c>
      <c r="Y601">
        <f t="shared" ca="1" si="291"/>
        <v>1.0304302281840334</v>
      </c>
      <c r="Z601">
        <f t="shared" ca="1" si="292"/>
        <v>5.7402331494291392</v>
      </c>
      <c r="AA601">
        <f t="shared" ca="1" si="293"/>
        <v>633.99991271034025</v>
      </c>
      <c r="AB601">
        <f t="shared" ca="1" si="294"/>
        <v>635.67933557526408</v>
      </c>
      <c r="AC601">
        <f t="shared" ca="1" si="295"/>
        <v>7.1233365287108486E-3</v>
      </c>
      <c r="AD601">
        <f t="shared" ca="1" si="296"/>
        <v>1.4027793771649049</v>
      </c>
      <c r="AE601">
        <f t="shared" ca="1" si="297"/>
        <v>37.388166237289006</v>
      </c>
      <c r="AF601">
        <f t="shared" ca="1" si="298"/>
        <v>6.6989105575885333E-3</v>
      </c>
      <c r="AG601">
        <f t="shared" ca="1" si="299"/>
        <v>0</v>
      </c>
      <c r="AH601">
        <f ca="1">IFERROR(IF(V32="Supercritical",MAX($D$16,IFERROR(L601,MAX($D$16,POWER((ABS(K601)^2)/($I$5*MAX(F601,0.1)^2),1/3)))),IF(V32="Subcritical",MAX($D$16,IFERROR(W601,MAX($D$16,POWER((ABS(K601)^2)/($I$5*MAX(F601,0.1)^2),1/3)))),IF(AND(IFERROR(V601,0)=1,IFERROR(AG601,0)=1),IF(IFERROR(T601,-1E+99)&gt;=IFERROR(AE601,-1E+99),MAX($D$16,IFERROR(L601,MAX($D$16,POWER((ABS(K601)^2)/($I$5*MAX(F601,0.1)^2),1/3)))),MAX($D$16,IFERROR(W601,MAX($D$16,POWER((ABS(K601)^2)/($I$5*MAX(F601,0.1)^2),1/3))))),IF(IFERROR(V601,0)=1,MAX($D$16,IFERROR(L601,MAX($D$16,POWER((ABS(K601)^2)/($I$5*MAX(F601,0.1)^2),1/3)))),IF(IFERROR(AG601,0)=1,MAX($D$16,IFERROR(W601,MAX($D$16,POWER((ABS(K601)^2)/($I$5*MAX(F601,0.1)^2),1/3)))),MAX($D$16,POWER((ABS(K601)^2)/($I$5*MAX(F601,0.1)^2),1/3))))))),MAX($D$16,POWER((ABS(K601)^2)/($I$5*MAX(F601,0.1)^2),1/3)))</f>
        <v>2.1389677043987478</v>
      </c>
      <c r="AI601">
        <f t="shared" ca="1" si="300"/>
        <v>634.43196770439874</v>
      </c>
      <c r="AJ601">
        <f t="shared" ca="1" si="301"/>
        <v>635.50145155659811</v>
      </c>
      <c r="AM601">
        <v>0</v>
      </c>
      <c r="AN601">
        <v>0</v>
      </c>
      <c r="AO601">
        <f t="shared" si="302"/>
        <v>0</v>
      </c>
      <c r="AP601">
        <f t="shared" si="311"/>
        <v>0</v>
      </c>
      <c r="AQ601">
        <f t="shared" ca="1" si="303"/>
        <v>1.0000000000000004</v>
      </c>
      <c r="AR601" t="str">
        <f t="shared" ca="1" si="304"/>
        <v>Supercritical</v>
      </c>
      <c r="AS601">
        <f t="shared" ca="1" si="305"/>
        <v>3.8141460404132466E-3</v>
      </c>
    </row>
    <row r="602" spans="1:45" x14ac:dyDescent="0.35">
      <c r="A602">
        <v>541</v>
      </c>
      <c r="B602">
        <v>539.99599999999998</v>
      </c>
      <c r="C602">
        <v>616186.647</v>
      </c>
      <c r="D602">
        <v>3097443.8289999999</v>
      </c>
      <c r="E602">
        <v>632.29250000000002</v>
      </c>
      <c r="F602">
        <v>5.2</v>
      </c>
      <c r="G602">
        <v>0</v>
      </c>
      <c r="H602" t="s">
        <v>154</v>
      </c>
      <c r="I602">
        <v>2.7E-2</v>
      </c>
      <c r="J602">
        <f t="shared" si="306"/>
        <v>1</v>
      </c>
      <c r="K602">
        <f t="shared" ca="1" si="307"/>
        <v>50.95</v>
      </c>
      <c r="L602">
        <f t="shared" ca="1" si="308"/>
        <v>2.1389677043987478</v>
      </c>
      <c r="M602">
        <f t="shared" ca="1" si="281"/>
        <v>11.122632062873489</v>
      </c>
      <c r="N602">
        <f t="shared" ca="1" si="282"/>
        <v>1.1735290000551568</v>
      </c>
      <c r="O602">
        <f t="shared" ca="1" si="283"/>
        <v>4.5807502857230418</v>
      </c>
      <c r="P602">
        <f t="shared" ca="1" si="284"/>
        <v>634.43146770439876</v>
      </c>
      <c r="Q602">
        <f t="shared" ca="1" si="285"/>
        <v>635.50095155659812</v>
      </c>
      <c r="R602">
        <f t="shared" ca="1" si="286"/>
        <v>3.8141460404132466E-3</v>
      </c>
      <c r="S602">
        <f t="shared" ca="1" si="287"/>
        <v>1.0000000000000004</v>
      </c>
      <c r="T602">
        <f t="shared" ca="1" si="288"/>
        <v>35.686426155594638</v>
      </c>
      <c r="U602">
        <f t="shared" ca="1" si="309"/>
        <v>-3.3622728137743252E-3</v>
      </c>
      <c r="V602">
        <f t="shared" ca="1" si="310"/>
        <v>1</v>
      </c>
      <c r="W602">
        <f t="shared" ca="1" si="289"/>
        <v>1.7069126857369938</v>
      </c>
      <c r="X602">
        <f t="shared" ca="1" si="290"/>
        <v>8.8759459658323685</v>
      </c>
      <c r="Y602">
        <f t="shared" ca="1" si="291"/>
        <v>1.0304302192178674</v>
      </c>
      <c r="Z602">
        <f t="shared" ca="1" si="292"/>
        <v>5.7402332321681744</v>
      </c>
      <c r="AA602">
        <f t="shared" ca="1" si="293"/>
        <v>633.99941268573696</v>
      </c>
      <c r="AB602">
        <f t="shared" ca="1" si="294"/>
        <v>635.67883559907477</v>
      </c>
      <c r="AC602">
        <f t="shared" ca="1" si="295"/>
        <v>7.1233368167045192E-3</v>
      </c>
      <c r="AD602">
        <f t="shared" ca="1" si="296"/>
        <v>1.4027794074941466</v>
      </c>
      <c r="AE602">
        <f t="shared" ca="1" si="297"/>
        <v>37.388166448632084</v>
      </c>
      <c r="AF602">
        <f t="shared" ca="1" si="298"/>
        <v>6.7632887261197538E-3</v>
      </c>
      <c r="AG602">
        <f t="shared" ca="1" si="299"/>
        <v>0</v>
      </c>
      <c r="AH602">
        <f ca="1">IFERROR(IF(V32="Supercritical",MAX($D$16,IFERROR(L602,MAX($D$16,POWER((ABS(K602)^2)/($I$5*MAX(F602,0.1)^2),1/3)))),IF(V32="Subcritical",MAX($D$16,IFERROR(W602,MAX($D$16,POWER((ABS(K602)^2)/($I$5*MAX(F602,0.1)^2),1/3)))),IF(AND(IFERROR(V602,0)=1,IFERROR(AG602,0)=1),IF(IFERROR(T602,-1E+99)&gt;=IFERROR(AE602,-1E+99),MAX($D$16,IFERROR(L602,MAX($D$16,POWER((ABS(K602)^2)/($I$5*MAX(F602,0.1)^2),1/3)))),MAX($D$16,IFERROR(W602,MAX($D$16,POWER((ABS(K602)^2)/($I$5*MAX(F602,0.1)^2),1/3))))),IF(IFERROR(V602,0)=1,MAX($D$16,IFERROR(L602,MAX($D$16,POWER((ABS(K602)^2)/($I$5*MAX(F602,0.1)^2),1/3)))),IF(IFERROR(AG602,0)=1,MAX($D$16,IFERROR(W602,MAX($D$16,POWER((ABS(K602)^2)/($I$5*MAX(F602,0.1)^2),1/3)))),MAX($D$16,POWER((ABS(K602)^2)/($I$5*MAX(F602,0.1)^2),1/3))))))),MAX($D$16,POWER((ABS(K602)^2)/($I$5*MAX(F602,0.1)^2),1/3)))</f>
        <v>2.1389677043987478</v>
      </c>
      <c r="AI602">
        <f t="shared" ca="1" si="300"/>
        <v>634.43146770439876</v>
      </c>
      <c r="AJ602">
        <f t="shared" ca="1" si="301"/>
        <v>635.50095155659812</v>
      </c>
      <c r="AM602">
        <v>0</v>
      </c>
      <c r="AN602">
        <v>0</v>
      </c>
      <c r="AO602">
        <f t="shared" si="302"/>
        <v>0</v>
      </c>
      <c r="AP602">
        <f t="shared" si="311"/>
        <v>0</v>
      </c>
      <c r="AQ602">
        <f t="shared" ca="1" si="303"/>
        <v>1.0000000000000004</v>
      </c>
      <c r="AR602" t="str">
        <f t="shared" ca="1" si="304"/>
        <v>Supercritical</v>
      </c>
      <c r="AS602">
        <f t="shared" ca="1" si="305"/>
        <v>3.8141460404132466E-3</v>
      </c>
    </row>
    <row r="603" spans="1:45" x14ac:dyDescent="0.35">
      <c r="A603">
        <v>542</v>
      </c>
      <c r="B603">
        <v>540.99599999999998</v>
      </c>
      <c r="C603">
        <v>616186.17299999995</v>
      </c>
      <c r="D603">
        <v>3097442.949</v>
      </c>
      <c r="E603">
        <v>632.29200000000003</v>
      </c>
      <c r="F603">
        <v>5.2</v>
      </c>
      <c r="G603">
        <v>0</v>
      </c>
      <c r="H603" t="s">
        <v>154</v>
      </c>
      <c r="I603">
        <v>0.05</v>
      </c>
      <c r="J603">
        <f t="shared" si="306"/>
        <v>1</v>
      </c>
      <c r="K603">
        <f t="shared" ca="1" si="307"/>
        <v>50.95</v>
      </c>
      <c r="L603">
        <f t="shared" ca="1" si="308"/>
        <v>2.1389677043987478</v>
      </c>
      <c r="M603">
        <f t="shared" ca="1" si="281"/>
        <v>11.122632062873489</v>
      </c>
      <c r="N603">
        <f t="shared" ca="1" si="282"/>
        <v>1.1735290000551568</v>
      </c>
      <c r="O603">
        <f t="shared" ca="1" si="283"/>
        <v>4.5807502857230418</v>
      </c>
      <c r="P603">
        <f t="shared" ca="1" si="284"/>
        <v>634.43096770439877</v>
      </c>
      <c r="Q603">
        <f t="shared" ca="1" si="285"/>
        <v>635.50045155659814</v>
      </c>
      <c r="R603">
        <f t="shared" ca="1" si="286"/>
        <v>3.8141460404132466E-3</v>
      </c>
      <c r="S603">
        <f t="shared" ca="1" si="287"/>
        <v>1.0000000000000004</v>
      </c>
      <c r="T603">
        <f t="shared" ca="1" si="288"/>
        <v>35.686426155594638</v>
      </c>
      <c r="U603">
        <f t="shared" ca="1" si="309"/>
        <v>-3.4032696947861041E-3</v>
      </c>
      <c r="V603">
        <f t="shared" ca="1" si="310"/>
        <v>1</v>
      </c>
      <c r="W603">
        <f t="shared" ca="1" si="289"/>
        <v>1.7069126627660225</v>
      </c>
      <c r="X603">
        <f t="shared" ca="1" si="290"/>
        <v>8.875945846383317</v>
      </c>
      <c r="Y603">
        <f t="shared" ca="1" si="291"/>
        <v>1.0304302108465477</v>
      </c>
      <c r="Z603">
        <f t="shared" ca="1" si="292"/>
        <v>5.7402333094180165</v>
      </c>
      <c r="AA603">
        <f t="shared" ca="1" si="293"/>
        <v>633.99891266276609</v>
      </c>
      <c r="AB603">
        <f t="shared" ca="1" si="294"/>
        <v>635.67833562130591</v>
      </c>
      <c r="AC603">
        <f t="shared" ca="1" si="295"/>
        <v>7.1233370855916999E-3</v>
      </c>
      <c r="AD603">
        <f t="shared" ca="1" si="296"/>
        <v>1.4027794358112422</v>
      </c>
      <c r="AE603">
        <f t="shared" ca="1" si="297"/>
        <v>37.388166645953937</v>
      </c>
      <c r="AF603">
        <f t="shared" ca="1" si="298"/>
        <v>6.8416620702009823E-3</v>
      </c>
      <c r="AG603">
        <f t="shared" ca="1" si="299"/>
        <v>0</v>
      </c>
      <c r="AH603">
        <f ca="1">IFERROR(IF(V32="Supercritical",MAX($D$16,IFERROR(L603,MAX($D$16,POWER((ABS(K603)^2)/($I$5*MAX(F603,0.1)^2),1/3)))),IF(V32="Subcritical",MAX($D$16,IFERROR(W603,MAX($D$16,POWER((ABS(K603)^2)/($I$5*MAX(F603,0.1)^2),1/3)))),IF(AND(IFERROR(V603,0)=1,IFERROR(AG603,0)=1),IF(IFERROR(T603,-1E+99)&gt;=IFERROR(AE603,-1E+99),MAX($D$16,IFERROR(L603,MAX($D$16,POWER((ABS(K603)^2)/($I$5*MAX(F603,0.1)^2),1/3)))),MAX($D$16,IFERROR(W603,MAX($D$16,POWER((ABS(K603)^2)/($I$5*MAX(F603,0.1)^2),1/3))))),IF(IFERROR(V603,0)=1,MAX($D$16,IFERROR(L603,MAX($D$16,POWER((ABS(K603)^2)/($I$5*MAX(F603,0.1)^2),1/3)))),IF(IFERROR(AG603,0)=1,MAX($D$16,IFERROR(W603,MAX($D$16,POWER((ABS(K603)^2)/($I$5*MAX(F603,0.1)^2),1/3)))),MAX($D$16,POWER((ABS(K603)^2)/($I$5*MAX(F603,0.1)^2),1/3))))))),MAX($D$16,POWER((ABS(K603)^2)/($I$5*MAX(F603,0.1)^2),1/3)))</f>
        <v>2.1389677043987478</v>
      </c>
      <c r="AI603">
        <f t="shared" ca="1" si="300"/>
        <v>634.43096770439877</v>
      </c>
      <c r="AJ603">
        <f t="shared" ca="1" si="301"/>
        <v>635.50045155659814</v>
      </c>
      <c r="AM603">
        <v>0</v>
      </c>
      <c r="AN603">
        <v>0</v>
      </c>
      <c r="AO603">
        <f t="shared" si="302"/>
        <v>0</v>
      </c>
      <c r="AP603">
        <f t="shared" si="311"/>
        <v>0</v>
      </c>
      <c r="AQ603">
        <f t="shared" ca="1" si="303"/>
        <v>1.0000000000000004</v>
      </c>
      <c r="AR603" t="str">
        <f t="shared" ca="1" si="304"/>
        <v>Supercritical</v>
      </c>
      <c r="AS603">
        <f t="shared" ca="1" si="305"/>
        <v>3.8141460404132466E-3</v>
      </c>
    </row>
    <row r="604" spans="1:45" x14ac:dyDescent="0.35">
      <c r="A604">
        <v>543</v>
      </c>
      <c r="B604">
        <v>541.99599999999998</v>
      </c>
      <c r="C604">
        <v>616185.69799999997</v>
      </c>
      <c r="D604">
        <v>3097442.0690000001</v>
      </c>
      <c r="E604">
        <v>632.29150000000004</v>
      </c>
      <c r="F604">
        <v>5.2</v>
      </c>
      <c r="G604">
        <v>0</v>
      </c>
      <c r="H604" t="s">
        <v>154</v>
      </c>
      <c r="I604">
        <v>7.8E-2</v>
      </c>
      <c r="J604">
        <f t="shared" si="306"/>
        <v>1</v>
      </c>
      <c r="K604">
        <f t="shared" ca="1" si="307"/>
        <v>50.95</v>
      </c>
      <c r="L604">
        <f t="shared" ca="1" si="308"/>
        <v>2.1389677043987478</v>
      </c>
      <c r="M604">
        <f t="shared" ca="1" si="281"/>
        <v>11.122632062873489</v>
      </c>
      <c r="N604">
        <f t="shared" ca="1" si="282"/>
        <v>1.1735290000551568</v>
      </c>
      <c r="O604">
        <f t="shared" ca="1" si="283"/>
        <v>4.5807502857230418</v>
      </c>
      <c r="P604">
        <f t="shared" ca="1" si="284"/>
        <v>634.43046770439878</v>
      </c>
      <c r="Q604">
        <f t="shared" ca="1" si="285"/>
        <v>635.49995155659815</v>
      </c>
      <c r="R604">
        <f t="shared" ca="1" si="286"/>
        <v>3.8141460404132466E-3</v>
      </c>
      <c r="S604">
        <f t="shared" ca="1" si="287"/>
        <v>1.0000000000000004</v>
      </c>
      <c r="T604">
        <f t="shared" ca="1" si="288"/>
        <v>35.686426155594638</v>
      </c>
      <c r="U604">
        <f t="shared" ca="1" si="309"/>
        <v>-3.4531789411857972E-3</v>
      </c>
      <c r="V604">
        <f t="shared" ca="1" si="310"/>
        <v>1</v>
      </c>
      <c r="W604">
        <f t="shared" ca="1" si="289"/>
        <v>1.70691264131908</v>
      </c>
      <c r="X604">
        <f t="shared" ca="1" si="290"/>
        <v>8.8759457348592168</v>
      </c>
      <c r="Y604">
        <f t="shared" ca="1" si="291"/>
        <v>1.0304302030306305</v>
      </c>
      <c r="Z604">
        <f t="shared" ca="1" si="292"/>
        <v>5.7402333815426525</v>
      </c>
      <c r="AA604">
        <f t="shared" ca="1" si="293"/>
        <v>633.99841264131908</v>
      </c>
      <c r="AB604">
        <f t="shared" ca="1" si="294"/>
        <v>635.67783564206206</v>
      </c>
      <c r="AC604">
        <f t="shared" ca="1" si="295"/>
        <v>7.1233373366393479E-3</v>
      </c>
      <c r="AD604">
        <f t="shared" ca="1" si="296"/>
        <v>1.4027794622496161</v>
      </c>
      <c r="AE604">
        <f t="shared" ca="1" si="297"/>
        <v>37.388166830184311</v>
      </c>
      <c r="AF604">
        <f t="shared" ca="1" si="298"/>
        <v>6.6989113716999782E-3</v>
      </c>
      <c r="AG604">
        <f t="shared" ca="1" si="299"/>
        <v>0</v>
      </c>
      <c r="AH604">
        <f ca="1">IFERROR(IF(V32="Supercritical",MAX($D$16,IFERROR(L604,MAX($D$16,POWER((ABS(K604)^2)/($I$5*MAX(F604,0.1)^2),1/3)))),IF(V32="Subcritical",MAX($D$16,IFERROR(W604,MAX($D$16,POWER((ABS(K604)^2)/($I$5*MAX(F604,0.1)^2),1/3)))),IF(AND(IFERROR(V604,0)=1,IFERROR(AG604,0)=1),IF(IFERROR(T604,-1E+99)&gt;=IFERROR(AE604,-1E+99),MAX($D$16,IFERROR(L604,MAX($D$16,POWER((ABS(K604)^2)/($I$5*MAX(F604,0.1)^2),1/3)))),MAX($D$16,IFERROR(W604,MAX($D$16,POWER((ABS(K604)^2)/($I$5*MAX(F604,0.1)^2),1/3))))),IF(IFERROR(V604,0)=1,MAX($D$16,IFERROR(L604,MAX($D$16,POWER((ABS(K604)^2)/($I$5*MAX(F604,0.1)^2),1/3)))),IF(IFERROR(AG604,0)=1,MAX($D$16,IFERROR(W604,MAX($D$16,POWER((ABS(K604)^2)/($I$5*MAX(F604,0.1)^2),1/3)))),MAX($D$16,POWER((ABS(K604)^2)/($I$5*MAX(F604,0.1)^2),1/3))))))),MAX($D$16,POWER((ABS(K604)^2)/($I$5*MAX(F604,0.1)^2),1/3)))</f>
        <v>2.1389677043987478</v>
      </c>
      <c r="AI604">
        <f t="shared" ca="1" si="300"/>
        <v>634.43046770439878</v>
      </c>
      <c r="AJ604">
        <f t="shared" ca="1" si="301"/>
        <v>635.49995155659815</v>
      </c>
      <c r="AM604">
        <v>0</v>
      </c>
      <c r="AN604">
        <v>0</v>
      </c>
      <c r="AO604">
        <f t="shared" si="302"/>
        <v>0</v>
      </c>
      <c r="AP604">
        <f t="shared" si="311"/>
        <v>0</v>
      </c>
      <c r="AQ604">
        <f t="shared" ca="1" si="303"/>
        <v>1.0000000000000004</v>
      </c>
      <c r="AR604" t="str">
        <f t="shared" ca="1" si="304"/>
        <v>Supercritical</v>
      </c>
      <c r="AS604">
        <f t="shared" ca="1" si="305"/>
        <v>3.8141460404132466E-3</v>
      </c>
    </row>
    <row r="605" spans="1:45" x14ac:dyDescent="0.35">
      <c r="A605">
        <v>544</v>
      </c>
      <c r="B605">
        <v>542.99599999999998</v>
      </c>
      <c r="C605">
        <v>616185.22400000005</v>
      </c>
      <c r="D605">
        <v>3097441.1880000001</v>
      </c>
      <c r="E605">
        <v>632.29100000000005</v>
      </c>
      <c r="F605">
        <v>5.2</v>
      </c>
      <c r="G605">
        <v>0</v>
      </c>
      <c r="H605" t="s">
        <v>154</v>
      </c>
      <c r="I605">
        <v>2.7E-2</v>
      </c>
      <c r="J605">
        <f t="shared" si="306"/>
        <v>1</v>
      </c>
      <c r="K605">
        <f t="shared" ca="1" si="307"/>
        <v>50.95</v>
      </c>
      <c r="L605">
        <f t="shared" ca="1" si="308"/>
        <v>2.1389677043987478</v>
      </c>
      <c r="M605">
        <f t="shared" ca="1" si="281"/>
        <v>11.122632062873489</v>
      </c>
      <c r="N605">
        <f t="shared" ca="1" si="282"/>
        <v>1.1735290000551568</v>
      </c>
      <c r="O605">
        <f t="shared" ca="1" si="283"/>
        <v>4.5807502857230418</v>
      </c>
      <c r="P605">
        <f t="shared" ca="1" si="284"/>
        <v>634.42996770439879</v>
      </c>
      <c r="Q605">
        <f t="shared" ca="1" si="285"/>
        <v>635.49945155659816</v>
      </c>
      <c r="R605">
        <f t="shared" ca="1" si="286"/>
        <v>3.8141460404132466E-3</v>
      </c>
      <c r="S605">
        <f t="shared" ca="1" si="287"/>
        <v>1.0000000000000004</v>
      </c>
      <c r="T605">
        <f t="shared" ca="1" si="288"/>
        <v>35.686426155594638</v>
      </c>
      <c r="U605">
        <f t="shared" ca="1" si="309"/>
        <v>-3.3622728137743252E-3</v>
      </c>
      <c r="V605">
        <f t="shared" ca="1" si="310"/>
        <v>1</v>
      </c>
      <c r="W605">
        <f t="shared" ca="1" si="289"/>
        <v>1.706912621294991</v>
      </c>
      <c r="X605">
        <f t="shared" ca="1" si="290"/>
        <v>8.8759456307339537</v>
      </c>
      <c r="Y605">
        <f t="shared" ca="1" si="291"/>
        <v>1.030430195733244</v>
      </c>
      <c r="Z605">
        <f t="shared" ca="1" si="292"/>
        <v>5.7402334488823294</v>
      </c>
      <c r="AA605">
        <f t="shared" ca="1" si="293"/>
        <v>633.99791262129509</v>
      </c>
      <c r="AB605">
        <f t="shared" ca="1" si="294"/>
        <v>635.67733566144125</v>
      </c>
      <c r="AC605">
        <f t="shared" ca="1" si="295"/>
        <v>7.1233375710317631E-3</v>
      </c>
      <c r="AD605">
        <f t="shared" ca="1" si="296"/>
        <v>1.4027794869339911</v>
      </c>
      <c r="AE605">
        <f t="shared" ca="1" si="297"/>
        <v>37.388167002192311</v>
      </c>
      <c r="AF605">
        <f t="shared" ca="1" si="298"/>
        <v>6.6989116077138533E-3</v>
      </c>
      <c r="AG605">
        <f t="shared" ca="1" si="299"/>
        <v>0</v>
      </c>
      <c r="AH605">
        <f ca="1">IFERROR(IF(V32="Supercritical",MAX($D$16,IFERROR(L605,MAX($D$16,POWER((ABS(K605)^2)/($I$5*MAX(F605,0.1)^2),1/3)))),IF(V32="Subcritical",MAX($D$16,IFERROR(W605,MAX($D$16,POWER((ABS(K605)^2)/($I$5*MAX(F605,0.1)^2),1/3)))),IF(AND(IFERROR(V605,0)=1,IFERROR(AG605,0)=1),IF(IFERROR(T605,-1E+99)&gt;=IFERROR(AE605,-1E+99),MAX($D$16,IFERROR(L605,MAX($D$16,POWER((ABS(K605)^2)/($I$5*MAX(F605,0.1)^2),1/3)))),MAX($D$16,IFERROR(W605,MAX($D$16,POWER((ABS(K605)^2)/($I$5*MAX(F605,0.1)^2),1/3))))),IF(IFERROR(V605,0)=1,MAX($D$16,IFERROR(L605,MAX($D$16,POWER((ABS(K605)^2)/($I$5*MAX(F605,0.1)^2),1/3)))),IF(IFERROR(AG605,0)=1,MAX($D$16,IFERROR(W605,MAX($D$16,POWER((ABS(K605)^2)/($I$5*MAX(F605,0.1)^2),1/3)))),MAX($D$16,POWER((ABS(K605)^2)/($I$5*MAX(F605,0.1)^2),1/3))))))),MAX($D$16,POWER((ABS(K605)^2)/($I$5*MAX(F605,0.1)^2),1/3)))</f>
        <v>2.1389677043987478</v>
      </c>
      <c r="AI605">
        <f t="shared" ca="1" si="300"/>
        <v>634.42996770439879</v>
      </c>
      <c r="AJ605">
        <f t="shared" ca="1" si="301"/>
        <v>635.49945155659816</v>
      </c>
      <c r="AM605">
        <v>0</v>
      </c>
      <c r="AN605">
        <v>0</v>
      </c>
      <c r="AO605">
        <f t="shared" si="302"/>
        <v>0</v>
      </c>
      <c r="AP605">
        <f t="shared" si="311"/>
        <v>0</v>
      </c>
      <c r="AQ605">
        <f t="shared" ca="1" si="303"/>
        <v>1.0000000000000004</v>
      </c>
      <c r="AR605" t="str">
        <f t="shared" ca="1" si="304"/>
        <v>Supercritical</v>
      </c>
      <c r="AS605">
        <f t="shared" ca="1" si="305"/>
        <v>3.8141460404132466E-3</v>
      </c>
    </row>
    <row r="606" spans="1:45" x14ac:dyDescent="0.35">
      <c r="A606">
        <v>545</v>
      </c>
      <c r="B606">
        <v>543.99599999999998</v>
      </c>
      <c r="C606">
        <v>616184.75</v>
      </c>
      <c r="D606">
        <v>3097440.3080000002</v>
      </c>
      <c r="E606">
        <v>632.29049999999995</v>
      </c>
      <c r="F606">
        <v>5.2</v>
      </c>
      <c r="G606">
        <v>0</v>
      </c>
      <c r="H606" t="s">
        <v>154</v>
      </c>
      <c r="I606">
        <v>2.7E-2</v>
      </c>
      <c r="J606">
        <f t="shared" si="306"/>
        <v>1</v>
      </c>
      <c r="K606">
        <f t="shared" ca="1" si="307"/>
        <v>50.95</v>
      </c>
      <c r="L606">
        <f t="shared" ca="1" si="308"/>
        <v>2.1389677043987478</v>
      </c>
      <c r="M606">
        <f t="shared" ca="1" si="281"/>
        <v>11.122632062873489</v>
      </c>
      <c r="N606">
        <f t="shared" ca="1" si="282"/>
        <v>1.1735290000551568</v>
      </c>
      <c r="O606">
        <f t="shared" ca="1" si="283"/>
        <v>4.5807502857230418</v>
      </c>
      <c r="P606">
        <f t="shared" ca="1" si="284"/>
        <v>634.42946770439869</v>
      </c>
      <c r="Q606">
        <f t="shared" ca="1" si="285"/>
        <v>635.49895155659806</v>
      </c>
      <c r="R606">
        <f t="shared" ca="1" si="286"/>
        <v>3.8141460404132466E-3</v>
      </c>
      <c r="S606">
        <f t="shared" ca="1" si="287"/>
        <v>1.0000000000000004</v>
      </c>
      <c r="T606">
        <f t="shared" ca="1" si="288"/>
        <v>35.686426155594638</v>
      </c>
      <c r="U606">
        <f t="shared" ca="1" si="309"/>
        <v>-3.3622728136606383E-3</v>
      </c>
      <c r="V606">
        <f t="shared" ca="1" si="310"/>
        <v>1</v>
      </c>
      <c r="W606">
        <f t="shared" ca="1" si="289"/>
        <v>1.7069126025994179</v>
      </c>
      <c r="X606">
        <f t="shared" ca="1" si="290"/>
        <v>8.8759455335169726</v>
      </c>
      <c r="Y606">
        <f t="shared" ca="1" si="291"/>
        <v>1.0304301889200091</v>
      </c>
      <c r="Z606">
        <f t="shared" ca="1" si="292"/>
        <v>5.7402335117542975</v>
      </c>
      <c r="AA606">
        <f t="shared" ca="1" si="293"/>
        <v>633.99741260259941</v>
      </c>
      <c r="AB606">
        <f t="shared" ca="1" si="294"/>
        <v>635.67683567953452</v>
      </c>
      <c r="AC606">
        <f t="shared" ca="1" si="295"/>
        <v>7.1233377898732141E-3</v>
      </c>
      <c r="AD606">
        <f t="shared" ca="1" si="296"/>
        <v>1.4027795099806601</v>
      </c>
      <c r="AE606">
        <f t="shared" ca="1" si="297"/>
        <v>37.388167162788299</v>
      </c>
      <c r="AF606">
        <f t="shared" ca="1" si="298"/>
        <v>6.841662789838665E-3</v>
      </c>
      <c r="AG606">
        <f t="shared" ca="1" si="299"/>
        <v>0</v>
      </c>
      <c r="AH606">
        <f ca="1">IFERROR(IF(V32="Supercritical",MAX($D$16,IFERROR(L606,MAX($D$16,POWER((ABS(K606)^2)/($I$5*MAX(F606,0.1)^2),1/3)))),IF(V32="Subcritical",MAX($D$16,IFERROR(W606,MAX($D$16,POWER((ABS(K606)^2)/($I$5*MAX(F606,0.1)^2),1/3)))),IF(AND(IFERROR(V606,0)=1,IFERROR(AG606,0)=1),IF(IFERROR(T606,-1E+99)&gt;=IFERROR(AE606,-1E+99),MAX($D$16,IFERROR(L606,MAX($D$16,POWER((ABS(K606)^2)/($I$5*MAX(F606,0.1)^2),1/3)))),MAX($D$16,IFERROR(W606,MAX($D$16,POWER((ABS(K606)^2)/($I$5*MAX(F606,0.1)^2),1/3))))),IF(IFERROR(V606,0)=1,MAX($D$16,IFERROR(L606,MAX($D$16,POWER((ABS(K606)^2)/($I$5*MAX(F606,0.1)^2),1/3)))),IF(IFERROR(AG606,0)=1,MAX($D$16,IFERROR(W606,MAX($D$16,POWER((ABS(K606)^2)/($I$5*MAX(F606,0.1)^2),1/3)))),MAX($D$16,POWER((ABS(K606)^2)/($I$5*MAX(F606,0.1)^2),1/3))))))),MAX($D$16,POWER((ABS(K606)^2)/($I$5*MAX(F606,0.1)^2),1/3)))</f>
        <v>2.1389677043987478</v>
      </c>
      <c r="AI606">
        <f t="shared" ca="1" si="300"/>
        <v>634.42946770439869</v>
      </c>
      <c r="AJ606">
        <f t="shared" ca="1" si="301"/>
        <v>635.49895155659806</v>
      </c>
      <c r="AM606">
        <v>0</v>
      </c>
      <c r="AN606">
        <v>0</v>
      </c>
      <c r="AO606">
        <f t="shared" si="302"/>
        <v>0</v>
      </c>
      <c r="AP606">
        <f t="shared" si="311"/>
        <v>0</v>
      </c>
      <c r="AQ606">
        <f t="shared" ca="1" si="303"/>
        <v>1.0000000000000004</v>
      </c>
      <c r="AR606" t="str">
        <f t="shared" ca="1" si="304"/>
        <v>Supercritical</v>
      </c>
      <c r="AS606">
        <f t="shared" ca="1" si="305"/>
        <v>3.8141460404132466E-3</v>
      </c>
    </row>
    <row r="607" spans="1:45" x14ac:dyDescent="0.35">
      <c r="A607">
        <v>546</v>
      </c>
      <c r="B607">
        <v>544.99599999999998</v>
      </c>
      <c r="C607">
        <v>616184.27599999995</v>
      </c>
      <c r="D607">
        <v>3097439.4270000001</v>
      </c>
      <c r="E607">
        <v>632.29</v>
      </c>
      <c r="F607">
        <v>5.2</v>
      </c>
      <c r="G607">
        <v>0</v>
      </c>
      <c r="H607" t="s">
        <v>154</v>
      </c>
      <c r="I607">
        <v>7.8E-2</v>
      </c>
      <c r="J607">
        <f t="shared" si="306"/>
        <v>1</v>
      </c>
      <c r="K607">
        <f t="shared" ca="1" si="307"/>
        <v>50.95</v>
      </c>
      <c r="L607">
        <f t="shared" ca="1" si="308"/>
        <v>2.1389677043987478</v>
      </c>
      <c r="M607">
        <f t="shared" ca="1" si="281"/>
        <v>11.122632062873489</v>
      </c>
      <c r="N607">
        <f t="shared" ca="1" si="282"/>
        <v>1.1735290000551568</v>
      </c>
      <c r="O607">
        <f t="shared" ca="1" si="283"/>
        <v>4.5807502857230418</v>
      </c>
      <c r="P607">
        <f t="shared" ca="1" si="284"/>
        <v>634.4289677043987</v>
      </c>
      <c r="Q607">
        <f t="shared" ca="1" si="285"/>
        <v>635.49845155659807</v>
      </c>
      <c r="R607">
        <f t="shared" ca="1" si="286"/>
        <v>3.8141460404132466E-3</v>
      </c>
      <c r="S607">
        <f t="shared" ca="1" si="287"/>
        <v>1.0000000000000004</v>
      </c>
      <c r="T607">
        <f t="shared" ca="1" si="288"/>
        <v>35.686426155594638</v>
      </c>
      <c r="U607">
        <f t="shared" ca="1" si="309"/>
        <v>-3.4531789411857972E-3</v>
      </c>
      <c r="V607">
        <f t="shared" ca="1" si="310"/>
        <v>1</v>
      </c>
      <c r="W607">
        <f t="shared" ca="1" si="289"/>
        <v>1.7069125851441795</v>
      </c>
      <c r="X607">
        <f t="shared" ca="1" si="290"/>
        <v>8.8759454427497335</v>
      </c>
      <c r="Y607">
        <f t="shared" ca="1" si="291"/>
        <v>1.0304301825587898</v>
      </c>
      <c r="Z607">
        <f t="shared" ca="1" si="292"/>
        <v>5.7402335704551026</v>
      </c>
      <c r="AA607">
        <f t="shared" ca="1" si="293"/>
        <v>633.99691258514417</v>
      </c>
      <c r="AB607">
        <f t="shared" ca="1" si="294"/>
        <v>635.6763356964276</v>
      </c>
      <c r="AC607">
        <f t="shared" ca="1" si="295"/>
        <v>7.1233379941959092E-3</v>
      </c>
      <c r="AD607">
        <f t="shared" ca="1" si="296"/>
        <v>1.4027795314983267</v>
      </c>
      <c r="AE607">
        <f t="shared" ca="1" si="297"/>
        <v>37.388167312729756</v>
      </c>
      <c r="AF607">
        <f t="shared" ca="1" si="298"/>
        <v>6.7632899201726104E-3</v>
      </c>
      <c r="AG607">
        <f t="shared" ca="1" si="299"/>
        <v>0</v>
      </c>
      <c r="AH607">
        <f ca="1">IFERROR(IF(V32="Supercritical",MAX($D$16,IFERROR(L607,MAX($D$16,POWER((ABS(K607)^2)/($I$5*MAX(F607,0.1)^2),1/3)))),IF(V32="Subcritical",MAX($D$16,IFERROR(W607,MAX($D$16,POWER((ABS(K607)^2)/($I$5*MAX(F607,0.1)^2),1/3)))),IF(AND(IFERROR(V607,0)=1,IFERROR(AG607,0)=1),IF(IFERROR(T607,-1E+99)&gt;=IFERROR(AE607,-1E+99),MAX($D$16,IFERROR(L607,MAX($D$16,POWER((ABS(K607)^2)/($I$5*MAX(F607,0.1)^2),1/3)))),MAX($D$16,IFERROR(W607,MAX($D$16,POWER((ABS(K607)^2)/($I$5*MAX(F607,0.1)^2),1/3))))),IF(IFERROR(V607,0)=1,MAX($D$16,IFERROR(L607,MAX($D$16,POWER((ABS(K607)^2)/($I$5*MAX(F607,0.1)^2),1/3)))),IF(IFERROR(AG607,0)=1,MAX($D$16,IFERROR(W607,MAX($D$16,POWER((ABS(K607)^2)/($I$5*MAX(F607,0.1)^2),1/3)))),MAX($D$16,POWER((ABS(K607)^2)/($I$5*MAX(F607,0.1)^2),1/3))))))),MAX($D$16,POWER((ABS(K607)^2)/($I$5*MAX(F607,0.1)^2),1/3)))</f>
        <v>2.1389677043987478</v>
      </c>
      <c r="AI607">
        <f t="shared" ca="1" si="300"/>
        <v>634.4289677043987</v>
      </c>
      <c r="AJ607">
        <f t="shared" ca="1" si="301"/>
        <v>635.49845155659807</v>
      </c>
      <c r="AM607">
        <v>0</v>
      </c>
      <c r="AN607">
        <v>0</v>
      </c>
      <c r="AO607">
        <f t="shared" si="302"/>
        <v>0</v>
      </c>
      <c r="AP607">
        <f t="shared" si="311"/>
        <v>0</v>
      </c>
      <c r="AQ607">
        <f t="shared" ca="1" si="303"/>
        <v>1.0000000000000004</v>
      </c>
      <c r="AR607" t="str">
        <f t="shared" ca="1" si="304"/>
        <v>Supercritical</v>
      </c>
      <c r="AS607">
        <f t="shared" ca="1" si="305"/>
        <v>3.8141460404132466E-3</v>
      </c>
    </row>
    <row r="608" spans="1:45" x14ac:dyDescent="0.35">
      <c r="A608">
        <v>547</v>
      </c>
      <c r="B608">
        <v>545.99599999999998</v>
      </c>
      <c r="C608">
        <v>616183.80099999998</v>
      </c>
      <c r="D608">
        <v>3097438.5469999998</v>
      </c>
      <c r="E608">
        <v>632.28949999999998</v>
      </c>
      <c r="F608">
        <v>5.2</v>
      </c>
      <c r="G608">
        <v>0</v>
      </c>
      <c r="H608" t="s">
        <v>154</v>
      </c>
      <c r="I608">
        <v>0.05</v>
      </c>
      <c r="J608">
        <f t="shared" si="306"/>
        <v>1</v>
      </c>
      <c r="K608">
        <f t="shared" ca="1" si="307"/>
        <v>50.95</v>
      </c>
      <c r="L608">
        <f t="shared" ca="1" si="308"/>
        <v>2.1389677043987478</v>
      </c>
      <c r="M608">
        <f t="shared" ca="1" si="281"/>
        <v>11.122632062873489</v>
      </c>
      <c r="N608">
        <f t="shared" ca="1" si="282"/>
        <v>1.1735290000551568</v>
      </c>
      <c r="O608">
        <f t="shared" ca="1" si="283"/>
        <v>4.5807502857230418</v>
      </c>
      <c r="P608">
        <f t="shared" ca="1" si="284"/>
        <v>634.42846770439871</v>
      </c>
      <c r="Q608">
        <f t="shared" ca="1" si="285"/>
        <v>635.49795155659808</v>
      </c>
      <c r="R608">
        <f t="shared" ca="1" si="286"/>
        <v>3.8141460404132466E-3</v>
      </c>
      <c r="S608">
        <f t="shared" ca="1" si="287"/>
        <v>1.0000000000000004</v>
      </c>
      <c r="T608">
        <f t="shared" ca="1" si="288"/>
        <v>35.686426155594638</v>
      </c>
      <c r="U608">
        <f t="shared" ca="1" si="309"/>
        <v>-3.4032696947861041E-3</v>
      </c>
      <c r="V608">
        <f t="shared" ca="1" si="310"/>
        <v>1</v>
      </c>
      <c r="W608">
        <f t="shared" ca="1" si="289"/>
        <v>1.7069125688470121</v>
      </c>
      <c r="X608">
        <f t="shared" ca="1" si="290"/>
        <v>8.8759453580044632</v>
      </c>
      <c r="Y608">
        <f t="shared" ca="1" si="291"/>
        <v>1.0304301766196067</v>
      </c>
      <c r="Z608">
        <f t="shared" ca="1" si="292"/>
        <v>5.7402336252613946</v>
      </c>
      <c r="AA608">
        <f t="shared" ca="1" si="293"/>
        <v>633.99641256884695</v>
      </c>
      <c r="AB608">
        <f t="shared" ca="1" si="294"/>
        <v>635.67583571219973</v>
      </c>
      <c r="AC608">
        <f t="shared" ca="1" si="295"/>
        <v>7.1233381849627828E-3</v>
      </c>
      <c r="AD608">
        <f t="shared" ca="1" si="296"/>
        <v>1.4027795515884007</v>
      </c>
      <c r="AE608">
        <f t="shared" ca="1" si="297"/>
        <v>37.388167452723323</v>
      </c>
      <c r="AF608">
        <f t="shared" ca="1" si="298"/>
        <v>6.698912226511311E-3</v>
      </c>
      <c r="AG608">
        <f t="shared" ca="1" si="299"/>
        <v>0</v>
      </c>
      <c r="AH608">
        <f ca="1">IFERROR(IF(V32="Supercritical",MAX($D$16,IFERROR(L608,MAX($D$16,POWER((ABS(K608)^2)/($I$5*MAX(F608,0.1)^2),1/3)))),IF(V32="Subcritical",MAX($D$16,IFERROR(W608,MAX($D$16,POWER((ABS(K608)^2)/($I$5*MAX(F608,0.1)^2),1/3)))),IF(AND(IFERROR(V608,0)=1,IFERROR(AG608,0)=1),IF(IFERROR(T608,-1E+99)&gt;=IFERROR(AE608,-1E+99),MAX($D$16,IFERROR(L608,MAX($D$16,POWER((ABS(K608)^2)/($I$5*MAX(F608,0.1)^2),1/3)))),MAX($D$16,IFERROR(W608,MAX($D$16,POWER((ABS(K608)^2)/($I$5*MAX(F608,0.1)^2),1/3))))),IF(IFERROR(V608,0)=1,MAX($D$16,IFERROR(L608,MAX($D$16,POWER((ABS(K608)^2)/($I$5*MAX(F608,0.1)^2),1/3)))),IF(IFERROR(AG608,0)=1,MAX($D$16,IFERROR(W608,MAX($D$16,POWER((ABS(K608)^2)/($I$5*MAX(F608,0.1)^2),1/3)))),MAX($D$16,POWER((ABS(K608)^2)/($I$5*MAX(F608,0.1)^2),1/3))))))),MAX($D$16,POWER((ABS(K608)^2)/($I$5*MAX(F608,0.1)^2),1/3)))</f>
        <v>2.1389677043987478</v>
      </c>
      <c r="AI608">
        <f t="shared" ca="1" si="300"/>
        <v>634.42846770439871</v>
      </c>
      <c r="AJ608">
        <f t="shared" ca="1" si="301"/>
        <v>635.49795155659808</v>
      </c>
      <c r="AM608">
        <v>0</v>
      </c>
      <c r="AN608">
        <v>0</v>
      </c>
      <c r="AO608">
        <f t="shared" si="302"/>
        <v>0</v>
      </c>
      <c r="AP608">
        <f t="shared" si="311"/>
        <v>0</v>
      </c>
      <c r="AQ608">
        <f t="shared" ca="1" si="303"/>
        <v>1.0000000000000004</v>
      </c>
      <c r="AR608" t="str">
        <f t="shared" ca="1" si="304"/>
        <v>Supercritical</v>
      </c>
      <c r="AS608">
        <f t="shared" ca="1" si="305"/>
        <v>3.8141460404132466E-3</v>
      </c>
    </row>
    <row r="609" spans="1:45" x14ac:dyDescent="0.35">
      <c r="A609">
        <v>548</v>
      </c>
      <c r="B609">
        <v>546.99599999999998</v>
      </c>
      <c r="C609">
        <v>616183.32700000005</v>
      </c>
      <c r="D609">
        <v>3097437.6669999999</v>
      </c>
      <c r="E609">
        <v>632.28899999999999</v>
      </c>
      <c r="F609">
        <v>5.2</v>
      </c>
      <c r="G609">
        <v>0</v>
      </c>
      <c r="H609" t="s">
        <v>154</v>
      </c>
      <c r="I609">
        <v>2.7E-2</v>
      </c>
      <c r="J609">
        <f t="shared" si="306"/>
        <v>1</v>
      </c>
      <c r="K609">
        <f t="shared" ca="1" si="307"/>
        <v>50.95</v>
      </c>
      <c r="L609">
        <f t="shared" ca="1" si="308"/>
        <v>2.1389677043987478</v>
      </c>
      <c r="M609">
        <f t="shared" ca="1" si="281"/>
        <v>11.122632062873489</v>
      </c>
      <c r="N609">
        <f t="shared" ca="1" si="282"/>
        <v>1.1735290000551568</v>
      </c>
      <c r="O609">
        <f t="shared" ca="1" si="283"/>
        <v>4.5807502857230418</v>
      </c>
      <c r="P609">
        <f t="shared" ca="1" si="284"/>
        <v>634.42796770439872</v>
      </c>
      <c r="Q609">
        <f t="shared" ca="1" si="285"/>
        <v>635.49745155659809</v>
      </c>
      <c r="R609">
        <f t="shared" ca="1" si="286"/>
        <v>3.8141460404132466E-3</v>
      </c>
      <c r="S609">
        <f t="shared" ca="1" si="287"/>
        <v>1.0000000000000004</v>
      </c>
      <c r="T609">
        <f t="shared" ca="1" si="288"/>
        <v>35.686426155594638</v>
      </c>
      <c r="U609">
        <f t="shared" ca="1" si="309"/>
        <v>-3.3622728137743252E-3</v>
      </c>
      <c r="V609">
        <f t="shared" ca="1" si="310"/>
        <v>1</v>
      </c>
      <c r="W609">
        <f t="shared" ca="1" si="289"/>
        <v>1.7069125536310408</v>
      </c>
      <c r="X609">
        <f t="shared" ca="1" si="290"/>
        <v>8.8759452788814119</v>
      </c>
      <c r="Y609">
        <f t="shared" ca="1" si="291"/>
        <v>1.0304301710744443</v>
      </c>
      <c r="Z609">
        <f t="shared" ca="1" si="292"/>
        <v>5.7402336764316964</v>
      </c>
      <c r="AA609">
        <f t="shared" ca="1" si="293"/>
        <v>633.995912553631</v>
      </c>
      <c r="AB609">
        <f t="shared" ca="1" si="294"/>
        <v>635.6753357269256</v>
      </c>
      <c r="AC609">
        <f t="shared" ca="1" si="295"/>
        <v>7.1233383630737003E-3</v>
      </c>
      <c r="AD609">
        <f t="shared" ca="1" si="296"/>
        <v>1.4027795703456476</v>
      </c>
      <c r="AE609">
        <f t="shared" ca="1" si="297"/>
        <v>37.388167583429357</v>
      </c>
      <c r="AF609">
        <f t="shared" ca="1" si="298"/>
        <v>6.6989124059091409E-3</v>
      </c>
      <c r="AG609">
        <f t="shared" ca="1" si="299"/>
        <v>0</v>
      </c>
      <c r="AH609">
        <f ca="1">IFERROR(IF(V32="Supercritical",MAX($D$16,IFERROR(L609,MAX($D$16,POWER((ABS(K609)^2)/($I$5*MAX(F609,0.1)^2),1/3)))),IF(V32="Subcritical",MAX($D$16,IFERROR(W609,MAX($D$16,POWER((ABS(K609)^2)/($I$5*MAX(F609,0.1)^2),1/3)))),IF(AND(IFERROR(V609,0)=1,IFERROR(AG609,0)=1),IF(IFERROR(T609,-1E+99)&gt;=IFERROR(AE609,-1E+99),MAX($D$16,IFERROR(L609,MAX($D$16,POWER((ABS(K609)^2)/($I$5*MAX(F609,0.1)^2),1/3)))),MAX($D$16,IFERROR(W609,MAX($D$16,POWER((ABS(K609)^2)/($I$5*MAX(F609,0.1)^2),1/3))))),IF(IFERROR(V609,0)=1,MAX($D$16,IFERROR(L609,MAX($D$16,POWER((ABS(K609)^2)/($I$5*MAX(F609,0.1)^2),1/3)))),IF(IFERROR(AG609,0)=1,MAX($D$16,IFERROR(W609,MAX($D$16,POWER((ABS(K609)^2)/($I$5*MAX(F609,0.1)^2),1/3)))),MAX($D$16,POWER((ABS(K609)^2)/($I$5*MAX(F609,0.1)^2),1/3))))))),MAX($D$16,POWER((ABS(K609)^2)/($I$5*MAX(F609,0.1)^2),1/3)))</f>
        <v>2.1389677043987478</v>
      </c>
      <c r="AI609">
        <f t="shared" ca="1" si="300"/>
        <v>634.42796770439872</v>
      </c>
      <c r="AJ609">
        <f t="shared" ca="1" si="301"/>
        <v>635.49745155659809</v>
      </c>
      <c r="AM609">
        <v>0</v>
      </c>
      <c r="AN609">
        <v>0</v>
      </c>
      <c r="AO609">
        <f t="shared" si="302"/>
        <v>0</v>
      </c>
      <c r="AP609">
        <f t="shared" si="311"/>
        <v>0</v>
      </c>
      <c r="AQ609">
        <f t="shared" ca="1" si="303"/>
        <v>1.0000000000000004</v>
      </c>
      <c r="AR609" t="str">
        <f t="shared" ca="1" si="304"/>
        <v>Supercritical</v>
      </c>
      <c r="AS609">
        <f t="shared" ca="1" si="305"/>
        <v>3.8141460404132466E-3</v>
      </c>
    </row>
    <row r="610" spans="1:45" x14ac:dyDescent="0.35">
      <c r="A610">
        <v>549</v>
      </c>
      <c r="B610">
        <v>547.99599999999998</v>
      </c>
      <c r="C610">
        <v>616182.853</v>
      </c>
      <c r="D610">
        <v>3097436.7859999998</v>
      </c>
      <c r="E610">
        <v>632.2885</v>
      </c>
      <c r="F610">
        <v>5.2</v>
      </c>
      <c r="G610">
        <v>0</v>
      </c>
      <c r="H610" t="s">
        <v>154</v>
      </c>
      <c r="I610">
        <v>2.7E-2</v>
      </c>
      <c r="J610">
        <f t="shared" si="306"/>
        <v>1</v>
      </c>
      <c r="K610">
        <f t="shared" ca="1" si="307"/>
        <v>50.95</v>
      </c>
      <c r="L610">
        <f t="shared" ca="1" si="308"/>
        <v>2.1389677043987478</v>
      </c>
      <c r="M610">
        <f t="shared" ca="1" si="281"/>
        <v>11.122632062873489</v>
      </c>
      <c r="N610">
        <f t="shared" ca="1" si="282"/>
        <v>1.1735290000551568</v>
      </c>
      <c r="O610">
        <f t="shared" ca="1" si="283"/>
        <v>4.5807502857230418</v>
      </c>
      <c r="P610">
        <f t="shared" ca="1" si="284"/>
        <v>634.42746770439874</v>
      </c>
      <c r="Q610">
        <f t="shared" ca="1" si="285"/>
        <v>635.49695155659811</v>
      </c>
      <c r="R610">
        <f t="shared" ca="1" si="286"/>
        <v>3.8141460404132466E-3</v>
      </c>
      <c r="S610">
        <f t="shared" ca="1" si="287"/>
        <v>1.0000000000000004</v>
      </c>
      <c r="T610">
        <f t="shared" ca="1" si="288"/>
        <v>35.686426155594638</v>
      </c>
      <c r="U610">
        <f t="shared" ca="1" si="309"/>
        <v>-3.3622728137743252E-3</v>
      </c>
      <c r="V610">
        <f t="shared" ca="1" si="310"/>
        <v>1</v>
      </c>
      <c r="W610">
        <f t="shared" ca="1" si="289"/>
        <v>1.7069125394245743</v>
      </c>
      <c r="X610">
        <f t="shared" ca="1" si="290"/>
        <v>8.8759452050077865</v>
      </c>
      <c r="Y610">
        <f t="shared" ca="1" si="291"/>
        <v>1.0304301658971762</v>
      </c>
      <c r="Z610">
        <f t="shared" ca="1" si="292"/>
        <v>5.7402337242071004</v>
      </c>
      <c r="AA610">
        <f t="shared" ca="1" si="293"/>
        <v>633.99541253942459</v>
      </c>
      <c r="AB610">
        <f t="shared" ca="1" si="294"/>
        <v>635.67483574067455</v>
      </c>
      <c r="AC610">
        <f t="shared" ca="1" si="295"/>
        <v>7.123338529367835E-3</v>
      </c>
      <c r="AD610">
        <f t="shared" ca="1" si="296"/>
        <v>1.4027795878584437</v>
      </c>
      <c r="AE610">
        <f t="shared" ca="1" si="297"/>
        <v>37.388167705463701</v>
      </c>
      <c r="AF610">
        <f t="shared" ca="1" si="298"/>
        <v>6.6989125734835397E-3</v>
      </c>
      <c r="AG610">
        <f t="shared" ca="1" si="299"/>
        <v>0</v>
      </c>
      <c r="AH610">
        <f ca="1">IFERROR(IF(V32="Supercritical",MAX($D$16,IFERROR(L610,MAX($D$16,POWER((ABS(K610)^2)/($I$5*MAX(F610,0.1)^2),1/3)))),IF(V32="Subcritical",MAX($D$16,IFERROR(W610,MAX($D$16,POWER((ABS(K610)^2)/($I$5*MAX(F610,0.1)^2),1/3)))),IF(AND(IFERROR(V610,0)=1,IFERROR(AG610,0)=1),IF(IFERROR(T610,-1E+99)&gt;=IFERROR(AE610,-1E+99),MAX($D$16,IFERROR(L610,MAX($D$16,POWER((ABS(K610)^2)/($I$5*MAX(F610,0.1)^2),1/3)))),MAX($D$16,IFERROR(W610,MAX($D$16,POWER((ABS(K610)^2)/($I$5*MAX(F610,0.1)^2),1/3))))),IF(IFERROR(V610,0)=1,MAX($D$16,IFERROR(L610,MAX($D$16,POWER((ABS(K610)^2)/($I$5*MAX(F610,0.1)^2),1/3)))),IF(IFERROR(AG610,0)=1,MAX($D$16,IFERROR(W610,MAX($D$16,POWER((ABS(K610)^2)/($I$5*MAX(F610,0.1)^2),1/3)))),MAX($D$16,POWER((ABS(K610)^2)/($I$5*MAX(F610,0.1)^2),1/3))))))),MAX($D$16,POWER((ABS(K610)^2)/($I$5*MAX(F610,0.1)^2),1/3)))</f>
        <v>2.1389677043987478</v>
      </c>
      <c r="AI610">
        <f t="shared" ca="1" si="300"/>
        <v>634.42746770439874</v>
      </c>
      <c r="AJ610">
        <f t="shared" ca="1" si="301"/>
        <v>635.49695155659811</v>
      </c>
      <c r="AM610">
        <v>0</v>
      </c>
      <c r="AN610">
        <v>0</v>
      </c>
      <c r="AO610">
        <f t="shared" si="302"/>
        <v>0</v>
      </c>
      <c r="AP610">
        <f t="shared" si="311"/>
        <v>0</v>
      </c>
      <c r="AQ610">
        <f t="shared" ca="1" si="303"/>
        <v>1.0000000000000004</v>
      </c>
      <c r="AR610" t="str">
        <f t="shared" ca="1" si="304"/>
        <v>Supercritical</v>
      </c>
      <c r="AS610">
        <f t="shared" ca="1" si="305"/>
        <v>3.8141460404132466E-3</v>
      </c>
    </row>
    <row r="611" spans="1:45" x14ac:dyDescent="0.35">
      <c r="A611">
        <v>550</v>
      </c>
      <c r="B611">
        <v>548.99599999999998</v>
      </c>
      <c r="C611">
        <v>616182.37899999996</v>
      </c>
      <c r="D611">
        <v>3097435.906</v>
      </c>
      <c r="E611">
        <v>632.28800000000001</v>
      </c>
      <c r="F611">
        <v>5.2</v>
      </c>
      <c r="G611">
        <v>0</v>
      </c>
      <c r="H611" t="s">
        <v>154</v>
      </c>
      <c r="I611">
        <v>2.7E-2</v>
      </c>
      <c r="J611">
        <f t="shared" si="306"/>
        <v>1</v>
      </c>
      <c r="K611">
        <f t="shared" ca="1" si="307"/>
        <v>50.95</v>
      </c>
      <c r="L611">
        <f t="shared" ca="1" si="308"/>
        <v>2.1389677043987478</v>
      </c>
      <c r="M611">
        <f t="shared" ca="1" si="281"/>
        <v>11.122632062873489</v>
      </c>
      <c r="N611">
        <f t="shared" ca="1" si="282"/>
        <v>1.1735290000551568</v>
      </c>
      <c r="O611">
        <f t="shared" ca="1" si="283"/>
        <v>4.5807502857230418</v>
      </c>
      <c r="P611">
        <f t="shared" ca="1" si="284"/>
        <v>634.42696770439875</v>
      </c>
      <c r="Q611">
        <f t="shared" ca="1" si="285"/>
        <v>635.49645155659812</v>
      </c>
      <c r="R611">
        <f t="shared" ca="1" si="286"/>
        <v>3.8141460404132466E-3</v>
      </c>
      <c r="S611">
        <f t="shared" ca="1" si="287"/>
        <v>1.0000000000000004</v>
      </c>
      <c r="T611">
        <f t="shared" ca="1" si="288"/>
        <v>35.686426155594638</v>
      </c>
      <c r="U611">
        <f t="shared" ca="1" si="309"/>
        <v>-3.3622728137743252E-3</v>
      </c>
      <c r="V611">
        <f t="shared" ca="1" si="310"/>
        <v>1</v>
      </c>
      <c r="W611">
        <f t="shared" ca="1" si="289"/>
        <v>1.7069125261606457</v>
      </c>
      <c r="X611">
        <f t="shared" ca="1" si="290"/>
        <v>8.8759451360353587</v>
      </c>
      <c r="Y611">
        <f t="shared" ca="1" si="291"/>
        <v>1.0304301610633977</v>
      </c>
      <c r="Z611">
        <f t="shared" ca="1" si="292"/>
        <v>5.7402337688128133</v>
      </c>
      <c r="AA611">
        <f t="shared" ca="1" si="293"/>
        <v>633.99491252616065</v>
      </c>
      <c r="AB611">
        <f t="shared" ca="1" si="294"/>
        <v>635.67433575351129</v>
      </c>
      <c r="AC611">
        <f t="shared" ca="1" si="295"/>
        <v>7.1233386846290755E-3</v>
      </c>
      <c r="AD611">
        <f t="shared" ca="1" si="296"/>
        <v>1.4027796042093417</v>
      </c>
      <c r="AE611">
        <f t="shared" ca="1" si="297"/>
        <v>37.388167819401588</v>
      </c>
      <c r="AF611">
        <f t="shared" ca="1" si="298"/>
        <v>6.8416637042219008E-3</v>
      </c>
      <c r="AG611">
        <f t="shared" ca="1" si="299"/>
        <v>0</v>
      </c>
      <c r="AH611">
        <f ca="1">IFERROR(IF(V32="Supercritical",MAX($D$16,IFERROR(L611,MAX($D$16,POWER((ABS(K611)^2)/($I$5*MAX(F611,0.1)^2),1/3)))),IF(V32="Subcritical",MAX($D$16,IFERROR(W611,MAX($D$16,POWER((ABS(K611)^2)/($I$5*MAX(F611,0.1)^2),1/3)))),IF(AND(IFERROR(V611,0)=1,IFERROR(AG611,0)=1),IF(IFERROR(T611,-1E+99)&gt;=IFERROR(AE611,-1E+99),MAX($D$16,IFERROR(L611,MAX($D$16,POWER((ABS(K611)^2)/($I$5*MAX(F611,0.1)^2),1/3)))),MAX($D$16,IFERROR(W611,MAX($D$16,POWER((ABS(K611)^2)/($I$5*MAX(F611,0.1)^2),1/3))))),IF(IFERROR(V611,0)=1,MAX($D$16,IFERROR(L611,MAX($D$16,POWER((ABS(K611)^2)/($I$5*MAX(F611,0.1)^2),1/3)))),IF(IFERROR(AG611,0)=1,MAX($D$16,IFERROR(W611,MAX($D$16,POWER((ABS(K611)^2)/($I$5*MAX(F611,0.1)^2),1/3)))),MAX($D$16,POWER((ABS(K611)^2)/($I$5*MAX(F611,0.1)^2),1/3))))))),MAX($D$16,POWER((ABS(K611)^2)/($I$5*MAX(F611,0.1)^2),1/3)))</f>
        <v>2.1389677043987478</v>
      </c>
      <c r="AI611">
        <f t="shared" ca="1" si="300"/>
        <v>634.42696770439875</v>
      </c>
      <c r="AJ611">
        <f t="shared" ca="1" si="301"/>
        <v>635.49645155659812</v>
      </c>
      <c r="AM611">
        <v>0</v>
      </c>
      <c r="AN611">
        <v>0</v>
      </c>
      <c r="AO611">
        <f t="shared" si="302"/>
        <v>0</v>
      </c>
      <c r="AP611">
        <f t="shared" si="311"/>
        <v>0</v>
      </c>
      <c r="AQ611">
        <f t="shared" ca="1" si="303"/>
        <v>1.0000000000000004</v>
      </c>
      <c r="AR611" t="str">
        <f t="shared" ca="1" si="304"/>
        <v>Supercritical</v>
      </c>
      <c r="AS611">
        <f t="shared" ca="1" si="305"/>
        <v>3.8141460404132466E-3</v>
      </c>
    </row>
    <row r="612" spans="1:45" x14ac:dyDescent="0.35">
      <c r="A612">
        <v>551</v>
      </c>
      <c r="B612">
        <v>549.99599999999998</v>
      </c>
      <c r="C612">
        <v>616181.90500000003</v>
      </c>
      <c r="D612">
        <v>3097435.0249999999</v>
      </c>
      <c r="E612">
        <v>632.28750000000002</v>
      </c>
      <c r="F612">
        <v>5.2</v>
      </c>
      <c r="G612">
        <v>0</v>
      </c>
      <c r="H612" t="s">
        <v>154</v>
      </c>
      <c r="I612">
        <v>7.8E-2</v>
      </c>
      <c r="J612">
        <f t="shared" si="306"/>
        <v>1</v>
      </c>
      <c r="K612">
        <f t="shared" ca="1" si="307"/>
        <v>50.95</v>
      </c>
      <c r="L612">
        <f t="shared" ca="1" si="308"/>
        <v>2.1389677043987478</v>
      </c>
      <c r="M612">
        <f t="shared" ca="1" si="281"/>
        <v>11.122632062873489</v>
      </c>
      <c r="N612">
        <f t="shared" ca="1" si="282"/>
        <v>1.1735290000551568</v>
      </c>
      <c r="O612">
        <f t="shared" ca="1" si="283"/>
        <v>4.5807502857230418</v>
      </c>
      <c r="P612">
        <f t="shared" ca="1" si="284"/>
        <v>634.42646770439876</v>
      </c>
      <c r="Q612">
        <f t="shared" ca="1" si="285"/>
        <v>635.49595155659813</v>
      </c>
      <c r="R612">
        <f t="shared" ca="1" si="286"/>
        <v>3.8141460404132466E-3</v>
      </c>
      <c r="S612">
        <f t="shared" ca="1" si="287"/>
        <v>1.0000000000000004</v>
      </c>
      <c r="T612">
        <f t="shared" ca="1" si="288"/>
        <v>35.686426155594638</v>
      </c>
      <c r="U612">
        <f t="shared" ca="1" si="309"/>
        <v>-3.4531789411857972E-3</v>
      </c>
      <c r="V612">
        <f t="shared" ca="1" si="310"/>
        <v>1</v>
      </c>
      <c r="W612">
        <f t="shared" ca="1" si="289"/>
        <v>1.7069125137766874</v>
      </c>
      <c r="X612">
        <f t="shared" ca="1" si="290"/>
        <v>8.8759450716387747</v>
      </c>
      <c r="Y612">
        <f t="shared" ca="1" si="291"/>
        <v>1.0304301565503067</v>
      </c>
      <c r="Z612">
        <f t="shared" ca="1" si="292"/>
        <v>5.7402338104592454</v>
      </c>
      <c r="AA612">
        <f t="shared" ca="1" si="293"/>
        <v>633.99441251377675</v>
      </c>
      <c r="AB612">
        <f t="shared" ca="1" si="294"/>
        <v>635.67383576549639</v>
      </c>
      <c r="AC612">
        <f t="shared" ca="1" si="295"/>
        <v>7.1233388295898117E-3</v>
      </c>
      <c r="AD612">
        <f t="shared" ca="1" si="296"/>
        <v>1.4027796194754703</v>
      </c>
      <c r="AE612">
        <f t="shared" ca="1" si="297"/>
        <v>37.388167925780493</v>
      </c>
      <c r="AF612">
        <f t="shared" ca="1" si="298"/>
        <v>6.7632907672532383E-3</v>
      </c>
      <c r="AG612">
        <f t="shared" ca="1" si="299"/>
        <v>0</v>
      </c>
      <c r="AH612">
        <f ca="1">IFERROR(IF(V32="Supercritical",MAX($D$16,IFERROR(L612,MAX($D$16,POWER((ABS(K612)^2)/($I$5*MAX(F612,0.1)^2),1/3)))),IF(V32="Subcritical",MAX($D$16,IFERROR(W612,MAX($D$16,POWER((ABS(K612)^2)/($I$5*MAX(F612,0.1)^2),1/3)))),IF(AND(IFERROR(V612,0)=1,IFERROR(AG612,0)=1),IF(IFERROR(T612,-1E+99)&gt;=IFERROR(AE612,-1E+99),MAX($D$16,IFERROR(L612,MAX($D$16,POWER((ABS(K612)^2)/($I$5*MAX(F612,0.1)^2),1/3)))),MAX($D$16,IFERROR(W612,MAX($D$16,POWER((ABS(K612)^2)/($I$5*MAX(F612,0.1)^2),1/3))))),IF(IFERROR(V612,0)=1,MAX($D$16,IFERROR(L612,MAX($D$16,POWER((ABS(K612)^2)/($I$5*MAX(F612,0.1)^2),1/3)))),IF(IFERROR(AG612,0)=1,MAX($D$16,IFERROR(W612,MAX($D$16,POWER((ABS(K612)^2)/($I$5*MAX(F612,0.1)^2),1/3)))),MAX($D$16,POWER((ABS(K612)^2)/($I$5*MAX(F612,0.1)^2),1/3))))))),MAX($D$16,POWER((ABS(K612)^2)/($I$5*MAX(F612,0.1)^2),1/3)))</f>
        <v>2.1389677043987478</v>
      </c>
      <c r="AI612">
        <f t="shared" ca="1" si="300"/>
        <v>634.42646770439876</v>
      </c>
      <c r="AJ612">
        <f t="shared" ca="1" si="301"/>
        <v>635.49595155659813</v>
      </c>
      <c r="AM612">
        <v>0</v>
      </c>
      <c r="AN612">
        <v>0</v>
      </c>
      <c r="AO612">
        <f t="shared" si="302"/>
        <v>0</v>
      </c>
      <c r="AP612">
        <f t="shared" si="311"/>
        <v>0</v>
      </c>
      <c r="AQ612">
        <f t="shared" ca="1" si="303"/>
        <v>1.0000000000000004</v>
      </c>
      <c r="AR612" t="str">
        <f t="shared" ca="1" si="304"/>
        <v>Supercritical</v>
      </c>
      <c r="AS612">
        <f t="shared" ca="1" si="305"/>
        <v>3.8141460404132466E-3</v>
      </c>
    </row>
    <row r="613" spans="1:45" x14ac:dyDescent="0.35">
      <c r="A613">
        <v>552</v>
      </c>
      <c r="B613">
        <v>550.99599999999998</v>
      </c>
      <c r="C613">
        <v>616181.43000000005</v>
      </c>
      <c r="D613">
        <v>3097434.145</v>
      </c>
      <c r="E613">
        <v>632.28700000000003</v>
      </c>
      <c r="F613">
        <v>5.2</v>
      </c>
      <c r="G613">
        <v>0</v>
      </c>
      <c r="H613" t="s">
        <v>154</v>
      </c>
      <c r="I613">
        <v>0.05</v>
      </c>
      <c r="J613">
        <f t="shared" si="306"/>
        <v>1</v>
      </c>
      <c r="K613">
        <f t="shared" ca="1" si="307"/>
        <v>50.95</v>
      </c>
      <c r="L613">
        <f t="shared" ca="1" si="308"/>
        <v>2.1389677043987478</v>
      </c>
      <c r="M613">
        <f t="shared" ca="1" si="281"/>
        <v>11.122632062873489</v>
      </c>
      <c r="N613">
        <f t="shared" ca="1" si="282"/>
        <v>1.1735290000551568</v>
      </c>
      <c r="O613">
        <f t="shared" ca="1" si="283"/>
        <v>4.5807502857230418</v>
      </c>
      <c r="P613">
        <f t="shared" ca="1" si="284"/>
        <v>634.42596770439877</v>
      </c>
      <c r="Q613">
        <f t="shared" ca="1" si="285"/>
        <v>635.49545155659814</v>
      </c>
      <c r="R613">
        <f t="shared" ca="1" si="286"/>
        <v>3.8141460404132466E-3</v>
      </c>
      <c r="S613">
        <f t="shared" ca="1" si="287"/>
        <v>1.0000000000000004</v>
      </c>
      <c r="T613">
        <f t="shared" ca="1" si="288"/>
        <v>35.686426155594638</v>
      </c>
      <c r="U613">
        <f t="shared" ca="1" si="309"/>
        <v>-3.4032696947861041E-3</v>
      </c>
      <c r="V613">
        <f t="shared" ca="1" si="310"/>
        <v>1</v>
      </c>
      <c r="W613">
        <f t="shared" ca="1" si="289"/>
        <v>1.7069125022143439</v>
      </c>
      <c r="X613">
        <f t="shared" ca="1" si="290"/>
        <v>8.8759450115145881</v>
      </c>
      <c r="Y613">
        <f t="shared" ca="1" si="291"/>
        <v>1.0304301523366375</v>
      </c>
      <c r="Z613">
        <f t="shared" ca="1" si="292"/>
        <v>5.7402338493426415</v>
      </c>
      <c r="AA613">
        <f t="shared" ca="1" si="293"/>
        <v>633.99391250221436</v>
      </c>
      <c r="AB613">
        <f t="shared" ca="1" si="294"/>
        <v>635.67333577668626</v>
      </c>
      <c r="AC613">
        <f t="shared" ca="1" si="295"/>
        <v>7.1233389649331116E-3</v>
      </c>
      <c r="AD613">
        <f t="shared" ca="1" si="296"/>
        <v>1.4027796337287668</v>
      </c>
      <c r="AE613">
        <f t="shared" ca="1" si="297"/>
        <v>37.388168025101677</v>
      </c>
      <c r="AF613">
        <f t="shared" ca="1" si="298"/>
        <v>6.6917896733684756E-3</v>
      </c>
      <c r="AG613">
        <f t="shared" ca="1" si="299"/>
        <v>0</v>
      </c>
      <c r="AH613">
        <f ca="1">IFERROR(IF(V32="Supercritical",MAX($D$16,IFERROR(L613,MAX($D$16,POWER((ABS(K613)^2)/($I$5*MAX(F613,0.1)^2),1/3)))),IF(V32="Subcritical",MAX($D$16,IFERROR(W613,MAX($D$16,POWER((ABS(K613)^2)/($I$5*MAX(F613,0.1)^2),1/3)))),IF(AND(IFERROR(V613,0)=1,IFERROR(AG613,0)=1),IF(IFERROR(T613,-1E+99)&gt;=IFERROR(AE613,-1E+99),MAX($D$16,IFERROR(L613,MAX($D$16,POWER((ABS(K613)^2)/($I$5*MAX(F613,0.1)^2),1/3)))),MAX($D$16,IFERROR(W613,MAX($D$16,POWER((ABS(K613)^2)/($I$5*MAX(F613,0.1)^2),1/3))))),IF(IFERROR(V613,0)=1,MAX($D$16,IFERROR(L613,MAX($D$16,POWER((ABS(K613)^2)/($I$5*MAX(F613,0.1)^2),1/3)))),IF(IFERROR(AG613,0)=1,MAX($D$16,IFERROR(W613,MAX($D$16,POWER((ABS(K613)^2)/($I$5*MAX(F613,0.1)^2),1/3)))),MAX($D$16,POWER((ABS(K613)^2)/($I$5*MAX(F613,0.1)^2),1/3))))))),MAX($D$16,POWER((ABS(K613)^2)/($I$5*MAX(F613,0.1)^2),1/3)))</f>
        <v>2.1389677043987478</v>
      </c>
      <c r="AI613">
        <f t="shared" ca="1" si="300"/>
        <v>634.42596770439877</v>
      </c>
      <c r="AJ613">
        <f t="shared" ca="1" si="301"/>
        <v>635.49545155659814</v>
      </c>
      <c r="AM613">
        <v>0</v>
      </c>
      <c r="AN613">
        <v>0</v>
      </c>
      <c r="AO613">
        <f t="shared" si="302"/>
        <v>0</v>
      </c>
      <c r="AP613">
        <f t="shared" si="311"/>
        <v>0</v>
      </c>
      <c r="AQ613">
        <f t="shared" ca="1" si="303"/>
        <v>1.0000000000000004</v>
      </c>
      <c r="AR613" t="str">
        <f t="shared" ca="1" si="304"/>
        <v>Supercritical</v>
      </c>
      <c r="AS613">
        <f t="shared" ca="1" si="305"/>
        <v>3.8141460404132466E-3</v>
      </c>
    </row>
    <row r="614" spans="1:45" x14ac:dyDescent="0.35">
      <c r="A614">
        <v>553</v>
      </c>
      <c r="B614">
        <v>551.995</v>
      </c>
      <c r="C614">
        <v>616180.95600000001</v>
      </c>
      <c r="D614">
        <v>3097433.2650000001</v>
      </c>
      <c r="E614">
        <v>632.28650000000005</v>
      </c>
      <c r="F614">
        <v>5.2</v>
      </c>
      <c r="G614">
        <v>0</v>
      </c>
      <c r="H614" t="s">
        <v>154</v>
      </c>
      <c r="I614">
        <v>2.7E-2</v>
      </c>
      <c r="J614">
        <f t="shared" si="306"/>
        <v>0.99900000000002365</v>
      </c>
      <c r="K614">
        <f t="shared" ca="1" si="307"/>
        <v>50.95</v>
      </c>
      <c r="L614">
        <f t="shared" ca="1" si="308"/>
        <v>2.1389677043987478</v>
      </c>
      <c r="M614">
        <f t="shared" ca="1" si="281"/>
        <v>11.122632062873489</v>
      </c>
      <c r="N614">
        <f t="shared" ca="1" si="282"/>
        <v>1.1735290000551568</v>
      </c>
      <c r="O614">
        <f t="shared" ca="1" si="283"/>
        <v>4.5807502857230418</v>
      </c>
      <c r="P614">
        <f t="shared" ca="1" si="284"/>
        <v>634.42546770439878</v>
      </c>
      <c r="Q614">
        <f t="shared" ca="1" si="285"/>
        <v>635.49495155659815</v>
      </c>
      <c r="R614">
        <f t="shared" ca="1" si="286"/>
        <v>3.8141460404132466E-3</v>
      </c>
      <c r="S614">
        <f t="shared" ca="1" si="287"/>
        <v>1.0000000000000004</v>
      </c>
      <c r="T614">
        <f t="shared" ca="1" si="288"/>
        <v>35.686426155594638</v>
      </c>
      <c r="U614">
        <f t="shared" ca="1" si="309"/>
        <v>-3.3584586676624895E-3</v>
      </c>
      <c r="V614">
        <f t="shared" ca="1" si="310"/>
        <v>1</v>
      </c>
      <c r="W614">
        <f t="shared" ca="1" si="289"/>
        <v>1.7069124914190794</v>
      </c>
      <c r="X614">
        <f t="shared" ca="1" si="290"/>
        <v>8.8759449553792127</v>
      </c>
      <c r="Y614">
        <f t="shared" ca="1" si="291"/>
        <v>1.0304301484025147</v>
      </c>
      <c r="Z614">
        <f t="shared" ca="1" si="292"/>
        <v>5.7402338856464024</v>
      </c>
      <c r="AA614">
        <f t="shared" ca="1" si="293"/>
        <v>633.99341249141912</v>
      </c>
      <c r="AB614">
        <f t="shared" ca="1" si="294"/>
        <v>635.67283578713386</v>
      </c>
      <c r="AC614">
        <f t="shared" ca="1" si="295"/>
        <v>7.1233390912973579E-3</v>
      </c>
      <c r="AD614">
        <f t="shared" ca="1" si="296"/>
        <v>1.4027796470364589</v>
      </c>
      <c r="AE614">
        <f t="shared" ca="1" si="297"/>
        <v>37.388168117833622</v>
      </c>
      <c r="AF614">
        <f t="shared" ca="1" si="298"/>
        <v>6.7060364785902493E-3</v>
      </c>
      <c r="AG614">
        <f t="shared" ca="1" si="299"/>
        <v>0</v>
      </c>
      <c r="AH614">
        <f ca="1">IFERROR(IF(V32="Supercritical",MAX($D$16,IFERROR(L614,MAX($D$16,POWER((ABS(K614)^2)/($I$5*MAX(F614,0.1)^2),1/3)))),IF(V32="Subcritical",MAX($D$16,IFERROR(W614,MAX($D$16,POWER((ABS(K614)^2)/($I$5*MAX(F614,0.1)^2),1/3)))),IF(AND(IFERROR(V614,0)=1,IFERROR(AG614,0)=1),IF(IFERROR(T614,-1E+99)&gt;=IFERROR(AE614,-1E+99),MAX($D$16,IFERROR(L614,MAX($D$16,POWER((ABS(K614)^2)/($I$5*MAX(F614,0.1)^2),1/3)))),MAX($D$16,IFERROR(W614,MAX($D$16,POWER((ABS(K614)^2)/($I$5*MAX(F614,0.1)^2),1/3))))),IF(IFERROR(V614,0)=1,MAX($D$16,IFERROR(L614,MAX($D$16,POWER((ABS(K614)^2)/($I$5*MAX(F614,0.1)^2),1/3)))),IF(IFERROR(AG614,0)=1,MAX($D$16,IFERROR(W614,MAX($D$16,POWER((ABS(K614)^2)/($I$5*MAX(F614,0.1)^2),1/3)))),MAX($D$16,POWER((ABS(K614)^2)/($I$5*MAX(F614,0.1)^2),1/3))))))),MAX($D$16,POWER((ABS(K614)^2)/($I$5*MAX(F614,0.1)^2),1/3)))</f>
        <v>2.1389677043987478</v>
      </c>
      <c r="AI614">
        <f t="shared" ca="1" si="300"/>
        <v>634.42546770439878</v>
      </c>
      <c r="AJ614">
        <f t="shared" ca="1" si="301"/>
        <v>635.49495155659815</v>
      </c>
      <c r="AM614">
        <v>0</v>
      </c>
      <c r="AN614">
        <v>0</v>
      </c>
      <c r="AO614">
        <f t="shared" si="302"/>
        <v>0</v>
      </c>
      <c r="AP614">
        <f t="shared" si="311"/>
        <v>0</v>
      </c>
      <c r="AQ614">
        <f t="shared" ca="1" si="303"/>
        <v>1.0000000000000004</v>
      </c>
      <c r="AR614" t="str">
        <f t="shared" ca="1" si="304"/>
        <v>Supercritical</v>
      </c>
      <c r="AS614">
        <f t="shared" ca="1" si="305"/>
        <v>3.8141460404132466E-3</v>
      </c>
    </row>
    <row r="615" spans="1:45" x14ac:dyDescent="0.35">
      <c r="A615">
        <v>554</v>
      </c>
      <c r="B615">
        <v>552.99599999999998</v>
      </c>
      <c r="C615">
        <v>616180.48199999996</v>
      </c>
      <c r="D615">
        <v>3097432.3840000001</v>
      </c>
      <c r="E615">
        <v>632.28599999999994</v>
      </c>
      <c r="F615">
        <v>5.2</v>
      </c>
      <c r="G615">
        <v>0</v>
      </c>
      <c r="H615" t="s">
        <v>154</v>
      </c>
      <c r="I615">
        <v>2.7E-2</v>
      </c>
      <c r="J615">
        <f t="shared" si="306"/>
        <v>1.0009999999999764</v>
      </c>
      <c r="K615">
        <f t="shared" ca="1" si="307"/>
        <v>50.95</v>
      </c>
      <c r="L615">
        <f t="shared" ca="1" si="308"/>
        <v>2.1389677043987478</v>
      </c>
      <c r="M615">
        <f t="shared" ca="1" si="281"/>
        <v>11.122632062873489</v>
      </c>
      <c r="N615">
        <f t="shared" ca="1" si="282"/>
        <v>1.1735290000551568</v>
      </c>
      <c r="O615">
        <f t="shared" ca="1" si="283"/>
        <v>4.5807502857230418</v>
      </c>
      <c r="P615">
        <f t="shared" ca="1" si="284"/>
        <v>634.42496770439868</v>
      </c>
      <c r="Q615">
        <f t="shared" ca="1" si="285"/>
        <v>635.49445155659805</v>
      </c>
      <c r="R615">
        <f t="shared" ca="1" si="286"/>
        <v>3.8141460404132466E-3</v>
      </c>
      <c r="S615">
        <f t="shared" ca="1" si="287"/>
        <v>1.0000000000000004</v>
      </c>
      <c r="T615">
        <f t="shared" ca="1" si="288"/>
        <v>35.686426155594638</v>
      </c>
      <c r="U615">
        <f t="shared" ca="1" si="309"/>
        <v>-3.3660869596587872E-3</v>
      </c>
      <c r="V615">
        <f t="shared" ca="1" si="310"/>
        <v>1</v>
      </c>
      <c r="W615">
        <f t="shared" ca="1" si="289"/>
        <v>1.706912481340042</v>
      </c>
      <c r="X615">
        <f t="shared" ca="1" si="290"/>
        <v>8.875944902968218</v>
      </c>
      <c r="Y615">
        <f t="shared" ca="1" si="291"/>
        <v>1.0304301447294071</v>
      </c>
      <c r="Z615">
        <f t="shared" ca="1" si="292"/>
        <v>5.7402339195415397</v>
      </c>
      <c r="AA615">
        <f t="shared" ca="1" si="293"/>
        <v>633.99291248134</v>
      </c>
      <c r="AB615">
        <f t="shared" ca="1" si="294"/>
        <v>635.67233579688821</v>
      </c>
      <c r="AC615">
        <f t="shared" ca="1" si="295"/>
        <v>7.1233392092777915E-3</v>
      </c>
      <c r="AD615">
        <f t="shared" ca="1" si="296"/>
        <v>1.4027796594612336</v>
      </c>
      <c r="AE615">
        <f t="shared" ca="1" si="297"/>
        <v>37.388168204413134</v>
      </c>
      <c r="AF615">
        <f t="shared" ca="1" si="298"/>
        <v>6.6805937638036994E-3</v>
      </c>
      <c r="AG615">
        <f t="shared" ca="1" si="299"/>
        <v>0</v>
      </c>
      <c r="AH615">
        <f ca="1">IFERROR(IF(V32="Supercritical",MAX($D$16,IFERROR(L615,MAX($D$16,POWER((ABS(K615)^2)/($I$5*MAX(F615,0.1)^2),1/3)))),IF(V32="Subcritical",MAX($D$16,IFERROR(W615,MAX($D$16,POWER((ABS(K615)^2)/($I$5*MAX(F615,0.1)^2),1/3)))),IF(AND(IFERROR(V615,0)=1,IFERROR(AG615,0)=1),IF(IFERROR(T615,-1E+99)&gt;=IFERROR(AE615,-1E+99),MAX($D$16,IFERROR(L615,MAX($D$16,POWER((ABS(K615)^2)/($I$5*MAX(F615,0.1)^2),1/3)))),MAX($D$16,IFERROR(W615,MAX($D$16,POWER((ABS(K615)^2)/($I$5*MAX(F615,0.1)^2),1/3))))),IF(IFERROR(V615,0)=1,MAX($D$16,IFERROR(L615,MAX($D$16,POWER((ABS(K615)^2)/($I$5*MAX(F615,0.1)^2),1/3)))),IF(IFERROR(AG615,0)=1,MAX($D$16,IFERROR(W615,MAX($D$16,POWER((ABS(K615)^2)/($I$5*MAX(F615,0.1)^2),1/3)))),MAX($D$16,POWER((ABS(K615)^2)/($I$5*MAX(F615,0.1)^2),1/3))))))),MAX($D$16,POWER((ABS(K615)^2)/($I$5*MAX(F615,0.1)^2),1/3)))</f>
        <v>2.1389677043987478</v>
      </c>
      <c r="AI615">
        <f t="shared" ca="1" si="300"/>
        <v>634.42496770439868</v>
      </c>
      <c r="AJ615">
        <f t="shared" ca="1" si="301"/>
        <v>635.49445155659805</v>
      </c>
      <c r="AM615">
        <v>0</v>
      </c>
      <c r="AN615">
        <v>0</v>
      </c>
      <c r="AO615">
        <f t="shared" si="302"/>
        <v>0</v>
      </c>
      <c r="AP615">
        <f t="shared" si="311"/>
        <v>0</v>
      </c>
      <c r="AQ615">
        <f t="shared" ca="1" si="303"/>
        <v>1.0000000000000004</v>
      </c>
      <c r="AR615" t="str">
        <f t="shared" ca="1" si="304"/>
        <v>Supercritical</v>
      </c>
      <c r="AS615">
        <f t="shared" ca="1" si="305"/>
        <v>3.8141460404132466E-3</v>
      </c>
    </row>
    <row r="616" spans="1:45" x14ac:dyDescent="0.35">
      <c r="A616">
        <v>555</v>
      </c>
      <c r="B616">
        <v>553.995</v>
      </c>
      <c r="C616">
        <v>616180.00800000003</v>
      </c>
      <c r="D616">
        <v>3097431.5040000002</v>
      </c>
      <c r="E616">
        <v>632.28549999999996</v>
      </c>
      <c r="F616">
        <v>5.2</v>
      </c>
      <c r="G616">
        <v>0</v>
      </c>
      <c r="H616" t="s">
        <v>154</v>
      </c>
      <c r="I616">
        <v>2.3E-2</v>
      </c>
      <c r="J616">
        <f t="shared" si="306"/>
        <v>0.99900000000002365</v>
      </c>
      <c r="K616">
        <f t="shared" ca="1" si="307"/>
        <v>50.95</v>
      </c>
      <c r="L616">
        <f t="shared" ca="1" si="308"/>
        <v>2.1389677043987478</v>
      </c>
      <c r="M616">
        <f t="shared" ca="1" si="281"/>
        <v>11.122632062873489</v>
      </c>
      <c r="N616">
        <f t="shared" ca="1" si="282"/>
        <v>1.1735290000551568</v>
      </c>
      <c r="O616">
        <f t="shared" ca="1" si="283"/>
        <v>4.5807502857230418</v>
      </c>
      <c r="P616">
        <f t="shared" ca="1" si="284"/>
        <v>634.42446770439869</v>
      </c>
      <c r="Q616">
        <f t="shared" ca="1" si="285"/>
        <v>635.49395155659806</v>
      </c>
      <c r="R616">
        <f t="shared" ca="1" si="286"/>
        <v>3.8141460404132466E-3</v>
      </c>
      <c r="S616">
        <f t="shared" ca="1" si="287"/>
        <v>1.0000000000000004</v>
      </c>
      <c r="T616">
        <f t="shared" ca="1" si="288"/>
        <v>35.686426155594638</v>
      </c>
      <c r="U616">
        <f t="shared" ca="1" si="309"/>
        <v>-3.3513287753521581E-3</v>
      </c>
      <c r="V616">
        <f t="shared" ca="1" si="310"/>
        <v>1</v>
      </c>
      <c r="W616">
        <f t="shared" ca="1" si="289"/>
        <v>1.706912471929688</v>
      </c>
      <c r="X616">
        <f t="shared" ca="1" si="290"/>
        <v>8.8759448540343779</v>
      </c>
      <c r="Y616">
        <f t="shared" ca="1" si="291"/>
        <v>1.0304301412999881</v>
      </c>
      <c r="Z616">
        <f t="shared" ca="1" si="292"/>
        <v>5.7402339511879381</v>
      </c>
      <c r="AA616">
        <f t="shared" ca="1" si="293"/>
        <v>633.9924124719297</v>
      </c>
      <c r="AB616">
        <f t="shared" ca="1" si="294"/>
        <v>635.67183580599544</v>
      </c>
      <c r="AC616">
        <f t="shared" ca="1" si="295"/>
        <v>7.1233393194309316E-3</v>
      </c>
      <c r="AD616">
        <f t="shared" ca="1" si="296"/>
        <v>1.4027796710616993</v>
      </c>
      <c r="AE616">
        <f t="shared" ca="1" si="297"/>
        <v>37.388168285248618</v>
      </c>
      <c r="AF616">
        <f t="shared" ca="1" si="298"/>
        <v>6.6948405532230026E-3</v>
      </c>
      <c r="AG616">
        <f t="shared" ca="1" si="299"/>
        <v>0</v>
      </c>
      <c r="AH616">
        <f ca="1">IFERROR(IF(V32="Supercritical",MAX($D$16,IFERROR(L616,MAX($D$16,POWER((ABS(K616)^2)/($I$5*MAX(F616,0.1)^2),1/3)))),IF(V32="Subcritical",MAX($D$16,IFERROR(W616,MAX($D$16,POWER((ABS(K616)^2)/($I$5*MAX(F616,0.1)^2),1/3)))),IF(AND(IFERROR(V616,0)=1,IFERROR(AG616,0)=1),IF(IFERROR(T616,-1E+99)&gt;=IFERROR(AE616,-1E+99),MAX($D$16,IFERROR(L616,MAX($D$16,POWER((ABS(K616)^2)/($I$5*MAX(F616,0.1)^2),1/3)))),MAX($D$16,IFERROR(W616,MAX($D$16,POWER((ABS(K616)^2)/($I$5*MAX(F616,0.1)^2),1/3))))),IF(IFERROR(V616,0)=1,MAX($D$16,IFERROR(L616,MAX($D$16,POWER((ABS(K616)^2)/($I$5*MAX(F616,0.1)^2),1/3)))),IF(IFERROR(AG616,0)=1,MAX($D$16,IFERROR(W616,MAX($D$16,POWER((ABS(K616)^2)/($I$5*MAX(F616,0.1)^2),1/3)))),MAX($D$16,POWER((ABS(K616)^2)/($I$5*MAX(F616,0.1)^2),1/3))))))),MAX($D$16,POWER((ABS(K616)^2)/($I$5*MAX(F616,0.1)^2),1/3)))</f>
        <v>2.1389677043987478</v>
      </c>
      <c r="AI616">
        <f t="shared" ca="1" si="300"/>
        <v>634.42446770439869</v>
      </c>
      <c r="AJ616">
        <f t="shared" ca="1" si="301"/>
        <v>635.49395155659806</v>
      </c>
      <c r="AM616">
        <v>0</v>
      </c>
      <c r="AN616">
        <v>0</v>
      </c>
      <c r="AO616">
        <f t="shared" si="302"/>
        <v>0</v>
      </c>
      <c r="AP616">
        <f t="shared" si="311"/>
        <v>0</v>
      </c>
      <c r="AQ616">
        <f t="shared" ca="1" si="303"/>
        <v>1.0000000000000004</v>
      </c>
      <c r="AR616" t="str">
        <f t="shared" ca="1" si="304"/>
        <v>Supercritical</v>
      </c>
      <c r="AS616">
        <f t="shared" ca="1" si="305"/>
        <v>3.8141460404132466E-3</v>
      </c>
    </row>
    <row r="617" spans="1:45" x14ac:dyDescent="0.35">
      <c r="A617">
        <v>556</v>
      </c>
      <c r="B617">
        <v>554.99599999999998</v>
      </c>
      <c r="C617">
        <v>616179.53300000005</v>
      </c>
      <c r="D617">
        <v>3097430.6230000001</v>
      </c>
      <c r="E617">
        <v>632.28499999999997</v>
      </c>
      <c r="F617">
        <v>5.2</v>
      </c>
      <c r="G617">
        <v>0</v>
      </c>
      <c r="H617" t="s">
        <v>154</v>
      </c>
      <c r="I617">
        <v>2.3E-2</v>
      </c>
      <c r="J617">
        <f t="shared" si="306"/>
        <v>1.0009999999999764</v>
      </c>
      <c r="K617">
        <f t="shared" ca="1" si="307"/>
        <v>50.95</v>
      </c>
      <c r="L617">
        <f t="shared" ca="1" si="308"/>
        <v>2.1389677043987478</v>
      </c>
      <c r="M617">
        <f t="shared" ca="1" si="281"/>
        <v>11.122632062873489</v>
      </c>
      <c r="N617">
        <f t="shared" ca="1" si="282"/>
        <v>1.1735290000551568</v>
      </c>
      <c r="O617">
        <f t="shared" ca="1" si="283"/>
        <v>4.5807502857230418</v>
      </c>
      <c r="P617">
        <f t="shared" ca="1" si="284"/>
        <v>634.42396770439871</v>
      </c>
      <c r="Q617">
        <f t="shared" ca="1" si="285"/>
        <v>635.49345155659807</v>
      </c>
      <c r="R617">
        <f t="shared" ca="1" si="286"/>
        <v>3.8141460404132466E-3</v>
      </c>
      <c r="S617">
        <f t="shared" ca="1" si="287"/>
        <v>1.0000000000000004</v>
      </c>
      <c r="T617">
        <f t="shared" ca="1" si="288"/>
        <v>35.686426155594638</v>
      </c>
      <c r="U617">
        <f t="shared" ca="1" si="309"/>
        <v>-3.3589570674621427E-3</v>
      </c>
      <c r="V617">
        <f t="shared" ca="1" si="310"/>
        <v>1</v>
      </c>
      <c r="W617">
        <f t="shared" ca="1" si="289"/>
        <v>1.7069124631436623</v>
      </c>
      <c r="X617">
        <f t="shared" ca="1" si="290"/>
        <v>8.8759448083470449</v>
      </c>
      <c r="Y617">
        <f t="shared" ca="1" si="291"/>
        <v>1.0304301380980931</v>
      </c>
      <c r="Z617">
        <f t="shared" ca="1" si="292"/>
        <v>5.7402339807347618</v>
      </c>
      <c r="AA617">
        <f t="shared" ca="1" si="293"/>
        <v>633.99191246314365</v>
      </c>
      <c r="AB617">
        <f t="shared" ca="1" si="294"/>
        <v>635.67133581449855</v>
      </c>
      <c r="AC617">
        <f t="shared" ca="1" si="295"/>
        <v>7.1233394222759887E-3</v>
      </c>
      <c r="AD617">
        <f t="shared" ca="1" si="296"/>
        <v>1.4027796818925342</v>
      </c>
      <c r="AE617">
        <f t="shared" ca="1" si="297"/>
        <v>37.388168360721082</v>
      </c>
      <c r="AF617">
        <f t="shared" ca="1" si="298"/>
        <v>6.6233394222763309E-3</v>
      </c>
      <c r="AG617">
        <f t="shared" ca="1" si="299"/>
        <v>0</v>
      </c>
      <c r="AH617">
        <f ca="1">IFERROR(IF(V32="Supercritical",MAX($D$16,IFERROR(L617,MAX($D$16,POWER((ABS(K617)^2)/($I$5*MAX(F617,0.1)^2),1/3)))),IF(V32="Subcritical",MAX($D$16,IFERROR(W617,MAX($D$16,POWER((ABS(K617)^2)/($I$5*MAX(F617,0.1)^2),1/3)))),IF(AND(IFERROR(V617,0)=1,IFERROR(AG617,0)=1),IF(IFERROR(T617,-1E+99)&gt;=IFERROR(AE617,-1E+99),MAX($D$16,IFERROR(L617,MAX($D$16,POWER((ABS(K617)^2)/($I$5*MAX(F617,0.1)^2),1/3)))),MAX($D$16,IFERROR(W617,MAX($D$16,POWER((ABS(K617)^2)/($I$5*MAX(F617,0.1)^2),1/3))))),IF(IFERROR(V617,0)=1,MAX($D$16,IFERROR(L617,MAX($D$16,POWER((ABS(K617)^2)/($I$5*MAX(F617,0.1)^2),1/3)))),IF(IFERROR(AG617,0)=1,MAX($D$16,IFERROR(W617,MAX($D$16,POWER((ABS(K617)^2)/($I$5*MAX(F617,0.1)^2),1/3)))),MAX($D$16,POWER((ABS(K617)^2)/($I$5*MAX(F617,0.1)^2),1/3))))))),MAX($D$16,POWER((ABS(K617)^2)/($I$5*MAX(F617,0.1)^2),1/3)))</f>
        <v>2.1389677043987478</v>
      </c>
      <c r="AI617">
        <f t="shared" ca="1" si="300"/>
        <v>634.42396770439871</v>
      </c>
      <c r="AJ617">
        <f t="shared" ca="1" si="301"/>
        <v>635.49345155659807</v>
      </c>
      <c r="AM617">
        <v>0</v>
      </c>
      <c r="AN617">
        <v>0</v>
      </c>
      <c r="AO617">
        <f t="shared" si="302"/>
        <v>0</v>
      </c>
      <c r="AP617">
        <f t="shared" si="311"/>
        <v>0</v>
      </c>
      <c r="AQ617">
        <f t="shared" ca="1" si="303"/>
        <v>1.0000000000000004</v>
      </c>
      <c r="AR617" t="str">
        <f t="shared" ca="1" si="304"/>
        <v>Supercritical</v>
      </c>
      <c r="AS617">
        <f t="shared" ca="1" si="305"/>
        <v>3.8141460404132466E-3</v>
      </c>
    </row>
    <row r="618" spans="1:45" x14ac:dyDescent="0.35">
      <c r="A618">
        <v>557</v>
      </c>
      <c r="B618">
        <v>555.99599999999998</v>
      </c>
      <c r="C618">
        <v>616179.05900000001</v>
      </c>
      <c r="D618">
        <v>3097429.7429999998</v>
      </c>
      <c r="E618">
        <v>632.28449999999998</v>
      </c>
      <c r="F618">
        <v>5.2</v>
      </c>
      <c r="G618">
        <v>0</v>
      </c>
      <c r="H618" t="s">
        <v>154</v>
      </c>
      <c r="I618">
        <v>0</v>
      </c>
      <c r="J618">
        <f t="shared" si="306"/>
        <v>1</v>
      </c>
      <c r="K618">
        <f t="shared" ca="1" si="307"/>
        <v>50.95</v>
      </c>
      <c r="L618">
        <f t="shared" ca="1" si="308"/>
        <v>2.1389677043987478</v>
      </c>
      <c r="M618">
        <f t="shared" ca="1" si="281"/>
        <v>11.122632062873489</v>
      </c>
      <c r="N618">
        <f t="shared" ca="1" si="282"/>
        <v>1.1735290000551568</v>
      </c>
      <c r="O618">
        <f t="shared" ca="1" si="283"/>
        <v>4.5807502857230418</v>
      </c>
      <c r="P618">
        <f t="shared" ca="1" si="284"/>
        <v>634.42346770439872</v>
      </c>
      <c r="Q618">
        <f t="shared" ca="1" si="285"/>
        <v>635.49295155659809</v>
      </c>
      <c r="R618">
        <f t="shared" ca="1" si="286"/>
        <v>3.8141460404132466E-3</v>
      </c>
      <c r="S618">
        <f t="shared" ca="1" si="287"/>
        <v>1.0000000000000004</v>
      </c>
      <c r="T618">
        <f t="shared" ca="1" si="288"/>
        <v>35.686426155594638</v>
      </c>
      <c r="U618">
        <f t="shared" ca="1" si="309"/>
        <v>-3.3141460404522149E-3</v>
      </c>
      <c r="V618">
        <f t="shared" ca="1" si="310"/>
        <v>1</v>
      </c>
      <c r="W618">
        <f t="shared" ca="1" si="289"/>
        <v>1.706912454940543</v>
      </c>
      <c r="X618">
        <f t="shared" ca="1" si="290"/>
        <v>8.8759447656908232</v>
      </c>
      <c r="Y618">
        <f t="shared" ca="1" si="291"/>
        <v>1.0304301351086269</v>
      </c>
      <c r="Z618">
        <f t="shared" ca="1" si="292"/>
        <v>5.7402340083213117</v>
      </c>
      <c r="AA618">
        <f t="shared" ca="1" si="293"/>
        <v>633.99141245494047</v>
      </c>
      <c r="AB618">
        <f t="shared" ca="1" si="294"/>
        <v>635.67083582243731</v>
      </c>
      <c r="AC618">
        <f t="shared" ca="1" si="295"/>
        <v>7.1233395182978233E-3</v>
      </c>
      <c r="AD618">
        <f t="shared" ca="1" si="296"/>
        <v>1.402779692004801</v>
      </c>
      <c r="AE618">
        <f t="shared" ca="1" si="297"/>
        <v>37.388168431186358</v>
      </c>
      <c r="AF618">
        <f t="shared" ca="1" si="298"/>
        <v>6.6917902303202936E-3</v>
      </c>
      <c r="AG618">
        <f t="shared" ca="1" si="299"/>
        <v>0</v>
      </c>
      <c r="AH618">
        <f ca="1">IFERROR(IF(V32="Supercritical",MAX($D$16,IFERROR(L618,MAX($D$16,POWER((ABS(K618)^2)/($I$5*MAX(F618,0.1)^2),1/3)))),IF(V32="Subcritical",MAX($D$16,IFERROR(W618,MAX($D$16,POWER((ABS(K618)^2)/($I$5*MAX(F618,0.1)^2),1/3)))),IF(AND(IFERROR(V618,0)=1,IFERROR(AG618,0)=1),IF(IFERROR(T618,-1E+99)&gt;=IFERROR(AE618,-1E+99),MAX($D$16,IFERROR(L618,MAX($D$16,POWER((ABS(K618)^2)/($I$5*MAX(F618,0.1)^2),1/3)))),MAX($D$16,IFERROR(W618,MAX($D$16,POWER((ABS(K618)^2)/($I$5*MAX(F618,0.1)^2),1/3))))),IF(IFERROR(V618,0)=1,MAX($D$16,IFERROR(L618,MAX($D$16,POWER((ABS(K618)^2)/($I$5*MAX(F618,0.1)^2),1/3)))),IF(IFERROR(AG618,0)=1,MAX($D$16,IFERROR(W618,MAX($D$16,POWER((ABS(K618)^2)/($I$5*MAX(F618,0.1)^2),1/3)))),MAX($D$16,POWER((ABS(K618)^2)/($I$5*MAX(F618,0.1)^2),1/3))))))),MAX($D$16,POWER((ABS(K618)^2)/($I$5*MAX(F618,0.1)^2),1/3)))</f>
        <v>2.1389677043987478</v>
      </c>
      <c r="AI618">
        <f t="shared" ca="1" si="300"/>
        <v>634.42346770439872</v>
      </c>
      <c r="AJ618">
        <f t="shared" ca="1" si="301"/>
        <v>635.49295155659809</v>
      </c>
      <c r="AM618">
        <v>0</v>
      </c>
      <c r="AN618">
        <v>0</v>
      </c>
      <c r="AO618">
        <f t="shared" si="302"/>
        <v>0</v>
      </c>
      <c r="AP618">
        <f t="shared" si="311"/>
        <v>0</v>
      </c>
      <c r="AQ618">
        <f t="shared" ca="1" si="303"/>
        <v>1.0000000000000004</v>
      </c>
      <c r="AR618" t="str">
        <f t="shared" ca="1" si="304"/>
        <v>Supercritical</v>
      </c>
      <c r="AS618">
        <f t="shared" ca="1" si="305"/>
        <v>3.8141460404132466E-3</v>
      </c>
    </row>
    <row r="619" spans="1:45" x14ac:dyDescent="0.35">
      <c r="A619">
        <v>558</v>
      </c>
      <c r="B619">
        <v>556.995</v>
      </c>
      <c r="C619">
        <v>616178.58499999996</v>
      </c>
      <c r="D619">
        <v>3097428.8629999999</v>
      </c>
      <c r="E619">
        <v>632.28399999999999</v>
      </c>
      <c r="F619">
        <v>5.2</v>
      </c>
      <c r="G619">
        <v>0</v>
      </c>
      <c r="H619" t="s">
        <v>154</v>
      </c>
      <c r="I619">
        <v>2.7E-2</v>
      </c>
      <c r="J619">
        <f t="shared" si="306"/>
        <v>0.99900000000002365</v>
      </c>
      <c r="K619">
        <f t="shared" ca="1" si="307"/>
        <v>50.95</v>
      </c>
      <c r="L619">
        <f t="shared" ca="1" si="308"/>
        <v>2.1389677043987478</v>
      </c>
      <c r="M619">
        <f t="shared" ca="1" si="281"/>
        <v>11.122632062873489</v>
      </c>
      <c r="N619">
        <f t="shared" ca="1" si="282"/>
        <v>1.1735290000551568</v>
      </c>
      <c r="O619">
        <f t="shared" ca="1" si="283"/>
        <v>4.5807502857230418</v>
      </c>
      <c r="P619">
        <f t="shared" ca="1" si="284"/>
        <v>634.42296770439873</v>
      </c>
      <c r="Q619">
        <f t="shared" ca="1" si="285"/>
        <v>635.4924515565981</v>
      </c>
      <c r="R619">
        <f t="shared" ca="1" si="286"/>
        <v>3.8141460404132466E-3</v>
      </c>
      <c r="S619">
        <f t="shared" ca="1" si="287"/>
        <v>1.0000000000000004</v>
      </c>
      <c r="T619">
        <f t="shared" ca="1" si="288"/>
        <v>35.686426155594638</v>
      </c>
      <c r="U619">
        <f t="shared" ca="1" si="309"/>
        <v>-3.3584586676624895E-3</v>
      </c>
      <c r="V619">
        <f t="shared" ca="1" si="310"/>
        <v>1</v>
      </c>
      <c r="W619">
        <f t="shared" ca="1" si="289"/>
        <v>1.706912447281637</v>
      </c>
      <c r="X619">
        <f t="shared" ca="1" si="290"/>
        <v>8.8759447258645121</v>
      </c>
      <c r="Y619">
        <f t="shared" ca="1" si="291"/>
        <v>1.0304301323174887</v>
      </c>
      <c r="Z619">
        <f t="shared" ca="1" si="292"/>
        <v>5.7402340340777078</v>
      </c>
      <c r="AA619">
        <f t="shared" ca="1" si="293"/>
        <v>633.99091244728163</v>
      </c>
      <c r="AB619">
        <f t="shared" ca="1" si="294"/>
        <v>635.67033582984959</v>
      </c>
      <c r="AC619">
        <f t="shared" ca="1" si="295"/>
        <v>7.1233396079493543E-3</v>
      </c>
      <c r="AD619">
        <f t="shared" ca="1" si="296"/>
        <v>1.4027797014461971</v>
      </c>
      <c r="AE619">
        <f t="shared" ca="1" si="297"/>
        <v>37.38816849697681</v>
      </c>
      <c r="AF619">
        <f t="shared" ca="1" si="298"/>
        <v>6.8487879873373458E-3</v>
      </c>
      <c r="AG619">
        <f t="shared" ca="1" si="299"/>
        <v>0</v>
      </c>
      <c r="AH619">
        <f ca="1">IFERROR(IF(V32="Supercritical",MAX($D$16,IFERROR(L619,MAX($D$16,POWER((ABS(K619)^2)/($I$5*MAX(F619,0.1)^2),1/3)))),IF(V32="Subcritical",MAX($D$16,IFERROR(W619,MAX($D$16,POWER((ABS(K619)^2)/($I$5*MAX(F619,0.1)^2),1/3)))),IF(AND(IFERROR(V619,0)=1,IFERROR(AG619,0)=1),IF(IFERROR(T619,-1E+99)&gt;=IFERROR(AE619,-1E+99),MAX($D$16,IFERROR(L619,MAX($D$16,POWER((ABS(K619)^2)/($I$5*MAX(F619,0.1)^2),1/3)))),MAX($D$16,IFERROR(W619,MAX($D$16,POWER((ABS(K619)^2)/($I$5*MAX(F619,0.1)^2),1/3))))),IF(IFERROR(V619,0)=1,MAX($D$16,IFERROR(L619,MAX($D$16,POWER((ABS(K619)^2)/($I$5*MAX(F619,0.1)^2),1/3)))),IF(IFERROR(AG619,0)=1,MAX($D$16,IFERROR(W619,MAX($D$16,POWER((ABS(K619)^2)/($I$5*MAX(F619,0.1)^2),1/3)))),MAX($D$16,POWER((ABS(K619)^2)/($I$5*MAX(F619,0.1)^2),1/3))))))),MAX($D$16,POWER((ABS(K619)^2)/($I$5*MAX(F619,0.1)^2),1/3)))</f>
        <v>2.1389677043987478</v>
      </c>
      <c r="AI619">
        <f t="shared" ca="1" si="300"/>
        <v>634.42296770439873</v>
      </c>
      <c r="AJ619">
        <f t="shared" ca="1" si="301"/>
        <v>635.4924515565981</v>
      </c>
      <c r="AM619">
        <v>0</v>
      </c>
      <c r="AN619">
        <v>0</v>
      </c>
      <c r="AO619">
        <f t="shared" si="302"/>
        <v>0</v>
      </c>
      <c r="AP619">
        <f t="shared" si="311"/>
        <v>0</v>
      </c>
      <c r="AQ619">
        <f t="shared" ca="1" si="303"/>
        <v>1.0000000000000004</v>
      </c>
      <c r="AR619" t="str">
        <f t="shared" ca="1" si="304"/>
        <v>Supercritical</v>
      </c>
      <c r="AS619">
        <f t="shared" ca="1" si="305"/>
        <v>3.8141460404132466E-3</v>
      </c>
    </row>
    <row r="620" spans="1:45" x14ac:dyDescent="0.35">
      <c r="A620">
        <v>559</v>
      </c>
      <c r="B620">
        <v>557.99599999999998</v>
      </c>
      <c r="C620">
        <v>616178.11100000003</v>
      </c>
      <c r="D620">
        <v>3097427.9819999998</v>
      </c>
      <c r="E620">
        <v>632.2835</v>
      </c>
      <c r="F620">
        <v>5.2</v>
      </c>
      <c r="G620">
        <v>0</v>
      </c>
      <c r="H620" t="s">
        <v>154</v>
      </c>
      <c r="I620">
        <v>7.8E-2</v>
      </c>
      <c r="J620">
        <f t="shared" si="306"/>
        <v>1.0009999999999764</v>
      </c>
      <c r="K620">
        <f t="shared" ca="1" si="307"/>
        <v>50.95</v>
      </c>
      <c r="L620">
        <f t="shared" ca="1" si="308"/>
        <v>2.1389677043987478</v>
      </c>
      <c r="M620">
        <f t="shared" ca="1" si="281"/>
        <v>11.122632062873489</v>
      </c>
      <c r="N620">
        <f t="shared" ca="1" si="282"/>
        <v>1.1735290000551568</v>
      </c>
      <c r="O620">
        <f t="shared" ca="1" si="283"/>
        <v>4.5807502857230418</v>
      </c>
      <c r="P620">
        <f t="shared" ca="1" si="284"/>
        <v>634.42246770439874</v>
      </c>
      <c r="Q620">
        <f t="shared" ca="1" si="285"/>
        <v>635.49195155659811</v>
      </c>
      <c r="R620">
        <f t="shared" ca="1" si="286"/>
        <v>3.8141460404132466E-3</v>
      </c>
      <c r="S620">
        <f t="shared" ca="1" si="287"/>
        <v>1.0000000000000004</v>
      </c>
      <c r="T620">
        <f t="shared" ca="1" si="288"/>
        <v>35.686426155594638</v>
      </c>
      <c r="U620">
        <f t="shared" ca="1" si="309"/>
        <v>-3.456993087183946E-3</v>
      </c>
      <c r="V620">
        <f t="shared" ca="1" si="310"/>
        <v>1</v>
      </c>
      <c r="W620">
        <f t="shared" ca="1" si="289"/>
        <v>1.70691244013086</v>
      </c>
      <c r="X620">
        <f t="shared" ca="1" si="290"/>
        <v>8.8759446886804714</v>
      </c>
      <c r="Y620">
        <f t="shared" ca="1" si="291"/>
        <v>1.0304301297115279</v>
      </c>
      <c r="Z620">
        <f t="shared" ca="1" si="292"/>
        <v>5.7402340581253002</v>
      </c>
      <c r="AA620">
        <f t="shared" ca="1" si="293"/>
        <v>633.99041244013085</v>
      </c>
      <c r="AB620">
        <f t="shared" ca="1" si="294"/>
        <v>635.66983583677006</v>
      </c>
      <c r="AC620">
        <f t="shared" ca="1" si="295"/>
        <v>7.123339691652966E-3</v>
      </c>
      <c r="AD620">
        <f t="shared" ca="1" si="296"/>
        <v>1.4027797102612054</v>
      </c>
      <c r="AE620">
        <f t="shared" ca="1" si="297"/>
        <v>37.388168558402398</v>
      </c>
      <c r="AF620">
        <f t="shared" ca="1" si="298"/>
        <v>6.8416647333151559E-3</v>
      </c>
      <c r="AG620">
        <f t="shared" ca="1" si="299"/>
        <v>0</v>
      </c>
      <c r="AH620">
        <f ca="1">IFERROR(IF(V32="Supercritical",MAX($D$16,IFERROR(L620,MAX($D$16,POWER((ABS(K620)^2)/($I$5*MAX(F620,0.1)^2),1/3)))),IF(V32="Subcritical",MAX($D$16,IFERROR(W620,MAX($D$16,POWER((ABS(K620)^2)/($I$5*MAX(F620,0.1)^2),1/3)))),IF(AND(IFERROR(V620,0)=1,IFERROR(AG620,0)=1),IF(IFERROR(T620,-1E+99)&gt;=IFERROR(AE620,-1E+99),MAX($D$16,IFERROR(L620,MAX($D$16,POWER((ABS(K620)^2)/($I$5*MAX(F620,0.1)^2),1/3)))),MAX($D$16,IFERROR(W620,MAX($D$16,POWER((ABS(K620)^2)/($I$5*MAX(F620,0.1)^2),1/3))))),IF(IFERROR(V620,0)=1,MAX($D$16,IFERROR(L620,MAX($D$16,POWER((ABS(K620)^2)/($I$5*MAX(F620,0.1)^2),1/3)))),IF(IFERROR(AG620,0)=1,MAX($D$16,IFERROR(W620,MAX($D$16,POWER((ABS(K620)^2)/($I$5*MAX(F620,0.1)^2),1/3)))),MAX($D$16,POWER((ABS(K620)^2)/($I$5*MAX(F620,0.1)^2),1/3))))))),MAX($D$16,POWER((ABS(K620)^2)/($I$5*MAX(F620,0.1)^2),1/3)))</f>
        <v>2.1389677043987478</v>
      </c>
      <c r="AI620">
        <f t="shared" ca="1" si="300"/>
        <v>634.42246770439874</v>
      </c>
      <c r="AJ620">
        <f t="shared" ca="1" si="301"/>
        <v>635.49195155659811</v>
      </c>
      <c r="AM620">
        <v>0</v>
      </c>
      <c r="AN620">
        <v>0</v>
      </c>
      <c r="AO620">
        <f t="shared" si="302"/>
        <v>0</v>
      </c>
      <c r="AP620">
        <f t="shared" si="311"/>
        <v>0</v>
      </c>
      <c r="AQ620">
        <f t="shared" ca="1" si="303"/>
        <v>1.0000000000000004</v>
      </c>
      <c r="AR620" t="str">
        <f t="shared" ca="1" si="304"/>
        <v>Supercritical</v>
      </c>
      <c r="AS620">
        <f t="shared" ca="1" si="305"/>
        <v>3.8141460404132466E-3</v>
      </c>
    </row>
    <row r="621" spans="1:45" x14ac:dyDescent="0.35">
      <c r="A621">
        <v>560</v>
      </c>
      <c r="B621">
        <v>558.99599999999998</v>
      </c>
      <c r="C621">
        <v>616177.63600000006</v>
      </c>
      <c r="D621">
        <v>3097427.102</v>
      </c>
      <c r="E621">
        <v>632.28300000000002</v>
      </c>
      <c r="F621">
        <v>5.2</v>
      </c>
      <c r="G621">
        <v>0</v>
      </c>
      <c r="H621" t="s">
        <v>154</v>
      </c>
      <c r="I621">
        <v>7.8E-2</v>
      </c>
      <c r="J621">
        <f t="shared" si="306"/>
        <v>1</v>
      </c>
      <c r="K621">
        <f t="shared" ca="1" si="307"/>
        <v>50.95</v>
      </c>
      <c r="L621">
        <f t="shared" ca="1" si="308"/>
        <v>2.1389677043987478</v>
      </c>
      <c r="M621">
        <f t="shared" ca="1" si="281"/>
        <v>11.122632062873489</v>
      </c>
      <c r="N621">
        <f t="shared" ca="1" si="282"/>
        <v>1.1735290000551568</v>
      </c>
      <c r="O621">
        <f t="shared" ca="1" si="283"/>
        <v>4.5807502857230418</v>
      </c>
      <c r="P621">
        <f t="shared" ca="1" si="284"/>
        <v>634.42196770439875</v>
      </c>
      <c r="Q621">
        <f t="shared" ca="1" si="285"/>
        <v>635.49145155659812</v>
      </c>
      <c r="R621">
        <f t="shared" ca="1" si="286"/>
        <v>3.8141460404132466E-3</v>
      </c>
      <c r="S621">
        <f t="shared" ca="1" si="287"/>
        <v>1.0000000000000004</v>
      </c>
      <c r="T621">
        <f t="shared" ca="1" si="288"/>
        <v>35.686426155594638</v>
      </c>
      <c r="U621">
        <f t="shared" ca="1" si="309"/>
        <v>-3.4531789411857972E-3</v>
      </c>
      <c r="V621">
        <f t="shared" ca="1" si="310"/>
        <v>1</v>
      </c>
      <c r="W621">
        <f t="shared" ca="1" si="289"/>
        <v>1.7069124334544981</v>
      </c>
      <c r="X621">
        <f t="shared" ca="1" si="290"/>
        <v>8.8759446539633906</v>
      </c>
      <c r="Y621">
        <f t="shared" ca="1" si="291"/>
        <v>1.0304301272784588</v>
      </c>
      <c r="Z621">
        <f t="shared" ca="1" si="292"/>
        <v>5.7402340805774639</v>
      </c>
      <c r="AA621">
        <f t="shared" ca="1" si="293"/>
        <v>633.98991243345449</v>
      </c>
      <c r="AB621">
        <f t="shared" ca="1" si="294"/>
        <v>635.66933584323135</v>
      </c>
      <c r="AC621">
        <f t="shared" ca="1" si="295"/>
        <v>7.1233397698032986E-3</v>
      </c>
      <c r="AD621">
        <f t="shared" ca="1" si="296"/>
        <v>1.4027797184913855</v>
      </c>
      <c r="AE621">
        <f t="shared" ca="1" si="297"/>
        <v>37.388168615752733</v>
      </c>
      <c r="AF621">
        <f t="shared" ca="1" si="298"/>
        <v>6.6989138232429468E-3</v>
      </c>
      <c r="AG621">
        <f t="shared" ca="1" si="299"/>
        <v>0</v>
      </c>
      <c r="AH621">
        <f ca="1">IFERROR(IF(V32="Supercritical",MAX($D$16,IFERROR(L621,MAX($D$16,POWER((ABS(K621)^2)/($I$5*MAX(F621,0.1)^2),1/3)))),IF(V32="Subcritical",MAX($D$16,IFERROR(W621,MAX($D$16,POWER((ABS(K621)^2)/($I$5*MAX(F621,0.1)^2),1/3)))),IF(AND(IFERROR(V621,0)=1,IFERROR(AG621,0)=1),IF(IFERROR(T621,-1E+99)&gt;=IFERROR(AE621,-1E+99),MAX($D$16,IFERROR(L621,MAX($D$16,POWER((ABS(K621)^2)/($I$5*MAX(F621,0.1)^2),1/3)))),MAX($D$16,IFERROR(W621,MAX($D$16,POWER((ABS(K621)^2)/($I$5*MAX(F621,0.1)^2),1/3))))),IF(IFERROR(V621,0)=1,MAX($D$16,IFERROR(L621,MAX($D$16,POWER((ABS(K621)^2)/($I$5*MAX(F621,0.1)^2),1/3)))),IF(IFERROR(AG621,0)=1,MAX($D$16,IFERROR(W621,MAX($D$16,POWER((ABS(K621)^2)/($I$5*MAX(F621,0.1)^2),1/3)))),MAX($D$16,POWER((ABS(K621)^2)/($I$5*MAX(F621,0.1)^2),1/3))))))),MAX($D$16,POWER((ABS(K621)^2)/($I$5*MAX(F621,0.1)^2),1/3)))</f>
        <v>2.1389677043987478</v>
      </c>
      <c r="AI621">
        <f t="shared" ca="1" si="300"/>
        <v>634.42196770439875</v>
      </c>
      <c r="AJ621">
        <f t="shared" ca="1" si="301"/>
        <v>635.49145155659812</v>
      </c>
      <c r="AM621">
        <v>0</v>
      </c>
      <c r="AN621">
        <v>0</v>
      </c>
      <c r="AO621">
        <f t="shared" si="302"/>
        <v>0</v>
      </c>
      <c r="AP621">
        <f t="shared" si="311"/>
        <v>0</v>
      </c>
      <c r="AQ621">
        <f t="shared" ca="1" si="303"/>
        <v>1.0000000000000004</v>
      </c>
      <c r="AR621" t="str">
        <f t="shared" ca="1" si="304"/>
        <v>Supercritical</v>
      </c>
      <c r="AS621">
        <f t="shared" ca="1" si="305"/>
        <v>3.8141460404132466E-3</v>
      </c>
    </row>
    <row r="622" spans="1:45" x14ac:dyDescent="0.35">
      <c r="A622">
        <v>561</v>
      </c>
      <c r="B622">
        <v>559.99599999999998</v>
      </c>
      <c r="C622">
        <v>616177.16200000001</v>
      </c>
      <c r="D622">
        <v>3097426.2209999999</v>
      </c>
      <c r="E622">
        <v>632.28250000000003</v>
      </c>
      <c r="F622">
        <v>5.2</v>
      </c>
      <c r="G622">
        <v>0</v>
      </c>
      <c r="H622" t="s">
        <v>154</v>
      </c>
      <c r="I622">
        <v>2.7E-2</v>
      </c>
      <c r="J622">
        <f t="shared" si="306"/>
        <v>1</v>
      </c>
      <c r="K622">
        <f t="shared" ca="1" si="307"/>
        <v>50.95</v>
      </c>
      <c r="L622">
        <f t="shared" ca="1" si="308"/>
        <v>2.1389677043987478</v>
      </c>
      <c r="M622">
        <f t="shared" ca="1" si="281"/>
        <v>11.122632062873489</v>
      </c>
      <c r="N622">
        <f t="shared" ca="1" si="282"/>
        <v>1.1735290000551568</v>
      </c>
      <c r="O622">
        <f t="shared" ca="1" si="283"/>
        <v>4.5807502857230418</v>
      </c>
      <c r="P622">
        <f t="shared" ca="1" si="284"/>
        <v>634.42146770439876</v>
      </c>
      <c r="Q622">
        <f t="shared" ca="1" si="285"/>
        <v>635.49095155659813</v>
      </c>
      <c r="R622">
        <f t="shared" ca="1" si="286"/>
        <v>3.8141460404132466E-3</v>
      </c>
      <c r="S622">
        <f t="shared" ca="1" si="287"/>
        <v>1.0000000000000004</v>
      </c>
      <c r="T622">
        <f t="shared" ca="1" si="288"/>
        <v>35.686426155594638</v>
      </c>
      <c r="U622">
        <f t="shared" ca="1" si="309"/>
        <v>-3.3622728137743252E-3</v>
      </c>
      <c r="V622">
        <f t="shared" ca="1" si="310"/>
        <v>1</v>
      </c>
      <c r="W622">
        <f t="shared" ca="1" si="289"/>
        <v>1.7069124272210714</v>
      </c>
      <c r="X622">
        <f t="shared" ca="1" si="290"/>
        <v>8.8759446215495714</v>
      </c>
      <c r="Y622">
        <f t="shared" ca="1" si="291"/>
        <v>1.0304301250068084</v>
      </c>
      <c r="Z622">
        <f t="shared" ca="1" si="292"/>
        <v>5.740234101540068</v>
      </c>
      <c r="AA622">
        <f t="shared" ca="1" si="293"/>
        <v>633.98941242722105</v>
      </c>
      <c r="AB622">
        <f t="shared" ca="1" si="294"/>
        <v>635.66883584926404</v>
      </c>
      <c r="AC622">
        <f t="shared" ca="1" si="295"/>
        <v>7.1233398427688497E-3</v>
      </c>
      <c r="AD622">
        <f t="shared" ca="1" si="296"/>
        <v>1.402779726175545</v>
      </c>
      <c r="AE622">
        <f t="shared" ca="1" si="297"/>
        <v>37.388168669298246</v>
      </c>
      <c r="AF622">
        <f t="shared" ca="1" si="298"/>
        <v>6.6233398428039436E-3</v>
      </c>
      <c r="AG622">
        <f t="shared" ca="1" si="299"/>
        <v>0</v>
      </c>
      <c r="AH622">
        <f ca="1">IFERROR(IF(V32="Supercritical",MAX($D$16,IFERROR(L622,MAX($D$16,POWER((ABS(K622)^2)/($I$5*MAX(F622,0.1)^2),1/3)))),IF(V32="Subcritical",MAX($D$16,IFERROR(W622,MAX($D$16,POWER((ABS(K622)^2)/($I$5*MAX(F622,0.1)^2),1/3)))),IF(AND(IFERROR(V622,0)=1,IFERROR(AG622,0)=1),IF(IFERROR(T622,-1E+99)&gt;=IFERROR(AE622,-1E+99),MAX($D$16,IFERROR(L622,MAX($D$16,POWER((ABS(K622)^2)/($I$5*MAX(F622,0.1)^2),1/3)))),MAX($D$16,IFERROR(W622,MAX($D$16,POWER((ABS(K622)^2)/($I$5*MAX(F622,0.1)^2),1/3))))),IF(IFERROR(V622,0)=1,MAX($D$16,IFERROR(L622,MAX($D$16,POWER((ABS(K622)^2)/($I$5*MAX(F622,0.1)^2),1/3)))),IF(IFERROR(AG622,0)=1,MAX($D$16,IFERROR(W622,MAX($D$16,POWER((ABS(K622)^2)/($I$5*MAX(F622,0.1)^2),1/3)))),MAX($D$16,POWER((ABS(K622)^2)/($I$5*MAX(F622,0.1)^2),1/3))))))),MAX($D$16,POWER((ABS(K622)^2)/($I$5*MAX(F622,0.1)^2),1/3)))</f>
        <v>2.1389677043987478</v>
      </c>
      <c r="AI622">
        <f t="shared" ca="1" si="300"/>
        <v>634.42146770439876</v>
      </c>
      <c r="AJ622">
        <f t="shared" ca="1" si="301"/>
        <v>635.49095155659813</v>
      </c>
      <c r="AM622">
        <v>0</v>
      </c>
      <c r="AN622">
        <v>0</v>
      </c>
      <c r="AO622">
        <f t="shared" si="302"/>
        <v>0</v>
      </c>
      <c r="AP622">
        <f t="shared" si="311"/>
        <v>0</v>
      </c>
      <c r="AQ622">
        <f t="shared" ca="1" si="303"/>
        <v>1.0000000000000004</v>
      </c>
      <c r="AR622" t="str">
        <f t="shared" ca="1" si="304"/>
        <v>Supercritical</v>
      </c>
      <c r="AS622">
        <f t="shared" ca="1" si="305"/>
        <v>3.8141460404132466E-3</v>
      </c>
    </row>
    <row r="623" spans="1:45" x14ac:dyDescent="0.35">
      <c r="A623">
        <v>562</v>
      </c>
      <c r="B623">
        <v>560.99599999999998</v>
      </c>
      <c r="C623">
        <v>616176.68799999997</v>
      </c>
      <c r="D623">
        <v>3097425.341</v>
      </c>
      <c r="E623">
        <v>632.28200000000004</v>
      </c>
      <c r="F623">
        <v>5.2</v>
      </c>
      <c r="G623">
        <v>0</v>
      </c>
      <c r="H623" t="s">
        <v>154</v>
      </c>
      <c r="I623">
        <v>0</v>
      </c>
      <c r="J623">
        <f t="shared" si="306"/>
        <v>1</v>
      </c>
      <c r="K623">
        <f t="shared" ca="1" si="307"/>
        <v>50.95</v>
      </c>
      <c r="L623">
        <f t="shared" ca="1" si="308"/>
        <v>2.1389677043987478</v>
      </c>
      <c r="M623">
        <f t="shared" ca="1" si="281"/>
        <v>11.122632062873489</v>
      </c>
      <c r="N623">
        <f t="shared" ca="1" si="282"/>
        <v>1.1735290000551568</v>
      </c>
      <c r="O623">
        <f t="shared" ca="1" si="283"/>
        <v>4.5807502857230418</v>
      </c>
      <c r="P623">
        <f t="shared" ca="1" si="284"/>
        <v>634.42096770439878</v>
      </c>
      <c r="Q623">
        <f t="shared" ca="1" si="285"/>
        <v>635.49045155659815</v>
      </c>
      <c r="R623">
        <f t="shared" ca="1" si="286"/>
        <v>3.8141460404132466E-3</v>
      </c>
      <c r="S623">
        <f t="shared" ca="1" si="287"/>
        <v>1.0000000000000004</v>
      </c>
      <c r="T623">
        <f t="shared" ca="1" si="288"/>
        <v>35.686426155594638</v>
      </c>
      <c r="U623">
        <f t="shared" ca="1" si="309"/>
        <v>-3.3141460404522149E-3</v>
      </c>
      <c r="V623">
        <f t="shared" ca="1" si="310"/>
        <v>1</v>
      </c>
      <c r="W623">
        <f t="shared" ca="1" si="289"/>
        <v>1.7069124214011977</v>
      </c>
      <c r="X623">
        <f t="shared" ca="1" si="290"/>
        <v>8.8759445912862276</v>
      </c>
      <c r="Y623">
        <f t="shared" ca="1" si="291"/>
        <v>1.0304301228858694</v>
      </c>
      <c r="Z623">
        <f t="shared" ca="1" si="292"/>
        <v>5.7402341211119206</v>
      </c>
      <c r="AA623">
        <f t="shared" ca="1" si="293"/>
        <v>633.98891242140121</v>
      </c>
      <c r="AB623">
        <f t="shared" ca="1" si="294"/>
        <v>635.66833585489644</v>
      </c>
      <c r="AC623">
        <f t="shared" ca="1" si="295"/>
        <v>7.1233399108935431E-3</v>
      </c>
      <c r="AD623">
        <f t="shared" ca="1" si="296"/>
        <v>1.4027797333499035</v>
      </c>
      <c r="AE623">
        <f t="shared" ca="1" si="297"/>
        <v>37.388168719291301</v>
      </c>
      <c r="AF623">
        <f t="shared" ca="1" si="298"/>
        <v>6.6917906257231152E-3</v>
      </c>
      <c r="AG623">
        <f t="shared" ca="1" si="299"/>
        <v>0</v>
      </c>
      <c r="AH623">
        <f ca="1">IFERROR(IF(V32="Supercritical",MAX($D$16,IFERROR(L623,MAX($D$16,POWER((ABS(K623)^2)/($I$5*MAX(F623,0.1)^2),1/3)))),IF(V32="Subcritical",MAX($D$16,IFERROR(W623,MAX($D$16,POWER((ABS(K623)^2)/($I$5*MAX(F623,0.1)^2),1/3)))),IF(AND(IFERROR(V623,0)=1,IFERROR(AG623,0)=1),IF(IFERROR(T623,-1E+99)&gt;=IFERROR(AE623,-1E+99),MAX($D$16,IFERROR(L623,MAX($D$16,POWER((ABS(K623)^2)/($I$5*MAX(F623,0.1)^2),1/3)))),MAX($D$16,IFERROR(W623,MAX($D$16,POWER((ABS(K623)^2)/($I$5*MAX(F623,0.1)^2),1/3))))),IF(IFERROR(V623,0)=1,MAX($D$16,IFERROR(L623,MAX($D$16,POWER((ABS(K623)^2)/($I$5*MAX(F623,0.1)^2),1/3)))),IF(IFERROR(AG623,0)=1,MAX($D$16,IFERROR(W623,MAX($D$16,POWER((ABS(K623)^2)/($I$5*MAX(F623,0.1)^2),1/3)))),MAX($D$16,POWER((ABS(K623)^2)/($I$5*MAX(F623,0.1)^2),1/3))))))),MAX($D$16,POWER((ABS(K623)^2)/($I$5*MAX(F623,0.1)^2),1/3)))</f>
        <v>2.1389677043987478</v>
      </c>
      <c r="AI623">
        <f t="shared" ca="1" si="300"/>
        <v>634.42096770439878</v>
      </c>
      <c r="AJ623">
        <f t="shared" ca="1" si="301"/>
        <v>635.49045155659815</v>
      </c>
      <c r="AM623">
        <v>0</v>
      </c>
      <c r="AN623">
        <v>0</v>
      </c>
      <c r="AO623">
        <f t="shared" si="302"/>
        <v>0</v>
      </c>
      <c r="AP623">
        <f t="shared" si="311"/>
        <v>0</v>
      </c>
      <c r="AQ623">
        <f t="shared" ca="1" si="303"/>
        <v>1.0000000000000004</v>
      </c>
      <c r="AR623" t="str">
        <f t="shared" ca="1" si="304"/>
        <v>Supercritical</v>
      </c>
      <c r="AS623">
        <f t="shared" ca="1" si="305"/>
        <v>3.8141460404132466E-3</v>
      </c>
    </row>
    <row r="624" spans="1:45" x14ac:dyDescent="0.35">
      <c r="A624">
        <v>563</v>
      </c>
      <c r="B624">
        <v>561.995</v>
      </c>
      <c r="C624">
        <v>616176.21400000004</v>
      </c>
      <c r="D624">
        <v>3097424.4610000001</v>
      </c>
      <c r="E624">
        <v>632.28150000000005</v>
      </c>
      <c r="F624">
        <v>5.2</v>
      </c>
      <c r="G624">
        <v>0</v>
      </c>
      <c r="H624" t="s">
        <v>154</v>
      </c>
      <c r="I624">
        <v>2.7E-2</v>
      </c>
      <c r="J624">
        <f t="shared" si="306"/>
        <v>0.99900000000002365</v>
      </c>
      <c r="K624">
        <f t="shared" ca="1" si="307"/>
        <v>50.95</v>
      </c>
      <c r="L624">
        <f t="shared" ca="1" si="308"/>
        <v>2.1389677043987478</v>
      </c>
      <c r="M624">
        <f t="shared" ca="1" si="281"/>
        <v>11.122632062873489</v>
      </c>
      <c r="N624">
        <f t="shared" ca="1" si="282"/>
        <v>1.1735290000551568</v>
      </c>
      <c r="O624">
        <f t="shared" ca="1" si="283"/>
        <v>4.5807502857230418</v>
      </c>
      <c r="P624">
        <f t="shared" ca="1" si="284"/>
        <v>634.42046770439879</v>
      </c>
      <c r="Q624">
        <f t="shared" ca="1" si="285"/>
        <v>635.48995155659816</v>
      </c>
      <c r="R624">
        <f t="shared" ca="1" si="286"/>
        <v>3.8141460404132466E-3</v>
      </c>
      <c r="S624">
        <f t="shared" ca="1" si="287"/>
        <v>1.0000000000000004</v>
      </c>
      <c r="T624">
        <f t="shared" ca="1" si="288"/>
        <v>35.686426155594638</v>
      </c>
      <c r="U624">
        <f t="shared" ca="1" si="309"/>
        <v>-3.3584586676624895E-3</v>
      </c>
      <c r="V624">
        <f t="shared" ca="1" si="310"/>
        <v>1</v>
      </c>
      <c r="W624">
        <f t="shared" ca="1" si="289"/>
        <v>1.7069124159674558</v>
      </c>
      <c r="X624">
        <f t="shared" ca="1" si="290"/>
        <v>8.875944563030771</v>
      </c>
      <c r="Y624">
        <f t="shared" ca="1" si="291"/>
        <v>1.0304301209056488</v>
      </c>
      <c r="Z624">
        <f t="shared" ca="1" si="292"/>
        <v>5.7402341393852359</v>
      </c>
      <c r="AA624">
        <f t="shared" ca="1" si="293"/>
        <v>633.98841241596756</v>
      </c>
      <c r="AB624">
        <f t="shared" ca="1" si="294"/>
        <v>635.66783586015526</v>
      </c>
      <c r="AC624">
        <f t="shared" ca="1" si="295"/>
        <v>7.1233399744983512E-3</v>
      </c>
      <c r="AD624">
        <f t="shared" ca="1" si="296"/>
        <v>1.4027797400482636</v>
      </c>
      <c r="AE624">
        <f t="shared" ca="1" si="297"/>
        <v>37.388168765967464</v>
      </c>
      <c r="AF624">
        <f t="shared" ca="1" si="298"/>
        <v>6.8487883621628498E-3</v>
      </c>
      <c r="AG624">
        <f t="shared" ca="1" si="299"/>
        <v>0</v>
      </c>
      <c r="AH624">
        <f ca="1">IFERROR(IF(V32="Supercritical",MAX($D$16,IFERROR(L624,MAX($D$16,POWER((ABS(K624)^2)/($I$5*MAX(F624,0.1)^2),1/3)))),IF(V32="Subcritical",MAX($D$16,IFERROR(W624,MAX($D$16,POWER((ABS(K624)^2)/($I$5*MAX(F624,0.1)^2),1/3)))),IF(AND(IFERROR(V624,0)=1,IFERROR(AG624,0)=1),IF(IFERROR(T624,-1E+99)&gt;=IFERROR(AE624,-1E+99),MAX($D$16,IFERROR(L624,MAX($D$16,POWER((ABS(K624)^2)/($I$5*MAX(F624,0.1)^2),1/3)))),MAX($D$16,IFERROR(W624,MAX($D$16,POWER((ABS(K624)^2)/($I$5*MAX(F624,0.1)^2),1/3))))),IF(IFERROR(V624,0)=1,MAX($D$16,IFERROR(L624,MAX($D$16,POWER((ABS(K624)^2)/($I$5*MAX(F624,0.1)^2),1/3)))),IF(IFERROR(AG624,0)=1,MAX($D$16,IFERROR(W624,MAX($D$16,POWER((ABS(K624)^2)/($I$5*MAX(F624,0.1)^2),1/3)))),MAX($D$16,POWER((ABS(K624)^2)/($I$5*MAX(F624,0.1)^2),1/3))))))),MAX($D$16,POWER((ABS(K624)^2)/($I$5*MAX(F624,0.1)^2),1/3)))</f>
        <v>2.1389677043987478</v>
      </c>
      <c r="AI624">
        <f t="shared" ca="1" si="300"/>
        <v>634.42046770439879</v>
      </c>
      <c r="AJ624">
        <f t="shared" ca="1" si="301"/>
        <v>635.48995155659816</v>
      </c>
      <c r="AM624">
        <v>0</v>
      </c>
      <c r="AN624">
        <v>0</v>
      </c>
      <c r="AO624">
        <f t="shared" si="302"/>
        <v>0</v>
      </c>
      <c r="AP624">
        <f t="shared" si="311"/>
        <v>0</v>
      </c>
      <c r="AQ624">
        <f t="shared" ca="1" si="303"/>
        <v>1.0000000000000004</v>
      </c>
      <c r="AR624" t="str">
        <f t="shared" ca="1" si="304"/>
        <v>Supercritical</v>
      </c>
      <c r="AS624">
        <f t="shared" ca="1" si="305"/>
        <v>3.8141460404132466E-3</v>
      </c>
    </row>
    <row r="625" spans="1:45" x14ac:dyDescent="0.35">
      <c r="A625">
        <v>564</v>
      </c>
      <c r="B625">
        <v>562.99599999999998</v>
      </c>
      <c r="C625">
        <v>616175.74</v>
      </c>
      <c r="D625">
        <v>3097423.58</v>
      </c>
      <c r="E625">
        <v>632.28099999999995</v>
      </c>
      <c r="F625">
        <v>5.2</v>
      </c>
      <c r="G625">
        <v>0</v>
      </c>
      <c r="H625" t="s">
        <v>154</v>
      </c>
      <c r="I625">
        <v>7.8E-2</v>
      </c>
      <c r="J625">
        <f t="shared" si="306"/>
        <v>1.0009999999999764</v>
      </c>
      <c r="K625">
        <f t="shared" ca="1" si="307"/>
        <v>50.95</v>
      </c>
      <c r="L625">
        <f t="shared" ca="1" si="308"/>
        <v>2.1389677043987478</v>
      </c>
      <c r="M625">
        <f t="shared" ca="1" si="281"/>
        <v>11.122632062873489</v>
      </c>
      <c r="N625">
        <f t="shared" ca="1" si="282"/>
        <v>1.1735290000551568</v>
      </c>
      <c r="O625">
        <f t="shared" ca="1" si="283"/>
        <v>4.5807502857230418</v>
      </c>
      <c r="P625">
        <f t="shared" ca="1" si="284"/>
        <v>634.41996770439869</v>
      </c>
      <c r="Q625">
        <f t="shared" ca="1" si="285"/>
        <v>635.48945155659806</v>
      </c>
      <c r="R625">
        <f t="shared" ca="1" si="286"/>
        <v>3.8141460404132466E-3</v>
      </c>
      <c r="S625">
        <f t="shared" ca="1" si="287"/>
        <v>1.0000000000000004</v>
      </c>
      <c r="T625">
        <f t="shared" ca="1" si="288"/>
        <v>35.686426155594638</v>
      </c>
      <c r="U625">
        <f t="shared" ca="1" si="309"/>
        <v>-3.4569930870702592E-3</v>
      </c>
      <c r="V625">
        <f t="shared" ca="1" si="310"/>
        <v>1</v>
      </c>
      <c r="W625">
        <f t="shared" ca="1" si="289"/>
        <v>1.7069124108942149</v>
      </c>
      <c r="X625">
        <f t="shared" ca="1" si="290"/>
        <v>8.8759445366499179</v>
      </c>
      <c r="Y625">
        <f t="shared" ca="1" si="291"/>
        <v>1.0304301190568055</v>
      </c>
      <c r="Z625">
        <f t="shared" ca="1" si="292"/>
        <v>5.7402341564462116</v>
      </c>
      <c r="AA625">
        <f t="shared" ca="1" si="293"/>
        <v>633.98791241089418</v>
      </c>
      <c r="AB625">
        <f t="shared" ca="1" si="294"/>
        <v>635.66733586506507</v>
      </c>
      <c r="AC625">
        <f t="shared" ca="1" si="295"/>
        <v>7.1233400338833177E-3</v>
      </c>
      <c r="AD625">
        <f t="shared" ca="1" si="296"/>
        <v>1.4027797463022222</v>
      </c>
      <c r="AE625">
        <f t="shared" ca="1" si="297"/>
        <v>37.388168809546904</v>
      </c>
      <c r="AF625">
        <f t="shared" ca="1" si="298"/>
        <v>6.8416650829021819E-3</v>
      </c>
      <c r="AG625">
        <f t="shared" ca="1" si="299"/>
        <v>0</v>
      </c>
      <c r="AH625">
        <f ca="1">IFERROR(IF(V32="Supercritical",MAX($D$16,IFERROR(L625,MAX($D$16,POWER((ABS(K625)^2)/($I$5*MAX(F625,0.1)^2),1/3)))),IF(V32="Subcritical",MAX($D$16,IFERROR(W625,MAX($D$16,POWER((ABS(K625)^2)/($I$5*MAX(F625,0.1)^2),1/3)))),IF(AND(IFERROR(V625,0)=1,IFERROR(AG625,0)=1),IF(IFERROR(T625,-1E+99)&gt;=IFERROR(AE625,-1E+99),MAX($D$16,IFERROR(L625,MAX($D$16,POWER((ABS(K625)^2)/($I$5*MAX(F625,0.1)^2),1/3)))),MAX($D$16,IFERROR(W625,MAX($D$16,POWER((ABS(K625)^2)/($I$5*MAX(F625,0.1)^2),1/3))))),IF(IFERROR(V625,0)=1,MAX($D$16,IFERROR(L625,MAX($D$16,POWER((ABS(K625)^2)/($I$5*MAX(F625,0.1)^2),1/3)))),IF(IFERROR(AG625,0)=1,MAX($D$16,IFERROR(W625,MAX($D$16,POWER((ABS(K625)^2)/($I$5*MAX(F625,0.1)^2),1/3)))),MAX($D$16,POWER((ABS(K625)^2)/($I$5*MAX(F625,0.1)^2),1/3))))))),MAX($D$16,POWER((ABS(K625)^2)/($I$5*MAX(F625,0.1)^2),1/3)))</f>
        <v>2.1389677043987478</v>
      </c>
      <c r="AI625">
        <f t="shared" ca="1" si="300"/>
        <v>634.41996770439869</v>
      </c>
      <c r="AJ625">
        <f t="shared" ca="1" si="301"/>
        <v>635.48945155659806</v>
      </c>
      <c r="AM625">
        <v>0</v>
      </c>
      <c r="AN625">
        <v>0</v>
      </c>
      <c r="AO625">
        <f t="shared" si="302"/>
        <v>0</v>
      </c>
      <c r="AP625">
        <f t="shared" si="311"/>
        <v>0</v>
      </c>
      <c r="AQ625">
        <f t="shared" ca="1" si="303"/>
        <v>1.0000000000000004</v>
      </c>
      <c r="AR625" t="str">
        <f t="shared" ca="1" si="304"/>
        <v>Supercritical</v>
      </c>
      <c r="AS625">
        <f t="shared" ca="1" si="305"/>
        <v>3.8141460404132466E-3</v>
      </c>
    </row>
    <row r="626" spans="1:45" x14ac:dyDescent="0.35">
      <c r="A626">
        <v>565</v>
      </c>
      <c r="B626">
        <v>563.99599999999998</v>
      </c>
      <c r="C626">
        <v>616175.26500000001</v>
      </c>
      <c r="D626">
        <v>3097422.7</v>
      </c>
      <c r="E626">
        <v>632.28049999999996</v>
      </c>
      <c r="F626">
        <v>5.2</v>
      </c>
      <c r="G626">
        <v>0</v>
      </c>
      <c r="H626" t="s">
        <v>154</v>
      </c>
      <c r="I626">
        <v>7.8E-2</v>
      </c>
      <c r="J626">
        <f t="shared" si="306"/>
        <v>1</v>
      </c>
      <c r="K626">
        <f t="shared" ca="1" si="307"/>
        <v>50.95</v>
      </c>
      <c r="L626">
        <f t="shared" ca="1" si="308"/>
        <v>2.1389677043987478</v>
      </c>
      <c r="M626">
        <f t="shared" ca="1" si="281"/>
        <v>11.122632062873489</v>
      </c>
      <c r="N626">
        <f t="shared" ca="1" si="282"/>
        <v>1.1735290000551568</v>
      </c>
      <c r="O626">
        <f t="shared" ca="1" si="283"/>
        <v>4.5807502857230418</v>
      </c>
      <c r="P626">
        <f t="shared" ca="1" si="284"/>
        <v>634.4194677043987</v>
      </c>
      <c r="Q626">
        <f t="shared" ca="1" si="285"/>
        <v>635.48895155659807</v>
      </c>
      <c r="R626">
        <f t="shared" ca="1" si="286"/>
        <v>3.8141460404132466E-3</v>
      </c>
      <c r="S626">
        <f t="shared" ca="1" si="287"/>
        <v>1.0000000000000004</v>
      </c>
      <c r="T626">
        <f t="shared" ca="1" si="288"/>
        <v>35.686426155594638</v>
      </c>
      <c r="U626">
        <f t="shared" ca="1" si="309"/>
        <v>-3.4531789411857972E-3</v>
      </c>
      <c r="V626">
        <f t="shared" ca="1" si="310"/>
        <v>1</v>
      </c>
      <c r="W626">
        <f t="shared" ca="1" si="289"/>
        <v>1.7069124061575494</v>
      </c>
      <c r="X626">
        <f t="shared" ca="1" si="290"/>
        <v>8.8759445120192577</v>
      </c>
      <c r="Y626">
        <f t="shared" ca="1" si="291"/>
        <v>1.0304301173306207</v>
      </c>
      <c r="Z626">
        <f t="shared" ca="1" si="292"/>
        <v>5.7402341723753061</v>
      </c>
      <c r="AA626">
        <f t="shared" ca="1" si="293"/>
        <v>633.98741240615755</v>
      </c>
      <c r="AB626">
        <f t="shared" ca="1" si="294"/>
        <v>635.66683586964916</v>
      </c>
      <c r="AC626">
        <f t="shared" ca="1" si="295"/>
        <v>7.1233400893284844E-3</v>
      </c>
      <c r="AD626">
        <f t="shared" ca="1" si="296"/>
        <v>1.4027797521412724</v>
      </c>
      <c r="AE626">
        <f t="shared" ca="1" si="297"/>
        <v>37.388168850235139</v>
      </c>
      <c r="AF626">
        <f t="shared" ca="1" si="298"/>
        <v>6.6989141452040712E-3</v>
      </c>
      <c r="AG626">
        <f t="shared" ca="1" si="299"/>
        <v>0</v>
      </c>
      <c r="AH626">
        <f ca="1">IFERROR(IF(V32="Supercritical",MAX($D$16,IFERROR(L626,MAX($D$16,POWER((ABS(K626)^2)/($I$5*MAX(F626,0.1)^2),1/3)))),IF(V32="Subcritical",MAX($D$16,IFERROR(W626,MAX($D$16,POWER((ABS(K626)^2)/($I$5*MAX(F626,0.1)^2),1/3)))),IF(AND(IFERROR(V626,0)=1,IFERROR(AG626,0)=1),IF(IFERROR(T626,-1E+99)&gt;=IFERROR(AE626,-1E+99),MAX($D$16,IFERROR(L626,MAX($D$16,POWER((ABS(K626)^2)/($I$5*MAX(F626,0.1)^2),1/3)))),MAX($D$16,IFERROR(W626,MAX($D$16,POWER((ABS(K626)^2)/($I$5*MAX(F626,0.1)^2),1/3))))),IF(IFERROR(V626,0)=1,MAX($D$16,IFERROR(L626,MAX($D$16,POWER((ABS(K626)^2)/($I$5*MAX(F626,0.1)^2),1/3)))),IF(IFERROR(AG626,0)=1,MAX($D$16,IFERROR(W626,MAX($D$16,POWER((ABS(K626)^2)/($I$5*MAX(F626,0.1)^2),1/3)))),MAX($D$16,POWER((ABS(K626)^2)/($I$5*MAX(F626,0.1)^2),1/3))))))),MAX($D$16,POWER((ABS(K626)^2)/($I$5*MAX(F626,0.1)^2),1/3)))</f>
        <v>2.1389677043987478</v>
      </c>
      <c r="AI626">
        <f t="shared" ca="1" si="300"/>
        <v>634.4194677043987</v>
      </c>
      <c r="AJ626">
        <f t="shared" ca="1" si="301"/>
        <v>635.48895155659807</v>
      </c>
      <c r="AM626">
        <v>0</v>
      </c>
      <c r="AN626">
        <v>0</v>
      </c>
      <c r="AO626">
        <f t="shared" si="302"/>
        <v>0</v>
      </c>
      <c r="AP626">
        <f t="shared" si="311"/>
        <v>0</v>
      </c>
      <c r="AQ626">
        <f t="shared" ca="1" si="303"/>
        <v>1.0000000000000004</v>
      </c>
      <c r="AR626" t="str">
        <f t="shared" ca="1" si="304"/>
        <v>Supercritical</v>
      </c>
      <c r="AS626">
        <f t="shared" ca="1" si="305"/>
        <v>3.8141460404132466E-3</v>
      </c>
    </row>
    <row r="627" spans="1:45" x14ac:dyDescent="0.35">
      <c r="A627">
        <v>566</v>
      </c>
      <c r="B627">
        <v>564.99599999999998</v>
      </c>
      <c r="C627">
        <v>616174.79099999997</v>
      </c>
      <c r="D627">
        <v>3097421.8190000001</v>
      </c>
      <c r="E627">
        <v>632.28</v>
      </c>
      <c r="F627">
        <v>5.2</v>
      </c>
      <c r="G627">
        <v>0</v>
      </c>
      <c r="H627" t="s">
        <v>154</v>
      </c>
      <c r="I627">
        <v>2.7E-2</v>
      </c>
      <c r="J627">
        <f t="shared" si="306"/>
        <v>1</v>
      </c>
      <c r="K627">
        <f t="shared" ca="1" si="307"/>
        <v>50.95</v>
      </c>
      <c r="L627">
        <f t="shared" ca="1" si="308"/>
        <v>2.1389677043987478</v>
      </c>
      <c r="M627">
        <f t="shared" ca="1" si="281"/>
        <v>11.122632062873489</v>
      </c>
      <c r="N627">
        <f t="shared" ca="1" si="282"/>
        <v>1.1735290000551568</v>
      </c>
      <c r="O627">
        <f t="shared" ca="1" si="283"/>
        <v>4.5807502857230418</v>
      </c>
      <c r="P627">
        <f t="shared" ca="1" si="284"/>
        <v>634.41896770439871</v>
      </c>
      <c r="Q627">
        <f t="shared" ca="1" si="285"/>
        <v>635.48845155659808</v>
      </c>
      <c r="R627">
        <f t="shared" ca="1" si="286"/>
        <v>3.8141460404132466E-3</v>
      </c>
      <c r="S627">
        <f t="shared" ca="1" si="287"/>
        <v>1.0000000000000004</v>
      </c>
      <c r="T627">
        <f t="shared" ca="1" si="288"/>
        <v>35.686426155594638</v>
      </c>
      <c r="U627">
        <f t="shared" ca="1" si="309"/>
        <v>-3.3622728137743252E-3</v>
      </c>
      <c r="V627">
        <f t="shared" ca="1" si="310"/>
        <v>1</v>
      </c>
      <c r="W627">
        <f t="shared" ca="1" si="289"/>
        <v>1.7069124017351371</v>
      </c>
      <c r="X627">
        <f t="shared" ca="1" si="290"/>
        <v>8.8759444890227126</v>
      </c>
      <c r="Y627">
        <f t="shared" ca="1" si="291"/>
        <v>1.0304301157189588</v>
      </c>
      <c r="Z627">
        <f t="shared" ca="1" si="292"/>
        <v>5.7402341872475882</v>
      </c>
      <c r="AA627">
        <f t="shared" ca="1" si="293"/>
        <v>633.98691240173514</v>
      </c>
      <c r="AB627">
        <f t="shared" ca="1" si="294"/>
        <v>635.66633587392914</v>
      </c>
      <c r="AC627">
        <f t="shared" ca="1" si="295"/>
        <v>7.1233401410951604E-3</v>
      </c>
      <c r="AD627">
        <f t="shared" ca="1" si="296"/>
        <v>1.4027797575929326</v>
      </c>
      <c r="AE627">
        <f t="shared" ca="1" si="297"/>
        <v>37.38816888822393</v>
      </c>
      <c r="AF627">
        <f t="shared" ca="1" si="298"/>
        <v>6.6233401411182058E-3</v>
      </c>
      <c r="AG627">
        <f t="shared" ca="1" si="299"/>
        <v>0</v>
      </c>
      <c r="AH627">
        <f ca="1">IFERROR(IF(V32="Supercritical",MAX($D$16,IFERROR(L627,MAX($D$16,POWER((ABS(K627)^2)/($I$5*MAX(F627,0.1)^2),1/3)))),IF(V32="Subcritical",MAX($D$16,IFERROR(W627,MAX($D$16,POWER((ABS(K627)^2)/($I$5*MAX(F627,0.1)^2),1/3)))),IF(AND(IFERROR(V627,0)=1,IFERROR(AG627,0)=1),IF(IFERROR(T627,-1E+99)&gt;=IFERROR(AE627,-1E+99),MAX($D$16,IFERROR(L627,MAX($D$16,POWER((ABS(K627)^2)/($I$5*MAX(F627,0.1)^2),1/3)))),MAX($D$16,IFERROR(W627,MAX($D$16,POWER((ABS(K627)^2)/($I$5*MAX(F627,0.1)^2),1/3))))),IF(IFERROR(V627,0)=1,MAX($D$16,IFERROR(L627,MAX($D$16,POWER((ABS(K627)^2)/($I$5*MAX(F627,0.1)^2),1/3)))),IF(IFERROR(AG627,0)=1,MAX($D$16,IFERROR(W627,MAX($D$16,POWER((ABS(K627)^2)/($I$5*MAX(F627,0.1)^2),1/3)))),MAX($D$16,POWER((ABS(K627)^2)/($I$5*MAX(F627,0.1)^2),1/3))))))),MAX($D$16,POWER((ABS(K627)^2)/($I$5*MAX(F627,0.1)^2),1/3)))</f>
        <v>2.1389677043987478</v>
      </c>
      <c r="AI627">
        <f t="shared" ca="1" si="300"/>
        <v>634.41896770439871</v>
      </c>
      <c r="AJ627">
        <f t="shared" ca="1" si="301"/>
        <v>635.48845155659808</v>
      </c>
      <c r="AM627">
        <v>0</v>
      </c>
      <c r="AN627">
        <v>0</v>
      </c>
      <c r="AO627">
        <f t="shared" si="302"/>
        <v>0</v>
      </c>
      <c r="AP627">
        <f t="shared" si="311"/>
        <v>0</v>
      </c>
      <c r="AQ627">
        <f t="shared" ca="1" si="303"/>
        <v>1.0000000000000004</v>
      </c>
      <c r="AR627" t="str">
        <f t="shared" ca="1" si="304"/>
        <v>Supercritical</v>
      </c>
      <c r="AS627">
        <f t="shared" ca="1" si="305"/>
        <v>3.8141460404132466E-3</v>
      </c>
    </row>
    <row r="628" spans="1:45" x14ac:dyDescent="0.35">
      <c r="A628">
        <v>567</v>
      </c>
      <c r="B628">
        <v>565.99599999999998</v>
      </c>
      <c r="C628">
        <v>616174.31700000004</v>
      </c>
      <c r="D628">
        <v>3097420.9389999998</v>
      </c>
      <c r="E628">
        <v>632.27949999999998</v>
      </c>
      <c r="F628">
        <v>5.2</v>
      </c>
      <c r="G628">
        <v>0</v>
      </c>
      <c r="H628" t="s">
        <v>154</v>
      </c>
      <c r="I628">
        <v>0</v>
      </c>
      <c r="J628">
        <f t="shared" si="306"/>
        <v>1</v>
      </c>
      <c r="K628">
        <f t="shared" ca="1" si="307"/>
        <v>50.95</v>
      </c>
      <c r="L628">
        <f t="shared" ca="1" si="308"/>
        <v>2.1389677043987478</v>
      </c>
      <c r="M628">
        <f t="shared" ca="1" si="281"/>
        <v>11.122632062873489</v>
      </c>
      <c r="N628">
        <f t="shared" ca="1" si="282"/>
        <v>1.1735290000551568</v>
      </c>
      <c r="O628">
        <f t="shared" ca="1" si="283"/>
        <v>4.5807502857230418</v>
      </c>
      <c r="P628">
        <f t="shared" ca="1" si="284"/>
        <v>634.41846770439872</v>
      </c>
      <c r="Q628">
        <f t="shared" ca="1" si="285"/>
        <v>635.48795155659809</v>
      </c>
      <c r="R628">
        <f t="shared" ca="1" si="286"/>
        <v>3.8141460404132466E-3</v>
      </c>
      <c r="S628">
        <f t="shared" ca="1" si="287"/>
        <v>1.0000000000000004</v>
      </c>
      <c r="T628">
        <f t="shared" ca="1" si="288"/>
        <v>35.686426155594638</v>
      </c>
      <c r="U628">
        <f t="shared" ca="1" si="309"/>
        <v>-3.3141460404522149E-3</v>
      </c>
      <c r="V628">
        <f t="shared" ca="1" si="310"/>
        <v>1</v>
      </c>
      <c r="W628">
        <f t="shared" ca="1" si="289"/>
        <v>1.7069123976061391</v>
      </c>
      <c r="X628">
        <f t="shared" ca="1" si="290"/>
        <v>8.875944467551923</v>
      </c>
      <c r="Y628">
        <f t="shared" ca="1" si="291"/>
        <v>1.0304301142142265</v>
      </c>
      <c r="Z628">
        <f t="shared" ca="1" si="292"/>
        <v>5.7402342011331378</v>
      </c>
      <c r="AA628">
        <f t="shared" ca="1" si="293"/>
        <v>633.98641239760616</v>
      </c>
      <c r="AB628">
        <f t="shared" ca="1" si="294"/>
        <v>635.66583587792513</v>
      </c>
      <c r="AC628">
        <f t="shared" ca="1" si="295"/>
        <v>7.1233401894272618E-3</v>
      </c>
      <c r="AD628">
        <f t="shared" ca="1" si="296"/>
        <v>1.4027797626828908</v>
      </c>
      <c r="AE628">
        <f t="shared" ca="1" si="297"/>
        <v>37.38816892369227</v>
      </c>
      <c r="AF628">
        <f t="shared" ca="1" si="298"/>
        <v>6.6805947493548956E-3</v>
      </c>
      <c r="AG628">
        <f t="shared" ca="1" si="299"/>
        <v>0</v>
      </c>
      <c r="AH628">
        <f ca="1">IFERROR(IF(V32="Supercritical",MAX($D$16,IFERROR(L628,MAX($D$16,POWER((ABS(K628)^2)/($I$5*MAX(F628,0.1)^2),1/3)))),IF(V32="Subcritical",MAX($D$16,IFERROR(W628,MAX($D$16,POWER((ABS(K628)^2)/($I$5*MAX(F628,0.1)^2),1/3)))),IF(AND(IFERROR(V628,0)=1,IFERROR(AG628,0)=1),IF(IFERROR(T628,-1E+99)&gt;=IFERROR(AE628,-1E+99),MAX($D$16,IFERROR(L628,MAX($D$16,POWER((ABS(K628)^2)/($I$5*MAX(F628,0.1)^2),1/3)))),MAX($D$16,IFERROR(W628,MAX($D$16,POWER((ABS(K628)^2)/($I$5*MAX(F628,0.1)^2),1/3))))),IF(IFERROR(V628,0)=1,MAX($D$16,IFERROR(L628,MAX($D$16,POWER((ABS(K628)^2)/($I$5*MAX(F628,0.1)^2),1/3)))),IF(IFERROR(AG628,0)=1,MAX($D$16,IFERROR(W628,MAX($D$16,POWER((ABS(K628)^2)/($I$5*MAX(F628,0.1)^2),1/3)))),MAX($D$16,POWER((ABS(K628)^2)/($I$5*MAX(F628,0.1)^2),1/3))))))),MAX($D$16,POWER((ABS(K628)^2)/($I$5*MAX(F628,0.1)^2),1/3)))</f>
        <v>2.1389677043987478</v>
      </c>
      <c r="AI628">
        <f t="shared" ca="1" si="300"/>
        <v>634.41846770439872</v>
      </c>
      <c r="AJ628">
        <f t="shared" ca="1" si="301"/>
        <v>635.48795155659809</v>
      </c>
      <c r="AM628">
        <v>0</v>
      </c>
      <c r="AN628">
        <v>0</v>
      </c>
      <c r="AO628">
        <f t="shared" si="302"/>
        <v>0</v>
      </c>
      <c r="AP628">
        <f t="shared" si="311"/>
        <v>0</v>
      </c>
      <c r="AQ628">
        <f t="shared" ca="1" si="303"/>
        <v>1.0000000000000004</v>
      </c>
      <c r="AR628" t="str">
        <f t="shared" ca="1" si="304"/>
        <v>Supercritical</v>
      </c>
      <c r="AS628">
        <f t="shared" ca="1" si="305"/>
        <v>3.8141460404132466E-3</v>
      </c>
    </row>
    <row r="629" spans="1:45" x14ac:dyDescent="0.35">
      <c r="A629">
        <v>568</v>
      </c>
      <c r="B629">
        <v>566.995</v>
      </c>
      <c r="C629">
        <v>616173.84299999999</v>
      </c>
      <c r="D629">
        <v>3097420.0589999999</v>
      </c>
      <c r="E629">
        <v>632.279</v>
      </c>
      <c r="F629">
        <v>5.2</v>
      </c>
      <c r="G629">
        <v>0</v>
      </c>
      <c r="H629" t="s">
        <v>154</v>
      </c>
      <c r="I629">
        <v>2.3E-2</v>
      </c>
      <c r="J629">
        <f t="shared" si="306"/>
        <v>0.99900000000002365</v>
      </c>
      <c r="K629">
        <f t="shared" ca="1" si="307"/>
        <v>50.95</v>
      </c>
      <c r="L629">
        <f t="shared" ca="1" si="308"/>
        <v>2.1389677043987478</v>
      </c>
      <c r="M629">
        <f t="shared" ca="1" si="281"/>
        <v>11.122632062873489</v>
      </c>
      <c r="N629">
        <f t="shared" ca="1" si="282"/>
        <v>1.1735290000551568</v>
      </c>
      <c r="O629">
        <f t="shared" ca="1" si="283"/>
        <v>4.5807502857230418</v>
      </c>
      <c r="P629">
        <f t="shared" ca="1" si="284"/>
        <v>634.41796770439873</v>
      </c>
      <c r="Q629">
        <f t="shared" ca="1" si="285"/>
        <v>635.4874515565981</v>
      </c>
      <c r="R629">
        <f t="shared" ca="1" si="286"/>
        <v>3.8141460404132466E-3</v>
      </c>
      <c r="S629">
        <f t="shared" ca="1" si="287"/>
        <v>1.0000000000000004</v>
      </c>
      <c r="T629">
        <f t="shared" ca="1" si="288"/>
        <v>35.686426155594638</v>
      </c>
      <c r="U629">
        <f t="shared" ca="1" si="309"/>
        <v>-3.3513287753521581E-3</v>
      </c>
      <c r="V629">
        <f t="shared" ca="1" si="310"/>
        <v>1</v>
      </c>
      <c r="W629">
        <f t="shared" ca="1" si="289"/>
        <v>1.7069123937510811</v>
      </c>
      <c r="X629">
        <f t="shared" ca="1" si="290"/>
        <v>8.8759444475056224</v>
      </c>
      <c r="Y629">
        <f t="shared" ca="1" si="291"/>
        <v>1.0304301128093261</v>
      </c>
      <c r="Z629">
        <f t="shared" ca="1" si="292"/>
        <v>5.7402342140974438</v>
      </c>
      <c r="AA629">
        <f t="shared" ca="1" si="293"/>
        <v>633.98591239375105</v>
      </c>
      <c r="AB629">
        <f t="shared" ca="1" si="294"/>
        <v>635.66533588165601</v>
      </c>
      <c r="AC629">
        <f t="shared" ca="1" si="295"/>
        <v>7.1233402345527502E-3</v>
      </c>
      <c r="AD629">
        <f t="shared" ca="1" si="296"/>
        <v>1.402779767435153</v>
      </c>
      <c r="AE629">
        <f t="shared" ca="1" si="297"/>
        <v>37.388168956807441</v>
      </c>
      <c r="AF629">
        <f t="shared" ca="1" si="298"/>
        <v>6.6948414751095697E-3</v>
      </c>
      <c r="AG629">
        <f t="shared" ca="1" si="299"/>
        <v>0</v>
      </c>
      <c r="AH629">
        <f ca="1">IFERROR(IF(V32="Supercritical",MAX($D$16,IFERROR(L629,MAX($D$16,POWER((ABS(K629)^2)/($I$5*MAX(F629,0.1)^2),1/3)))),IF(V32="Subcritical",MAX($D$16,IFERROR(W629,MAX($D$16,POWER((ABS(K629)^2)/($I$5*MAX(F629,0.1)^2),1/3)))),IF(AND(IFERROR(V629,0)=1,IFERROR(AG629,0)=1),IF(IFERROR(T629,-1E+99)&gt;=IFERROR(AE629,-1E+99),MAX($D$16,IFERROR(L629,MAX($D$16,POWER((ABS(K629)^2)/($I$5*MAX(F629,0.1)^2),1/3)))),MAX($D$16,IFERROR(W629,MAX($D$16,POWER((ABS(K629)^2)/($I$5*MAX(F629,0.1)^2),1/3))))),IF(IFERROR(V629,0)=1,MAX($D$16,IFERROR(L629,MAX($D$16,POWER((ABS(K629)^2)/($I$5*MAX(F629,0.1)^2),1/3)))),IF(IFERROR(AG629,0)=1,MAX($D$16,IFERROR(W629,MAX($D$16,POWER((ABS(K629)^2)/($I$5*MAX(F629,0.1)^2),1/3)))),MAX($D$16,POWER((ABS(K629)^2)/($I$5*MAX(F629,0.1)^2),1/3))))))),MAX($D$16,POWER((ABS(K629)^2)/($I$5*MAX(F629,0.1)^2),1/3)))</f>
        <v>2.1389677043987478</v>
      </c>
      <c r="AI629">
        <f t="shared" ca="1" si="300"/>
        <v>634.41796770439873</v>
      </c>
      <c r="AJ629">
        <f t="shared" ca="1" si="301"/>
        <v>635.4874515565981</v>
      </c>
      <c r="AM629">
        <v>0</v>
      </c>
      <c r="AN629">
        <v>0</v>
      </c>
      <c r="AO629">
        <f t="shared" si="302"/>
        <v>0</v>
      </c>
      <c r="AP629">
        <f t="shared" si="311"/>
        <v>0</v>
      </c>
      <c r="AQ629">
        <f t="shared" ca="1" si="303"/>
        <v>1.0000000000000004</v>
      </c>
      <c r="AR629" t="str">
        <f t="shared" ca="1" si="304"/>
        <v>Supercritical</v>
      </c>
      <c r="AS629">
        <f t="shared" ca="1" si="305"/>
        <v>3.8141460404132466E-3</v>
      </c>
    </row>
    <row r="630" spans="1:45" x14ac:dyDescent="0.35">
      <c r="A630">
        <v>569</v>
      </c>
      <c r="B630">
        <v>567.99599999999998</v>
      </c>
      <c r="C630">
        <v>616173.36800000002</v>
      </c>
      <c r="D630">
        <v>3097419.1779999998</v>
      </c>
      <c r="E630">
        <v>632.27850000000001</v>
      </c>
      <c r="F630">
        <v>5.2</v>
      </c>
      <c r="G630">
        <v>0</v>
      </c>
      <c r="H630" t="s">
        <v>154</v>
      </c>
      <c r="I630">
        <v>2.3E-2</v>
      </c>
      <c r="J630">
        <f t="shared" si="306"/>
        <v>1.0009999999999764</v>
      </c>
      <c r="K630">
        <f t="shared" ca="1" si="307"/>
        <v>50.95</v>
      </c>
      <c r="L630">
        <f t="shared" ca="1" si="308"/>
        <v>2.1389677043987478</v>
      </c>
      <c r="M630">
        <f t="shared" ca="1" si="281"/>
        <v>11.122632062873489</v>
      </c>
      <c r="N630">
        <f t="shared" ca="1" si="282"/>
        <v>1.1735290000551568</v>
      </c>
      <c r="O630">
        <f t="shared" ca="1" si="283"/>
        <v>4.5807502857230418</v>
      </c>
      <c r="P630">
        <f t="shared" ca="1" si="284"/>
        <v>634.41746770439875</v>
      </c>
      <c r="Q630">
        <f t="shared" ca="1" si="285"/>
        <v>635.48695155659811</v>
      </c>
      <c r="R630">
        <f t="shared" ca="1" si="286"/>
        <v>3.8141460404132466E-3</v>
      </c>
      <c r="S630">
        <f t="shared" ca="1" si="287"/>
        <v>1.0000000000000004</v>
      </c>
      <c r="T630">
        <f t="shared" ca="1" si="288"/>
        <v>35.686426155594638</v>
      </c>
      <c r="U630">
        <f t="shared" ca="1" si="309"/>
        <v>-3.3589570674621427E-3</v>
      </c>
      <c r="V630">
        <f t="shared" ca="1" si="310"/>
        <v>1</v>
      </c>
      <c r="W630">
        <f t="shared" ca="1" si="289"/>
        <v>1.7069123901517671</v>
      </c>
      <c r="X630">
        <f t="shared" ca="1" si="290"/>
        <v>8.8759444287891895</v>
      </c>
      <c r="Y630">
        <f t="shared" ca="1" si="291"/>
        <v>1.0304301114976264</v>
      </c>
      <c r="Z630">
        <f t="shared" ca="1" si="292"/>
        <v>5.7402342262017001</v>
      </c>
      <c r="AA630">
        <f t="shared" ca="1" si="293"/>
        <v>633.98541239015174</v>
      </c>
      <c r="AB630">
        <f t="shared" ca="1" si="294"/>
        <v>635.66483588513938</v>
      </c>
      <c r="AC630">
        <f t="shared" ca="1" si="295"/>
        <v>7.1233402766846254E-3</v>
      </c>
      <c r="AD630">
        <f t="shared" ca="1" si="296"/>
        <v>1.4027797718721511</v>
      </c>
      <c r="AE630">
        <f t="shared" ca="1" si="297"/>
        <v>37.388168987725763</v>
      </c>
      <c r="AF630">
        <f t="shared" ca="1" si="298"/>
        <v>6.6989143340379087E-3</v>
      </c>
      <c r="AG630">
        <f t="shared" ca="1" si="299"/>
        <v>0</v>
      </c>
      <c r="AH630">
        <f ca="1">IFERROR(IF(V32="Supercritical",MAX($D$16,IFERROR(L630,MAX($D$16,POWER((ABS(K630)^2)/($I$5*MAX(F630,0.1)^2),1/3)))),IF(V32="Subcritical",MAX($D$16,IFERROR(W630,MAX($D$16,POWER((ABS(K630)^2)/($I$5*MAX(F630,0.1)^2),1/3)))),IF(AND(IFERROR(V630,0)=1,IFERROR(AG630,0)=1),IF(IFERROR(T630,-1E+99)&gt;=IFERROR(AE630,-1E+99),MAX($D$16,IFERROR(L630,MAX($D$16,POWER((ABS(K630)^2)/($I$5*MAX(F630,0.1)^2),1/3)))),MAX($D$16,IFERROR(W630,MAX($D$16,POWER((ABS(K630)^2)/($I$5*MAX(F630,0.1)^2),1/3))))),IF(IFERROR(V630,0)=1,MAX($D$16,IFERROR(L630,MAX($D$16,POWER((ABS(K630)^2)/($I$5*MAX(F630,0.1)^2),1/3)))),IF(IFERROR(AG630,0)=1,MAX($D$16,IFERROR(W630,MAX($D$16,POWER((ABS(K630)^2)/($I$5*MAX(F630,0.1)^2),1/3)))),MAX($D$16,POWER((ABS(K630)^2)/($I$5*MAX(F630,0.1)^2),1/3))))))),MAX($D$16,POWER((ABS(K630)^2)/($I$5*MAX(F630,0.1)^2),1/3)))</f>
        <v>2.1389677043987478</v>
      </c>
      <c r="AI630">
        <f t="shared" ca="1" si="300"/>
        <v>634.41746770439875</v>
      </c>
      <c r="AJ630">
        <f t="shared" ca="1" si="301"/>
        <v>635.48695155659811</v>
      </c>
      <c r="AM630">
        <v>0</v>
      </c>
      <c r="AN630">
        <v>0</v>
      </c>
      <c r="AO630">
        <f t="shared" si="302"/>
        <v>0</v>
      </c>
      <c r="AP630">
        <f t="shared" si="311"/>
        <v>0</v>
      </c>
      <c r="AQ630">
        <f t="shared" ca="1" si="303"/>
        <v>1.0000000000000004</v>
      </c>
      <c r="AR630" t="str">
        <f t="shared" ca="1" si="304"/>
        <v>Supercritical</v>
      </c>
      <c r="AS630">
        <f t="shared" ca="1" si="305"/>
        <v>3.8141460404132466E-3</v>
      </c>
    </row>
    <row r="631" spans="1:45" x14ac:dyDescent="0.35">
      <c r="A631">
        <v>570</v>
      </c>
      <c r="B631">
        <v>568.99599999999998</v>
      </c>
      <c r="C631">
        <v>616172.89399999997</v>
      </c>
      <c r="D631">
        <v>3097418.298</v>
      </c>
      <c r="E631">
        <v>632.27800000000002</v>
      </c>
      <c r="F631">
        <v>5.2</v>
      </c>
      <c r="G631">
        <v>0</v>
      </c>
      <c r="H631" t="s">
        <v>154</v>
      </c>
      <c r="I631">
        <v>2.7E-2</v>
      </c>
      <c r="J631">
        <f t="shared" si="306"/>
        <v>1</v>
      </c>
      <c r="K631">
        <f t="shared" ca="1" si="307"/>
        <v>50.95</v>
      </c>
      <c r="L631">
        <f t="shared" ca="1" si="308"/>
        <v>2.1389677043987478</v>
      </c>
      <c r="M631">
        <f t="shared" ca="1" si="281"/>
        <v>11.122632062873489</v>
      </c>
      <c r="N631">
        <f t="shared" ca="1" si="282"/>
        <v>1.1735290000551568</v>
      </c>
      <c r="O631">
        <f t="shared" ca="1" si="283"/>
        <v>4.5807502857230418</v>
      </c>
      <c r="P631">
        <f t="shared" ca="1" si="284"/>
        <v>634.41696770439876</v>
      </c>
      <c r="Q631">
        <f t="shared" ca="1" si="285"/>
        <v>635.48645155659813</v>
      </c>
      <c r="R631">
        <f t="shared" ca="1" si="286"/>
        <v>3.8141460404132466E-3</v>
      </c>
      <c r="S631">
        <f t="shared" ca="1" si="287"/>
        <v>1.0000000000000004</v>
      </c>
      <c r="T631">
        <f t="shared" ca="1" si="288"/>
        <v>35.686426155594638</v>
      </c>
      <c r="U631">
        <f t="shared" ca="1" si="309"/>
        <v>-3.3622728137743252E-3</v>
      </c>
      <c r="V631">
        <f t="shared" ca="1" si="310"/>
        <v>1</v>
      </c>
      <c r="W631">
        <f t="shared" ca="1" si="289"/>
        <v>1.7069123867912468</v>
      </c>
      <c r="X631">
        <f t="shared" ca="1" si="290"/>
        <v>8.8759444113144834</v>
      </c>
      <c r="Y631">
        <f t="shared" ca="1" si="291"/>
        <v>1.0304301102729507</v>
      </c>
      <c r="Z631">
        <f t="shared" ca="1" si="292"/>
        <v>5.740234237502909</v>
      </c>
      <c r="AA631">
        <f t="shared" ca="1" si="293"/>
        <v>633.98491238679128</v>
      </c>
      <c r="AB631">
        <f t="shared" ca="1" si="294"/>
        <v>635.66433588839175</v>
      </c>
      <c r="AC631">
        <f t="shared" ca="1" si="295"/>
        <v>7.1233403160212922E-3</v>
      </c>
      <c r="AD631">
        <f t="shared" ca="1" si="296"/>
        <v>1.4027797760147802</v>
      </c>
      <c r="AE631">
        <f t="shared" ca="1" si="297"/>
        <v>37.38816901659284</v>
      </c>
      <c r="AF631">
        <f t="shared" ca="1" si="298"/>
        <v>6.6989143736009282E-3</v>
      </c>
      <c r="AG631">
        <f t="shared" ca="1" si="299"/>
        <v>0</v>
      </c>
      <c r="AH631">
        <f ca="1">IFERROR(IF(V32="Supercritical",MAX($D$16,IFERROR(L631,MAX($D$16,POWER((ABS(K631)^2)/($I$5*MAX(F631,0.1)^2),1/3)))),IF(V32="Subcritical",MAX($D$16,IFERROR(W631,MAX($D$16,POWER((ABS(K631)^2)/($I$5*MAX(F631,0.1)^2),1/3)))),IF(AND(IFERROR(V631,0)=1,IFERROR(AG631,0)=1),IF(IFERROR(T631,-1E+99)&gt;=IFERROR(AE631,-1E+99),MAX($D$16,IFERROR(L631,MAX($D$16,POWER((ABS(K631)^2)/($I$5*MAX(F631,0.1)^2),1/3)))),MAX($D$16,IFERROR(W631,MAX($D$16,POWER((ABS(K631)^2)/($I$5*MAX(F631,0.1)^2),1/3))))),IF(IFERROR(V631,0)=1,MAX($D$16,IFERROR(L631,MAX($D$16,POWER((ABS(K631)^2)/($I$5*MAX(F631,0.1)^2),1/3)))),IF(IFERROR(AG631,0)=1,MAX($D$16,IFERROR(W631,MAX($D$16,POWER((ABS(K631)^2)/($I$5*MAX(F631,0.1)^2),1/3)))),MAX($D$16,POWER((ABS(K631)^2)/($I$5*MAX(F631,0.1)^2),1/3))))))),MAX($D$16,POWER((ABS(K631)^2)/($I$5*MAX(F631,0.1)^2),1/3)))</f>
        <v>2.1389677043987478</v>
      </c>
      <c r="AI631">
        <f t="shared" ca="1" si="300"/>
        <v>634.41696770439876</v>
      </c>
      <c r="AJ631">
        <f t="shared" ca="1" si="301"/>
        <v>635.48645155659813</v>
      </c>
      <c r="AM631">
        <v>0</v>
      </c>
      <c r="AN631">
        <v>0</v>
      </c>
      <c r="AO631">
        <f t="shared" si="302"/>
        <v>0</v>
      </c>
      <c r="AP631">
        <f t="shared" si="311"/>
        <v>0</v>
      </c>
      <c r="AQ631">
        <f t="shared" ca="1" si="303"/>
        <v>1.0000000000000004</v>
      </c>
      <c r="AR631" t="str">
        <f t="shared" ca="1" si="304"/>
        <v>Supercritical</v>
      </c>
      <c r="AS631">
        <f t="shared" ca="1" si="305"/>
        <v>3.8141460404132466E-3</v>
      </c>
    </row>
    <row r="632" spans="1:45" x14ac:dyDescent="0.35">
      <c r="A632">
        <v>571</v>
      </c>
      <c r="B632">
        <v>569.99599999999998</v>
      </c>
      <c r="C632">
        <v>616172.42000000004</v>
      </c>
      <c r="D632">
        <v>3097417.4169999999</v>
      </c>
      <c r="E632">
        <v>632.27750000000003</v>
      </c>
      <c r="F632">
        <v>5.2</v>
      </c>
      <c r="G632">
        <v>0</v>
      </c>
      <c r="H632" t="s">
        <v>154</v>
      </c>
      <c r="I632">
        <v>2.7E-2</v>
      </c>
      <c r="J632">
        <f t="shared" si="306"/>
        <v>1</v>
      </c>
      <c r="K632">
        <f t="shared" ca="1" si="307"/>
        <v>50.95</v>
      </c>
      <c r="L632">
        <f t="shared" ca="1" si="308"/>
        <v>2.1389677043987478</v>
      </c>
      <c r="M632">
        <f t="shared" ca="1" si="281"/>
        <v>11.122632062873489</v>
      </c>
      <c r="N632">
        <f t="shared" ca="1" si="282"/>
        <v>1.1735290000551568</v>
      </c>
      <c r="O632">
        <f t="shared" ca="1" si="283"/>
        <v>4.5807502857230418</v>
      </c>
      <c r="P632">
        <f t="shared" ca="1" si="284"/>
        <v>634.41646770439877</v>
      </c>
      <c r="Q632">
        <f t="shared" ca="1" si="285"/>
        <v>635.48595155659814</v>
      </c>
      <c r="R632">
        <f t="shared" ca="1" si="286"/>
        <v>3.8141460404132466E-3</v>
      </c>
      <c r="S632">
        <f t="shared" ca="1" si="287"/>
        <v>1.0000000000000004</v>
      </c>
      <c r="T632">
        <f t="shared" ca="1" si="288"/>
        <v>35.686426155594638</v>
      </c>
      <c r="U632">
        <f t="shared" ca="1" si="309"/>
        <v>-3.3622728137743252E-3</v>
      </c>
      <c r="V632">
        <f t="shared" ca="1" si="310"/>
        <v>1</v>
      </c>
      <c r="W632">
        <f t="shared" ca="1" si="289"/>
        <v>1.7069123836536777</v>
      </c>
      <c r="X632">
        <f t="shared" ca="1" si="290"/>
        <v>8.8759443949991237</v>
      </c>
      <c r="Y632">
        <f t="shared" ca="1" si="291"/>
        <v>1.0304301091295249</v>
      </c>
      <c r="Z632">
        <f t="shared" ca="1" si="292"/>
        <v>5.7402342480543487</v>
      </c>
      <c r="AA632">
        <f t="shared" ca="1" si="293"/>
        <v>633.98441238365376</v>
      </c>
      <c r="AB632">
        <f t="shared" ca="1" si="294"/>
        <v>635.66383589142833</v>
      </c>
      <c r="AC632">
        <f t="shared" ca="1" si="295"/>
        <v>7.1233403527481967E-3</v>
      </c>
      <c r="AD632">
        <f t="shared" ca="1" si="296"/>
        <v>1.4027797798825699</v>
      </c>
      <c r="AE632">
        <f t="shared" ca="1" si="297"/>
        <v>37.38816904354475</v>
      </c>
      <c r="AF632">
        <f t="shared" ca="1" si="298"/>
        <v>6.7632923118026156E-3</v>
      </c>
      <c r="AG632">
        <f t="shared" ca="1" si="299"/>
        <v>0</v>
      </c>
      <c r="AH632">
        <f ca="1">IFERROR(IF(V32="Supercritical",MAX($D$16,IFERROR(L632,MAX($D$16,POWER((ABS(K632)^2)/($I$5*MAX(F632,0.1)^2),1/3)))),IF(V32="Subcritical",MAX($D$16,IFERROR(W632,MAX($D$16,POWER((ABS(K632)^2)/($I$5*MAX(F632,0.1)^2),1/3)))),IF(AND(IFERROR(V632,0)=1,IFERROR(AG632,0)=1),IF(IFERROR(T632,-1E+99)&gt;=IFERROR(AE632,-1E+99),MAX($D$16,IFERROR(L632,MAX($D$16,POWER((ABS(K632)^2)/($I$5*MAX(F632,0.1)^2),1/3)))),MAX($D$16,IFERROR(W632,MAX($D$16,POWER((ABS(K632)^2)/($I$5*MAX(F632,0.1)^2),1/3))))),IF(IFERROR(V632,0)=1,MAX($D$16,IFERROR(L632,MAX($D$16,POWER((ABS(K632)^2)/($I$5*MAX(F632,0.1)^2),1/3)))),IF(IFERROR(AG632,0)=1,MAX($D$16,IFERROR(W632,MAX($D$16,POWER((ABS(K632)^2)/($I$5*MAX(F632,0.1)^2),1/3)))),MAX($D$16,POWER((ABS(K632)^2)/($I$5*MAX(F632,0.1)^2),1/3))))))),MAX($D$16,POWER((ABS(K632)^2)/($I$5*MAX(F632,0.1)^2),1/3)))</f>
        <v>2.1389677043987478</v>
      </c>
      <c r="AI632">
        <f t="shared" ca="1" si="300"/>
        <v>634.41646770439877</v>
      </c>
      <c r="AJ632">
        <f t="shared" ca="1" si="301"/>
        <v>635.48595155659814</v>
      </c>
      <c r="AM632">
        <v>0</v>
      </c>
      <c r="AN632">
        <v>0</v>
      </c>
      <c r="AO632">
        <f t="shared" si="302"/>
        <v>0</v>
      </c>
      <c r="AP632">
        <f t="shared" si="311"/>
        <v>0</v>
      </c>
      <c r="AQ632">
        <f t="shared" ca="1" si="303"/>
        <v>1.0000000000000004</v>
      </c>
      <c r="AR632" t="str">
        <f t="shared" ca="1" si="304"/>
        <v>Supercritical</v>
      </c>
      <c r="AS632">
        <f t="shared" ca="1" si="305"/>
        <v>3.8141460404132466E-3</v>
      </c>
    </row>
    <row r="633" spans="1:45" x14ac:dyDescent="0.35">
      <c r="A633">
        <v>572</v>
      </c>
      <c r="B633">
        <v>570.99599999999998</v>
      </c>
      <c r="C633">
        <v>616171.946</v>
      </c>
      <c r="D633">
        <v>3097416.537</v>
      </c>
      <c r="E633">
        <v>632.27700000000004</v>
      </c>
      <c r="F633">
        <v>5.2</v>
      </c>
      <c r="G633">
        <v>0</v>
      </c>
      <c r="H633" t="s">
        <v>154</v>
      </c>
      <c r="I633">
        <v>0.05</v>
      </c>
      <c r="J633">
        <f t="shared" si="306"/>
        <v>1</v>
      </c>
      <c r="K633">
        <f t="shared" ca="1" si="307"/>
        <v>50.95</v>
      </c>
      <c r="L633">
        <f t="shared" ca="1" si="308"/>
        <v>2.1389677043987478</v>
      </c>
      <c r="M633">
        <f t="shared" ca="1" si="281"/>
        <v>11.122632062873489</v>
      </c>
      <c r="N633">
        <f t="shared" ca="1" si="282"/>
        <v>1.1735290000551568</v>
      </c>
      <c r="O633">
        <f t="shared" ca="1" si="283"/>
        <v>4.5807502857230418</v>
      </c>
      <c r="P633">
        <f t="shared" ca="1" si="284"/>
        <v>634.41596770439878</v>
      </c>
      <c r="Q633">
        <f t="shared" ca="1" si="285"/>
        <v>635.48545155659815</v>
      </c>
      <c r="R633">
        <f t="shared" ca="1" si="286"/>
        <v>3.8141460404132466E-3</v>
      </c>
      <c r="S633">
        <f t="shared" ca="1" si="287"/>
        <v>1.0000000000000004</v>
      </c>
      <c r="T633">
        <f t="shared" ca="1" si="288"/>
        <v>35.686426155594638</v>
      </c>
      <c r="U633">
        <f t="shared" ca="1" si="309"/>
        <v>-3.4032696947861041E-3</v>
      </c>
      <c r="V633">
        <f t="shared" ca="1" si="310"/>
        <v>1</v>
      </c>
      <c r="W633">
        <f t="shared" ca="1" si="289"/>
        <v>1.7069123807242748</v>
      </c>
      <c r="X633">
        <f t="shared" ca="1" si="290"/>
        <v>8.8759443797662296</v>
      </c>
      <c r="Y633">
        <f t="shared" ca="1" si="291"/>
        <v>1.0304301080619616</v>
      </c>
      <c r="Z633">
        <f t="shared" ca="1" si="292"/>
        <v>5.7402342579057377</v>
      </c>
      <c r="AA633">
        <f t="shared" ca="1" si="293"/>
        <v>633.98391238072429</v>
      </c>
      <c r="AB633">
        <f t="shared" ca="1" si="294"/>
        <v>635.66333589426324</v>
      </c>
      <c r="AC633">
        <f t="shared" ca="1" si="295"/>
        <v>7.1233403870384028E-3</v>
      </c>
      <c r="AD633">
        <f t="shared" ca="1" si="296"/>
        <v>1.4027797834937454</v>
      </c>
      <c r="AE633">
        <f t="shared" ca="1" si="297"/>
        <v>37.388169068708493</v>
      </c>
      <c r="AF633">
        <f t="shared" ca="1" si="298"/>
        <v>6.8416654437442048E-3</v>
      </c>
      <c r="AG633">
        <f t="shared" ca="1" si="299"/>
        <v>0</v>
      </c>
      <c r="AH633">
        <f ca="1">IFERROR(IF(V32="Supercritical",MAX($D$16,IFERROR(L633,MAX($D$16,POWER((ABS(K633)^2)/($I$5*MAX(F633,0.1)^2),1/3)))),IF(V32="Subcritical",MAX($D$16,IFERROR(W633,MAX($D$16,POWER((ABS(K633)^2)/($I$5*MAX(F633,0.1)^2),1/3)))),IF(AND(IFERROR(V633,0)=1,IFERROR(AG633,0)=1),IF(IFERROR(T633,-1E+99)&gt;=IFERROR(AE633,-1E+99),MAX($D$16,IFERROR(L633,MAX($D$16,POWER((ABS(K633)^2)/($I$5*MAX(F633,0.1)^2),1/3)))),MAX($D$16,IFERROR(W633,MAX($D$16,POWER((ABS(K633)^2)/($I$5*MAX(F633,0.1)^2),1/3))))),IF(IFERROR(V633,0)=1,MAX($D$16,IFERROR(L633,MAX($D$16,POWER((ABS(K633)^2)/($I$5*MAX(F633,0.1)^2),1/3)))),IF(IFERROR(AG633,0)=1,MAX($D$16,IFERROR(W633,MAX($D$16,POWER((ABS(K633)^2)/($I$5*MAX(F633,0.1)^2),1/3)))),MAX($D$16,POWER((ABS(K633)^2)/($I$5*MAX(F633,0.1)^2),1/3))))))),MAX($D$16,POWER((ABS(K633)^2)/($I$5*MAX(F633,0.1)^2),1/3)))</f>
        <v>2.1389677043987478</v>
      </c>
      <c r="AI633">
        <f t="shared" ca="1" si="300"/>
        <v>634.41596770439878</v>
      </c>
      <c r="AJ633">
        <f t="shared" ca="1" si="301"/>
        <v>635.48545155659815</v>
      </c>
      <c r="AM633">
        <v>0</v>
      </c>
      <c r="AN633">
        <v>0</v>
      </c>
      <c r="AO633">
        <f t="shared" si="302"/>
        <v>0</v>
      </c>
      <c r="AP633">
        <f t="shared" si="311"/>
        <v>0</v>
      </c>
      <c r="AQ633">
        <f t="shared" ca="1" si="303"/>
        <v>1.0000000000000004</v>
      </c>
      <c r="AR633" t="str">
        <f t="shared" ca="1" si="304"/>
        <v>Supercritical</v>
      </c>
      <c r="AS633">
        <f t="shared" ca="1" si="305"/>
        <v>3.8141460404132466E-3</v>
      </c>
    </row>
    <row r="634" spans="1:45" x14ac:dyDescent="0.35">
      <c r="A634">
        <v>573</v>
      </c>
      <c r="B634">
        <v>571.99599999999998</v>
      </c>
      <c r="C634">
        <v>616171.47100000002</v>
      </c>
      <c r="D634">
        <v>3097415.6570000001</v>
      </c>
      <c r="E634">
        <v>632.27650000000006</v>
      </c>
      <c r="F634">
        <v>5.2</v>
      </c>
      <c r="G634">
        <v>0</v>
      </c>
      <c r="H634" t="s">
        <v>154</v>
      </c>
      <c r="I634">
        <v>7.8E-2</v>
      </c>
      <c r="J634">
        <f t="shared" si="306"/>
        <v>1</v>
      </c>
      <c r="K634">
        <f t="shared" ca="1" si="307"/>
        <v>50.95</v>
      </c>
      <c r="L634">
        <f t="shared" ca="1" si="308"/>
        <v>2.1389677043987478</v>
      </c>
      <c r="M634">
        <f t="shared" ca="1" si="281"/>
        <v>11.122632062873489</v>
      </c>
      <c r="N634">
        <f t="shared" ca="1" si="282"/>
        <v>1.1735290000551568</v>
      </c>
      <c r="O634">
        <f t="shared" ca="1" si="283"/>
        <v>4.5807502857230418</v>
      </c>
      <c r="P634">
        <f t="shared" ca="1" si="284"/>
        <v>634.41546770439879</v>
      </c>
      <c r="Q634">
        <f t="shared" ca="1" si="285"/>
        <v>635.48495155659816</v>
      </c>
      <c r="R634">
        <f t="shared" ca="1" si="286"/>
        <v>3.8141460404132466E-3</v>
      </c>
      <c r="S634">
        <f t="shared" ca="1" si="287"/>
        <v>1.0000000000000004</v>
      </c>
      <c r="T634">
        <f t="shared" ca="1" si="288"/>
        <v>35.686426155594638</v>
      </c>
      <c r="U634">
        <f t="shared" ca="1" si="309"/>
        <v>-3.4531789411857972E-3</v>
      </c>
      <c r="V634">
        <f t="shared" ca="1" si="310"/>
        <v>1</v>
      </c>
      <c r="W634">
        <f t="shared" ca="1" si="289"/>
        <v>1.7069123779892252</v>
      </c>
      <c r="X634">
        <f t="shared" ca="1" si="290"/>
        <v>8.8759443655439707</v>
      </c>
      <c r="Y634">
        <f t="shared" ca="1" si="291"/>
        <v>1.0304301070652262</v>
      </c>
      <c r="Z634">
        <f t="shared" ca="1" si="292"/>
        <v>5.7402342671035305</v>
      </c>
      <c r="AA634">
        <f t="shared" ca="1" si="293"/>
        <v>633.98341237798923</v>
      </c>
      <c r="AB634">
        <f t="shared" ca="1" si="294"/>
        <v>635.66283589691022</v>
      </c>
      <c r="AC634">
        <f t="shared" ca="1" si="295"/>
        <v>7.1233404190536049E-3</v>
      </c>
      <c r="AD634">
        <f t="shared" ca="1" si="296"/>
        <v>1.4027797868653358</v>
      </c>
      <c r="AE634">
        <f t="shared" ca="1" si="297"/>
        <v>37.388169092202737</v>
      </c>
      <c r="AF634">
        <f t="shared" ca="1" si="298"/>
        <v>6.6989144772833242E-3</v>
      </c>
      <c r="AG634">
        <f t="shared" ca="1" si="299"/>
        <v>0</v>
      </c>
      <c r="AH634">
        <f ca="1">IFERROR(IF(V32="Supercritical",MAX($D$16,IFERROR(L634,MAX($D$16,POWER((ABS(K634)^2)/($I$5*MAX(F634,0.1)^2),1/3)))),IF(V32="Subcritical",MAX($D$16,IFERROR(W634,MAX($D$16,POWER((ABS(K634)^2)/($I$5*MAX(F634,0.1)^2),1/3)))),IF(AND(IFERROR(V634,0)=1,IFERROR(AG634,0)=1),IF(IFERROR(T634,-1E+99)&gt;=IFERROR(AE634,-1E+99),MAX($D$16,IFERROR(L634,MAX($D$16,POWER((ABS(K634)^2)/($I$5*MAX(F634,0.1)^2),1/3)))),MAX($D$16,IFERROR(W634,MAX($D$16,POWER((ABS(K634)^2)/($I$5*MAX(F634,0.1)^2),1/3))))),IF(IFERROR(V634,0)=1,MAX($D$16,IFERROR(L634,MAX($D$16,POWER((ABS(K634)^2)/($I$5*MAX(F634,0.1)^2),1/3)))),IF(IFERROR(AG634,0)=1,MAX($D$16,IFERROR(W634,MAX($D$16,POWER((ABS(K634)^2)/($I$5*MAX(F634,0.1)^2),1/3)))),MAX($D$16,POWER((ABS(K634)^2)/($I$5*MAX(F634,0.1)^2),1/3))))))),MAX($D$16,POWER((ABS(K634)^2)/($I$5*MAX(F634,0.1)^2),1/3)))</f>
        <v>2.1389677043987478</v>
      </c>
      <c r="AI634">
        <f t="shared" ca="1" si="300"/>
        <v>634.41546770439879</v>
      </c>
      <c r="AJ634">
        <f t="shared" ca="1" si="301"/>
        <v>635.48495155659816</v>
      </c>
      <c r="AM634">
        <v>0</v>
      </c>
      <c r="AN634">
        <v>0</v>
      </c>
      <c r="AO634">
        <f t="shared" si="302"/>
        <v>0</v>
      </c>
      <c r="AP634">
        <f t="shared" si="311"/>
        <v>0</v>
      </c>
      <c r="AQ634">
        <f t="shared" ca="1" si="303"/>
        <v>1.0000000000000004</v>
      </c>
      <c r="AR634" t="str">
        <f t="shared" ca="1" si="304"/>
        <v>Supercritical</v>
      </c>
      <c r="AS634">
        <f t="shared" ca="1" si="305"/>
        <v>3.8141460404132466E-3</v>
      </c>
    </row>
    <row r="635" spans="1:45" x14ac:dyDescent="0.35">
      <c r="A635">
        <v>574</v>
      </c>
      <c r="B635">
        <v>572.99599999999998</v>
      </c>
      <c r="C635">
        <v>616170.99699999997</v>
      </c>
      <c r="D635">
        <v>3097414.7760000001</v>
      </c>
      <c r="E635">
        <v>632.27599999999995</v>
      </c>
      <c r="F635">
        <v>5.2</v>
      </c>
      <c r="G635">
        <v>0</v>
      </c>
      <c r="H635" t="s">
        <v>154</v>
      </c>
      <c r="I635">
        <v>2.7E-2</v>
      </c>
      <c r="J635">
        <f t="shared" si="306"/>
        <v>1</v>
      </c>
      <c r="K635">
        <f t="shared" ca="1" si="307"/>
        <v>50.95</v>
      </c>
      <c r="L635">
        <f t="shared" ca="1" si="308"/>
        <v>2.1389677043987478</v>
      </c>
      <c r="M635">
        <f t="shared" ca="1" si="281"/>
        <v>11.122632062873489</v>
      </c>
      <c r="N635">
        <f t="shared" ca="1" si="282"/>
        <v>1.1735290000551568</v>
      </c>
      <c r="O635">
        <f t="shared" ca="1" si="283"/>
        <v>4.5807502857230418</v>
      </c>
      <c r="P635">
        <f t="shared" ca="1" si="284"/>
        <v>634.41496770439869</v>
      </c>
      <c r="Q635">
        <f t="shared" ca="1" si="285"/>
        <v>635.48445155659806</v>
      </c>
      <c r="R635">
        <f t="shared" ca="1" si="286"/>
        <v>3.8141460404132466E-3</v>
      </c>
      <c r="S635">
        <f t="shared" ca="1" si="287"/>
        <v>1.0000000000000004</v>
      </c>
      <c r="T635">
        <f t="shared" ca="1" si="288"/>
        <v>35.686426155594638</v>
      </c>
      <c r="U635">
        <f t="shared" ca="1" si="309"/>
        <v>-3.3622728136606383E-3</v>
      </c>
      <c r="V635">
        <f t="shared" ca="1" si="310"/>
        <v>1</v>
      </c>
      <c r="W635">
        <f t="shared" ca="1" si="289"/>
        <v>1.7069123754356028</v>
      </c>
      <c r="X635">
        <f t="shared" ca="1" si="290"/>
        <v>8.8759443522651349</v>
      </c>
      <c r="Y635">
        <f t="shared" ca="1" si="291"/>
        <v>1.0304301061346086</v>
      </c>
      <c r="Z635">
        <f t="shared" ca="1" si="292"/>
        <v>5.7402342756911944</v>
      </c>
      <c r="AA635">
        <f t="shared" ca="1" si="293"/>
        <v>633.9829123754356</v>
      </c>
      <c r="AB635">
        <f t="shared" ca="1" si="294"/>
        <v>635.66233589938156</v>
      </c>
      <c r="AC635">
        <f t="shared" ca="1" si="295"/>
        <v>7.1233404489451091E-3</v>
      </c>
      <c r="AD635">
        <f t="shared" ca="1" si="296"/>
        <v>1.4027797900132737</v>
      </c>
      <c r="AE635">
        <f t="shared" ca="1" si="297"/>
        <v>37.388169114138506</v>
      </c>
      <c r="AF635">
        <f t="shared" ca="1" si="298"/>
        <v>6.6989145075240231E-3</v>
      </c>
      <c r="AG635">
        <f t="shared" ca="1" si="299"/>
        <v>0</v>
      </c>
      <c r="AH635">
        <f ca="1">IFERROR(IF(V32="Supercritical",MAX($D$16,IFERROR(L635,MAX($D$16,POWER((ABS(K635)^2)/($I$5*MAX(F635,0.1)^2),1/3)))),IF(V32="Subcritical",MAX($D$16,IFERROR(W635,MAX($D$16,POWER((ABS(K635)^2)/($I$5*MAX(F635,0.1)^2),1/3)))),IF(AND(IFERROR(V635,0)=1,IFERROR(AG635,0)=1),IF(IFERROR(T635,-1E+99)&gt;=IFERROR(AE635,-1E+99),MAX($D$16,IFERROR(L635,MAX($D$16,POWER((ABS(K635)^2)/($I$5*MAX(F635,0.1)^2),1/3)))),MAX($D$16,IFERROR(W635,MAX($D$16,POWER((ABS(K635)^2)/($I$5*MAX(F635,0.1)^2),1/3))))),IF(IFERROR(V635,0)=1,MAX($D$16,IFERROR(L635,MAX($D$16,POWER((ABS(K635)^2)/($I$5*MAX(F635,0.1)^2),1/3)))),IF(IFERROR(AG635,0)=1,MAX($D$16,IFERROR(W635,MAX($D$16,POWER((ABS(K635)^2)/($I$5*MAX(F635,0.1)^2),1/3)))),MAX($D$16,POWER((ABS(K635)^2)/($I$5*MAX(F635,0.1)^2),1/3))))))),MAX($D$16,POWER((ABS(K635)^2)/($I$5*MAX(F635,0.1)^2),1/3)))</f>
        <v>2.1389677043987478</v>
      </c>
      <c r="AI635">
        <f t="shared" ca="1" si="300"/>
        <v>634.41496770439869</v>
      </c>
      <c r="AJ635">
        <f t="shared" ca="1" si="301"/>
        <v>635.48445155659806</v>
      </c>
      <c r="AM635">
        <v>0</v>
      </c>
      <c r="AN635">
        <v>0</v>
      </c>
      <c r="AO635">
        <f t="shared" si="302"/>
        <v>0</v>
      </c>
      <c r="AP635">
        <f t="shared" si="311"/>
        <v>0</v>
      </c>
      <c r="AQ635">
        <f t="shared" ca="1" si="303"/>
        <v>1.0000000000000004</v>
      </c>
      <c r="AR635" t="str">
        <f t="shared" ca="1" si="304"/>
        <v>Supercritical</v>
      </c>
      <c r="AS635">
        <f t="shared" ca="1" si="305"/>
        <v>3.8141460404132466E-3</v>
      </c>
    </row>
    <row r="636" spans="1:45" x14ac:dyDescent="0.35">
      <c r="A636">
        <v>575</v>
      </c>
      <c r="B636">
        <v>573.99599999999998</v>
      </c>
      <c r="C636">
        <v>616170.52300000004</v>
      </c>
      <c r="D636">
        <v>3097413.8960000002</v>
      </c>
      <c r="E636">
        <v>632.27549999999997</v>
      </c>
      <c r="F636">
        <v>5.2</v>
      </c>
      <c r="G636">
        <v>0</v>
      </c>
      <c r="H636" t="s">
        <v>154</v>
      </c>
      <c r="I636">
        <v>2.7E-2</v>
      </c>
      <c r="J636">
        <f t="shared" si="306"/>
        <v>1</v>
      </c>
      <c r="K636">
        <f t="shared" ca="1" si="307"/>
        <v>50.95</v>
      </c>
      <c r="L636">
        <f t="shared" ca="1" si="308"/>
        <v>2.1389677043987478</v>
      </c>
      <c r="M636">
        <f t="shared" ca="1" si="281"/>
        <v>11.122632062873489</v>
      </c>
      <c r="N636">
        <f t="shared" ca="1" si="282"/>
        <v>1.1735290000551568</v>
      </c>
      <c r="O636">
        <f t="shared" ca="1" si="283"/>
        <v>4.5807502857230418</v>
      </c>
      <c r="P636">
        <f t="shared" ca="1" si="284"/>
        <v>634.4144677043987</v>
      </c>
      <c r="Q636">
        <f t="shared" ca="1" si="285"/>
        <v>635.48395155659807</v>
      </c>
      <c r="R636">
        <f t="shared" ca="1" si="286"/>
        <v>3.8141460404132466E-3</v>
      </c>
      <c r="S636">
        <f t="shared" ca="1" si="287"/>
        <v>1.0000000000000004</v>
      </c>
      <c r="T636">
        <f t="shared" ca="1" si="288"/>
        <v>35.686426155594638</v>
      </c>
      <c r="U636">
        <f t="shared" ca="1" si="309"/>
        <v>-3.3622728137743252E-3</v>
      </c>
      <c r="V636">
        <f t="shared" ca="1" si="310"/>
        <v>1</v>
      </c>
      <c r="W636">
        <f t="shared" ca="1" si="289"/>
        <v>1.7069123730514193</v>
      </c>
      <c r="X636">
        <f t="shared" ca="1" si="290"/>
        <v>8.875944339867381</v>
      </c>
      <c r="Y636">
        <f t="shared" ca="1" si="291"/>
        <v>1.0304301052657396</v>
      </c>
      <c r="Z636">
        <f t="shared" ca="1" si="292"/>
        <v>5.7402342837090465</v>
      </c>
      <c r="AA636">
        <f t="shared" ca="1" si="293"/>
        <v>633.98241237305137</v>
      </c>
      <c r="AB636">
        <f t="shared" ca="1" si="294"/>
        <v>635.66183590168896</v>
      </c>
      <c r="AC636">
        <f t="shared" ca="1" si="295"/>
        <v>7.1233404768532337E-3</v>
      </c>
      <c r="AD636">
        <f t="shared" ca="1" si="296"/>
        <v>1.4027797929523387</v>
      </c>
      <c r="AE636">
        <f t="shared" ca="1" si="297"/>
        <v>37.388169134618785</v>
      </c>
      <c r="AF636">
        <f t="shared" ca="1" si="298"/>
        <v>6.698914535604672E-3</v>
      </c>
      <c r="AG636">
        <f t="shared" ca="1" si="299"/>
        <v>0</v>
      </c>
      <c r="AH636">
        <f ca="1">IFERROR(IF(V32="Supercritical",MAX($D$16,IFERROR(L636,MAX($D$16,POWER((ABS(K636)^2)/($I$5*MAX(F636,0.1)^2),1/3)))),IF(V32="Subcritical",MAX($D$16,IFERROR(W636,MAX($D$16,POWER((ABS(K636)^2)/($I$5*MAX(F636,0.1)^2),1/3)))),IF(AND(IFERROR(V636,0)=1,IFERROR(AG636,0)=1),IF(IFERROR(T636,-1E+99)&gt;=IFERROR(AE636,-1E+99),MAX($D$16,IFERROR(L636,MAX($D$16,POWER((ABS(K636)^2)/($I$5*MAX(F636,0.1)^2),1/3)))),MAX($D$16,IFERROR(W636,MAX($D$16,POWER((ABS(K636)^2)/($I$5*MAX(F636,0.1)^2),1/3))))),IF(IFERROR(V636,0)=1,MAX($D$16,IFERROR(L636,MAX($D$16,POWER((ABS(K636)^2)/($I$5*MAX(F636,0.1)^2),1/3)))),IF(IFERROR(AG636,0)=1,MAX($D$16,IFERROR(W636,MAX($D$16,POWER((ABS(K636)^2)/($I$5*MAX(F636,0.1)^2),1/3)))),MAX($D$16,POWER((ABS(K636)^2)/($I$5*MAX(F636,0.1)^2),1/3))))))),MAX($D$16,POWER((ABS(K636)^2)/($I$5*MAX(F636,0.1)^2),1/3)))</f>
        <v>2.1389677043987478</v>
      </c>
      <c r="AI636">
        <f t="shared" ca="1" si="300"/>
        <v>634.4144677043987</v>
      </c>
      <c r="AJ636">
        <f t="shared" ca="1" si="301"/>
        <v>635.48395155659807</v>
      </c>
      <c r="AM636">
        <v>0</v>
      </c>
      <c r="AN636">
        <v>0</v>
      </c>
      <c r="AO636">
        <f t="shared" si="302"/>
        <v>0</v>
      </c>
      <c r="AP636">
        <f t="shared" si="311"/>
        <v>0</v>
      </c>
      <c r="AQ636">
        <f t="shared" ca="1" si="303"/>
        <v>1.0000000000000004</v>
      </c>
      <c r="AR636" t="str">
        <f t="shared" ca="1" si="304"/>
        <v>Supercritical</v>
      </c>
      <c r="AS636">
        <f t="shared" ca="1" si="305"/>
        <v>3.8141460404132466E-3</v>
      </c>
    </row>
    <row r="637" spans="1:45" x14ac:dyDescent="0.35">
      <c r="A637">
        <v>576</v>
      </c>
      <c r="B637">
        <v>574.99599999999998</v>
      </c>
      <c r="C637">
        <v>616170.049</v>
      </c>
      <c r="D637">
        <v>3097413.0150000001</v>
      </c>
      <c r="E637">
        <v>632.27499999999998</v>
      </c>
      <c r="F637">
        <v>5.2</v>
      </c>
      <c r="G637">
        <v>0</v>
      </c>
      <c r="H637" t="s">
        <v>154</v>
      </c>
      <c r="I637">
        <v>2.7E-2</v>
      </c>
      <c r="J637">
        <f t="shared" si="306"/>
        <v>1</v>
      </c>
      <c r="K637">
        <f t="shared" ca="1" si="307"/>
        <v>50.95</v>
      </c>
      <c r="L637">
        <f t="shared" ca="1" si="308"/>
        <v>2.1389677043987478</v>
      </c>
      <c r="M637">
        <f t="shared" ca="1" si="281"/>
        <v>11.122632062873489</v>
      </c>
      <c r="N637">
        <f t="shared" ca="1" si="282"/>
        <v>1.1735290000551568</v>
      </c>
      <c r="O637">
        <f t="shared" ca="1" si="283"/>
        <v>4.5807502857230418</v>
      </c>
      <c r="P637">
        <f t="shared" ca="1" si="284"/>
        <v>634.41396770439871</v>
      </c>
      <c r="Q637">
        <f t="shared" ca="1" si="285"/>
        <v>635.48345155659808</v>
      </c>
      <c r="R637">
        <f t="shared" ca="1" si="286"/>
        <v>3.8141460404132466E-3</v>
      </c>
      <c r="S637">
        <f t="shared" ca="1" si="287"/>
        <v>1.0000000000000004</v>
      </c>
      <c r="T637">
        <f t="shared" ca="1" si="288"/>
        <v>35.686426155594638</v>
      </c>
      <c r="U637">
        <f t="shared" ca="1" si="309"/>
        <v>-3.3622728137743252E-3</v>
      </c>
      <c r="V637">
        <f t="shared" ca="1" si="310"/>
        <v>1</v>
      </c>
      <c r="W637">
        <f t="shared" ca="1" si="289"/>
        <v>1.7069123708254197</v>
      </c>
      <c r="X637">
        <f t="shared" ca="1" si="290"/>
        <v>8.8759443282921833</v>
      </c>
      <c r="Y637">
        <f t="shared" ca="1" si="291"/>
        <v>1.0304301044545177</v>
      </c>
      <c r="Z637">
        <f t="shared" ca="1" si="292"/>
        <v>5.7402342911949376</v>
      </c>
      <c r="AA637">
        <f t="shared" ca="1" si="293"/>
        <v>633.9819123708254</v>
      </c>
      <c r="AB637">
        <f t="shared" ca="1" si="294"/>
        <v>635.66133590384322</v>
      </c>
      <c r="AC637">
        <f t="shared" ca="1" si="295"/>
        <v>7.1233405029097379E-3</v>
      </c>
      <c r="AD637">
        <f t="shared" ca="1" si="296"/>
        <v>1.4027797956964052</v>
      </c>
      <c r="AE637">
        <f t="shared" ca="1" si="297"/>
        <v>37.38816915374025</v>
      </c>
      <c r="AF637">
        <f t="shared" ca="1" si="298"/>
        <v>6.7632924639156045E-3</v>
      </c>
      <c r="AG637">
        <f t="shared" ca="1" si="299"/>
        <v>0</v>
      </c>
      <c r="AH637">
        <f ca="1">IFERROR(IF(V32="Supercritical",MAX($D$16,IFERROR(L637,MAX($D$16,POWER((ABS(K637)^2)/($I$5*MAX(F637,0.1)^2),1/3)))),IF(V32="Subcritical",MAX($D$16,IFERROR(W637,MAX($D$16,POWER((ABS(K637)^2)/($I$5*MAX(F637,0.1)^2),1/3)))),IF(AND(IFERROR(V637,0)=1,IFERROR(AG637,0)=1),IF(IFERROR(T637,-1E+99)&gt;=IFERROR(AE637,-1E+99),MAX($D$16,IFERROR(L637,MAX($D$16,POWER((ABS(K637)^2)/($I$5*MAX(F637,0.1)^2),1/3)))),MAX($D$16,IFERROR(W637,MAX($D$16,POWER((ABS(K637)^2)/($I$5*MAX(F637,0.1)^2),1/3))))),IF(IFERROR(V637,0)=1,MAX($D$16,IFERROR(L637,MAX($D$16,POWER((ABS(K637)^2)/($I$5*MAX(F637,0.1)^2),1/3)))),IF(IFERROR(AG637,0)=1,MAX($D$16,IFERROR(W637,MAX($D$16,POWER((ABS(K637)^2)/($I$5*MAX(F637,0.1)^2),1/3)))),MAX($D$16,POWER((ABS(K637)^2)/($I$5*MAX(F637,0.1)^2),1/3))))))),MAX($D$16,POWER((ABS(K637)^2)/($I$5*MAX(F637,0.1)^2),1/3)))</f>
        <v>2.1389677043987478</v>
      </c>
      <c r="AI637">
        <f t="shared" ca="1" si="300"/>
        <v>634.41396770439871</v>
      </c>
      <c r="AJ637">
        <f t="shared" ca="1" si="301"/>
        <v>635.48345155659808</v>
      </c>
      <c r="AM637">
        <v>0</v>
      </c>
      <c r="AN637">
        <v>0</v>
      </c>
      <c r="AO637">
        <f t="shared" si="302"/>
        <v>0</v>
      </c>
      <c r="AP637">
        <f t="shared" si="311"/>
        <v>0</v>
      </c>
      <c r="AQ637">
        <f t="shared" ca="1" si="303"/>
        <v>1.0000000000000004</v>
      </c>
      <c r="AR637" t="str">
        <f t="shared" ca="1" si="304"/>
        <v>Supercritical</v>
      </c>
      <c r="AS637">
        <f t="shared" ca="1" si="305"/>
        <v>3.8141460404132466E-3</v>
      </c>
    </row>
    <row r="638" spans="1:45" x14ac:dyDescent="0.35">
      <c r="A638">
        <v>577</v>
      </c>
      <c r="B638">
        <v>575.99599999999998</v>
      </c>
      <c r="C638">
        <v>616169.57499999995</v>
      </c>
      <c r="D638">
        <v>3097412.1349999998</v>
      </c>
      <c r="E638">
        <v>632.27449999999999</v>
      </c>
      <c r="F638">
        <v>5.2</v>
      </c>
      <c r="G638">
        <v>0</v>
      </c>
      <c r="H638" t="s">
        <v>154</v>
      </c>
      <c r="I638">
        <v>0.05</v>
      </c>
      <c r="J638">
        <f t="shared" si="306"/>
        <v>1</v>
      </c>
      <c r="K638">
        <f t="shared" ca="1" si="307"/>
        <v>50.95</v>
      </c>
      <c r="L638">
        <f t="shared" ca="1" si="308"/>
        <v>2.1389677043987478</v>
      </c>
      <c r="M638">
        <f t="shared" ref="M638:M701" ca="1" si="312">((F638)+(G638)*(L638))*(L638)</f>
        <v>11.122632062873489</v>
      </c>
      <c r="N638">
        <f t="shared" ref="N638:N701" ca="1" si="313">(((F638)+(G638)*(L638))*(L638))/MAX((F638)+2*(L638)*SQRT(1+(G638)^2),0.000001)</f>
        <v>1.1735290000551568</v>
      </c>
      <c r="O638">
        <f t="shared" ref="O638:O701" ca="1" si="314">ABS(K638)/MAX(((F638)+(G638)*(L638))*(L638),0.000001)</f>
        <v>4.5807502857230418</v>
      </c>
      <c r="P638">
        <f t="shared" ref="P638:P701" ca="1" si="315">E638+L638</f>
        <v>634.41346770439873</v>
      </c>
      <c r="Q638">
        <f t="shared" ref="Q638:Q701" ca="1" si="316">P638+((ABS(K638)/MAX(((F638)+(G638)*(L638))*(L638),0.000001))^2)/(2*$I$5)</f>
        <v>635.4829515565981</v>
      </c>
      <c r="R638">
        <f t="shared" ref="R638:R701" ca="1" si="317">((ABS(K638)*$D$6)/(MAX(((F638)+(G638)*(L638))*(L638),0.000001)*MAX(((((F638)+(G638)*(L638))*(L638))/MAX((F638)+2*(L638)*SQRT(1+(G638)^2),0.000001))^(2/3),0.000001)))^2</f>
        <v>3.8141460404132466E-3</v>
      </c>
      <c r="S638">
        <f t="shared" ref="S638:S701" ca="1" si="318">ABS(ABS(K638)/MAX(((F638)+(G638)*(L638))*(L638),0.000001))/SQRT($I$5*MAX((((F638)+(G638)*(L638))*(L638))/MAX((F638)+2*(G638)*(L638),0.000001),0.000001))</f>
        <v>1.0000000000000004</v>
      </c>
      <c r="T638">
        <f t="shared" ref="T638:T701" ca="1" si="319">((F638)*(L638)^2)/2+(G638)*(L638)^3/3+(ABS(K638)^2)/($I$5*MAX(((F638)+(G638)*(L638))*(L638),0.000001))</f>
        <v>35.686426155594638</v>
      </c>
      <c r="U638">
        <f t="shared" ca="1" si="309"/>
        <v>-3.4032696947861041E-3</v>
      </c>
      <c r="V638">
        <f t="shared" ca="1" si="310"/>
        <v>1</v>
      </c>
      <c r="W638">
        <f t="shared" ref="W638:W701" ca="1" si="320">IF($D$20=0,IFERROR(W639,MAX($D$16,POWER((ABS(K638)^2)/($I$5*MAX(F638,0.1)^2),1/3))),IF(IFERROR(AG639,0)=0,IFERROR(W639,MAX($D$16,POWER((ABS(K638)^2)/($I$5*MAX(F638,0.1)^2),1/3))),IF(OR(IFERROR(W638,0)=0,IFERROR(AD639,0)&gt;1),MAX($D$16,POWER((ABS(K638)^2)/($I$5*MAX(F638,0.1)^2),1/3)),IF(IFERROR(AF638,0)&gt;0,MAX($D$16,IFERROR(W638,0)+((IFERROR(AF638,0))*$D$18*IF((IFERROR(AD638,0))&lt;1,1,-1))),IF(IFERROR(AF638,0)&lt;0,IF(ABS((MAX($D$16,POWER((ABS(K638)^2)/($I$5*MAX(F638,0.1)^2),1/3)))-IFERROR(W638,0))&gt;$D$19,MAX($D$16,IF((MAX($D$16,POWER((ABS(K638)^2)/($I$5*MAX(F638,0.1)^2),1/3)))&gt;IFERROR(W638,0),MIN((MAX($D$16,POWER((ABS(K638)^2)/($I$5*MAX(F638,0.1)^2),1/3))),IFERROR(W638,0)+(MIN(ABS(IFERROR(AF638,0))*$D$18,ABS((MAX($D$16,POWER((ABS(K638)^2)/($I$5*MAX(F638,0.1)^2),1/3)))-IFERROR(W638,0))))),MAX((MAX($D$16,POWER((ABS(K638)^2)/($I$5*MAX(F638,0.1)^2),1/3))),IFERROR(W638,0)-(MIN(ABS(IFERROR(AF638,0))*$D$18,ABS((MAX($D$16,POWER((ABS(K638)^2)/($I$5*MAX(F638,0.1)^2),1/3)))-IFERROR(W638,0))))))),MAX($D$16,POWER((ABS(K638)^2)/($I$5*MAX(F638,0.1)^2),1/3))),MAX($D$16,IFERROR(W638,0)))))))</f>
        <v>1.7069123687470993</v>
      </c>
      <c r="X638">
        <f t="shared" ref="X638:X701" ca="1" si="321">((F638)+(G638)*(W638))*(W638)</f>
        <v>8.8759443174849171</v>
      </c>
      <c r="Y638">
        <f t="shared" ref="Y638:Y701" ca="1" si="322">(((F638)+(G638)*(W638))*(W638))/MAX((F638)+2*(W638)*SQRT(1+(G638)^2),0.000001)</f>
        <v>1.0304301036971146</v>
      </c>
      <c r="Z638">
        <f t="shared" ref="Z638:Z701" ca="1" si="323">ABS(K638)/MAX(((F638)+(G638)*(W638))*(W638),0.000001)</f>
        <v>5.7402342981841921</v>
      </c>
      <c r="AA638">
        <f t="shared" ref="AA638:AA701" ca="1" si="324">E638+W638</f>
        <v>633.9814123687471</v>
      </c>
      <c r="AB638">
        <f t="shared" ref="AB638:AB701" ca="1" si="325">AA638+((ABS(K638)/MAX(((F638)+(G638)*(W638))*(W638),0.000001))^2)/(2*$I$5)</f>
        <v>635.6608359058547</v>
      </c>
      <c r="AC638">
        <f t="shared" ref="AC638:AC701" ca="1" si="326">((ABS(K638)*$D$6)/(MAX(((F638)+(G638)*(W638))*(W638),0.000001)*MAX(((((F638)+(G638)*(W638))*(W638))/MAX((F638)+2*(W638)*SQRT(1+(G638)^2),0.000001))^(2/3),0.000001)))^2</f>
        <v>7.1233405272375762E-3</v>
      </c>
      <c r="AD638">
        <f t="shared" ref="AD638:AD701" ca="1" si="327">ABS(ABS(K638)/MAX(((F638)+(G638)*(W638))*(W638),0.000001))/SQRT($I$5*MAX((((F638)+(G638)*(W638))*(W638))/MAX((F638)+2*(G638)*(W638),0.000001),0.000001))</f>
        <v>1.4027797982584223</v>
      </c>
      <c r="AE638">
        <f t="shared" ref="AE638:AE701" ca="1" si="328">((F638)*(W638)^2)/2+(G638)*(W638)^3/3+(ABS(K638)^2)/($I$5*MAX(((F638)+(G638)*(W638))*(W638),0.000001))</f>
        <v>37.388169171593155</v>
      </c>
      <c r="AF638">
        <f t="shared" ref="AF638:AF701" ca="1" si="329">IF($D$20=0,0,IFERROR(AB639+(((AC638+AC639)/2)*J639)+(IF(Z638&gt;Z639,$D$8*((Z638^2-Z639^2)/(2*$I$5)),$D$9*((Z639^2-Z638^2)/(2*$I$5)))+($D$10*(ABS(I639)/90)*(MAX(Z638^2,Z639^2)/(2*$I$5))))-AB638,0))</f>
        <v>6.8416655869896204E-3</v>
      </c>
      <c r="AG638">
        <f t="shared" ref="AG638:AG701" ca="1" si="330">IF($D$20=0,1,IFERROR(IF(ROUND(AD638,3)=1,1,IF(AND(ABS(AF638)&lt;$D$19,AD638&lt;1),1,0)),0))</f>
        <v>0</v>
      </c>
      <c r="AH638">
        <f ca="1">IFERROR(IF(V32="Supercritical",MAX($D$16,IFERROR(L638,MAX($D$16,POWER((ABS(K638)^2)/($I$5*MAX(F638,0.1)^2),1/3)))),IF(V32="Subcritical",MAX($D$16,IFERROR(W638,MAX($D$16,POWER((ABS(K638)^2)/($I$5*MAX(F638,0.1)^2),1/3)))),IF(AND(IFERROR(V638,0)=1,IFERROR(AG638,0)=1),IF(IFERROR(T638,-1E+99)&gt;=IFERROR(AE638,-1E+99),MAX($D$16,IFERROR(L638,MAX($D$16,POWER((ABS(K638)^2)/($I$5*MAX(F638,0.1)^2),1/3)))),MAX($D$16,IFERROR(W638,MAX($D$16,POWER((ABS(K638)^2)/($I$5*MAX(F638,0.1)^2),1/3))))),IF(IFERROR(V638,0)=1,MAX($D$16,IFERROR(L638,MAX($D$16,POWER((ABS(K638)^2)/($I$5*MAX(F638,0.1)^2),1/3)))),IF(IFERROR(AG638,0)=1,MAX($D$16,IFERROR(W638,MAX($D$16,POWER((ABS(K638)^2)/($I$5*MAX(F638,0.1)^2),1/3)))),MAX($D$16,POWER((ABS(K638)^2)/($I$5*MAX(F638,0.1)^2),1/3))))))),MAX($D$16,POWER((ABS(K638)^2)/($I$5*MAX(F638,0.1)^2),1/3)))</f>
        <v>2.1389677043987478</v>
      </c>
      <c r="AI638">
        <f t="shared" ref="AI638:AI701" ca="1" si="331">E638+AH638</f>
        <v>634.41346770439873</v>
      </c>
      <c r="AJ638">
        <f t="shared" ref="AJ638:AJ701" ca="1" si="332">AI638+((ABS(K638)/MAX(((F638)+(G638)*(AH638))*(AH638),0.000001))^2)/(2*$I$5)</f>
        <v>635.4829515565981</v>
      </c>
      <c r="AM638">
        <v>0</v>
      </c>
      <c r="AN638">
        <v>0</v>
      </c>
      <c r="AO638">
        <f t="shared" ref="AO638:AO701" si="333">AM638+AN638</f>
        <v>0</v>
      </c>
      <c r="AP638">
        <f t="shared" si="311"/>
        <v>0</v>
      </c>
      <c r="AQ638">
        <f t="shared" ref="AQ638:AQ701" ca="1" si="334">ABS(ABS(K638)/MAX(((F638)+(G638)*(AH638))*(AH638),0.000001))/SQRT($I$5*MAX((((F638)+(G638)*(AH638))*(AH638))/MAX((F638)+2*(G638)*(AH638),0.000001),0.000001))</f>
        <v>1.0000000000000004</v>
      </c>
      <c r="AR638" t="str">
        <f t="shared" ref="AR638:AR701" ca="1" si="335">IF(AQ638&lt;1,"Subcritical","Supercritical")</f>
        <v>Supercritical</v>
      </c>
      <c r="AS638">
        <f t="shared" ref="AS638:AS701" ca="1" si="336">((ABS(K638)*$D$6)/(MAX(((F638)+(G638)*(AH638))*(AH638),0.000001)*MAX(((((F638)+(G638)*(AH638))*(AH638))/MAX((F638)+2*(AH638)*SQRT(1+(G638)^2),0.000001))^(2/3),0.000001)))^2</f>
        <v>3.8141460404132466E-3</v>
      </c>
    </row>
    <row r="639" spans="1:45" x14ac:dyDescent="0.35">
      <c r="A639">
        <v>578</v>
      </c>
      <c r="B639">
        <v>576.99599999999998</v>
      </c>
      <c r="C639">
        <v>616169.1</v>
      </c>
      <c r="D639">
        <v>3097411.2549999999</v>
      </c>
      <c r="E639">
        <v>632.274</v>
      </c>
      <c r="F639">
        <v>5.2</v>
      </c>
      <c r="G639">
        <v>0</v>
      </c>
      <c r="H639" t="s">
        <v>154</v>
      </c>
      <c r="I639">
        <v>7.8E-2</v>
      </c>
      <c r="J639">
        <f t="shared" ref="J639:J702" si="337">B639-B638</f>
        <v>1</v>
      </c>
      <c r="K639">
        <f t="shared" ref="K639:K702" ca="1" si="338">MAX(0,K638-AO638)</f>
        <v>50.95</v>
      </c>
      <c r="L639">
        <f t="shared" ref="L639:L702" ca="1" si="339">IF($D$20=0,IFERROR(L638,MAX($D$16,POWER((ABS(K639)^2)/($I$5*MAX(F639,0.1)^2),1/3))),IF(IFERROR(V638,0)=0,IFERROR(L638,MAX($D$16,POWER((ABS(K639)^2)/($I$5*MAX(F639,0.1)^2),1/3))),IF(OR(IFERROR(L639,0)=0,IFERROR(S638,0)&lt;1,IFERROR(S639,0)&lt;1),MAX($D$16,POWER((ABS(K639)^2)/($I$5*MAX(F639,0.1)^2),1/3)),IF(IFERROR(U639,0)&gt;0,MAX($D$16,IFERROR(L639,0)+((IFERROR(U639,0))*$D$18*IF((IFERROR(S639,0))&lt;1,1,-1))),IF(IFERROR(U639,0)&lt;0,IF(ABS((MAX($D$16,POWER((ABS(K639)^2)/($I$5*MAX(F639,0.1)^2),1/3)))-IFERROR(L639,0))&gt;$D$19,MAX($D$16,IF((MAX($D$16,POWER((ABS(K639)^2)/($I$5*MAX(F639,0.1)^2),1/3)))&gt;IFERROR(L639,0),MIN((MAX($D$16,POWER((ABS(K639)^2)/($I$5*MAX(F639,0.1)^2),1/3))),IFERROR(L639,0)+(MIN(ABS(IFERROR(U639,0))*$D$18,ABS((MAX($D$16,POWER((ABS(K639)^2)/($I$5*MAX(F639,0.1)^2),1/3)))-IFERROR(L639,0))))),MAX((MAX($D$16,POWER((ABS(K639)^2)/($I$5*MAX(F639,0.1)^2),1/3))),IFERROR(L639,0)-(MIN(ABS(IFERROR(U639,0))*$D$18,ABS((MAX($D$16,POWER((ABS(K639)^2)/($I$5*MAX(F639,0.1)^2),1/3)))-IFERROR(L639,0))))))),MAX($D$16,POWER((ABS(K639)^2)/($I$5*MAX(F639,0.1)^2),1/3))),MAX($D$16,IFERROR(L639,0)))))))</f>
        <v>2.1389677043987478</v>
      </c>
      <c r="M639">
        <f t="shared" ca="1" si="312"/>
        <v>11.122632062873489</v>
      </c>
      <c r="N639">
        <f t="shared" ca="1" si="313"/>
        <v>1.1735290000551568</v>
      </c>
      <c r="O639">
        <f t="shared" ca="1" si="314"/>
        <v>4.5807502857230418</v>
      </c>
      <c r="P639">
        <f t="shared" ca="1" si="315"/>
        <v>634.41296770439874</v>
      </c>
      <c r="Q639">
        <f t="shared" ca="1" si="316"/>
        <v>635.48245155659811</v>
      </c>
      <c r="R639">
        <f t="shared" ca="1" si="317"/>
        <v>3.8141460404132466E-3</v>
      </c>
      <c r="S639">
        <f t="shared" ca="1" si="318"/>
        <v>1.0000000000000004</v>
      </c>
      <c r="T639">
        <f t="shared" ca="1" si="319"/>
        <v>35.686426155594638</v>
      </c>
      <c r="U639">
        <f t="shared" ref="U639:U702" ca="1" si="340">IF($D$20=0,0,IFERROR(Q638-(((R638+R639)/2)*J639)-(IF(O638&gt;O639,$D$8*((O638^2-O639^2)/(2*$I$5)),$D$9*((O639^2-O638^2)/(2*$I$5)))+($D$10*(ABS(I639)/90)*(MAX(O638^2,O639^2)/(2*$I$5))))-Q639,0))</f>
        <v>-3.4531789411857972E-3</v>
      </c>
      <c r="V639">
        <f t="shared" ref="V639:V702" ca="1" si="341">IF($D$20=0,1,IFERROR(IF(ROUND(S639,3)=1,1,IF(AND(ABS(U639)&lt;$D$19,S639&gt;1),1,0)),0))</f>
        <v>1</v>
      </c>
      <c r="W639">
        <f t="shared" ca="1" si="320"/>
        <v>1.7069123668066697</v>
      </c>
      <c r="X639">
        <f t="shared" ca="1" si="321"/>
        <v>8.8759443073946827</v>
      </c>
      <c r="Y639">
        <f t="shared" ca="1" si="322"/>
        <v>1.0304301029899627</v>
      </c>
      <c r="Z639">
        <f t="shared" ca="1" si="323"/>
        <v>5.7402343047097304</v>
      </c>
      <c r="AA639">
        <f t="shared" ca="1" si="324"/>
        <v>633.98091236680671</v>
      </c>
      <c r="AB639">
        <f t="shared" ca="1" si="325"/>
        <v>635.66033590773259</v>
      </c>
      <c r="AC639">
        <f t="shared" ca="1" si="326"/>
        <v>7.1233405499513316E-3</v>
      </c>
      <c r="AD639">
        <f t="shared" ca="1" si="327"/>
        <v>1.4027798006504568</v>
      </c>
      <c r="AE639">
        <f t="shared" ca="1" si="328"/>
        <v>37.388169188261564</v>
      </c>
      <c r="AF639">
        <f t="shared" ca="1" si="329"/>
        <v>6.6989146092737428E-3</v>
      </c>
      <c r="AG639">
        <f t="shared" ca="1" si="330"/>
        <v>0</v>
      </c>
      <c r="AH639">
        <f ca="1">IFERROR(IF(V32="Supercritical",MAX($D$16,IFERROR(L639,MAX($D$16,POWER((ABS(K639)^2)/($I$5*MAX(F639,0.1)^2),1/3)))),IF(V32="Subcritical",MAX($D$16,IFERROR(W639,MAX($D$16,POWER((ABS(K639)^2)/($I$5*MAX(F639,0.1)^2),1/3)))),IF(AND(IFERROR(V639,0)=1,IFERROR(AG639,0)=1),IF(IFERROR(T639,-1E+99)&gt;=IFERROR(AE639,-1E+99),MAX($D$16,IFERROR(L639,MAX($D$16,POWER((ABS(K639)^2)/($I$5*MAX(F639,0.1)^2),1/3)))),MAX($D$16,IFERROR(W639,MAX($D$16,POWER((ABS(K639)^2)/($I$5*MAX(F639,0.1)^2),1/3))))),IF(IFERROR(V639,0)=1,MAX($D$16,IFERROR(L639,MAX($D$16,POWER((ABS(K639)^2)/($I$5*MAX(F639,0.1)^2),1/3)))),IF(IFERROR(AG639,0)=1,MAX($D$16,IFERROR(W639,MAX($D$16,POWER((ABS(K639)^2)/($I$5*MAX(F639,0.1)^2),1/3)))),MAX($D$16,POWER((ABS(K639)^2)/($I$5*MAX(F639,0.1)^2),1/3))))))),MAX($D$16,POWER((ABS(K639)^2)/($I$5*MAX(F639,0.1)^2),1/3)))</f>
        <v>2.1389677043987478</v>
      </c>
      <c r="AI639">
        <f t="shared" ca="1" si="331"/>
        <v>634.41296770439874</v>
      </c>
      <c r="AJ639">
        <f t="shared" ca="1" si="332"/>
        <v>635.48245155659811</v>
      </c>
      <c r="AM639">
        <v>0</v>
      </c>
      <c r="AN639">
        <v>0</v>
      </c>
      <c r="AO639">
        <f t="shared" si="333"/>
        <v>0</v>
      </c>
      <c r="AP639">
        <f t="shared" ref="AP639:AP702" si="342">AP638+AO639</f>
        <v>0</v>
      </c>
      <c r="AQ639">
        <f t="shared" ca="1" si="334"/>
        <v>1.0000000000000004</v>
      </c>
      <c r="AR639" t="str">
        <f t="shared" ca="1" si="335"/>
        <v>Supercritical</v>
      </c>
      <c r="AS639">
        <f t="shared" ca="1" si="336"/>
        <v>3.8141460404132466E-3</v>
      </c>
    </row>
    <row r="640" spans="1:45" x14ac:dyDescent="0.35">
      <c r="A640">
        <v>579</v>
      </c>
      <c r="B640">
        <v>577.99599999999998</v>
      </c>
      <c r="C640">
        <v>616168.62600000005</v>
      </c>
      <c r="D640">
        <v>3097410.3739999998</v>
      </c>
      <c r="E640">
        <v>632.27350000000001</v>
      </c>
      <c r="F640">
        <v>5.2</v>
      </c>
      <c r="G640">
        <v>0</v>
      </c>
      <c r="H640" t="s">
        <v>154</v>
      </c>
      <c r="I640">
        <v>2.7E-2</v>
      </c>
      <c r="J640">
        <f t="shared" si="337"/>
        <v>1</v>
      </c>
      <c r="K640">
        <f t="shared" ca="1" si="338"/>
        <v>50.95</v>
      </c>
      <c r="L640">
        <f t="shared" ca="1" si="339"/>
        <v>2.1389677043987478</v>
      </c>
      <c r="M640">
        <f t="shared" ca="1" si="312"/>
        <v>11.122632062873489</v>
      </c>
      <c r="N640">
        <f t="shared" ca="1" si="313"/>
        <v>1.1735290000551568</v>
      </c>
      <c r="O640">
        <f t="shared" ca="1" si="314"/>
        <v>4.5807502857230418</v>
      </c>
      <c r="P640">
        <f t="shared" ca="1" si="315"/>
        <v>634.41246770439875</v>
      </c>
      <c r="Q640">
        <f t="shared" ca="1" si="316"/>
        <v>635.48195155659812</v>
      </c>
      <c r="R640">
        <f t="shared" ca="1" si="317"/>
        <v>3.8141460404132466E-3</v>
      </c>
      <c r="S640">
        <f t="shared" ca="1" si="318"/>
        <v>1.0000000000000004</v>
      </c>
      <c r="T640">
        <f t="shared" ca="1" si="319"/>
        <v>35.686426155594638</v>
      </c>
      <c r="U640">
        <f t="shared" ca="1" si="340"/>
        <v>-3.3622728137743252E-3</v>
      </c>
      <c r="V640">
        <f t="shared" ca="1" si="341"/>
        <v>1</v>
      </c>
      <c r="W640">
        <f t="shared" ca="1" si="320"/>
        <v>1.7069123649949733</v>
      </c>
      <c r="X640">
        <f t="shared" ca="1" si="321"/>
        <v>8.8759442979738612</v>
      </c>
      <c r="Y640">
        <f t="shared" ca="1" si="322"/>
        <v>1.0304301023297255</v>
      </c>
      <c r="Z640">
        <f t="shared" ca="1" si="323"/>
        <v>5.7402343108023466</v>
      </c>
      <c r="AA640">
        <f t="shared" ca="1" si="324"/>
        <v>633.980412364995</v>
      </c>
      <c r="AB640">
        <f t="shared" ca="1" si="325"/>
        <v>635.65983590948599</v>
      </c>
      <c r="AC640">
        <f t="shared" ca="1" si="326"/>
        <v>7.1233405711581986E-3</v>
      </c>
      <c r="AD640">
        <f t="shared" ca="1" si="327"/>
        <v>1.4027798028837974</v>
      </c>
      <c r="AE640">
        <f t="shared" ca="1" si="328"/>
        <v>37.388169203824148</v>
      </c>
      <c r="AF640">
        <f t="shared" ca="1" si="329"/>
        <v>6.6989146306468683E-3</v>
      </c>
      <c r="AG640">
        <f t="shared" ca="1" si="330"/>
        <v>0</v>
      </c>
      <c r="AH640">
        <f ca="1">IFERROR(IF(V32="Supercritical",MAX($D$16,IFERROR(L640,MAX($D$16,POWER((ABS(K640)^2)/($I$5*MAX(F640,0.1)^2),1/3)))),IF(V32="Subcritical",MAX($D$16,IFERROR(W640,MAX($D$16,POWER((ABS(K640)^2)/($I$5*MAX(F640,0.1)^2),1/3)))),IF(AND(IFERROR(V640,0)=1,IFERROR(AG640,0)=1),IF(IFERROR(T640,-1E+99)&gt;=IFERROR(AE640,-1E+99),MAX($D$16,IFERROR(L640,MAX($D$16,POWER((ABS(K640)^2)/($I$5*MAX(F640,0.1)^2),1/3)))),MAX($D$16,IFERROR(W640,MAX($D$16,POWER((ABS(K640)^2)/($I$5*MAX(F640,0.1)^2),1/3))))),IF(IFERROR(V640,0)=1,MAX($D$16,IFERROR(L640,MAX($D$16,POWER((ABS(K640)^2)/($I$5*MAX(F640,0.1)^2),1/3)))),IF(IFERROR(AG640,0)=1,MAX($D$16,IFERROR(W640,MAX($D$16,POWER((ABS(K640)^2)/($I$5*MAX(F640,0.1)^2),1/3)))),MAX($D$16,POWER((ABS(K640)^2)/($I$5*MAX(F640,0.1)^2),1/3))))))),MAX($D$16,POWER((ABS(K640)^2)/($I$5*MAX(F640,0.1)^2),1/3)))</f>
        <v>2.1389677043987478</v>
      </c>
      <c r="AI640">
        <f t="shared" ca="1" si="331"/>
        <v>634.41246770439875</v>
      </c>
      <c r="AJ640">
        <f t="shared" ca="1" si="332"/>
        <v>635.48195155659812</v>
      </c>
      <c r="AM640">
        <v>0</v>
      </c>
      <c r="AN640">
        <v>0</v>
      </c>
      <c r="AO640">
        <f t="shared" si="333"/>
        <v>0</v>
      </c>
      <c r="AP640">
        <f t="shared" si="342"/>
        <v>0</v>
      </c>
      <c r="AQ640">
        <f t="shared" ca="1" si="334"/>
        <v>1.0000000000000004</v>
      </c>
      <c r="AR640" t="str">
        <f t="shared" ca="1" si="335"/>
        <v>Supercritical</v>
      </c>
      <c r="AS640">
        <f t="shared" ca="1" si="336"/>
        <v>3.8141460404132466E-3</v>
      </c>
    </row>
    <row r="641" spans="1:45" x14ac:dyDescent="0.35">
      <c r="A641">
        <v>580</v>
      </c>
      <c r="B641">
        <v>578.99599999999998</v>
      </c>
      <c r="C641">
        <v>616168.152</v>
      </c>
      <c r="D641">
        <v>3097409.4939999999</v>
      </c>
      <c r="E641">
        <v>632.27300000000002</v>
      </c>
      <c r="F641">
        <v>5.2</v>
      </c>
      <c r="G641">
        <v>0</v>
      </c>
      <c r="H641" t="s">
        <v>154</v>
      </c>
      <c r="I641">
        <v>2.7E-2</v>
      </c>
      <c r="J641">
        <f t="shared" si="337"/>
        <v>1</v>
      </c>
      <c r="K641">
        <f t="shared" ca="1" si="338"/>
        <v>50.95</v>
      </c>
      <c r="L641">
        <f t="shared" ca="1" si="339"/>
        <v>2.1389677043987478</v>
      </c>
      <c r="M641">
        <f t="shared" ca="1" si="312"/>
        <v>11.122632062873489</v>
      </c>
      <c r="N641">
        <f t="shared" ca="1" si="313"/>
        <v>1.1735290000551568</v>
      </c>
      <c r="O641">
        <f t="shared" ca="1" si="314"/>
        <v>4.5807502857230418</v>
      </c>
      <c r="P641">
        <f t="shared" ca="1" si="315"/>
        <v>634.41196770439876</v>
      </c>
      <c r="Q641">
        <f t="shared" ca="1" si="316"/>
        <v>635.48145155659813</v>
      </c>
      <c r="R641">
        <f t="shared" ca="1" si="317"/>
        <v>3.8141460404132466E-3</v>
      </c>
      <c r="S641">
        <f t="shared" ca="1" si="318"/>
        <v>1.0000000000000004</v>
      </c>
      <c r="T641">
        <f t="shared" ca="1" si="319"/>
        <v>35.686426155594638</v>
      </c>
      <c r="U641">
        <f t="shared" ca="1" si="340"/>
        <v>-3.3622728137743252E-3</v>
      </c>
      <c r="V641">
        <f t="shared" ca="1" si="341"/>
        <v>1</v>
      </c>
      <c r="W641">
        <f t="shared" ca="1" si="320"/>
        <v>1.7069123633034666</v>
      </c>
      <c r="X641">
        <f t="shared" ca="1" si="321"/>
        <v>8.875944289178026</v>
      </c>
      <c r="Y641">
        <f t="shared" ca="1" si="322"/>
        <v>1.0304301017132889</v>
      </c>
      <c r="Z641">
        <f t="shared" ca="1" si="323"/>
        <v>5.7402343164907723</v>
      </c>
      <c r="AA641">
        <f t="shared" ca="1" si="324"/>
        <v>633.97991236330347</v>
      </c>
      <c r="AB641">
        <f t="shared" ca="1" si="325"/>
        <v>635.65933591112298</v>
      </c>
      <c r="AC641">
        <f t="shared" ca="1" si="326"/>
        <v>7.1233405909581823E-3</v>
      </c>
      <c r="AD641">
        <f t="shared" ca="1" si="327"/>
        <v>1.4027798049689761</v>
      </c>
      <c r="AE641">
        <f t="shared" ca="1" si="328"/>
        <v>37.388169218354292</v>
      </c>
      <c r="AF641">
        <f t="shared" ca="1" si="329"/>
        <v>6.8416656522458652E-3</v>
      </c>
      <c r="AG641">
        <f t="shared" ca="1" si="330"/>
        <v>0</v>
      </c>
      <c r="AH641">
        <f ca="1">IFERROR(IF(V32="Supercritical",MAX($D$16,IFERROR(L641,MAX($D$16,POWER((ABS(K641)^2)/($I$5*MAX(F641,0.1)^2),1/3)))),IF(V32="Subcritical",MAX($D$16,IFERROR(W641,MAX($D$16,POWER((ABS(K641)^2)/($I$5*MAX(F641,0.1)^2),1/3)))),IF(AND(IFERROR(V641,0)=1,IFERROR(AG641,0)=1),IF(IFERROR(T641,-1E+99)&gt;=IFERROR(AE641,-1E+99),MAX($D$16,IFERROR(L641,MAX($D$16,POWER((ABS(K641)^2)/($I$5*MAX(F641,0.1)^2),1/3)))),MAX($D$16,IFERROR(W641,MAX($D$16,POWER((ABS(K641)^2)/($I$5*MAX(F641,0.1)^2),1/3))))),IF(IFERROR(V641,0)=1,MAX($D$16,IFERROR(L641,MAX($D$16,POWER((ABS(K641)^2)/($I$5*MAX(F641,0.1)^2),1/3)))),IF(IFERROR(AG641,0)=1,MAX($D$16,IFERROR(W641,MAX($D$16,POWER((ABS(K641)^2)/($I$5*MAX(F641,0.1)^2),1/3)))),MAX($D$16,POWER((ABS(K641)^2)/($I$5*MAX(F641,0.1)^2),1/3))))))),MAX($D$16,POWER((ABS(K641)^2)/($I$5*MAX(F641,0.1)^2),1/3)))</f>
        <v>2.1389677043987478</v>
      </c>
      <c r="AI641">
        <f t="shared" ca="1" si="331"/>
        <v>634.41196770439876</v>
      </c>
      <c r="AJ641">
        <f t="shared" ca="1" si="332"/>
        <v>635.48145155659813</v>
      </c>
      <c r="AM641">
        <v>0</v>
      </c>
      <c r="AN641">
        <v>0</v>
      </c>
      <c r="AO641">
        <f t="shared" si="333"/>
        <v>0</v>
      </c>
      <c r="AP641">
        <f t="shared" si="342"/>
        <v>0</v>
      </c>
      <c r="AQ641">
        <f t="shared" ca="1" si="334"/>
        <v>1.0000000000000004</v>
      </c>
      <c r="AR641" t="str">
        <f t="shared" ca="1" si="335"/>
        <v>Supercritical</v>
      </c>
      <c r="AS641">
        <f t="shared" ca="1" si="336"/>
        <v>3.8141460404132466E-3</v>
      </c>
    </row>
    <row r="642" spans="1:45" x14ac:dyDescent="0.35">
      <c r="A642">
        <v>581</v>
      </c>
      <c r="B642">
        <v>579.99599999999998</v>
      </c>
      <c r="C642">
        <v>616167.67799999996</v>
      </c>
      <c r="D642">
        <v>3097408.6129999999</v>
      </c>
      <c r="E642">
        <v>632.27250000000004</v>
      </c>
      <c r="F642">
        <v>5.2</v>
      </c>
      <c r="G642">
        <v>0</v>
      </c>
      <c r="H642" t="s">
        <v>154</v>
      </c>
      <c r="I642">
        <v>7.8E-2</v>
      </c>
      <c r="J642">
        <f t="shared" si="337"/>
        <v>1</v>
      </c>
      <c r="K642">
        <f t="shared" ca="1" si="338"/>
        <v>50.95</v>
      </c>
      <c r="L642">
        <f t="shared" ca="1" si="339"/>
        <v>2.1389677043987478</v>
      </c>
      <c r="M642">
        <f t="shared" ca="1" si="312"/>
        <v>11.122632062873489</v>
      </c>
      <c r="N642">
        <f t="shared" ca="1" si="313"/>
        <v>1.1735290000551568</v>
      </c>
      <c r="O642">
        <f t="shared" ca="1" si="314"/>
        <v>4.5807502857230418</v>
      </c>
      <c r="P642">
        <f t="shared" ca="1" si="315"/>
        <v>634.41146770439877</v>
      </c>
      <c r="Q642">
        <f t="shared" ca="1" si="316"/>
        <v>635.48095155659814</v>
      </c>
      <c r="R642">
        <f t="shared" ca="1" si="317"/>
        <v>3.8141460404132466E-3</v>
      </c>
      <c r="S642">
        <f t="shared" ca="1" si="318"/>
        <v>1.0000000000000004</v>
      </c>
      <c r="T642">
        <f t="shared" ca="1" si="319"/>
        <v>35.686426155594638</v>
      </c>
      <c r="U642">
        <f t="shared" ca="1" si="340"/>
        <v>-3.4531789411857972E-3</v>
      </c>
      <c r="V642">
        <f t="shared" ca="1" si="341"/>
        <v>1</v>
      </c>
      <c r="W642">
        <f t="shared" ca="1" si="320"/>
        <v>1.7069123617241859</v>
      </c>
      <c r="X642">
        <f t="shared" ca="1" si="321"/>
        <v>8.8759442809657667</v>
      </c>
      <c r="Y642">
        <f t="shared" ca="1" si="322"/>
        <v>1.030430101137751</v>
      </c>
      <c r="Z642">
        <f t="shared" ca="1" si="323"/>
        <v>5.7402343218017897</v>
      </c>
      <c r="AA642">
        <f t="shared" ca="1" si="324"/>
        <v>633.97941236172426</v>
      </c>
      <c r="AB642">
        <f t="shared" ca="1" si="325"/>
        <v>635.6588359126514</v>
      </c>
      <c r="AC642">
        <f t="shared" ca="1" si="326"/>
        <v>7.1233406094444972E-3</v>
      </c>
      <c r="AD642">
        <f t="shared" ca="1" si="327"/>
        <v>1.4027798069158097</v>
      </c>
      <c r="AE642">
        <f t="shared" ca="1" si="328"/>
        <v>37.388169231920408</v>
      </c>
      <c r="AF642">
        <f t="shared" ca="1" si="329"/>
        <v>6.7632925720317871E-3</v>
      </c>
      <c r="AG642">
        <f t="shared" ca="1" si="330"/>
        <v>0</v>
      </c>
      <c r="AH642">
        <f ca="1">IFERROR(IF(V32="Supercritical",MAX($D$16,IFERROR(L642,MAX($D$16,POWER((ABS(K642)^2)/($I$5*MAX(F642,0.1)^2),1/3)))),IF(V32="Subcritical",MAX($D$16,IFERROR(W642,MAX($D$16,POWER((ABS(K642)^2)/($I$5*MAX(F642,0.1)^2),1/3)))),IF(AND(IFERROR(V642,0)=1,IFERROR(AG642,0)=1),IF(IFERROR(T642,-1E+99)&gt;=IFERROR(AE642,-1E+99),MAX($D$16,IFERROR(L642,MAX($D$16,POWER((ABS(K642)^2)/($I$5*MAX(F642,0.1)^2),1/3)))),MAX($D$16,IFERROR(W642,MAX($D$16,POWER((ABS(K642)^2)/($I$5*MAX(F642,0.1)^2),1/3))))),IF(IFERROR(V642,0)=1,MAX($D$16,IFERROR(L642,MAX($D$16,POWER((ABS(K642)^2)/($I$5*MAX(F642,0.1)^2),1/3)))),IF(IFERROR(AG642,0)=1,MAX($D$16,IFERROR(W642,MAX($D$16,POWER((ABS(K642)^2)/($I$5*MAX(F642,0.1)^2),1/3)))),MAX($D$16,POWER((ABS(K642)^2)/($I$5*MAX(F642,0.1)^2),1/3))))))),MAX($D$16,POWER((ABS(K642)^2)/($I$5*MAX(F642,0.1)^2),1/3)))</f>
        <v>2.1389677043987478</v>
      </c>
      <c r="AI642">
        <f t="shared" ca="1" si="331"/>
        <v>634.41146770439877</v>
      </c>
      <c r="AJ642">
        <f t="shared" ca="1" si="332"/>
        <v>635.48095155659814</v>
      </c>
      <c r="AM642">
        <v>0</v>
      </c>
      <c r="AN642">
        <v>0</v>
      </c>
      <c r="AO642">
        <f t="shared" si="333"/>
        <v>0</v>
      </c>
      <c r="AP642">
        <f t="shared" si="342"/>
        <v>0</v>
      </c>
      <c r="AQ642">
        <f t="shared" ca="1" si="334"/>
        <v>1.0000000000000004</v>
      </c>
      <c r="AR642" t="str">
        <f t="shared" ca="1" si="335"/>
        <v>Supercritical</v>
      </c>
      <c r="AS642">
        <f t="shared" ca="1" si="336"/>
        <v>3.8141460404132466E-3</v>
      </c>
    </row>
    <row r="643" spans="1:45" x14ac:dyDescent="0.35">
      <c r="A643">
        <v>582</v>
      </c>
      <c r="B643">
        <v>580.99599999999998</v>
      </c>
      <c r="C643">
        <v>616167.20299999998</v>
      </c>
      <c r="D643">
        <v>3097407.733</v>
      </c>
      <c r="E643">
        <v>632.27200000000005</v>
      </c>
      <c r="F643">
        <v>5.2</v>
      </c>
      <c r="G643">
        <v>0</v>
      </c>
      <c r="H643" t="s">
        <v>154</v>
      </c>
      <c r="I643">
        <v>0.05</v>
      </c>
      <c r="J643">
        <f t="shared" si="337"/>
        <v>1</v>
      </c>
      <c r="K643">
        <f t="shared" ca="1" si="338"/>
        <v>50.95</v>
      </c>
      <c r="L643">
        <f t="shared" ca="1" si="339"/>
        <v>2.1389677043987478</v>
      </c>
      <c r="M643">
        <f t="shared" ca="1" si="312"/>
        <v>11.122632062873489</v>
      </c>
      <c r="N643">
        <f t="shared" ca="1" si="313"/>
        <v>1.1735290000551568</v>
      </c>
      <c r="O643">
        <f t="shared" ca="1" si="314"/>
        <v>4.5807502857230418</v>
      </c>
      <c r="P643">
        <f t="shared" ca="1" si="315"/>
        <v>634.41096770439879</v>
      </c>
      <c r="Q643">
        <f t="shared" ca="1" si="316"/>
        <v>635.48045155659815</v>
      </c>
      <c r="R643">
        <f t="shared" ca="1" si="317"/>
        <v>3.8141460404132466E-3</v>
      </c>
      <c r="S643">
        <f t="shared" ca="1" si="318"/>
        <v>1.0000000000000004</v>
      </c>
      <c r="T643">
        <f t="shared" ca="1" si="319"/>
        <v>35.686426155594638</v>
      </c>
      <c r="U643">
        <f t="shared" ca="1" si="340"/>
        <v>-3.4032696947861041E-3</v>
      </c>
      <c r="V643">
        <f t="shared" ca="1" si="341"/>
        <v>1</v>
      </c>
      <c r="W643">
        <f t="shared" ca="1" si="320"/>
        <v>1.7069123602496961</v>
      </c>
      <c r="X643">
        <f t="shared" ca="1" si="321"/>
        <v>8.8759442732984191</v>
      </c>
      <c r="Y643">
        <f t="shared" ca="1" si="322"/>
        <v>1.030430100600402</v>
      </c>
      <c r="Z643">
        <f t="shared" ca="1" si="323"/>
        <v>5.7402343267604028</v>
      </c>
      <c r="AA643">
        <f t="shared" ca="1" si="324"/>
        <v>633.97891236024975</v>
      </c>
      <c r="AB643">
        <f t="shared" ca="1" si="325"/>
        <v>635.65833591407841</v>
      </c>
      <c r="AC643">
        <f t="shared" ca="1" si="326"/>
        <v>7.1233406267041822E-3</v>
      </c>
      <c r="AD643">
        <f t="shared" ca="1" si="327"/>
        <v>1.4027798087334644</v>
      </c>
      <c r="AE643">
        <f t="shared" ca="1" si="328"/>
        <v>37.388169244586365</v>
      </c>
      <c r="AF643">
        <f t="shared" ca="1" si="329"/>
        <v>6.6989146864671056E-3</v>
      </c>
      <c r="AG643">
        <f t="shared" ca="1" si="330"/>
        <v>0</v>
      </c>
      <c r="AH643">
        <f ca="1">IFERROR(IF(V32="Supercritical",MAX($D$16,IFERROR(L643,MAX($D$16,POWER((ABS(K643)^2)/($I$5*MAX(F643,0.1)^2),1/3)))),IF(V32="Subcritical",MAX($D$16,IFERROR(W643,MAX($D$16,POWER((ABS(K643)^2)/($I$5*MAX(F643,0.1)^2),1/3)))),IF(AND(IFERROR(V643,0)=1,IFERROR(AG643,0)=1),IF(IFERROR(T643,-1E+99)&gt;=IFERROR(AE643,-1E+99),MAX($D$16,IFERROR(L643,MAX($D$16,POWER((ABS(K643)^2)/($I$5*MAX(F643,0.1)^2),1/3)))),MAX($D$16,IFERROR(W643,MAX($D$16,POWER((ABS(K643)^2)/($I$5*MAX(F643,0.1)^2),1/3))))),IF(IFERROR(V643,0)=1,MAX($D$16,IFERROR(L643,MAX($D$16,POWER((ABS(K643)^2)/($I$5*MAX(F643,0.1)^2),1/3)))),IF(IFERROR(AG643,0)=1,MAX($D$16,IFERROR(W643,MAX($D$16,POWER((ABS(K643)^2)/($I$5*MAX(F643,0.1)^2),1/3)))),MAX($D$16,POWER((ABS(K643)^2)/($I$5*MAX(F643,0.1)^2),1/3))))))),MAX($D$16,POWER((ABS(K643)^2)/($I$5*MAX(F643,0.1)^2),1/3)))</f>
        <v>2.1389677043987478</v>
      </c>
      <c r="AI643">
        <f t="shared" ca="1" si="331"/>
        <v>634.41096770439879</v>
      </c>
      <c r="AJ643">
        <f t="shared" ca="1" si="332"/>
        <v>635.48045155659815</v>
      </c>
      <c r="AM643">
        <v>0</v>
      </c>
      <c r="AN643">
        <v>0</v>
      </c>
      <c r="AO643">
        <f t="shared" si="333"/>
        <v>0</v>
      </c>
      <c r="AP643">
        <f t="shared" si="342"/>
        <v>0</v>
      </c>
      <c r="AQ643">
        <f t="shared" ca="1" si="334"/>
        <v>1.0000000000000004</v>
      </c>
      <c r="AR643" t="str">
        <f t="shared" ca="1" si="335"/>
        <v>Supercritical</v>
      </c>
      <c r="AS643">
        <f t="shared" ca="1" si="336"/>
        <v>3.8141460404132466E-3</v>
      </c>
    </row>
    <row r="644" spans="1:45" x14ac:dyDescent="0.35">
      <c r="A644">
        <v>583</v>
      </c>
      <c r="B644">
        <v>581.99599999999998</v>
      </c>
      <c r="C644">
        <v>616166.72900000005</v>
      </c>
      <c r="D644">
        <v>3097406.8530000001</v>
      </c>
      <c r="E644">
        <v>632.27149999999995</v>
      </c>
      <c r="F644">
        <v>5.2</v>
      </c>
      <c r="G644">
        <v>0</v>
      </c>
      <c r="H644" t="s">
        <v>154</v>
      </c>
      <c r="I644">
        <v>2.7E-2</v>
      </c>
      <c r="J644">
        <f t="shared" si="337"/>
        <v>1</v>
      </c>
      <c r="K644">
        <f t="shared" ca="1" si="338"/>
        <v>50.95</v>
      </c>
      <c r="L644">
        <f t="shared" ca="1" si="339"/>
        <v>2.1389677043987478</v>
      </c>
      <c r="M644">
        <f t="shared" ca="1" si="312"/>
        <v>11.122632062873489</v>
      </c>
      <c r="N644">
        <f t="shared" ca="1" si="313"/>
        <v>1.1735290000551568</v>
      </c>
      <c r="O644">
        <f t="shared" ca="1" si="314"/>
        <v>4.5807502857230418</v>
      </c>
      <c r="P644">
        <f t="shared" ca="1" si="315"/>
        <v>634.41046770439868</v>
      </c>
      <c r="Q644">
        <f t="shared" ca="1" si="316"/>
        <v>635.47995155659805</v>
      </c>
      <c r="R644">
        <f t="shared" ca="1" si="317"/>
        <v>3.8141460404132466E-3</v>
      </c>
      <c r="S644">
        <f t="shared" ca="1" si="318"/>
        <v>1.0000000000000004</v>
      </c>
      <c r="T644">
        <f t="shared" ca="1" si="319"/>
        <v>35.686426155594638</v>
      </c>
      <c r="U644">
        <f t="shared" ca="1" si="340"/>
        <v>-3.3622728136606383E-3</v>
      </c>
      <c r="V644">
        <f t="shared" ca="1" si="341"/>
        <v>1</v>
      </c>
      <c r="W644">
        <f t="shared" ca="1" si="320"/>
        <v>1.7069123588730224</v>
      </c>
      <c r="X644">
        <f t="shared" ca="1" si="321"/>
        <v>8.875944266139717</v>
      </c>
      <c r="Y644">
        <f t="shared" ca="1" si="322"/>
        <v>1.0304301000987004</v>
      </c>
      <c r="Z644">
        <f t="shared" ca="1" si="323"/>
        <v>5.7402343313900657</v>
      </c>
      <c r="AA644">
        <f t="shared" ca="1" si="324"/>
        <v>633.97841235887302</v>
      </c>
      <c r="AB644">
        <f t="shared" ca="1" si="325"/>
        <v>635.65783591541071</v>
      </c>
      <c r="AC644">
        <f t="shared" ca="1" si="326"/>
        <v>7.1233406428188716E-3</v>
      </c>
      <c r="AD644">
        <f t="shared" ca="1" si="327"/>
        <v>1.4027798104305373</v>
      </c>
      <c r="AE644">
        <f t="shared" ca="1" si="328"/>
        <v>37.38816925641207</v>
      </c>
      <c r="AF644">
        <f t="shared" ca="1" si="329"/>
        <v>6.6989147028380103E-3</v>
      </c>
      <c r="AG644">
        <f t="shared" ca="1" si="330"/>
        <v>0</v>
      </c>
      <c r="AH644">
        <f ca="1">IFERROR(IF(V32="Supercritical",MAX($D$16,IFERROR(L644,MAX($D$16,POWER((ABS(K644)^2)/($I$5*MAX(F644,0.1)^2),1/3)))),IF(V32="Subcritical",MAX($D$16,IFERROR(W644,MAX($D$16,POWER((ABS(K644)^2)/($I$5*MAX(F644,0.1)^2),1/3)))),IF(AND(IFERROR(V644,0)=1,IFERROR(AG644,0)=1),IF(IFERROR(T644,-1E+99)&gt;=IFERROR(AE644,-1E+99),MAX($D$16,IFERROR(L644,MAX($D$16,POWER((ABS(K644)^2)/($I$5*MAX(F644,0.1)^2),1/3)))),MAX($D$16,IFERROR(W644,MAX($D$16,POWER((ABS(K644)^2)/($I$5*MAX(F644,0.1)^2),1/3))))),IF(IFERROR(V644,0)=1,MAX($D$16,IFERROR(L644,MAX($D$16,POWER((ABS(K644)^2)/($I$5*MAX(F644,0.1)^2),1/3)))),IF(IFERROR(AG644,0)=1,MAX($D$16,IFERROR(W644,MAX($D$16,POWER((ABS(K644)^2)/($I$5*MAX(F644,0.1)^2),1/3)))),MAX($D$16,POWER((ABS(K644)^2)/($I$5*MAX(F644,0.1)^2),1/3))))))),MAX($D$16,POWER((ABS(K644)^2)/($I$5*MAX(F644,0.1)^2),1/3)))</f>
        <v>2.1389677043987478</v>
      </c>
      <c r="AI644">
        <f t="shared" ca="1" si="331"/>
        <v>634.41046770439868</v>
      </c>
      <c r="AJ644">
        <f t="shared" ca="1" si="332"/>
        <v>635.47995155659805</v>
      </c>
      <c r="AM644">
        <v>0</v>
      </c>
      <c r="AN644">
        <v>0</v>
      </c>
      <c r="AO644">
        <f t="shared" si="333"/>
        <v>0</v>
      </c>
      <c r="AP644">
        <f t="shared" si="342"/>
        <v>0</v>
      </c>
      <c r="AQ644">
        <f t="shared" ca="1" si="334"/>
        <v>1.0000000000000004</v>
      </c>
      <c r="AR644" t="str">
        <f t="shared" ca="1" si="335"/>
        <v>Supercritical</v>
      </c>
      <c r="AS644">
        <f t="shared" ca="1" si="336"/>
        <v>3.8141460404132466E-3</v>
      </c>
    </row>
    <row r="645" spans="1:45" x14ac:dyDescent="0.35">
      <c r="A645">
        <v>584</v>
      </c>
      <c r="B645">
        <v>582.99599999999998</v>
      </c>
      <c r="C645">
        <v>616166.255</v>
      </c>
      <c r="D645">
        <v>3097405.9720000001</v>
      </c>
      <c r="E645">
        <v>632.27099999999996</v>
      </c>
      <c r="F645">
        <v>5.2</v>
      </c>
      <c r="G645">
        <v>0</v>
      </c>
      <c r="H645" t="s">
        <v>154</v>
      </c>
      <c r="I645">
        <v>2.7E-2</v>
      </c>
      <c r="J645">
        <f t="shared" si="337"/>
        <v>1</v>
      </c>
      <c r="K645">
        <f t="shared" ca="1" si="338"/>
        <v>50.95</v>
      </c>
      <c r="L645">
        <f t="shared" ca="1" si="339"/>
        <v>2.1389677043987478</v>
      </c>
      <c r="M645">
        <f t="shared" ca="1" si="312"/>
        <v>11.122632062873489</v>
      </c>
      <c r="N645">
        <f t="shared" ca="1" si="313"/>
        <v>1.1735290000551568</v>
      </c>
      <c r="O645">
        <f t="shared" ca="1" si="314"/>
        <v>4.5807502857230418</v>
      </c>
      <c r="P645">
        <f t="shared" ca="1" si="315"/>
        <v>634.4099677043987</v>
      </c>
      <c r="Q645">
        <f t="shared" ca="1" si="316"/>
        <v>635.47945155659806</v>
      </c>
      <c r="R645">
        <f t="shared" ca="1" si="317"/>
        <v>3.8141460404132466E-3</v>
      </c>
      <c r="S645">
        <f t="shared" ca="1" si="318"/>
        <v>1.0000000000000004</v>
      </c>
      <c r="T645">
        <f t="shared" ca="1" si="319"/>
        <v>35.686426155594638</v>
      </c>
      <c r="U645">
        <f t="shared" ca="1" si="340"/>
        <v>-3.3622728137743252E-3</v>
      </c>
      <c r="V645">
        <f t="shared" ca="1" si="341"/>
        <v>1</v>
      </c>
      <c r="W645">
        <f t="shared" ca="1" si="320"/>
        <v>1.7069123575876848</v>
      </c>
      <c r="X645">
        <f t="shared" ca="1" si="321"/>
        <v>8.8759442594559612</v>
      </c>
      <c r="Y645">
        <f t="shared" ca="1" si="322"/>
        <v>1.0304300996302844</v>
      </c>
      <c r="Z645">
        <f t="shared" ca="1" si="323"/>
        <v>5.7402343357125716</v>
      </c>
      <c r="AA645">
        <f t="shared" ca="1" si="324"/>
        <v>633.97791235758768</v>
      </c>
      <c r="AB645">
        <f t="shared" ca="1" si="325"/>
        <v>635.65733591665469</v>
      </c>
      <c r="AC645">
        <f t="shared" ca="1" si="326"/>
        <v>7.1233406578644302E-3</v>
      </c>
      <c r="AD645">
        <f t="shared" ca="1" si="327"/>
        <v>1.4027798120150172</v>
      </c>
      <c r="AE645">
        <f t="shared" ca="1" si="328"/>
        <v>37.3881692674532</v>
      </c>
      <c r="AF645">
        <f t="shared" ca="1" si="329"/>
        <v>6.6805952202457775E-3</v>
      </c>
      <c r="AG645">
        <f t="shared" ca="1" si="330"/>
        <v>0</v>
      </c>
      <c r="AH645">
        <f ca="1">IFERROR(IF(V32="Supercritical",MAX($D$16,IFERROR(L645,MAX($D$16,POWER((ABS(K645)^2)/($I$5*MAX(F645,0.1)^2),1/3)))),IF(V32="Subcritical",MAX($D$16,IFERROR(W645,MAX($D$16,POWER((ABS(K645)^2)/($I$5*MAX(F645,0.1)^2),1/3)))),IF(AND(IFERROR(V645,0)=1,IFERROR(AG645,0)=1),IF(IFERROR(T645,-1E+99)&gt;=IFERROR(AE645,-1E+99),MAX($D$16,IFERROR(L645,MAX($D$16,POWER((ABS(K645)^2)/($I$5*MAX(F645,0.1)^2),1/3)))),MAX($D$16,IFERROR(W645,MAX($D$16,POWER((ABS(K645)^2)/($I$5*MAX(F645,0.1)^2),1/3))))),IF(IFERROR(V645,0)=1,MAX($D$16,IFERROR(L645,MAX($D$16,POWER((ABS(K645)^2)/($I$5*MAX(F645,0.1)^2),1/3)))),IF(IFERROR(AG645,0)=1,MAX($D$16,IFERROR(W645,MAX($D$16,POWER((ABS(K645)^2)/($I$5*MAX(F645,0.1)^2),1/3)))),MAX($D$16,POWER((ABS(K645)^2)/($I$5*MAX(F645,0.1)^2),1/3))))))),MAX($D$16,POWER((ABS(K645)^2)/($I$5*MAX(F645,0.1)^2),1/3)))</f>
        <v>2.1389677043987478</v>
      </c>
      <c r="AI645">
        <f t="shared" ca="1" si="331"/>
        <v>634.4099677043987</v>
      </c>
      <c r="AJ645">
        <f t="shared" ca="1" si="332"/>
        <v>635.47945155659806</v>
      </c>
      <c r="AM645">
        <v>0</v>
      </c>
      <c r="AN645">
        <v>0</v>
      </c>
      <c r="AO645">
        <f t="shared" si="333"/>
        <v>0</v>
      </c>
      <c r="AP645">
        <f t="shared" si="342"/>
        <v>0</v>
      </c>
      <c r="AQ645">
        <f t="shared" ca="1" si="334"/>
        <v>1.0000000000000004</v>
      </c>
      <c r="AR645" t="str">
        <f t="shared" ca="1" si="335"/>
        <v>Supercritical</v>
      </c>
      <c r="AS645">
        <f t="shared" ca="1" si="336"/>
        <v>3.8141460404132466E-3</v>
      </c>
    </row>
    <row r="646" spans="1:45" x14ac:dyDescent="0.35">
      <c r="A646">
        <v>585</v>
      </c>
      <c r="B646">
        <v>583.995</v>
      </c>
      <c r="C646">
        <v>616165.78099999996</v>
      </c>
      <c r="D646">
        <v>3097405.0920000002</v>
      </c>
      <c r="E646">
        <v>632.27049999999997</v>
      </c>
      <c r="F646">
        <v>5.2</v>
      </c>
      <c r="G646">
        <v>0</v>
      </c>
      <c r="H646" t="s">
        <v>154</v>
      </c>
      <c r="I646">
        <v>2.3E-2</v>
      </c>
      <c r="J646">
        <f t="shared" si="337"/>
        <v>0.99900000000002365</v>
      </c>
      <c r="K646">
        <f t="shared" ca="1" si="338"/>
        <v>50.95</v>
      </c>
      <c r="L646">
        <f t="shared" ca="1" si="339"/>
        <v>2.1389677043987478</v>
      </c>
      <c r="M646">
        <f t="shared" ca="1" si="312"/>
        <v>11.122632062873489</v>
      </c>
      <c r="N646">
        <f t="shared" ca="1" si="313"/>
        <v>1.1735290000551568</v>
      </c>
      <c r="O646">
        <f t="shared" ca="1" si="314"/>
        <v>4.5807502857230418</v>
      </c>
      <c r="P646">
        <f t="shared" ca="1" si="315"/>
        <v>634.40946770439871</v>
      </c>
      <c r="Q646">
        <f t="shared" ca="1" si="316"/>
        <v>635.47895155659808</v>
      </c>
      <c r="R646">
        <f t="shared" ca="1" si="317"/>
        <v>3.8141460404132466E-3</v>
      </c>
      <c r="S646">
        <f t="shared" ca="1" si="318"/>
        <v>1.0000000000000004</v>
      </c>
      <c r="T646">
        <f t="shared" ca="1" si="319"/>
        <v>35.686426155594638</v>
      </c>
      <c r="U646">
        <f t="shared" ca="1" si="340"/>
        <v>-3.3513287753521581E-3</v>
      </c>
      <c r="V646">
        <f t="shared" ca="1" si="341"/>
        <v>1</v>
      </c>
      <c r="W646">
        <f t="shared" ca="1" si="320"/>
        <v>1.7069123563876123</v>
      </c>
      <c r="X646">
        <f t="shared" ca="1" si="321"/>
        <v>8.8759442532155841</v>
      </c>
      <c r="Y646">
        <f t="shared" ca="1" si="322"/>
        <v>1.0304300991929414</v>
      </c>
      <c r="Z646">
        <f t="shared" ca="1" si="323"/>
        <v>5.7402343397483371</v>
      </c>
      <c r="AA646">
        <f t="shared" ca="1" si="324"/>
        <v>633.97741235638762</v>
      </c>
      <c r="AB646">
        <f t="shared" ca="1" si="325"/>
        <v>635.65683591781601</v>
      </c>
      <c r="AC646">
        <f t="shared" ca="1" si="326"/>
        <v>7.1233406719119147E-3</v>
      </c>
      <c r="AD646">
        <f t="shared" ca="1" si="327"/>
        <v>1.4027798134943881</v>
      </c>
      <c r="AE646">
        <f t="shared" ca="1" si="328"/>
        <v>37.388169277761897</v>
      </c>
      <c r="AF646">
        <f t="shared" ca="1" si="329"/>
        <v>6.6948419157597527E-3</v>
      </c>
      <c r="AG646">
        <f t="shared" ca="1" si="330"/>
        <v>0</v>
      </c>
      <c r="AH646">
        <f ca="1">IFERROR(IF(V32="Supercritical",MAX($D$16,IFERROR(L646,MAX($D$16,POWER((ABS(K646)^2)/($I$5*MAX(F646,0.1)^2),1/3)))),IF(V32="Subcritical",MAX($D$16,IFERROR(W646,MAX($D$16,POWER((ABS(K646)^2)/($I$5*MAX(F646,0.1)^2),1/3)))),IF(AND(IFERROR(V646,0)=1,IFERROR(AG646,0)=1),IF(IFERROR(T646,-1E+99)&gt;=IFERROR(AE646,-1E+99),MAX($D$16,IFERROR(L646,MAX($D$16,POWER((ABS(K646)^2)/($I$5*MAX(F646,0.1)^2),1/3)))),MAX($D$16,IFERROR(W646,MAX($D$16,POWER((ABS(K646)^2)/($I$5*MAX(F646,0.1)^2),1/3))))),IF(IFERROR(V646,0)=1,MAX($D$16,IFERROR(L646,MAX($D$16,POWER((ABS(K646)^2)/($I$5*MAX(F646,0.1)^2),1/3)))),IF(IFERROR(AG646,0)=1,MAX($D$16,IFERROR(W646,MAX($D$16,POWER((ABS(K646)^2)/($I$5*MAX(F646,0.1)^2),1/3)))),MAX($D$16,POWER((ABS(K646)^2)/($I$5*MAX(F646,0.1)^2),1/3))))))),MAX($D$16,POWER((ABS(K646)^2)/($I$5*MAX(F646,0.1)^2),1/3)))</f>
        <v>2.1389677043987478</v>
      </c>
      <c r="AI646">
        <f t="shared" ca="1" si="331"/>
        <v>634.40946770439871</v>
      </c>
      <c r="AJ646">
        <f t="shared" ca="1" si="332"/>
        <v>635.47895155659808</v>
      </c>
      <c r="AM646">
        <v>0</v>
      </c>
      <c r="AN646">
        <v>0</v>
      </c>
      <c r="AO646">
        <f t="shared" si="333"/>
        <v>0</v>
      </c>
      <c r="AP646">
        <f t="shared" si="342"/>
        <v>0</v>
      </c>
      <c r="AQ646">
        <f t="shared" ca="1" si="334"/>
        <v>1.0000000000000004</v>
      </c>
      <c r="AR646" t="str">
        <f t="shared" ca="1" si="335"/>
        <v>Supercritical</v>
      </c>
      <c r="AS646">
        <f t="shared" ca="1" si="336"/>
        <v>3.8141460404132466E-3</v>
      </c>
    </row>
    <row r="647" spans="1:45" x14ac:dyDescent="0.35">
      <c r="A647">
        <v>586</v>
      </c>
      <c r="B647">
        <v>584.99599999999998</v>
      </c>
      <c r="C647">
        <v>616165.30599999998</v>
      </c>
      <c r="D647">
        <v>3097404.2110000001</v>
      </c>
      <c r="E647">
        <v>632.27</v>
      </c>
      <c r="F647">
        <v>5.2</v>
      </c>
      <c r="G647">
        <v>0</v>
      </c>
      <c r="H647" t="s">
        <v>154</v>
      </c>
      <c r="I647">
        <v>2.3E-2</v>
      </c>
      <c r="J647">
        <f t="shared" si="337"/>
        <v>1.0009999999999764</v>
      </c>
      <c r="K647">
        <f t="shared" ca="1" si="338"/>
        <v>50.95</v>
      </c>
      <c r="L647">
        <f t="shared" ca="1" si="339"/>
        <v>2.1389677043987478</v>
      </c>
      <c r="M647">
        <f t="shared" ca="1" si="312"/>
        <v>11.122632062873489</v>
      </c>
      <c r="N647">
        <f t="shared" ca="1" si="313"/>
        <v>1.1735290000551568</v>
      </c>
      <c r="O647">
        <f t="shared" ca="1" si="314"/>
        <v>4.5807502857230418</v>
      </c>
      <c r="P647">
        <f t="shared" ca="1" si="315"/>
        <v>634.40896770439872</v>
      </c>
      <c r="Q647">
        <f t="shared" ca="1" si="316"/>
        <v>635.47845155659809</v>
      </c>
      <c r="R647">
        <f t="shared" ca="1" si="317"/>
        <v>3.8141460404132466E-3</v>
      </c>
      <c r="S647">
        <f t="shared" ca="1" si="318"/>
        <v>1.0000000000000004</v>
      </c>
      <c r="T647">
        <f t="shared" ca="1" si="319"/>
        <v>35.686426155594638</v>
      </c>
      <c r="U647">
        <f t="shared" ca="1" si="340"/>
        <v>-3.3589570674621427E-3</v>
      </c>
      <c r="V647">
        <f t="shared" ca="1" si="341"/>
        <v>1</v>
      </c>
      <c r="W647">
        <f t="shared" ca="1" si="320"/>
        <v>1.7069123552671603</v>
      </c>
      <c r="X647">
        <f t="shared" ca="1" si="321"/>
        <v>8.8759442473892349</v>
      </c>
      <c r="Y647">
        <f t="shared" ca="1" si="322"/>
        <v>1.0304300987846147</v>
      </c>
      <c r="Z647">
        <f t="shared" ca="1" si="323"/>
        <v>5.7402343435163425</v>
      </c>
      <c r="AA647">
        <f t="shared" ca="1" si="324"/>
        <v>633.97691235526713</v>
      </c>
      <c r="AB647">
        <f t="shared" ca="1" si="325"/>
        <v>635.65633591890037</v>
      </c>
      <c r="AC647">
        <f t="shared" ca="1" si="326"/>
        <v>7.1233406850273939E-3</v>
      </c>
      <c r="AD647">
        <f t="shared" ca="1" si="327"/>
        <v>1.4027798148756074</v>
      </c>
      <c r="AE647">
        <f t="shared" ca="1" si="328"/>
        <v>37.388169287386646</v>
      </c>
      <c r="AF647">
        <f t="shared" ca="1" si="329"/>
        <v>6.6233406849960375E-3</v>
      </c>
      <c r="AG647">
        <f t="shared" ca="1" si="330"/>
        <v>0</v>
      </c>
      <c r="AH647">
        <f ca="1">IFERROR(IF(V32="Supercritical",MAX($D$16,IFERROR(L647,MAX($D$16,POWER((ABS(K647)^2)/($I$5*MAX(F647,0.1)^2),1/3)))),IF(V32="Subcritical",MAX($D$16,IFERROR(W647,MAX($D$16,POWER((ABS(K647)^2)/($I$5*MAX(F647,0.1)^2),1/3)))),IF(AND(IFERROR(V647,0)=1,IFERROR(AG647,0)=1),IF(IFERROR(T647,-1E+99)&gt;=IFERROR(AE647,-1E+99),MAX($D$16,IFERROR(L647,MAX($D$16,POWER((ABS(K647)^2)/($I$5*MAX(F647,0.1)^2),1/3)))),MAX($D$16,IFERROR(W647,MAX($D$16,POWER((ABS(K647)^2)/($I$5*MAX(F647,0.1)^2),1/3))))),IF(IFERROR(V647,0)=1,MAX($D$16,IFERROR(L647,MAX($D$16,POWER((ABS(K647)^2)/($I$5*MAX(F647,0.1)^2),1/3)))),IF(IFERROR(AG647,0)=1,MAX($D$16,IFERROR(W647,MAX($D$16,POWER((ABS(K647)^2)/($I$5*MAX(F647,0.1)^2),1/3)))),MAX($D$16,POWER((ABS(K647)^2)/($I$5*MAX(F647,0.1)^2),1/3))))))),MAX($D$16,POWER((ABS(K647)^2)/($I$5*MAX(F647,0.1)^2),1/3)))</f>
        <v>2.1389677043987478</v>
      </c>
      <c r="AI647">
        <f t="shared" ca="1" si="331"/>
        <v>634.40896770439872</v>
      </c>
      <c r="AJ647">
        <f t="shared" ca="1" si="332"/>
        <v>635.47845155659809</v>
      </c>
      <c r="AM647">
        <v>0</v>
      </c>
      <c r="AN647">
        <v>0</v>
      </c>
      <c r="AO647">
        <f t="shared" si="333"/>
        <v>0</v>
      </c>
      <c r="AP647">
        <f t="shared" si="342"/>
        <v>0</v>
      </c>
      <c r="AQ647">
        <f t="shared" ca="1" si="334"/>
        <v>1.0000000000000004</v>
      </c>
      <c r="AR647" t="str">
        <f t="shared" ca="1" si="335"/>
        <v>Supercritical</v>
      </c>
      <c r="AS647">
        <f t="shared" ca="1" si="336"/>
        <v>3.8141460404132466E-3</v>
      </c>
    </row>
    <row r="648" spans="1:45" x14ac:dyDescent="0.35">
      <c r="A648">
        <v>587</v>
      </c>
      <c r="B648">
        <v>585.99599999999998</v>
      </c>
      <c r="C648">
        <v>616164.83200000005</v>
      </c>
      <c r="D648">
        <v>3097403.3309999998</v>
      </c>
      <c r="E648">
        <v>632.26949999999999</v>
      </c>
      <c r="F648">
        <v>5.2</v>
      </c>
      <c r="G648">
        <v>0</v>
      </c>
      <c r="H648" t="s">
        <v>154</v>
      </c>
      <c r="I648">
        <v>0</v>
      </c>
      <c r="J648">
        <f t="shared" si="337"/>
        <v>1</v>
      </c>
      <c r="K648">
        <f t="shared" ca="1" si="338"/>
        <v>50.95</v>
      </c>
      <c r="L648">
        <f t="shared" ca="1" si="339"/>
        <v>2.1389677043987478</v>
      </c>
      <c r="M648">
        <f t="shared" ca="1" si="312"/>
        <v>11.122632062873489</v>
      </c>
      <c r="N648">
        <f t="shared" ca="1" si="313"/>
        <v>1.1735290000551568</v>
      </c>
      <c r="O648">
        <f t="shared" ca="1" si="314"/>
        <v>4.5807502857230418</v>
      </c>
      <c r="P648">
        <f t="shared" ca="1" si="315"/>
        <v>634.40846770439873</v>
      </c>
      <c r="Q648">
        <f t="shared" ca="1" si="316"/>
        <v>635.4779515565981</v>
      </c>
      <c r="R648">
        <f t="shared" ca="1" si="317"/>
        <v>3.8141460404132466E-3</v>
      </c>
      <c r="S648">
        <f t="shared" ca="1" si="318"/>
        <v>1.0000000000000004</v>
      </c>
      <c r="T648">
        <f t="shared" ca="1" si="319"/>
        <v>35.686426155594638</v>
      </c>
      <c r="U648">
        <f t="shared" ca="1" si="340"/>
        <v>-3.3141460404522149E-3</v>
      </c>
      <c r="V648">
        <f t="shared" ca="1" si="341"/>
        <v>1</v>
      </c>
      <c r="W648">
        <f t="shared" ca="1" si="320"/>
        <v>1.7069123542210425</v>
      </c>
      <c r="X648">
        <f t="shared" ca="1" si="321"/>
        <v>8.875944241949421</v>
      </c>
      <c r="Y648">
        <f t="shared" ca="1" si="322"/>
        <v>1.0304300984033774</v>
      </c>
      <c r="Z648">
        <f t="shared" ca="1" si="323"/>
        <v>5.7402343470343693</v>
      </c>
      <c r="AA648">
        <f t="shared" ca="1" si="324"/>
        <v>633.976412354221</v>
      </c>
      <c r="AB648">
        <f t="shared" ca="1" si="325"/>
        <v>635.65583591991276</v>
      </c>
      <c r="AC648">
        <f t="shared" ca="1" si="326"/>
        <v>7.1233406972727601E-3</v>
      </c>
      <c r="AD648">
        <f t="shared" ca="1" si="327"/>
        <v>1.4027798161651936</v>
      </c>
      <c r="AE648">
        <f t="shared" ca="1" si="328"/>
        <v>37.388169296372865</v>
      </c>
      <c r="AF648">
        <f t="shared" ca="1" si="329"/>
        <v>6.6917914170971926E-3</v>
      </c>
      <c r="AG648">
        <f t="shared" ca="1" si="330"/>
        <v>0</v>
      </c>
      <c r="AH648">
        <f ca="1">IFERROR(IF(V32="Supercritical",MAX($D$16,IFERROR(L648,MAX($D$16,POWER((ABS(K648)^2)/($I$5*MAX(F648,0.1)^2),1/3)))),IF(V32="Subcritical",MAX($D$16,IFERROR(W648,MAX($D$16,POWER((ABS(K648)^2)/($I$5*MAX(F648,0.1)^2),1/3)))),IF(AND(IFERROR(V648,0)=1,IFERROR(AG648,0)=1),IF(IFERROR(T648,-1E+99)&gt;=IFERROR(AE648,-1E+99),MAX($D$16,IFERROR(L648,MAX($D$16,POWER((ABS(K648)^2)/($I$5*MAX(F648,0.1)^2),1/3)))),MAX($D$16,IFERROR(W648,MAX($D$16,POWER((ABS(K648)^2)/($I$5*MAX(F648,0.1)^2),1/3))))),IF(IFERROR(V648,0)=1,MAX($D$16,IFERROR(L648,MAX($D$16,POWER((ABS(K648)^2)/($I$5*MAX(F648,0.1)^2),1/3)))),IF(IFERROR(AG648,0)=1,MAX($D$16,IFERROR(W648,MAX($D$16,POWER((ABS(K648)^2)/($I$5*MAX(F648,0.1)^2),1/3)))),MAX($D$16,POWER((ABS(K648)^2)/($I$5*MAX(F648,0.1)^2),1/3))))))),MAX($D$16,POWER((ABS(K648)^2)/($I$5*MAX(F648,0.1)^2),1/3)))</f>
        <v>2.1389677043987478</v>
      </c>
      <c r="AI648">
        <f t="shared" ca="1" si="331"/>
        <v>634.40846770439873</v>
      </c>
      <c r="AJ648">
        <f t="shared" ca="1" si="332"/>
        <v>635.4779515565981</v>
      </c>
      <c r="AM648">
        <v>0</v>
      </c>
      <c r="AN648">
        <v>0</v>
      </c>
      <c r="AO648">
        <f t="shared" si="333"/>
        <v>0</v>
      </c>
      <c r="AP648">
        <f t="shared" si="342"/>
        <v>0</v>
      </c>
      <c r="AQ648">
        <f t="shared" ca="1" si="334"/>
        <v>1.0000000000000004</v>
      </c>
      <c r="AR648" t="str">
        <f t="shared" ca="1" si="335"/>
        <v>Supercritical</v>
      </c>
      <c r="AS648">
        <f t="shared" ca="1" si="336"/>
        <v>3.8141460404132466E-3</v>
      </c>
    </row>
    <row r="649" spans="1:45" x14ac:dyDescent="0.35">
      <c r="A649">
        <v>588</v>
      </c>
      <c r="B649">
        <v>586.995</v>
      </c>
      <c r="C649">
        <v>616164.35800000001</v>
      </c>
      <c r="D649">
        <v>3097402.4509999999</v>
      </c>
      <c r="E649">
        <v>632.26900000000001</v>
      </c>
      <c r="F649">
        <v>5.2</v>
      </c>
      <c r="G649">
        <v>0</v>
      </c>
      <c r="H649" t="s">
        <v>154</v>
      </c>
      <c r="I649">
        <v>2.7E-2</v>
      </c>
      <c r="J649">
        <f t="shared" si="337"/>
        <v>0.99900000000002365</v>
      </c>
      <c r="K649">
        <f t="shared" ca="1" si="338"/>
        <v>50.95</v>
      </c>
      <c r="L649">
        <f t="shared" ca="1" si="339"/>
        <v>2.1389677043987478</v>
      </c>
      <c r="M649">
        <f t="shared" ca="1" si="312"/>
        <v>11.122632062873489</v>
      </c>
      <c r="N649">
        <f t="shared" ca="1" si="313"/>
        <v>1.1735290000551568</v>
      </c>
      <c r="O649">
        <f t="shared" ca="1" si="314"/>
        <v>4.5807502857230418</v>
      </c>
      <c r="P649">
        <f t="shared" ca="1" si="315"/>
        <v>634.40796770439874</v>
      </c>
      <c r="Q649">
        <f t="shared" ca="1" si="316"/>
        <v>635.47745155659811</v>
      </c>
      <c r="R649">
        <f t="shared" ca="1" si="317"/>
        <v>3.8141460404132466E-3</v>
      </c>
      <c r="S649">
        <f t="shared" ca="1" si="318"/>
        <v>1.0000000000000004</v>
      </c>
      <c r="T649">
        <f t="shared" ca="1" si="319"/>
        <v>35.686426155594638</v>
      </c>
      <c r="U649">
        <f t="shared" ca="1" si="340"/>
        <v>-3.3584586676624895E-3</v>
      </c>
      <c r="V649">
        <f t="shared" ca="1" si="341"/>
        <v>1</v>
      </c>
      <c r="W649">
        <f t="shared" ca="1" si="320"/>
        <v>1.7069123532443304</v>
      </c>
      <c r="X649">
        <f t="shared" ca="1" si="321"/>
        <v>8.8759442368705184</v>
      </c>
      <c r="Y649">
        <f t="shared" ca="1" si="322"/>
        <v>1.0304300980474339</v>
      </c>
      <c r="Z649">
        <f t="shared" ca="1" si="323"/>
        <v>5.7402343503189881</v>
      </c>
      <c r="AA649">
        <f t="shared" ca="1" si="324"/>
        <v>633.97591235324433</v>
      </c>
      <c r="AB649">
        <f t="shared" ca="1" si="325"/>
        <v>635.65533592085808</v>
      </c>
      <c r="AC649">
        <f t="shared" ca="1" si="326"/>
        <v>7.1233407087056928E-3</v>
      </c>
      <c r="AD649">
        <f t="shared" ca="1" si="327"/>
        <v>1.4027798173692201</v>
      </c>
      <c r="AE649">
        <f t="shared" ca="1" si="328"/>
        <v>37.388169304762883</v>
      </c>
      <c r="AF649">
        <f t="shared" ca="1" si="329"/>
        <v>6.7060381099963706E-3</v>
      </c>
      <c r="AG649">
        <f t="shared" ca="1" si="330"/>
        <v>0</v>
      </c>
      <c r="AH649">
        <f ca="1">IFERROR(IF(V32="Supercritical",MAX($D$16,IFERROR(L649,MAX($D$16,POWER((ABS(K649)^2)/($I$5*MAX(F649,0.1)^2),1/3)))),IF(V32="Subcritical",MAX($D$16,IFERROR(W649,MAX($D$16,POWER((ABS(K649)^2)/($I$5*MAX(F649,0.1)^2),1/3)))),IF(AND(IFERROR(V649,0)=1,IFERROR(AG649,0)=1),IF(IFERROR(T649,-1E+99)&gt;=IFERROR(AE649,-1E+99),MAX($D$16,IFERROR(L649,MAX($D$16,POWER((ABS(K649)^2)/($I$5*MAX(F649,0.1)^2),1/3)))),MAX($D$16,IFERROR(W649,MAX($D$16,POWER((ABS(K649)^2)/($I$5*MAX(F649,0.1)^2),1/3))))),IF(IFERROR(V649,0)=1,MAX($D$16,IFERROR(L649,MAX($D$16,POWER((ABS(K649)^2)/($I$5*MAX(F649,0.1)^2),1/3)))),IF(IFERROR(AG649,0)=1,MAX($D$16,IFERROR(W649,MAX($D$16,POWER((ABS(K649)^2)/($I$5*MAX(F649,0.1)^2),1/3)))),MAX($D$16,POWER((ABS(K649)^2)/($I$5*MAX(F649,0.1)^2),1/3))))))),MAX($D$16,POWER((ABS(K649)^2)/($I$5*MAX(F649,0.1)^2),1/3)))</f>
        <v>2.1389677043987478</v>
      </c>
      <c r="AI649">
        <f t="shared" ca="1" si="331"/>
        <v>634.40796770439874</v>
      </c>
      <c r="AJ649">
        <f t="shared" ca="1" si="332"/>
        <v>635.47745155659811</v>
      </c>
      <c r="AM649">
        <v>0</v>
      </c>
      <c r="AN649">
        <v>0</v>
      </c>
      <c r="AO649">
        <f t="shared" si="333"/>
        <v>0</v>
      </c>
      <c r="AP649">
        <f t="shared" si="342"/>
        <v>0</v>
      </c>
      <c r="AQ649">
        <f t="shared" ca="1" si="334"/>
        <v>1.0000000000000004</v>
      </c>
      <c r="AR649" t="str">
        <f t="shared" ca="1" si="335"/>
        <v>Supercritical</v>
      </c>
      <c r="AS649">
        <f t="shared" ca="1" si="336"/>
        <v>3.8141460404132466E-3</v>
      </c>
    </row>
    <row r="650" spans="1:45" x14ac:dyDescent="0.35">
      <c r="A650">
        <v>589</v>
      </c>
      <c r="B650">
        <v>587.99599999999998</v>
      </c>
      <c r="C650">
        <v>616163.88399999996</v>
      </c>
      <c r="D650">
        <v>3097401.57</v>
      </c>
      <c r="E650">
        <v>632.26850000000002</v>
      </c>
      <c r="F650">
        <v>5.2</v>
      </c>
      <c r="G650">
        <v>0</v>
      </c>
      <c r="H650" t="s">
        <v>154</v>
      </c>
      <c r="I650">
        <v>2.7E-2</v>
      </c>
      <c r="J650">
        <f t="shared" si="337"/>
        <v>1.0009999999999764</v>
      </c>
      <c r="K650">
        <f t="shared" ca="1" si="338"/>
        <v>50.95</v>
      </c>
      <c r="L650">
        <f t="shared" ca="1" si="339"/>
        <v>2.1389677043987478</v>
      </c>
      <c r="M650">
        <f t="shared" ca="1" si="312"/>
        <v>11.122632062873489</v>
      </c>
      <c r="N650">
        <f t="shared" ca="1" si="313"/>
        <v>1.1735290000551568</v>
      </c>
      <c r="O650">
        <f t="shared" ca="1" si="314"/>
        <v>4.5807502857230418</v>
      </c>
      <c r="P650">
        <f t="shared" ca="1" si="315"/>
        <v>634.40746770439875</v>
      </c>
      <c r="Q650">
        <f t="shared" ca="1" si="316"/>
        <v>635.47695155659812</v>
      </c>
      <c r="R650">
        <f t="shared" ca="1" si="317"/>
        <v>3.8141460404132466E-3</v>
      </c>
      <c r="S650">
        <f t="shared" ca="1" si="318"/>
        <v>1.0000000000000004</v>
      </c>
      <c r="T650">
        <f t="shared" ca="1" si="319"/>
        <v>35.686426155594638</v>
      </c>
      <c r="U650">
        <f t="shared" ca="1" si="340"/>
        <v>-3.3660869597724741E-3</v>
      </c>
      <c r="V650">
        <f t="shared" ca="1" si="341"/>
        <v>1</v>
      </c>
      <c r="W650">
        <f t="shared" ca="1" si="320"/>
        <v>1.7069123523324199</v>
      </c>
      <c r="X650">
        <f t="shared" ca="1" si="321"/>
        <v>8.8759442321285835</v>
      </c>
      <c r="Y650">
        <f t="shared" ca="1" si="322"/>
        <v>1.030430097715106</v>
      </c>
      <c r="Z650">
        <f t="shared" ca="1" si="323"/>
        <v>5.7402343533856834</v>
      </c>
      <c r="AA650">
        <f t="shared" ca="1" si="324"/>
        <v>633.97541235233246</v>
      </c>
      <c r="AB650">
        <f t="shared" ca="1" si="325"/>
        <v>635.65483592174064</v>
      </c>
      <c r="AC650">
        <f t="shared" ca="1" si="326"/>
        <v>7.1233407193800865E-3</v>
      </c>
      <c r="AD650">
        <f t="shared" ca="1" si="327"/>
        <v>1.4027798184933638</v>
      </c>
      <c r="AE650">
        <f t="shared" ca="1" si="328"/>
        <v>37.388169312596247</v>
      </c>
      <c r="AF650">
        <f t="shared" ca="1" si="329"/>
        <v>6.680595282205104E-3</v>
      </c>
      <c r="AG650">
        <f t="shared" ca="1" si="330"/>
        <v>0</v>
      </c>
      <c r="AH650">
        <f ca="1">IFERROR(IF(V32="Supercritical",MAX($D$16,IFERROR(L650,MAX($D$16,POWER((ABS(K650)^2)/($I$5*MAX(F650,0.1)^2),1/3)))),IF(V32="Subcritical",MAX($D$16,IFERROR(W650,MAX($D$16,POWER((ABS(K650)^2)/($I$5*MAX(F650,0.1)^2),1/3)))),IF(AND(IFERROR(V650,0)=1,IFERROR(AG650,0)=1),IF(IFERROR(T650,-1E+99)&gt;=IFERROR(AE650,-1E+99),MAX($D$16,IFERROR(L650,MAX($D$16,POWER((ABS(K650)^2)/($I$5*MAX(F650,0.1)^2),1/3)))),MAX($D$16,IFERROR(W650,MAX($D$16,POWER((ABS(K650)^2)/($I$5*MAX(F650,0.1)^2),1/3))))),IF(IFERROR(V650,0)=1,MAX($D$16,IFERROR(L650,MAX($D$16,POWER((ABS(K650)^2)/($I$5*MAX(F650,0.1)^2),1/3)))),IF(IFERROR(AG650,0)=1,MAX($D$16,IFERROR(W650,MAX($D$16,POWER((ABS(K650)^2)/($I$5*MAX(F650,0.1)^2),1/3)))),MAX($D$16,POWER((ABS(K650)^2)/($I$5*MAX(F650,0.1)^2),1/3))))))),MAX($D$16,POWER((ABS(K650)^2)/($I$5*MAX(F650,0.1)^2),1/3)))</f>
        <v>2.1389677043987478</v>
      </c>
      <c r="AI650">
        <f t="shared" ca="1" si="331"/>
        <v>634.40746770439875</v>
      </c>
      <c r="AJ650">
        <f t="shared" ca="1" si="332"/>
        <v>635.47695155659812</v>
      </c>
      <c r="AM650">
        <v>0</v>
      </c>
      <c r="AN650">
        <v>0</v>
      </c>
      <c r="AO650">
        <f t="shared" si="333"/>
        <v>0</v>
      </c>
      <c r="AP650">
        <f t="shared" si="342"/>
        <v>0</v>
      </c>
      <c r="AQ650">
        <f t="shared" ca="1" si="334"/>
        <v>1.0000000000000004</v>
      </c>
      <c r="AR650" t="str">
        <f t="shared" ca="1" si="335"/>
        <v>Supercritical</v>
      </c>
      <c r="AS650">
        <f t="shared" ca="1" si="336"/>
        <v>3.8141460404132466E-3</v>
      </c>
    </row>
    <row r="651" spans="1:45" x14ac:dyDescent="0.35">
      <c r="A651">
        <v>590</v>
      </c>
      <c r="B651">
        <v>588.995</v>
      </c>
      <c r="C651">
        <v>616163.41</v>
      </c>
      <c r="D651">
        <v>3097400.69</v>
      </c>
      <c r="E651">
        <v>632.26800000000003</v>
      </c>
      <c r="F651">
        <v>5.2</v>
      </c>
      <c r="G651">
        <v>0</v>
      </c>
      <c r="H651" t="s">
        <v>154</v>
      </c>
      <c r="I651">
        <v>2.3E-2</v>
      </c>
      <c r="J651">
        <f t="shared" si="337"/>
        <v>0.99900000000002365</v>
      </c>
      <c r="K651">
        <f t="shared" ca="1" si="338"/>
        <v>50.95</v>
      </c>
      <c r="L651">
        <f t="shared" ca="1" si="339"/>
        <v>2.1389677043987478</v>
      </c>
      <c r="M651">
        <f t="shared" ca="1" si="312"/>
        <v>11.122632062873489</v>
      </c>
      <c r="N651">
        <f t="shared" ca="1" si="313"/>
        <v>1.1735290000551568</v>
      </c>
      <c r="O651">
        <f t="shared" ca="1" si="314"/>
        <v>4.5807502857230418</v>
      </c>
      <c r="P651">
        <f t="shared" ca="1" si="315"/>
        <v>634.40696770439877</v>
      </c>
      <c r="Q651">
        <f t="shared" ca="1" si="316"/>
        <v>635.47645155659814</v>
      </c>
      <c r="R651">
        <f t="shared" ca="1" si="317"/>
        <v>3.8141460404132466E-3</v>
      </c>
      <c r="S651">
        <f t="shared" ca="1" si="318"/>
        <v>1.0000000000000004</v>
      </c>
      <c r="T651">
        <f t="shared" ca="1" si="319"/>
        <v>35.686426155594638</v>
      </c>
      <c r="U651">
        <f t="shared" ca="1" si="340"/>
        <v>-3.3513287753521581E-3</v>
      </c>
      <c r="V651">
        <f t="shared" ca="1" si="341"/>
        <v>1</v>
      </c>
      <c r="W651">
        <f t="shared" ca="1" si="320"/>
        <v>1.7069123514810134</v>
      </c>
      <c r="X651">
        <f t="shared" ca="1" si="321"/>
        <v>8.8759442277012699</v>
      </c>
      <c r="Y651">
        <f t="shared" ca="1" si="322"/>
        <v>1.0304300974048273</v>
      </c>
      <c r="Z651">
        <f t="shared" ca="1" si="323"/>
        <v>5.7402343562489069</v>
      </c>
      <c r="AA651">
        <f t="shared" ca="1" si="324"/>
        <v>633.97491235148107</v>
      </c>
      <c r="AB651">
        <f t="shared" ca="1" si="325"/>
        <v>635.65433592256466</v>
      </c>
      <c r="AC651">
        <f t="shared" ca="1" si="326"/>
        <v>7.1233407293462541E-3</v>
      </c>
      <c r="AD651">
        <f t="shared" ca="1" si="327"/>
        <v>1.4027798195429217</v>
      </c>
      <c r="AE651">
        <f t="shared" ca="1" si="328"/>
        <v>37.388169319909878</v>
      </c>
      <c r="AF651">
        <f t="shared" ca="1" si="329"/>
        <v>6.6948419736263531E-3</v>
      </c>
      <c r="AG651">
        <f t="shared" ca="1" si="330"/>
        <v>0</v>
      </c>
      <c r="AH651">
        <f ca="1">IFERROR(IF(V32="Supercritical",MAX($D$16,IFERROR(L651,MAX($D$16,POWER((ABS(K651)^2)/($I$5*MAX(F651,0.1)^2),1/3)))),IF(V32="Subcritical",MAX($D$16,IFERROR(W651,MAX($D$16,POWER((ABS(K651)^2)/($I$5*MAX(F651,0.1)^2),1/3)))),IF(AND(IFERROR(V651,0)=1,IFERROR(AG651,0)=1),IF(IFERROR(T651,-1E+99)&gt;=IFERROR(AE651,-1E+99),MAX($D$16,IFERROR(L651,MAX($D$16,POWER((ABS(K651)^2)/($I$5*MAX(F651,0.1)^2),1/3)))),MAX($D$16,IFERROR(W651,MAX($D$16,POWER((ABS(K651)^2)/($I$5*MAX(F651,0.1)^2),1/3))))),IF(IFERROR(V651,0)=1,MAX($D$16,IFERROR(L651,MAX($D$16,POWER((ABS(K651)^2)/($I$5*MAX(F651,0.1)^2),1/3)))),IF(IFERROR(AG651,0)=1,MAX($D$16,IFERROR(W651,MAX($D$16,POWER((ABS(K651)^2)/($I$5*MAX(F651,0.1)^2),1/3)))),MAX($D$16,POWER((ABS(K651)^2)/($I$5*MAX(F651,0.1)^2),1/3))))))),MAX($D$16,POWER((ABS(K651)^2)/($I$5*MAX(F651,0.1)^2),1/3)))</f>
        <v>2.1389677043987478</v>
      </c>
      <c r="AI651">
        <f t="shared" ca="1" si="331"/>
        <v>634.40696770439877</v>
      </c>
      <c r="AJ651">
        <f t="shared" ca="1" si="332"/>
        <v>635.47645155659814</v>
      </c>
      <c r="AM651">
        <v>0</v>
      </c>
      <c r="AN651">
        <v>0</v>
      </c>
      <c r="AO651">
        <f t="shared" si="333"/>
        <v>0</v>
      </c>
      <c r="AP651">
        <f t="shared" si="342"/>
        <v>0</v>
      </c>
      <c r="AQ651">
        <f t="shared" ca="1" si="334"/>
        <v>1.0000000000000004</v>
      </c>
      <c r="AR651" t="str">
        <f t="shared" ca="1" si="335"/>
        <v>Supercritical</v>
      </c>
      <c r="AS651">
        <f t="shared" ca="1" si="336"/>
        <v>3.8141460404132466E-3</v>
      </c>
    </row>
    <row r="652" spans="1:45" x14ac:dyDescent="0.35">
      <c r="A652">
        <v>591</v>
      </c>
      <c r="B652">
        <v>589.99599999999998</v>
      </c>
      <c r="C652">
        <v>616162.93500000006</v>
      </c>
      <c r="D652">
        <v>3097399.8089999999</v>
      </c>
      <c r="E652">
        <v>632.26750000000004</v>
      </c>
      <c r="F652">
        <v>5.2</v>
      </c>
      <c r="G652">
        <v>0</v>
      </c>
      <c r="H652" t="s">
        <v>154</v>
      </c>
      <c r="I652">
        <v>2.3E-2</v>
      </c>
      <c r="J652">
        <f t="shared" si="337"/>
        <v>1.0009999999999764</v>
      </c>
      <c r="K652">
        <f t="shared" ca="1" si="338"/>
        <v>50.95</v>
      </c>
      <c r="L652">
        <f t="shared" ca="1" si="339"/>
        <v>2.1389677043987478</v>
      </c>
      <c r="M652">
        <f t="shared" ca="1" si="312"/>
        <v>11.122632062873489</v>
      </c>
      <c r="N652">
        <f t="shared" ca="1" si="313"/>
        <v>1.1735290000551568</v>
      </c>
      <c r="O652">
        <f t="shared" ca="1" si="314"/>
        <v>4.5807502857230418</v>
      </c>
      <c r="P652">
        <f t="shared" ca="1" si="315"/>
        <v>634.40646770439878</v>
      </c>
      <c r="Q652">
        <f t="shared" ca="1" si="316"/>
        <v>635.47595155659815</v>
      </c>
      <c r="R652">
        <f t="shared" ca="1" si="317"/>
        <v>3.8141460404132466E-3</v>
      </c>
      <c r="S652">
        <f t="shared" ca="1" si="318"/>
        <v>1.0000000000000004</v>
      </c>
      <c r="T652">
        <f t="shared" ca="1" si="319"/>
        <v>35.686426155594638</v>
      </c>
      <c r="U652">
        <f t="shared" ca="1" si="340"/>
        <v>-3.3589570674621427E-3</v>
      </c>
      <c r="V652">
        <f t="shared" ca="1" si="341"/>
        <v>1</v>
      </c>
      <c r="W652">
        <f t="shared" ca="1" si="320"/>
        <v>1.7069123506860695</v>
      </c>
      <c r="X652">
        <f t="shared" ca="1" si="321"/>
        <v>8.8759442235675614</v>
      </c>
      <c r="Y652">
        <f t="shared" ca="1" si="322"/>
        <v>1.0304300971151257</v>
      </c>
      <c r="Z652">
        <f t="shared" ca="1" si="323"/>
        <v>5.740234358922252</v>
      </c>
      <c r="AA652">
        <f t="shared" ca="1" si="324"/>
        <v>633.97441235068607</v>
      </c>
      <c r="AB652">
        <f t="shared" ca="1" si="325"/>
        <v>635.65383592333399</v>
      </c>
      <c r="AC652">
        <f t="shared" ca="1" si="326"/>
        <v>7.1233407386514912E-3</v>
      </c>
      <c r="AD652">
        <f t="shared" ca="1" si="327"/>
        <v>1.4027798205228765</v>
      </c>
      <c r="AE652">
        <f t="shared" ca="1" si="328"/>
        <v>37.388169326738499</v>
      </c>
      <c r="AF652">
        <f t="shared" ca="1" si="329"/>
        <v>6.6233407386562249E-3</v>
      </c>
      <c r="AG652">
        <f t="shared" ca="1" si="330"/>
        <v>0</v>
      </c>
      <c r="AH652">
        <f ca="1">IFERROR(IF(V32="Supercritical",MAX($D$16,IFERROR(L652,MAX($D$16,POWER((ABS(K652)^2)/($I$5*MAX(F652,0.1)^2),1/3)))),IF(V32="Subcritical",MAX($D$16,IFERROR(W652,MAX($D$16,POWER((ABS(K652)^2)/($I$5*MAX(F652,0.1)^2),1/3)))),IF(AND(IFERROR(V652,0)=1,IFERROR(AG652,0)=1),IF(IFERROR(T652,-1E+99)&gt;=IFERROR(AE652,-1E+99),MAX($D$16,IFERROR(L652,MAX($D$16,POWER((ABS(K652)^2)/($I$5*MAX(F652,0.1)^2),1/3)))),MAX($D$16,IFERROR(W652,MAX($D$16,POWER((ABS(K652)^2)/($I$5*MAX(F652,0.1)^2),1/3))))),IF(IFERROR(V652,0)=1,MAX($D$16,IFERROR(L652,MAX($D$16,POWER((ABS(K652)^2)/($I$5*MAX(F652,0.1)^2),1/3)))),IF(IFERROR(AG652,0)=1,MAX($D$16,IFERROR(W652,MAX($D$16,POWER((ABS(K652)^2)/($I$5*MAX(F652,0.1)^2),1/3)))),MAX($D$16,POWER((ABS(K652)^2)/($I$5*MAX(F652,0.1)^2),1/3))))))),MAX($D$16,POWER((ABS(K652)^2)/($I$5*MAX(F652,0.1)^2),1/3)))</f>
        <v>2.1389677043987478</v>
      </c>
      <c r="AI652">
        <f t="shared" ca="1" si="331"/>
        <v>634.40646770439878</v>
      </c>
      <c r="AJ652">
        <f t="shared" ca="1" si="332"/>
        <v>635.47595155659815</v>
      </c>
      <c r="AM652">
        <v>0</v>
      </c>
      <c r="AN652">
        <v>0</v>
      </c>
      <c r="AO652">
        <f t="shared" si="333"/>
        <v>0</v>
      </c>
      <c r="AP652">
        <f t="shared" si="342"/>
        <v>0</v>
      </c>
      <c r="AQ652">
        <f t="shared" ca="1" si="334"/>
        <v>1.0000000000000004</v>
      </c>
      <c r="AR652" t="str">
        <f t="shared" ca="1" si="335"/>
        <v>Supercritical</v>
      </c>
      <c r="AS652">
        <f t="shared" ca="1" si="336"/>
        <v>3.8141460404132466E-3</v>
      </c>
    </row>
    <row r="653" spans="1:45" x14ac:dyDescent="0.35">
      <c r="A653">
        <v>592</v>
      </c>
      <c r="B653">
        <v>590.99599999999998</v>
      </c>
      <c r="C653">
        <v>616162.46100000001</v>
      </c>
      <c r="D653">
        <v>3097398.929</v>
      </c>
      <c r="E653">
        <v>632.26700000000005</v>
      </c>
      <c r="F653">
        <v>5.2</v>
      </c>
      <c r="G653">
        <v>0</v>
      </c>
      <c r="H653" t="s">
        <v>154</v>
      </c>
      <c r="I653">
        <v>0</v>
      </c>
      <c r="J653">
        <f t="shared" si="337"/>
        <v>1</v>
      </c>
      <c r="K653">
        <f t="shared" ca="1" si="338"/>
        <v>50.95</v>
      </c>
      <c r="L653">
        <f t="shared" ca="1" si="339"/>
        <v>2.1389677043987478</v>
      </c>
      <c r="M653">
        <f t="shared" ca="1" si="312"/>
        <v>11.122632062873489</v>
      </c>
      <c r="N653">
        <f t="shared" ca="1" si="313"/>
        <v>1.1735290000551568</v>
      </c>
      <c r="O653">
        <f t="shared" ca="1" si="314"/>
        <v>4.5807502857230418</v>
      </c>
      <c r="P653">
        <f t="shared" ca="1" si="315"/>
        <v>634.40596770439879</v>
      </c>
      <c r="Q653">
        <f t="shared" ca="1" si="316"/>
        <v>635.47545155659816</v>
      </c>
      <c r="R653">
        <f t="shared" ca="1" si="317"/>
        <v>3.8141460404132466E-3</v>
      </c>
      <c r="S653">
        <f t="shared" ca="1" si="318"/>
        <v>1.0000000000000004</v>
      </c>
      <c r="T653">
        <f t="shared" ca="1" si="319"/>
        <v>35.686426155594638</v>
      </c>
      <c r="U653">
        <f t="shared" ca="1" si="340"/>
        <v>-3.3141460404522149E-3</v>
      </c>
      <c r="V653">
        <f t="shared" ca="1" si="341"/>
        <v>1</v>
      </c>
      <c r="W653">
        <f t="shared" ca="1" si="320"/>
        <v>1.7069123499438876</v>
      </c>
      <c r="X653">
        <f t="shared" ca="1" si="321"/>
        <v>8.8759442197082166</v>
      </c>
      <c r="Y653">
        <f t="shared" ca="1" si="322"/>
        <v>1.030430096844652</v>
      </c>
      <c r="Z653">
        <f t="shared" ca="1" si="323"/>
        <v>5.7402343614181603</v>
      </c>
      <c r="AA653">
        <f t="shared" ca="1" si="324"/>
        <v>633.97391234994393</v>
      </c>
      <c r="AB653">
        <f t="shared" ca="1" si="325"/>
        <v>635.65333592405227</v>
      </c>
      <c r="AC653">
        <f t="shared" ca="1" si="326"/>
        <v>7.1233407473391226E-3</v>
      </c>
      <c r="AD653">
        <f t="shared" ca="1" si="327"/>
        <v>1.4027798214377898</v>
      </c>
      <c r="AE653">
        <f t="shared" ca="1" si="328"/>
        <v>37.388169333113886</v>
      </c>
      <c r="AF653">
        <f t="shared" ca="1" si="329"/>
        <v>6.6917914673467749E-3</v>
      </c>
      <c r="AG653">
        <f t="shared" ca="1" si="330"/>
        <v>0</v>
      </c>
      <c r="AH653">
        <f ca="1">IFERROR(IF(V32="Supercritical",MAX($D$16,IFERROR(L653,MAX($D$16,POWER((ABS(K653)^2)/($I$5*MAX(F653,0.1)^2),1/3)))),IF(V32="Subcritical",MAX($D$16,IFERROR(W653,MAX($D$16,POWER((ABS(K653)^2)/($I$5*MAX(F653,0.1)^2),1/3)))),IF(AND(IFERROR(V653,0)=1,IFERROR(AG653,0)=1),IF(IFERROR(T653,-1E+99)&gt;=IFERROR(AE653,-1E+99),MAX($D$16,IFERROR(L653,MAX($D$16,POWER((ABS(K653)^2)/($I$5*MAX(F653,0.1)^2),1/3)))),MAX($D$16,IFERROR(W653,MAX($D$16,POWER((ABS(K653)^2)/($I$5*MAX(F653,0.1)^2),1/3))))),IF(IFERROR(V653,0)=1,MAX($D$16,IFERROR(L653,MAX($D$16,POWER((ABS(K653)^2)/($I$5*MAX(F653,0.1)^2),1/3)))),IF(IFERROR(AG653,0)=1,MAX($D$16,IFERROR(W653,MAX($D$16,POWER((ABS(K653)^2)/($I$5*MAX(F653,0.1)^2),1/3)))),MAX($D$16,POWER((ABS(K653)^2)/($I$5*MAX(F653,0.1)^2),1/3))))))),MAX($D$16,POWER((ABS(K653)^2)/($I$5*MAX(F653,0.1)^2),1/3)))</f>
        <v>2.1389677043987478</v>
      </c>
      <c r="AI653">
        <f t="shared" ca="1" si="331"/>
        <v>634.40596770439879</v>
      </c>
      <c r="AJ653">
        <f t="shared" ca="1" si="332"/>
        <v>635.47545155659816</v>
      </c>
      <c r="AM653">
        <v>0</v>
      </c>
      <c r="AN653">
        <v>0</v>
      </c>
      <c r="AO653">
        <f t="shared" si="333"/>
        <v>0</v>
      </c>
      <c r="AP653">
        <f t="shared" si="342"/>
        <v>0</v>
      </c>
      <c r="AQ653">
        <f t="shared" ca="1" si="334"/>
        <v>1.0000000000000004</v>
      </c>
      <c r="AR653" t="str">
        <f t="shared" ca="1" si="335"/>
        <v>Supercritical</v>
      </c>
      <c r="AS653">
        <f t="shared" ca="1" si="336"/>
        <v>3.8141460404132466E-3</v>
      </c>
    </row>
    <row r="654" spans="1:45" x14ac:dyDescent="0.35">
      <c r="A654">
        <v>593</v>
      </c>
      <c r="B654">
        <v>591.995</v>
      </c>
      <c r="C654">
        <v>616161.98699999996</v>
      </c>
      <c r="D654">
        <v>3097398.0490000001</v>
      </c>
      <c r="E654">
        <v>632.26649999999995</v>
      </c>
      <c r="F654">
        <v>5.2</v>
      </c>
      <c r="G654">
        <v>0</v>
      </c>
      <c r="H654" t="s">
        <v>154</v>
      </c>
      <c r="I654">
        <v>2.7E-2</v>
      </c>
      <c r="J654">
        <f t="shared" si="337"/>
        <v>0.99900000000002365</v>
      </c>
      <c r="K654">
        <f t="shared" ca="1" si="338"/>
        <v>50.95</v>
      </c>
      <c r="L654">
        <f t="shared" ca="1" si="339"/>
        <v>2.1389677043987478</v>
      </c>
      <c r="M654">
        <f t="shared" ca="1" si="312"/>
        <v>11.122632062873489</v>
      </c>
      <c r="N654">
        <f t="shared" ca="1" si="313"/>
        <v>1.1735290000551568</v>
      </c>
      <c r="O654">
        <f t="shared" ca="1" si="314"/>
        <v>4.5807502857230418</v>
      </c>
      <c r="P654">
        <f t="shared" ca="1" si="315"/>
        <v>634.40546770439869</v>
      </c>
      <c r="Q654">
        <f t="shared" ca="1" si="316"/>
        <v>635.47495155659806</v>
      </c>
      <c r="R654">
        <f t="shared" ca="1" si="317"/>
        <v>3.8141460404132466E-3</v>
      </c>
      <c r="S654">
        <f t="shared" ca="1" si="318"/>
        <v>1.0000000000000004</v>
      </c>
      <c r="T654">
        <f t="shared" ca="1" si="319"/>
        <v>35.686426155594638</v>
      </c>
      <c r="U654">
        <f t="shared" ca="1" si="340"/>
        <v>-3.3584586675488026E-3</v>
      </c>
      <c r="V654">
        <f t="shared" ca="1" si="341"/>
        <v>1</v>
      </c>
      <c r="W654">
        <f t="shared" ca="1" si="320"/>
        <v>1.7069123492509379</v>
      </c>
      <c r="X654">
        <f t="shared" ca="1" si="321"/>
        <v>8.8759442161048767</v>
      </c>
      <c r="Y654">
        <f t="shared" ca="1" si="322"/>
        <v>1.03043009659212</v>
      </c>
      <c r="Z654">
        <f t="shared" ca="1" si="323"/>
        <v>5.7402343637485052</v>
      </c>
      <c r="AA654">
        <f t="shared" ca="1" si="324"/>
        <v>633.97341234925091</v>
      </c>
      <c r="AB654">
        <f t="shared" ca="1" si="325"/>
        <v>635.65283592472281</v>
      </c>
      <c r="AC654">
        <f t="shared" ca="1" si="326"/>
        <v>7.1233407554504666E-3</v>
      </c>
      <c r="AD654">
        <f t="shared" ca="1" si="327"/>
        <v>1.4027798222920127</v>
      </c>
      <c r="AE654">
        <f t="shared" ca="1" si="328"/>
        <v>37.388169339066366</v>
      </c>
      <c r="AF654">
        <f t="shared" ca="1" si="329"/>
        <v>6.8487891610402585E-3</v>
      </c>
      <c r="AG654">
        <f t="shared" ca="1" si="330"/>
        <v>0</v>
      </c>
      <c r="AH654">
        <f ca="1">IFERROR(IF(V32="Supercritical",MAX($D$16,IFERROR(L654,MAX($D$16,POWER((ABS(K654)^2)/($I$5*MAX(F654,0.1)^2),1/3)))),IF(V32="Subcritical",MAX($D$16,IFERROR(W654,MAX($D$16,POWER((ABS(K654)^2)/($I$5*MAX(F654,0.1)^2),1/3)))),IF(AND(IFERROR(V654,0)=1,IFERROR(AG654,0)=1),IF(IFERROR(T654,-1E+99)&gt;=IFERROR(AE654,-1E+99),MAX($D$16,IFERROR(L654,MAX($D$16,POWER((ABS(K654)^2)/($I$5*MAX(F654,0.1)^2),1/3)))),MAX($D$16,IFERROR(W654,MAX($D$16,POWER((ABS(K654)^2)/($I$5*MAX(F654,0.1)^2),1/3))))),IF(IFERROR(V654,0)=1,MAX($D$16,IFERROR(L654,MAX($D$16,POWER((ABS(K654)^2)/($I$5*MAX(F654,0.1)^2),1/3)))),IF(IFERROR(AG654,0)=1,MAX($D$16,IFERROR(W654,MAX($D$16,POWER((ABS(K654)^2)/($I$5*MAX(F654,0.1)^2),1/3)))),MAX($D$16,POWER((ABS(K654)^2)/($I$5*MAX(F654,0.1)^2),1/3))))))),MAX($D$16,POWER((ABS(K654)^2)/($I$5*MAX(F654,0.1)^2),1/3)))</f>
        <v>2.1389677043987478</v>
      </c>
      <c r="AI654">
        <f t="shared" ca="1" si="331"/>
        <v>634.40546770439869</v>
      </c>
      <c r="AJ654">
        <f t="shared" ca="1" si="332"/>
        <v>635.47495155659806</v>
      </c>
      <c r="AM654">
        <v>0</v>
      </c>
      <c r="AN654">
        <v>0</v>
      </c>
      <c r="AO654">
        <f t="shared" si="333"/>
        <v>0</v>
      </c>
      <c r="AP654">
        <f t="shared" si="342"/>
        <v>0</v>
      </c>
      <c r="AQ654">
        <f t="shared" ca="1" si="334"/>
        <v>1.0000000000000004</v>
      </c>
      <c r="AR654" t="str">
        <f t="shared" ca="1" si="335"/>
        <v>Supercritical</v>
      </c>
      <c r="AS654">
        <f t="shared" ca="1" si="336"/>
        <v>3.8141460404132466E-3</v>
      </c>
    </row>
    <row r="655" spans="1:45" x14ac:dyDescent="0.35">
      <c r="A655">
        <v>594</v>
      </c>
      <c r="B655">
        <v>592.99599999999998</v>
      </c>
      <c r="C655">
        <v>616161.51300000004</v>
      </c>
      <c r="D655">
        <v>3097397.1680000001</v>
      </c>
      <c r="E655">
        <v>632.26599999999996</v>
      </c>
      <c r="F655">
        <v>5.2</v>
      </c>
      <c r="G655">
        <v>0</v>
      </c>
      <c r="H655" t="s">
        <v>154</v>
      </c>
      <c r="I655">
        <v>7.8E-2</v>
      </c>
      <c r="J655">
        <f t="shared" si="337"/>
        <v>1.0009999999999764</v>
      </c>
      <c r="K655">
        <f t="shared" ca="1" si="338"/>
        <v>50.95</v>
      </c>
      <c r="L655">
        <f t="shared" ca="1" si="339"/>
        <v>2.1389677043987478</v>
      </c>
      <c r="M655">
        <f t="shared" ca="1" si="312"/>
        <v>11.122632062873489</v>
      </c>
      <c r="N655">
        <f t="shared" ca="1" si="313"/>
        <v>1.1735290000551568</v>
      </c>
      <c r="O655">
        <f t="shared" ca="1" si="314"/>
        <v>4.5807502857230418</v>
      </c>
      <c r="P655">
        <f t="shared" ca="1" si="315"/>
        <v>634.4049677043987</v>
      </c>
      <c r="Q655">
        <f t="shared" ca="1" si="316"/>
        <v>635.47445155659807</v>
      </c>
      <c r="R655">
        <f t="shared" ca="1" si="317"/>
        <v>3.8141460404132466E-3</v>
      </c>
      <c r="S655">
        <f t="shared" ca="1" si="318"/>
        <v>1.0000000000000004</v>
      </c>
      <c r="T655">
        <f t="shared" ca="1" si="319"/>
        <v>35.686426155594638</v>
      </c>
      <c r="U655">
        <f t="shared" ca="1" si="340"/>
        <v>-3.456993087183946E-3</v>
      </c>
      <c r="V655">
        <f t="shared" ca="1" si="341"/>
        <v>1</v>
      </c>
      <c r="W655">
        <f t="shared" ca="1" si="320"/>
        <v>1.7069123486039632</v>
      </c>
      <c r="X655">
        <f t="shared" ca="1" si="321"/>
        <v>8.8759442127406096</v>
      </c>
      <c r="Y655">
        <f t="shared" ca="1" si="322"/>
        <v>1.0304300963563429</v>
      </c>
      <c r="Z655">
        <f t="shared" ca="1" si="323"/>
        <v>5.7402343659242376</v>
      </c>
      <c r="AA655">
        <f t="shared" ca="1" si="324"/>
        <v>633.97291234860393</v>
      </c>
      <c r="AB655">
        <f t="shared" ca="1" si="325"/>
        <v>635.65233592534901</v>
      </c>
      <c r="AC655">
        <f t="shared" ca="1" si="326"/>
        <v>7.1233407630236474E-3</v>
      </c>
      <c r="AD655">
        <f t="shared" ca="1" si="327"/>
        <v>1.4027798230895605</v>
      </c>
      <c r="AE655">
        <f t="shared" ca="1" si="328"/>
        <v>37.388169344623918</v>
      </c>
      <c r="AF655">
        <f t="shared" ca="1" si="329"/>
        <v>6.8416658280057163E-3</v>
      </c>
      <c r="AG655">
        <f t="shared" ca="1" si="330"/>
        <v>0</v>
      </c>
      <c r="AH655">
        <f ca="1">IFERROR(IF(V32="Supercritical",MAX($D$16,IFERROR(L655,MAX($D$16,POWER((ABS(K655)^2)/($I$5*MAX(F655,0.1)^2),1/3)))),IF(V32="Subcritical",MAX($D$16,IFERROR(W655,MAX($D$16,POWER((ABS(K655)^2)/($I$5*MAX(F655,0.1)^2),1/3)))),IF(AND(IFERROR(V655,0)=1,IFERROR(AG655,0)=1),IF(IFERROR(T655,-1E+99)&gt;=IFERROR(AE655,-1E+99),MAX($D$16,IFERROR(L655,MAX($D$16,POWER((ABS(K655)^2)/($I$5*MAX(F655,0.1)^2),1/3)))),MAX($D$16,IFERROR(W655,MAX($D$16,POWER((ABS(K655)^2)/($I$5*MAX(F655,0.1)^2),1/3))))),IF(IFERROR(V655,0)=1,MAX($D$16,IFERROR(L655,MAX($D$16,POWER((ABS(K655)^2)/($I$5*MAX(F655,0.1)^2),1/3)))),IF(IFERROR(AG655,0)=1,MAX($D$16,IFERROR(W655,MAX($D$16,POWER((ABS(K655)^2)/($I$5*MAX(F655,0.1)^2),1/3)))),MAX($D$16,POWER((ABS(K655)^2)/($I$5*MAX(F655,0.1)^2),1/3))))))),MAX($D$16,POWER((ABS(K655)^2)/($I$5*MAX(F655,0.1)^2),1/3)))</f>
        <v>2.1389677043987478</v>
      </c>
      <c r="AI655">
        <f t="shared" ca="1" si="331"/>
        <v>634.4049677043987</v>
      </c>
      <c r="AJ655">
        <f t="shared" ca="1" si="332"/>
        <v>635.47445155659807</v>
      </c>
      <c r="AM655">
        <v>0</v>
      </c>
      <c r="AN655">
        <v>0</v>
      </c>
      <c r="AO655">
        <f t="shared" si="333"/>
        <v>0</v>
      </c>
      <c r="AP655">
        <f t="shared" si="342"/>
        <v>0</v>
      </c>
      <c r="AQ655">
        <f t="shared" ca="1" si="334"/>
        <v>1.0000000000000004</v>
      </c>
      <c r="AR655" t="str">
        <f t="shared" ca="1" si="335"/>
        <v>Supercritical</v>
      </c>
      <c r="AS655">
        <f t="shared" ca="1" si="336"/>
        <v>3.8141460404132466E-3</v>
      </c>
    </row>
    <row r="656" spans="1:45" x14ac:dyDescent="0.35">
      <c r="A656">
        <v>595</v>
      </c>
      <c r="B656">
        <v>593.99599999999998</v>
      </c>
      <c r="C656">
        <v>616161.03799999994</v>
      </c>
      <c r="D656">
        <v>3097396.2880000002</v>
      </c>
      <c r="E656">
        <v>632.26549999999997</v>
      </c>
      <c r="F656">
        <v>5.2</v>
      </c>
      <c r="G656">
        <v>0</v>
      </c>
      <c r="H656" t="s">
        <v>154</v>
      </c>
      <c r="I656">
        <v>7.8E-2</v>
      </c>
      <c r="J656">
        <f t="shared" si="337"/>
        <v>1</v>
      </c>
      <c r="K656">
        <f t="shared" ca="1" si="338"/>
        <v>50.95</v>
      </c>
      <c r="L656">
        <f t="shared" ca="1" si="339"/>
        <v>2.1389677043987478</v>
      </c>
      <c r="M656">
        <f t="shared" ca="1" si="312"/>
        <v>11.122632062873489</v>
      </c>
      <c r="N656">
        <f t="shared" ca="1" si="313"/>
        <v>1.1735290000551568</v>
      </c>
      <c r="O656">
        <f t="shared" ca="1" si="314"/>
        <v>4.5807502857230418</v>
      </c>
      <c r="P656">
        <f t="shared" ca="1" si="315"/>
        <v>634.40446770439871</v>
      </c>
      <c r="Q656">
        <f t="shared" ca="1" si="316"/>
        <v>635.47395155659808</v>
      </c>
      <c r="R656">
        <f t="shared" ca="1" si="317"/>
        <v>3.8141460404132466E-3</v>
      </c>
      <c r="S656">
        <f t="shared" ca="1" si="318"/>
        <v>1.0000000000000004</v>
      </c>
      <c r="T656">
        <f t="shared" ca="1" si="319"/>
        <v>35.686426155594638</v>
      </c>
      <c r="U656">
        <f t="shared" ca="1" si="340"/>
        <v>-3.4531789411857972E-3</v>
      </c>
      <c r="V656">
        <f t="shared" ca="1" si="341"/>
        <v>1</v>
      </c>
      <c r="W656">
        <f t="shared" ca="1" si="320"/>
        <v>1.7069123479999109</v>
      </c>
      <c r="X656">
        <f t="shared" ca="1" si="321"/>
        <v>8.8759442095995364</v>
      </c>
      <c r="Y656">
        <f t="shared" ca="1" si="322"/>
        <v>1.0304300961362076</v>
      </c>
      <c r="Z656">
        <f t="shared" ca="1" si="323"/>
        <v>5.7402343679556269</v>
      </c>
      <c r="AA656">
        <f t="shared" ca="1" si="324"/>
        <v>633.97241234799992</v>
      </c>
      <c r="AB656">
        <f t="shared" ca="1" si="325"/>
        <v>635.6518359259336</v>
      </c>
      <c r="AC656">
        <f t="shared" ca="1" si="326"/>
        <v>7.1233407700944011E-3</v>
      </c>
      <c r="AD656">
        <f t="shared" ca="1" si="327"/>
        <v>1.4027798238341969</v>
      </c>
      <c r="AE656">
        <f t="shared" ca="1" si="328"/>
        <v>37.388169349812763</v>
      </c>
      <c r="AF656">
        <f t="shared" ca="1" si="329"/>
        <v>6.6989148311904501E-3</v>
      </c>
      <c r="AG656">
        <f t="shared" ca="1" si="330"/>
        <v>0</v>
      </c>
      <c r="AH656">
        <f ca="1">IFERROR(IF(V32="Supercritical",MAX($D$16,IFERROR(L656,MAX($D$16,POWER((ABS(K656)^2)/($I$5*MAX(F656,0.1)^2),1/3)))),IF(V32="Subcritical",MAX($D$16,IFERROR(W656,MAX($D$16,POWER((ABS(K656)^2)/($I$5*MAX(F656,0.1)^2),1/3)))),IF(AND(IFERROR(V656,0)=1,IFERROR(AG656,0)=1),IF(IFERROR(T656,-1E+99)&gt;=IFERROR(AE656,-1E+99),MAX($D$16,IFERROR(L656,MAX($D$16,POWER((ABS(K656)^2)/($I$5*MAX(F656,0.1)^2),1/3)))),MAX($D$16,IFERROR(W656,MAX($D$16,POWER((ABS(K656)^2)/($I$5*MAX(F656,0.1)^2),1/3))))),IF(IFERROR(V656,0)=1,MAX($D$16,IFERROR(L656,MAX($D$16,POWER((ABS(K656)^2)/($I$5*MAX(F656,0.1)^2),1/3)))),IF(IFERROR(AG656,0)=1,MAX($D$16,IFERROR(W656,MAX($D$16,POWER((ABS(K656)^2)/($I$5*MAX(F656,0.1)^2),1/3)))),MAX($D$16,POWER((ABS(K656)^2)/($I$5*MAX(F656,0.1)^2),1/3))))))),MAX($D$16,POWER((ABS(K656)^2)/($I$5*MAX(F656,0.1)^2),1/3)))</f>
        <v>2.1389677043987478</v>
      </c>
      <c r="AI656">
        <f t="shared" ca="1" si="331"/>
        <v>634.40446770439871</v>
      </c>
      <c r="AJ656">
        <f t="shared" ca="1" si="332"/>
        <v>635.47395155659808</v>
      </c>
      <c r="AM656">
        <v>0</v>
      </c>
      <c r="AN656">
        <v>0</v>
      </c>
      <c r="AO656">
        <f t="shared" si="333"/>
        <v>0</v>
      </c>
      <c r="AP656">
        <f t="shared" si="342"/>
        <v>0</v>
      </c>
      <c r="AQ656">
        <f t="shared" ca="1" si="334"/>
        <v>1.0000000000000004</v>
      </c>
      <c r="AR656" t="str">
        <f t="shared" ca="1" si="335"/>
        <v>Supercritical</v>
      </c>
      <c r="AS656">
        <f t="shared" ca="1" si="336"/>
        <v>3.8141460404132466E-3</v>
      </c>
    </row>
    <row r="657" spans="1:45" x14ac:dyDescent="0.35">
      <c r="A657">
        <v>596</v>
      </c>
      <c r="B657">
        <v>594.99599999999998</v>
      </c>
      <c r="C657">
        <v>616160.56400000001</v>
      </c>
      <c r="D657">
        <v>3097395.4070000001</v>
      </c>
      <c r="E657">
        <v>632.26499999999999</v>
      </c>
      <c r="F657">
        <v>5.2</v>
      </c>
      <c r="G657">
        <v>0</v>
      </c>
      <c r="H657" t="s">
        <v>154</v>
      </c>
      <c r="I657">
        <v>2.7E-2</v>
      </c>
      <c r="J657">
        <f t="shared" si="337"/>
        <v>1</v>
      </c>
      <c r="K657">
        <f t="shared" ca="1" si="338"/>
        <v>50.95</v>
      </c>
      <c r="L657">
        <f t="shared" ca="1" si="339"/>
        <v>2.1389677043987478</v>
      </c>
      <c r="M657">
        <f t="shared" ca="1" si="312"/>
        <v>11.122632062873489</v>
      </c>
      <c r="N657">
        <f t="shared" ca="1" si="313"/>
        <v>1.1735290000551568</v>
      </c>
      <c r="O657">
        <f t="shared" ca="1" si="314"/>
        <v>4.5807502857230418</v>
      </c>
      <c r="P657">
        <f t="shared" ca="1" si="315"/>
        <v>634.40396770439872</v>
      </c>
      <c r="Q657">
        <f t="shared" ca="1" si="316"/>
        <v>635.47345155659809</v>
      </c>
      <c r="R657">
        <f t="shared" ca="1" si="317"/>
        <v>3.8141460404132466E-3</v>
      </c>
      <c r="S657">
        <f t="shared" ca="1" si="318"/>
        <v>1.0000000000000004</v>
      </c>
      <c r="T657">
        <f t="shared" ca="1" si="319"/>
        <v>35.686426155594638</v>
      </c>
      <c r="U657">
        <f t="shared" ca="1" si="340"/>
        <v>-3.3622728137743252E-3</v>
      </c>
      <c r="V657">
        <f t="shared" ca="1" si="341"/>
        <v>1</v>
      </c>
      <c r="W657">
        <f t="shared" ca="1" si="320"/>
        <v>1.7069123474359502</v>
      </c>
      <c r="X657">
        <f t="shared" ca="1" si="321"/>
        <v>8.8759442066669418</v>
      </c>
      <c r="Y657">
        <f t="shared" ca="1" si="322"/>
        <v>1.0304300959306834</v>
      </c>
      <c r="Z657">
        <f t="shared" ca="1" si="323"/>
        <v>5.7402343698521889</v>
      </c>
      <c r="AA657">
        <f t="shared" ca="1" si="324"/>
        <v>633.97191234743593</v>
      </c>
      <c r="AB657">
        <f t="shared" ca="1" si="325"/>
        <v>635.65133592647942</v>
      </c>
      <c r="AC657">
        <f t="shared" ca="1" si="326"/>
        <v>7.1233407766958566E-3</v>
      </c>
      <c r="AD657">
        <f t="shared" ca="1" si="327"/>
        <v>1.4027798245294107</v>
      </c>
      <c r="AE657">
        <f t="shared" ca="1" si="328"/>
        <v>37.388169354657215</v>
      </c>
      <c r="AF657">
        <f t="shared" ca="1" si="329"/>
        <v>6.6233407767413155E-3</v>
      </c>
      <c r="AG657">
        <f t="shared" ca="1" si="330"/>
        <v>0</v>
      </c>
      <c r="AH657">
        <f ca="1">IFERROR(IF(V32="Supercritical",MAX($D$16,IFERROR(L657,MAX($D$16,POWER((ABS(K657)^2)/($I$5*MAX(F657,0.1)^2),1/3)))),IF(V32="Subcritical",MAX($D$16,IFERROR(W657,MAX($D$16,POWER((ABS(K657)^2)/($I$5*MAX(F657,0.1)^2),1/3)))),IF(AND(IFERROR(V657,0)=1,IFERROR(AG657,0)=1),IF(IFERROR(T657,-1E+99)&gt;=IFERROR(AE657,-1E+99),MAX($D$16,IFERROR(L657,MAX($D$16,POWER((ABS(K657)^2)/($I$5*MAX(F657,0.1)^2),1/3)))),MAX($D$16,IFERROR(W657,MAX($D$16,POWER((ABS(K657)^2)/($I$5*MAX(F657,0.1)^2),1/3))))),IF(IFERROR(V657,0)=1,MAX($D$16,IFERROR(L657,MAX($D$16,POWER((ABS(K657)^2)/($I$5*MAX(F657,0.1)^2),1/3)))),IF(IFERROR(AG657,0)=1,MAX($D$16,IFERROR(W657,MAX($D$16,POWER((ABS(K657)^2)/($I$5*MAX(F657,0.1)^2),1/3)))),MAX($D$16,POWER((ABS(K657)^2)/($I$5*MAX(F657,0.1)^2),1/3))))))),MAX($D$16,POWER((ABS(K657)^2)/($I$5*MAX(F657,0.1)^2),1/3)))</f>
        <v>2.1389677043987478</v>
      </c>
      <c r="AI657">
        <f t="shared" ca="1" si="331"/>
        <v>634.40396770439872</v>
      </c>
      <c r="AJ657">
        <f t="shared" ca="1" si="332"/>
        <v>635.47345155659809</v>
      </c>
      <c r="AM657">
        <v>0</v>
      </c>
      <c r="AN657">
        <v>0</v>
      </c>
      <c r="AO657">
        <f t="shared" si="333"/>
        <v>0</v>
      </c>
      <c r="AP657">
        <f t="shared" si="342"/>
        <v>0</v>
      </c>
      <c r="AQ657">
        <f t="shared" ca="1" si="334"/>
        <v>1.0000000000000004</v>
      </c>
      <c r="AR657" t="str">
        <f t="shared" ca="1" si="335"/>
        <v>Supercritical</v>
      </c>
      <c r="AS657">
        <f t="shared" ca="1" si="336"/>
        <v>3.8141460404132466E-3</v>
      </c>
    </row>
    <row r="658" spans="1:45" x14ac:dyDescent="0.35">
      <c r="A658">
        <v>597</v>
      </c>
      <c r="B658">
        <v>595.99599999999998</v>
      </c>
      <c r="C658">
        <v>616160.09</v>
      </c>
      <c r="D658">
        <v>3097394.5269999998</v>
      </c>
      <c r="E658">
        <v>632.2645</v>
      </c>
      <c r="F658">
        <v>5.2</v>
      </c>
      <c r="G658">
        <v>0</v>
      </c>
      <c r="H658" t="s">
        <v>154</v>
      </c>
      <c r="I658">
        <v>0</v>
      </c>
      <c r="J658">
        <f t="shared" si="337"/>
        <v>1</v>
      </c>
      <c r="K658">
        <f t="shared" ca="1" si="338"/>
        <v>50.95</v>
      </c>
      <c r="L658">
        <f t="shared" ca="1" si="339"/>
        <v>2.1389677043987478</v>
      </c>
      <c r="M658">
        <f t="shared" ca="1" si="312"/>
        <v>11.122632062873489</v>
      </c>
      <c r="N658">
        <f t="shared" ca="1" si="313"/>
        <v>1.1735290000551568</v>
      </c>
      <c r="O658">
        <f t="shared" ca="1" si="314"/>
        <v>4.5807502857230418</v>
      </c>
      <c r="P658">
        <f t="shared" ca="1" si="315"/>
        <v>634.40346770439874</v>
      </c>
      <c r="Q658">
        <f t="shared" ca="1" si="316"/>
        <v>635.4729515565981</v>
      </c>
      <c r="R658">
        <f t="shared" ca="1" si="317"/>
        <v>3.8141460404132466E-3</v>
      </c>
      <c r="S658">
        <f t="shared" ca="1" si="318"/>
        <v>1.0000000000000004</v>
      </c>
      <c r="T658">
        <f t="shared" ca="1" si="319"/>
        <v>35.686426155594638</v>
      </c>
      <c r="U658">
        <f t="shared" ca="1" si="340"/>
        <v>-3.3141460404522149E-3</v>
      </c>
      <c r="V658">
        <f t="shared" ca="1" si="341"/>
        <v>1</v>
      </c>
      <c r="W658">
        <f t="shared" ca="1" si="320"/>
        <v>1.7069123469094039</v>
      </c>
      <c r="X658">
        <f t="shared" ca="1" si="321"/>
        <v>8.8759442039289009</v>
      </c>
      <c r="Y658">
        <f t="shared" ca="1" si="322"/>
        <v>1.030430095738794</v>
      </c>
      <c r="Z658">
        <f t="shared" ca="1" si="323"/>
        <v>5.7402343716229298</v>
      </c>
      <c r="AA658">
        <f t="shared" ca="1" si="324"/>
        <v>633.97141234690935</v>
      </c>
      <c r="AB658">
        <f t="shared" ca="1" si="325"/>
        <v>635.65083592698898</v>
      </c>
      <c r="AC658">
        <f t="shared" ca="1" si="326"/>
        <v>7.1233407828593604E-3</v>
      </c>
      <c r="AD658">
        <f t="shared" ca="1" si="327"/>
        <v>1.4027798251785024</v>
      </c>
      <c r="AE658">
        <f t="shared" ca="1" si="328"/>
        <v>37.388169359180282</v>
      </c>
      <c r="AF658">
        <f t="shared" ca="1" si="329"/>
        <v>6.68059534598342E-3</v>
      </c>
      <c r="AG658">
        <f t="shared" ca="1" si="330"/>
        <v>0</v>
      </c>
      <c r="AH658">
        <f ca="1">IFERROR(IF(V32="Supercritical",MAX($D$16,IFERROR(L658,MAX($D$16,POWER((ABS(K658)^2)/($I$5*MAX(F658,0.1)^2),1/3)))),IF(V32="Subcritical",MAX($D$16,IFERROR(W658,MAX($D$16,POWER((ABS(K658)^2)/($I$5*MAX(F658,0.1)^2),1/3)))),IF(AND(IFERROR(V658,0)=1,IFERROR(AG658,0)=1),IF(IFERROR(T658,-1E+99)&gt;=IFERROR(AE658,-1E+99),MAX($D$16,IFERROR(L658,MAX($D$16,POWER((ABS(K658)^2)/($I$5*MAX(F658,0.1)^2),1/3)))),MAX($D$16,IFERROR(W658,MAX($D$16,POWER((ABS(K658)^2)/($I$5*MAX(F658,0.1)^2),1/3))))),IF(IFERROR(V658,0)=1,MAX($D$16,IFERROR(L658,MAX($D$16,POWER((ABS(K658)^2)/($I$5*MAX(F658,0.1)^2),1/3)))),IF(IFERROR(AG658,0)=1,MAX($D$16,IFERROR(W658,MAX($D$16,POWER((ABS(K658)^2)/($I$5*MAX(F658,0.1)^2),1/3)))),MAX($D$16,POWER((ABS(K658)^2)/($I$5*MAX(F658,0.1)^2),1/3))))))),MAX($D$16,POWER((ABS(K658)^2)/($I$5*MAX(F658,0.1)^2),1/3)))</f>
        <v>2.1389677043987478</v>
      </c>
      <c r="AI658">
        <f t="shared" ca="1" si="331"/>
        <v>634.40346770439874</v>
      </c>
      <c r="AJ658">
        <f t="shared" ca="1" si="332"/>
        <v>635.4729515565981</v>
      </c>
      <c r="AM658">
        <v>0</v>
      </c>
      <c r="AN658">
        <v>0</v>
      </c>
      <c r="AO658">
        <f t="shared" si="333"/>
        <v>0</v>
      </c>
      <c r="AP658">
        <f t="shared" si="342"/>
        <v>0</v>
      </c>
      <c r="AQ658">
        <f t="shared" ca="1" si="334"/>
        <v>1.0000000000000004</v>
      </c>
      <c r="AR658" t="str">
        <f t="shared" ca="1" si="335"/>
        <v>Supercritical</v>
      </c>
      <c r="AS658">
        <f t="shared" ca="1" si="336"/>
        <v>3.8141460404132466E-3</v>
      </c>
    </row>
    <row r="659" spans="1:45" x14ac:dyDescent="0.35">
      <c r="A659">
        <v>598</v>
      </c>
      <c r="B659">
        <v>596.995</v>
      </c>
      <c r="C659">
        <v>616159.61600000004</v>
      </c>
      <c r="D659">
        <v>3097393.6469999999</v>
      </c>
      <c r="E659">
        <v>632.26400000000001</v>
      </c>
      <c r="F659">
        <v>5.2</v>
      </c>
      <c r="G659">
        <v>0</v>
      </c>
      <c r="H659" t="s">
        <v>154</v>
      </c>
      <c r="I659">
        <v>2.3E-2</v>
      </c>
      <c r="J659">
        <f t="shared" si="337"/>
        <v>0.99900000000002365</v>
      </c>
      <c r="K659">
        <f t="shared" ca="1" si="338"/>
        <v>50.95</v>
      </c>
      <c r="L659">
        <f t="shared" ca="1" si="339"/>
        <v>2.1389677043987478</v>
      </c>
      <c r="M659">
        <f t="shared" ca="1" si="312"/>
        <v>11.122632062873489</v>
      </c>
      <c r="N659">
        <f t="shared" ca="1" si="313"/>
        <v>1.1735290000551568</v>
      </c>
      <c r="O659">
        <f t="shared" ca="1" si="314"/>
        <v>4.5807502857230418</v>
      </c>
      <c r="P659">
        <f t="shared" ca="1" si="315"/>
        <v>634.40296770439875</v>
      </c>
      <c r="Q659">
        <f t="shared" ca="1" si="316"/>
        <v>635.47245155659812</v>
      </c>
      <c r="R659">
        <f t="shared" ca="1" si="317"/>
        <v>3.8141460404132466E-3</v>
      </c>
      <c r="S659">
        <f t="shared" ca="1" si="318"/>
        <v>1.0000000000000004</v>
      </c>
      <c r="T659">
        <f t="shared" ca="1" si="319"/>
        <v>35.686426155594638</v>
      </c>
      <c r="U659">
        <f t="shared" ca="1" si="340"/>
        <v>-3.3513287753521581E-3</v>
      </c>
      <c r="V659">
        <f t="shared" ca="1" si="341"/>
        <v>1</v>
      </c>
      <c r="W659">
        <f t="shared" ca="1" si="320"/>
        <v>1.7069123464177651</v>
      </c>
      <c r="X659">
        <f t="shared" ca="1" si="321"/>
        <v>8.8759442013723788</v>
      </c>
      <c r="Y659">
        <f t="shared" ca="1" si="322"/>
        <v>1.0304300955596257</v>
      </c>
      <c r="Z659">
        <f t="shared" ca="1" si="323"/>
        <v>5.7402343732762793</v>
      </c>
      <c r="AA659">
        <f t="shared" ca="1" si="324"/>
        <v>633.97091234641778</v>
      </c>
      <c r="AB659">
        <f t="shared" ca="1" si="325"/>
        <v>635.65033592746477</v>
      </c>
      <c r="AC659">
        <f t="shared" ca="1" si="326"/>
        <v>7.1233407886142543E-3</v>
      </c>
      <c r="AD659">
        <f t="shared" ca="1" si="327"/>
        <v>1.4027798257845625</v>
      </c>
      <c r="AE659">
        <f t="shared" ca="1" si="328"/>
        <v>37.388169363403492</v>
      </c>
      <c r="AF659">
        <f t="shared" ca="1" si="329"/>
        <v>6.6948420334256298E-3</v>
      </c>
      <c r="AG659">
        <f t="shared" ca="1" si="330"/>
        <v>0</v>
      </c>
      <c r="AH659">
        <f ca="1">IFERROR(IF(V32="Supercritical",MAX($D$16,IFERROR(L659,MAX($D$16,POWER((ABS(K659)^2)/($I$5*MAX(F659,0.1)^2),1/3)))),IF(V32="Subcritical",MAX($D$16,IFERROR(W659,MAX($D$16,POWER((ABS(K659)^2)/($I$5*MAX(F659,0.1)^2),1/3)))),IF(AND(IFERROR(V659,0)=1,IFERROR(AG659,0)=1),IF(IFERROR(T659,-1E+99)&gt;=IFERROR(AE659,-1E+99),MAX($D$16,IFERROR(L659,MAX($D$16,POWER((ABS(K659)^2)/($I$5*MAX(F659,0.1)^2),1/3)))),MAX($D$16,IFERROR(W659,MAX($D$16,POWER((ABS(K659)^2)/($I$5*MAX(F659,0.1)^2),1/3))))),IF(IFERROR(V659,0)=1,MAX($D$16,IFERROR(L659,MAX($D$16,POWER((ABS(K659)^2)/($I$5*MAX(F659,0.1)^2),1/3)))),IF(IFERROR(AG659,0)=1,MAX($D$16,IFERROR(W659,MAX($D$16,POWER((ABS(K659)^2)/($I$5*MAX(F659,0.1)^2),1/3)))),MAX($D$16,POWER((ABS(K659)^2)/($I$5*MAX(F659,0.1)^2),1/3))))))),MAX($D$16,POWER((ABS(K659)^2)/($I$5*MAX(F659,0.1)^2),1/3)))</f>
        <v>2.1389677043987478</v>
      </c>
      <c r="AI659">
        <f t="shared" ca="1" si="331"/>
        <v>634.40296770439875</v>
      </c>
      <c r="AJ659">
        <f t="shared" ca="1" si="332"/>
        <v>635.47245155659812</v>
      </c>
      <c r="AM659">
        <v>0</v>
      </c>
      <c r="AN659">
        <v>0</v>
      </c>
      <c r="AO659">
        <f t="shared" si="333"/>
        <v>0</v>
      </c>
      <c r="AP659">
        <f t="shared" si="342"/>
        <v>0</v>
      </c>
      <c r="AQ659">
        <f t="shared" ca="1" si="334"/>
        <v>1.0000000000000004</v>
      </c>
      <c r="AR659" t="str">
        <f t="shared" ca="1" si="335"/>
        <v>Supercritical</v>
      </c>
      <c r="AS659">
        <f t="shared" ca="1" si="336"/>
        <v>3.8141460404132466E-3</v>
      </c>
    </row>
    <row r="660" spans="1:45" x14ac:dyDescent="0.35">
      <c r="A660">
        <v>599</v>
      </c>
      <c r="B660">
        <v>597.99599999999998</v>
      </c>
      <c r="C660">
        <v>616159.14099999995</v>
      </c>
      <c r="D660">
        <v>3097392.7659999998</v>
      </c>
      <c r="E660">
        <v>632.26350000000002</v>
      </c>
      <c r="F660">
        <v>5.2</v>
      </c>
      <c r="G660">
        <v>0</v>
      </c>
      <c r="H660" t="s">
        <v>154</v>
      </c>
      <c r="I660">
        <v>2.3E-2</v>
      </c>
      <c r="J660">
        <f t="shared" si="337"/>
        <v>1.0009999999999764</v>
      </c>
      <c r="K660">
        <f t="shared" ca="1" si="338"/>
        <v>50.95</v>
      </c>
      <c r="L660">
        <f t="shared" ca="1" si="339"/>
        <v>2.1389677043987478</v>
      </c>
      <c r="M660">
        <f t="shared" ca="1" si="312"/>
        <v>11.122632062873489</v>
      </c>
      <c r="N660">
        <f t="shared" ca="1" si="313"/>
        <v>1.1735290000551568</v>
      </c>
      <c r="O660">
        <f t="shared" ca="1" si="314"/>
        <v>4.5807502857230418</v>
      </c>
      <c r="P660">
        <f t="shared" ca="1" si="315"/>
        <v>634.40246770439876</v>
      </c>
      <c r="Q660">
        <f t="shared" ca="1" si="316"/>
        <v>635.47195155659813</v>
      </c>
      <c r="R660">
        <f t="shared" ca="1" si="317"/>
        <v>3.8141460404132466E-3</v>
      </c>
      <c r="S660">
        <f t="shared" ca="1" si="318"/>
        <v>1.0000000000000004</v>
      </c>
      <c r="T660">
        <f t="shared" ca="1" si="319"/>
        <v>35.686426155594638</v>
      </c>
      <c r="U660">
        <f t="shared" ca="1" si="340"/>
        <v>-3.3589570674621427E-3</v>
      </c>
      <c r="V660">
        <f t="shared" ca="1" si="341"/>
        <v>1</v>
      </c>
      <c r="W660">
        <f t="shared" ca="1" si="320"/>
        <v>1.7069123459587658</v>
      </c>
      <c r="X660">
        <f t="shared" ca="1" si="321"/>
        <v>8.8759441989855823</v>
      </c>
      <c r="Y660">
        <f t="shared" ca="1" si="322"/>
        <v>1.0304300953923522</v>
      </c>
      <c r="Z660">
        <f t="shared" ca="1" si="323"/>
        <v>5.7402343748198641</v>
      </c>
      <c r="AA660">
        <f t="shared" ca="1" si="324"/>
        <v>633.97041234595883</v>
      </c>
      <c r="AB660">
        <f t="shared" ca="1" si="325"/>
        <v>635.64983592790907</v>
      </c>
      <c r="AC660">
        <f t="shared" ca="1" si="326"/>
        <v>7.1233407939870876E-3</v>
      </c>
      <c r="AD660">
        <f t="shared" ca="1" si="327"/>
        <v>1.4027798263503868</v>
      </c>
      <c r="AE660">
        <f t="shared" ca="1" si="328"/>
        <v>37.388169367346322</v>
      </c>
      <c r="AF660">
        <f t="shared" ca="1" si="329"/>
        <v>6.6989148551783728E-3</v>
      </c>
      <c r="AG660">
        <f t="shared" ca="1" si="330"/>
        <v>0</v>
      </c>
      <c r="AH660">
        <f ca="1">IFERROR(IF(V32="Supercritical",MAX($D$16,IFERROR(L660,MAX($D$16,POWER((ABS(K660)^2)/($I$5*MAX(F660,0.1)^2),1/3)))),IF(V32="Subcritical",MAX($D$16,IFERROR(W660,MAX($D$16,POWER((ABS(K660)^2)/($I$5*MAX(F660,0.1)^2),1/3)))),IF(AND(IFERROR(V660,0)=1,IFERROR(AG660,0)=1),IF(IFERROR(T660,-1E+99)&gt;=IFERROR(AE660,-1E+99),MAX($D$16,IFERROR(L660,MAX($D$16,POWER((ABS(K660)^2)/($I$5*MAX(F660,0.1)^2),1/3)))),MAX($D$16,IFERROR(W660,MAX($D$16,POWER((ABS(K660)^2)/($I$5*MAX(F660,0.1)^2),1/3))))),IF(IFERROR(V660,0)=1,MAX($D$16,IFERROR(L660,MAX($D$16,POWER((ABS(K660)^2)/($I$5*MAX(F660,0.1)^2),1/3)))),IF(IFERROR(AG660,0)=1,MAX($D$16,IFERROR(W660,MAX($D$16,POWER((ABS(K660)^2)/($I$5*MAX(F660,0.1)^2),1/3)))),MAX($D$16,POWER((ABS(K660)^2)/($I$5*MAX(F660,0.1)^2),1/3))))))),MAX($D$16,POWER((ABS(K660)^2)/($I$5*MAX(F660,0.1)^2),1/3)))</f>
        <v>2.1389677043987478</v>
      </c>
      <c r="AI660">
        <f t="shared" ca="1" si="331"/>
        <v>634.40246770439876</v>
      </c>
      <c r="AJ660">
        <f t="shared" ca="1" si="332"/>
        <v>635.47195155659813</v>
      </c>
      <c r="AM660">
        <v>0</v>
      </c>
      <c r="AN660">
        <v>0</v>
      </c>
      <c r="AO660">
        <f t="shared" si="333"/>
        <v>0</v>
      </c>
      <c r="AP660">
        <f t="shared" si="342"/>
        <v>0</v>
      </c>
      <c r="AQ660">
        <f t="shared" ca="1" si="334"/>
        <v>1.0000000000000004</v>
      </c>
      <c r="AR660" t="str">
        <f t="shared" ca="1" si="335"/>
        <v>Supercritical</v>
      </c>
      <c r="AS660">
        <f t="shared" ca="1" si="336"/>
        <v>3.8141460404132466E-3</v>
      </c>
    </row>
    <row r="661" spans="1:45" x14ac:dyDescent="0.35">
      <c r="A661">
        <v>600</v>
      </c>
      <c r="B661">
        <v>598.99599999999998</v>
      </c>
      <c r="C661">
        <v>616158.66700000002</v>
      </c>
      <c r="D661">
        <v>3097391.8859999999</v>
      </c>
      <c r="E661">
        <v>632.26300000000003</v>
      </c>
      <c r="F661">
        <v>5.2</v>
      </c>
      <c r="G661">
        <v>0</v>
      </c>
      <c r="H661" t="s">
        <v>154</v>
      </c>
      <c r="I661">
        <v>2.7E-2</v>
      </c>
      <c r="J661">
        <f t="shared" si="337"/>
        <v>1</v>
      </c>
      <c r="K661">
        <f t="shared" ca="1" si="338"/>
        <v>50.95</v>
      </c>
      <c r="L661">
        <f t="shared" ca="1" si="339"/>
        <v>2.1389677043987478</v>
      </c>
      <c r="M661">
        <f t="shared" ca="1" si="312"/>
        <v>11.122632062873489</v>
      </c>
      <c r="N661">
        <f t="shared" ca="1" si="313"/>
        <v>1.1735290000551568</v>
      </c>
      <c r="O661">
        <f t="shared" ca="1" si="314"/>
        <v>4.5807502857230418</v>
      </c>
      <c r="P661">
        <f t="shared" ca="1" si="315"/>
        <v>634.40196770439877</v>
      </c>
      <c r="Q661">
        <f t="shared" ca="1" si="316"/>
        <v>635.47145155659814</v>
      </c>
      <c r="R661">
        <f t="shared" ca="1" si="317"/>
        <v>3.8141460404132466E-3</v>
      </c>
      <c r="S661">
        <f t="shared" ca="1" si="318"/>
        <v>1.0000000000000004</v>
      </c>
      <c r="T661">
        <f t="shared" ca="1" si="319"/>
        <v>35.686426155594638</v>
      </c>
      <c r="U661">
        <f t="shared" ca="1" si="340"/>
        <v>-3.3622728137743252E-3</v>
      </c>
      <c r="V661">
        <f t="shared" ca="1" si="341"/>
        <v>1</v>
      </c>
      <c r="W661">
        <f t="shared" ca="1" si="320"/>
        <v>1.7069123455302233</v>
      </c>
      <c r="X661">
        <f t="shared" ca="1" si="321"/>
        <v>8.8759441967571622</v>
      </c>
      <c r="Y661">
        <f t="shared" ca="1" si="322"/>
        <v>1.0304300952361785</v>
      </c>
      <c r="Z661">
        <f t="shared" ca="1" si="323"/>
        <v>5.7402343762610242</v>
      </c>
      <c r="AA661">
        <f t="shared" ca="1" si="324"/>
        <v>633.96991234553025</v>
      </c>
      <c r="AB661">
        <f t="shared" ca="1" si="325"/>
        <v>635.64933592832381</v>
      </c>
      <c r="AC661">
        <f t="shared" ca="1" si="326"/>
        <v>7.1233407990034005E-3</v>
      </c>
      <c r="AD661">
        <f t="shared" ca="1" si="327"/>
        <v>1.402779826878666</v>
      </c>
      <c r="AE661">
        <f t="shared" ca="1" si="328"/>
        <v>37.388169371027523</v>
      </c>
      <c r="AF661">
        <f t="shared" ca="1" si="329"/>
        <v>6.6989148602942805E-3</v>
      </c>
      <c r="AG661">
        <f t="shared" ca="1" si="330"/>
        <v>0</v>
      </c>
      <c r="AH661">
        <f ca="1">IFERROR(IF(V32="Supercritical",MAX($D$16,IFERROR(L661,MAX($D$16,POWER((ABS(K661)^2)/($I$5*MAX(F661,0.1)^2),1/3)))),IF(V32="Subcritical",MAX($D$16,IFERROR(W661,MAX($D$16,POWER((ABS(K661)^2)/($I$5*MAX(F661,0.1)^2),1/3)))),IF(AND(IFERROR(V661,0)=1,IFERROR(AG661,0)=1),IF(IFERROR(T661,-1E+99)&gt;=IFERROR(AE661,-1E+99),MAX($D$16,IFERROR(L661,MAX($D$16,POWER((ABS(K661)^2)/($I$5*MAX(F661,0.1)^2),1/3)))),MAX($D$16,IFERROR(W661,MAX($D$16,POWER((ABS(K661)^2)/($I$5*MAX(F661,0.1)^2),1/3))))),IF(IFERROR(V661,0)=1,MAX($D$16,IFERROR(L661,MAX($D$16,POWER((ABS(K661)^2)/($I$5*MAX(F661,0.1)^2),1/3)))),IF(IFERROR(AG661,0)=1,MAX($D$16,IFERROR(W661,MAX($D$16,POWER((ABS(K661)^2)/($I$5*MAX(F661,0.1)^2),1/3)))),MAX($D$16,POWER((ABS(K661)^2)/($I$5*MAX(F661,0.1)^2),1/3))))))),MAX($D$16,POWER((ABS(K661)^2)/($I$5*MAX(F661,0.1)^2),1/3)))</f>
        <v>2.1389677043987478</v>
      </c>
      <c r="AI661">
        <f t="shared" ca="1" si="331"/>
        <v>634.40196770439877</v>
      </c>
      <c r="AJ661">
        <f t="shared" ca="1" si="332"/>
        <v>635.47145155659814</v>
      </c>
      <c r="AM661">
        <v>0</v>
      </c>
      <c r="AN661">
        <v>0</v>
      </c>
      <c r="AO661">
        <f t="shared" si="333"/>
        <v>0</v>
      </c>
      <c r="AP661">
        <f t="shared" si="342"/>
        <v>0</v>
      </c>
      <c r="AQ661">
        <f t="shared" ca="1" si="334"/>
        <v>1.0000000000000004</v>
      </c>
      <c r="AR661" t="str">
        <f t="shared" ca="1" si="335"/>
        <v>Supercritical</v>
      </c>
      <c r="AS661">
        <f t="shared" ca="1" si="336"/>
        <v>3.8141460404132466E-3</v>
      </c>
    </row>
    <row r="662" spans="1:45" x14ac:dyDescent="0.35">
      <c r="A662">
        <v>601</v>
      </c>
      <c r="B662">
        <v>599.99599999999998</v>
      </c>
      <c r="C662">
        <v>616158.19299999997</v>
      </c>
      <c r="D662">
        <v>3097391.0049999999</v>
      </c>
      <c r="E662">
        <v>632.26250000000005</v>
      </c>
      <c r="F662">
        <v>5.2</v>
      </c>
      <c r="G662">
        <v>0</v>
      </c>
      <c r="H662" t="s">
        <v>154</v>
      </c>
      <c r="I662">
        <v>2.7E-2</v>
      </c>
      <c r="J662">
        <f t="shared" si="337"/>
        <v>1</v>
      </c>
      <c r="K662">
        <f t="shared" ca="1" si="338"/>
        <v>50.95</v>
      </c>
      <c r="L662">
        <f t="shared" ca="1" si="339"/>
        <v>2.1389677043987478</v>
      </c>
      <c r="M662">
        <f t="shared" ca="1" si="312"/>
        <v>11.122632062873489</v>
      </c>
      <c r="N662">
        <f t="shared" ca="1" si="313"/>
        <v>1.1735290000551568</v>
      </c>
      <c r="O662">
        <f t="shared" ca="1" si="314"/>
        <v>4.5807502857230418</v>
      </c>
      <c r="P662">
        <f t="shared" ca="1" si="315"/>
        <v>634.40146770439878</v>
      </c>
      <c r="Q662">
        <f t="shared" ca="1" si="316"/>
        <v>635.47095155659815</v>
      </c>
      <c r="R662">
        <f t="shared" ca="1" si="317"/>
        <v>3.8141460404132466E-3</v>
      </c>
      <c r="S662">
        <f t="shared" ca="1" si="318"/>
        <v>1.0000000000000004</v>
      </c>
      <c r="T662">
        <f t="shared" ca="1" si="319"/>
        <v>35.686426155594638</v>
      </c>
      <c r="U662">
        <f t="shared" ca="1" si="340"/>
        <v>-3.3622728137743252E-3</v>
      </c>
      <c r="V662">
        <f t="shared" ca="1" si="341"/>
        <v>1</v>
      </c>
      <c r="W662">
        <f t="shared" ca="1" si="320"/>
        <v>1.7069123451300912</v>
      </c>
      <c r="X662">
        <f t="shared" ca="1" si="321"/>
        <v>8.8759441946764746</v>
      </c>
      <c r="Y662">
        <f t="shared" ca="1" si="322"/>
        <v>1.0304300950903582</v>
      </c>
      <c r="Z662">
        <f t="shared" ca="1" si="323"/>
        <v>5.740234377606642</v>
      </c>
      <c r="AA662">
        <f t="shared" ca="1" si="324"/>
        <v>633.96941234513008</v>
      </c>
      <c r="AB662">
        <f t="shared" ca="1" si="325"/>
        <v>635.64883592871092</v>
      </c>
      <c r="AC662">
        <f t="shared" ca="1" si="326"/>
        <v>7.1233408036871599E-3</v>
      </c>
      <c r="AD662">
        <f t="shared" ca="1" si="327"/>
        <v>1.4027798273719225</v>
      </c>
      <c r="AE662">
        <f t="shared" ca="1" si="328"/>
        <v>37.388169374464688</v>
      </c>
      <c r="AF662">
        <f t="shared" ca="1" si="329"/>
        <v>6.6233408035714092E-3</v>
      </c>
      <c r="AG662">
        <f t="shared" ca="1" si="330"/>
        <v>0</v>
      </c>
      <c r="AH662">
        <f ca="1">IFERROR(IF(V32="Supercritical",MAX($D$16,IFERROR(L662,MAX($D$16,POWER((ABS(K662)^2)/($I$5*MAX(F662,0.1)^2),1/3)))),IF(V32="Subcritical",MAX($D$16,IFERROR(W662,MAX($D$16,POWER((ABS(K662)^2)/($I$5*MAX(F662,0.1)^2),1/3)))),IF(AND(IFERROR(V662,0)=1,IFERROR(AG662,0)=1),IF(IFERROR(T662,-1E+99)&gt;=IFERROR(AE662,-1E+99),MAX($D$16,IFERROR(L662,MAX($D$16,POWER((ABS(K662)^2)/($I$5*MAX(F662,0.1)^2),1/3)))),MAX($D$16,IFERROR(W662,MAX($D$16,POWER((ABS(K662)^2)/($I$5*MAX(F662,0.1)^2),1/3))))),IF(IFERROR(V662,0)=1,MAX($D$16,IFERROR(L662,MAX($D$16,POWER((ABS(K662)^2)/($I$5*MAX(F662,0.1)^2),1/3)))),IF(IFERROR(AG662,0)=1,MAX($D$16,IFERROR(W662,MAX($D$16,POWER((ABS(K662)^2)/($I$5*MAX(F662,0.1)^2),1/3)))),MAX($D$16,POWER((ABS(K662)^2)/($I$5*MAX(F662,0.1)^2),1/3))))))),MAX($D$16,POWER((ABS(K662)^2)/($I$5*MAX(F662,0.1)^2),1/3)))</f>
        <v>2.1389677043987478</v>
      </c>
      <c r="AI662">
        <f t="shared" ca="1" si="331"/>
        <v>634.40146770439878</v>
      </c>
      <c r="AJ662">
        <f t="shared" ca="1" si="332"/>
        <v>635.47095155659815</v>
      </c>
      <c r="AM662">
        <v>0</v>
      </c>
      <c r="AN662">
        <v>0</v>
      </c>
      <c r="AO662">
        <f t="shared" si="333"/>
        <v>0</v>
      </c>
      <c r="AP662">
        <f t="shared" si="342"/>
        <v>0</v>
      </c>
      <c r="AQ662">
        <f t="shared" ca="1" si="334"/>
        <v>1.0000000000000004</v>
      </c>
      <c r="AR662" t="str">
        <f t="shared" ca="1" si="335"/>
        <v>Supercritical</v>
      </c>
      <c r="AS662">
        <f t="shared" ca="1" si="336"/>
        <v>3.8141460404132466E-3</v>
      </c>
    </row>
    <row r="663" spans="1:45" x14ac:dyDescent="0.35">
      <c r="A663">
        <v>602</v>
      </c>
      <c r="B663">
        <v>600.99599999999998</v>
      </c>
      <c r="C663">
        <v>616157.71900000004</v>
      </c>
      <c r="D663">
        <v>3097390.125</v>
      </c>
      <c r="E663">
        <v>632.26199999999994</v>
      </c>
      <c r="F663">
        <v>5.2</v>
      </c>
      <c r="G663">
        <v>0</v>
      </c>
      <c r="H663" t="s">
        <v>154</v>
      </c>
      <c r="I663">
        <v>0</v>
      </c>
      <c r="J663">
        <f t="shared" si="337"/>
        <v>1</v>
      </c>
      <c r="K663">
        <f t="shared" ca="1" si="338"/>
        <v>50.95</v>
      </c>
      <c r="L663">
        <f t="shared" ca="1" si="339"/>
        <v>2.1389677043987478</v>
      </c>
      <c r="M663">
        <f t="shared" ca="1" si="312"/>
        <v>11.122632062873489</v>
      </c>
      <c r="N663">
        <f t="shared" ca="1" si="313"/>
        <v>1.1735290000551568</v>
      </c>
      <c r="O663">
        <f t="shared" ca="1" si="314"/>
        <v>4.5807502857230418</v>
      </c>
      <c r="P663">
        <f t="shared" ca="1" si="315"/>
        <v>634.40096770439868</v>
      </c>
      <c r="Q663">
        <f t="shared" ca="1" si="316"/>
        <v>635.47045155659805</v>
      </c>
      <c r="R663">
        <f t="shared" ca="1" si="317"/>
        <v>3.8141460404132466E-3</v>
      </c>
      <c r="S663">
        <f t="shared" ca="1" si="318"/>
        <v>1.0000000000000004</v>
      </c>
      <c r="T663">
        <f t="shared" ca="1" si="319"/>
        <v>35.686426155594638</v>
      </c>
      <c r="U663">
        <f t="shared" ca="1" si="340"/>
        <v>-3.3141460403385281E-3</v>
      </c>
      <c r="V663">
        <f t="shared" ca="1" si="341"/>
        <v>1</v>
      </c>
      <c r="W663">
        <f t="shared" ca="1" si="320"/>
        <v>1.7069123447564936</v>
      </c>
      <c r="X663">
        <f t="shared" ca="1" si="321"/>
        <v>8.8759441927337672</v>
      </c>
      <c r="Y663">
        <f t="shared" ca="1" si="322"/>
        <v>1.0304300949542078</v>
      </c>
      <c r="Z663">
        <f t="shared" ca="1" si="323"/>
        <v>5.7402343788630263</v>
      </c>
      <c r="AA663">
        <f t="shared" ca="1" si="324"/>
        <v>633.9689123447564</v>
      </c>
      <c r="AB663">
        <f t="shared" ca="1" si="325"/>
        <v>635.64833592907246</v>
      </c>
      <c r="AC663">
        <f t="shared" ca="1" si="326"/>
        <v>7.1233408080603189E-3</v>
      </c>
      <c r="AD663">
        <f t="shared" ca="1" si="327"/>
        <v>1.4027798278324692</v>
      </c>
      <c r="AE663">
        <f t="shared" ca="1" si="328"/>
        <v>37.388169377673918</v>
      </c>
      <c r="AF663">
        <f t="shared" ca="1" si="329"/>
        <v>6.6805953713355848E-3</v>
      </c>
      <c r="AG663">
        <f t="shared" ca="1" si="330"/>
        <v>0</v>
      </c>
      <c r="AH663">
        <f ca="1">IFERROR(IF(V32="Supercritical",MAX($D$16,IFERROR(L663,MAX($D$16,POWER((ABS(K663)^2)/($I$5*MAX(F663,0.1)^2),1/3)))),IF(V32="Subcritical",MAX($D$16,IFERROR(W663,MAX($D$16,POWER((ABS(K663)^2)/($I$5*MAX(F663,0.1)^2),1/3)))),IF(AND(IFERROR(V663,0)=1,IFERROR(AG663,0)=1),IF(IFERROR(T663,-1E+99)&gt;=IFERROR(AE663,-1E+99),MAX($D$16,IFERROR(L663,MAX($D$16,POWER((ABS(K663)^2)/($I$5*MAX(F663,0.1)^2),1/3)))),MAX($D$16,IFERROR(W663,MAX($D$16,POWER((ABS(K663)^2)/($I$5*MAX(F663,0.1)^2),1/3))))),IF(IFERROR(V663,0)=1,MAX($D$16,IFERROR(L663,MAX($D$16,POWER((ABS(K663)^2)/($I$5*MAX(F663,0.1)^2),1/3)))),IF(IFERROR(AG663,0)=1,MAX($D$16,IFERROR(W663,MAX($D$16,POWER((ABS(K663)^2)/($I$5*MAX(F663,0.1)^2),1/3)))),MAX($D$16,POWER((ABS(K663)^2)/($I$5*MAX(F663,0.1)^2),1/3))))))),MAX($D$16,POWER((ABS(K663)^2)/($I$5*MAX(F663,0.1)^2),1/3)))</f>
        <v>2.1389677043987478</v>
      </c>
      <c r="AI663">
        <f t="shared" ca="1" si="331"/>
        <v>634.40096770439868</v>
      </c>
      <c r="AJ663">
        <f t="shared" ca="1" si="332"/>
        <v>635.47045155659805</v>
      </c>
      <c r="AM663">
        <v>0</v>
      </c>
      <c r="AN663">
        <v>0</v>
      </c>
      <c r="AO663">
        <f t="shared" si="333"/>
        <v>0</v>
      </c>
      <c r="AP663">
        <f t="shared" si="342"/>
        <v>0</v>
      </c>
      <c r="AQ663">
        <f t="shared" ca="1" si="334"/>
        <v>1.0000000000000004</v>
      </c>
      <c r="AR663" t="str">
        <f t="shared" ca="1" si="335"/>
        <v>Supercritical</v>
      </c>
      <c r="AS663">
        <f t="shared" ca="1" si="336"/>
        <v>3.8141460404132466E-3</v>
      </c>
    </row>
    <row r="664" spans="1:45" x14ac:dyDescent="0.35">
      <c r="A664">
        <v>603</v>
      </c>
      <c r="B664">
        <v>601.995</v>
      </c>
      <c r="C664">
        <v>616157.245</v>
      </c>
      <c r="D664">
        <v>3097389.2450000001</v>
      </c>
      <c r="E664">
        <v>632.26149999999996</v>
      </c>
      <c r="F664">
        <v>5.2</v>
      </c>
      <c r="G664">
        <v>0</v>
      </c>
      <c r="H664" t="s">
        <v>154</v>
      </c>
      <c r="I664">
        <v>2.3E-2</v>
      </c>
      <c r="J664">
        <f t="shared" si="337"/>
        <v>0.99900000000002365</v>
      </c>
      <c r="K664">
        <f t="shared" ca="1" si="338"/>
        <v>50.95</v>
      </c>
      <c r="L664">
        <f t="shared" ca="1" si="339"/>
        <v>2.1389677043987478</v>
      </c>
      <c r="M664">
        <f t="shared" ca="1" si="312"/>
        <v>11.122632062873489</v>
      </c>
      <c r="N664">
        <f t="shared" ca="1" si="313"/>
        <v>1.1735290000551568</v>
      </c>
      <c r="O664">
        <f t="shared" ca="1" si="314"/>
        <v>4.5807502857230418</v>
      </c>
      <c r="P664">
        <f t="shared" ca="1" si="315"/>
        <v>634.40046770439869</v>
      </c>
      <c r="Q664">
        <f t="shared" ca="1" si="316"/>
        <v>635.46995155659806</v>
      </c>
      <c r="R664">
        <f t="shared" ca="1" si="317"/>
        <v>3.8141460404132466E-3</v>
      </c>
      <c r="S664">
        <f t="shared" ca="1" si="318"/>
        <v>1.0000000000000004</v>
      </c>
      <c r="T664">
        <f t="shared" ca="1" si="319"/>
        <v>35.686426155594638</v>
      </c>
      <c r="U664">
        <f t="shared" ca="1" si="340"/>
        <v>-3.3513287753521581E-3</v>
      </c>
      <c r="V664">
        <f t="shared" ca="1" si="341"/>
        <v>1</v>
      </c>
      <c r="W664">
        <f t="shared" ca="1" si="320"/>
        <v>1.7069123444077081</v>
      </c>
      <c r="X664">
        <f t="shared" ca="1" si="321"/>
        <v>8.875944190920082</v>
      </c>
      <c r="Y664">
        <f t="shared" ca="1" si="322"/>
        <v>1.0304300948270997</v>
      </c>
      <c r="Z664">
        <f t="shared" ca="1" si="323"/>
        <v>5.7402343800359699</v>
      </c>
      <c r="AA664">
        <f t="shared" ca="1" si="324"/>
        <v>633.96841234440762</v>
      </c>
      <c r="AB664">
        <f t="shared" ca="1" si="325"/>
        <v>635.64783592941001</v>
      </c>
      <c r="AC664">
        <f t="shared" ca="1" si="326"/>
        <v>7.1233408121430392E-3</v>
      </c>
      <c r="AD664">
        <f t="shared" ca="1" si="327"/>
        <v>1.4027798282624293</v>
      </c>
      <c r="AE664">
        <f t="shared" ca="1" si="328"/>
        <v>37.38816938067</v>
      </c>
      <c r="AF664">
        <f t="shared" ca="1" si="329"/>
        <v>6.694842057072492E-3</v>
      </c>
      <c r="AG664">
        <f t="shared" ca="1" si="330"/>
        <v>0</v>
      </c>
      <c r="AH664">
        <f ca="1">IFERROR(IF(V32="Supercritical",MAX($D$16,IFERROR(L664,MAX($D$16,POWER((ABS(K664)^2)/($I$5*MAX(F664,0.1)^2),1/3)))),IF(V32="Subcritical",MAX($D$16,IFERROR(W664,MAX($D$16,POWER((ABS(K664)^2)/($I$5*MAX(F664,0.1)^2),1/3)))),IF(AND(IFERROR(V664,0)=1,IFERROR(AG664,0)=1),IF(IFERROR(T664,-1E+99)&gt;=IFERROR(AE664,-1E+99),MAX($D$16,IFERROR(L664,MAX($D$16,POWER((ABS(K664)^2)/($I$5*MAX(F664,0.1)^2),1/3)))),MAX($D$16,IFERROR(W664,MAX($D$16,POWER((ABS(K664)^2)/($I$5*MAX(F664,0.1)^2),1/3))))),IF(IFERROR(V664,0)=1,MAX($D$16,IFERROR(L664,MAX($D$16,POWER((ABS(K664)^2)/($I$5*MAX(F664,0.1)^2),1/3)))),IF(IFERROR(AG664,0)=1,MAX($D$16,IFERROR(W664,MAX($D$16,POWER((ABS(K664)^2)/($I$5*MAX(F664,0.1)^2),1/3)))),MAX($D$16,POWER((ABS(K664)^2)/($I$5*MAX(F664,0.1)^2),1/3))))))),MAX($D$16,POWER((ABS(K664)^2)/($I$5*MAX(F664,0.1)^2),1/3)))</f>
        <v>2.1389677043987478</v>
      </c>
      <c r="AI664">
        <f t="shared" ca="1" si="331"/>
        <v>634.40046770439869</v>
      </c>
      <c r="AJ664">
        <f t="shared" ca="1" si="332"/>
        <v>635.46995155659806</v>
      </c>
      <c r="AM664">
        <v>0</v>
      </c>
      <c r="AN664">
        <v>0</v>
      </c>
      <c r="AO664">
        <f t="shared" si="333"/>
        <v>0</v>
      </c>
      <c r="AP664">
        <f t="shared" si="342"/>
        <v>0</v>
      </c>
      <c r="AQ664">
        <f t="shared" ca="1" si="334"/>
        <v>1.0000000000000004</v>
      </c>
      <c r="AR664" t="str">
        <f t="shared" ca="1" si="335"/>
        <v>Supercritical</v>
      </c>
      <c r="AS664">
        <f t="shared" ca="1" si="336"/>
        <v>3.8141460404132466E-3</v>
      </c>
    </row>
    <row r="665" spans="1:45" x14ac:dyDescent="0.35">
      <c r="A665">
        <v>604</v>
      </c>
      <c r="B665">
        <v>602.99599999999998</v>
      </c>
      <c r="C665">
        <v>616156.77</v>
      </c>
      <c r="D665">
        <v>3097388.3640000001</v>
      </c>
      <c r="E665">
        <v>632.26099999999997</v>
      </c>
      <c r="F665">
        <v>5.2</v>
      </c>
      <c r="G665">
        <v>0</v>
      </c>
      <c r="H665" t="s">
        <v>154</v>
      </c>
      <c r="I665">
        <v>2.3E-2</v>
      </c>
      <c r="J665">
        <f t="shared" si="337"/>
        <v>1.0009999999999764</v>
      </c>
      <c r="K665">
        <f t="shared" ca="1" si="338"/>
        <v>50.95</v>
      </c>
      <c r="L665">
        <f t="shared" ca="1" si="339"/>
        <v>2.1389677043987478</v>
      </c>
      <c r="M665">
        <f t="shared" ca="1" si="312"/>
        <v>11.122632062873489</v>
      </c>
      <c r="N665">
        <f t="shared" ca="1" si="313"/>
        <v>1.1735290000551568</v>
      </c>
      <c r="O665">
        <f t="shared" ca="1" si="314"/>
        <v>4.5807502857230418</v>
      </c>
      <c r="P665">
        <f t="shared" ca="1" si="315"/>
        <v>634.3999677043987</v>
      </c>
      <c r="Q665">
        <f t="shared" ca="1" si="316"/>
        <v>635.46945155659807</v>
      </c>
      <c r="R665">
        <f t="shared" ca="1" si="317"/>
        <v>3.8141460404132466E-3</v>
      </c>
      <c r="S665">
        <f t="shared" ca="1" si="318"/>
        <v>1.0000000000000004</v>
      </c>
      <c r="T665">
        <f t="shared" ca="1" si="319"/>
        <v>35.686426155594638</v>
      </c>
      <c r="U665">
        <f t="shared" ca="1" si="340"/>
        <v>-3.3589570674621427E-3</v>
      </c>
      <c r="V665">
        <f t="shared" ca="1" si="341"/>
        <v>1</v>
      </c>
      <c r="W665">
        <f t="shared" ca="1" si="320"/>
        <v>1.7069123440820635</v>
      </c>
      <c r="X665">
        <f t="shared" ca="1" si="321"/>
        <v>8.8759441892267308</v>
      </c>
      <c r="Y665">
        <f t="shared" ca="1" si="322"/>
        <v>1.0304300947084248</v>
      </c>
      <c r="Z665">
        <f t="shared" ca="1" si="323"/>
        <v>5.7402343811310903</v>
      </c>
      <c r="AA665">
        <f t="shared" ca="1" si="324"/>
        <v>633.96791234408204</v>
      </c>
      <c r="AB665">
        <f t="shared" ca="1" si="325"/>
        <v>635.64733592972527</v>
      </c>
      <c r="AC665">
        <f t="shared" ca="1" si="326"/>
        <v>7.1233408159548789E-3</v>
      </c>
      <c r="AD665">
        <f t="shared" ca="1" si="327"/>
        <v>1.4027798286638626</v>
      </c>
      <c r="AE665">
        <f t="shared" ca="1" si="328"/>
        <v>37.388169383467307</v>
      </c>
      <c r="AF665">
        <f t="shared" ca="1" si="329"/>
        <v>6.6989148773473062E-3</v>
      </c>
      <c r="AG665">
        <f t="shared" ca="1" si="330"/>
        <v>0</v>
      </c>
      <c r="AH665">
        <f ca="1">IFERROR(IF(V32="Supercritical",MAX($D$16,IFERROR(L665,MAX($D$16,POWER((ABS(K665)^2)/($I$5*MAX(F665,0.1)^2),1/3)))),IF(V32="Subcritical",MAX($D$16,IFERROR(W665,MAX($D$16,POWER((ABS(K665)^2)/($I$5*MAX(F665,0.1)^2),1/3)))),IF(AND(IFERROR(V665,0)=1,IFERROR(AG665,0)=1),IF(IFERROR(T665,-1E+99)&gt;=IFERROR(AE665,-1E+99),MAX($D$16,IFERROR(L665,MAX($D$16,POWER((ABS(K665)^2)/($I$5*MAX(F665,0.1)^2),1/3)))),MAX($D$16,IFERROR(W665,MAX($D$16,POWER((ABS(K665)^2)/($I$5*MAX(F665,0.1)^2),1/3))))),IF(IFERROR(V665,0)=1,MAX($D$16,IFERROR(L665,MAX($D$16,POWER((ABS(K665)^2)/($I$5*MAX(F665,0.1)^2),1/3)))),IF(IFERROR(AG665,0)=1,MAX($D$16,IFERROR(W665,MAX($D$16,POWER((ABS(K665)^2)/($I$5*MAX(F665,0.1)^2),1/3)))),MAX($D$16,POWER((ABS(K665)^2)/($I$5*MAX(F665,0.1)^2),1/3))))))),MAX($D$16,POWER((ABS(K665)^2)/($I$5*MAX(F665,0.1)^2),1/3)))</f>
        <v>2.1389677043987478</v>
      </c>
      <c r="AI665">
        <f t="shared" ca="1" si="331"/>
        <v>634.3999677043987</v>
      </c>
      <c r="AJ665">
        <f t="shared" ca="1" si="332"/>
        <v>635.46945155659807</v>
      </c>
      <c r="AM665">
        <v>0</v>
      </c>
      <c r="AN665">
        <v>0</v>
      </c>
      <c r="AO665">
        <f t="shared" si="333"/>
        <v>0</v>
      </c>
      <c r="AP665">
        <f t="shared" si="342"/>
        <v>0</v>
      </c>
      <c r="AQ665">
        <f t="shared" ca="1" si="334"/>
        <v>1.0000000000000004</v>
      </c>
      <c r="AR665" t="str">
        <f t="shared" ca="1" si="335"/>
        <v>Supercritical</v>
      </c>
      <c r="AS665">
        <f t="shared" ca="1" si="336"/>
        <v>3.8141460404132466E-3</v>
      </c>
    </row>
    <row r="666" spans="1:45" x14ac:dyDescent="0.35">
      <c r="A666">
        <v>605</v>
      </c>
      <c r="B666">
        <v>603.99599999999998</v>
      </c>
      <c r="C666">
        <v>616156.29599999997</v>
      </c>
      <c r="D666">
        <v>3097387.4840000002</v>
      </c>
      <c r="E666">
        <v>632.26049999999998</v>
      </c>
      <c r="F666">
        <v>5.2</v>
      </c>
      <c r="G666">
        <v>0</v>
      </c>
      <c r="H666" t="s">
        <v>154</v>
      </c>
      <c r="I666">
        <v>2.7E-2</v>
      </c>
      <c r="J666">
        <f t="shared" si="337"/>
        <v>1</v>
      </c>
      <c r="K666">
        <f t="shared" ca="1" si="338"/>
        <v>50.95</v>
      </c>
      <c r="L666">
        <f t="shared" ca="1" si="339"/>
        <v>2.1389677043987478</v>
      </c>
      <c r="M666">
        <f t="shared" ca="1" si="312"/>
        <v>11.122632062873489</v>
      </c>
      <c r="N666">
        <f t="shared" ca="1" si="313"/>
        <v>1.1735290000551568</v>
      </c>
      <c r="O666">
        <f t="shared" ca="1" si="314"/>
        <v>4.5807502857230418</v>
      </c>
      <c r="P666">
        <f t="shared" ca="1" si="315"/>
        <v>634.39946770439872</v>
      </c>
      <c r="Q666">
        <f t="shared" ca="1" si="316"/>
        <v>635.46895155659809</v>
      </c>
      <c r="R666">
        <f t="shared" ca="1" si="317"/>
        <v>3.8141460404132466E-3</v>
      </c>
      <c r="S666">
        <f t="shared" ca="1" si="318"/>
        <v>1.0000000000000004</v>
      </c>
      <c r="T666">
        <f t="shared" ca="1" si="319"/>
        <v>35.686426155594638</v>
      </c>
      <c r="U666">
        <f t="shared" ca="1" si="340"/>
        <v>-3.3622728137743252E-3</v>
      </c>
      <c r="V666">
        <f t="shared" ca="1" si="341"/>
        <v>1</v>
      </c>
      <c r="W666">
        <f t="shared" ca="1" si="320"/>
        <v>1.7069123437780251</v>
      </c>
      <c r="X666">
        <f t="shared" ca="1" si="321"/>
        <v>8.8759441876457306</v>
      </c>
      <c r="Y666">
        <f t="shared" ca="1" si="322"/>
        <v>1.0304300945976241</v>
      </c>
      <c r="Z666">
        <f t="shared" ca="1" si="323"/>
        <v>5.7402343821535524</v>
      </c>
      <c r="AA666">
        <f t="shared" ca="1" si="324"/>
        <v>633.96741234377805</v>
      </c>
      <c r="AB666">
        <f t="shared" ca="1" si="325"/>
        <v>635.64683593001951</v>
      </c>
      <c r="AC666">
        <f t="shared" ca="1" si="326"/>
        <v>7.1233408195138098E-3</v>
      </c>
      <c r="AD666">
        <f t="shared" ca="1" si="327"/>
        <v>1.4027798290386613</v>
      </c>
      <c r="AE666">
        <f t="shared" ca="1" si="328"/>
        <v>37.388169386079021</v>
      </c>
      <c r="AF666">
        <f t="shared" ca="1" si="329"/>
        <v>6.6989148808715981E-3</v>
      </c>
      <c r="AG666">
        <f t="shared" ca="1" si="330"/>
        <v>0</v>
      </c>
      <c r="AH666">
        <f ca="1">IFERROR(IF(V32="Supercritical",MAX($D$16,IFERROR(L666,MAX($D$16,POWER((ABS(K666)^2)/($I$5*MAX(F666,0.1)^2),1/3)))),IF(V32="Subcritical",MAX($D$16,IFERROR(W666,MAX($D$16,POWER((ABS(K666)^2)/($I$5*MAX(F666,0.1)^2),1/3)))),IF(AND(IFERROR(V666,0)=1,IFERROR(AG666,0)=1),IF(IFERROR(T666,-1E+99)&gt;=IFERROR(AE666,-1E+99),MAX($D$16,IFERROR(L666,MAX($D$16,POWER((ABS(K666)^2)/($I$5*MAX(F666,0.1)^2),1/3)))),MAX($D$16,IFERROR(W666,MAX($D$16,POWER((ABS(K666)^2)/($I$5*MAX(F666,0.1)^2),1/3))))),IF(IFERROR(V666,0)=1,MAX($D$16,IFERROR(L666,MAX($D$16,POWER((ABS(K666)^2)/($I$5*MAX(F666,0.1)^2),1/3)))),IF(IFERROR(AG666,0)=1,MAX($D$16,IFERROR(W666,MAX($D$16,POWER((ABS(K666)^2)/($I$5*MAX(F666,0.1)^2),1/3)))),MAX($D$16,POWER((ABS(K666)^2)/($I$5*MAX(F666,0.1)^2),1/3))))))),MAX($D$16,POWER((ABS(K666)^2)/($I$5*MAX(F666,0.1)^2),1/3)))</f>
        <v>2.1389677043987478</v>
      </c>
      <c r="AI666">
        <f t="shared" ca="1" si="331"/>
        <v>634.39946770439872</v>
      </c>
      <c r="AJ666">
        <f t="shared" ca="1" si="332"/>
        <v>635.46895155659809</v>
      </c>
      <c r="AM666">
        <v>0</v>
      </c>
      <c r="AN666">
        <v>0</v>
      </c>
      <c r="AO666">
        <f t="shared" si="333"/>
        <v>0</v>
      </c>
      <c r="AP666">
        <f t="shared" si="342"/>
        <v>0</v>
      </c>
      <c r="AQ666">
        <f t="shared" ca="1" si="334"/>
        <v>1.0000000000000004</v>
      </c>
      <c r="AR666" t="str">
        <f t="shared" ca="1" si="335"/>
        <v>Supercritical</v>
      </c>
      <c r="AS666">
        <f t="shared" ca="1" si="336"/>
        <v>3.8141460404132466E-3</v>
      </c>
    </row>
    <row r="667" spans="1:45" x14ac:dyDescent="0.35">
      <c r="A667">
        <v>606</v>
      </c>
      <c r="B667">
        <v>604.99599999999998</v>
      </c>
      <c r="C667">
        <v>616155.82200000004</v>
      </c>
      <c r="D667">
        <v>3097386.6030000001</v>
      </c>
      <c r="E667">
        <v>632.26</v>
      </c>
      <c r="F667">
        <v>5.2</v>
      </c>
      <c r="G667">
        <v>0</v>
      </c>
      <c r="H667" t="s">
        <v>154</v>
      </c>
      <c r="I667">
        <v>2.7E-2</v>
      </c>
      <c r="J667">
        <f t="shared" si="337"/>
        <v>1</v>
      </c>
      <c r="K667">
        <f t="shared" ca="1" si="338"/>
        <v>50.95</v>
      </c>
      <c r="L667">
        <f t="shared" ca="1" si="339"/>
        <v>2.1389677043987478</v>
      </c>
      <c r="M667">
        <f t="shared" ca="1" si="312"/>
        <v>11.122632062873489</v>
      </c>
      <c r="N667">
        <f t="shared" ca="1" si="313"/>
        <v>1.1735290000551568</v>
      </c>
      <c r="O667">
        <f t="shared" ca="1" si="314"/>
        <v>4.5807502857230418</v>
      </c>
      <c r="P667">
        <f t="shared" ca="1" si="315"/>
        <v>634.39896770439873</v>
      </c>
      <c r="Q667">
        <f t="shared" ca="1" si="316"/>
        <v>635.4684515565981</v>
      </c>
      <c r="R667">
        <f t="shared" ca="1" si="317"/>
        <v>3.8141460404132466E-3</v>
      </c>
      <c r="S667">
        <f t="shared" ca="1" si="318"/>
        <v>1.0000000000000004</v>
      </c>
      <c r="T667">
        <f t="shared" ca="1" si="319"/>
        <v>35.686426155594638</v>
      </c>
      <c r="U667">
        <f t="shared" ca="1" si="340"/>
        <v>-3.3622728137743252E-3</v>
      </c>
      <c r="V667">
        <f t="shared" ca="1" si="341"/>
        <v>1</v>
      </c>
      <c r="W667">
        <f t="shared" ca="1" si="320"/>
        <v>1.7069123434941604</v>
      </c>
      <c r="X667">
        <f t="shared" ca="1" si="321"/>
        <v>8.8759441861696349</v>
      </c>
      <c r="Y667">
        <f t="shared" ca="1" si="322"/>
        <v>1.0304300944941751</v>
      </c>
      <c r="Z667">
        <f t="shared" ca="1" si="323"/>
        <v>5.7402343831081701</v>
      </c>
      <c r="AA667">
        <f t="shared" ca="1" si="324"/>
        <v>633.96691234349419</v>
      </c>
      <c r="AB667">
        <f t="shared" ca="1" si="325"/>
        <v>635.6463359302943</v>
      </c>
      <c r="AC667">
        <f t="shared" ca="1" si="326"/>
        <v>7.1233408228365946E-3</v>
      </c>
      <c r="AD667">
        <f t="shared" ca="1" si="327"/>
        <v>1.4027798293885909</v>
      </c>
      <c r="AE667">
        <f t="shared" ca="1" si="328"/>
        <v>37.388169388517433</v>
      </c>
      <c r="AF667">
        <f t="shared" ca="1" si="329"/>
        <v>6.7632927884915262E-3</v>
      </c>
      <c r="AG667">
        <f t="shared" ca="1" si="330"/>
        <v>0</v>
      </c>
      <c r="AH667">
        <f ca="1">IFERROR(IF(V32="Supercritical",MAX($D$16,IFERROR(L667,MAX($D$16,POWER((ABS(K667)^2)/($I$5*MAX(F667,0.1)^2),1/3)))),IF(V32="Subcritical",MAX($D$16,IFERROR(W667,MAX($D$16,POWER((ABS(K667)^2)/($I$5*MAX(F667,0.1)^2),1/3)))),IF(AND(IFERROR(V667,0)=1,IFERROR(AG667,0)=1),IF(IFERROR(T667,-1E+99)&gt;=IFERROR(AE667,-1E+99),MAX($D$16,IFERROR(L667,MAX($D$16,POWER((ABS(K667)^2)/($I$5*MAX(F667,0.1)^2),1/3)))),MAX($D$16,IFERROR(W667,MAX($D$16,POWER((ABS(K667)^2)/($I$5*MAX(F667,0.1)^2),1/3))))),IF(IFERROR(V667,0)=1,MAX($D$16,IFERROR(L667,MAX($D$16,POWER((ABS(K667)^2)/($I$5*MAX(F667,0.1)^2),1/3)))),IF(IFERROR(AG667,0)=1,MAX($D$16,IFERROR(W667,MAX($D$16,POWER((ABS(K667)^2)/($I$5*MAX(F667,0.1)^2),1/3)))),MAX($D$16,POWER((ABS(K667)^2)/($I$5*MAX(F667,0.1)^2),1/3))))))),MAX($D$16,POWER((ABS(K667)^2)/($I$5*MAX(F667,0.1)^2),1/3)))</f>
        <v>2.1389677043987478</v>
      </c>
      <c r="AI667">
        <f t="shared" ca="1" si="331"/>
        <v>634.39896770439873</v>
      </c>
      <c r="AJ667">
        <f t="shared" ca="1" si="332"/>
        <v>635.4684515565981</v>
      </c>
      <c r="AM667">
        <v>0</v>
      </c>
      <c r="AN667">
        <v>0</v>
      </c>
      <c r="AO667">
        <f t="shared" si="333"/>
        <v>0</v>
      </c>
      <c r="AP667">
        <f t="shared" si="342"/>
        <v>0</v>
      </c>
      <c r="AQ667">
        <f t="shared" ca="1" si="334"/>
        <v>1.0000000000000004</v>
      </c>
      <c r="AR667" t="str">
        <f t="shared" ca="1" si="335"/>
        <v>Supercritical</v>
      </c>
      <c r="AS667">
        <f t="shared" ca="1" si="336"/>
        <v>3.8141460404132466E-3</v>
      </c>
    </row>
    <row r="668" spans="1:45" x14ac:dyDescent="0.35">
      <c r="A668">
        <v>607</v>
      </c>
      <c r="B668">
        <v>605.99599999999998</v>
      </c>
      <c r="C668">
        <v>616155.348</v>
      </c>
      <c r="D668">
        <v>3097385.7230000002</v>
      </c>
      <c r="E668">
        <v>632.2595</v>
      </c>
      <c r="F668">
        <v>5.2</v>
      </c>
      <c r="G668">
        <v>0</v>
      </c>
      <c r="H668" t="s">
        <v>154</v>
      </c>
      <c r="I668">
        <v>0.05</v>
      </c>
      <c r="J668">
        <f t="shared" si="337"/>
        <v>1</v>
      </c>
      <c r="K668">
        <f t="shared" ca="1" si="338"/>
        <v>50.95</v>
      </c>
      <c r="L668">
        <f t="shared" ca="1" si="339"/>
        <v>2.1389677043987478</v>
      </c>
      <c r="M668">
        <f t="shared" ca="1" si="312"/>
        <v>11.122632062873489</v>
      </c>
      <c r="N668">
        <f t="shared" ca="1" si="313"/>
        <v>1.1735290000551568</v>
      </c>
      <c r="O668">
        <f t="shared" ca="1" si="314"/>
        <v>4.5807502857230418</v>
      </c>
      <c r="P668">
        <f t="shared" ca="1" si="315"/>
        <v>634.39846770439874</v>
      </c>
      <c r="Q668">
        <f t="shared" ca="1" si="316"/>
        <v>635.46795155659811</v>
      </c>
      <c r="R668">
        <f t="shared" ca="1" si="317"/>
        <v>3.8141460404132466E-3</v>
      </c>
      <c r="S668">
        <f t="shared" ca="1" si="318"/>
        <v>1.0000000000000004</v>
      </c>
      <c r="T668">
        <f t="shared" ca="1" si="319"/>
        <v>35.686426155594638</v>
      </c>
      <c r="U668">
        <f t="shared" ca="1" si="340"/>
        <v>-3.4032696947861041E-3</v>
      </c>
      <c r="V668">
        <f t="shared" ca="1" si="341"/>
        <v>1</v>
      </c>
      <c r="W668">
        <f t="shared" ca="1" si="320"/>
        <v>1.7069123432291222</v>
      </c>
      <c r="X668">
        <f t="shared" ca="1" si="321"/>
        <v>8.875944184791436</v>
      </c>
      <c r="Y668">
        <f t="shared" ca="1" si="322"/>
        <v>1.0304300943975873</v>
      </c>
      <c r="Z668">
        <f t="shared" ca="1" si="323"/>
        <v>5.7402343839994767</v>
      </c>
      <c r="AA668">
        <f t="shared" ca="1" si="324"/>
        <v>633.96641234322908</v>
      </c>
      <c r="AB668">
        <f t="shared" ca="1" si="325"/>
        <v>635.64583593055067</v>
      </c>
      <c r="AC668">
        <f t="shared" ca="1" si="326"/>
        <v>7.1233408259390061E-3</v>
      </c>
      <c r="AD668">
        <f t="shared" ca="1" si="327"/>
        <v>1.4027798297153127</v>
      </c>
      <c r="AE668">
        <f t="shared" ca="1" si="328"/>
        <v>37.388169390794125</v>
      </c>
      <c r="AF668">
        <f t="shared" ca="1" si="329"/>
        <v>6.8416658923524665E-3</v>
      </c>
      <c r="AG668">
        <f t="shared" ca="1" si="330"/>
        <v>0</v>
      </c>
      <c r="AH668">
        <f ca="1">IFERROR(IF(V32="Supercritical",MAX($D$16,IFERROR(L668,MAX($D$16,POWER((ABS(K668)^2)/($I$5*MAX(F668,0.1)^2),1/3)))),IF(V32="Subcritical",MAX($D$16,IFERROR(W668,MAX($D$16,POWER((ABS(K668)^2)/($I$5*MAX(F668,0.1)^2),1/3)))),IF(AND(IFERROR(V668,0)=1,IFERROR(AG668,0)=1),IF(IFERROR(T668,-1E+99)&gt;=IFERROR(AE668,-1E+99),MAX($D$16,IFERROR(L668,MAX($D$16,POWER((ABS(K668)^2)/($I$5*MAX(F668,0.1)^2),1/3)))),MAX($D$16,IFERROR(W668,MAX($D$16,POWER((ABS(K668)^2)/($I$5*MAX(F668,0.1)^2),1/3))))),IF(IFERROR(V668,0)=1,MAX($D$16,IFERROR(L668,MAX($D$16,POWER((ABS(K668)^2)/($I$5*MAX(F668,0.1)^2),1/3)))),IF(IFERROR(AG668,0)=1,MAX($D$16,IFERROR(W668,MAX($D$16,POWER((ABS(K668)^2)/($I$5*MAX(F668,0.1)^2),1/3)))),MAX($D$16,POWER((ABS(K668)^2)/($I$5*MAX(F668,0.1)^2),1/3))))))),MAX($D$16,POWER((ABS(K668)^2)/($I$5*MAX(F668,0.1)^2),1/3)))</f>
        <v>2.1389677043987478</v>
      </c>
      <c r="AI668">
        <f t="shared" ca="1" si="331"/>
        <v>634.39846770439874</v>
      </c>
      <c r="AJ668">
        <f t="shared" ca="1" si="332"/>
        <v>635.46795155659811</v>
      </c>
      <c r="AM668">
        <v>0</v>
      </c>
      <c r="AN668">
        <v>0</v>
      </c>
      <c r="AO668">
        <f t="shared" si="333"/>
        <v>0</v>
      </c>
      <c r="AP668">
        <f t="shared" si="342"/>
        <v>0</v>
      </c>
      <c r="AQ668">
        <f t="shared" ca="1" si="334"/>
        <v>1.0000000000000004</v>
      </c>
      <c r="AR668" t="str">
        <f t="shared" ca="1" si="335"/>
        <v>Supercritical</v>
      </c>
      <c r="AS668">
        <f t="shared" ca="1" si="336"/>
        <v>3.8141460404132466E-3</v>
      </c>
    </row>
    <row r="669" spans="1:45" x14ac:dyDescent="0.35">
      <c r="A669">
        <v>608</v>
      </c>
      <c r="B669">
        <v>606.99599999999998</v>
      </c>
      <c r="C669">
        <v>616154.87300000002</v>
      </c>
      <c r="D669">
        <v>3097384.8429999999</v>
      </c>
      <c r="E669">
        <v>632.25900000000001</v>
      </c>
      <c r="F669">
        <v>5.2</v>
      </c>
      <c r="G669">
        <v>0</v>
      </c>
      <c r="H669" t="s">
        <v>154</v>
      </c>
      <c r="I669">
        <v>7.8E-2</v>
      </c>
      <c r="J669">
        <f t="shared" si="337"/>
        <v>1</v>
      </c>
      <c r="K669">
        <f t="shared" ca="1" si="338"/>
        <v>50.95</v>
      </c>
      <c r="L669">
        <f t="shared" ca="1" si="339"/>
        <v>2.1389677043987478</v>
      </c>
      <c r="M669">
        <f t="shared" ca="1" si="312"/>
        <v>11.122632062873489</v>
      </c>
      <c r="N669">
        <f t="shared" ca="1" si="313"/>
        <v>1.1735290000551568</v>
      </c>
      <c r="O669">
        <f t="shared" ca="1" si="314"/>
        <v>4.5807502857230418</v>
      </c>
      <c r="P669">
        <f t="shared" ca="1" si="315"/>
        <v>634.39796770439875</v>
      </c>
      <c r="Q669">
        <f t="shared" ca="1" si="316"/>
        <v>635.46745155659812</v>
      </c>
      <c r="R669">
        <f t="shared" ca="1" si="317"/>
        <v>3.8141460404132466E-3</v>
      </c>
      <c r="S669">
        <f t="shared" ca="1" si="318"/>
        <v>1.0000000000000004</v>
      </c>
      <c r="T669">
        <f t="shared" ca="1" si="319"/>
        <v>35.686426155594638</v>
      </c>
      <c r="U669">
        <f t="shared" ca="1" si="340"/>
        <v>-3.4531789411857972E-3</v>
      </c>
      <c r="V669">
        <f t="shared" ca="1" si="341"/>
        <v>1</v>
      </c>
      <c r="W669">
        <f t="shared" ca="1" si="320"/>
        <v>1.7069123429816657</v>
      </c>
      <c r="X669">
        <f t="shared" ca="1" si="321"/>
        <v>8.8759441835046626</v>
      </c>
      <c r="Y669">
        <f t="shared" ca="1" si="322"/>
        <v>1.0304300943074065</v>
      </c>
      <c r="Z669">
        <f t="shared" ca="1" si="323"/>
        <v>5.7402343848316564</v>
      </c>
      <c r="AA669">
        <f t="shared" ca="1" si="324"/>
        <v>633.96591234298171</v>
      </c>
      <c r="AB669">
        <f t="shared" ca="1" si="325"/>
        <v>635.64533593079022</v>
      </c>
      <c r="AC669">
        <f t="shared" ca="1" si="326"/>
        <v>7.123340828835617E-3</v>
      </c>
      <c r="AD669">
        <f t="shared" ca="1" si="327"/>
        <v>1.4027798300203607</v>
      </c>
      <c r="AE669">
        <f t="shared" ca="1" si="328"/>
        <v>37.388169392919792</v>
      </c>
      <c r="AF669">
        <f t="shared" ca="1" si="329"/>
        <v>6.6989148903076057E-3</v>
      </c>
      <c r="AG669">
        <f t="shared" ca="1" si="330"/>
        <v>0</v>
      </c>
      <c r="AH669">
        <f ca="1">IFERROR(IF(V32="Supercritical",MAX($D$16,IFERROR(L669,MAX($D$16,POWER((ABS(K669)^2)/($I$5*MAX(F669,0.1)^2),1/3)))),IF(V32="Subcritical",MAX($D$16,IFERROR(W669,MAX($D$16,POWER((ABS(K669)^2)/($I$5*MAX(F669,0.1)^2),1/3)))),IF(AND(IFERROR(V669,0)=1,IFERROR(AG669,0)=1),IF(IFERROR(T669,-1E+99)&gt;=IFERROR(AE669,-1E+99),MAX($D$16,IFERROR(L669,MAX($D$16,POWER((ABS(K669)^2)/($I$5*MAX(F669,0.1)^2),1/3)))),MAX($D$16,IFERROR(W669,MAX($D$16,POWER((ABS(K669)^2)/($I$5*MAX(F669,0.1)^2),1/3))))),IF(IFERROR(V669,0)=1,MAX($D$16,IFERROR(L669,MAX($D$16,POWER((ABS(K669)^2)/($I$5*MAX(F669,0.1)^2),1/3)))),IF(IFERROR(AG669,0)=1,MAX($D$16,IFERROR(W669,MAX($D$16,POWER((ABS(K669)^2)/($I$5*MAX(F669,0.1)^2),1/3)))),MAX($D$16,POWER((ABS(K669)^2)/($I$5*MAX(F669,0.1)^2),1/3))))))),MAX($D$16,POWER((ABS(K669)^2)/($I$5*MAX(F669,0.1)^2),1/3)))</f>
        <v>2.1389677043987478</v>
      </c>
      <c r="AI669">
        <f t="shared" ca="1" si="331"/>
        <v>634.39796770439875</v>
      </c>
      <c r="AJ669">
        <f t="shared" ca="1" si="332"/>
        <v>635.46745155659812</v>
      </c>
      <c r="AM669">
        <v>0</v>
      </c>
      <c r="AN669">
        <v>0</v>
      </c>
      <c r="AO669">
        <f t="shared" si="333"/>
        <v>0</v>
      </c>
      <c r="AP669">
        <f t="shared" si="342"/>
        <v>0</v>
      </c>
      <c r="AQ669">
        <f t="shared" ca="1" si="334"/>
        <v>1.0000000000000004</v>
      </c>
      <c r="AR669" t="str">
        <f t="shared" ca="1" si="335"/>
        <v>Supercritical</v>
      </c>
      <c r="AS669">
        <f t="shared" ca="1" si="336"/>
        <v>3.8141460404132466E-3</v>
      </c>
    </row>
    <row r="670" spans="1:45" x14ac:dyDescent="0.35">
      <c r="A670">
        <v>609</v>
      </c>
      <c r="B670">
        <v>607.99599999999998</v>
      </c>
      <c r="C670">
        <v>616154.39899999998</v>
      </c>
      <c r="D670">
        <v>3097383.9619999998</v>
      </c>
      <c r="E670">
        <v>632.25850000000003</v>
      </c>
      <c r="F670">
        <v>5.2</v>
      </c>
      <c r="G670">
        <v>0</v>
      </c>
      <c r="H670" t="s">
        <v>154</v>
      </c>
      <c r="I670">
        <v>2.7E-2</v>
      </c>
      <c r="J670">
        <f t="shared" si="337"/>
        <v>1</v>
      </c>
      <c r="K670">
        <f t="shared" ca="1" si="338"/>
        <v>50.95</v>
      </c>
      <c r="L670">
        <f t="shared" ca="1" si="339"/>
        <v>2.1389677043987478</v>
      </c>
      <c r="M670">
        <f t="shared" ca="1" si="312"/>
        <v>11.122632062873489</v>
      </c>
      <c r="N670">
        <f t="shared" ca="1" si="313"/>
        <v>1.1735290000551568</v>
      </c>
      <c r="O670">
        <f t="shared" ca="1" si="314"/>
        <v>4.5807502857230418</v>
      </c>
      <c r="P670">
        <f t="shared" ca="1" si="315"/>
        <v>634.39746770439876</v>
      </c>
      <c r="Q670">
        <f t="shared" ca="1" si="316"/>
        <v>635.46695155659813</v>
      </c>
      <c r="R670">
        <f t="shared" ca="1" si="317"/>
        <v>3.8141460404132466E-3</v>
      </c>
      <c r="S670">
        <f t="shared" ca="1" si="318"/>
        <v>1.0000000000000004</v>
      </c>
      <c r="T670">
        <f t="shared" ca="1" si="319"/>
        <v>35.686426155594638</v>
      </c>
      <c r="U670">
        <f t="shared" ca="1" si="340"/>
        <v>-3.3622728137743252E-3</v>
      </c>
      <c r="V670">
        <f t="shared" ca="1" si="341"/>
        <v>1</v>
      </c>
      <c r="W670">
        <f t="shared" ca="1" si="320"/>
        <v>1.7069123427506314</v>
      </c>
      <c r="X670">
        <f t="shared" ca="1" si="321"/>
        <v>8.8759441823032841</v>
      </c>
      <c r="Y670">
        <f t="shared" ca="1" si="322"/>
        <v>1.0304300942232105</v>
      </c>
      <c r="Z670">
        <f t="shared" ca="1" si="323"/>
        <v>5.7402343856086091</v>
      </c>
      <c r="AA670">
        <f t="shared" ca="1" si="324"/>
        <v>633.96541234275071</v>
      </c>
      <c r="AB670">
        <f t="shared" ca="1" si="325"/>
        <v>635.64483593101386</v>
      </c>
      <c r="AC670">
        <f t="shared" ca="1" si="326"/>
        <v>7.1233408315399963E-3</v>
      </c>
      <c r="AD670">
        <f t="shared" ca="1" si="327"/>
        <v>1.4027798303051648</v>
      </c>
      <c r="AE670">
        <f t="shared" ca="1" si="328"/>
        <v>37.388169394904395</v>
      </c>
      <c r="AF670">
        <f t="shared" ca="1" si="329"/>
        <v>6.6989148930360898E-3</v>
      </c>
      <c r="AG670">
        <f t="shared" ca="1" si="330"/>
        <v>0</v>
      </c>
      <c r="AH670">
        <f ca="1">IFERROR(IF(V32="Supercritical",MAX($D$16,IFERROR(L670,MAX($D$16,POWER((ABS(K670)^2)/($I$5*MAX(F670,0.1)^2),1/3)))),IF(V32="Subcritical",MAX($D$16,IFERROR(W670,MAX($D$16,POWER((ABS(K670)^2)/($I$5*MAX(F670,0.1)^2),1/3)))),IF(AND(IFERROR(V670,0)=1,IFERROR(AG670,0)=1),IF(IFERROR(T670,-1E+99)&gt;=IFERROR(AE670,-1E+99),MAX($D$16,IFERROR(L670,MAX($D$16,POWER((ABS(K670)^2)/($I$5*MAX(F670,0.1)^2),1/3)))),MAX($D$16,IFERROR(W670,MAX($D$16,POWER((ABS(K670)^2)/($I$5*MAX(F670,0.1)^2),1/3))))),IF(IFERROR(V670,0)=1,MAX($D$16,IFERROR(L670,MAX($D$16,POWER((ABS(K670)^2)/($I$5*MAX(F670,0.1)^2),1/3)))),IF(IFERROR(AG670,0)=1,MAX($D$16,IFERROR(W670,MAX($D$16,POWER((ABS(K670)^2)/($I$5*MAX(F670,0.1)^2),1/3)))),MAX($D$16,POWER((ABS(K670)^2)/($I$5*MAX(F670,0.1)^2),1/3))))))),MAX($D$16,POWER((ABS(K670)^2)/($I$5*MAX(F670,0.1)^2),1/3)))</f>
        <v>2.1389677043987478</v>
      </c>
      <c r="AI670">
        <f t="shared" ca="1" si="331"/>
        <v>634.39746770439876</v>
      </c>
      <c r="AJ670">
        <f t="shared" ca="1" si="332"/>
        <v>635.46695155659813</v>
      </c>
      <c r="AM670">
        <v>0</v>
      </c>
      <c r="AN670">
        <v>0</v>
      </c>
      <c r="AO670">
        <f t="shared" si="333"/>
        <v>0</v>
      </c>
      <c r="AP670">
        <f t="shared" si="342"/>
        <v>0</v>
      </c>
      <c r="AQ670">
        <f t="shared" ca="1" si="334"/>
        <v>1.0000000000000004</v>
      </c>
      <c r="AR670" t="str">
        <f t="shared" ca="1" si="335"/>
        <v>Supercritical</v>
      </c>
      <c r="AS670">
        <f t="shared" ca="1" si="336"/>
        <v>3.8141460404132466E-3</v>
      </c>
    </row>
    <row r="671" spans="1:45" x14ac:dyDescent="0.35">
      <c r="A671">
        <v>610</v>
      </c>
      <c r="B671">
        <v>608.99599999999998</v>
      </c>
      <c r="C671">
        <v>616153.92500000005</v>
      </c>
      <c r="D671">
        <v>3097383.0819999999</v>
      </c>
      <c r="E671">
        <v>632.25800000000004</v>
      </c>
      <c r="F671">
        <v>5.2</v>
      </c>
      <c r="G671">
        <v>0</v>
      </c>
      <c r="H671" t="s">
        <v>154</v>
      </c>
      <c r="I671">
        <v>2.7E-2</v>
      </c>
      <c r="J671">
        <f t="shared" si="337"/>
        <v>1</v>
      </c>
      <c r="K671">
        <f t="shared" ca="1" si="338"/>
        <v>50.95</v>
      </c>
      <c r="L671">
        <f t="shared" ca="1" si="339"/>
        <v>2.1389677043987478</v>
      </c>
      <c r="M671">
        <f t="shared" ca="1" si="312"/>
        <v>11.122632062873489</v>
      </c>
      <c r="N671">
        <f t="shared" ca="1" si="313"/>
        <v>1.1735290000551568</v>
      </c>
      <c r="O671">
        <f t="shared" ca="1" si="314"/>
        <v>4.5807502857230418</v>
      </c>
      <c r="P671">
        <f t="shared" ca="1" si="315"/>
        <v>634.39696770439878</v>
      </c>
      <c r="Q671">
        <f t="shared" ca="1" si="316"/>
        <v>635.46645155659814</v>
      </c>
      <c r="R671">
        <f t="shared" ca="1" si="317"/>
        <v>3.8141460404132466E-3</v>
      </c>
      <c r="S671">
        <f t="shared" ca="1" si="318"/>
        <v>1.0000000000000004</v>
      </c>
      <c r="T671">
        <f t="shared" ca="1" si="319"/>
        <v>35.686426155594638</v>
      </c>
      <c r="U671">
        <f t="shared" ca="1" si="340"/>
        <v>-3.3622728137743252E-3</v>
      </c>
      <c r="V671">
        <f t="shared" ca="1" si="341"/>
        <v>1</v>
      </c>
      <c r="W671">
        <f t="shared" ca="1" si="320"/>
        <v>1.7069123425349448</v>
      </c>
      <c r="X671">
        <f t="shared" ca="1" si="321"/>
        <v>8.8759441811817137</v>
      </c>
      <c r="Y671">
        <f t="shared" ca="1" si="322"/>
        <v>1.0304300941446078</v>
      </c>
      <c r="Z671">
        <f t="shared" ca="1" si="323"/>
        <v>5.7402343863339498</v>
      </c>
      <c r="AA671">
        <f t="shared" ca="1" si="324"/>
        <v>633.96491234253494</v>
      </c>
      <c r="AB671">
        <f t="shared" ca="1" si="325"/>
        <v>635.6443359312226</v>
      </c>
      <c r="AC671">
        <f t="shared" ca="1" si="326"/>
        <v>7.1233408340647215E-3</v>
      </c>
      <c r="AD671">
        <f t="shared" ca="1" si="327"/>
        <v>1.402779830571049</v>
      </c>
      <c r="AE671">
        <f t="shared" ca="1" si="328"/>
        <v>37.388169396757149</v>
      </c>
      <c r="AF671">
        <f t="shared" ca="1" si="329"/>
        <v>6.8416659005379188E-3</v>
      </c>
      <c r="AG671">
        <f t="shared" ca="1" si="330"/>
        <v>0</v>
      </c>
      <c r="AH671">
        <f ca="1">IFERROR(IF(V32="Supercritical",MAX($D$16,IFERROR(L671,MAX($D$16,POWER((ABS(K671)^2)/($I$5*MAX(F671,0.1)^2),1/3)))),IF(V32="Subcritical",MAX($D$16,IFERROR(W671,MAX($D$16,POWER((ABS(K671)^2)/($I$5*MAX(F671,0.1)^2),1/3)))),IF(AND(IFERROR(V671,0)=1,IFERROR(AG671,0)=1),IF(IFERROR(T671,-1E+99)&gt;=IFERROR(AE671,-1E+99),MAX($D$16,IFERROR(L671,MAX($D$16,POWER((ABS(K671)^2)/($I$5*MAX(F671,0.1)^2),1/3)))),MAX($D$16,IFERROR(W671,MAX($D$16,POWER((ABS(K671)^2)/($I$5*MAX(F671,0.1)^2),1/3))))),IF(IFERROR(V671,0)=1,MAX($D$16,IFERROR(L671,MAX($D$16,POWER((ABS(K671)^2)/($I$5*MAX(F671,0.1)^2),1/3)))),IF(IFERROR(AG671,0)=1,MAX($D$16,IFERROR(W671,MAX($D$16,POWER((ABS(K671)^2)/($I$5*MAX(F671,0.1)^2),1/3)))),MAX($D$16,POWER((ABS(K671)^2)/($I$5*MAX(F671,0.1)^2),1/3))))))),MAX($D$16,POWER((ABS(K671)^2)/($I$5*MAX(F671,0.1)^2),1/3)))</f>
        <v>2.1389677043987478</v>
      </c>
      <c r="AI671">
        <f t="shared" ca="1" si="331"/>
        <v>634.39696770439878</v>
      </c>
      <c r="AJ671">
        <f t="shared" ca="1" si="332"/>
        <v>635.46645155659814</v>
      </c>
      <c r="AM671">
        <v>0</v>
      </c>
      <c r="AN671">
        <v>0</v>
      </c>
      <c r="AO671">
        <f t="shared" si="333"/>
        <v>0</v>
      </c>
      <c r="AP671">
        <f t="shared" si="342"/>
        <v>0</v>
      </c>
      <c r="AQ671">
        <f t="shared" ca="1" si="334"/>
        <v>1.0000000000000004</v>
      </c>
      <c r="AR671" t="str">
        <f t="shared" ca="1" si="335"/>
        <v>Supercritical</v>
      </c>
      <c r="AS671">
        <f t="shared" ca="1" si="336"/>
        <v>3.8141460404132466E-3</v>
      </c>
    </row>
    <row r="672" spans="1:45" x14ac:dyDescent="0.35">
      <c r="A672">
        <v>611</v>
      </c>
      <c r="B672">
        <v>609.99599999999998</v>
      </c>
      <c r="C672">
        <v>616153.451</v>
      </c>
      <c r="D672">
        <v>3097382.2009999999</v>
      </c>
      <c r="E672">
        <v>632.25750000000005</v>
      </c>
      <c r="F672">
        <v>5.2</v>
      </c>
      <c r="G672">
        <v>0</v>
      </c>
      <c r="H672" t="s">
        <v>154</v>
      </c>
      <c r="I672">
        <v>7.8E-2</v>
      </c>
      <c r="J672">
        <f t="shared" si="337"/>
        <v>1</v>
      </c>
      <c r="K672">
        <f t="shared" ca="1" si="338"/>
        <v>50.95</v>
      </c>
      <c r="L672">
        <f t="shared" ca="1" si="339"/>
        <v>2.1389677043987478</v>
      </c>
      <c r="M672">
        <f t="shared" ca="1" si="312"/>
        <v>11.122632062873489</v>
      </c>
      <c r="N672">
        <f t="shared" ca="1" si="313"/>
        <v>1.1735290000551568</v>
      </c>
      <c r="O672">
        <f t="shared" ca="1" si="314"/>
        <v>4.5807502857230418</v>
      </c>
      <c r="P672">
        <f t="shared" ca="1" si="315"/>
        <v>634.39646770439879</v>
      </c>
      <c r="Q672">
        <f t="shared" ca="1" si="316"/>
        <v>635.46595155659816</v>
      </c>
      <c r="R672">
        <f t="shared" ca="1" si="317"/>
        <v>3.8141460404132466E-3</v>
      </c>
      <c r="S672">
        <f t="shared" ca="1" si="318"/>
        <v>1.0000000000000004</v>
      </c>
      <c r="T672">
        <f t="shared" ca="1" si="319"/>
        <v>35.686426155594638</v>
      </c>
      <c r="U672">
        <f t="shared" ca="1" si="340"/>
        <v>-3.4531789411857972E-3</v>
      </c>
      <c r="V672">
        <f t="shared" ca="1" si="341"/>
        <v>1</v>
      </c>
      <c r="W672">
        <f t="shared" ca="1" si="320"/>
        <v>1.7069123423335315</v>
      </c>
      <c r="X672">
        <f t="shared" ca="1" si="321"/>
        <v>8.8759441801343648</v>
      </c>
      <c r="Y672">
        <f t="shared" ca="1" si="322"/>
        <v>1.0304300940712068</v>
      </c>
      <c r="Z672">
        <f t="shared" ca="1" si="323"/>
        <v>5.7402343870112889</v>
      </c>
      <c r="AA672">
        <f t="shared" ca="1" si="324"/>
        <v>633.96441234233362</v>
      </c>
      <c r="AB672">
        <f t="shared" ca="1" si="325"/>
        <v>635.64383593141758</v>
      </c>
      <c r="AC672">
        <f t="shared" ca="1" si="326"/>
        <v>7.1233408364223703E-3</v>
      </c>
      <c r="AD672">
        <f t="shared" ca="1" si="327"/>
        <v>1.402779830819338</v>
      </c>
      <c r="AE672">
        <f t="shared" ca="1" si="328"/>
        <v>37.388169398487307</v>
      </c>
      <c r="AF672">
        <f t="shared" ca="1" si="329"/>
        <v>6.7632928020202598E-3</v>
      </c>
      <c r="AG672">
        <f t="shared" ca="1" si="330"/>
        <v>0</v>
      </c>
      <c r="AH672">
        <f ca="1">IFERROR(IF(V32="Supercritical",MAX($D$16,IFERROR(L672,MAX($D$16,POWER((ABS(K672)^2)/($I$5*MAX(F672,0.1)^2),1/3)))),IF(V32="Subcritical",MAX($D$16,IFERROR(W672,MAX($D$16,POWER((ABS(K672)^2)/($I$5*MAX(F672,0.1)^2),1/3)))),IF(AND(IFERROR(V672,0)=1,IFERROR(AG672,0)=1),IF(IFERROR(T672,-1E+99)&gt;=IFERROR(AE672,-1E+99),MAX($D$16,IFERROR(L672,MAX($D$16,POWER((ABS(K672)^2)/($I$5*MAX(F672,0.1)^2),1/3)))),MAX($D$16,IFERROR(W672,MAX($D$16,POWER((ABS(K672)^2)/($I$5*MAX(F672,0.1)^2),1/3))))),IF(IFERROR(V672,0)=1,MAX($D$16,IFERROR(L672,MAX($D$16,POWER((ABS(K672)^2)/($I$5*MAX(F672,0.1)^2),1/3)))),IF(IFERROR(AG672,0)=1,MAX($D$16,IFERROR(W672,MAX($D$16,POWER((ABS(K672)^2)/($I$5*MAX(F672,0.1)^2),1/3)))),MAX($D$16,POWER((ABS(K672)^2)/($I$5*MAX(F672,0.1)^2),1/3))))))),MAX($D$16,POWER((ABS(K672)^2)/($I$5*MAX(F672,0.1)^2),1/3)))</f>
        <v>2.1389677043987478</v>
      </c>
      <c r="AI672">
        <f t="shared" ca="1" si="331"/>
        <v>634.39646770439879</v>
      </c>
      <c r="AJ672">
        <f t="shared" ca="1" si="332"/>
        <v>635.46595155659816</v>
      </c>
      <c r="AM672">
        <v>0</v>
      </c>
      <c r="AN672">
        <v>0</v>
      </c>
      <c r="AO672">
        <f t="shared" si="333"/>
        <v>0</v>
      </c>
      <c r="AP672">
        <f t="shared" si="342"/>
        <v>0</v>
      </c>
      <c r="AQ672">
        <f t="shared" ca="1" si="334"/>
        <v>1.0000000000000004</v>
      </c>
      <c r="AR672" t="str">
        <f t="shared" ca="1" si="335"/>
        <v>Supercritical</v>
      </c>
      <c r="AS672">
        <f t="shared" ca="1" si="336"/>
        <v>3.8141460404132466E-3</v>
      </c>
    </row>
    <row r="673" spans="1:45" x14ac:dyDescent="0.35">
      <c r="A673">
        <v>612</v>
      </c>
      <c r="B673">
        <v>610.99599999999998</v>
      </c>
      <c r="C673">
        <v>616152.97600000002</v>
      </c>
      <c r="D673">
        <v>3097381.321</v>
      </c>
      <c r="E673">
        <v>632.25699999999995</v>
      </c>
      <c r="F673">
        <v>5.2</v>
      </c>
      <c r="G673">
        <v>0</v>
      </c>
      <c r="H673" t="s">
        <v>154</v>
      </c>
      <c r="I673">
        <v>0.05</v>
      </c>
      <c r="J673">
        <f t="shared" si="337"/>
        <v>1</v>
      </c>
      <c r="K673">
        <f t="shared" ca="1" si="338"/>
        <v>50.95</v>
      </c>
      <c r="L673">
        <f t="shared" ca="1" si="339"/>
        <v>2.1389677043987478</v>
      </c>
      <c r="M673">
        <f t="shared" ca="1" si="312"/>
        <v>11.122632062873489</v>
      </c>
      <c r="N673">
        <f t="shared" ca="1" si="313"/>
        <v>1.1735290000551568</v>
      </c>
      <c r="O673">
        <f t="shared" ca="1" si="314"/>
        <v>4.5807502857230418</v>
      </c>
      <c r="P673">
        <f t="shared" ca="1" si="315"/>
        <v>634.39596770439869</v>
      </c>
      <c r="Q673">
        <f t="shared" ca="1" si="316"/>
        <v>635.46545155659805</v>
      </c>
      <c r="R673">
        <f t="shared" ca="1" si="317"/>
        <v>3.8141460404132466E-3</v>
      </c>
      <c r="S673">
        <f t="shared" ca="1" si="318"/>
        <v>1.0000000000000004</v>
      </c>
      <c r="T673">
        <f t="shared" ca="1" si="319"/>
        <v>35.686426155594638</v>
      </c>
      <c r="U673">
        <f t="shared" ca="1" si="340"/>
        <v>-3.4032696946724172E-3</v>
      </c>
      <c r="V673">
        <f t="shared" ca="1" si="341"/>
        <v>1</v>
      </c>
      <c r="W673">
        <f t="shared" ca="1" si="320"/>
        <v>1.7069123421454877</v>
      </c>
      <c r="X673">
        <f t="shared" ca="1" si="321"/>
        <v>8.8759441791565372</v>
      </c>
      <c r="Y673">
        <f t="shared" ca="1" si="322"/>
        <v>1.030430094002678</v>
      </c>
      <c r="Z673">
        <f t="shared" ca="1" si="323"/>
        <v>5.7402343876436674</v>
      </c>
      <c r="AA673">
        <f t="shared" ca="1" si="324"/>
        <v>633.96391234214548</v>
      </c>
      <c r="AB673">
        <f t="shared" ca="1" si="325"/>
        <v>635.64333593159949</v>
      </c>
      <c r="AC673">
        <f t="shared" ca="1" si="326"/>
        <v>7.1233408386235193E-3</v>
      </c>
      <c r="AD673">
        <f t="shared" ca="1" si="327"/>
        <v>1.4027798310511459</v>
      </c>
      <c r="AE673">
        <f t="shared" ca="1" si="328"/>
        <v>37.388169400102612</v>
      </c>
      <c r="AF673">
        <f t="shared" ca="1" si="329"/>
        <v>6.6989149000846737E-3</v>
      </c>
      <c r="AG673">
        <f t="shared" ca="1" si="330"/>
        <v>0</v>
      </c>
      <c r="AH673">
        <f ca="1">IFERROR(IF(V32="Supercritical",MAX($D$16,IFERROR(L673,MAX($D$16,POWER((ABS(K673)^2)/($I$5*MAX(F673,0.1)^2),1/3)))),IF(V32="Subcritical",MAX($D$16,IFERROR(W673,MAX($D$16,POWER((ABS(K673)^2)/($I$5*MAX(F673,0.1)^2),1/3)))),IF(AND(IFERROR(V673,0)=1,IFERROR(AG673,0)=1),IF(IFERROR(T673,-1E+99)&gt;=IFERROR(AE673,-1E+99),MAX($D$16,IFERROR(L673,MAX($D$16,POWER((ABS(K673)^2)/($I$5*MAX(F673,0.1)^2),1/3)))),MAX($D$16,IFERROR(W673,MAX($D$16,POWER((ABS(K673)^2)/($I$5*MAX(F673,0.1)^2),1/3))))),IF(IFERROR(V673,0)=1,MAX($D$16,IFERROR(L673,MAX($D$16,POWER((ABS(K673)^2)/($I$5*MAX(F673,0.1)^2),1/3)))),IF(IFERROR(AG673,0)=1,MAX($D$16,IFERROR(W673,MAX($D$16,POWER((ABS(K673)^2)/($I$5*MAX(F673,0.1)^2),1/3)))),MAX($D$16,POWER((ABS(K673)^2)/($I$5*MAX(F673,0.1)^2),1/3))))))),MAX($D$16,POWER((ABS(K673)^2)/($I$5*MAX(F673,0.1)^2),1/3)))</f>
        <v>2.1389677043987478</v>
      </c>
      <c r="AI673">
        <f t="shared" ca="1" si="331"/>
        <v>634.39596770439869</v>
      </c>
      <c r="AJ673">
        <f t="shared" ca="1" si="332"/>
        <v>635.46545155659805</v>
      </c>
      <c r="AM673">
        <v>0</v>
      </c>
      <c r="AN673">
        <v>0</v>
      </c>
      <c r="AO673">
        <f t="shared" si="333"/>
        <v>0</v>
      </c>
      <c r="AP673">
        <f t="shared" si="342"/>
        <v>0</v>
      </c>
      <c r="AQ673">
        <f t="shared" ca="1" si="334"/>
        <v>1.0000000000000004</v>
      </c>
      <c r="AR673" t="str">
        <f t="shared" ca="1" si="335"/>
        <v>Supercritical</v>
      </c>
      <c r="AS673">
        <f t="shared" ca="1" si="336"/>
        <v>3.8141460404132466E-3</v>
      </c>
    </row>
    <row r="674" spans="1:45" x14ac:dyDescent="0.35">
      <c r="A674">
        <v>613</v>
      </c>
      <c r="B674">
        <v>611.99599999999998</v>
      </c>
      <c r="C674">
        <v>616152.50199999998</v>
      </c>
      <c r="D674">
        <v>3097380.4410000001</v>
      </c>
      <c r="E674">
        <v>632.25649999999996</v>
      </c>
      <c r="F674">
        <v>5.2</v>
      </c>
      <c r="G674">
        <v>0</v>
      </c>
      <c r="H674" t="s">
        <v>154</v>
      </c>
      <c r="I674">
        <v>2.7E-2</v>
      </c>
      <c r="J674">
        <f t="shared" si="337"/>
        <v>1</v>
      </c>
      <c r="K674">
        <f t="shared" ca="1" si="338"/>
        <v>50.95</v>
      </c>
      <c r="L674">
        <f t="shared" ca="1" si="339"/>
        <v>2.1389677043987478</v>
      </c>
      <c r="M674">
        <f t="shared" ca="1" si="312"/>
        <v>11.122632062873489</v>
      </c>
      <c r="N674">
        <f t="shared" ca="1" si="313"/>
        <v>1.1735290000551568</v>
      </c>
      <c r="O674">
        <f t="shared" ca="1" si="314"/>
        <v>4.5807502857230418</v>
      </c>
      <c r="P674">
        <f t="shared" ca="1" si="315"/>
        <v>634.3954677043987</v>
      </c>
      <c r="Q674">
        <f t="shared" ca="1" si="316"/>
        <v>635.46495155659807</v>
      </c>
      <c r="R674">
        <f t="shared" ca="1" si="317"/>
        <v>3.8141460404132466E-3</v>
      </c>
      <c r="S674">
        <f t="shared" ca="1" si="318"/>
        <v>1.0000000000000004</v>
      </c>
      <c r="T674">
        <f t="shared" ca="1" si="319"/>
        <v>35.686426155594638</v>
      </c>
      <c r="U674">
        <f t="shared" ca="1" si="340"/>
        <v>-3.3622728137743252E-3</v>
      </c>
      <c r="V674">
        <f t="shared" ca="1" si="341"/>
        <v>1</v>
      </c>
      <c r="W674">
        <f t="shared" ca="1" si="320"/>
        <v>1.7069123419699268</v>
      </c>
      <c r="X674">
        <f t="shared" ca="1" si="321"/>
        <v>8.8759441782436195</v>
      </c>
      <c r="Y674">
        <f t="shared" ca="1" si="322"/>
        <v>1.0304300939386981</v>
      </c>
      <c r="Z674">
        <f t="shared" ca="1" si="323"/>
        <v>5.7402343882340681</v>
      </c>
      <c r="AA674">
        <f t="shared" ca="1" si="324"/>
        <v>633.96341234196984</v>
      </c>
      <c r="AB674">
        <f t="shared" ca="1" si="325"/>
        <v>635.64283593176924</v>
      </c>
      <c r="AC674">
        <f t="shared" ca="1" si="326"/>
        <v>7.1233408406785603E-3</v>
      </c>
      <c r="AD674">
        <f t="shared" ca="1" si="327"/>
        <v>1.4027798312675663</v>
      </c>
      <c r="AE674">
        <f t="shared" ca="1" si="328"/>
        <v>37.388169401610696</v>
      </c>
      <c r="AF674">
        <f t="shared" ca="1" si="329"/>
        <v>6.6989149022447236E-3</v>
      </c>
      <c r="AG674">
        <f t="shared" ca="1" si="330"/>
        <v>0</v>
      </c>
      <c r="AH674">
        <f ca="1">IFERROR(IF(V32="Supercritical",MAX($D$16,IFERROR(L674,MAX($D$16,POWER((ABS(K674)^2)/($I$5*MAX(F674,0.1)^2),1/3)))),IF(V32="Subcritical",MAX($D$16,IFERROR(W674,MAX($D$16,POWER((ABS(K674)^2)/($I$5*MAX(F674,0.1)^2),1/3)))),IF(AND(IFERROR(V674,0)=1,IFERROR(AG674,0)=1),IF(IFERROR(T674,-1E+99)&gt;=IFERROR(AE674,-1E+99),MAX($D$16,IFERROR(L674,MAX($D$16,POWER((ABS(K674)^2)/($I$5*MAX(F674,0.1)^2),1/3)))),MAX($D$16,IFERROR(W674,MAX($D$16,POWER((ABS(K674)^2)/($I$5*MAX(F674,0.1)^2),1/3))))),IF(IFERROR(V674,0)=1,MAX($D$16,IFERROR(L674,MAX($D$16,POWER((ABS(K674)^2)/($I$5*MAX(F674,0.1)^2),1/3)))),IF(IFERROR(AG674,0)=1,MAX($D$16,IFERROR(W674,MAX($D$16,POWER((ABS(K674)^2)/($I$5*MAX(F674,0.1)^2),1/3)))),MAX($D$16,POWER((ABS(K674)^2)/($I$5*MAX(F674,0.1)^2),1/3))))))),MAX($D$16,POWER((ABS(K674)^2)/($I$5*MAX(F674,0.1)^2),1/3)))</f>
        <v>2.1389677043987478</v>
      </c>
      <c r="AI674">
        <f t="shared" ca="1" si="331"/>
        <v>634.3954677043987</v>
      </c>
      <c r="AJ674">
        <f t="shared" ca="1" si="332"/>
        <v>635.46495155659807</v>
      </c>
      <c r="AM674">
        <v>0</v>
      </c>
      <c r="AN674">
        <v>0</v>
      </c>
      <c r="AO674">
        <f t="shared" si="333"/>
        <v>0</v>
      </c>
      <c r="AP674">
        <f t="shared" si="342"/>
        <v>0</v>
      </c>
      <c r="AQ674">
        <f t="shared" ca="1" si="334"/>
        <v>1.0000000000000004</v>
      </c>
      <c r="AR674" t="str">
        <f t="shared" ca="1" si="335"/>
        <v>Supercritical</v>
      </c>
      <c r="AS674">
        <f t="shared" ca="1" si="336"/>
        <v>3.8141460404132466E-3</v>
      </c>
    </row>
    <row r="675" spans="1:45" x14ac:dyDescent="0.35">
      <c r="A675">
        <v>614</v>
      </c>
      <c r="B675">
        <v>612.99599999999998</v>
      </c>
      <c r="C675">
        <v>616152.02800000005</v>
      </c>
      <c r="D675">
        <v>3097379.56</v>
      </c>
      <c r="E675">
        <v>632.25599999999997</v>
      </c>
      <c r="F675">
        <v>5.2</v>
      </c>
      <c r="G675">
        <v>0</v>
      </c>
      <c r="H675" t="s">
        <v>154</v>
      </c>
      <c r="I675">
        <v>2.7E-2</v>
      </c>
      <c r="J675">
        <f t="shared" si="337"/>
        <v>1</v>
      </c>
      <c r="K675">
        <f t="shared" ca="1" si="338"/>
        <v>50.95</v>
      </c>
      <c r="L675">
        <f t="shared" ca="1" si="339"/>
        <v>2.1389677043987478</v>
      </c>
      <c r="M675">
        <f t="shared" ca="1" si="312"/>
        <v>11.122632062873489</v>
      </c>
      <c r="N675">
        <f t="shared" ca="1" si="313"/>
        <v>1.1735290000551568</v>
      </c>
      <c r="O675">
        <f t="shared" ca="1" si="314"/>
        <v>4.5807502857230418</v>
      </c>
      <c r="P675">
        <f t="shared" ca="1" si="315"/>
        <v>634.39496770439871</v>
      </c>
      <c r="Q675">
        <f t="shared" ca="1" si="316"/>
        <v>635.46445155659808</v>
      </c>
      <c r="R675">
        <f t="shared" ca="1" si="317"/>
        <v>3.8141460404132466E-3</v>
      </c>
      <c r="S675">
        <f t="shared" ca="1" si="318"/>
        <v>1.0000000000000004</v>
      </c>
      <c r="T675">
        <f t="shared" ca="1" si="319"/>
        <v>35.686426155594638</v>
      </c>
      <c r="U675">
        <f t="shared" ca="1" si="340"/>
        <v>-3.3622728137743252E-3</v>
      </c>
      <c r="V675">
        <f t="shared" ca="1" si="341"/>
        <v>1</v>
      </c>
      <c r="W675">
        <f t="shared" ca="1" si="320"/>
        <v>1.7069123418059962</v>
      </c>
      <c r="X675">
        <f t="shared" ca="1" si="321"/>
        <v>8.8759441773911796</v>
      </c>
      <c r="Y675">
        <f t="shared" ca="1" si="322"/>
        <v>1.0304300938789566</v>
      </c>
      <c r="Z675">
        <f t="shared" ca="1" si="323"/>
        <v>5.7402343887853569</v>
      </c>
      <c r="AA675">
        <f t="shared" ca="1" si="324"/>
        <v>633.96291234180592</v>
      </c>
      <c r="AB675">
        <f t="shared" ca="1" si="325"/>
        <v>635.64233593192796</v>
      </c>
      <c r="AC675">
        <f t="shared" ca="1" si="326"/>
        <v>7.1233408425974533E-3</v>
      </c>
      <c r="AD675">
        <f t="shared" ca="1" si="327"/>
        <v>1.4027798314696496</v>
      </c>
      <c r="AE675">
        <f t="shared" ca="1" si="328"/>
        <v>37.388169403018871</v>
      </c>
      <c r="AF675">
        <f t="shared" ca="1" si="329"/>
        <v>6.6917915634121528E-3</v>
      </c>
      <c r="AG675">
        <f t="shared" ca="1" si="330"/>
        <v>0</v>
      </c>
      <c r="AH675">
        <f ca="1">IFERROR(IF(V32="Supercritical",MAX($D$16,IFERROR(L675,MAX($D$16,POWER((ABS(K675)^2)/($I$5*MAX(F675,0.1)^2),1/3)))),IF(V32="Subcritical",MAX($D$16,IFERROR(W675,MAX($D$16,POWER((ABS(K675)^2)/($I$5*MAX(F675,0.1)^2),1/3)))),IF(AND(IFERROR(V675,0)=1,IFERROR(AG675,0)=1),IF(IFERROR(T675,-1E+99)&gt;=IFERROR(AE675,-1E+99),MAX($D$16,IFERROR(L675,MAX($D$16,POWER((ABS(K675)^2)/($I$5*MAX(F675,0.1)^2),1/3)))),MAX($D$16,IFERROR(W675,MAX($D$16,POWER((ABS(K675)^2)/($I$5*MAX(F675,0.1)^2),1/3))))),IF(IFERROR(V675,0)=1,MAX($D$16,IFERROR(L675,MAX($D$16,POWER((ABS(K675)^2)/($I$5*MAX(F675,0.1)^2),1/3)))),IF(IFERROR(AG675,0)=1,MAX($D$16,IFERROR(W675,MAX($D$16,POWER((ABS(K675)^2)/($I$5*MAX(F675,0.1)^2),1/3)))),MAX($D$16,POWER((ABS(K675)^2)/($I$5*MAX(F675,0.1)^2),1/3))))))),MAX($D$16,POWER((ABS(K675)^2)/($I$5*MAX(F675,0.1)^2),1/3)))</f>
        <v>2.1389677043987478</v>
      </c>
      <c r="AI675">
        <f t="shared" ca="1" si="331"/>
        <v>634.39496770439871</v>
      </c>
      <c r="AJ675">
        <f t="shared" ca="1" si="332"/>
        <v>635.46445155659808</v>
      </c>
      <c r="AM675">
        <v>0</v>
      </c>
      <c r="AN675">
        <v>0</v>
      </c>
      <c r="AO675">
        <f t="shared" si="333"/>
        <v>0</v>
      </c>
      <c r="AP675">
        <f t="shared" si="342"/>
        <v>0</v>
      </c>
      <c r="AQ675">
        <f t="shared" ca="1" si="334"/>
        <v>1.0000000000000004</v>
      </c>
      <c r="AR675" t="str">
        <f t="shared" ca="1" si="335"/>
        <v>Supercritical</v>
      </c>
      <c r="AS675">
        <f t="shared" ca="1" si="336"/>
        <v>3.8141460404132466E-3</v>
      </c>
    </row>
    <row r="676" spans="1:45" x14ac:dyDescent="0.35">
      <c r="A676">
        <v>615</v>
      </c>
      <c r="B676">
        <v>613.995</v>
      </c>
      <c r="C676">
        <v>616151.554</v>
      </c>
      <c r="D676">
        <v>3097378.68</v>
      </c>
      <c r="E676">
        <v>632.25549999999998</v>
      </c>
      <c r="F676">
        <v>5.2</v>
      </c>
      <c r="G676">
        <v>0</v>
      </c>
      <c r="H676" t="s">
        <v>154</v>
      </c>
      <c r="I676">
        <v>2.7E-2</v>
      </c>
      <c r="J676">
        <f t="shared" si="337"/>
        <v>0.99900000000002365</v>
      </c>
      <c r="K676">
        <f t="shared" ca="1" si="338"/>
        <v>50.95</v>
      </c>
      <c r="L676">
        <f t="shared" ca="1" si="339"/>
        <v>2.1389677043987478</v>
      </c>
      <c r="M676">
        <f t="shared" ca="1" si="312"/>
        <v>11.122632062873489</v>
      </c>
      <c r="N676">
        <f t="shared" ca="1" si="313"/>
        <v>1.1735290000551568</v>
      </c>
      <c r="O676">
        <f t="shared" ca="1" si="314"/>
        <v>4.5807502857230418</v>
      </c>
      <c r="P676">
        <f t="shared" ca="1" si="315"/>
        <v>634.39446770439872</v>
      </c>
      <c r="Q676">
        <f t="shared" ca="1" si="316"/>
        <v>635.46395155659809</v>
      </c>
      <c r="R676">
        <f t="shared" ca="1" si="317"/>
        <v>3.8141460404132466E-3</v>
      </c>
      <c r="S676">
        <f t="shared" ca="1" si="318"/>
        <v>1.0000000000000004</v>
      </c>
      <c r="T676">
        <f t="shared" ca="1" si="319"/>
        <v>35.686426155594638</v>
      </c>
      <c r="U676">
        <f t="shared" ca="1" si="340"/>
        <v>-3.3584586676624895E-3</v>
      </c>
      <c r="V676">
        <f t="shared" ca="1" si="341"/>
        <v>1</v>
      </c>
      <c r="W676">
        <f t="shared" ca="1" si="320"/>
        <v>1.7069123416529453</v>
      </c>
      <c r="X676">
        <f t="shared" ca="1" si="321"/>
        <v>8.8759441765953149</v>
      </c>
      <c r="Y676">
        <f t="shared" ca="1" si="322"/>
        <v>1.0304300938231803</v>
      </c>
      <c r="Z676">
        <f t="shared" ca="1" si="323"/>
        <v>5.7402343893000571</v>
      </c>
      <c r="AA676">
        <f t="shared" ca="1" si="324"/>
        <v>633.96241234165291</v>
      </c>
      <c r="AB676">
        <f t="shared" ca="1" si="325"/>
        <v>635.64183593207611</v>
      </c>
      <c r="AC676">
        <f t="shared" ca="1" si="326"/>
        <v>7.1233408443889977E-3</v>
      </c>
      <c r="AD676">
        <f t="shared" ca="1" si="327"/>
        <v>1.4027798316583209</v>
      </c>
      <c r="AE676">
        <f t="shared" ca="1" si="328"/>
        <v>37.388169404333588</v>
      </c>
      <c r="AF676">
        <f t="shared" ca="1" si="329"/>
        <v>6.8487892519897287E-3</v>
      </c>
      <c r="AG676">
        <f t="shared" ca="1" si="330"/>
        <v>0</v>
      </c>
      <c r="AH676">
        <f ca="1">IFERROR(IF(V32="Supercritical",MAX($D$16,IFERROR(L676,MAX($D$16,POWER((ABS(K676)^2)/($I$5*MAX(F676,0.1)^2),1/3)))),IF(V32="Subcritical",MAX($D$16,IFERROR(W676,MAX($D$16,POWER((ABS(K676)^2)/($I$5*MAX(F676,0.1)^2),1/3)))),IF(AND(IFERROR(V676,0)=1,IFERROR(AG676,0)=1),IF(IFERROR(T676,-1E+99)&gt;=IFERROR(AE676,-1E+99),MAX($D$16,IFERROR(L676,MAX($D$16,POWER((ABS(K676)^2)/($I$5*MAX(F676,0.1)^2),1/3)))),MAX($D$16,IFERROR(W676,MAX($D$16,POWER((ABS(K676)^2)/($I$5*MAX(F676,0.1)^2),1/3))))),IF(IFERROR(V676,0)=1,MAX($D$16,IFERROR(L676,MAX($D$16,POWER((ABS(K676)^2)/($I$5*MAX(F676,0.1)^2),1/3)))),IF(IFERROR(AG676,0)=1,MAX($D$16,IFERROR(W676,MAX($D$16,POWER((ABS(K676)^2)/($I$5*MAX(F676,0.1)^2),1/3)))),MAX($D$16,POWER((ABS(K676)^2)/($I$5*MAX(F676,0.1)^2),1/3))))))),MAX($D$16,POWER((ABS(K676)^2)/($I$5*MAX(F676,0.1)^2),1/3)))</f>
        <v>2.1389677043987478</v>
      </c>
      <c r="AI676">
        <f t="shared" ca="1" si="331"/>
        <v>634.39446770439872</v>
      </c>
      <c r="AJ676">
        <f t="shared" ca="1" si="332"/>
        <v>635.46395155659809</v>
      </c>
      <c r="AM676">
        <v>0</v>
      </c>
      <c r="AN676">
        <v>0</v>
      </c>
      <c r="AO676">
        <f t="shared" si="333"/>
        <v>0</v>
      </c>
      <c r="AP676">
        <f t="shared" si="342"/>
        <v>0</v>
      </c>
      <c r="AQ676">
        <f t="shared" ca="1" si="334"/>
        <v>1.0000000000000004</v>
      </c>
      <c r="AR676" t="str">
        <f t="shared" ca="1" si="335"/>
        <v>Supercritical</v>
      </c>
      <c r="AS676">
        <f t="shared" ca="1" si="336"/>
        <v>3.8141460404132466E-3</v>
      </c>
    </row>
    <row r="677" spans="1:45" x14ac:dyDescent="0.35">
      <c r="A677">
        <v>616</v>
      </c>
      <c r="B677">
        <v>614.99599999999998</v>
      </c>
      <c r="C677">
        <v>616151.07999999996</v>
      </c>
      <c r="D677">
        <v>3097377.7990000001</v>
      </c>
      <c r="E677">
        <v>632.255</v>
      </c>
      <c r="F677">
        <v>5.2</v>
      </c>
      <c r="G677">
        <v>0</v>
      </c>
      <c r="H677" t="s">
        <v>154</v>
      </c>
      <c r="I677">
        <v>7.8E-2</v>
      </c>
      <c r="J677">
        <f t="shared" si="337"/>
        <v>1.0009999999999764</v>
      </c>
      <c r="K677">
        <f t="shared" ca="1" si="338"/>
        <v>50.95</v>
      </c>
      <c r="L677">
        <f t="shared" ca="1" si="339"/>
        <v>2.1389677043987478</v>
      </c>
      <c r="M677">
        <f t="shared" ca="1" si="312"/>
        <v>11.122632062873489</v>
      </c>
      <c r="N677">
        <f t="shared" ca="1" si="313"/>
        <v>1.1735290000551568</v>
      </c>
      <c r="O677">
        <f t="shared" ca="1" si="314"/>
        <v>4.5807502857230418</v>
      </c>
      <c r="P677">
        <f t="shared" ca="1" si="315"/>
        <v>634.39396770439873</v>
      </c>
      <c r="Q677">
        <f t="shared" ca="1" si="316"/>
        <v>635.4634515565981</v>
      </c>
      <c r="R677">
        <f t="shared" ca="1" si="317"/>
        <v>3.8141460404132466E-3</v>
      </c>
      <c r="S677">
        <f t="shared" ca="1" si="318"/>
        <v>1.0000000000000004</v>
      </c>
      <c r="T677">
        <f t="shared" ca="1" si="319"/>
        <v>35.686426155594638</v>
      </c>
      <c r="U677">
        <f t="shared" ca="1" si="340"/>
        <v>-3.456993087183946E-3</v>
      </c>
      <c r="V677">
        <f t="shared" ca="1" si="341"/>
        <v>1</v>
      </c>
      <c r="W677">
        <f t="shared" ca="1" si="320"/>
        <v>1.706912341510058</v>
      </c>
      <c r="X677">
        <f t="shared" ca="1" si="321"/>
        <v>8.8759441758523021</v>
      </c>
      <c r="Y677">
        <f t="shared" ca="1" si="322"/>
        <v>1.0304300937711079</v>
      </c>
      <c r="Z677">
        <f t="shared" ca="1" si="323"/>
        <v>5.7402343897805768</v>
      </c>
      <c r="AA677">
        <f t="shared" ca="1" si="324"/>
        <v>633.96191234151001</v>
      </c>
      <c r="AB677">
        <f t="shared" ca="1" si="325"/>
        <v>635.64133593221436</v>
      </c>
      <c r="AC677">
        <f t="shared" ca="1" si="326"/>
        <v>7.1233408460615643E-3</v>
      </c>
      <c r="AD677">
        <f t="shared" ca="1" si="327"/>
        <v>1.4027798318344624</v>
      </c>
      <c r="AE677">
        <f t="shared" ca="1" si="328"/>
        <v>37.388169405560994</v>
      </c>
      <c r="AF677">
        <f t="shared" ca="1" si="329"/>
        <v>6.7632928120247016E-3</v>
      </c>
      <c r="AG677">
        <f t="shared" ca="1" si="330"/>
        <v>0</v>
      </c>
      <c r="AH677">
        <f ca="1">IFERROR(IF(V32="Supercritical",MAX($D$16,IFERROR(L677,MAX($D$16,POWER((ABS(K677)^2)/($I$5*MAX(F677,0.1)^2),1/3)))),IF(V32="Subcritical",MAX($D$16,IFERROR(W677,MAX($D$16,POWER((ABS(K677)^2)/($I$5*MAX(F677,0.1)^2),1/3)))),IF(AND(IFERROR(V677,0)=1,IFERROR(AG677,0)=1),IF(IFERROR(T677,-1E+99)&gt;=IFERROR(AE677,-1E+99),MAX($D$16,IFERROR(L677,MAX($D$16,POWER((ABS(K677)^2)/($I$5*MAX(F677,0.1)^2),1/3)))),MAX($D$16,IFERROR(W677,MAX($D$16,POWER((ABS(K677)^2)/($I$5*MAX(F677,0.1)^2),1/3))))),IF(IFERROR(V677,0)=1,MAX($D$16,IFERROR(L677,MAX($D$16,POWER((ABS(K677)^2)/($I$5*MAX(F677,0.1)^2),1/3)))),IF(IFERROR(AG677,0)=1,MAX($D$16,IFERROR(W677,MAX($D$16,POWER((ABS(K677)^2)/($I$5*MAX(F677,0.1)^2),1/3)))),MAX($D$16,POWER((ABS(K677)^2)/($I$5*MAX(F677,0.1)^2),1/3))))))),MAX($D$16,POWER((ABS(K677)^2)/($I$5*MAX(F677,0.1)^2),1/3)))</f>
        <v>2.1389677043987478</v>
      </c>
      <c r="AI677">
        <f t="shared" ca="1" si="331"/>
        <v>634.39396770439873</v>
      </c>
      <c r="AJ677">
        <f t="shared" ca="1" si="332"/>
        <v>635.4634515565981</v>
      </c>
      <c r="AM677">
        <v>0</v>
      </c>
      <c r="AN677">
        <v>0</v>
      </c>
      <c r="AO677">
        <f t="shared" si="333"/>
        <v>0</v>
      </c>
      <c r="AP677">
        <f t="shared" si="342"/>
        <v>0</v>
      </c>
      <c r="AQ677">
        <f t="shared" ca="1" si="334"/>
        <v>1.0000000000000004</v>
      </c>
      <c r="AR677" t="str">
        <f t="shared" ca="1" si="335"/>
        <v>Supercritical</v>
      </c>
      <c r="AS677">
        <f t="shared" ca="1" si="336"/>
        <v>3.8141460404132466E-3</v>
      </c>
    </row>
    <row r="678" spans="1:45" x14ac:dyDescent="0.35">
      <c r="A678">
        <v>617</v>
      </c>
      <c r="B678">
        <v>615.99599999999998</v>
      </c>
      <c r="C678">
        <v>616150.60499999998</v>
      </c>
      <c r="D678">
        <v>3097376.9190000002</v>
      </c>
      <c r="E678">
        <v>632.25450000000001</v>
      </c>
      <c r="F678">
        <v>5.2</v>
      </c>
      <c r="G678">
        <v>0</v>
      </c>
      <c r="H678" t="s">
        <v>154</v>
      </c>
      <c r="I678">
        <v>0.05</v>
      </c>
      <c r="J678">
        <f t="shared" si="337"/>
        <v>1</v>
      </c>
      <c r="K678">
        <f t="shared" ca="1" si="338"/>
        <v>50.95</v>
      </c>
      <c r="L678">
        <f t="shared" ca="1" si="339"/>
        <v>2.1389677043987478</v>
      </c>
      <c r="M678">
        <f t="shared" ca="1" si="312"/>
        <v>11.122632062873489</v>
      </c>
      <c r="N678">
        <f t="shared" ca="1" si="313"/>
        <v>1.1735290000551568</v>
      </c>
      <c r="O678">
        <f t="shared" ca="1" si="314"/>
        <v>4.5807502857230418</v>
      </c>
      <c r="P678">
        <f t="shared" ca="1" si="315"/>
        <v>634.39346770439874</v>
      </c>
      <c r="Q678">
        <f t="shared" ca="1" si="316"/>
        <v>635.46295155659811</v>
      </c>
      <c r="R678">
        <f t="shared" ca="1" si="317"/>
        <v>3.8141460404132466E-3</v>
      </c>
      <c r="S678">
        <f t="shared" ca="1" si="318"/>
        <v>1.0000000000000004</v>
      </c>
      <c r="T678">
        <f t="shared" ca="1" si="319"/>
        <v>35.686426155594638</v>
      </c>
      <c r="U678">
        <f t="shared" ca="1" si="340"/>
        <v>-3.4032696947861041E-3</v>
      </c>
      <c r="V678">
        <f t="shared" ca="1" si="341"/>
        <v>1</v>
      </c>
      <c r="W678">
        <f t="shared" ca="1" si="320"/>
        <v>1.7069123413766523</v>
      </c>
      <c r="X678">
        <f t="shared" ca="1" si="321"/>
        <v>8.8759441751585921</v>
      </c>
      <c r="Y678">
        <f t="shared" ca="1" si="322"/>
        <v>1.0304300937224908</v>
      </c>
      <c r="Z678">
        <f t="shared" ca="1" si="323"/>
        <v>5.7402343902292117</v>
      </c>
      <c r="AA678">
        <f t="shared" ca="1" si="324"/>
        <v>633.96141234137667</v>
      </c>
      <c r="AB678">
        <f t="shared" ca="1" si="325"/>
        <v>635.64083593234352</v>
      </c>
      <c r="AC678">
        <f t="shared" ca="1" si="326"/>
        <v>7.1233408476231485E-3</v>
      </c>
      <c r="AD678">
        <f t="shared" ca="1" si="327"/>
        <v>1.4027798319989164</v>
      </c>
      <c r="AE678">
        <f t="shared" ca="1" si="328"/>
        <v>37.388169406706957</v>
      </c>
      <c r="AF678">
        <f t="shared" ca="1" si="329"/>
        <v>6.6917915684143736E-3</v>
      </c>
      <c r="AG678">
        <f t="shared" ca="1" si="330"/>
        <v>0</v>
      </c>
      <c r="AH678">
        <f ca="1">IFERROR(IF(V32="Supercritical",MAX($D$16,IFERROR(L678,MAX($D$16,POWER((ABS(K678)^2)/($I$5*MAX(F678,0.1)^2),1/3)))),IF(V32="Subcritical",MAX($D$16,IFERROR(W678,MAX($D$16,POWER((ABS(K678)^2)/($I$5*MAX(F678,0.1)^2),1/3)))),IF(AND(IFERROR(V678,0)=1,IFERROR(AG678,0)=1),IF(IFERROR(T678,-1E+99)&gt;=IFERROR(AE678,-1E+99),MAX($D$16,IFERROR(L678,MAX($D$16,POWER((ABS(K678)^2)/($I$5*MAX(F678,0.1)^2),1/3)))),MAX($D$16,IFERROR(W678,MAX($D$16,POWER((ABS(K678)^2)/($I$5*MAX(F678,0.1)^2),1/3))))),IF(IFERROR(V678,0)=1,MAX($D$16,IFERROR(L678,MAX($D$16,POWER((ABS(K678)^2)/($I$5*MAX(F678,0.1)^2),1/3)))),IF(IFERROR(AG678,0)=1,MAX($D$16,IFERROR(W678,MAX($D$16,POWER((ABS(K678)^2)/($I$5*MAX(F678,0.1)^2),1/3)))),MAX($D$16,POWER((ABS(K678)^2)/($I$5*MAX(F678,0.1)^2),1/3))))))),MAX($D$16,POWER((ABS(K678)^2)/($I$5*MAX(F678,0.1)^2),1/3)))</f>
        <v>2.1389677043987478</v>
      </c>
      <c r="AI678">
        <f t="shared" ca="1" si="331"/>
        <v>634.39346770439874</v>
      </c>
      <c r="AJ678">
        <f t="shared" ca="1" si="332"/>
        <v>635.46295155659811</v>
      </c>
      <c r="AM678">
        <v>0</v>
      </c>
      <c r="AN678">
        <v>0</v>
      </c>
      <c r="AO678">
        <f t="shared" si="333"/>
        <v>0</v>
      </c>
      <c r="AP678">
        <f t="shared" si="342"/>
        <v>0</v>
      </c>
      <c r="AQ678">
        <f t="shared" ca="1" si="334"/>
        <v>1.0000000000000004</v>
      </c>
      <c r="AR678" t="str">
        <f t="shared" ca="1" si="335"/>
        <v>Supercritical</v>
      </c>
      <c r="AS678">
        <f t="shared" ca="1" si="336"/>
        <v>3.8141460404132466E-3</v>
      </c>
    </row>
    <row r="679" spans="1:45" x14ac:dyDescent="0.35">
      <c r="A679">
        <v>618</v>
      </c>
      <c r="B679">
        <v>616.995</v>
      </c>
      <c r="C679">
        <v>616150.13100000005</v>
      </c>
      <c r="D679">
        <v>3097376.0389999999</v>
      </c>
      <c r="E679">
        <v>632.25400000000002</v>
      </c>
      <c r="F679">
        <v>5.2</v>
      </c>
      <c r="G679">
        <v>0</v>
      </c>
      <c r="H679" t="s">
        <v>154</v>
      </c>
      <c r="I679">
        <v>2.7E-2</v>
      </c>
      <c r="J679">
        <f t="shared" si="337"/>
        <v>0.99900000000002365</v>
      </c>
      <c r="K679">
        <f t="shared" ca="1" si="338"/>
        <v>50.95</v>
      </c>
      <c r="L679">
        <f t="shared" ca="1" si="339"/>
        <v>2.1389677043987478</v>
      </c>
      <c r="M679">
        <f t="shared" ca="1" si="312"/>
        <v>11.122632062873489</v>
      </c>
      <c r="N679">
        <f t="shared" ca="1" si="313"/>
        <v>1.1735290000551568</v>
      </c>
      <c r="O679">
        <f t="shared" ca="1" si="314"/>
        <v>4.5807502857230418</v>
      </c>
      <c r="P679">
        <f t="shared" ca="1" si="315"/>
        <v>634.39296770439876</v>
      </c>
      <c r="Q679">
        <f t="shared" ca="1" si="316"/>
        <v>635.46245155659813</v>
      </c>
      <c r="R679">
        <f t="shared" ca="1" si="317"/>
        <v>3.8141460404132466E-3</v>
      </c>
      <c r="S679">
        <f t="shared" ca="1" si="318"/>
        <v>1.0000000000000004</v>
      </c>
      <c r="T679">
        <f t="shared" ca="1" si="319"/>
        <v>35.686426155594638</v>
      </c>
      <c r="U679">
        <f t="shared" ca="1" si="340"/>
        <v>-3.3584586676624895E-3</v>
      </c>
      <c r="V679">
        <f t="shared" ca="1" si="341"/>
        <v>1</v>
      </c>
      <c r="W679">
        <f t="shared" ca="1" si="320"/>
        <v>1.706912341252097</v>
      </c>
      <c r="X679">
        <f t="shared" ca="1" si="321"/>
        <v>8.875944174510904</v>
      </c>
      <c r="Y679">
        <f t="shared" ca="1" si="322"/>
        <v>1.0304300936770989</v>
      </c>
      <c r="Z679">
        <f t="shared" ca="1" si="323"/>
        <v>5.7402343906480828</v>
      </c>
      <c r="AA679">
        <f t="shared" ca="1" si="324"/>
        <v>633.96091234125208</v>
      </c>
      <c r="AB679">
        <f t="shared" ca="1" si="325"/>
        <v>635.64033593246404</v>
      </c>
      <c r="AC679">
        <f t="shared" ca="1" si="326"/>
        <v>7.1233408490811384E-3</v>
      </c>
      <c r="AD679">
        <f t="shared" ca="1" si="327"/>
        <v>1.4027798321524603</v>
      </c>
      <c r="AE679">
        <f t="shared" ca="1" si="328"/>
        <v>37.3881694077769</v>
      </c>
      <c r="AF679">
        <f t="shared" ca="1" si="329"/>
        <v>6.7060382515364836E-3</v>
      </c>
      <c r="AG679">
        <f t="shared" ca="1" si="330"/>
        <v>0</v>
      </c>
      <c r="AH679">
        <f ca="1">IFERROR(IF(V32="Supercritical",MAX($D$16,IFERROR(L679,MAX($D$16,POWER((ABS(K679)^2)/($I$5*MAX(F679,0.1)^2),1/3)))),IF(V32="Subcritical",MAX($D$16,IFERROR(W679,MAX($D$16,POWER((ABS(K679)^2)/($I$5*MAX(F679,0.1)^2),1/3)))),IF(AND(IFERROR(V679,0)=1,IFERROR(AG679,0)=1),IF(IFERROR(T679,-1E+99)&gt;=IFERROR(AE679,-1E+99),MAX($D$16,IFERROR(L679,MAX($D$16,POWER((ABS(K679)^2)/($I$5*MAX(F679,0.1)^2),1/3)))),MAX($D$16,IFERROR(W679,MAX($D$16,POWER((ABS(K679)^2)/($I$5*MAX(F679,0.1)^2),1/3))))),IF(IFERROR(V679,0)=1,MAX($D$16,IFERROR(L679,MAX($D$16,POWER((ABS(K679)^2)/($I$5*MAX(F679,0.1)^2),1/3)))),IF(IFERROR(AG679,0)=1,MAX($D$16,IFERROR(W679,MAX($D$16,POWER((ABS(K679)^2)/($I$5*MAX(F679,0.1)^2),1/3)))),MAX($D$16,POWER((ABS(K679)^2)/($I$5*MAX(F679,0.1)^2),1/3))))))),MAX($D$16,POWER((ABS(K679)^2)/($I$5*MAX(F679,0.1)^2),1/3)))</f>
        <v>2.1389677043987478</v>
      </c>
      <c r="AI679">
        <f t="shared" ca="1" si="331"/>
        <v>634.39296770439876</v>
      </c>
      <c r="AJ679">
        <f t="shared" ca="1" si="332"/>
        <v>635.46245155659813</v>
      </c>
      <c r="AM679">
        <v>0</v>
      </c>
      <c r="AN679">
        <v>0</v>
      </c>
      <c r="AO679">
        <f t="shared" si="333"/>
        <v>0</v>
      </c>
      <c r="AP679">
        <f t="shared" si="342"/>
        <v>0</v>
      </c>
      <c r="AQ679">
        <f t="shared" ca="1" si="334"/>
        <v>1.0000000000000004</v>
      </c>
      <c r="AR679" t="str">
        <f t="shared" ca="1" si="335"/>
        <v>Supercritical</v>
      </c>
      <c r="AS679">
        <f t="shared" ca="1" si="336"/>
        <v>3.8141460404132466E-3</v>
      </c>
    </row>
    <row r="680" spans="1:45" x14ac:dyDescent="0.35">
      <c r="A680">
        <v>619</v>
      </c>
      <c r="B680">
        <v>617.99599999999998</v>
      </c>
      <c r="C680">
        <v>616149.65700000001</v>
      </c>
      <c r="D680">
        <v>3097375.1579999998</v>
      </c>
      <c r="E680">
        <v>632.25350000000003</v>
      </c>
      <c r="F680">
        <v>5.2</v>
      </c>
      <c r="G680">
        <v>0</v>
      </c>
      <c r="H680" t="s">
        <v>154</v>
      </c>
      <c r="I680">
        <v>2.7E-2</v>
      </c>
      <c r="J680">
        <f t="shared" si="337"/>
        <v>1.0009999999999764</v>
      </c>
      <c r="K680">
        <f t="shared" ca="1" si="338"/>
        <v>50.95</v>
      </c>
      <c r="L680">
        <f t="shared" ca="1" si="339"/>
        <v>2.1389677043987478</v>
      </c>
      <c r="M680">
        <f t="shared" ca="1" si="312"/>
        <v>11.122632062873489</v>
      </c>
      <c r="N680">
        <f t="shared" ca="1" si="313"/>
        <v>1.1735290000551568</v>
      </c>
      <c r="O680">
        <f t="shared" ca="1" si="314"/>
        <v>4.5807502857230418</v>
      </c>
      <c r="P680">
        <f t="shared" ca="1" si="315"/>
        <v>634.39246770439877</v>
      </c>
      <c r="Q680">
        <f t="shared" ca="1" si="316"/>
        <v>635.46195155659814</v>
      </c>
      <c r="R680">
        <f t="shared" ca="1" si="317"/>
        <v>3.8141460404132466E-3</v>
      </c>
      <c r="S680">
        <f t="shared" ca="1" si="318"/>
        <v>1.0000000000000004</v>
      </c>
      <c r="T680">
        <f t="shared" ca="1" si="319"/>
        <v>35.686426155594638</v>
      </c>
      <c r="U680">
        <f t="shared" ca="1" si="340"/>
        <v>-3.3660869597724741E-3</v>
      </c>
      <c r="V680">
        <f t="shared" ca="1" si="341"/>
        <v>1</v>
      </c>
      <c r="W680">
        <f t="shared" ca="1" si="320"/>
        <v>1.7069123411357954</v>
      </c>
      <c r="X680">
        <f t="shared" ca="1" si="321"/>
        <v>8.8759441739061362</v>
      </c>
      <c r="Y680">
        <f t="shared" ca="1" si="322"/>
        <v>1.030430093634715</v>
      </c>
      <c r="Z680">
        <f t="shared" ca="1" si="323"/>
        <v>5.7402343910391975</v>
      </c>
      <c r="AA680">
        <f t="shared" ca="1" si="324"/>
        <v>633.96041234113579</v>
      </c>
      <c r="AB680">
        <f t="shared" ca="1" si="325"/>
        <v>635.6398359325766</v>
      </c>
      <c r="AC680">
        <f t="shared" ca="1" si="326"/>
        <v>7.1233408504425078E-3</v>
      </c>
      <c r="AD680">
        <f t="shared" ca="1" si="327"/>
        <v>1.4027798322958287</v>
      </c>
      <c r="AE680">
        <f t="shared" ca="1" si="328"/>
        <v>37.388169408775937</v>
      </c>
      <c r="AF680">
        <f t="shared" ca="1" si="329"/>
        <v>6.6805954139681489E-3</v>
      </c>
      <c r="AG680">
        <f t="shared" ca="1" si="330"/>
        <v>0</v>
      </c>
      <c r="AH680">
        <f ca="1">IFERROR(IF(V32="Supercritical",MAX($D$16,IFERROR(L680,MAX($D$16,POWER((ABS(K680)^2)/($I$5*MAX(F680,0.1)^2),1/3)))),IF(V32="Subcritical",MAX($D$16,IFERROR(W680,MAX($D$16,POWER((ABS(K680)^2)/($I$5*MAX(F680,0.1)^2),1/3)))),IF(AND(IFERROR(V680,0)=1,IFERROR(AG680,0)=1),IF(IFERROR(T680,-1E+99)&gt;=IFERROR(AE680,-1E+99),MAX($D$16,IFERROR(L680,MAX($D$16,POWER((ABS(K680)^2)/($I$5*MAX(F680,0.1)^2),1/3)))),MAX($D$16,IFERROR(W680,MAX($D$16,POWER((ABS(K680)^2)/($I$5*MAX(F680,0.1)^2),1/3))))),IF(IFERROR(V680,0)=1,MAX($D$16,IFERROR(L680,MAX($D$16,POWER((ABS(K680)^2)/($I$5*MAX(F680,0.1)^2),1/3)))),IF(IFERROR(AG680,0)=1,MAX($D$16,IFERROR(W680,MAX($D$16,POWER((ABS(K680)^2)/($I$5*MAX(F680,0.1)^2),1/3)))),MAX($D$16,POWER((ABS(K680)^2)/($I$5*MAX(F680,0.1)^2),1/3))))))),MAX($D$16,POWER((ABS(K680)^2)/($I$5*MAX(F680,0.1)^2),1/3)))</f>
        <v>2.1389677043987478</v>
      </c>
      <c r="AI680">
        <f t="shared" ca="1" si="331"/>
        <v>634.39246770439877</v>
      </c>
      <c r="AJ680">
        <f t="shared" ca="1" si="332"/>
        <v>635.46195155659814</v>
      </c>
      <c r="AM680">
        <v>0</v>
      </c>
      <c r="AN680">
        <v>0</v>
      </c>
      <c r="AO680">
        <f t="shared" si="333"/>
        <v>0</v>
      </c>
      <c r="AP680">
        <f t="shared" si="342"/>
        <v>0</v>
      </c>
      <c r="AQ680">
        <f t="shared" ca="1" si="334"/>
        <v>1.0000000000000004</v>
      </c>
      <c r="AR680" t="str">
        <f t="shared" ca="1" si="335"/>
        <v>Supercritical</v>
      </c>
      <c r="AS680">
        <f t="shared" ca="1" si="336"/>
        <v>3.8141460404132466E-3</v>
      </c>
    </row>
    <row r="681" spans="1:45" x14ac:dyDescent="0.35">
      <c r="A681">
        <v>620</v>
      </c>
      <c r="B681">
        <v>618.995</v>
      </c>
      <c r="C681">
        <v>616149.18299999996</v>
      </c>
      <c r="D681">
        <v>3097374.2779999999</v>
      </c>
      <c r="E681">
        <v>632.25300000000004</v>
      </c>
      <c r="F681">
        <v>5.2</v>
      </c>
      <c r="G681">
        <v>0</v>
      </c>
      <c r="H681" t="s">
        <v>154</v>
      </c>
      <c r="I681">
        <v>2.3E-2</v>
      </c>
      <c r="J681">
        <f t="shared" si="337"/>
        <v>0.99900000000002365</v>
      </c>
      <c r="K681">
        <f t="shared" ca="1" si="338"/>
        <v>50.95</v>
      </c>
      <c r="L681">
        <f t="shared" ca="1" si="339"/>
        <v>2.1389677043987478</v>
      </c>
      <c r="M681">
        <f t="shared" ca="1" si="312"/>
        <v>11.122632062873489</v>
      </c>
      <c r="N681">
        <f t="shared" ca="1" si="313"/>
        <v>1.1735290000551568</v>
      </c>
      <c r="O681">
        <f t="shared" ca="1" si="314"/>
        <v>4.5807502857230418</v>
      </c>
      <c r="P681">
        <f t="shared" ca="1" si="315"/>
        <v>634.39196770439878</v>
      </c>
      <c r="Q681">
        <f t="shared" ca="1" si="316"/>
        <v>635.46145155659815</v>
      </c>
      <c r="R681">
        <f t="shared" ca="1" si="317"/>
        <v>3.8141460404132466E-3</v>
      </c>
      <c r="S681">
        <f t="shared" ca="1" si="318"/>
        <v>1.0000000000000004</v>
      </c>
      <c r="T681">
        <f t="shared" ca="1" si="319"/>
        <v>35.686426155594638</v>
      </c>
      <c r="U681">
        <f t="shared" ca="1" si="340"/>
        <v>-3.3513287753521581E-3</v>
      </c>
      <c r="V681">
        <f t="shared" ca="1" si="341"/>
        <v>1</v>
      </c>
      <c r="W681">
        <f t="shared" ca="1" si="320"/>
        <v>1.7069123410272018</v>
      </c>
      <c r="X681">
        <f t="shared" ca="1" si="321"/>
        <v>8.8759441733414501</v>
      </c>
      <c r="Y681">
        <f t="shared" ca="1" si="322"/>
        <v>1.0304300935951405</v>
      </c>
      <c r="Z681">
        <f t="shared" ca="1" si="323"/>
        <v>5.7402343914043898</v>
      </c>
      <c r="AA681">
        <f t="shared" ca="1" si="324"/>
        <v>633.95991234102723</v>
      </c>
      <c r="AB681">
        <f t="shared" ca="1" si="325"/>
        <v>635.63933593268177</v>
      </c>
      <c r="AC681">
        <f t="shared" ca="1" si="326"/>
        <v>7.1233408517136524E-3</v>
      </c>
      <c r="AD681">
        <f t="shared" ca="1" si="327"/>
        <v>1.4027798324296958</v>
      </c>
      <c r="AE681">
        <f t="shared" ca="1" si="328"/>
        <v>37.388169409708752</v>
      </c>
      <c r="AF681">
        <f t="shared" ca="1" si="329"/>
        <v>6.6948420968628852E-3</v>
      </c>
      <c r="AG681">
        <f t="shared" ca="1" si="330"/>
        <v>0</v>
      </c>
      <c r="AH681">
        <f ca="1">IFERROR(IF(V32="Supercritical",MAX($D$16,IFERROR(L681,MAX($D$16,POWER((ABS(K681)^2)/($I$5*MAX(F681,0.1)^2),1/3)))),IF(V32="Subcritical",MAX($D$16,IFERROR(W681,MAX($D$16,POWER((ABS(K681)^2)/($I$5*MAX(F681,0.1)^2),1/3)))),IF(AND(IFERROR(V681,0)=1,IFERROR(AG681,0)=1),IF(IFERROR(T681,-1E+99)&gt;=IFERROR(AE681,-1E+99),MAX($D$16,IFERROR(L681,MAX($D$16,POWER((ABS(K681)^2)/($I$5*MAX(F681,0.1)^2),1/3)))),MAX($D$16,IFERROR(W681,MAX($D$16,POWER((ABS(K681)^2)/($I$5*MAX(F681,0.1)^2),1/3))))),IF(IFERROR(V681,0)=1,MAX($D$16,IFERROR(L681,MAX($D$16,POWER((ABS(K681)^2)/($I$5*MAX(F681,0.1)^2),1/3)))),IF(IFERROR(AG681,0)=1,MAX($D$16,IFERROR(W681,MAX($D$16,POWER((ABS(K681)^2)/($I$5*MAX(F681,0.1)^2),1/3)))),MAX($D$16,POWER((ABS(K681)^2)/($I$5*MAX(F681,0.1)^2),1/3))))))),MAX($D$16,POWER((ABS(K681)^2)/($I$5*MAX(F681,0.1)^2),1/3)))</f>
        <v>2.1389677043987478</v>
      </c>
      <c r="AI681">
        <f t="shared" ca="1" si="331"/>
        <v>634.39196770439878</v>
      </c>
      <c r="AJ681">
        <f t="shared" ca="1" si="332"/>
        <v>635.46145155659815</v>
      </c>
      <c r="AM681">
        <v>0</v>
      </c>
      <c r="AN681">
        <v>0</v>
      </c>
      <c r="AO681">
        <f t="shared" si="333"/>
        <v>0</v>
      </c>
      <c r="AP681">
        <f t="shared" si="342"/>
        <v>0</v>
      </c>
      <c r="AQ681">
        <f t="shared" ca="1" si="334"/>
        <v>1.0000000000000004</v>
      </c>
      <c r="AR681" t="str">
        <f t="shared" ca="1" si="335"/>
        <v>Supercritical</v>
      </c>
      <c r="AS681">
        <f t="shared" ca="1" si="336"/>
        <v>3.8141460404132466E-3</v>
      </c>
    </row>
    <row r="682" spans="1:45" x14ac:dyDescent="0.35">
      <c r="A682">
        <v>621</v>
      </c>
      <c r="B682">
        <v>619.99599999999998</v>
      </c>
      <c r="C682">
        <v>616148.70799999998</v>
      </c>
      <c r="D682">
        <v>3097373.3969999999</v>
      </c>
      <c r="E682">
        <v>632.25250000000005</v>
      </c>
      <c r="F682">
        <v>5.2</v>
      </c>
      <c r="G682">
        <v>0</v>
      </c>
      <c r="H682" t="s">
        <v>154</v>
      </c>
      <c r="I682">
        <v>2.3E-2</v>
      </c>
      <c r="J682">
        <f t="shared" si="337"/>
        <v>1.0009999999999764</v>
      </c>
      <c r="K682">
        <f t="shared" ca="1" si="338"/>
        <v>50.95</v>
      </c>
      <c r="L682">
        <f t="shared" ca="1" si="339"/>
        <v>2.1389677043987478</v>
      </c>
      <c r="M682">
        <f t="shared" ca="1" si="312"/>
        <v>11.122632062873489</v>
      </c>
      <c r="N682">
        <f t="shared" ca="1" si="313"/>
        <v>1.1735290000551568</v>
      </c>
      <c r="O682">
        <f t="shared" ca="1" si="314"/>
        <v>4.5807502857230418</v>
      </c>
      <c r="P682">
        <f t="shared" ca="1" si="315"/>
        <v>634.39146770439879</v>
      </c>
      <c r="Q682">
        <f t="shared" ca="1" si="316"/>
        <v>635.46095155659816</v>
      </c>
      <c r="R682">
        <f t="shared" ca="1" si="317"/>
        <v>3.8141460404132466E-3</v>
      </c>
      <c r="S682">
        <f t="shared" ca="1" si="318"/>
        <v>1.0000000000000004</v>
      </c>
      <c r="T682">
        <f t="shared" ca="1" si="319"/>
        <v>35.686426155594638</v>
      </c>
      <c r="U682">
        <f t="shared" ca="1" si="340"/>
        <v>-3.3589570674621427E-3</v>
      </c>
      <c r="V682">
        <f t="shared" ca="1" si="341"/>
        <v>1</v>
      </c>
      <c r="W682">
        <f t="shared" ca="1" si="320"/>
        <v>1.7069123409258387</v>
      </c>
      <c r="X682">
        <f t="shared" ca="1" si="321"/>
        <v>8.8759441728143607</v>
      </c>
      <c r="Y682">
        <f t="shared" ca="1" si="322"/>
        <v>1.0304300935582005</v>
      </c>
      <c r="Z682">
        <f t="shared" ca="1" si="323"/>
        <v>5.7402343917452683</v>
      </c>
      <c r="AA682">
        <f t="shared" ca="1" si="324"/>
        <v>633.95941234092584</v>
      </c>
      <c r="AB682">
        <f t="shared" ca="1" si="325"/>
        <v>635.63883593277978</v>
      </c>
      <c r="AC682">
        <f t="shared" ca="1" si="326"/>
        <v>7.1233408529001677E-3</v>
      </c>
      <c r="AD682">
        <f t="shared" ca="1" si="327"/>
        <v>1.4027798325546499</v>
      </c>
      <c r="AE682">
        <f t="shared" ca="1" si="328"/>
        <v>37.388169410579472</v>
      </c>
      <c r="AF682">
        <f t="shared" ca="1" si="329"/>
        <v>6.6233408527978099E-3</v>
      </c>
      <c r="AG682">
        <f t="shared" ca="1" si="330"/>
        <v>0</v>
      </c>
      <c r="AH682">
        <f ca="1">IFERROR(IF(V32="Supercritical",MAX($D$16,IFERROR(L682,MAX($D$16,POWER((ABS(K682)^2)/($I$5*MAX(F682,0.1)^2),1/3)))),IF(V32="Subcritical",MAX($D$16,IFERROR(W682,MAX($D$16,POWER((ABS(K682)^2)/($I$5*MAX(F682,0.1)^2),1/3)))),IF(AND(IFERROR(V682,0)=1,IFERROR(AG682,0)=1),IF(IFERROR(T682,-1E+99)&gt;=IFERROR(AE682,-1E+99),MAX($D$16,IFERROR(L682,MAX($D$16,POWER((ABS(K682)^2)/($I$5*MAX(F682,0.1)^2),1/3)))),MAX($D$16,IFERROR(W682,MAX($D$16,POWER((ABS(K682)^2)/($I$5*MAX(F682,0.1)^2),1/3))))),IF(IFERROR(V682,0)=1,MAX($D$16,IFERROR(L682,MAX($D$16,POWER((ABS(K682)^2)/($I$5*MAX(F682,0.1)^2),1/3)))),IF(IFERROR(AG682,0)=1,MAX($D$16,IFERROR(W682,MAX($D$16,POWER((ABS(K682)^2)/($I$5*MAX(F682,0.1)^2),1/3)))),MAX($D$16,POWER((ABS(K682)^2)/($I$5*MAX(F682,0.1)^2),1/3))))))),MAX($D$16,POWER((ABS(K682)^2)/($I$5*MAX(F682,0.1)^2),1/3)))</f>
        <v>2.1389677043987478</v>
      </c>
      <c r="AI682">
        <f t="shared" ca="1" si="331"/>
        <v>634.39146770439879</v>
      </c>
      <c r="AJ682">
        <f t="shared" ca="1" si="332"/>
        <v>635.46095155659816</v>
      </c>
      <c r="AM682">
        <v>0</v>
      </c>
      <c r="AN682">
        <v>0</v>
      </c>
      <c r="AO682">
        <f t="shared" si="333"/>
        <v>0</v>
      </c>
      <c r="AP682">
        <f t="shared" si="342"/>
        <v>0</v>
      </c>
      <c r="AQ682">
        <f t="shared" ca="1" si="334"/>
        <v>1.0000000000000004</v>
      </c>
      <c r="AR682" t="str">
        <f t="shared" ca="1" si="335"/>
        <v>Supercritical</v>
      </c>
      <c r="AS682">
        <f t="shared" ca="1" si="336"/>
        <v>3.8141460404132466E-3</v>
      </c>
    </row>
    <row r="683" spans="1:45" x14ac:dyDescent="0.35">
      <c r="A683">
        <v>622</v>
      </c>
      <c r="B683">
        <v>620.99599999999998</v>
      </c>
      <c r="C683">
        <v>616148.23400000005</v>
      </c>
      <c r="D683">
        <v>3097372.517</v>
      </c>
      <c r="E683">
        <v>632.25199999999995</v>
      </c>
      <c r="F683">
        <v>5.2</v>
      </c>
      <c r="G683">
        <v>0</v>
      </c>
      <c r="H683" t="s">
        <v>154</v>
      </c>
      <c r="I683">
        <v>0</v>
      </c>
      <c r="J683">
        <f t="shared" si="337"/>
        <v>1</v>
      </c>
      <c r="K683">
        <f t="shared" ca="1" si="338"/>
        <v>50.95</v>
      </c>
      <c r="L683">
        <f t="shared" ca="1" si="339"/>
        <v>2.1389677043987478</v>
      </c>
      <c r="M683">
        <f t="shared" ca="1" si="312"/>
        <v>11.122632062873489</v>
      </c>
      <c r="N683">
        <f t="shared" ca="1" si="313"/>
        <v>1.1735290000551568</v>
      </c>
      <c r="O683">
        <f t="shared" ca="1" si="314"/>
        <v>4.5807502857230418</v>
      </c>
      <c r="P683">
        <f t="shared" ca="1" si="315"/>
        <v>634.39096770439869</v>
      </c>
      <c r="Q683">
        <f t="shared" ca="1" si="316"/>
        <v>635.46045155659806</v>
      </c>
      <c r="R683">
        <f t="shared" ca="1" si="317"/>
        <v>3.8141460404132466E-3</v>
      </c>
      <c r="S683">
        <f t="shared" ca="1" si="318"/>
        <v>1.0000000000000004</v>
      </c>
      <c r="T683">
        <f t="shared" ca="1" si="319"/>
        <v>35.686426155594638</v>
      </c>
      <c r="U683">
        <f t="shared" ca="1" si="340"/>
        <v>-3.3141460403385281E-3</v>
      </c>
      <c r="V683">
        <f t="shared" ca="1" si="341"/>
        <v>1</v>
      </c>
      <c r="W683">
        <f t="shared" ca="1" si="320"/>
        <v>1.7069123408311944</v>
      </c>
      <c r="X683">
        <f t="shared" ca="1" si="321"/>
        <v>8.8759441723222103</v>
      </c>
      <c r="Y683">
        <f t="shared" ca="1" si="322"/>
        <v>1.0304300935237092</v>
      </c>
      <c r="Z683">
        <f t="shared" ca="1" si="323"/>
        <v>5.7402343920635515</v>
      </c>
      <c r="AA683">
        <f t="shared" ca="1" si="324"/>
        <v>633.95891234083115</v>
      </c>
      <c r="AB683">
        <f t="shared" ca="1" si="325"/>
        <v>635.63833593287143</v>
      </c>
      <c r="AC683">
        <f t="shared" ca="1" si="326"/>
        <v>7.1233408540080263E-3</v>
      </c>
      <c r="AD683">
        <f t="shared" ca="1" si="327"/>
        <v>1.4027798326713212</v>
      </c>
      <c r="AE683">
        <f t="shared" ca="1" si="328"/>
        <v>37.388169411392475</v>
      </c>
      <c r="AF683">
        <f t="shared" ca="1" si="329"/>
        <v>6.6917915747808365E-3</v>
      </c>
      <c r="AG683">
        <f t="shared" ca="1" si="330"/>
        <v>0</v>
      </c>
      <c r="AH683">
        <f ca="1">IFERROR(IF(V32="Supercritical",MAX($D$16,IFERROR(L683,MAX($D$16,POWER((ABS(K683)^2)/($I$5*MAX(F683,0.1)^2),1/3)))),IF(V32="Subcritical",MAX($D$16,IFERROR(W683,MAX($D$16,POWER((ABS(K683)^2)/($I$5*MAX(F683,0.1)^2),1/3)))),IF(AND(IFERROR(V683,0)=1,IFERROR(AG683,0)=1),IF(IFERROR(T683,-1E+99)&gt;=IFERROR(AE683,-1E+99),MAX($D$16,IFERROR(L683,MAX($D$16,POWER((ABS(K683)^2)/($I$5*MAX(F683,0.1)^2),1/3)))),MAX($D$16,IFERROR(W683,MAX($D$16,POWER((ABS(K683)^2)/($I$5*MAX(F683,0.1)^2),1/3))))),IF(IFERROR(V683,0)=1,MAX($D$16,IFERROR(L683,MAX($D$16,POWER((ABS(K683)^2)/($I$5*MAX(F683,0.1)^2),1/3)))),IF(IFERROR(AG683,0)=1,MAX($D$16,IFERROR(W683,MAX($D$16,POWER((ABS(K683)^2)/($I$5*MAX(F683,0.1)^2),1/3)))),MAX($D$16,POWER((ABS(K683)^2)/($I$5*MAX(F683,0.1)^2),1/3))))))),MAX($D$16,POWER((ABS(K683)^2)/($I$5*MAX(F683,0.1)^2),1/3)))</f>
        <v>2.1389677043987478</v>
      </c>
      <c r="AI683">
        <f t="shared" ca="1" si="331"/>
        <v>634.39096770439869</v>
      </c>
      <c r="AJ683">
        <f t="shared" ca="1" si="332"/>
        <v>635.46045155659806</v>
      </c>
      <c r="AM683">
        <v>0</v>
      </c>
      <c r="AN683">
        <v>0</v>
      </c>
      <c r="AO683">
        <f t="shared" si="333"/>
        <v>0</v>
      </c>
      <c r="AP683">
        <f t="shared" si="342"/>
        <v>0</v>
      </c>
      <c r="AQ683">
        <f t="shared" ca="1" si="334"/>
        <v>1.0000000000000004</v>
      </c>
      <c r="AR683" t="str">
        <f t="shared" ca="1" si="335"/>
        <v>Supercritical</v>
      </c>
      <c r="AS683">
        <f t="shared" ca="1" si="336"/>
        <v>3.8141460404132466E-3</v>
      </c>
    </row>
    <row r="684" spans="1:45" x14ac:dyDescent="0.35">
      <c r="A684">
        <v>623</v>
      </c>
      <c r="B684">
        <v>621.995</v>
      </c>
      <c r="C684">
        <v>616147.76</v>
      </c>
      <c r="D684">
        <v>3097371.6370000001</v>
      </c>
      <c r="E684">
        <v>632.25149999999996</v>
      </c>
      <c r="F684">
        <v>5.2</v>
      </c>
      <c r="G684">
        <v>0</v>
      </c>
      <c r="H684" t="s">
        <v>154</v>
      </c>
      <c r="I684">
        <v>2.7E-2</v>
      </c>
      <c r="J684">
        <f t="shared" si="337"/>
        <v>0.99900000000002365</v>
      </c>
      <c r="K684">
        <f t="shared" ca="1" si="338"/>
        <v>50.95</v>
      </c>
      <c r="L684">
        <f t="shared" ca="1" si="339"/>
        <v>2.1389677043987478</v>
      </c>
      <c r="M684">
        <f t="shared" ca="1" si="312"/>
        <v>11.122632062873489</v>
      </c>
      <c r="N684">
        <f t="shared" ca="1" si="313"/>
        <v>1.1735290000551568</v>
      </c>
      <c r="O684">
        <f t="shared" ca="1" si="314"/>
        <v>4.5807502857230418</v>
      </c>
      <c r="P684">
        <f t="shared" ca="1" si="315"/>
        <v>634.3904677043987</v>
      </c>
      <c r="Q684">
        <f t="shared" ca="1" si="316"/>
        <v>635.45995155659807</v>
      </c>
      <c r="R684">
        <f t="shared" ca="1" si="317"/>
        <v>3.8141460404132466E-3</v>
      </c>
      <c r="S684">
        <f t="shared" ca="1" si="318"/>
        <v>1.0000000000000004</v>
      </c>
      <c r="T684">
        <f t="shared" ca="1" si="319"/>
        <v>35.686426155594638</v>
      </c>
      <c r="U684">
        <f t="shared" ca="1" si="340"/>
        <v>-3.3584586676624895E-3</v>
      </c>
      <c r="V684">
        <f t="shared" ca="1" si="341"/>
        <v>1</v>
      </c>
      <c r="W684">
        <f t="shared" ca="1" si="320"/>
        <v>1.7069123407428426</v>
      </c>
      <c r="X684">
        <f t="shared" ca="1" si="321"/>
        <v>8.8759441718627823</v>
      </c>
      <c r="Y684">
        <f t="shared" ca="1" si="322"/>
        <v>1.0304300934915114</v>
      </c>
      <c r="Z684">
        <f t="shared" ca="1" si="323"/>
        <v>5.740234392360672</v>
      </c>
      <c r="AA684">
        <f t="shared" ca="1" si="324"/>
        <v>633.95841234074283</v>
      </c>
      <c r="AB684">
        <f t="shared" ca="1" si="325"/>
        <v>635.63783593295693</v>
      </c>
      <c r="AC684">
        <f t="shared" ca="1" si="326"/>
        <v>7.123340855042226E-3</v>
      </c>
      <c r="AD684">
        <f t="shared" ca="1" si="327"/>
        <v>1.4027798327802354</v>
      </c>
      <c r="AE684">
        <f t="shared" ca="1" si="328"/>
        <v>37.388169412151427</v>
      </c>
      <c r="AF684">
        <f t="shared" ca="1" si="329"/>
        <v>6.8487892629036651E-3</v>
      </c>
      <c r="AG684">
        <f t="shared" ca="1" si="330"/>
        <v>0</v>
      </c>
      <c r="AH684">
        <f ca="1">IFERROR(IF(V32="Supercritical",MAX($D$16,IFERROR(L684,MAX($D$16,POWER((ABS(K684)^2)/($I$5*MAX(F684,0.1)^2),1/3)))),IF(V32="Subcritical",MAX($D$16,IFERROR(W684,MAX($D$16,POWER((ABS(K684)^2)/($I$5*MAX(F684,0.1)^2),1/3)))),IF(AND(IFERROR(V684,0)=1,IFERROR(AG684,0)=1),IF(IFERROR(T684,-1E+99)&gt;=IFERROR(AE684,-1E+99),MAX($D$16,IFERROR(L684,MAX($D$16,POWER((ABS(K684)^2)/($I$5*MAX(F684,0.1)^2),1/3)))),MAX($D$16,IFERROR(W684,MAX($D$16,POWER((ABS(K684)^2)/($I$5*MAX(F684,0.1)^2),1/3))))),IF(IFERROR(V684,0)=1,MAX($D$16,IFERROR(L684,MAX($D$16,POWER((ABS(K684)^2)/($I$5*MAX(F684,0.1)^2),1/3)))),IF(IFERROR(AG684,0)=1,MAX($D$16,IFERROR(W684,MAX($D$16,POWER((ABS(K684)^2)/($I$5*MAX(F684,0.1)^2),1/3)))),MAX($D$16,POWER((ABS(K684)^2)/($I$5*MAX(F684,0.1)^2),1/3))))))),MAX($D$16,POWER((ABS(K684)^2)/($I$5*MAX(F684,0.1)^2),1/3)))</f>
        <v>2.1389677043987478</v>
      </c>
      <c r="AI684">
        <f t="shared" ca="1" si="331"/>
        <v>634.3904677043987</v>
      </c>
      <c r="AJ684">
        <f t="shared" ca="1" si="332"/>
        <v>635.45995155659807</v>
      </c>
      <c r="AM684">
        <v>0</v>
      </c>
      <c r="AN684">
        <v>0</v>
      </c>
      <c r="AO684">
        <f t="shared" si="333"/>
        <v>0</v>
      </c>
      <c r="AP684">
        <f t="shared" si="342"/>
        <v>0</v>
      </c>
      <c r="AQ684">
        <f t="shared" ca="1" si="334"/>
        <v>1.0000000000000004</v>
      </c>
      <c r="AR684" t="str">
        <f t="shared" ca="1" si="335"/>
        <v>Supercritical</v>
      </c>
      <c r="AS684">
        <f t="shared" ca="1" si="336"/>
        <v>3.8141460404132466E-3</v>
      </c>
    </row>
    <row r="685" spans="1:45" x14ac:dyDescent="0.35">
      <c r="A685">
        <v>624</v>
      </c>
      <c r="B685">
        <v>622.99599999999998</v>
      </c>
      <c r="C685">
        <v>616147.28599999996</v>
      </c>
      <c r="D685">
        <v>3097370.7560000001</v>
      </c>
      <c r="E685">
        <v>632.25099999999998</v>
      </c>
      <c r="F685">
        <v>5.2</v>
      </c>
      <c r="G685">
        <v>0</v>
      </c>
      <c r="H685" t="s">
        <v>154</v>
      </c>
      <c r="I685">
        <v>7.8E-2</v>
      </c>
      <c r="J685">
        <f t="shared" si="337"/>
        <v>1.0009999999999764</v>
      </c>
      <c r="K685">
        <f t="shared" ca="1" si="338"/>
        <v>50.95</v>
      </c>
      <c r="L685">
        <f t="shared" ca="1" si="339"/>
        <v>2.1389677043987478</v>
      </c>
      <c r="M685">
        <f t="shared" ca="1" si="312"/>
        <v>11.122632062873489</v>
      </c>
      <c r="N685">
        <f t="shared" ca="1" si="313"/>
        <v>1.1735290000551568</v>
      </c>
      <c r="O685">
        <f t="shared" ca="1" si="314"/>
        <v>4.5807502857230418</v>
      </c>
      <c r="P685">
        <f t="shared" ca="1" si="315"/>
        <v>634.38996770439871</v>
      </c>
      <c r="Q685">
        <f t="shared" ca="1" si="316"/>
        <v>635.45945155659808</v>
      </c>
      <c r="R685">
        <f t="shared" ca="1" si="317"/>
        <v>3.8141460404132466E-3</v>
      </c>
      <c r="S685">
        <f t="shared" ca="1" si="318"/>
        <v>1.0000000000000004</v>
      </c>
      <c r="T685">
        <f t="shared" ca="1" si="319"/>
        <v>35.686426155594638</v>
      </c>
      <c r="U685">
        <f t="shared" ca="1" si="340"/>
        <v>-3.456993087183946E-3</v>
      </c>
      <c r="V685">
        <f t="shared" ca="1" si="341"/>
        <v>1</v>
      </c>
      <c r="W685">
        <f t="shared" ca="1" si="320"/>
        <v>1.7069123406603401</v>
      </c>
      <c r="X685">
        <f t="shared" ca="1" si="321"/>
        <v>8.875944171433769</v>
      </c>
      <c r="Y685">
        <f t="shared" ca="1" si="322"/>
        <v>1.0304300934614448</v>
      </c>
      <c r="Z685">
        <f t="shared" ca="1" si="323"/>
        <v>5.7402343926381221</v>
      </c>
      <c r="AA685">
        <f t="shared" ca="1" si="324"/>
        <v>633.9579123406603</v>
      </c>
      <c r="AB685">
        <f t="shared" ca="1" si="325"/>
        <v>635.63733593303675</v>
      </c>
      <c r="AC685">
        <f t="shared" ca="1" si="326"/>
        <v>7.1233408560079656E-3</v>
      </c>
      <c r="AD685">
        <f t="shared" ca="1" si="327"/>
        <v>1.4027798328819387</v>
      </c>
      <c r="AE685">
        <f t="shared" ca="1" si="328"/>
        <v>37.388169412860123</v>
      </c>
      <c r="AF685">
        <f t="shared" ca="1" si="329"/>
        <v>6.8416659229342258E-3</v>
      </c>
      <c r="AG685">
        <f t="shared" ca="1" si="330"/>
        <v>0</v>
      </c>
      <c r="AH685">
        <f ca="1">IFERROR(IF(V32="Supercritical",MAX($D$16,IFERROR(L685,MAX($D$16,POWER((ABS(K685)^2)/($I$5*MAX(F685,0.1)^2),1/3)))),IF(V32="Subcritical",MAX($D$16,IFERROR(W685,MAX($D$16,POWER((ABS(K685)^2)/($I$5*MAX(F685,0.1)^2),1/3)))),IF(AND(IFERROR(V685,0)=1,IFERROR(AG685,0)=1),IF(IFERROR(T685,-1E+99)&gt;=IFERROR(AE685,-1E+99),MAX($D$16,IFERROR(L685,MAX($D$16,POWER((ABS(K685)^2)/($I$5*MAX(F685,0.1)^2),1/3)))),MAX($D$16,IFERROR(W685,MAX($D$16,POWER((ABS(K685)^2)/($I$5*MAX(F685,0.1)^2),1/3))))),IF(IFERROR(V685,0)=1,MAX($D$16,IFERROR(L685,MAX($D$16,POWER((ABS(K685)^2)/($I$5*MAX(F685,0.1)^2),1/3)))),IF(IFERROR(AG685,0)=1,MAX($D$16,IFERROR(W685,MAX($D$16,POWER((ABS(K685)^2)/($I$5*MAX(F685,0.1)^2),1/3)))),MAX($D$16,POWER((ABS(K685)^2)/($I$5*MAX(F685,0.1)^2),1/3))))))),MAX($D$16,POWER((ABS(K685)^2)/($I$5*MAX(F685,0.1)^2),1/3)))</f>
        <v>2.1389677043987478</v>
      </c>
      <c r="AI685">
        <f t="shared" ca="1" si="331"/>
        <v>634.38996770439871</v>
      </c>
      <c r="AJ685">
        <f t="shared" ca="1" si="332"/>
        <v>635.45945155659808</v>
      </c>
      <c r="AM685">
        <v>0</v>
      </c>
      <c r="AN685">
        <v>0</v>
      </c>
      <c r="AO685">
        <f t="shared" si="333"/>
        <v>0</v>
      </c>
      <c r="AP685">
        <f t="shared" si="342"/>
        <v>0</v>
      </c>
      <c r="AQ685">
        <f t="shared" ca="1" si="334"/>
        <v>1.0000000000000004</v>
      </c>
      <c r="AR685" t="str">
        <f t="shared" ca="1" si="335"/>
        <v>Supercritical</v>
      </c>
      <c r="AS685">
        <f t="shared" ca="1" si="336"/>
        <v>3.8141460404132466E-3</v>
      </c>
    </row>
    <row r="686" spans="1:45" x14ac:dyDescent="0.35">
      <c r="A686">
        <v>625</v>
      </c>
      <c r="B686">
        <v>623.99599999999998</v>
      </c>
      <c r="C686">
        <v>616146.81099999999</v>
      </c>
      <c r="D686">
        <v>3097369.8760000002</v>
      </c>
      <c r="E686">
        <v>632.25049999999999</v>
      </c>
      <c r="F686">
        <v>5.2</v>
      </c>
      <c r="G686">
        <v>0</v>
      </c>
      <c r="H686" t="s">
        <v>154</v>
      </c>
      <c r="I686">
        <v>7.8E-2</v>
      </c>
      <c r="J686">
        <f t="shared" si="337"/>
        <v>1</v>
      </c>
      <c r="K686">
        <f t="shared" ca="1" si="338"/>
        <v>50.95</v>
      </c>
      <c r="L686">
        <f t="shared" ca="1" si="339"/>
        <v>2.1389677043987478</v>
      </c>
      <c r="M686">
        <f t="shared" ca="1" si="312"/>
        <v>11.122632062873489</v>
      </c>
      <c r="N686">
        <f t="shared" ca="1" si="313"/>
        <v>1.1735290000551568</v>
      </c>
      <c r="O686">
        <f t="shared" ca="1" si="314"/>
        <v>4.5807502857230418</v>
      </c>
      <c r="P686">
        <f t="shared" ca="1" si="315"/>
        <v>634.38946770439873</v>
      </c>
      <c r="Q686">
        <f t="shared" ca="1" si="316"/>
        <v>635.45895155659809</v>
      </c>
      <c r="R686">
        <f t="shared" ca="1" si="317"/>
        <v>3.8141460404132466E-3</v>
      </c>
      <c r="S686">
        <f t="shared" ca="1" si="318"/>
        <v>1.0000000000000004</v>
      </c>
      <c r="T686">
        <f t="shared" ca="1" si="319"/>
        <v>35.686426155594638</v>
      </c>
      <c r="U686">
        <f t="shared" ca="1" si="340"/>
        <v>-3.4531789411857972E-3</v>
      </c>
      <c r="V686">
        <f t="shared" ca="1" si="341"/>
        <v>1</v>
      </c>
      <c r="W686">
        <f t="shared" ca="1" si="320"/>
        <v>1.7069123405832947</v>
      </c>
      <c r="X686">
        <f t="shared" ca="1" si="321"/>
        <v>8.875944171033133</v>
      </c>
      <c r="Y686">
        <f t="shared" ca="1" si="322"/>
        <v>1.0304300934333672</v>
      </c>
      <c r="Z686">
        <f t="shared" ca="1" si="323"/>
        <v>5.7402343928972206</v>
      </c>
      <c r="AA686">
        <f t="shared" ca="1" si="324"/>
        <v>633.95741234058323</v>
      </c>
      <c r="AB686">
        <f t="shared" ca="1" si="325"/>
        <v>635.63683593311123</v>
      </c>
      <c r="AC686">
        <f t="shared" ca="1" si="326"/>
        <v>7.1233408569098189E-3</v>
      </c>
      <c r="AD686">
        <f t="shared" ca="1" si="327"/>
        <v>1.4027798329769157</v>
      </c>
      <c r="AE686">
        <f t="shared" ca="1" si="328"/>
        <v>37.38816941352195</v>
      </c>
      <c r="AF686">
        <f t="shared" ca="1" si="329"/>
        <v>6.6989149185019414E-3</v>
      </c>
      <c r="AG686">
        <f t="shared" ca="1" si="330"/>
        <v>0</v>
      </c>
      <c r="AH686">
        <f ca="1">IFERROR(IF(V32="Supercritical",MAX($D$16,IFERROR(L686,MAX($D$16,POWER((ABS(K686)^2)/($I$5*MAX(F686,0.1)^2),1/3)))),IF(V32="Subcritical",MAX($D$16,IFERROR(W686,MAX($D$16,POWER((ABS(K686)^2)/($I$5*MAX(F686,0.1)^2),1/3)))),IF(AND(IFERROR(V686,0)=1,IFERROR(AG686,0)=1),IF(IFERROR(T686,-1E+99)&gt;=IFERROR(AE686,-1E+99),MAX($D$16,IFERROR(L686,MAX($D$16,POWER((ABS(K686)^2)/($I$5*MAX(F686,0.1)^2),1/3)))),MAX($D$16,IFERROR(W686,MAX($D$16,POWER((ABS(K686)^2)/($I$5*MAX(F686,0.1)^2),1/3))))),IF(IFERROR(V686,0)=1,MAX($D$16,IFERROR(L686,MAX($D$16,POWER((ABS(K686)^2)/($I$5*MAX(F686,0.1)^2),1/3)))),IF(IFERROR(AG686,0)=1,MAX($D$16,IFERROR(W686,MAX($D$16,POWER((ABS(K686)^2)/($I$5*MAX(F686,0.1)^2),1/3)))),MAX($D$16,POWER((ABS(K686)^2)/($I$5*MAX(F686,0.1)^2),1/3))))))),MAX($D$16,POWER((ABS(K686)^2)/($I$5*MAX(F686,0.1)^2),1/3)))</f>
        <v>2.1389677043987478</v>
      </c>
      <c r="AI686">
        <f t="shared" ca="1" si="331"/>
        <v>634.38946770439873</v>
      </c>
      <c r="AJ686">
        <f t="shared" ca="1" si="332"/>
        <v>635.45895155659809</v>
      </c>
      <c r="AM686">
        <v>0</v>
      </c>
      <c r="AN686">
        <v>0</v>
      </c>
      <c r="AO686">
        <f t="shared" si="333"/>
        <v>0</v>
      </c>
      <c r="AP686">
        <f t="shared" si="342"/>
        <v>0</v>
      </c>
      <c r="AQ686">
        <f t="shared" ca="1" si="334"/>
        <v>1.0000000000000004</v>
      </c>
      <c r="AR686" t="str">
        <f t="shared" ca="1" si="335"/>
        <v>Supercritical</v>
      </c>
      <c r="AS686">
        <f t="shared" ca="1" si="336"/>
        <v>3.8141460404132466E-3</v>
      </c>
    </row>
    <row r="687" spans="1:45" x14ac:dyDescent="0.35">
      <c r="A687">
        <v>626</v>
      </c>
      <c r="B687">
        <v>624.99599999999998</v>
      </c>
      <c r="C687">
        <v>616146.33700000006</v>
      </c>
      <c r="D687">
        <v>3097368.9950000001</v>
      </c>
      <c r="E687">
        <v>632.25</v>
      </c>
      <c r="F687">
        <v>5.2</v>
      </c>
      <c r="G687">
        <v>0</v>
      </c>
      <c r="H687" t="s">
        <v>154</v>
      </c>
      <c r="I687">
        <v>2.7E-2</v>
      </c>
      <c r="J687">
        <f t="shared" si="337"/>
        <v>1</v>
      </c>
      <c r="K687">
        <f t="shared" ca="1" si="338"/>
        <v>50.95</v>
      </c>
      <c r="L687">
        <f t="shared" ca="1" si="339"/>
        <v>2.1389677043987478</v>
      </c>
      <c r="M687">
        <f t="shared" ca="1" si="312"/>
        <v>11.122632062873489</v>
      </c>
      <c r="N687">
        <f t="shared" ca="1" si="313"/>
        <v>1.1735290000551568</v>
      </c>
      <c r="O687">
        <f t="shared" ca="1" si="314"/>
        <v>4.5807502857230418</v>
      </c>
      <c r="P687">
        <f t="shared" ca="1" si="315"/>
        <v>634.38896770439874</v>
      </c>
      <c r="Q687">
        <f t="shared" ca="1" si="316"/>
        <v>635.45845155659811</v>
      </c>
      <c r="R687">
        <f t="shared" ca="1" si="317"/>
        <v>3.8141460404132466E-3</v>
      </c>
      <c r="S687">
        <f t="shared" ca="1" si="318"/>
        <v>1.0000000000000004</v>
      </c>
      <c r="T687">
        <f t="shared" ca="1" si="319"/>
        <v>35.686426155594638</v>
      </c>
      <c r="U687">
        <f t="shared" ca="1" si="340"/>
        <v>-3.3622728137743252E-3</v>
      </c>
      <c r="V687">
        <f t="shared" ca="1" si="341"/>
        <v>1</v>
      </c>
      <c r="W687">
        <f t="shared" ca="1" si="320"/>
        <v>1.7069123405113651</v>
      </c>
      <c r="X687">
        <f t="shared" ca="1" si="321"/>
        <v>8.875944170659098</v>
      </c>
      <c r="Y687">
        <f t="shared" ca="1" si="322"/>
        <v>1.0304300934071537</v>
      </c>
      <c r="Z687">
        <f t="shared" ca="1" si="323"/>
        <v>5.740234393139116</v>
      </c>
      <c r="AA687">
        <f t="shared" ca="1" si="324"/>
        <v>633.95691234051139</v>
      </c>
      <c r="AB687">
        <f t="shared" ca="1" si="325"/>
        <v>635.63633593318093</v>
      </c>
      <c r="AC687">
        <f t="shared" ca="1" si="326"/>
        <v>7.1233408577517964E-3</v>
      </c>
      <c r="AD687">
        <f t="shared" ca="1" si="327"/>
        <v>1.4027798330655856</v>
      </c>
      <c r="AE687">
        <f t="shared" ca="1" si="328"/>
        <v>37.388169414139831</v>
      </c>
      <c r="AF687">
        <f t="shared" ca="1" si="329"/>
        <v>6.6233408578000308E-3</v>
      </c>
      <c r="AG687">
        <f t="shared" ca="1" si="330"/>
        <v>0</v>
      </c>
      <c r="AH687">
        <f ca="1">IFERROR(IF(V32="Supercritical",MAX($D$16,IFERROR(L687,MAX($D$16,POWER((ABS(K687)^2)/($I$5*MAX(F687,0.1)^2),1/3)))),IF(V32="Subcritical",MAX($D$16,IFERROR(W687,MAX($D$16,POWER((ABS(K687)^2)/($I$5*MAX(F687,0.1)^2),1/3)))),IF(AND(IFERROR(V687,0)=1,IFERROR(AG687,0)=1),IF(IFERROR(T687,-1E+99)&gt;=IFERROR(AE687,-1E+99),MAX($D$16,IFERROR(L687,MAX($D$16,POWER((ABS(K687)^2)/($I$5*MAX(F687,0.1)^2),1/3)))),MAX($D$16,IFERROR(W687,MAX($D$16,POWER((ABS(K687)^2)/($I$5*MAX(F687,0.1)^2),1/3))))),IF(IFERROR(V687,0)=1,MAX($D$16,IFERROR(L687,MAX($D$16,POWER((ABS(K687)^2)/($I$5*MAX(F687,0.1)^2),1/3)))),IF(IFERROR(AG687,0)=1,MAX($D$16,IFERROR(W687,MAX($D$16,POWER((ABS(K687)^2)/($I$5*MAX(F687,0.1)^2),1/3)))),MAX($D$16,POWER((ABS(K687)^2)/($I$5*MAX(F687,0.1)^2),1/3))))))),MAX($D$16,POWER((ABS(K687)^2)/($I$5*MAX(F687,0.1)^2),1/3)))</f>
        <v>2.1389677043987478</v>
      </c>
      <c r="AI687">
        <f t="shared" ca="1" si="331"/>
        <v>634.38896770439874</v>
      </c>
      <c r="AJ687">
        <f t="shared" ca="1" si="332"/>
        <v>635.45845155659811</v>
      </c>
      <c r="AM687">
        <v>0</v>
      </c>
      <c r="AN687">
        <v>0</v>
      </c>
      <c r="AO687">
        <f t="shared" si="333"/>
        <v>0</v>
      </c>
      <c r="AP687">
        <f t="shared" si="342"/>
        <v>0</v>
      </c>
      <c r="AQ687">
        <f t="shared" ca="1" si="334"/>
        <v>1.0000000000000004</v>
      </c>
      <c r="AR687" t="str">
        <f t="shared" ca="1" si="335"/>
        <v>Supercritical</v>
      </c>
      <c r="AS687">
        <f t="shared" ca="1" si="336"/>
        <v>3.8141460404132466E-3</v>
      </c>
    </row>
    <row r="688" spans="1:45" x14ac:dyDescent="0.35">
      <c r="A688">
        <v>627</v>
      </c>
      <c r="B688">
        <v>625.99599999999998</v>
      </c>
      <c r="C688">
        <v>616145.86300000001</v>
      </c>
      <c r="D688">
        <v>3097368.1150000002</v>
      </c>
      <c r="E688">
        <v>632.24950000000001</v>
      </c>
      <c r="F688">
        <v>5.2</v>
      </c>
      <c r="G688">
        <v>0</v>
      </c>
      <c r="H688" t="s">
        <v>154</v>
      </c>
      <c r="I688">
        <v>0</v>
      </c>
      <c r="J688">
        <f t="shared" si="337"/>
        <v>1</v>
      </c>
      <c r="K688">
        <f t="shared" ca="1" si="338"/>
        <v>50.95</v>
      </c>
      <c r="L688">
        <f t="shared" ca="1" si="339"/>
        <v>2.1389677043987478</v>
      </c>
      <c r="M688">
        <f t="shared" ca="1" si="312"/>
        <v>11.122632062873489</v>
      </c>
      <c r="N688">
        <f t="shared" ca="1" si="313"/>
        <v>1.1735290000551568</v>
      </c>
      <c r="O688">
        <f t="shared" ca="1" si="314"/>
        <v>4.5807502857230418</v>
      </c>
      <c r="P688">
        <f t="shared" ca="1" si="315"/>
        <v>634.38846770439875</v>
      </c>
      <c r="Q688">
        <f t="shared" ca="1" si="316"/>
        <v>635.45795155659812</v>
      </c>
      <c r="R688">
        <f t="shared" ca="1" si="317"/>
        <v>3.8141460404132466E-3</v>
      </c>
      <c r="S688">
        <f t="shared" ca="1" si="318"/>
        <v>1.0000000000000004</v>
      </c>
      <c r="T688">
        <f t="shared" ca="1" si="319"/>
        <v>35.686426155594638</v>
      </c>
      <c r="U688">
        <f t="shared" ca="1" si="340"/>
        <v>-3.3141460404522149E-3</v>
      </c>
      <c r="V688">
        <f t="shared" ca="1" si="341"/>
        <v>1</v>
      </c>
      <c r="W688">
        <f t="shared" ca="1" si="320"/>
        <v>1.7069123404442104</v>
      </c>
      <c r="X688">
        <f t="shared" ca="1" si="321"/>
        <v>8.8759441703098947</v>
      </c>
      <c r="Y688">
        <f t="shared" ca="1" si="322"/>
        <v>1.0304300933826807</v>
      </c>
      <c r="Z688">
        <f t="shared" ca="1" si="323"/>
        <v>5.7402343933649522</v>
      </c>
      <c r="AA688">
        <f t="shared" ca="1" si="324"/>
        <v>633.95641234044422</v>
      </c>
      <c r="AB688">
        <f t="shared" ca="1" si="325"/>
        <v>635.63583593324597</v>
      </c>
      <c r="AC688">
        <f t="shared" ca="1" si="326"/>
        <v>7.1233408585378776E-3</v>
      </c>
      <c r="AD688">
        <f t="shared" ca="1" si="327"/>
        <v>1.4027798331483696</v>
      </c>
      <c r="AE688">
        <f t="shared" ca="1" si="328"/>
        <v>37.388169414716693</v>
      </c>
      <c r="AF688">
        <f t="shared" ca="1" si="329"/>
        <v>6.6917915794419969E-3</v>
      </c>
      <c r="AG688">
        <f t="shared" ca="1" si="330"/>
        <v>0</v>
      </c>
      <c r="AH688">
        <f ca="1">IFERROR(IF(V32="Supercritical",MAX($D$16,IFERROR(L688,MAX($D$16,POWER((ABS(K688)^2)/($I$5*MAX(F688,0.1)^2),1/3)))),IF(V32="Subcritical",MAX($D$16,IFERROR(W688,MAX($D$16,POWER((ABS(K688)^2)/($I$5*MAX(F688,0.1)^2),1/3)))),IF(AND(IFERROR(V688,0)=1,IFERROR(AG688,0)=1),IF(IFERROR(T688,-1E+99)&gt;=IFERROR(AE688,-1E+99),MAX($D$16,IFERROR(L688,MAX($D$16,POWER((ABS(K688)^2)/($I$5*MAX(F688,0.1)^2),1/3)))),MAX($D$16,IFERROR(W688,MAX($D$16,POWER((ABS(K688)^2)/($I$5*MAX(F688,0.1)^2),1/3))))),IF(IFERROR(V688,0)=1,MAX($D$16,IFERROR(L688,MAX($D$16,POWER((ABS(K688)^2)/($I$5*MAX(F688,0.1)^2),1/3)))),IF(IFERROR(AG688,0)=1,MAX($D$16,IFERROR(W688,MAX($D$16,POWER((ABS(K688)^2)/($I$5*MAX(F688,0.1)^2),1/3)))),MAX($D$16,POWER((ABS(K688)^2)/($I$5*MAX(F688,0.1)^2),1/3))))))),MAX($D$16,POWER((ABS(K688)^2)/($I$5*MAX(F688,0.1)^2),1/3)))</f>
        <v>2.1389677043987478</v>
      </c>
      <c r="AI688">
        <f t="shared" ca="1" si="331"/>
        <v>634.38846770439875</v>
      </c>
      <c r="AJ688">
        <f t="shared" ca="1" si="332"/>
        <v>635.45795155659812</v>
      </c>
      <c r="AM688">
        <v>0</v>
      </c>
      <c r="AN688">
        <v>0</v>
      </c>
      <c r="AO688">
        <f t="shared" si="333"/>
        <v>0</v>
      </c>
      <c r="AP688">
        <f t="shared" si="342"/>
        <v>0</v>
      </c>
      <c r="AQ688">
        <f t="shared" ca="1" si="334"/>
        <v>1.0000000000000004</v>
      </c>
      <c r="AR688" t="str">
        <f t="shared" ca="1" si="335"/>
        <v>Supercritical</v>
      </c>
      <c r="AS688">
        <f t="shared" ca="1" si="336"/>
        <v>3.8141460404132466E-3</v>
      </c>
    </row>
    <row r="689" spans="1:45" x14ac:dyDescent="0.35">
      <c r="A689">
        <v>628</v>
      </c>
      <c r="B689">
        <v>626.995</v>
      </c>
      <c r="C689">
        <v>616145.38899999997</v>
      </c>
      <c r="D689">
        <v>3097367.2349999999</v>
      </c>
      <c r="E689">
        <v>632.24900000000002</v>
      </c>
      <c r="F689">
        <v>5.2</v>
      </c>
      <c r="G689">
        <v>0</v>
      </c>
      <c r="H689" t="s">
        <v>154</v>
      </c>
      <c r="I689">
        <v>2.7E-2</v>
      </c>
      <c r="J689">
        <f t="shared" si="337"/>
        <v>0.99900000000002365</v>
      </c>
      <c r="K689">
        <f t="shared" ca="1" si="338"/>
        <v>50.95</v>
      </c>
      <c r="L689">
        <f t="shared" ca="1" si="339"/>
        <v>2.1389677043987478</v>
      </c>
      <c r="M689">
        <f t="shared" ca="1" si="312"/>
        <v>11.122632062873489</v>
      </c>
      <c r="N689">
        <f t="shared" ca="1" si="313"/>
        <v>1.1735290000551568</v>
      </c>
      <c r="O689">
        <f t="shared" ca="1" si="314"/>
        <v>4.5807502857230418</v>
      </c>
      <c r="P689">
        <f t="shared" ca="1" si="315"/>
        <v>634.38796770439876</v>
      </c>
      <c r="Q689">
        <f t="shared" ca="1" si="316"/>
        <v>635.45745155659813</v>
      </c>
      <c r="R689">
        <f t="shared" ca="1" si="317"/>
        <v>3.8141460404132466E-3</v>
      </c>
      <c r="S689">
        <f t="shared" ca="1" si="318"/>
        <v>1.0000000000000004</v>
      </c>
      <c r="T689">
        <f t="shared" ca="1" si="319"/>
        <v>35.686426155594638</v>
      </c>
      <c r="U689">
        <f t="shared" ca="1" si="340"/>
        <v>-3.3584586676624895E-3</v>
      </c>
      <c r="V689">
        <f t="shared" ca="1" si="341"/>
        <v>1</v>
      </c>
      <c r="W689">
        <f t="shared" ca="1" si="320"/>
        <v>1.7069123403815234</v>
      </c>
      <c r="X689">
        <f t="shared" ca="1" si="321"/>
        <v>8.8759441699839225</v>
      </c>
      <c r="Y689">
        <f t="shared" ca="1" si="322"/>
        <v>1.0304300933598356</v>
      </c>
      <c r="Z689">
        <f t="shared" ca="1" si="323"/>
        <v>5.740234393575764</v>
      </c>
      <c r="AA689">
        <f t="shared" ca="1" si="324"/>
        <v>633.95591234038159</v>
      </c>
      <c r="AB689">
        <f t="shared" ca="1" si="325"/>
        <v>635.63533593330669</v>
      </c>
      <c r="AC689">
        <f t="shared" ca="1" si="326"/>
        <v>7.1233408592716605E-3</v>
      </c>
      <c r="AD689">
        <f t="shared" ca="1" si="327"/>
        <v>1.4027798332256458</v>
      </c>
      <c r="AE689">
        <f t="shared" ca="1" si="328"/>
        <v>37.388169415255177</v>
      </c>
      <c r="AF689">
        <f t="shared" ca="1" si="329"/>
        <v>6.8487892672237649E-3</v>
      </c>
      <c r="AG689">
        <f t="shared" ca="1" si="330"/>
        <v>0</v>
      </c>
      <c r="AH689">
        <f ca="1">IFERROR(IF(V32="Supercritical",MAX($D$16,IFERROR(L689,MAX($D$16,POWER((ABS(K689)^2)/($I$5*MAX(F689,0.1)^2),1/3)))),IF(V32="Subcritical",MAX($D$16,IFERROR(W689,MAX($D$16,POWER((ABS(K689)^2)/($I$5*MAX(F689,0.1)^2),1/3)))),IF(AND(IFERROR(V689,0)=1,IFERROR(AG689,0)=1),IF(IFERROR(T689,-1E+99)&gt;=IFERROR(AE689,-1E+99),MAX($D$16,IFERROR(L689,MAX($D$16,POWER((ABS(K689)^2)/($I$5*MAX(F689,0.1)^2),1/3)))),MAX($D$16,IFERROR(W689,MAX($D$16,POWER((ABS(K689)^2)/($I$5*MAX(F689,0.1)^2),1/3))))),IF(IFERROR(V689,0)=1,MAX($D$16,IFERROR(L689,MAX($D$16,POWER((ABS(K689)^2)/($I$5*MAX(F689,0.1)^2),1/3)))),IF(IFERROR(AG689,0)=1,MAX($D$16,IFERROR(W689,MAX($D$16,POWER((ABS(K689)^2)/($I$5*MAX(F689,0.1)^2),1/3)))),MAX($D$16,POWER((ABS(K689)^2)/($I$5*MAX(F689,0.1)^2),1/3))))))),MAX($D$16,POWER((ABS(K689)^2)/($I$5*MAX(F689,0.1)^2),1/3)))</f>
        <v>2.1389677043987478</v>
      </c>
      <c r="AI689">
        <f t="shared" ca="1" si="331"/>
        <v>634.38796770439876</v>
      </c>
      <c r="AJ689">
        <f t="shared" ca="1" si="332"/>
        <v>635.45745155659813</v>
      </c>
      <c r="AM689">
        <v>0</v>
      </c>
      <c r="AN689">
        <v>0</v>
      </c>
      <c r="AO689">
        <f t="shared" si="333"/>
        <v>0</v>
      </c>
      <c r="AP689">
        <f t="shared" si="342"/>
        <v>0</v>
      </c>
      <c r="AQ689">
        <f t="shared" ca="1" si="334"/>
        <v>1.0000000000000004</v>
      </c>
      <c r="AR689" t="str">
        <f t="shared" ca="1" si="335"/>
        <v>Supercritical</v>
      </c>
      <c r="AS689">
        <f t="shared" ca="1" si="336"/>
        <v>3.8141460404132466E-3</v>
      </c>
    </row>
    <row r="690" spans="1:45" x14ac:dyDescent="0.35">
      <c r="A690">
        <v>629</v>
      </c>
      <c r="B690">
        <v>627.99599999999998</v>
      </c>
      <c r="C690">
        <v>616144.91500000004</v>
      </c>
      <c r="D690">
        <v>3097366.3539999998</v>
      </c>
      <c r="E690">
        <v>632.24850000000004</v>
      </c>
      <c r="F690">
        <v>5.2</v>
      </c>
      <c r="G690">
        <v>0</v>
      </c>
      <c r="H690" t="s">
        <v>154</v>
      </c>
      <c r="I690">
        <v>7.8E-2</v>
      </c>
      <c r="J690">
        <f t="shared" si="337"/>
        <v>1.0009999999999764</v>
      </c>
      <c r="K690">
        <f t="shared" ca="1" si="338"/>
        <v>50.95</v>
      </c>
      <c r="L690">
        <f t="shared" ca="1" si="339"/>
        <v>2.1389677043987478</v>
      </c>
      <c r="M690">
        <f t="shared" ca="1" si="312"/>
        <v>11.122632062873489</v>
      </c>
      <c r="N690">
        <f t="shared" ca="1" si="313"/>
        <v>1.1735290000551568</v>
      </c>
      <c r="O690">
        <f t="shared" ca="1" si="314"/>
        <v>4.5807502857230418</v>
      </c>
      <c r="P690">
        <f t="shared" ca="1" si="315"/>
        <v>634.38746770439877</v>
      </c>
      <c r="Q690">
        <f t="shared" ca="1" si="316"/>
        <v>635.45695155659814</v>
      </c>
      <c r="R690">
        <f t="shared" ca="1" si="317"/>
        <v>3.8141460404132466E-3</v>
      </c>
      <c r="S690">
        <f t="shared" ca="1" si="318"/>
        <v>1.0000000000000004</v>
      </c>
      <c r="T690">
        <f t="shared" ca="1" si="319"/>
        <v>35.686426155594638</v>
      </c>
      <c r="U690">
        <f t="shared" ca="1" si="340"/>
        <v>-3.456993087183946E-3</v>
      </c>
      <c r="V690">
        <f t="shared" ca="1" si="341"/>
        <v>1</v>
      </c>
      <c r="W690">
        <f t="shared" ca="1" si="320"/>
        <v>1.7069123403229973</v>
      </c>
      <c r="X690">
        <f t="shared" ca="1" si="321"/>
        <v>8.8759441696795864</v>
      </c>
      <c r="Y690">
        <f t="shared" ca="1" si="322"/>
        <v>1.0304300933385069</v>
      </c>
      <c r="Z690">
        <f t="shared" ca="1" si="323"/>
        <v>5.7402343937725844</v>
      </c>
      <c r="AA690">
        <f t="shared" ca="1" si="324"/>
        <v>633.95541234032305</v>
      </c>
      <c r="AB690">
        <f t="shared" ca="1" si="325"/>
        <v>635.63483593336332</v>
      </c>
      <c r="AC690">
        <f t="shared" ca="1" si="326"/>
        <v>7.1233408599567375E-3</v>
      </c>
      <c r="AD690">
        <f t="shared" ca="1" si="327"/>
        <v>1.4027798332977934</v>
      </c>
      <c r="AE690">
        <f t="shared" ca="1" si="328"/>
        <v>37.388169415757922</v>
      </c>
      <c r="AF690">
        <f t="shared" ca="1" si="329"/>
        <v>6.841665927026952E-3</v>
      </c>
      <c r="AG690">
        <f t="shared" ca="1" si="330"/>
        <v>0</v>
      </c>
      <c r="AH690">
        <f ca="1">IFERROR(IF(V32="Supercritical",MAX($D$16,IFERROR(L690,MAX($D$16,POWER((ABS(K690)^2)/($I$5*MAX(F690,0.1)^2),1/3)))),IF(V32="Subcritical",MAX($D$16,IFERROR(W690,MAX($D$16,POWER((ABS(K690)^2)/($I$5*MAX(F690,0.1)^2),1/3)))),IF(AND(IFERROR(V690,0)=1,IFERROR(AG690,0)=1),IF(IFERROR(T690,-1E+99)&gt;=IFERROR(AE690,-1E+99),MAX($D$16,IFERROR(L690,MAX($D$16,POWER((ABS(K690)^2)/($I$5*MAX(F690,0.1)^2),1/3)))),MAX($D$16,IFERROR(W690,MAX($D$16,POWER((ABS(K690)^2)/($I$5*MAX(F690,0.1)^2),1/3))))),IF(IFERROR(V690,0)=1,MAX($D$16,IFERROR(L690,MAX($D$16,POWER((ABS(K690)^2)/($I$5*MAX(F690,0.1)^2),1/3)))),IF(IFERROR(AG690,0)=1,MAX($D$16,IFERROR(W690,MAX($D$16,POWER((ABS(K690)^2)/($I$5*MAX(F690,0.1)^2),1/3)))),MAX($D$16,POWER((ABS(K690)^2)/($I$5*MAX(F690,0.1)^2),1/3))))))),MAX($D$16,POWER((ABS(K690)^2)/($I$5*MAX(F690,0.1)^2),1/3)))</f>
        <v>2.1389677043987478</v>
      </c>
      <c r="AI690">
        <f t="shared" ca="1" si="331"/>
        <v>634.38746770439877</v>
      </c>
      <c r="AJ690">
        <f t="shared" ca="1" si="332"/>
        <v>635.45695155659814</v>
      </c>
      <c r="AM690">
        <v>0</v>
      </c>
      <c r="AN690">
        <v>0</v>
      </c>
      <c r="AO690">
        <f t="shared" si="333"/>
        <v>0</v>
      </c>
      <c r="AP690">
        <f t="shared" si="342"/>
        <v>0</v>
      </c>
      <c r="AQ690">
        <f t="shared" ca="1" si="334"/>
        <v>1.0000000000000004</v>
      </c>
      <c r="AR690" t="str">
        <f t="shared" ca="1" si="335"/>
        <v>Supercritical</v>
      </c>
      <c r="AS690">
        <f t="shared" ca="1" si="336"/>
        <v>3.8141460404132466E-3</v>
      </c>
    </row>
    <row r="691" spans="1:45" x14ac:dyDescent="0.35">
      <c r="A691">
        <v>630</v>
      </c>
      <c r="B691">
        <v>628.99599999999998</v>
      </c>
      <c r="C691">
        <v>616144.43999999994</v>
      </c>
      <c r="D691">
        <v>3097365.4739999999</v>
      </c>
      <c r="E691">
        <v>632.24800000000005</v>
      </c>
      <c r="F691">
        <v>5.2</v>
      </c>
      <c r="G691">
        <v>0</v>
      </c>
      <c r="H691" t="s">
        <v>154</v>
      </c>
      <c r="I691">
        <v>7.8E-2</v>
      </c>
      <c r="J691">
        <f t="shared" si="337"/>
        <v>1</v>
      </c>
      <c r="K691">
        <f t="shared" ca="1" si="338"/>
        <v>50.95</v>
      </c>
      <c r="L691">
        <f t="shared" ca="1" si="339"/>
        <v>2.1389677043987478</v>
      </c>
      <c r="M691">
        <f t="shared" ca="1" si="312"/>
        <v>11.122632062873489</v>
      </c>
      <c r="N691">
        <f t="shared" ca="1" si="313"/>
        <v>1.1735290000551568</v>
      </c>
      <c r="O691">
        <f t="shared" ca="1" si="314"/>
        <v>4.5807502857230418</v>
      </c>
      <c r="P691">
        <f t="shared" ca="1" si="315"/>
        <v>634.38696770439878</v>
      </c>
      <c r="Q691">
        <f t="shared" ca="1" si="316"/>
        <v>635.45645155659815</v>
      </c>
      <c r="R691">
        <f t="shared" ca="1" si="317"/>
        <v>3.8141460404132466E-3</v>
      </c>
      <c r="S691">
        <f t="shared" ca="1" si="318"/>
        <v>1.0000000000000004</v>
      </c>
      <c r="T691">
        <f t="shared" ca="1" si="319"/>
        <v>35.686426155594638</v>
      </c>
      <c r="U691">
        <f t="shared" ca="1" si="340"/>
        <v>-3.4531789411857972E-3</v>
      </c>
      <c r="V691">
        <f t="shared" ca="1" si="341"/>
        <v>1</v>
      </c>
      <c r="W691">
        <f t="shared" ca="1" si="320"/>
        <v>1.7069123402683595</v>
      </c>
      <c r="X691">
        <f t="shared" ca="1" si="321"/>
        <v>8.8759441693954688</v>
      </c>
      <c r="Y691">
        <f t="shared" ca="1" si="322"/>
        <v>1.030430093318595</v>
      </c>
      <c r="Z691">
        <f t="shared" ca="1" si="323"/>
        <v>5.7402343939563281</v>
      </c>
      <c r="AA691">
        <f t="shared" ca="1" si="324"/>
        <v>633.95491234026838</v>
      </c>
      <c r="AB691">
        <f t="shared" ca="1" si="325"/>
        <v>635.6343359334162</v>
      </c>
      <c r="AC691">
        <f t="shared" ca="1" si="326"/>
        <v>7.1233408605963057E-3</v>
      </c>
      <c r="AD691">
        <f t="shared" ca="1" si="327"/>
        <v>1.4027798333651473</v>
      </c>
      <c r="AE691">
        <f t="shared" ca="1" si="328"/>
        <v>37.388169416227264</v>
      </c>
      <c r="AF691">
        <f t="shared" ca="1" si="329"/>
        <v>6.6989149222536071E-3</v>
      </c>
      <c r="AG691">
        <f t="shared" ca="1" si="330"/>
        <v>0</v>
      </c>
      <c r="AH691">
        <f ca="1">IFERROR(IF(V32="Supercritical",MAX($D$16,IFERROR(L691,MAX($D$16,POWER((ABS(K691)^2)/($I$5*MAX(F691,0.1)^2),1/3)))),IF(V32="Subcritical",MAX($D$16,IFERROR(W691,MAX($D$16,POWER((ABS(K691)^2)/($I$5*MAX(F691,0.1)^2),1/3)))),IF(AND(IFERROR(V691,0)=1,IFERROR(AG691,0)=1),IF(IFERROR(T691,-1E+99)&gt;=IFERROR(AE691,-1E+99),MAX($D$16,IFERROR(L691,MAX($D$16,POWER((ABS(K691)^2)/($I$5*MAX(F691,0.1)^2),1/3)))),MAX($D$16,IFERROR(W691,MAX($D$16,POWER((ABS(K691)^2)/($I$5*MAX(F691,0.1)^2),1/3))))),IF(IFERROR(V691,0)=1,MAX($D$16,IFERROR(L691,MAX($D$16,POWER((ABS(K691)^2)/($I$5*MAX(F691,0.1)^2),1/3)))),IF(IFERROR(AG691,0)=1,MAX($D$16,IFERROR(W691,MAX($D$16,POWER((ABS(K691)^2)/($I$5*MAX(F691,0.1)^2),1/3)))),MAX($D$16,POWER((ABS(K691)^2)/($I$5*MAX(F691,0.1)^2),1/3))))))),MAX($D$16,POWER((ABS(K691)^2)/($I$5*MAX(F691,0.1)^2),1/3)))</f>
        <v>2.1389677043987478</v>
      </c>
      <c r="AI691">
        <f t="shared" ca="1" si="331"/>
        <v>634.38696770439878</v>
      </c>
      <c r="AJ691">
        <f t="shared" ca="1" si="332"/>
        <v>635.45645155659815</v>
      </c>
      <c r="AM691">
        <v>0</v>
      </c>
      <c r="AN691">
        <v>0</v>
      </c>
      <c r="AO691">
        <f t="shared" si="333"/>
        <v>0</v>
      </c>
      <c r="AP691">
        <f t="shared" si="342"/>
        <v>0</v>
      </c>
      <c r="AQ691">
        <f t="shared" ca="1" si="334"/>
        <v>1.0000000000000004</v>
      </c>
      <c r="AR691" t="str">
        <f t="shared" ca="1" si="335"/>
        <v>Supercritical</v>
      </c>
      <c r="AS691">
        <f t="shared" ca="1" si="336"/>
        <v>3.8141460404132466E-3</v>
      </c>
    </row>
    <row r="692" spans="1:45" x14ac:dyDescent="0.35">
      <c r="A692">
        <v>631</v>
      </c>
      <c r="B692">
        <v>629.99599999999998</v>
      </c>
      <c r="C692">
        <v>616143.96600000001</v>
      </c>
      <c r="D692">
        <v>3097364.5929999999</v>
      </c>
      <c r="E692">
        <v>632.24749999999995</v>
      </c>
      <c r="F692">
        <v>5.2</v>
      </c>
      <c r="G692">
        <v>0</v>
      </c>
      <c r="H692" t="s">
        <v>154</v>
      </c>
      <c r="I692">
        <v>2.7E-2</v>
      </c>
      <c r="J692">
        <f t="shared" si="337"/>
        <v>1</v>
      </c>
      <c r="K692">
        <f t="shared" ca="1" si="338"/>
        <v>50.95</v>
      </c>
      <c r="L692">
        <f t="shared" ca="1" si="339"/>
        <v>2.1389677043987478</v>
      </c>
      <c r="M692">
        <f t="shared" ca="1" si="312"/>
        <v>11.122632062873489</v>
      </c>
      <c r="N692">
        <f t="shared" ca="1" si="313"/>
        <v>1.1735290000551568</v>
      </c>
      <c r="O692">
        <f t="shared" ca="1" si="314"/>
        <v>4.5807502857230418</v>
      </c>
      <c r="P692">
        <f t="shared" ca="1" si="315"/>
        <v>634.38646770439868</v>
      </c>
      <c r="Q692">
        <f t="shared" ca="1" si="316"/>
        <v>635.45595155659805</v>
      </c>
      <c r="R692">
        <f t="shared" ca="1" si="317"/>
        <v>3.8141460404132466E-3</v>
      </c>
      <c r="S692">
        <f t="shared" ca="1" si="318"/>
        <v>1.0000000000000004</v>
      </c>
      <c r="T692">
        <f t="shared" ca="1" si="319"/>
        <v>35.686426155594638</v>
      </c>
      <c r="U692">
        <f t="shared" ca="1" si="340"/>
        <v>-3.3622728136606383E-3</v>
      </c>
      <c r="V692">
        <f t="shared" ca="1" si="341"/>
        <v>1</v>
      </c>
      <c r="W692">
        <f t="shared" ca="1" si="320"/>
        <v>1.7069123402173367</v>
      </c>
      <c r="X692">
        <f t="shared" ca="1" si="321"/>
        <v>8.8759441691301522</v>
      </c>
      <c r="Y692">
        <f t="shared" ca="1" si="322"/>
        <v>1.030430093300001</v>
      </c>
      <c r="Z692">
        <f t="shared" ca="1" si="323"/>
        <v>5.7402343941279135</v>
      </c>
      <c r="AA692">
        <f t="shared" ca="1" si="324"/>
        <v>633.95441234021723</v>
      </c>
      <c r="AB692">
        <f t="shared" ca="1" si="325"/>
        <v>635.63383593346543</v>
      </c>
      <c r="AC692">
        <f t="shared" ca="1" si="326"/>
        <v>7.1233408611935502E-3</v>
      </c>
      <c r="AD692">
        <f t="shared" ca="1" si="327"/>
        <v>1.4027798334280441</v>
      </c>
      <c r="AE692">
        <f t="shared" ca="1" si="328"/>
        <v>37.388169416665548</v>
      </c>
      <c r="AF692">
        <f t="shared" ca="1" si="329"/>
        <v>6.6233408612106359E-3</v>
      </c>
      <c r="AG692">
        <f t="shared" ca="1" si="330"/>
        <v>0</v>
      </c>
      <c r="AH692">
        <f ca="1">IFERROR(IF(V32="Supercritical",MAX($D$16,IFERROR(L692,MAX($D$16,POWER((ABS(K692)^2)/($I$5*MAX(F692,0.1)^2),1/3)))),IF(V32="Subcritical",MAX($D$16,IFERROR(W692,MAX($D$16,POWER((ABS(K692)^2)/($I$5*MAX(F692,0.1)^2),1/3)))),IF(AND(IFERROR(V692,0)=1,IFERROR(AG692,0)=1),IF(IFERROR(T692,-1E+99)&gt;=IFERROR(AE692,-1E+99),MAX($D$16,IFERROR(L692,MAX($D$16,POWER((ABS(K692)^2)/($I$5*MAX(F692,0.1)^2),1/3)))),MAX($D$16,IFERROR(W692,MAX($D$16,POWER((ABS(K692)^2)/($I$5*MAX(F692,0.1)^2),1/3))))),IF(IFERROR(V692,0)=1,MAX($D$16,IFERROR(L692,MAX($D$16,POWER((ABS(K692)^2)/($I$5*MAX(F692,0.1)^2),1/3)))),IF(IFERROR(AG692,0)=1,MAX($D$16,IFERROR(W692,MAX($D$16,POWER((ABS(K692)^2)/($I$5*MAX(F692,0.1)^2),1/3)))),MAX($D$16,POWER((ABS(K692)^2)/($I$5*MAX(F692,0.1)^2),1/3))))))),MAX($D$16,POWER((ABS(K692)^2)/($I$5*MAX(F692,0.1)^2),1/3)))</f>
        <v>2.1389677043987478</v>
      </c>
      <c r="AI692">
        <f t="shared" ca="1" si="331"/>
        <v>634.38646770439868</v>
      </c>
      <c r="AJ692">
        <f t="shared" ca="1" si="332"/>
        <v>635.45595155659805</v>
      </c>
      <c r="AM692">
        <v>0</v>
      </c>
      <c r="AN692">
        <v>0</v>
      </c>
      <c r="AO692">
        <f t="shared" si="333"/>
        <v>0</v>
      </c>
      <c r="AP692">
        <f t="shared" si="342"/>
        <v>0</v>
      </c>
      <c r="AQ692">
        <f t="shared" ca="1" si="334"/>
        <v>1.0000000000000004</v>
      </c>
      <c r="AR692" t="str">
        <f t="shared" ca="1" si="335"/>
        <v>Supercritical</v>
      </c>
      <c r="AS692">
        <f t="shared" ca="1" si="336"/>
        <v>3.8141460404132466E-3</v>
      </c>
    </row>
    <row r="693" spans="1:45" x14ac:dyDescent="0.35">
      <c r="A693">
        <v>632</v>
      </c>
      <c r="B693">
        <v>630.99599999999998</v>
      </c>
      <c r="C693">
        <v>616143.49199999997</v>
      </c>
      <c r="D693">
        <v>3097363.713</v>
      </c>
      <c r="E693">
        <v>632.24699999999996</v>
      </c>
      <c r="F693">
        <v>5.2</v>
      </c>
      <c r="G693">
        <v>0</v>
      </c>
      <c r="H693" t="s">
        <v>154</v>
      </c>
      <c r="I693">
        <v>0</v>
      </c>
      <c r="J693">
        <f t="shared" si="337"/>
        <v>1</v>
      </c>
      <c r="K693">
        <f t="shared" ca="1" si="338"/>
        <v>50.95</v>
      </c>
      <c r="L693">
        <f t="shared" ca="1" si="339"/>
        <v>2.1389677043987478</v>
      </c>
      <c r="M693">
        <f t="shared" ca="1" si="312"/>
        <v>11.122632062873489</v>
      </c>
      <c r="N693">
        <f t="shared" ca="1" si="313"/>
        <v>1.1735290000551568</v>
      </c>
      <c r="O693">
        <f t="shared" ca="1" si="314"/>
        <v>4.5807502857230418</v>
      </c>
      <c r="P693">
        <f t="shared" ca="1" si="315"/>
        <v>634.38596770439869</v>
      </c>
      <c r="Q693">
        <f t="shared" ca="1" si="316"/>
        <v>635.45545155659806</v>
      </c>
      <c r="R693">
        <f t="shared" ca="1" si="317"/>
        <v>3.8141460404132466E-3</v>
      </c>
      <c r="S693">
        <f t="shared" ca="1" si="318"/>
        <v>1.0000000000000004</v>
      </c>
      <c r="T693">
        <f t="shared" ca="1" si="319"/>
        <v>35.686426155594638</v>
      </c>
      <c r="U693">
        <f t="shared" ca="1" si="340"/>
        <v>-3.3141460404522149E-3</v>
      </c>
      <c r="V693">
        <f t="shared" ca="1" si="341"/>
        <v>1</v>
      </c>
      <c r="W693">
        <f t="shared" ca="1" si="320"/>
        <v>1.7069123401696906</v>
      </c>
      <c r="X693">
        <f t="shared" ca="1" si="321"/>
        <v>8.8759441688823912</v>
      </c>
      <c r="Y693">
        <f t="shared" ca="1" si="322"/>
        <v>1.0304300932826373</v>
      </c>
      <c r="Z693">
        <f t="shared" ca="1" si="323"/>
        <v>5.7402343942881444</v>
      </c>
      <c r="AA693">
        <f t="shared" ca="1" si="324"/>
        <v>633.95391234016961</v>
      </c>
      <c r="AB693">
        <f t="shared" ca="1" si="325"/>
        <v>635.63333593351149</v>
      </c>
      <c r="AC693">
        <f t="shared" ca="1" si="326"/>
        <v>7.1233408617512733E-3</v>
      </c>
      <c r="AD693">
        <f t="shared" ca="1" si="327"/>
        <v>1.4027798334867796</v>
      </c>
      <c r="AE693">
        <f t="shared" ca="1" si="328"/>
        <v>37.388169417074835</v>
      </c>
      <c r="AF693">
        <f t="shared" ca="1" si="329"/>
        <v>6.6805954253368327E-3</v>
      </c>
      <c r="AG693">
        <f t="shared" ca="1" si="330"/>
        <v>0</v>
      </c>
      <c r="AH693">
        <f ca="1">IFERROR(IF(V32="Supercritical",MAX($D$16,IFERROR(L693,MAX($D$16,POWER((ABS(K693)^2)/($I$5*MAX(F693,0.1)^2),1/3)))),IF(V32="Subcritical",MAX($D$16,IFERROR(W693,MAX($D$16,POWER((ABS(K693)^2)/($I$5*MAX(F693,0.1)^2),1/3)))),IF(AND(IFERROR(V693,0)=1,IFERROR(AG693,0)=1),IF(IFERROR(T693,-1E+99)&gt;=IFERROR(AE693,-1E+99),MAX($D$16,IFERROR(L693,MAX($D$16,POWER((ABS(K693)^2)/($I$5*MAX(F693,0.1)^2),1/3)))),MAX($D$16,IFERROR(W693,MAX($D$16,POWER((ABS(K693)^2)/($I$5*MAX(F693,0.1)^2),1/3))))),IF(IFERROR(V693,0)=1,MAX($D$16,IFERROR(L693,MAX($D$16,POWER((ABS(K693)^2)/($I$5*MAX(F693,0.1)^2),1/3)))),IF(IFERROR(AG693,0)=1,MAX($D$16,IFERROR(W693,MAX($D$16,POWER((ABS(K693)^2)/($I$5*MAX(F693,0.1)^2),1/3)))),MAX($D$16,POWER((ABS(K693)^2)/($I$5*MAX(F693,0.1)^2),1/3))))))),MAX($D$16,POWER((ABS(K693)^2)/($I$5*MAX(F693,0.1)^2),1/3)))</f>
        <v>2.1389677043987478</v>
      </c>
      <c r="AI693">
        <f t="shared" ca="1" si="331"/>
        <v>634.38596770439869</v>
      </c>
      <c r="AJ693">
        <f t="shared" ca="1" si="332"/>
        <v>635.45545155659806</v>
      </c>
      <c r="AM693">
        <v>0</v>
      </c>
      <c r="AN693">
        <v>0</v>
      </c>
      <c r="AO693">
        <f t="shared" si="333"/>
        <v>0</v>
      </c>
      <c r="AP693">
        <f t="shared" si="342"/>
        <v>0</v>
      </c>
      <c r="AQ693">
        <f t="shared" ca="1" si="334"/>
        <v>1.0000000000000004</v>
      </c>
      <c r="AR693" t="str">
        <f t="shared" ca="1" si="335"/>
        <v>Supercritical</v>
      </c>
      <c r="AS693">
        <f t="shared" ca="1" si="336"/>
        <v>3.8141460404132466E-3</v>
      </c>
    </row>
    <row r="694" spans="1:45" x14ac:dyDescent="0.35">
      <c r="A694">
        <v>633</v>
      </c>
      <c r="B694">
        <v>631.995</v>
      </c>
      <c r="C694">
        <v>616143.01800000004</v>
      </c>
      <c r="D694">
        <v>3097362.8330000001</v>
      </c>
      <c r="E694">
        <v>632.24649999999997</v>
      </c>
      <c r="F694">
        <v>5.2</v>
      </c>
      <c r="G694">
        <v>0</v>
      </c>
      <c r="H694" t="s">
        <v>154</v>
      </c>
      <c r="I694">
        <v>2.3E-2</v>
      </c>
      <c r="J694">
        <f t="shared" si="337"/>
        <v>0.99900000000002365</v>
      </c>
      <c r="K694">
        <f t="shared" ca="1" si="338"/>
        <v>50.95</v>
      </c>
      <c r="L694">
        <f t="shared" ca="1" si="339"/>
        <v>2.1389677043987478</v>
      </c>
      <c r="M694">
        <f t="shared" ca="1" si="312"/>
        <v>11.122632062873489</v>
      </c>
      <c r="N694">
        <f t="shared" ca="1" si="313"/>
        <v>1.1735290000551568</v>
      </c>
      <c r="O694">
        <f t="shared" ca="1" si="314"/>
        <v>4.5807502857230418</v>
      </c>
      <c r="P694">
        <f t="shared" ca="1" si="315"/>
        <v>634.38546770439871</v>
      </c>
      <c r="Q694">
        <f t="shared" ca="1" si="316"/>
        <v>635.45495155659808</v>
      </c>
      <c r="R694">
        <f t="shared" ca="1" si="317"/>
        <v>3.8141460404132466E-3</v>
      </c>
      <c r="S694">
        <f t="shared" ca="1" si="318"/>
        <v>1.0000000000000004</v>
      </c>
      <c r="T694">
        <f t="shared" ca="1" si="319"/>
        <v>35.686426155594638</v>
      </c>
      <c r="U694">
        <f t="shared" ca="1" si="340"/>
        <v>-3.3513287753521581E-3</v>
      </c>
      <c r="V694">
        <f t="shared" ca="1" si="341"/>
        <v>1</v>
      </c>
      <c r="W694">
        <f t="shared" ca="1" si="320"/>
        <v>1.7069123401252164</v>
      </c>
      <c r="X694">
        <f t="shared" ca="1" si="321"/>
        <v>8.8759441686511256</v>
      </c>
      <c r="Y694">
        <f t="shared" ca="1" si="322"/>
        <v>1.0304300932664294</v>
      </c>
      <c r="Z694">
        <f t="shared" ca="1" si="323"/>
        <v>5.7402343944377083</v>
      </c>
      <c r="AA694">
        <f t="shared" ca="1" si="324"/>
        <v>633.95341234012517</v>
      </c>
      <c r="AB694">
        <f t="shared" ca="1" si="325"/>
        <v>635.63283593355459</v>
      </c>
      <c r="AC694">
        <f t="shared" ca="1" si="326"/>
        <v>7.1233408622718691E-3</v>
      </c>
      <c r="AD694">
        <f t="shared" ca="1" si="327"/>
        <v>1.4027798335416046</v>
      </c>
      <c r="AE694">
        <f t="shared" ca="1" si="328"/>
        <v>37.388169417456872</v>
      </c>
      <c r="AF694">
        <f t="shared" ca="1" si="329"/>
        <v>6.694842107549448E-3</v>
      </c>
      <c r="AG694">
        <f t="shared" ca="1" si="330"/>
        <v>0</v>
      </c>
      <c r="AH694">
        <f ca="1">IFERROR(IF(V32="Supercritical",MAX($D$16,IFERROR(L694,MAX($D$16,POWER((ABS(K694)^2)/($I$5*MAX(F694,0.1)^2),1/3)))),IF(V32="Subcritical",MAX($D$16,IFERROR(W694,MAX($D$16,POWER((ABS(K694)^2)/($I$5*MAX(F694,0.1)^2),1/3)))),IF(AND(IFERROR(V694,0)=1,IFERROR(AG694,0)=1),IF(IFERROR(T694,-1E+99)&gt;=IFERROR(AE694,-1E+99),MAX($D$16,IFERROR(L694,MAX($D$16,POWER((ABS(K694)^2)/($I$5*MAX(F694,0.1)^2),1/3)))),MAX($D$16,IFERROR(W694,MAX($D$16,POWER((ABS(K694)^2)/($I$5*MAX(F694,0.1)^2),1/3))))),IF(IFERROR(V694,0)=1,MAX($D$16,IFERROR(L694,MAX($D$16,POWER((ABS(K694)^2)/($I$5*MAX(F694,0.1)^2),1/3)))),IF(IFERROR(AG694,0)=1,MAX($D$16,IFERROR(W694,MAX($D$16,POWER((ABS(K694)^2)/($I$5*MAX(F694,0.1)^2),1/3)))),MAX($D$16,POWER((ABS(K694)^2)/($I$5*MAX(F694,0.1)^2),1/3))))))),MAX($D$16,POWER((ABS(K694)^2)/($I$5*MAX(F694,0.1)^2),1/3)))</f>
        <v>2.1389677043987478</v>
      </c>
      <c r="AI694">
        <f t="shared" ca="1" si="331"/>
        <v>634.38546770439871</v>
      </c>
      <c r="AJ694">
        <f t="shared" ca="1" si="332"/>
        <v>635.45495155659808</v>
      </c>
      <c r="AM694">
        <v>0</v>
      </c>
      <c r="AN694">
        <v>0</v>
      </c>
      <c r="AO694">
        <f t="shared" si="333"/>
        <v>0</v>
      </c>
      <c r="AP694">
        <f t="shared" si="342"/>
        <v>0</v>
      </c>
      <c r="AQ694">
        <f t="shared" ca="1" si="334"/>
        <v>1.0000000000000004</v>
      </c>
      <c r="AR694" t="str">
        <f t="shared" ca="1" si="335"/>
        <v>Supercritical</v>
      </c>
      <c r="AS694">
        <f t="shared" ca="1" si="336"/>
        <v>3.8141460404132466E-3</v>
      </c>
    </row>
    <row r="695" spans="1:45" x14ac:dyDescent="0.35">
      <c r="A695">
        <v>634</v>
      </c>
      <c r="B695">
        <v>632.99599999999998</v>
      </c>
      <c r="C695">
        <v>616142.54299999995</v>
      </c>
      <c r="D695">
        <v>3097361.952</v>
      </c>
      <c r="E695">
        <v>632.24599999999998</v>
      </c>
      <c r="F695">
        <v>5.2</v>
      </c>
      <c r="G695">
        <v>0</v>
      </c>
      <c r="H695" t="s">
        <v>154</v>
      </c>
      <c r="I695">
        <v>2.3E-2</v>
      </c>
      <c r="J695">
        <f t="shared" si="337"/>
        <v>1.0009999999999764</v>
      </c>
      <c r="K695">
        <f t="shared" ca="1" si="338"/>
        <v>50.95</v>
      </c>
      <c r="L695">
        <f t="shared" ca="1" si="339"/>
        <v>2.1389677043987478</v>
      </c>
      <c r="M695">
        <f t="shared" ca="1" si="312"/>
        <v>11.122632062873489</v>
      </c>
      <c r="N695">
        <f t="shared" ca="1" si="313"/>
        <v>1.1735290000551568</v>
      </c>
      <c r="O695">
        <f t="shared" ca="1" si="314"/>
        <v>4.5807502857230418</v>
      </c>
      <c r="P695">
        <f t="shared" ca="1" si="315"/>
        <v>634.38496770439872</v>
      </c>
      <c r="Q695">
        <f t="shared" ca="1" si="316"/>
        <v>635.45445155659809</v>
      </c>
      <c r="R695">
        <f t="shared" ca="1" si="317"/>
        <v>3.8141460404132466E-3</v>
      </c>
      <c r="S695">
        <f t="shared" ca="1" si="318"/>
        <v>1.0000000000000004</v>
      </c>
      <c r="T695">
        <f t="shared" ca="1" si="319"/>
        <v>35.686426155594638</v>
      </c>
      <c r="U695">
        <f t="shared" ca="1" si="340"/>
        <v>-3.3589570674621427E-3</v>
      </c>
      <c r="V695">
        <f t="shared" ca="1" si="341"/>
        <v>1</v>
      </c>
      <c r="W695">
        <f t="shared" ca="1" si="320"/>
        <v>1.7069123400836752</v>
      </c>
      <c r="X695">
        <f t="shared" ca="1" si="321"/>
        <v>8.8759441684351117</v>
      </c>
      <c r="Y695">
        <f t="shared" ca="1" si="322"/>
        <v>1.0304300932512906</v>
      </c>
      <c r="Z695">
        <f t="shared" ca="1" si="323"/>
        <v>5.7402343945774081</v>
      </c>
      <c r="AA695">
        <f t="shared" ca="1" si="324"/>
        <v>633.95291234008369</v>
      </c>
      <c r="AB695">
        <f t="shared" ca="1" si="325"/>
        <v>635.63233593359485</v>
      </c>
      <c r="AC695">
        <f t="shared" ca="1" si="326"/>
        <v>7.1233408627581294E-3</v>
      </c>
      <c r="AD695">
        <f t="shared" ca="1" si="327"/>
        <v>1.4027798335928137</v>
      </c>
      <c r="AE695">
        <f t="shared" ca="1" si="328"/>
        <v>37.388169417813707</v>
      </c>
      <c r="AF695">
        <f t="shared" ca="1" si="329"/>
        <v>6.6989149245273438E-3</v>
      </c>
      <c r="AG695">
        <f t="shared" ca="1" si="330"/>
        <v>0</v>
      </c>
      <c r="AH695">
        <f ca="1">IFERROR(IF(V32="Supercritical",MAX($D$16,IFERROR(L695,MAX($D$16,POWER((ABS(K695)^2)/($I$5*MAX(F695,0.1)^2),1/3)))),IF(V32="Subcritical",MAX($D$16,IFERROR(W695,MAX($D$16,POWER((ABS(K695)^2)/($I$5*MAX(F695,0.1)^2),1/3)))),IF(AND(IFERROR(V695,0)=1,IFERROR(AG695,0)=1),IF(IFERROR(T695,-1E+99)&gt;=IFERROR(AE695,-1E+99),MAX($D$16,IFERROR(L695,MAX($D$16,POWER((ABS(K695)^2)/($I$5*MAX(F695,0.1)^2),1/3)))),MAX($D$16,IFERROR(W695,MAX($D$16,POWER((ABS(K695)^2)/($I$5*MAX(F695,0.1)^2),1/3))))),IF(IFERROR(V695,0)=1,MAX($D$16,IFERROR(L695,MAX($D$16,POWER((ABS(K695)^2)/($I$5*MAX(F695,0.1)^2),1/3)))),IF(IFERROR(AG695,0)=1,MAX($D$16,IFERROR(W695,MAX($D$16,POWER((ABS(K695)^2)/($I$5*MAX(F695,0.1)^2),1/3)))),MAX($D$16,POWER((ABS(K695)^2)/($I$5*MAX(F695,0.1)^2),1/3))))))),MAX($D$16,POWER((ABS(K695)^2)/($I$5*MAX(F695,0.1)^2),1/3)))</f>
        <v>2.1389677043987478</v>
      </c>
      <c r="AI695">
        <f t="shared" ca="1" si="331"/>
        <v>634.38496770439872</v>
      </c>
      <c r="AJ695">
        <f t="shared" ca="1" si="332"/>
        <v>635.45445155659809</v>
      </c>
      <c r="AM695">
        <v>0</v>
      </c>
      <c r="AN695">
        <v>0</v>
      </c>
      <c r="AO695">
        <f t="shared" si="333"/>
        <v>0</v>
      </c>
      <c r="AP695">
        <f t="shared" si="342"/>
        <v>0</v>
      </c>
      <c r="AQ695">
        <f t="shared" ca="1" si="334"/>
        <v>1.0000000000000004</v>
      </c>
      <c r="AR695" t="str">
        <f t="shared" ca="1" si="335"/>
        <v>Supercritical</v>
      </c>
      <c r="AS695">
        <f t="shared" ca="1" si="336"/>
        <v>3.8141460404132466E-3</v>
      </c>
    </row>
    <row r="696" spans="1:45" x14ac:dyDescent="0.35">
      <c r="A696">
        <v>635</v>
      </c>
      <c r="B696">
        <v>633.99599999999998</v>
      </c>
      <c r="C696">
        <v>616142.06900000002</v>
      </c>
      <c r="D696">
        <v>3097361.0720000002</v>
      </c>
      <c r="E696">
        <v>632.24549999999999</v>
      </c>
      <c r="F696">
        <v>5.2</v>
      </c>
      <c r="G696">
        <v>0</v>
      </c>
      <c r="H696" t="s">
        <v>154</v>
      </c>
      <c r="I696">
        <v>2.7E-2</v>
      </c>
      <c r="J696">
        <f t="shared" si="337"/>
        <v>1</v>
      </c>
      <c r="K696">
        <f t="shared" ca="1" si="338"/>
        <v>50.95</v>
      </c>
      <c r="L696">
        <f t="shared" ca="1" si="339"/>
        <v>2.1389677043987478</v>
      </c>
      <c r="M696">
        <f t="shared" ca="1" si="312"/>
        <v>11.122632062873489</v>
      </c>
      <c r="N696">
        <f t="shared" ca="1" si="313"/>
        <v>1.1735290000551568</v>
      </c>
      <c r="O696">
        <f t="shared" ca="1" si="314"/>
        <v>4.5807502857230418</v>
      </c>
      <c r="P696">
        <f t="shared" ca="1" si="315"/>
        <v>634.38446770439873</v>
      </c>
      <c r="Q696">
        <f t="shared" ca="1" si="316"/>
        <v>635.4539515565981</v>
      </c>
      <c r="R696">
        <f t="shared" ca="1" si="317"/>
        <v>3.8141460404132466E-3</v>
      </c>
      <c r="S696">
        <f t="shared" ca="1" si="318"/>
        <v>1.0000000000000004</v>
      </c>
      <c r="T696">
        <f t="shared" ca="1" si="319"/>
        <v>35.686426155594638</v>
      </c>
      <c r="U696">
        <f t="shared" ca="1" si="340"/>
        <v>-3.3622728137743252E-3</v>
      </c>
      <c r="V696">
        <f t="shared" ca="1" si="341"/>
        <v>1</v>
      </c>
      <c r="W696">
        <f t="shared" ca="1" si="320"/>
        <v>1.7069123400449138</v>
      </c>
      <c r="X696">
        <f t="shared" ca="1" si="321"/>
        <v>8.875944168233552</v>
      </c>
      <c r="Y696">
        <f t="shared" ca="1" si="322"/>
        <v>1.0304300932371648</v>
      </c>
      <c r="Z696">
        <f t="shared" ca="1" si="323"/>
        <v>5.7402343947077608</v>
      </c>
      <c r="AA696">
        <f t="shared" ca="1" si="324"/>
        <v>633.95241234004493</v>
      </c>
      <c r="AB696">
        <f t="shared" ca="1" si="325"/>
        <v>635.63183593363237</v>
      </c>
      <c r="AC696">
        <f t="shared" ca="1" si="326"/>
        <v>7.1233408632118541E-3</v>
      </c>
      <c r="AD696">
        <f t="shared" ca="1" si="327"/>
        <v>1.4027798336405961</v>
      </c>
      <c r="AE696">
        <f t="shared" ca="1" si="328"/>
        <v>37.388169418146674</v>
      </c>
      <c r="AF696">
        <f t="shared" ca="1" si="329"/>
        <v>6.6989149249820912E-3</v>
      </c>
      <c r="AG696">
        <f t="shared" ca="1" si="330"/>
        <v>0</v>
      </c>
      <c r="AH696">
        <f ca="1">IFERROR(IF(V32="Supercritical",MAX($D$16,IFERROR(L696,MAX($D$16,POWER((ABS(K696)^2)/($I$5*MAX(F696,0.1)^2),1/3)))),IF(V32="Subcritical",MAX($D$16,IFERROR(W696,MAX($D$16,POWER((ABS(K696)^2)/($I$5*MAX(F696,0.1)^2),1/3)))),IF(AND(IFERROR(V696,0)=1,IFERROR(AG696,0)=1),IF(IFERROR(T696,-1E+99)&gt;=IFERROR(AE696,-1E+99),MAX($D$16,IFERROR(L696,MAX($D$16,POWER((ABS(K696)^2)/($I$5*MAX(F696,0.1)^2),1/3)))),MAX($D$16,IFERROR(W696,MAX($D$16,POWER((ABS(K696)^2)/($I$5*MAX(F696,0.1)^2),1/3))))),IF(IFERROR(V696,0)=1,MAX($D$16,IFERROR(L696,MAX($D$16,POWER((ABS(K696)^2)/($I$5*MAX(F696,0.1)^2),1/3)))),IF(IFERROR(AG696,0)=1,MAX($D$16,IFERROR(W696,MAX($D$16,POWER((ABS(K696)^2)/($I$5*MAX(F696,0.1)^2),1/3)))),MAX($D$16,POWER((ABS(K696)^2)/($I$5*MAX(F696,0.1)^2),1/3))))))),MAX($D$16,POWER((ABS(K696)^2)/($I$5*MAX(F696,0.1)^2),1/3)))</f>
        <v>2.1389677043987478</v>
      </c>
      <c r="AI696">
        <f t="shared" ca="1" si="331"/>
        <v>634.38446770439873</v>
      </c>
      <c r="AJ696">
        <f t="shared" ca="1" si="332"/>
        <v>635.4539515565981</v>
      </c>
      <c r="AM696">
        <v>0</v>
      </c>
      <c r="AN696">
        <v>0</v>
      </c>
      <c r="AO696">
        <f t="shared" si="333"/>
        <v>0</v>
      </c>
      <c r="AP696">
        <f t="shared" si="342"/>
        <v>0</v>
      </c>
      <c r="AQ696">
        <f t="shared" ca="1" si="334"/>
        <v>1.0000000000000004</v>
      </c>
      <c r="AR696" t="str">
        <f t="shared" ca="1" si="335"/>
        <v>Supercritical</v>
      </c>
      <c r="AS696">
        <f t="shared" ca="1" si="336"/>
        <v>3.8141460404132466E-3</v>
      </c>
    </row>
    <row r="697" spans="1:45" x14ac:dyDescent="0.35">
      <c r="A697">
        <v>636</v>
      </c>
      <c r="B697">
        <v>634.99599999999998</v>
      </c>
      <c r="C697">
        <v>616141.59499999997</v>
      </c>
      <c r="D697">
        <v>3097360.1910000001</v>
      </c>
      <c r="E697">
        <v>632.245</v>
      </c>
      <c r="F697">
        <v>5.2</v>
      </c>
      <c r="G697">
        <v>0</v>
      </c>
      <c r="H697" t="s">
        <v>154</v>
      </c>
      <c r="I697">
        <v>2.7E-2</v>
      </c>
      <c r="J697">
        <f t="shared" si="337"/>
        <v>1</v>
      </c>
      <c r="K697">
        <f t="shared" ca="1" si="338"/>
        <v>50.95</v>
      </c>
      <c r="L697">
        <f t="shared" ca="1" si="339"/>
        <v>2.1389677043987478</v>
      </c>
      <c r="M697">
        <f t="shared" ca="1" si="312"/>
        <v>11.122632062873489</v>
      </c>
      <c r="N697">
        <f t="shared" ca="1" si="313"/>
        <v>1.1735290000551568</v>
      </c>
      <c r="O697">
        <f t="shared" ca="1" si="314"/>
        <v>4.5807502857230418</v>
      </c>
      <c r="P697">
        <f t="shared" ca="1" si="315"/>
        <v>634.38396770439874</v>
      </c>
      <c r="Q697">
        <f t="shared" ca="1" si="316"/>
        <v>635.45345155659811</v>
      </c>
      <c r="R697">
        <f t="shared" ca="1" si="317"/>
        <v>3.8141460404132466E-3</v>
      </c>
      <c r="S697">
        <f t="shared" ca="1" si="318"/>
        <v>1.0000000000000004</v>
      </c>
      <c r="T697">
        <f t="shared" ca="1" si="319"/>
        <v>35.686426155594638</v>
      </c>
      <c r="U697">
        <f t="shared" ca="1" si="340"/>
        <v>-3.3622728137743252E-3</v>
      </c>
      <c r="V697">
        <f t="shared" ca="1" si="341"/>
        <v>1</v>
      </c>
      <c r="W697">
        <f t="shared" ca="1" si="320"/>
        <v>1.7069123400087103</v>
      </c>
      <c r="X697">
        <f t="shared" ca="1" si="321"/>
        <v>8.8759441680452937</v>
      </c>
      <c r="Y697">
        <f t="shared" ca="1" si="322"/>
        <v>1.0304300932239709</v>
      </c>
      <c r="Z697">
        <f t="shared" ca="1" si="323"/>
        <v>5.7402343948295105</v>
      </c>
      <c r="AA697">
        <f t="shared" ca="1" si="324"/>
        <v>633.95191234000868</v>
      </c>
      <c r="AB697">
        <f t="shared" ca="1" si="325"/>
        <v>635.6313359336674</v>
      </c>
      <c r="AC697">
        <f t="shared" ca="1" si="326"/>
        <v>7.1233408636356393E-3</v>
      </c>
      <c r="AD697">
        <f t="shared" ca="1" si="327"/>
        <v>1.4027798336852255</v>
      </c>
      <c r="AE697">
        <f t="shared" ca="1" si="328"/>
        <v>37.388169418457665</v>
      </c>
      <c r="AF697">
        <f t="shared" ca="1" si="329"/>
        <v>6.7632928297598482E-3</v>
      </c>
      <c r="AG697">
        <f t="shared" ca="1" si="330"/>
        <v>0</v>
      </c>
      <c r="AH697">
        <f ca="1">IFERROR(IF(V32="Supercritical",MAX($D$16,IFERROR(L697,MAX($D$16,POWER((ABS(K697)^2)/($I$5*MAX(F697,0.1)^2),1/3)))),IF(V32="Subcritical",MAX($D$16,IFERROR(W697,MAX($D$16,POWER((ABS(K697)^2)/($I$5*MAX(F697,0.1)^2),1/3)))),IF(AND(IFERROR(V697,0)=1,IFERROR(AG697,0)=1),IF(IFERROR(T697,-1E+99)&gt;=IFERROR(AE697,-1E+99),MAX($D$16,IFERROR(L697,MAX($D$16,POWER((ABS(K697)^2)/($I$5*MAX(F697,0.1)^2),1/3)))),MAX($D$16,IFERROR(W697,MAX($D$16,POWER((ABS(K697)^2)/($I$5*MAX(F697,0.1)^2),1/3))))),IF(IFERROR(V697,0)=1,MAX($D$16,IFERROR(L697,MAX($D$16,POWER((ABS(K697)^2)/($I$5*MAX(F697,0.1)^2),1/3)))),IF(IFERROR(AG697,0)=1,MAX($D$16,IFERROR(W697,MAX($D$16,POWER((ABS(K697)^2)/($I$5*MAX(F697,0.1)^2),1/3)))),MAX($D$16,POWER((ABS(K697)^2)/($I$5*MAX(F697,0.1)^2),1/3))))))),MAX($D$16,POWER((ABS(K697)^2)/($I$5*MAX(F697,0.1)^2),1/3)))</f>
        <v>2.1389677043987478</v>
      </c>
      <c r="AI697">
        <f t="shared" ca="1" si="331"/>
        <v>634.38396770439874</v>
      </c>
      <c r="AJ697">
        <f t="shared" ca="1" si="332"/>
        <v>635.45345155659811</v>
      </c>
      <c r="AM697">
        <v>0</v>
      </c>
      <c r="AN697">
        <v>0</v>
      </c>
      <c r="AO697">
        <f t="shared" si="333"/>
        <v>0</v>
      </c>
      <c r="AP697">
        <f t="shared" si="342"/>
        <v>0</v>
      </c>
      <c r="AQ697">
        <f t="shared" ca="1" si="334"/>
        <v>1.0000000000000004</v>
      </c>
      <c r="AR697" t="str">
        <f t="shared" ca="1" si="335"/>
        <v>Supercritical</v>
      </c>
      <c r="AS697">
        <f t="shared" ca="1" si="336"/>
        <v>3.8141460404132466E-3</v>
      </c>
    </row>
    <row r="698" spans="1:45" x14ac:dyDescent="0.35">
      <c r="A698">
        <v>637</v>
      </c>
      <c r="B698">
        <v>635.99599999999998</v>
      </c>
      <c r="C698">
        <v>616141.12100000004</v>
      </c>
      <c r="D698">
        <v>3097359.3110000002</v>
      </c>
      <c r="E698">
        <v>632.24450000000002</v>
      </c>
      <c r="F698">
        <v>5.2</v>
      </c>
      <c r="G698">
        <v>0</v>
      </c>
      <c r="H698" t="s">
        <v>154</v>
      </c>
      <c r="I698">
        <v>0.05</v>
      </c>
      <c r="J698">
        <f t="shared" si="337"/>
        <v>1</v>
      </c>
      <c r="K698">
        <f t="shared" ca="1" si="338"/>
        <v>50.95</v>
      </c>
      <c r="L698">
        <f t="shared" ca="1" si="339"/>
        <v>2.1389677043987478</v>
      </c>
      <c r="M698">
        <f t="shared" ca="1" si="312"/>
        <v>11.122632062873489</v>
      </c>
      <c r="N698">
        <f t="shared" ca="1" si="313"/>
        <v>1.1735290000551568</v>
      </c>
      <c r="O698">
        <f t="shared" ca="1" si="314"/>
        <v>4.5807502857230418</v>
      </c>
      <c r="P698">
        <f t="shared" ca="1" si="315"/>
        <v>634.38346770439875</v>
      </c>
      <c r="Q698">
        <f t="shared" ca="1" si="316"/>
        <v>635.45295155659812</v>
      </c>
      <c r="R698">
        <f t="shared" ca="1" si="317"/>
        <v>3.8141460404132466E-3</v>
      </c>
      <c r="S698">
        <f t="shared" ca="1" si="318"/>
        <v>1.0000000000000004</v>
      </c>
      <c r="T698">
        <f t="shared" ca="1" si="319"/>
        <v>35.686426155594638</v>
      </c>
      <c r="U698">
        <f t="shared" ca="1" si="340"/>
        <v>-3.4032696947861041E-3</v>
      </c>
      <c r="V698">
        <f t="shared" ca="1" si="341"/>
        <v>1</v>
      </c>
      <c r="W698">
        <f t="shared" ca="1" si="320"/>
        <v>1.7069123399749111</v>
      </c>
      <c r="X698">
        <f t="shared" ca="1" si="321"/>
        <v>8.8759441678695374</v>
      </c>
      <c r="Y698">
        <f t="shared" ca="1" si="322"/>
        <v>1.0304300932116537</v>
      </c>
      <c r="Z698">
        <f t="shared" ca="1" si="323"/>
        <v>5.740234394943176</v>
      </c>
      <c r="AA698">
        <f t="shared" ca="1" si="324"/>
        <v>633.95141233997492</v>
      </c>
      <c r="AB698">
        <f t="shared" ca="1" si="325"/>
        <v>635.63083593370015</v>
      </c>
      <c r="AC698">
        <f t="shared" ca="1" si="326"/>
        <v>7.1233408640312751E-3</v>
      </c>
      <c r="AD698">
        <f t="shared" ca="1" si="327"/>
        <v>1.4027798337268913</v>
      </c>
      <c r="AE698">
        <f t="shared" ca="1" si="328"/>
        <v>37.388169418748006</v>
      </c>
      <c r="AF698">
        <f t="shared" ca="1" si="329"/>
        <v>6.841665931233365E-3</v>
      </c>
      <c r="AG698">
        <f t="shared" ca="1" si="330"/>
        <v>0</v>
      </c>
      <c r="AH698">
        <f ca="1">IFERROR(IF(V32="Supercritical",MAX($D$16,IFERROR(L698,MAX($D$16,POWER((ABS(K698)^2)/($I$5*MAX(F698,0.1)^2),1/3)))),IF(V32="Subcritical",MAX($D$16,IFERROR(W698,MAX($D$16,POWER((ABS(K698)^2)/($I$5*MAX(F698,0.1)^2),1/3)))),IF(AND(IFERROR(V698,0)=1,IFERROR(AG698,0)=1),IF(IFERROR(T698,-1E+99)&gt;=IFERROR(AE698,-1E+99),MAX($D$16,IFERROR(L698,MAX($D$16,POWER((ABS(K698)^2)/($I$5*MAX(F698,0.1)^2),1/3)))),MAX($D$16,IFERROR(W698,MAX($D$16,POWER((ABS(K698)^2)/($I$5*MAX(F698,0.1)^2),1/3))))),IF(IFERROR(V698,0)=1,MAX($D$16,IFERROR(L698,MAX($D$16,POWER((ABS(K698)^2)/($I$5*MAX(F698,0.1)^2),1/3)))),IF(IFERROR(AG698,0)=1,MAX($D$16,IFERROR(W698,MAX($D$16,POWER((ABS(K698)^2)/($I$5*MAX(F698,0.1)^2),1/3)))),MAX($D$16,POWER((ABS(K698)^2)/($I$5*MAX(F698,0.1)^2),1/3))))))),MAX($D$16,POWER((ABS(K698)^2)/($I$5*MAX(F698,0.1)^2),1/3)))</f>
        <v>2.1389677043987478</v>
      </c>
      <c r="AI698">
        <f t="shared" ca="1" si="331"/>
        <v>634.38346770439875</v>
      </c>
      <c r="AJ698">
        <f t="shared" ca="1" si="332"/>
        <v>635.45295155659812</v>
      </c>
      <c r="AM698">
        <v>0</v>
      </c>
      <c r="AN698">
        <v>0</v>
      </c>
      <c r="AO698">
        <f t="shared" si="333"/>
        <v>0</v>
      </c>
      <c r="AP698">
        <f t="shared" si="342"/>
        <v>0</v>
      </c>
      <c r="AQ698">
        <f t="shared" ca="1" si="334"/>
        <v>1.0000000000000004</v>
      </c>
      <c r="AR698" t="str">
        <f t="shared" ca="1" si="335"/>
        <v>Supercritical</v>
      </c>
      <c r="AS698">
        <f t="shared" ca="1" si="336"/>
        <v>3.8141460404132466E-3</v>
      </c>
    </row>
    <row r="699" spans="1:45" x14ac:dyDescent="0.35">
      <c r="A699">
        <v>638</v>
      </c>
      <c r="B699">
        <v>636.99599999999998</v>
      </c>
      <c r="C699">
        <v>616140.64599999995</v>
      </c>
      <c r="D699">
        <v>3097358.4309999999</v>
      </c>
      <c r="E699">
        <v>632.24400000000003</v>
      </c>
      <c r="F699">
        <v>5.2</v>
      </c>
      <c r="G699">
        <v>0</v>
      </c>
      <c r="H699" t="s">
        <v>154</v>
      </c>
      <c r="I699">
        <v>7.8E-2</v>
      </c>
      <c r="J699">
        <f t="shared" si="337"/>
        <v>1</v>
      </c>
      <c r="K699">
        <f t="shared" ca="1" si="338"/>
        <v>50.95</v>
      </c>
      <c r="L699">
        <f t="shared" ca="1" si="339"/>
        <v>2.1389677043987478</v>
      </c>
      <c r="M699">
        <f t="shared" ca="1" si="312"/>
        <v>11.122632062873489</v>
      </c>
      <c r="N699">
        <f t="shared" ca="1" si="313"/>
        <v>1.1735290000551568</v>
      </c>
      <c r="O699">
        <f t="shared" ca="1" si="314"/>
        <v>4.5807502857230418</v>
      </c>
      <c r="P699">
        <f t="shared" ca="1" si="315"/>
        <v>634.38296770439877</v>
      </c>
      <c r="Q699">
        <f t="shared" ca="1" si="316"/>
        <v>635.45245155659813</v>
      </c>
      <c r="R699">
        <f t="shared" ca="1" si="317"/>
        <v>3.8141460404132466E-3</v>
      </c>
      <c r="S699">
        <f t="shared" ca="1" si="318"/>
        <v>1.0000000000000004</v>
      </c>
      <c r="T699">
        <f t="shared" ca="1" si="319"/>
        <v>35.686426155594638</v>
      </c>
      <c r="U699">
        <f t="shared" ca="1" si="340"/>
        <v>-3.4531789411857972E-3</v>
      </c>
      <c r="V699">
        <f t="shared" ca="1" si="341"/>
        <v>1</v>
      </c>
      <c r="W699">
        <f t="shared" ca="1" si="320"/>
        <v>1.7069123399433459</v>
      </c>
      <c r="X699">
        <f t="shared" ca="1" si="321"/>
        <v>8.8759441677053985</v>
      </c>
      <c r="Y699">
        <f t="shared" ca="1" si="322"/>
        <v>1.0304300932001502</v>
      </c>
      <c r="Z699">
        <f t="shared" ca="1" si="323"/>
        <v>5.7402343950493275</v>
      </c>
      <c r="AA699">
        <f t="shared" ca="1" si="324"/>
        <v>633.95091233994333</v>
      </c>
      <c r="AB699">
        <f t="shared" ca="1" si="325"/>
        <v>635.63033593373063</v>
      </c>
      <c r="AC699">
        <f t="shared" ca="1" si="326"/>
        <v>7.1233408644007616E-3</v>
      </c>
      <c r="AD699">
        <f t="shared" ca="1" si="327"/>
        <v>1.4027798337658028</v>
      </c>
      <c r="AE699">
        <f t="shared" ca="1" si="328"/>
        <v>37.38816941901915</v>
      </c>
      <c r="AF699">
        <f t="shared" ca="1" si="329"/>
        <v>6.6989149261189596E-3</v>
      </c>
      <c r="AG699">
        <f t="shared" ca="1" si="330"/>
        <v>0</v>
      </c>
      <c r="AH699">
        <f ca="1">IFERROR(IF(V32="Supercritical",MAX($D$16,IFERROR(L699,MAX($D$16,POWER((ABS(K699)^2)/($I$5*MAX(F699,0.1)^2),1/3)))),IF(V32="Subcritical",MAX($D$16,IFERROR(W699,MAX($D$16,POWER((ABS(K699)^2)/($I$5*MAX(F699,0.1)^2),1/3)))),IF(AND(IFERROR(V699,0)=1,IFERROR(AG699,0)=1),IF(IFERROR(T699,-1E+99)&gt;=IFERROR(AE699,-1E+99),MAX($D$16,IFERROR(L699,MAX($D$16,POWER((ABS(K699)^2)/($I$5*MAX(F699,0.1)^2),1/3)))),MAX($D$16,IFERROR(W699,MAX($D$16,POWER((ABS(K699)^2)/($I$5*MAX(F699,0.1)^2),1/3))))),IF(IFERROR(V699,0)=1,MAX($D$16,IFERROR(L699,MAX($D$16,POWER((ABS(K699)^2)/($I$5*MAX(F699,0.1)^2),1/3)))),IF(IFERROR(AG699,0)=1,MAX($D$16,IFERROR(W699,MAX($D$16,POWER((ABS(K699)^2)/($I$5*MAX(F699,0.1)^2),1/3)))),MAX($D$16,POWER((ABS(K699)^2)/($I$5*MAX(F699,0.1)^2),1/3))))))),MAX($D$16,POWER((ABS(K699)^2)/($I$5*MAX(F699,0.1)^2),1/3)))</f>
        <v>2.1389677043987478</v>
      </c>
      <c r="AI699">
        <f t="shared" ca="1" si="331"/>
        <v>634.38296770439877</v>
      </c>
      <c r="AJ699">
        <f t="shared" ca="1" si="332"/>
        <v>635.45245155659813</v>
      </c>
      <c r="AM699">
        <v>0</v>
      </c>
      <c r="AN699">
        <v>0</v>
      </c>
      <c r="AO699">
        <f t="shared" si="333"/>
        <v>0</v>
      </c>
      <c r="AP699">
        <f t="shared" si="342"/>
        <v>0</v>
      </c>
      <c r="AQ699">
        <f t="shared" ca="1" si="334"/>
        <v>1.0000000000000004</v>
      </c>
      <c r="AR699" t="str">
        <f t="shared" ca="1" si="335"/>
        <v>Supercritical</v>
      </c>
      <c r="AS699">
        <f t="shared" ca="1" si="336"/>
        <v>3.8141460404132466E-3</v>
      </c>
    </row>
    <row r="700" spans="1:45" x14ac:dyDescent="0.35">
      <c r="A700">
        <v>639</v>
      </c>
      <c r="B700">
        <v>637.99599999999998</v>
      </c>
      <c r="C700">
        <v>616140.17200000002</v>
      </c>
      <c r="D700">
        <v>3097357.55</v>
      </c>
      <c r="E700">
        <v>632.24350000000004</v>
      </c>
      <c r="F700">
        <v>5.2</v>
      </c>
      <c r="G700">
        <v>0</v>
      </c>
      <c r="H700" t="s">
        <v>154</v>
      </c>
      <c r="I700">
        <v>2.7E-2</v>
      </c>
      <c r="J700">
        <f t="shared" si="337"/>
        <v>1</v>
      </c>
      <c r="K700">
        <f t="shared" ca="1" si="338"/>
        <v>50.95</v>
      </c>
      <c r="L700">
        <f t="shared" ca="1" si="339"/>
        <v>2.1389677043987478</v>
      </c>
      <c r="M700">
        <f t="shared" ca="1" si="312"/>
        <v>11.122632062873489</v>
      </c>
      <c r="N700">
        <f t="shared" ca="1" si="313"/>
        <v>1.1735290000551568</v>
      </c>
      <c r="O700">
        <f t="shared" ca="1" si="314"/>
        <v>4.5807502857230418</v>
      </c>
      <c r="P700">
        <f t="shared" ca="1" si="315"/>
        <v>634.38246770439878</v>
      </c>
      <c r="Q700">
        <f t="shared" ca="1" si="316"/>
        <v>635.45195155659815</v>
      </c>
      <c r="R700">
        <f t="shared" ca="1" si="317"/>
        <v>3.8141460404132466E-3</v>
      </c>
      <c r="S700">
        <f t="shared" ca="1" si="318"/>
        <v>1.0000000000000004</v>
      </c>
      <c r="T700">
        <f t="shared" ca="1" si="319"/>
        <v>35.686426155594638</v>
      </c>
      <c r="U700">
        <f t="shared" ca="1" si="340"/>
        <v>-3.3622728137743252E-3</v>
      </c>
      <c r="V700">
        <f t="shared" ca="1" si="341"/>
        <v>1</v>
      </c>
      <c r="W700">
        <f t="shared" ca="1" si="320"/>
        <v>1.7069123399138784</v>
      </c>
      <c r="X700">
        <f t="shared" ca="1" si="321"/>
        <v>8.8759441675521682</v>
      </c>
      <c r="Y700">
        <f t="shared" ca="1" si="322"/>
        <v>1.0304300931894115</v>
      </c>
      <c r="Z700">
        <f t="shared" ca="1" si="323"/>
        <v>5.7402343951484243</v>
      </c>
      <c r="AA700">
        <f t="shared" ca="1" si="324"/>
        <v>633.9504123399139</v>
      </c>
      <c r="AB700">
        <f t="shared" ca="1" si="325"/>
        <v>635.62983593375918</v>
      </c>
      <c r="AC700">
        <f t="shared" ca="1" si="326"/>
        <v>7.1233408647456932E-3</v>
      </c>
      <c r="AD700">
        <f t="shared" ca="1" si="327"/>
        <v>1.402779833802128</v>
      </c>
      <c r="AE700">
        <f t="shared" ca="1" si="328"/>
        <v>37.388169419272273</v>
      </c>
      <c r="AF700">
        <f t="shared" ca="1" si="329"/>
        <v>6.6989149264600201E-3</v>
      </c>
      <c r="AG700">
        <f t="shared" ca="1" si="330"/>
        <v>0</v>
      </c>
      <c r="AH700">
        <f ca="1">IFERROR(IF(V32="Supercritical",MAX($D$16,IFERROR(L700,MAX($D$16,POWER((ABS(K700)^2)/($I$5*MAX(F700,0.1)^2),1/3)))),IF(V32="Subcritical",MAX($D$16,IFERROR(W700,MAX($D$16,POWER((ABS(K700)^2)/($I$5*MAX(F700,0.1)^2),1/3)))),IF(AND(IFERROR(V700,0)=1,IFERROR(AG700,0)=1),IF(IFERROR(T700,-1E+99)&gt;=IFERROR(AE700,-1E+99),MAX($D$16,IFERROR(L700,MAX($D$16,POWER((ABS(K700)^2)/($I$5*MAX(F700,0.1)^2),1/3)))),MAX($D$16,IFERROR(W700,MAX($D$16,POWER((ABS(K700)^2)/($I$5*MAX(F700,0.1)^2),1/3))))),IF(IFERROR(V700,0)=1,MAX($D$16,IFERROR(L700,MAX($D$16,POWER((ABS(K700)^2)/($I$5*MAX(F700,0.1)^2),1/3)))),IF(IFERROR(AG700,0)=1,MAX($D$16,IFERROR(W700,MAX($D$16,POWER((ABS(K700)^2)/($I$5*MAX(F700,0.1)^2),1/3)))),MAX($D$16,POWER((ABS(K700)^2)/($I$5*MAX(F700,0.1)^2),1/3))))))),MAX($D$16,POWER((ABS(K700)^2)/($I$5*MAX(F700,0.1)^2),1/3)))</f>
        <v>2.1389677043987478</v>
      </c>
      <c r="AI700">
        <f t="shared" ca="1" si="331"/>
        <v>634.38246770439878</v>
      </c>
      <c r="AJ700">
        <f t="shared" ca="1" si="332"/>
        <v>635.45195155659815</v>
      </c>
      <c r="AM700">
        <v>0</v>
      </c>
      <c r="AN700">
        <v>0</v>
      </c>
      <c r="AO700">
        <f t="shared" si="333"/>
        <v>0</v>
      </c>
      <c r="AP700">
        <f t="shared" si="342"/>
        <v>0</v>
      </c>
      <c r="AQ700">
        <f t="shared" ca="1" si="334"/>
        <v>1.0000000000000004</v>
      </c>
      <c r="AR700" t="str">
        <f t="shared" ca="1" si="335"/>
        <v>Supercritical</v>
      </c>
      <c r="AS700">
        <f t="shared" ca="1" si="336"/>
        <v>3.8141460404132466E-3</v>
      </c>
    </row>
    <row r="701" spans="1:45" x14ac:dyDescent="0.35">
      <c r="A701">
        <v>640</v>
      </c>
      <c r="B701">
        <v>638.99599999999998</v>
      </c>
      <c r="C701">
        <v>616139.69799999997</v>
      </c>
      <c r="D701">
        <v>3097356.67</v>
      </c>
      <c r="E701">
        <v>632.24300000000005</v>
      </c>
      <c r="F701">
        <v>5.2</v>
      </c>
      <c r="G701">
        <v>0</v>
      </c>
      <c r="H701" t="s">
        <v>154</v>
      </c>
      <c r="I701">
        <v>2.7E-2</v>
      </c>
      <c r="J701">
        <f t="shared" si="337"/>
        <v>1</v>
      </c>
      <c r="K701">
        <f t="shared" ca="1" si="338"/>
        <v>50.95</v>
      </c>
      <c r="L701">
        <f t="shared" ca="1" si="339"/>
        <v>2.1389677043987478</v>
      </c>
      <c r="M701">
        <f t="shared" ca="1" si="312"/>
        <v>11.122632062873489</v>
      </c>
      <c r="N701">
        <f t="shared" ca="1" si="313"/>
        <v>1.1735290000551568</v>
      </c>
      <c r="O701">
        <f t="shared" ca="1" si="314"/>
        <v>4.5807502857230418</v>
      </c>
      <c r="P701">
        <f t="shared" ca="1" si="315"/>
        <v>634.38196770439879</v>
      </c>
      <c r="Q701">
        <f t="shared" ca="1" si="316"/>
        <v>635.45145155659816</v>
      </c>
      <c r="R701">
        <f t="shared" ca="1" si="317"/>
        <v>3.8141460404132466E-3</v>
      </c>
      <c r="S701">
        <f t="shared" ca="1" si="318"/>
        <v>1.0000000000000004</v>
      </c>
      <c r="T701">
        <f t="shared" ca="1" si="319"/>
        <v>35.686426155594638</v>
      </c>
      <c r="U701">
        <f t="shared" ca="1" si="340"/>
        <v>-3.3622728137743252E-3</v>
      </c>
      <c r="V701">
        <f t="shared" ca="1" si="341"/>
        <v>1</v>
      </c>
      <c r="W701">
        <f t="shared" ca="1" si="320"/>
        <v>1.7069123398863548</v>
      </c>
      <c r="X701">
        <f t="shared" ca="1" si="321"/>
        <v>8.8759441674090453</v>
      </c>
      <c r="Y701">
        <f t="shared" ca="1" si="322"/>
        <v>1.0304300931793811</v>
      </c>
      <c r="Z701">
        <f t="shared" ca="1" si="323"/>
        <v>5.740234395240984</v>
      </c>
      <c r="AA701">
        <f t="shared" ca="1" si="324"/>
        <v>633.9499123398864</v>
      </c>
      <c r="AB701">
        <f t="shared" ca="1" si="325"/>
        <v>635.62933593378591</v>
      </c>
      <c r="AC701">
        <f t="shared" ca="1" si="326"/>
        <v>7.1233408650678703E-3</v>
      </c>
      <c r="AD701">
        <f t="shared" ca="1" si="327"/>
        <v>1.4027798338360571</v>
      </c>
      <c r="AE701">
        <f t="shared" ca="1" si="328"/>
        <v>37.388169419508706</v>
      </c>
      <c r="AF701">
        <f t="shared" ca="1" si="329"/>
        <v>6.6989149266873937E-3</v>
      </c>
      <c r="AG701">
        <f t="shared" ca="1" si="330"/>
        <v>0</v>
      </c>
      <c r="AH701">
        <f ca="1">IFERROR(IF(V32="Supercritical",MAX($D$16,IFERROR(L701,MAX($D$16,POWER((ABS(K701)^2)/($I$5*MAX(F701,0.1)^2),1/3)))),IF(V32="Subcritical",MAX($D$16,IFERROR(W701,MAX($D$16,POWER((ABS(K701)^2)/($I$5*MAX(F701,0.1)^2),1/3)))),IF(AND(IFERROR(V701,0)=1,IFERROR(AG701,0)=1),IF(IFERROR(T701,-1E+99)&gt;=IFERROR(AE701,-1E+99),MAX($D$16,IFERROR(L701,MAX($D$16,POWER((ABS(K701)^2)/($I$5*MAX(F701,0.1)^2),1/3)))),MAX($D$16,IFERROR(W701,MAX($D$16,POWER((ABS(K701)^2)/($I$5*MAX(F701,0.1)^2),1/3))))),IF(IFERROR(V701,0)=1,MAX($D$16,IFERROR(L701,MAX($D$16,POWER((ABS(K701)^2)/($I$5*MAX(F701,0.1)^2),1/3)))),IF(IFERROR(AG701,0)=1,MAX($D$16,IFERROR(W701,MAX($D$16,POWER((ABS(K701)^2)/($I$5*MAX(F701,0.1)^2),1/3)))),MAX($D$16,POWER((ABS(K701)^2)/($I$5*MAX(F701,0.1)^2),1/3))))))),MAX($D$16,POWER((ABS(K701)^2)/($I$5*MAX(F701,0.1)^2),1/3)))</f>
        <v>2.1389677043987478</v>
      </c>
      <c r="AI701">
        <f t="shared" ca="1" si="331"/>
        <v>634.38196770439879</v>
      </c>
      <c r="AJ701">
        <f t="shared" ca="1" si="332"/>
        <v>635.45145155659816</v>
      </c>
      <c r="AM701">
        <v>0</v>
      </c>
      <c r="AN701">
        <v>0</v>
      </c>
      <c r="AO701">
        <f t="shared" si="333"/>
        <v>0</v>
      </c>
      <c r="AP701">
        <f t="shared" si="342"/>
        <v>0</v>
      </c>
      <c r="AQ701">
        <f t="shared" ca="1" si="334"/>
        <v>1.0000000000000004</v>
      </c>
      <c r="AR701" t="str">
        <f t="shared" ca="1" si="335"/>
        <v>Supercritical</v>
      </c>
      <c r="AS701">
        <f t="shared" ca="1" si="336"/>
        <v>3.8141460404132466E-3</v>
      </c>
    </row>
    <row r="702" spans="1:45" x14ac:dyDescent="0.35">
      <c r="A702">
        <v>641</v>
      </c>
      <c r="B702">
        <v>639.99599999999998</v>
      </c>
      <c r="C702">
        <v>616139.22400000005</v>
      </c>
      <c r="D702">
        <v>3097355.7889999999</v>
      </c>
      <c r="E702">
        <v>632.24249999999995</v>
      </c>
      <c r="F702">
        <v>5.2</v>
      </c>
      <c r="G702">
        <v>0</v>
      </c>
      <c r="H702" t="s">
        <v>154</v>
      </c>
      <c r="I702">
        <v>2.7E-2</v>
      </c>
      <c r="J702">
        <f t="shared" si="337"/>
        <v>1</v>
      </c>
      <c r="K702">
        <f t="shared" ca="1" si="338"/>
        <v>50.95</v>
      </c>
      <c r="L702">
        <f t="shared" ca="1" si="339"/>
        <v>2.1389677043987478</v>
      </c>
      <c r="M702">
        <f t="shared" ref="M702:M765" ca="1" si="343">((F702)+(G702)*(L702))*(L702)</f>
        <v>11.122632062873489</v>
      </c>
      <c r="N702">
        <f t="shared" ref="N702:N765" ca="1" si="344">(((F702)+(G702)*(L702))*(L702))/MAX((F702)+2*(L702)*SQRT(1+(G702)^2),0.000001)</f>
        <v>1.1735290000551568</v>
      </c>
      <c r="O702">
        <f t="shared" ref="O702:O765" ca="1" si="345">ABS(K702)/MAX(((F702)+(G702)*(L702))*(L702),0.000001)</f>
        <v>4.5807502857230418</v>
      </c>
      <c r="P702">
        <f t="shared" ref="P702:P765" ca="1" si="346">E702+L702</f>
        <v>634.38146770439869</v>
      </c>
      <c r="Q702">
        <f t="shared" ref="Q702:Q765" ca="1" si="347">P702+((ABS(K702)/MAX(((F702)+(G702)*(L702))*(L702),0.000001))^2)/(2*$I$5)</f>
        <v>635.45095155659806</v>
      </c>
      <c r="R702">
        <f t="shared" ref="R702:R765" ca="1" si="348">((ABS(K702)*$D$6)/(MAX(((F702)+(G702)*(L702))*(L702),0.000001)*MAX(((((F702)+(G702)*(L702))*(L702))/MAX((F702)+2*(L702)*SQRT(1+(G702)^2),0.000001))^(2/3),0.000001)))^2</f>
        <v>3.8141460404132466E-3</v>
      </c>
      <c r="S702">
        <f t="shared" ref="S702:S765" ca="1" si="349">ABS(ABS(K702)/MAX(((F702)+(G702)*(L702))*(L702),0.000001))/SQRT($I$5*MAX((((F702)+(G702)*(L702))*(L702))/MAX((F702)+2*(G702)*(L702),0.000001),0.000001))</f>
        <v>1.0000000000000004</v>
      </c>
      <c r="T702">
        <f t="shared" ref="T702:T765" ca="1" si="350">((F702)*(L702)^2)/2+(G702)*(L702)^3/3+(ABS(K702)^2)/($I$5*MAX(((F702)+(G702)*(L702))*(L702),0.000001))</f>
        <v>35.686426155594638</v>
      </c>
      <c r="U702">
        <f t="shared" ca="1" si="340"/>
        <v>-3.3622728136606383E-3</v>
      </c>
      <c r="V702">
        <f t="shared" ca="1" si="341"/>
        <v>1</v>
      </c>
      <c r="W702">
        <f t="shared" ref="W702:W765" ca="1" si="351">IF($D$20=0,IFERROR(W703,MAX($D$16,POWER((ABS(K702)^2)/($I$5*MAX(F702,0.1)^2),1/3))),IF(IFERROR(AG703,0)=0,IFERROR(W703,MAX($D$16,POWER((ABS(K702)^2)/($I$5*MAX(F702,0.1)^2),1/3))),IF(OR(IFERROR(W702,0)=0,IFERROR(AD703,0)&gt;1),MAX($D$16,POWER((ABS(K702)^2)/($I$5*MAX(F702,0.1)^2),1/3)),IF(IFERROR(AF702,0)&gt;0,MAX($D$16,IFERROR(W702,0)+((IFERROR(AF702,0))*$D$18*IF((IFERROR(AD702,0))&lt;1,1,-1))),IF(IFERROR(AF702,0)&lt;0,IF(ABS((MAX($D$16,POWER((ABS(K702)^2)/($I$5*MAX(F702,0.1)^2),1/3)))-IFERROR(W702,0))&gt;$D$19,MAX($D$16,IF((MAX($D$16,POWER((ABS(K702)^2)/($I$5*MAX(F702,0.1)^2),1/3)))&gt;IFERROR(W702,0),MIN((MAX($D$16,POWER((ABS(K702)^2)/($I$5*MAX(F702,0.1)^2),1/3))),IFERROR(W702,0)+(MIN(ABS(IFERROR(AF702,0))*$D$18,ABS((MAX($D$16,POWER((ABS(K702)^2)/($I$5*MAX(F702,0.1)^2),1/3)))-IFERROR(W702,0))))),MAX((MAX($D$16,POWER((ABS(K702)^2)/($I$5*MAX(F702,0.1)^2),1/3))),IFERROR(W702,0)-(MIN(ABS(IFERROR(AF702,0))*$D$18,ABS((MAX($D$16,POWER((ABS(K702)^2)/($I$5*MAX(F702,0.1)^2),1/3)))-IFERROR(W702,0))))))),MAX($D$16,POWER((ABS(K702)^2)/($I$5*MAX(F702,0.1)^2),1/3))),MAX($D$16,IFERROR(W702,0)))))))</f>
        <v>1.7069123398606729</v>
      </c>
      <c r="X702">
        <f t="shared" ref="X702:X765" ca="1" si="352">((F702)+(G702)*(W702))*(W702)</f>
        <v>8.8759441672754988</v>
      </c>
      <c r="Y702">
        <f t="shared" ref="Y702:Y765" ca="1" si="353">(((F702)+(G702)*(W702))*(W702))/MAX((F702)+2*(W702)*SQRT(1+(G702)^2),0.000001)</f>
        <v>1.0304300931700217</v>
      </c>
      <c r="Z702">
        <f t="shared" ref="Z702:Z765" ca="1" si="354">ABS(K702)/MAX(((F702)+(G702)*(W702))*(W702),0.000001)</f>
        <v>5.7402343953273514</v>
      </c>
      <c r="AA702">
        <f t="shared" ref="AA702:AA765" ca="1" si="355">E702+W702</f>
        <v>633.9494123398606</v>
      </c>
      <c r="AB702">
        <f t="shared" ref="AB702:AB765" ca="1" si="356">AA702+((ABS(K702)/MAX(((F702)+(G702)*(W702))*(W702),0.000001))^2)/(2*$I$5)</f>
        <v>635.62883593381059</v>
      </c>
      <c r="AC702">
        <f t="shared" ref="AC702:AC765" ca="1" si="357">((ABS(K702)*$D$6)/(MAX(((F702)+(G702)*(W702))*(W702),0.000001)*MAX(((((F702)+(G702)*(W702))*(W702))/MAX((F702)+2*(W702)*SQRT(1+(G702)^2),0.000001))^(2/3),0.000001)))^2</f>
        <v>7.1233408653684945E-3</v>
      </c>
      <c r="AD702">
        <f t="shared" ref="AD702:AD765" ca="1" si="358">ABS(ABS(K702)/MAX(((F702)+(G702)*(W702))*(W702),0.000001))/SQRT($I$5*MAX((((F702)+(G702)*(W702))*(W702))/MAX((F702)+2*(G702)*(W702),0.000001),0.000001))</f>
        <v>1.4027798338677167</v>
      </c>
      <c r="AE702">
        <f t="shared" ref="AE702:AE765" ca="1" si="359">((F702)*(W702)^2)/2+(G702)*(W702)^3/3+(ABS(K702)^2)/($I$5*MAX(((F702)+(G702)*(W702))*(W702),0.000001))</f>
        <v>37.388169419729316</v>
      </c>
      <c r="AF702">
        <f t="shared" ref="AF702:AF765" ca="1" si="360">IF($D$20=0,0,IFERROR(AB703+(((AC702+AC703)/2)*J703)+(IF(Z702&gt;Z703,$D$8*((Z702^2-Z703^2)/(2*$I$5)),$D$9*((Z703^2-Z702^2)/(2*$I$5)))+($D$10*(ABS(I703)/90)*(MAX(Z702^2,Z703^2)/(2*$I$5))))-AB702,0))</f>
        <v>6.7632928315788376E-3</v>
      </c>
      <c r="AG702">
        <f t="shared" ref="AG702:AG765" ca="1" si="361">IF($D$20=0,1,IFERROR(IF(ROUND(AD702,3)=1,1,IF(AND(ABS(AF702)&lt;$D$19,AD702&lt;1),1,0)),0))</f>
        <v>0</v>
      </c>
      <c r="AH702">
        <f ca="1">IFERROR(IF(V32="Supercritical",MAX($D$16,IFERROR(L702,MAX($D$16,POWER((ABS(K702)^2)/($I$5*MAX(F702,0.1)^2),1/3)))),IF(V32="Subcritical",MAX($D$16,IFERROR(W702,MAX($D$16,POWER((ABS(K702)^2)/($I$5*MAX(F702,0.1)^2),1/3)))),IF(AND(IFERROR(V702,0)=1,IFERROR(AG702,0)=1),IF(IFERROR(T702,-1E+99)&gt;=IFERROR(AE702,-1E+99),MAX($D$16,IFERROR(L702,MAX($D$16,POWER((ABS(K702)^2)/($I$5*MAX(F702,0.1)^2),1/3)))),MAX($D$16,IFERROR(W702,MAX($D$16,POWER((ABS(K702)^2)/($I$5*MAX(F702,0.1)^2),1/3))))),IF(IFERROR(V702,0)=1,MAX($D$16,IFERROR(L702,MAX($D$16,POWER((ABS(K702)^2)/($I$5*MAX(F702,0.1)^2),1/3)))),IF(IFERROR(AG702,0)=1,MAX($D$16,IFERROR(W702,MAX($D$16,POWER((ABS(K702)^2)/($I$5*MAX(F702,0.1)^2),1/3)))),MAX($D$16,POWER((ABS(K702)^2)/($I$5*MAX(F702,0.1)^2),1/3))))))),MAX($D$16,POWER((ABS(K702)^2)/($I$5*MAX(F702,0.1)^2),1/3)))</f>
        <v>2.1389677043987478</v>
      </c>
      <c r="AI702">
        <f t="shared" ref="AI702:AI765" ca="1" si="362">E702+AH702</f>
        <v>634.38146770439869</v>
      </c>
      <c r="AJ702">
        <f t="shared" ref="AJ702:AJ765" ca="1" si="363">AI702+((ABS(K702)/MAX(((F702)+(G702)*(AH702))*(AH702),0.000001))^2)/(2*$I$5)</f>
        <v>635.45095155659806</v>
      </c>
      <c r="AM702">
        <v>0</v>
      </c>
      <c r="AN702">
        <v>0</v>
      </c>
      <c r="AO702">
        <f t="shared" ref="AO702:AO765" si="364">AM702+AN702</f>
        <v>0</v>
      </c>
      <c r="AP702">
        <f t="shared" si="342"/>
        <v>0</v>
      </c>
      <c r="AQ702">
        <f t="shared" ref="AQ702:AQ765" ca="1" si="365">ABS(ABS(K702)/MAX(((F702)+(G702)*(AH702))*(AH702),0.000001))/SQRT($I$5*MAX((((F702)+(G702)*(AH702))*(AH702))/MAX((F702)+2*(G702)*(AH702),0.000001),0.000001))</f>
        <v>1.0000000000000004</v>
      </c>
      <c r="AR702" t="str">
        <f t="shared" ref="AR702:AR765" ca="1" si="366">IF(AQ702&lt;1,"Subcritical","Supercritical")</f>
        <v>Supercritical</v>
      </c>
      <c r="AS702">
        <f t="shared" ref="AS702:AS765" ca="1" si="367">((ABS(K702)*$D$6)/(MAX(((F702)+(G702)*(AH702))*(AH702),0.000001)*MAX(((((F702)+(G702)*(AH702))*(AH702))/MAX((F702)+2*(AH702)*SQRT(1+(G702)^2),0.000001))^(2/3),0.000001)))^2</f>
        <v>3.8141460404132466E-3</v>
      </c>
    </row>
    <row r="703" spans="1:45" x14ac:dyDescent="0.35">
      <c r="A703">
        <v>642</v>
      </c>
      <c r="B703">
        <v>640.99599999999998</v>
      </c>
      <c r="C703">
        <v>616138.75</v>
      </c>
      <c r="D703">
        <v>3097354.909</v>
      </c>
      <c r="E703">
        <v>632.24199999999996</v>
      </c>
      <c r="F703">
        <v>5.2</v>
      </c>
      <c r="G703">
        <v>0</v>
      </c>
      <c r="H703" t="s">
        <v>154</v>
      </c>
      <c r="I703">
        <v>0.05</v>
      </c>
      <c r="J703">
        <f t="shared" ref="J703:J766" si="368">B703-B702</f>
        <v>1</v>
      </c>
      <c r="K703">
        <f t="shared" ref="K703:K766" ca="1" si="369">MAX(0,K702-AO702)</f>
        <v>50.95</v>
      </c>
      <c r="L703">
        <f t="shared" ref="L703:L766" ca="1" si="370">IF($D$20=0,IFERROR(L702,MAX($D$16,POWER((ABS(K703)^2)/($I$5*MAX(F703,0.1)^2),1/3))),IF(IFERROR(V702,0)=0,IFERROR(L702,MAX($D$16,POWER((ABS(K703)^2)/($I$5*MAX(F703,0.1)^2),1/3))),IF(OR(IFERROR(L703,0)=0,IFERROR(S702,0)&lt;1,IFERROR(S703,0)&lt;1),MAX($D$16,POWER((ABS(K703)^2)/($I$5*MAX(F703,0.1)^2),1/3)),IF(IFERROR(U703,0)&gt;0,MAX($D$16,IFERROR(L703,0)+((IFERROR(U703,0))*$D$18*IF((IFERROR(S703,0))&lt;1,1,-1))),IF(IFERROR(U703,0)&lt;0,IF(ABS((MAX($D$16,POWER((ABS(K703)^2)/($I$5*MAX(F703,0.1)^2),1/3)))-IFERROR(L703,0))&gt;$D$19,MAX($D$16,IF((MAX($D$16,POWER((ABS(K703)^2)/($I$5*MAX(F703,0.1)^2),1/3)))&gt;IFERROR(L703,0),MIN((MAX($D$16,POWER((ABS(K703)^2)/($I$5*MAX(F703,0.1)^2),1/3))),IFERROR(L703,0)+(MIN(ABS(IFERROR(U703,0))*$D$18,ABS((MAX($D$16,POWER((ABS(K703)^2)/($I$5*MAX(F703,0.1)^2),1/3)))-IFERROR(L703,0))))),MAX((MAX($D$16,POWER((ABS(K703)^2)/($I$5*MAX(F703,0.1)^2),1/3))),IFERROR(L703,0)-(MIN(ABS(IFERROR(U703,0))*$D$18,ABS((MAX($D$16,POWER((ABS(K703)^2)/($I$5*MAX(F703,0.1)^2),1/3)))-IFERROR(L703,0))))))),MAX($D$16,POWER((ABS(K703)^2)/($I$5*MAX(F703,0.1)^2),1/3))),MAX($D$16,IFERROR(L703,0)))))))</f>
        <v>2.1389677043987478</v>
      </c>
      <c r="M703">
        <f t="shared" ca="1" si="343"/>
        <v>11.122632062873489</v>
      </c>
      <c r="N703">
        <f t="shared" ca="1" si="344"/>
        <v>1.1735290000551568</v>
      </c>
      <c r="O703">
        <f t="shared" ca="1" si="345"/>
        <v>4.5807502857230418</v>
      </c>
      <c r="P703">
        <f t="shared" ca="1" si="346"/>
        <v>634.3809677043987</v>
      </c>
      <c r="Q703">
        <f t="shared" ca="1" si="347"/>
        <v>635.45045155659807</v>
      </c>
      <c r="R703">
        <f t="shared" ca="1" si="348"/>
        <v>3.8141460404132466E-3</v>
      </c>
      <c r="S703">
        <f t="shared" ca="1" si="349"/>
        <v>1.0000000000000004</v>
      </c>
      <c r="T703">
        <f t="shared" ca="1" si="350"/>
        <v>35.686426155594638</v>
      </c>
      <c r="U703">
        <f t="shared" ref="U703:U766" ca="1" si="371">IF($D$20=0,0,IFERROR(Q702-(((R702+R703)/2)*J703)-(IF(O702&gt;O703,$D$8*((O702^2-O703^2)/(2*$I$5)),$D$9*((O703^2-O702^2)/(2*$I$5)))+($D$10*(ABS(I703)/90)*(MAX(O702^2,O703^2)/(2*$I$5))))-Q703,0))</f>
        <v>-3.4032696947861041E-3</v>
      </c>
      <c r="V703">
        <f t="shared" ref="V703:V766" ca="1" si="372">IF($D$20=0,1,IFERROR(IF(ROUND(S703,3)=1,1,IF(AND(ABS(U703)&lt;$D$19,S703&gt;1),1,0)),0))</f>
        <v>1</v>
      </c>
      <c r="W703">
        <f t="shared" ca="1" si="351"/>
        <v>1.7069123398366963</v>
      </c>
      <c r="X703">
        <f t="shared" ca="1" si="352"/>
        <v>8.8759441671508217</v>
      </c>
      <c r="Y703">
        <f t="shared" ca="1" si="353"/>
        <v>1.030430093161284</v>
      </c>
      <c r="Z703">
        <f t="shared" ca="1" si="354"/>
        <v>5.740234395407982</v>
      </c>
      <c r="AA703">
        <f t="shared" ca="1" si="355"/>
        <v>633.94891233983662</v>
      </c>
      <c r="AB703">
        <f t="shared" ca="1" si="356"/>
        <v>635.6283359338338</v>
      </c>
      <c r="AC703">
        <f t="shared" ca="1" si="357"/>
        <v>7.123340865649151E-3</v>
      </c>
      <c r="AD703">
        <f t="shared" ca="1" si="358"/>
        <v>1.402779833897273</v>
      </c>
      <c r="AE703">
        <f t="shared" ca="1" si="359"/>
        <v>37.388169419935274</v>
      </c>
      <c r="AF703">
        <f t="shared" ca="1" si="360"/>
        <v>6.8416659328249807E-3</v>
      </c>
      <c r="AG703">
        <f t="shared" ca="1" si="361"/>
        <v>0</v>
      </c>
      <c r="AH703">
        <f ca="1">IFERROR(IF(V32="Supercritical",MAX($D$16,IFERROR(L703,MAX($D$16,POWER((ABS(K703)^2)/($I$5*MAX(F703,0.1)^2),1/3)))),IF(V32="Subcritical",MAX($D$16,IFERROR(W703,MAX($D$16,POWER((ABS(K703)^2)/($I$5*MAX(F703,0.1)^2),1/3)))),IF(AND(IFERROR(V703,0)=1,IFERROR(AG703,0)=1),IF(IFERROR(T703,-1E+99)&gt;=IFERROR(AE703,-1E+99),MAX($D$16,IFERROR(L703,MAX($D$16,POWER((ABS(K703)^2)/($I$5*MAX(F703,0.1)^2),1/3)))),MAX($D$16,IFERROR(W703,MAX($D$16,POWER((ABS(K703)^2)/($I$5*MAX(F703,0.1)^2),1/3))))),IF(IFERROR(V703,0)=1,MAX($D$16,IFERROR(L703,MAX($D$16,POWER((ABS(K703)^2)/($I$5*MAX(F703,0.1)^2),1/3)))),IF(IFERROR(AG703,0)=1,MAX($D$16,IFERROR(W703,MAX($D$16,POWER((ABS(K703)^2)/($I$5*MAX(F703,0.1)^2),1/3)))),MAX($D$16,POWER((ABS(K703)^2)/($I$5*MAX(F703,0.1)^2),1/3))))))),MAX($D$16,POWER((ABS(K703)^2)/($I$5*MAX(F703,0.1)^2),1/3)))</f>
        <v>2.1389677043987478</v>
      </c>
      <c r="AI703">
        <f t="shared" ca="1" si="362"/>
        <v>634.3809677043987</v>
      </c>
      <c r="AJ703">
        <f t="shared" ca="1" si="363"/>
        <v>635.45045155659807</v>
      </c>
      <c r="AM703">
        <v>0</v>
      </c>
      <c r="AN703">
        <v>0</v>
      </c>
      <c r="AO703">
        <f t="shared" si="364"/>
        <v>0</v>
      </c>
      <c r="AP703">
        <f t="shared" ref="AP703:AP766" si="373">AP702+AO703</f>
        <v>0</v>
      </c>
      <c r="AQ703">
        <f t="shared" ca="1" si="365"/>
        <v>1.0000000000000004</v>
      </c>
      <c r="AR703" t="str">
        <f t="shared" ca="1" si="366"/>
        <v>Supercritical</v>
      </c>
      <c r="AS703">
        <f t="shared" ca="1" si="367"/>
        <v>3.8141460404132466E-3</v>
      </c>
    </row>
    <row r="704" spans="1:45" x14ac:dyDescent="0.35">
      <c r="A704">
        <v>643</v>
      </c>
      <c r="B704">
        <v>641.99599999999998</v>
      </c>
      <c r="C704">
        <v>616138.27500000002</v>
      </c>
      <c r="D704">
        <v>3097354.0290000001</v>
      </c>
      <c r="E704">
        <v>632.24149999999997</v>
      </c>
      <c r="F704">
        <v>5.2</v>
      </c>
      <c r="G704">
        <v>0</v>
      </c>
      <c r="H704" t="s">
        <v>154</v>
      </c>
      <c r="I704">
        <v>7.8E-2</v>
      </c>
      <c r="J704">
        <f t="shared" si="368"/>
        <v>1</v>
      </c>
      <c r="K704">
        <f t="shared" ca="1" si="369"/>
        <v>50.95</v>
      </c>
      <c r="L704">
        <f t="shared" ca="1" si="370"/>
        <v>2.1389677043987478</v>
      </c>
      <c r="M704">
        <f t="shared" ca="1" si="343"/>
        <v>11.122632062873489</v>
      </c>
      <c r="N704">
        <f t="shared" ca="1" si="344"/>
        <v>1.1735290000551568</v>
      </c>
      <c r="O704">
        <f t="shared" ca="1" si="345"/>
        <v>4.5807502857230418</v>
      </c>
      <c r="P704">
        <f t="shared" ca="1" si="346"/>
        <v>634.38046770439871</v>
      </c>
      <c r="Q704">
        <f t="shared" ca="1" si="347"/>
        <v>635.44995155659808</v>
      </c>
      <c r="R704">
        <f t="shared" ca="1" si="348"/>
        <v>3.8141460404132466E-3</v>
      </c>
      <c r="S704">
        <f t="shared" ca="1" si="349"/>
        <v>1.0000000000000004</v>
      </c>
      <c r="T704">
        <f t="shared" ca="1" si="350"/>
        <v>35.686426155594638</v>
      </c>
      <c r="U704">
        <f t="shared" ca="1" si="371"/>
        <v>-3.4531789411857972E-3</v>
      </c>
      <c r="V704">
        <f t="shared" ca="1" si="372"/>
        <v>1</v>
      </c>
      <c r="W704">
        <f t="shared" ca="1" si="351"/>
        <v>1.7069123398143058</v>
      </c>
      <c r="X704">
        <f t="shared" ca="1" si="352"/>
        <v>8.8759441670343904</v>
      </c>
      <c r="Y704">
        <f t="shared" ca="1" si="353"/>
        <v>1.0304300931531241</v>
      </c>
      <c r="Z704">
        <f t="shared" ca="1" si="354"/>
        <v>5.7402343954832808</v>
      </c>
      <c r="AA704">
        <f t="shared" ca="1" si="355"/>
        <v>633.94841233981424</v>
      </c>
      <c r="AB704">
        <f t="shared" ca="1" si="356"/>
        <v>635.62783593385552</v>
      </c>
      <c r="AC704">
        <f t="shared" ca="1" si="357"/>
        <v>7.1233408659112443E-3</v>
      </c>
      <c r="AD704">
        <f t="shared" ca="1" si="358"/>
        <v>1.4027798339248749</v>
      </c>
      <c r="AE704">
        <f t="shared" ca="1" si="359"/>
        <v>37.38816942012761</v>
      </c>
      <c r="AF704">
        <f t="shared" ca="1" si="360"/>
        <v>6.6989149275968884E-3</v>
      </c>
      <c r="AG704">
        <f t="shared" ca="1" si="361"/>
        <v>0</v>
      </c>
      <c r="AH704">
        <f ca="1">IFERROR(IF(V32="Supercritical",MAX($D$16,IFERROR(L704,MAX($D$16,POWER((ABS(K704)^2)/($I$5*MAX(F704,0.1)^2),1/3)))),IF(V32="Subcritical",MAX($D$16,IFERROR(W704,MAX($D$16,POWER((ABS(K704)^2)/($I$5*MAX(F704,0.1)^2),1/3)))),IF(AND(IFERROR(V704,0)=1,IFERROR(AG704,0)=1),IF(IFERROR(T704,-1E+99)&gt;=IFERROR(AE704,-1E+99),MAX($D$16,IFERROR(L704,MAX($D$16,POWER((ABS(K704)^2)/($I$5*MAX(F704,0.1)^2),1/3)))),MAX($D$16,IFERROR(W704,MAX($D$16,POWER((ABS(K704)^2)/($I$5*MAX(F704,0.1)^2),1/3))))),IF(IFERROR(V704,0)=1,MAX($D$16,IFERROR(L704,MAX($D$16,POWER((ABS(K704)^2)/($I$5*MAX(F704,0.1)^2),1/3)))),IF(IFERROR(AG704,0)=1,MAX($D$16,IFERROR(W704,MAX($D$16,POWER((ABS(K704)^2)/($I$5*MAX(F704,0.1)^2),1/3)))),MAX($D$16,POWER((ABS(K704)^2)/($I$5*MAX(F704,0.1)^2),1/3))))))),MAX($D$16,POWER((ABS(K704)^2)/($I$5*MAX(F704,0.1)^2),1/3)))</f>
        <v>2.1389677043987478</v>
      </c>
      <c r="AI704">
        <f t="shared" ca="1" si="362"/>
        <v>634.38046770439871</v>
      </c>
      <c r="AJ704">
        <f t="shared" ca="1" si="363"/>
        <v>635.44995155659808</v>
      </c>
      <c r="AM704">
        <v>0</v>
      </c>
      <c r="AN704">
        <v>0</v>
      </c>
      <c r="AO704">
        <f t="shared" si="364"/>
        <v>0</v>
      </c>
      <c r="AP704">
        <f t="shared" si="373"/>
        <v>0</v>
      </c>
      <c r="AQ704">
        <f t="shared" ca="1" si="365"/>
        <v>1.0000000000000004</v>
      </c>
      <c r="AR704" t="str">
        <f t="shared" ca="1" si="366"/>
        <v>Supercritical</v>
      </c>
      <c r="AS704">
        <f t="shared" ca="1" si="367"/>
        <v>3.8141460404132466E-3</v>
      </c>
    </row>
    <row r="705" spans="1:45" x14ac:dyDescent="0.35">
      <c r="A705">
        <v>644</v>
      </c>
      <c r="B705">
        <v>642.99599999999998</v>
      </c>
      <c r="C705">
        <v>616137.80099999998</v>
      </c>
      <c r="D705">
        <v>3097353.148</v>
      </c>
      <c r="E705">
        <v>632.24099999999999</v>
      </c>
      <c r="F705">
        <v>5.2</v>
      </c>
      <c r="G705">
        <v>0</v>
      </c>
      <c r="H705" t="s">
        <v>154</v>
      </c>
      <c r="I705">
        <v>2.7E-2</v>
      </c>
      <c r="J705">
        <f t="shared" si="368"/>
        <v>1</v>
      </c>
      <c r="K705">
        <f t="shared" ca="1" si="369"/>
        <v>50.95</v>
      </c>
      <c r="L705">
        <f t="shared" ca="1" si="370"/>
        <v>2.1389677043987478</v>
      </c>
      <c r="M705">
        <f t="shared" ca="1" si="343"/>
        <v>11.122632062873489</v>
      </c>
      <c r="N705">
        <f t="shared" ca="1" si="344"/>
        <v>1.1735290000551568</v>
      </c>
      <c r="O705">
        <f t="shared" ca="1" si="345"/>
        <v>4.5807502857230418</v>
      </c>
      <c r="P705">
        <f t="shared" ca="1" si="346"/>
        <v>634.37996770439872</v>
      </c>
      <c r="Q705">
        <f t="shared" ca="1" si="347"/>
        <v>635.44945155659809</v>
      </c>
      <c r="R705">
        <f t="shared" ca="1" si="348"/>
        <v>3.8141460404132466E-3</v>
      </c>
      <c r="S705">
        <f t="shared" ca="1" si="349"/>
        <v>1.0000000000000004</v>
      </c>
      <c r="T705">
        <f t="shared" ca="1" si="350"/>
        <v>35.686426155594638</v>
      </c>
      <c r="U705">
        <f t="shared" ca="1" si="371"/>
        <v>-3.3622728137743252E-3</v>
      </c>
      <c r="V705">
        <f t="shared" ca="1" si="372"/>
        <v>1</v>
      </c>
      <c r="W705">
        <f t="shared" ca="1" si="351"/>
        <v>1.7069123397933987</v>
      </c>
      <c r="X705">
        <f t="shared" ca="1" si="352"/>
        <v>8.8759441669256738</v>
      </c>
      <c r="Y705">
        <f t="shared" ca="1" si="353"/>
        <v>1.0304300931455048</v>
      </c>
      <c r="Z705">
        <f t="shared" ca="1" si="354"/>
        <v>5.7402343955535891</v>
      </c>
      <c r="AA705">
        <f t="shared" ca="1" si="355"/>
        <v>633.94791233979333</v>
      </c>
      <c r="AB705">
        <f t="shared" ca="1" si="356"/>
        <v>635.62733593387577</v>
      </c>
      <c r="AC705">
        <f t="shared" ca="1" si="357"/>
        <v>7.1233408661559748E-3</v>
      </c>
      <c r="AD705">
        <f t="shared" ca="1" si="358"/>
        <v>1.4027798339506474</v>
      </c>
      <c r="AE705">
        <f t="shared" ca="1" si="359"/>
        <v>37.3881694203072</v>
      </c>
      <c r="AF705">
        <f t="shared" ca="1" si="360"/>
        <v>6.698914927937949E-3</v>
      </c>
      <c r="AG705">
        <f t="shared" ca="1" si="361"/>
        <v>0</v>
      </c>
      <c r="AH705">
        <f ca="1">IFERROR(IF(V32="Supercritical",MAX($D$16,IFERROR(L705,MAX($D$16,POWER((ABS(K705)^2)/($I$5*MAX(F705,0.1)^2),1/3)))),IF(V32="Subcritical",MAX($D$16,IFERROR(W705,MAX($D$16,POWER((ABS(K705)^2)/($I$5*MAX(F705,0.1)^2),1/3)))),IF(AND(IFERROR(V705,0)=1,IFERROR(AG705,0)=1),IF(IFERROR(T705,-1E+99)&gt;=IFERROR(AE705,-1E+99),MAX($D$16,IFERROR(L705,MAX($D$16,POWER((ABS(K705)^2)/($I$5*MAX(F705,0.1)^2),1/3)))),MAX($D$16,IFERROR(W705,MAX($D$16,POWER((ABS(K705)^2)/($I$5*MAX(F705,0.1)^2),1/3))))),IF(IFERROR(V705,0)=1,MAX($D$16,IFERROR(L705,MAX($D$16,POWER((ABS(K705)^2)/($I$5*MAX(F705,0.1)^2),1/3)))),IF(IFERROR(AG705,0)=1,MAX($D$16,IFERROR(W705,MAX($D$16,POWER((ABS(K705)^2)/($I$5*MAX(F705,0.1)^2),1/3)))),MAX($D$16,POWER((ABS(K705)^2)/($I$5*MAX(F705,0.1)^2),1/3))))))),MAX($D$16,POWER((ABS(K705)^2)/($I$5*MAX(F705,0.1)^2),1/3)))</f>
        <v>2.1389677043987478</v>
      </c>
      <c r="AI705">
        <f t="shared" ca="1" si="362"/>
        <v>634.37996770439872</v>
      </c>
      <c r="AJ705">
        <f t="shared" ca="1" si="363"/>
        <v>635.44945155659809</v>
      </c>
      <c r="AM705">
        <v>0</v>
      </c>
      <c r="AN705">
        <v>0</v>
      </c>
      <c r="AO705">
        <f t="shared" si="364"/>
        <v>0</v>
      </c>
      <c r="AP705">
        <f t="shared" si="373"/>
        <v>0</v>
      </c>
      <c r="AQ705">
        <f t="shared" ca="1" si="365"/>
        <v>1.0000000000000004</v>
      </c>
      <c r="AR705" t="str">
        <f t="shared" ca="1" si="366"/>
        <v>Supercritical</v>
      </c>
      <c r="AS705">
        <f t="shared" ca="1" si="367"/>
        <v>3.8141460404132466E-3</v>
      </c>
    </row>
    <row r="706" spans="1:45" x14ac:dyDescent="0.35">
      <c r="A706">
        <v>645</v>
      </c>
      <c r="B706">
        <v>643.99599999999998</v>
      </c>
      <c r="C706">
        <v>616137.32700000005</v>
      </c>
      <c r="D706">
        <v>3097352.2680000002</v>
      </c>
      <c r="E706">
        <v>632.2405</v>
      </c>
      <c r="F706">
        <v>5.2</v>
      </c>
      <c r="G706">
        <v>0</v>
      </c>
      <c r="H706" t="s">
        <v>154</v>
      </c>
      <c r="I706">
        <v>2.7E-2</v>
      </c>
      <c r="J706">
        <f t="shared" si="368"/>
        <v>1</v>
      </c>
      <c r="K706">
        <f t="shared" ca="1" si="369"/>
        <v>50.95</v>
      </c>
      <c r="L706">
        <f t="shared" ca="1" si="370"/>
        <v>2.1389677043987478</v>
      </c>
      <c r="M706">
        <f t="shared" ca="1" si="343"/>
        <v>11.122632062873489</v>
      </c>
      <c r="N706">
        <f t="shared" ca="1" si="344"/>
        <v>1.1735290000551568</v>
      </c>
      <c r="O706">
        <f t="shared" ca="1" si="345"/>
        <v>4.5807502857230418</v>
      </c>
      <c r="P706">
        <f t="shared" ca="1" si="346"/>
        <v>634.37946770439873</v>
      </c>
      <c r="Q706">
        <f t="shared" ca="1" si="347"/>
        <v>635.4489515565981</v>
      </c>
      <c r="R706">
        <f t="shared" ca="1" si="348"/>
        <v>3.8141460404132466E-3</v>
      </c>
      <c r="S706">
        <f t="shared" ca="1" si="349"/>
        <v>1.0000000000000004</v>
      </c>
      <c r="T706">
        <f t="shared" ca="1" si="350"/>
        <v>35.686426155594638</v>
      </c>
      <c r="U706">
        <f t="shared" ca="1" si="371"/>
        <v>-3.3622728137743252E-3</v>
      </c>
      <c r="V706">
        <f t="shared" ca="1" si="372"/>
        <v>1</v>
      </c>
      <c r="W706">
        <f t="shared" ca="1" si="351"/>
        <v>1.706912339773873</v>
      </c>
      <c r="X706">
        <f t="shared" ca="1" si="352"/>
        <v>8.8759441668241408</v>
      </c>
      <c r="Y706">
        <f t="shared" ca="1" si="353"/>
        <v>1.0304300931383892</v>
      </c>
      <c r="Z706">
        <f t="shared" ca="1" si="354"/>
        <v>5.740234395619253</v>
      </c>
      <c r="AA706">
        <f t="shared" ca="1" si="355"/>
        <v>633.9474123397739</v>
      </c>
      <c r="AB706">
        <f t="shared" ca="1" si="356"/>
        <v>635.62683593389477</v>
      </c>
      <c r="AC706">
        <f t="shared" ca="1" si="357"/>
        <v>7.1233408663845298E-3</v>
      </c>
      <c r="AD706">
        <f t="shared" ca="1" si="358"/>
        <v>1.4027798339747173</v>
      </c>
      <c r="AE706">
        <f t="shared" ca="1" si="359"/>
        <v>37.388169420474924</v>
      </c>
      <c r="AF706">
        <f t="shared" ca="1" si="360"/>
        <v>6.8416659336207886E-3</v>
      </c>
      <c r="AG706">
        <f t="shared" ca="1" si="361"/>
        <v>0</v>
      </c>
      <c r="AH706">
        <f ca="1">IFERROR(IF(V32="Supercritical",MAX($D$16,IFERROR(L706,MAX($D$16,POWER((ABS(K706)^2)/($I$5*MAX(F706,0.1)^2),1/3)))),IF(V32="Subcritical",MAX($D$16,IFERROR(W706,MAX($D$16,POWER((ABS(K706)^2)/($I$5*MAX(F706,0.1)^2),1/3)))),IF(AND(IFERROR(V706,0)=1,IFERROR(AG706,0)=1),IF(IFERROR(T706,-1E+99)&gt;=IFERROR(AE706,-1E+99),MAX($D$16,IFERROR(L706,MAX($D$16,POWER((ABS(K706)^2)/($I$5*MAX(F706,0.1)^2),1/3)))),MAX($D$16,IFERROR(W706,MAX($D$16,POWER((ABS(K706)^2)/($I$5*MAX(F706,0.1)^2),1/3))))),IF(IFERROR(V706,0)=1,MAX($D$16,IFERROR(L706,MAX($D$16,POWER((ABS(K706)^2)/($I$5*MAX(F706,0.1)^2),1/3)))),IF(IFERROR(AG706,0)=1,MAX($D$16,IFERROR(W706,MAX($D$16,POWER((ABS(K706)^2)/($I$5*MAX(F706,0.1)^2),1/3)))),MAX($D$16,POWER((ABS(K706)^2)/($I$5*MAX(F706,0.1)^2),1/3))))))),MAX($D$16,POWER((ABS(K706)^2)/($I$5*MAX(F706,0.1)^2),1/3)))</f>
        <v>2.1389677043987478</v>
      </c>
      <c r="AI706">
        <f t="shared" ca="1" si="362"/>
        <v>634.37946770439873</v>
      </c>
      <c r="AJ706">
        <f t="shared" ca="1" si="363"/>
        <v>635.4489515565981</v>
      </c>
      <c r="AM706">
        <v>0</v>
      </c>
      <c r="AN706">
        <v>0</v>
      </c>
      <c r="AO706">
        <f t="shared" si="364"/>
        <v>0</v>
      </c>
      <c r="AP706">
        <f t="shared" si="373"/>
        <v>0</v>
      </c>
      <c r="AQ706">
        <f t="shared" ca="1" si="365"/>
        <v>1.0000000000000004</v>
      </c>
      <c r="AR706" t="str">
        <f t="shared" ca="1" si="366"/>
        <v>Supercritical</v>
      </c>
      <c r="AS706">
        <f t="shared" ca="1" si="367"/>
        <v>3.8141460404132466E-3</v>
      </c>
    </row>
    <row r="707" spans="1:45" x14ac:dyDescent="0.35">
      <c r="A707">
        <v>646</v>
      </c>
      <c r="B707">
        <v>644.99599999999998</v>
      </c>
      <c r="C707">
        <v>616136.853</v>
      </c>
      <c r="D707">
        <v>3097351.3870000001</v>
      </c>
      <c r="E707">
        <v>632.24</v>
      </c>
      <c r="F707">
        <v>5.2</v>
      </c>
      <c r="G707">
        <v>0</v>
      </c>
      <c r="H707" t="s">
        <v>154</v>
      </c>
      <c r="I707">
        <v>7.8E-2</v>
      </c>
      <c r="J707">
        <f t="shared" si="368"/>
        <v>1</v>
      </c>
      <c r="K707">
        <f t="shared" ca="1" si="369"/>
        <v>50.95</v>
      </c>
      <c r="L707">
        <f t="shared" ca="1" si="370"/>
        <v>2.1389677043987478</v>
      </c>
      <c r="M707">
        <f t="shared" ca="1" si="343"/>
        <v>11.122632062873489</v>
      </c>
      <c r="N707">
        <f t="shared" ca="1" si="344"/>
        <v>1.1735290000551568</v>
      </c>
      <c r="O707">
        <f t="shared" ca="1" si="345"/>
        <v>4.5807502857230418</v>
      </c>
      <c r="P707">
        <f t="shared" ca="1" si="346"/>
        <v>634.37896770439875</v>
      </c>
      <c r="Q707">
        <f t="shared" ca="1" si="347"/>
        <v>635.44845155659812</v>
      </c>
      <c r="R707">
        <f t="shared" ca="1" si="348"/>
        <v>3.8141460404132466E-3</v>
      </c>
      <c r="S707">
        <f t="shared" ca="1" si="349"/>
        <v>1.0000000000000004</v>
      </c>
      <c r="T707">
        <f t="shared" ca="1" si="350"/>
        <v>35.686426155594638</v>
      </c>
      <c r="U707">
        <f t="shared" ca="1" si="371"/>
        <v>-3.4531789411857972E-3</v>
      </c>
      <c r="V707">
        <f t="shared" ca="1" si="372"/>
        <v>1</v>
      </c>
      <c r="W707">
        <f t="shared" ca="1" si="351"/>
        <v>1.7069123397556605</v>
      </c>
      <c r="X707">
        <f t="shared" ca="1" si="352"/>
        <v>8.8759441667294343</v>
      </c>
      <c r="Y707">
        <f t="shared" ca="1" si="353"/>
        <v>1.030430093131752</v>
      </c>
      <c r="Z707">
        <f t="shared" ca="1" si="354"/>
        <v>5.7402343956805009</v>
      </c>
      <c r="AA707">
        <f t="shared" ca="1" si="355"/>
        <v>633.94691233975561</v>
      </c>
      <c r="AB707">
        <f t="shared" ca="1" si="356"/>
        <v>635.62633593391229</v>
      </c>
      <c r="AC707">
        <f t="shared" ca="1" si="357"/>
        <v>7.1233408665977169E-3</v>
      </c>
      <c r="AD707">
        <f t="shared" ca="1" si="358"/>
        <v>1.4027798339971689</v>
      </c>
      <c r="AE707">
        <f t="shared" ca="1" si="359"/>
        <v>37.388169420631378</v>
      </c>
      <c r="AF707">
        <f t="shared" ca="1" si="360"/>
        <v>6.763292832715706E-3</v>
      </c>
      <c r="AG707">
        <f t="shared" ca="1" si="361"/>
        <v>0</v>
      </c>
      <c r="AH707">
        <f ca="1">IFERROR(IF(V32="Supercritical",MAX($D$16,IFERROR(L707,MAX($D$16,POWER((ABS(K707)^2)/($I$5*MAX(F707,0.1)^2),1/3)))),IF(V32="Subcritical",MAX($D$16,IFERROR(W707,MAX($D$16,POWER((ABS(K707)^2)/($I$5*MAX(F707,0.1)^2),1/3)))),IF(AND(IFERROR(V707,0)=1,IFERROR(AG707,0)=1),IF(IFERROR(T707,-1E+99)&gt;=IFERROR(AE707,-1E+99),MAX($D$16,IFERROR(L707,MAX($D$16,POWER((ABS(K707)^2)/($I$5*MAX(F707,0.1)^2),1/3)))),MAX($D$16,IFERROR(W707,MAX($D$16,POWER((ABS(K707)^2)/($I$5*MAX(F707,0.1)^2),1/3))))),IF(IFERROR(V707,0)=1,MAX($D$16,IFERROR(L707,MAX($D$16,POWER((ABS(K707)^2)/($I$5*MAX(F707,0.1)^2),1/3)))),IF(IFERROR(AG707,0)=1,MAX($D$16,IFERROR(W707,MAX($D$16,POWER((ABS(K707)^2)/($I$5*MAX(F707,0.1)^2),1/3)))),MAX($D$16,POWER((ABS(K707)^2)/($I$5*MAX(F707,0.1)^2),1/3))))))),MAX($D$16,POWER((ABS(K707)^2)/($I$5*MAX(F707,0.1)^2),1/3)))</f>
        <v>2.1389677043987478</v>
      </c>
      <c r="AI707">
        <f t="shared" ca="1" si="362"/>
        <v>634.37896770439875</v>
      </c>
      <c r="AJ707">
        <f t="shared" ca="1" si="363"/>
        <v>635.44845155659812</v>
      </c>
      <c r="AM707">
        <v>0</v>
      </c>
      <c r="AN707">
        <v>0</v>
      </c>
      <c r="AO707">
        <f t="shared" si="364"/>
        <v>0</v>
      </c>
      <c r="AP707">
        <f t="shared" si="373"/>
        <v>0</v>
      </c>
      <c r="AQ707">
        <f t="shared" ca="1" si="365"/>
        <v>1.0000000000000004</v>
      </c>
      <c r="AR707" t="str">
        <f t="shared" ca="1" si="366"/>
        <v>Supercritical</v>
      </c>
      <c r="AS707">
        <f t="shared" ca="1" si="367"/>
        <v>3.8141460404132466E-3</v>
      </c>
    </row>
    <row r="708" spans="1:45" x14ac:dyDescent="0.35">
      <c r="A708">
        <v>647</v>
      </c>
      <c r="B708">
        <v>645.99599999999998</v>
      </c>
      <c r="C708">
        <v>616136.37800000003</v>
      </c>
      <c r="D708">
        <v>3097350.5070000002</v>
      </c>
      <c r="E708">
        <v>632.23950000000002</v>
      </c>
      <c r="F708">
        <v>5.2</v>
      </c>
      <c r="G708">
        <v>0</v>
      </c>
      <c r="H708" t="s">
        <v>154</v>
      </c>
      <c r="I708">
        <v>0.05</v>
      </c>
      <c r="J708">
        <f t="shared" si="368"/>
        <v>1</v>
      </c>
      <c r="K708">
        <f t="shared" ca="1" si="369"/>
        <v>50.95</v>
      </c>
      <c r="L708">
        <f t="shared" ca="1" si="370"/>
        <v>2.1389677043987478</v>
      </c>
      <c r="M708">
        <f t="shared" ca="1" si="343"/>
        <v>11.122632062873489</v>
      </c>
      <c r="N708">
        <f t="shared" ca="1" si="344"/>
        <v>1.1735290000551568</v>
      </c>
      <c r="O708">
        <f t="shared" ca="1" si="345"/>
        <v>4.5807502857230418</v>
      </c>
      <c r="P708">
        <f t="shared" ca="1" si="346"/>
        <v>634.37846770439876</v>
      </c>
      <c r="Q708">
        <f t="shared" ca="1" si="347"/>
        <v>635.44795155659813</v>
      </c>
      <c r="R708">
        <f t="shared" ca="1" si="348"/>
        <v>3.8141460404132466E-3</v>
      </c>
      <c r="S708">
        <f t="shared" ca="1" si="349"/>
        <v>1.0000000000000004</v>
      </c>
      <c r="T708">
        <f t="shared" ca="1" si="350"/>
        <v>35.686426155594638</v>
      </c>
      <c r="U708">
        <f t="shared" ca="1" si="371"/>
        <v>-3.4032696947861041E-3</v>
      </c>
      <c r="V708">
        <f t="shared" ca="1" si="372"/>
        <v>1</v>
      </c>
      <c r="W708">
        <f t="shared" ca="1" si="351"/>
        <v>1.7069123397386416</v>
      </c>
      <c r="X708">
        <f t="shared" ca="1" si="352"/>
        <v>8.8759441666409362</v>
      </c>
      <c r="Y708">
        <f t="shared" ca="1" si="353"/>
        <v>1.0304300931255499</v>
      </c>
      <c r="Z708">
        <f t="shared" ca="1" si="354"/>
        <v>5.7402343957377342</v>
      </c>
      <c r="AA708">
        <f t="shared" ca="1" si="355"/>
        <v>633.94641233973869</v>
      </c>
      <c r="AB708">
        <f t="shared" ca="1" si="356"/>
        <v>635.62583593392878</v>
      </c>
      <c r="AC708">
        <f t="shared" ca="1" si="357"/>
        <v>7.1233408667969334E-3</v>
      </c>
      <c r="AD708">
        <f t="shared" ca="1" si="358"/>
        <v>1.4027798340181488</v>
      </c>
      <c r="AE708">
        <f t="shared" ca="1" si="359"/>
        <v>37.388169420777572</v>
      </c>
      <c r="AF708">
        <f t="shared" ca="1" si="360"/>
        <v>6.6917915876274492E-3</v>
      </c>
      <c r="AG708">
        <f t="shared" ca="1" si="361"/>
        <v>0</v>
      </c>
      <c r="AH708">
        <f ca="1">IFERROR(IF(V32="Supercritical",MAX($D$16,IFERROR(L708,MAX($D$16,POWER((ABS(K708)^2)/($I$5*MAX(F708,0.1)^2),1/3)))),IF(V32="Subcritical",MAX($D$16,IFERROR(W708,MAX($D$16,POWER((ABS(K708)^2)/($I$5*MAX(F708,0.1)^2),1/3)))),IF(AND(IFERROR(V708,0)=1,IFERROR(AG708,0)=1),IF(IFERROR(T708,-1E+99)&gt;=IFERROR(AE708,-1E+99),MAX($D$16,IFERROR(L708,MAX($D$16,POWER((ABS(K708)^2)/($I$5*MAX(F708,0.1)^2),1/3)))),MAX($D$16,IFERROR(W708,MAX($D$16,POWER((ABS(K708)^2)/($I$5*MAX(F708,0.1)^2),1/3))))),IF(IFERROR(V708,0)=1,MAX($D$16,IFERROR(L708,MAX($D$16,POWER((ABS(K708)^2)/($I$5*MAX(F708,0.1)^2),1/3)))),IF(IFERROR(AG708,0)=1,MAX($D$16,IFERROR(W708,MAX($D$16,POWER((ABS(K708)^2)/($I$5*MAX(F708,0.1)^2),1/3)))),MAX($D$16,POWER((ABS(K708)^2)/($I$5*MAX(F708,0.1)^2),1/3))))))),MAX($D$16,POWER((ABS(K708)^2)/($I$5*MAX(F708,0.1)^2),1/3)))</f>
        <v>2.1389677043987478</v>
      </c>
      <c r="AI708">
        <f t="shared" ca="1" si="362"/>
        <v>634.37846770439876</v>
      </c>
      <c r="AJ708">
        <f t="shared" ca="1" si="363"/>
        <v>635.44795155659813</v>
      </c>
      <c r="AM708">
        <v>0</v>
      </c>
      <c r="AN708">
        <v>0</v>
      </c>
      <c r="AO708">
        <f t="shared" si="364"/>
        <v>0</v>
      </c>
      <c r="AP708">
        <f t="shared" si="373"/>
        <v>0</v>
      </c>
      <c r="AQ708">
        <f t="shared" ca="1" si="365"/>
        <v>1.0000000000000004</v>
      </c>
      <c r="AR708" t="str">
        <f t="shared" ca="1" si="366"/>
        <v>Supercritical</v>
      </c>
      <c r="AS708">
        <f t="shared" ca="1" si="367"/>
        <v>3.8141460404132466E-3</v>
      </c>
    </row>
    <row r="709" spans="1:45" x14ac:dyDescent="0.35">
      <c r="A709">
        <v>648</v>
      </c>
      <c r="B709">
        <v>646.995</v>
      </c>
      <c r="C709">
        <v>616135.90399999998</v>
      </c>
      <c r="D709">
        <v>3097349.6269999999</v>
      </c>
      <c r="E709">
        <v>632.23900000000003</v>
      </c>
      <c r="F709">
        <v>5.2</v>
      </c>
      <c r="G709">
        <v>0</v>
      </c>
      <c r="H709" t="s">
        <v>154</v>
      </c>
      <c r="I709">
        <v>2.7E-2</v>
      </c>
      <c r="J709">
        <f t="shared" si="368"/>
        <v>0.99900000000002365</v>
      </c>
      <c r="K709">
        <f t="shared" ca="1" si="369"/>
        <v>50.95</v>
      </c>
      <c r="L709">
        <f t="shared" ca="1" si="370"/>
        <v>2.1389677043987478</v>
      </c>
      <c r="M709">
        <f t="shared" ca="1" si="343"/>
        <v>11.122632062873489</v>
      </c>
      <c r="N709">
        <f t="shared" ca="1" si="344"/>
        <v>1.1735290000551568</v>
      </c>
      <c r="O709">
        <f t="shared" ca="1" si="345"/>
        <v>4.5807502857230418</v>
      </c>
      <c r="P709">
        <f t="shared" ca="1" si="346"/>
        <v>634.37796770439877</v>
      </c>
      <c r="Q709">
        <f t="shared" ca="1" si="347"/>
        <v>635.44745155659814</v>
      </c>
      <c r="R709">
        <f t="shared" ca="1" si="348"/>
        <v>3.8141460404132466E-3</v>
      </c>
      <c r="S709">
        <f t="shared" ca="1" si="349"/>
        <v>1.0000000000000004</v>
      </c>
      <c r="T709">
        <f t="shared" ca="1" si="350"/>
        <v>35.686426155594638</v>
      </c>
      <c r="U709">
        <f t="shared" ca="1" si="371"/>
        <v>-3.3584586676624895E-3</v>
      </c>
      <c r="V709">
        <f t="shared" ca="1" si="372"/>
        <v>1</v>
      </c>
      <c r="W709">
        <f t="shared" ca="1" si="351"/>
        <v>1.7069123397227652</v>
      </c>
      <c r="X709">
        <f t="shared" ca="1" si="352"/>
        <v>8.87594416655838</v>
      </c>
      <c r="Y709">
        <f t="shared" ca="1" si="353"/>
        <v>1.0304300931197641</v>
      </c>
      <c r="Z709">
        <f t="shared" ca="1" si="354"/>
        <v>5.7402343957911253</v>
      </c>
      <c r="AA709">
        <f t="shared" ca="1" si="355"/>
        <v>633.94591233972278</v>
      </c>
      <c r="AB709">
        <f t="shared" ca="1" si="356"/>
        <v>635.62533593394414</v>
      </c>
      <c r="AC709">
        <f t="shared" ca="1" si="357"/>
        <v>7.1233408669827717E-3</v>
      </c>
      <c r="AD709">
        <f t="shared" ca="1" si="358"/>
        <v>1.40277983403772</v>
      </c>
      <c r="AE709">
        <f t="shared" ca="1" si="359"/>
        <v>37.388169420913947</v>
      </c>
      <c r="AF709">
        <f t="shared" ca="1" si="360"/>
        <v>6.7060382696126908E-3</v>
      </c>
      <c r="AG709">
        <f t="shared" ca="1" si="361"/>
        <v>0</v>
      </c>
      <c r="AH709">
        <f ca="1">IFERROR(IF(V32="Supercritical",MAX($D$16,IFERROR(L709,MAX($D$16,POWER((ABS(K709)^2)/($I$5*MAX(F709,0.1)^2),1/3)))),IF(V32="Subcritical",MAX($D$16,IFERROR(W709,MAX($D$16,POWER((ABS(K709)^2)/($I$5*MAX(F709,0.1)^2),1/3)))),IF(AND(IFERROR(V709,0)=1,IFERROR(AG709,0)=1),IF(IFERROR(T709,-1E+99)&gt;=IFERROR(AE709,-1E+99),MAX($D$16,IFERROR(L709,MAX($D$16,POWER((ABS(K709)^2)/($I$5*MAX(F709,0.1)^2),1/3)))),MAX($D$16,IFERROR(W709,MAX($D$16,POWER((ABS(K709)^2)/($I$5*MAX(F709,0.1)^2),1/3))))),IF(IFERROR(V709,0)=1,MAX($D$16,IFERROR(L709,MAX($D$16,POWER((ABS(K709)^2)/($I$5*MAX(F709,0.1)^2),1/3)))),IF(IFERROR(AG709,0)=1,MAX($D$16,IFERROR(W709,MAX($D$16,POWER((ABS(K709)^2)/($I$5*MAX(F709,0.1)^2),1/3)))),MAX($D$16,POWER((ABS(K709)^2)/($I$5*MAX(F709,0.1)^2),1/3))))))),MAX($D$16,POWER((ABS(K709)^2)/($I$5*MAX(F709,0.1)^2),1/3)))</f>
        <v>2.1389677043987478</v>
      </c>
      <c r="AI709">
        <f t="shared" ca="1" si="362"/>
        <v>634.37796770439877</v>
      </c>
      <c r="AJ709">
        <f t="shared" ca="1" si="363"/>
        <v>635.44745155659814</v>
      </c>
      <c r="AM709">
        <v>0</v>
      </c>
      <c r="AN709">
        <v>0</v>
      </c>
      <c r="AO709">
        <f t="shared" si="364"/>
        <v>0</v>
      </c>
      <c r="AP709">
        <f t="shared" si="373"/>
        <v>0</v>
      </c>
      <c r="AQ709">
        <f t="shared" ca="1" si="365"/>
        <v>1.0000000000000004</v>
      </c>
      <c r="AR709" t="str">
        <f t="shared" ca="1" si="366"/>
        <v>Supercritical</v>
      </c>
      <c r="AS709">
        <f t="shared" ca="1" si="367"/>
        <v>3.8141460404132466E-3</v>
      </c>
    </row>
    <row r="710" spans="1:45" x14ac:dyDescent="0.35">
      <c r="A710">
        <v>649</v>
      </c>
      <c r="B710">
        <v>647.99599999999998</v>
      </c>
      <c r="C710">
        <v>616135.43000000005</v>
      </c>
      <c r="D710">
        <v>3097348.7459999998</v>
      </c>
      <c r="E710">
        <v>632.23850000000004</v>
      </c>
      <c r="F710">
        <v>5.2</v>
      </c>
      <c r="G710">
        <v>0</v>
      </c>
      <c r="H710" t="s">
        <v>154</v>
      </c>
      <c r="I710">
        <v>2.7E-2</v>
      </c>
      <c r="J710">
        <f t="shared" si="368"/>
        <v>1.0009999999999764</v>
      </c>
      <c r="K710">
        <f t="shared" ca="1" si="369"/>
        <v>50.95</v>
      </c>
      <c r="L710">
        <f t="shared" ca="1" si="370"/>
        <v>2.1389677043987478</v>
      </c>
      <c r="M710">
        <f t="shared" ca="1" si="343"/>
        <v>11.122632062873489</v>
      </c>
      <c r="N710">
        <f t="shared" ca="1" si="344"/>
        <v>1.1735290000551568</v>
      </c>
      <c r="O710">
        <f t="shared" ca="1" si="345"/>
        <v>4.5807502857230418</v>
      </c>
      <c r="P710">
        <f t="shared" ca="1" si="346"/>
        <v>634.37746770439878</v>
      </c>
      <c r="Q710">
        <f t="shared" ca="1" si="347"/>
        <v>635.44695155659815</v>
      </c>
      <c r="R710">
        <f t="shared" ca="1" si="348"/>
        <v>3.8141460404132466E-3</v>
      </c>
      <c r="S710">
        <f t="shared" ca="1" si="349"/>
        <v>1.0000000000000004</v>
      </c>
      <c r="T710">
        <f t="shared" ca="1" si="350"/>
        <v>35.686426155594638</v>
      </c>
      <c r="U710">
        <f t="shared" ca="1" si="371"/>
        <v>-3.3660869597724741E-3</v>
      </c>
      <c r="V710">
        <f t="shared" ca="1" si="372"/>
        <v>1</v>
      </c>
      <c r="W710">
        <f t="shared" ca="1" si="351"/>
        <v>1.7069123397079291</v>
      </c>
      <c r="X710">
        <f t="shared" ca="1" si="352"/>
        <v>8.8759441664812311</v>
      </c>
      <c r="Y710">
        <f t="shared" ca="1" si="353"/>
        <v>1.0304300931143573</v>
      </c>
      <c r="Z710">
        <f t="shared" ca="1" si="354"/>
        <v>5.7402343958410187</v>
      </c>
      <c r="AA710">
        <f t="shared" ca="1" si="355"/>
        <v>633.94541233970801</v>
      </c>
      <c r="AB710">
        <f t="shared" ca="1" si="356"/>
        <v>635.62483593395859</v>
      </c>
      <c r="AC710">
        <f t="shared" ca="1" si="357"/>
        <v>7.123340867156441E-3</v>
      </c>
      <c r="AD710">
        <f t="shared" ca="1" si="358"/>
        <v>1.4027798340560091</v>
      </c>
      <c r="AE710">
        <f t="shared" ca="1" si="359"/>
        <v>37.388169421041397</v>
      </c>
      <c r="AF710">
        <f t="shared" ca="1" si="360"/>
        <v>6.6805954307938009E-3</v>
      </c>
      <c r="AG710">
        <f t="shared" ca="1" si="361"/>
        <v>0</v>
      </c>
      <c r="AH710">
        <f ca="1">IFERROR(IF(V32="Supercritical",MAX($D$16,IFERROR(L710,MAX($D$16,POWER((ABS(K710)^2)/($I$5*MAX(F710,0.1)^2),1/3)))),IF(V32="Subcritical",MAX($D$16,IFERROR(W710,MAX($D$16,POWER((ABS(K710)^2)/($I$5*MAX(F710,0.1)^2),1/3)))),IF(AND(IFERROR(V710,0)=1,IFERROR(AG710,0)=1),IF(IFERROR(T710,-1E+99)&gt;=IFERROR(AE710,-1E+99),MAX($D$16,IFERROR(L710,MAX($D$16,POWER((ABS(K710)^2)/($I$5*MAX(F710,0.1)^2),1/3)))),MAX($D$16,IFERROR(W710,MAX($D$16,POWER((ABS(K710)^2)/($I$5*MAX(F710,0.1)^2),1/3))))),IF(IFERROR(V710,0)=1,MAX($D$16,IFERROR(L710,MAX($D$16,POWER((ABS(K710)^2)/($I$5*MAX(F710,0.1)^2),1/3)))),IF(IFERROR(AG710,0)=1,MAX($D$16,IFERROR(W710,MAX($D$16,POWER((ABS(K710)^2)/($I$5*MAX(F710,0.1)^2),1/3)))),MAX($D$16,POWER((ABS(K710)^2)/($I$5*MAX(F710,0.1)^2),1/3))))))),MAX($D$16,POWER((ABS(K710)^2)/($I$5*MAX(F710,0.1)^2),1/3)))</f>
        <v>2.1389677043987478</v>
      </c>
      <c r="AI710">
        <f t="shared" ca="1" si="362"/>
        <v>634.37746770439878</v>
      </c>
      <c r="AJ710">
        <f t="shared" ca="1" si="363"/>
        <v>635.44695155659815</v>
      </c>
      <c r="AM710">
        <v>0</v>
      </c>
      <c r="AN710">
        <v>0</v>
      </c>
      <c r="AO710">
        <f t="shared" si="364"/>
        <v>0</v>
      </c>
      <c r="AP710">
        <f t="shared" si="373"/>
        <v>0</v>
      </c>
      <c r="AQ710">
        <f t="shared" ca="1" si="365"/>
        <v>1.0000000000000004</v>
      </c>
      <c r="AR710" t="str">
        <f t="shared" ca="1" si="366"/>
        <v>Supercritical</v>
      </c>
      <c r="AS710">
        <f t="shared" ca="1" si="367"/>
        <v>3.8141460404132466E-3</v>
      </c>
    </row>
    <row r="711" spans="1:45" x14ac:dyDescent="0.35">
      <c r="A711">
        <v>650</v>
      </c>
      <c r="B711">
        <v>648.995</v>
      </c>
      <c r="C711">
        <v>616134.95600000001</v>
      </c>
      <c r="D711">
        <v>3097347.8659999999</v>
      </c>
      <c r="E711">
        <v>632.23800000000006</v>
      </c>
      <c r="F711">
        <v>5.2</v>
      </c>
      <c r="G711">
        <v>0</v>
      </c>
      <c r="H711" t="s">
        <v>154</v>
      </c>
      <c r="I711">
        <v>2.3E-2</v>
      </c>
      <c r="J711">
        <f t="shared" si="368"/>
        <v>0.99900000000002365</v>
      </c>
      <c r="K711">
        <f t="shared" ca="1" si="369"/>
        <v>50.95</v>
      </c>
      <c r="L711">
        <f t="shared" ca="1" si="370"/>
        <v>2.1389677043987478</v>
      </c>
      <c r="M711">
        <f t="shared" ca="1" si="343"/>
        <v>11.122632062873489</v>
      </c>
      <c r="N711">
        <f t="shared" ca="1" si="344"/>
        <v>1.1735290000551568</v>
      </c>
      <c r="O711">
        <f t="shared" ca="1" si="345"/>
        <v>4.5807502857230418</v>
      </c>
      <c r="P711">
        <f t="shared" ca="1" si="346"/>
        <v>634.37696770439879</v>
      </c>
      <c r="Q711">
        <f t="shared" ca="1" si="347"/>
        <v>635.44645155659816</v>
      </c>
      <c r="R711">
        <f t="shared" ca="1" si="348"/>
        <v>3.8141460404132466E-3</v>
      </c>
      <c r="S711">
        <f t="shared" ca="1" si="349"/>
        <v>1.0000000000000004</v>
      </c>
      <c r="T711">
        <f t="shared" ca="1" si="350"/>
        <v>35.686426155594638</v>
      </c>
      <c r="U711">
        <f t="shared" ca="1" si="371"/>
        <v>-3.3513287753521581E-3</v>
      </c>
      <c r="V711">
        <f t="shared" ca="1" si="372"/>
        <v>1</v>
      </c>
      <c r="W711">
        <f t="shared" ca="1" si="351"/>
        <v>1.706912339694082</v>
      </c>
      <c r="X711">
        <f t="shared" ca="1" si="352"/>
        <v>8.8759441664092265</v>
      </c>
      <c r="Y711">
        <f t="shared" ca="1" si="353"/>
        <v>1.0304300931093109</v>
      </c>
      <c r="Z711">
        <f t="shared" ca="1" si="354"/>
        <v>5.740234395887585</v>
      </c>
      <c r="AA711">
        <f t="shared" ca="1" si="355"/>
        <v>633.94491233969416</v>
      </c>
      <c r="AB711">
        <f t="shared" ca="1" si="356"/>
        <v>635.62433593397202</v>
      </c>
      <c r="AC711">
        <f t="shared" ca="1" si="357"/>
        <v>7.1233408673185275E-3</v>
      </c>
      <c r="AD711">
        <f t="shared" ca="1" si="358"/>
        <v>1.402779834073079</v>
      </c>
      <c r="AE711">
        <f t="shared" ca="1" si="359"/>
        <v>37.388169421160342</v>
      </c>
      <c r="AF711">
        <f t="shared" ca="1" si="360"/>
        <v>6.6948421125516688E-3</v>
      </c>
      <c r="AG711">
        <f t="shared" ca="1" si="361"/>
        <v>0</v>
      </c>
      <c r="AH711">
        <f ca="1">IFERROR(IF(V32="Supercritical",MAX($D$16,IFERROR(L711,MAX($D$16,POWER((ABS(K711)^2)/($I$5*MAX(F711,0.1)^2),1/3)))),IF(V32="Subcritical",MAX($D$16,IFERROR(W711,MAX($D$16,POWER((ABS(K711)^2)/($I$5*MAX(F711,0.1)^2),1/3)))),IF(AND(IFERROR(V711,0)=1,IFERROR(AG711,0)=1),IF(IFERROR(T711,-1E+99)&gt;=IFERROR(AE711,-1E+99),MAX($D$16,IFERROR(L711,MAX($D$16,POWER((ABS(K711)^2)/($I$5*MAX(F711,0.1)^2),1/3)))),MAX($D$16,IFERROR(W711,MAX($D$16,POWER((ABS(K711)^2)/($I$5*MAX(F711,0.1)^2),1/3))))),IF(IFERROR(V711,0)=1,MAX($D$16,IFERROR(L711,MAX($D$16,POWER((ABS(K711)^2)/($I$5*MAX(F711,0.1)^2),1/3)))),IF(IFERROR(AG711,0)=1,MAX($D$16,IFERROR(W711,MAX($D$16,POWER((ABS(K711)^2)/($I$5*MAX(F711,0.1)^2),1/3)))),MAX($D$16,POWER((ABS(K711)^2)/($I$5*MAX(F711,0.1)^2),1/3))))))),MAX($D$16,POWER((ABS(K711)^2)/($I$5*MAX(F711,0.1)^2),1/3)))</f>
        <v>2.1389677043987478</v>
      </c>
      <c r="AI711">
        <f t="shared" ca="1" si="362"/>
        <v>634.37696770439879</v>
      </c>
      <c r="AJ711">
        <f t="shared" ca="1" si="363"/>
        <v>635.44645155659816</v>
      </c>
      <c r="AM711">
        <v>0</v>
      </c>
      <c r="AN711">
        <v>0</v>
      </c>
      <c r="AO711">
        <f t="shared" si="364"/>
        <v>0</v>
      </c>
      <c r="AP711">
        <f t="shared" si="373"/>
        <v>0</v>
      </c>
      <c r="AQ711">
        <f t="shared" ca="1" si="365"/>
        <v>1.0000000000000004</v>
      </c>
      <c r="AR711" t="str">
        <f t="shared" ca="1" si="366"/>
        <v>Supercritical</v>
      </c>
      <c r="AS711">
        <f t="shared" ca="1" si="367"/>
        <v>3.8141460404132466E-3</v>
      </c>
    </row>
    <row r="712" spans="1:45" x14ac:dyDescent="0.35">
      <c r="A712">
        <v>651</v>
      </c>
      <c r="B712">
        <v>649.99599999999998</v>
      </c>
      <c r="C712">
        <v>616134.48100000003</v>
      </c>
      <c r="D712">
        <v>3097346.9849999999</v>
      </c>
      <c r="E712">
        <v>632.23749999999995</v>
      </c>
      <c r="F712">
        <v>5.2</v>
      </c>
      <c r="G712">
        <v>0</v>
      </c>
      <c r="H712" t="s">
        <v>154</v>
      </c>
      <c r="I712">
        <v>2.3E-2</v>
      </c>
      <c r="J712">
        <f t="shared" si="368"/>
        <v>1.0009999999999764</v>
      </c>
      <c r="K712">
        <f t="shared" ca="1" si="369"/>
        <v>50.95</v>
      </c>
      <c r="L712">
        <f t="shared" ca="1" si="370"/>
        <v>2.1389677043987478</v>
      </c>
      <c r="M712">
        <f t="shared" ca="1" si="343"/>
        <v>11.122632062873489</v>
      </c>
      <c r="N712">
        <f t="shared" ca="1" si="344"/>
        <v>1.1735290000551568</v>
      </c>
      <c r="O712">
        <f t="shared" ca="1" si="345"/>
        <v>4.5807502857230418</v>
      </c>
      <c r="P712">
        <f t="shared" ca="1" si="346"/>
        <v>634.37646770439869</v>
      </c>
      <c r="Q712">
        <f t="shared" ca="1" si="347"/>
        <v>635.44595155659806</v>
      </c>
      <c r="R712">
        <f t="shared" ca="1" si="348"/>
        <v>3.8141460404132466E-3</v>
      </c>
      <c r="S712">
        <f t="shared" ca="1" si="349"/>
        <v>1.0000000000000004</v>
      </c>
      <c r="T712">
        <f t="shared" ca="1" si="350"/>
        <v>35.686426155594638</v>
      </c>
      <c r="U712">
        <f t="shared" ca="1" si="371"/>
        <v>-3.3589570673484559E-3</v>
      </c>
      <c r="V712">
        <f t="shared" ca="1" si="372"/>
        <v>1</v>
      </c>
      <c r="W712">
        <f t="shared" ca="1" si="351"/>
        <v>1.7069123396811559</v>
      </c>
      <c r="X712">
        <f t="shared" ca="1" si="352"/>
        <v>8.8759441663420109</v>
      </c>
      <c r="Y712">
        <f t="shared" ca="1" si="353"/>
        <v>1.0304300931046004</v>
      </c>
      <c r="Z712">
        <f t="shared" ca="1" si="354"/>
        <v>5.7402343959310551</v>
      </c>
      <c r="AA712">
        <f t="shared" ca="1" si="355"/>
        <v>633.94441233968109</v>
      </c>
      <c r="AB712">
        <f t="shared" ca="1" si="356"/>
        <v>635.62383593398431</v>
      </c>
      <c r="AC712">
        <f t="shared" ca="1" si="357"/>
        <v>7.1233408674698318E-3</v>
      </c>
      <c r="AD712">
        <f t="shared" ca="1" si="358"/>
        <v>1.4027798340890132</v>
      </c>
      <c r="AE712">
        <f t="shared" ca="1" si="359"/>
        <v>37.388169421271378</v>
      </c>
      <c r="AF712">
        <f t="shared" ca="1" si="360"/>
        <v>6.623340867463412E-3</v>
      </c>
      <c r="AG712">
        <f t="shared" ca="1" si="361"/>
        <v>0</v>
      </c>
      <c r="AH712">
        <f ca="1">IFERROR(IF(V32="Supercritical",MAX($D$16,IFERROR(L712,MAX($D$16,POWER((ABS(K712)^2)/($I$5*MAX(F712,0.1)^2),1/3)))),IF(V32="Subcritical",MAX($D$16,IFERROR(W712,MAX($D$16,POWER((ABS(K712)^2)/($I$5*MAX(F712,0.1)^2),1/3)))),IF(AND(IFERROR(V712,0)=1,IFERROR(AG712,0)=1),IF(IFERROR(T712,-1E+99)&gt;=IFERROR(AE712,-1E+99),MAX($D$16,IFERROR(L712,MAX($D$16,POWER((ABS(K712)^2)/($I$5*MAX(F712,0.1)^2),1/3)))),MAX($D$16,IFERROR(W712,MAX($D$16,POWER((ABS(K712)^2)/($I$5*MAX(F712,0.1)^2),1/3))))),IF(IFERROR(V712,0)=1,MAX($D$16,IFERROR(L712,MAX($D$16,POWER((ABS(K712)^2)/($I$5*MAX(F712,0.1)^2),1/3)))),IF(IFERROR(AG712,0)=1,MAX($D$16,IFERROR(W712,MAX($D$16,POWER((ABS(K712)^2)/($I$5*MAX(F712,0.1)^2),1/3)))),MAX($D$16,POWER((ABS(K712)^2)/($I$5*MAX(F712,0.1)^2),1/3))))))),MAX($D$16,POWER((ABS(K712)^2)/($I$5*MAX(F712,0.1)^2),1/3)))</f>
        <v>2.1389677043987478</v>
      </c>
      <c r="AI712">
        <f t="shared" ca="1" si="362"/>
        <v>634.37646770439869</v>
      </c>
      <c r="AJ712">
        <f t="shared" ca="1" si="363"/>
        <v>635.44595155659806</v>
      </c>
      <c r="AM712">
        <v>0</v>
      </c>
      <c r="AN712">
        <v>0</v>
      </c>
      <c r="AO712">
        <f t="shared" si="364"/>
        <v>0</v>
      </c>
      <c r="AP712">
        <f t="shared" si="373"/>
        <v>0</v>
      </c>
      <c r="AQ712">
        <f t="shared" ca="1" si="365"/>
        <v>1.0000000000000004</v>
      </c>
      <c r="AR712" t="str">
        <f t="shared" ca="1" si="366"/>
        <v>Supercritical</v>
      </c>
      <c r="AS712">
        <f t="shared" ca="1" si="367"/>
        <v>3.8141460404132466E-3</v>
      </c>
    </row>
    <row r="713" spans="1:45" x14ac:dyDescent="0.35">
      <c r="A713">
        <v>652</v>
      </c>
      <c r="B713">
        <v>650.99599999999998</v>
      </c>
      <c r="C713">
        <v>616134.00699999998</v>
      </c>
      <c r="D713">
        <v>3097346.105</v>
      </c>
      <c r="E713">
        <v>632.23699999999997</v>
      </c>
      <c r="F713">
        <v>5.2</v>
      </c>
      <c r="G713">
        <v>0</v>
      </c>
      <c r="H713" t="s">
        <v>154</v>
      </c>
      <c r="I713">
        <v>0</v>
      </c>
      <c r="J713">
        <f t="shared" si="368"/>
        <v>1</v>
      </c>
      <c r="K713">
        <f t="shared" ca="1" si="369"/>
        <v>50.95</v>
      </c>
      <c r="L713">
        <f t="shared" ca="1" si="370"/>
        <v>2.1389677043987478</v>
      </c>
      <c r="M713">
        <f t="shared" ca="1" si="343"/>
        <v>11.122632062873489</v>
      </c>
      <c r="N713">
        <f t="shared" ca="1" si="344"/>
        <v>1.1735290000551568</v>
      </c>
      <c r="O713">
        <f t="shared" ca="1" si="345"/>
        <v>4.5807502857230418</v>
      </c>
      <c r="P713">
        <f t="shared" ca="1" si="346"/>
        <v>634.3759677043987</v>
      </c>
      <c r="Q713">
        <f t="shared" ca="1" si="347"/>
        <v>635.44545155659807</v>
      </c>
      <c r="R713">
        <f t="shared" ca="1" si="348"/>
        <v>3.8141460404132466E-3</v>
      </c>
      <c r="S713">
        <f t="shared" ca="1" si="349"/>
        <v>1.0000000000000004</v>
      </c>
      <c r="T713">
        <f t="shared" ca="1" si="350"/>
        <v>35.686426155594638</v>
      </c>
      <c r="U713">
        <f t="shared" ca="1" si="371"/>
        <v>-3.3141460404522149E-3</v>
      </c>
      <c r="V713">
        <f t="shared" ca="1" si="372"/>
        <v>1</v>
      </c>
      <c r="W713">
        <f t="shared" ca="1" si="351"/>
        <v>1.7069123396690824</v>
      </c>
      <c r="X713">
        <f t="shared" ca="1" si="352"/>
        <v>8.8759441662792291</v>
      </c>
      <c r="Y713">
        <f t="shared" ca="1" si="353"/>
        <v>1.0304300931002004</v>
      </c>
      <c r="Z713">
        <f t="shared" ca="1" si="354"/>
        <v>5.7402343959716573</v>
      </c>
      <c r="AA713">
        <f t="shared" ca="1" si="355"/>
        <v>633.94391233966905</v>
      </c>
      <c r="AB713">
        <f t="shared" ca="1" si="356"/>
        <v>635.62333593399603</v>
      </c>
      <c r="AC713">
        <f t="shared" ca="1" si="357"/>
        <v>7.1233408676111588E-3</v>
      </c>
      <c r="AD713">
        <f t="shared" ca="1" si="358"/>
        <v>1.4027798341038966</v>
      </c>
      <c r="AE713">
        <f t="shared" ca="1" si="359"/>
        <v>37.388169421375082</v>
      </c>
      <c r="AF713">
        <f t="shared" ca="1" si="360"/>
        <v>6.6917915885369439E-3</v>
      </c>
      <c r="AG713">
        <f t="shared" ca="1" si="361"/>
        <v>0</v>
      </c>
      <c r="AH713">
        <f ca="1">IFERROR(IF(V32="Supercritical",MAX($D$16,IFERROR(L713,MAX($D$16,POWER((ABS(K713)^2)/($I$5*MAX(F713,0.1)^2),1/3)))),IF(V32="Subcritical",MAX($D$16,IFERROR(W713,MAX($D$16,POWER((ABS(K713)^2)/($I$5*MAX(F713,0.1)^2),1/3)))),IF(AND(IFERROR(V713,0)=1,IFERROR(AG713,0)=1),IF(IFERROR(T713,-1E+99)&gt;=IFERROR(AE713,-1E+99),MAX($D$16,IFERROR(L713,MAX($D$16,POWER((ABS(K713)^2)/($I$5*MAX(F713,0.1)^2),1/3)))),MAX($D$16,IFERROR(W713,MAX($D$16,POWER((ABS(K713)^2)/($I$5*MAX(F713,0.1)^2),1/3))))),IF(IFERROR(V713,0)=1,MAX($D$16,IFERROR(L713,MAX($D$16,POWER((ABS(K713)^2)/($I$5*MAX(F713,0.1)^2),1/3)))),IF(IFERROR(AG713,0)=1,MAX($D$16,IFERROR(W713,MAX($D$16,POWER((ABS(K713)^2)/($I$5*MAX(F713,0.1)^2),1/3)))),MAX($D$16,POWER((ABS(K713)^2)/($I$5*MAX(F713,0.1)^2),1/3))))))),MAX($D$16,POWER((ABS(K713)^2)/($I$5*MAX(F713,0.1)^2),1/3)))</f>
        <v>2.1389677043987478</v>
      </c>
      <c r="AI713">
        <f t="shared" ca="1" si="362"/>
        <v>634.3759677043987</v>
      </c>
      <c r="AJ713">
        <f t="shared" ca="1" si="363"/>
        <v>635.44545155659807</v>
      </c>
      <c r="AM713">
        <v>0</v>
      </c>
      <c r="AN713">
        <v>0</v>
      </c>
      <c r="AO713">
        <f t="shared" si="364"/>
        <v>0</v>
      </c>
      <c r="AP713">
        <f t="shared" si="373"/>
        <v>0</v>
      </c>
      <c r="AQ713">
        <f t="shared" ca="1" si="365"/>
        <v>1.0000000000000004</v>
      </c>
      <c r="AR713" t="str">
        <f t="shared" ca="1" si="366"/>
        <v>Supercritical</v>
      </c>
      <c r="AS713">
        <f t="shared" ca="1" si="367"/>
        <v>3.8141460404132466E-3</v>
      </c>
    </row>
    <row r="714" spans="1:45" x14ac:dyDescent="0.35">
      <c r="A714">
        <v>653</v>
      </c>
      <c r="B714">
        <v>651.995</v>
      </c>
      <c r="C714">
        <v>616133.53300000005</v>
      </c>
      <c r="D714">
        <v>3097345.2250000001</v>
      </c>
      <c r="E714">
        <v>632.23649999999998</v>
      </c>
      <c r="F714">
        <v>5.2</v>
      </c>
      <c r="G714">
        <v>0</v>
      </c>
      <c r="H714" t="s">
        <v>154</v>
      </c>
      <c r="I714">
        <v>2.7E-2</v>
      </c>
      <c r="J714">
        <f t="shared" si="368"/>
        <v>0.99900000000002365</v>
      </c>
      <c r="K714">
        <f t="shared" ca="1" si="369"/>
        <v>50.95</v>
      </c>
      <c r="L714">
        <f t="shared" ca="1" si="370"/>
        <v>2.1389677043987478</v>
      </c>
      <c r="M714">
        <f t="shared" ca="1" si="343"/>
        <v>11.122632062873489</v>
      </c>
      <c r="N714">
        <f t="shared" ca="1" si="344"/>
        <v>1.1735290000551568</v>
      </c>
      <c r="O714">
        <f t="shared" ca="1" si="345"/>
        <v>4.5807502857230418</v>
      </c>
      <c r="P714">
        <f t="shared" ca="1" si="346"/>
        <v>634.37546770439872</v>
      </c>
      <c r="Q714">
        <f t="shared" ca="1" si="347"/>
        <v>635.44495155659808</v>
      </c>
      <c r="R714">
        <f t="shared" ca="1" si="348"/>
        <v>3.8141460404132466E-3</v>
      </c>
      <c r="S714">
        <f t="shared" ca="1" si="349"/>
        <v>1.0000000000000004</v>
      </c>
      <c r="T714">
        <f t="shared" ca="1" si="350"/>
        <v>35.686426155594638</v>
      </c>
      <c r="U714">
        <f t="shared" ca="1" si="371"/>
        <v>-3.3584586676624895E-3</v>
      </c>
      <c r="V714">
        <f t="shared" ca="1" si="372"/>
        <v>1</v>
      </c>
      <c r="W714">
        <f t="shared" ca="1" si="351"/>
        <v>1.7069123396578274</v>
      </c>
      <c r="X714">
        <f t="shared" ca="1" si="352"/>
        <v>8.8759441662207035</v>
      </c>
      <c r="Y714">
        <f t="shared" ca="1" si="353"/>
        <v>1.0304300930960988</v>
      </c>
      <c r="Z714">
        <f t="shared" ca="1" si="354"/>
        <v>5.7402343960095061</v>
      </c>
      <c r="AA714">
        <f t="shared" ca="1" si="355"/>
        <v>633.94341233965781</v>
      </c>
      <c r="AB714">
        <f t="shared" ca="1" si="356"/>
        <v>635.62283593400696</v>
      </c>
      <c r="AC714">
        <f t="shared" ca="1" si="357"/>
        <v>7.1233408677429024E-3</v>
      </c>
      <c r="AD714">
        <f t="shared" ca="1" si="358"/>
        <v>1.4027798341177709</v>
      </c>
      <c r="AE714">
        <f t="shared" ca="1" si="359"/>
        <v>37.388169421471773</v>
      </c>
      <c r="AF714">
        <f t="shared" ca="1" si="360"/>
        <v>6.7060382702948118E-3</v>
      </c>
      <c r="AG714">
        <f t="shared" ca="1" si="361"/>
        <v>0</v>
      </c>
      <c r="AH714">
        <f ca="1">IFERROR(IF(V32="Supercritical",MAX($D$16,IFERROR(L714,MAX($D$16,POWER((ABS(K714)^2)/($I$5*MAX(F714,0.1)^2),1/3)))),IF(V32="Subcritical",MAX($D$16,IFERROR(W714,MAX($D$16,POWER((ABS(K714)^2)/($I$5*MAX(F714,0.1)^2),1/3)))),IF(AND(IFERROR(V714,0)=1,IFERROR(AG714,0)=1),IF(IFERROR(T714,-1E+99)&gt;=IFERROR(AE714,-1E+99),MAX($D$16,IFERROR(L714,MAX($D$16,POWER((ABS(K714)^2)/($I$5*MAX(F714,0.1)^2),1/3)))),MAX($D$16,IFERROR(W714,MAX($D$16,POWER((ABS(K714)^2)/($I$5*MAX(F714,0.1)^2),1/3))))),IF(IFERROR(V714,0)=1,MAX($D$16,IFERROR(L714,MAX($D$16,POWER((ABS(K714)^2)/($I$5*MAX(F714,0.1)^2),1/3)))),IF(IFERROR(AG714,0)=1,MAX($D$16,IFERROR(W714,MAX($D$16,POWER((ABS(K714)^2)/($I$5*MAX(F714,0.1)^2),1/3)))),MAX($D$16,POWER((ABS(K714)^2)/($I$5*MAX(F714,0.1)^2),1/3))))))),MAX($D$16,POWER((ABS(K714)^2)/($I$5*MAX(F714,0.1)^2),1/3)))</f>
        <v>2.1389677043987478</v>
      </c>
      <c r="AI714">
        <f t="shared" ca="1" si="362"/>
        <v>634.37546770439872</v>
      </c>
      <c r="AJ714">
        <f t="shared" ca="1" si="363"/>
        <v>635.44495155659808</v>
      </c>
      <c r="AM714">
        <v>0</v>
      </c>
      <c r="AN714">
        <v>0</v>
      </c>
      <c r="AO714">
        <f t="shared" si="364"/>
        <v>0</v>
      </c>
      <c r="AP714">
        <f t="shared" si="373"/>
        <v>0</v>
      </c>
      <c r="AQ714">
        <f t="shared" ca="1" si="365"/>
        <v>1.0000000000000004</v>
      </c>
      <c r="AR714" t="str">
        <f t="shared" ca="1" si="366"/>
        <v>Supercritical</v>
      </c>
      <c r="AS714">
        <f t="shared" ca="1" si="367"/>
        <v>3.8141460404132466E-3</v>
      </c>
    </row>
    <row r="715" spans="1:45" x14ac:dyDescent="0.35">
      <c r="A715">
        <v>654</v>
      </c>
      <c r="B715">
        <v>652.99599999999998</v>
      </c>
      <c r="C715">
        <v>616133.05900000001</v>
      </c>
      <c r="D715">
        <v>3097344.344</v>
      </c>
      <c r="E715">
        <v>632.23599999999999</v>
      </c>
      <c r="F715">
        <v>5.2</v>
      </c>
      <c r="G715">
        <v>0</v>
      </c>
      <c r="H715" t="s">
        <v>154</v>
      </c>
      <c r="I715">
        <v>2.7E-2</v>
      </c>
      <c r="J715">
        <f t="shared" si="368"/>
        <v>1.0009999999999764</v>
      </c>
      <c r="K715">
        <f t="shared" ca="1" si="369"/>
        <v>50.95</v>
      </c>
      <c r="L715">
        <f t="shared" ca="1" si="370"/>
        <v>2.1389677043987478</v>
      </c>
      <c r="M715">
        <f t="shared" ca="1" si="343"/>
        <v>11.122632062873489</v>
      </c>
      <c r="N715">
        <f t="shared" ca="1" si="344"/>
        <v>1.1735290000551568</v>
      </c>
      <c r="O715">
        <f t="shared" ca="1" si="345"/>
        <v>4.5807502857230418</v>
      </c>
      <c r="P715">
        <f t="shared" ca="1" si="346"/>
        <v>634.37496770439873</v>
      </c>
      <c r="Q715">
        <f t="shared" ca="1" si="347"/>
        <v>635.4444515565981</v>
      </c>
      <c r="R715">
        <f t="shared" ca="1" si="348"/>
        <v>3.8141460404132466E-3</v>
      </c>
      <c r="S715">
        <f t="shared" ca="1" si="349"/>
        <v>1.0000000000000004</v>
      </c>
      <c r="T715">
        <f t="shared" ca="1" si="350"/>
        <v>35.686426155594638</v>
      </c>
      <c r="U715">
        <f t="shared" ca="1" si="371"/>
        <v>-3.3660869597724741E-3</v>
      </c>
      <c r="V715">
        <f t="shared" ca="1" si="372"/>
        <v>1</v>
      </c>
      <c r="W715">
        <f t="shared" ca="1" si="351"/>
        <v>1.7069123396473056</v>
      </c>
      <c r="X715">
        <f t="shared" ca="1" si="352"/>
        <v>8.8759441661659899</v>
      </c>
      <c r="Y715">
        <f t="shared" ca="1" si="353"/>
        <v>1.0304300930922643</v>
      </c>
      <c r="Z715">
        <f t="shared" ca="1" si="354"/>
        <v>5.7402343960448912</v>
      </c>
      <c r="AA715">
        <f t="shared" ca="1" si="355"/>
        <v>633.94291233964725</v>
      </c>
      <c r="AB715">
        <f t="shared" ca="1" si="356"/>
        <v>635.62233593401709</v>
      </c>
      <c r="AC715">
        <f t="shared" ca="1" si="357"/>
        <v>7.1233408678660695E-3</v>
      </c>
      <c r="AD715">
        <f t="shared" ca="1" si="358"/>
        <v>1.4027798341307418</v>
      </c>
      <c r="AE715">
        <f t="shared" ca="1" si="359"/>
        <v>37.388169421562147</v>
      </c>
      <c r="AF715">
        <f t="shared" ca="1" si="360"/>
        <v>6.6805954314759219E-3</v>
      </c>
      <c r="AG715">
        <f t="shared" ca="1" si="361"/>
        <v>0</v>
      </c>
      <c r="AH715">
        <f ca="1">IFERROR(IF(V32="Supercritical",MAX($D$16,IFERROR(L715,MAX($D$16,POWER((ABS(K715)^2)/($I$5*MAX(F715,0.1)^2),1/3)))),IF(V32="Subcritical",MAX($D$16,IFERROR(W715,MAX($D$16,POWER((ABS(K715)^2)/($I$5*MAX(F715,0.1)^2),1/3)))),IF(AND(IFERROR(V715,0)=1,IFERROR(AG715,0)=1),IF(IFERROR(T715,-1E+99)&gt;=IFERROR(AE715,-1E+99),MAX($D$16,IFERROR(L715,MAX($D$16,POWER((ABS(K715)^2)/($I$5*MAX(F715,0.1)^2),1/3)))),MAX($D$16,IFERROR(W715,MAX($D$16,POWER((ABS(K715)^2)/($I$5*MAX(F715,0.1)^2),1/3))))),IF(IFERROR(V715,0)=1,MAX($D$16,IFERROR(L715,MAX($D$16,POWER((ABS(K715)^2)/($I$5*MAX(F715,0.1)^2),1/3)))),IF(IFERROR(AG715,0)=1,MAX($D$16,IFERROR(W715,MAX($D$16,POWER((ABS(K715)^2)/($I$5*MAX(F715,0.1)^2),1/3)))),MAX($D$16,POWER((ABS(K715)^2)/($I$5*MAX(F715,0.1)^2),1/3))))))),MAX($D$16,POWER((ABS(K715)^2)/($I$5*MAX(F715,0.1)^2),1/3)))</f>
        <v>2.1389677043987478</v>
      </c>
      <c r="AI715">
        <f t="shared" ca="1" si="362"/>
        <v>634.37496770439873</v>
      </c>
      <c r="AJ715">
        <f t="shared" ca="1" si="363"/>
        <v>635.4444515565981</v>
      </c>
      <c r="AM715">
        <v>0</v>
      </c>
      <c r="AN715">
        <v>0</v>
      </c>
      <c r="AO715">
        <f t="shared" si="364"/>
        <v>0</v>
      </c>
      <c r="AP715">
        <f t="shared" si="373"/>
        <v>0</v>
      </c>
      <c r="AQ715">
        <f t="shared" ca="1" si="365"/>
        <v>1.0000000000000004</v>
      </c>
      <c r="AR715" t="str">
        <f t="shared" ca="1" si="366"/>
        <v>Supercritical</v>
      </c>
      <c r="AS715">
        <f t="shared" ca="1" si="367"/>
        <v>3.8141460404132466E-3</v>
      </c>
    </row>
    <row r="716" spans="1:45" x14ac:dyDescent="0.35">
      <c r="A716">
        <v>655</v>
      </c>
      <c r="B716">
        <v>653.995</v>
      </c>
      <c r="C716">
        <v>616132.58499999996</v>
      </c>
      <c r="D716">
        <v>3097343.4640000002</v>
      </c>
      <c r="E716">
        <v>632.2355</v>
      </c>
      <c r="F716">
        <v>5.2</v>
      </c>
      <c r="G716">
        <v>0</v>
      </c>
      <c r="H716" t="s">
        <v>154</v>
      </c>
      <c r="I716">
        <v>2.3E-2</v>
      </c>
      <c r="J716">
        <f t="shared" si="368"/>
        <v>0.99900000000002365</v>
      </c>
      <c r="K716">
        <f t="shared" ca="1" si="369"/>
        <v>50.95</v>
      </c>
      <c r="L716">
        <f t="shared" ca="1" si="370"/>
        <v>2.1389677043987478</v>
      </c>
      <c r="M716">
        <f t="shared" ca="1" si="343"/>
        <v>11.122632062873489</v>
      </c>
      <c r="N716">
        <f t="shared" ca="1" si="344"/>
        <v>1.1735290000551568</v>
      </c>
      <c r="O716">
        <f t="shared" ca="1" si="345"/>
        <v>4.5807502857230418</v>
      </c>
      <c r="P716">
        <f t="shared" ca="1" si="346"/>
        <v>634.37446770439874</v>
      </c>
      <c r="Q716">
        <f t="shared" ca="1" si="347"/>
        <v>635.44395155659811</v>
      </c>
      <c r="R716">
        <f t="shared" ca="1" si="348"/>
        <v>3.8141460404132466E-3</v>
      </c>
      <c r="S716">
        <f t="shared" ca="1" si="349"/>
        <v>1.0000000000000004</v>
      </c>
      <c r="T716">
        <f t="shared" ca="1" si="350"/>
        <v>35.686426155594638</v>
      </c>
      <c r="U716">
        <f t="shared" ca="1" si="371"/>
        <v>-3.3513287753521581E-3</v>
      </c>
      <c r="V716">
        <f t="shared" ca="1" si="372"/>
        <v>1</v>
      </c>
      <c r="W716">
        <f t="shared" ca="1" si="351"/>
        <v>1.7069123396374659</v>
      </c>
      <c r="X716">
        <f t="shared" ca="1" si="352"/>
        <v>8.8759441661148237</v>
      </c>
      <c r="Y716">
        <f t="shared" ca="1" si="353"/>
        <v>1.0304300930886783</v>
      </c>
      <c r="Z716">
        <f t="shared" ca="1" si="354"/>
        <v>5.7402343960779811</v>
      </c>
      <c r="AA716">
        <f t="shared" ca="1" si="355"/>
        <v>633.94241233963749</v>
      </c>
      <c r="AB716">
        <f t="shared" ca="1" si="356"/>
        <v>635.62183593402676</v>
      </c>
      <c r="AC716">
        <f t="shared" ca="1" si="357"/>
        <v>7.1233408679812465E-3</v>
      </c>
      <c r="AD716">
        <f t="shared" ca="1" si="358"/>
        <v>1.4027798341428712</v>
      </c>
      <c r="AE716">
        <f t="shared" ca="1" si="359"/>
        <v>37.388169421646673</v>
      </c>
      <c r="AF716">
        <f t="shared" ca="1" si="360"/>
        <v>6.6948421133474767E-3</v>
      </c>
      <c r="AG716">
        <f t="shared" ca="1" si="361"/>
        <v>0</v>
      </c>
      <c r="AH716">
        <f ca="1">IFERROR(IF(V32="Supercritical",MAX($D$16,IFERROR(L716,MAX($D$16,POWER((ABS(K716)^2)/($I$5*MAX(F716,0.1)^2),1/3)))),IF(V32="Subcritical",MAX($D$16,IFERROR(W716,MAX($D$16,POWER((ABS(K716)^2)/($I$5*MAX(F716,0.1)^2),1/3)))),IF(AND(IFERROR(V716,0)=1,IFERROR(AG716,0)=1),IF(IFERROR(T716,-1E+99)&gt;=IFERROR(AE716,-1E+99),MAX($D$16,IFERROR(L716,MAX($D$16,POWER((ABS(K716)^2)/($I$5*MAX(F716,0.1)^2),1/3)))),MAX($D$16,IFERROR(W716,MAX($D$16,POWER((ABS(K716)^2)/($I$5*MAX(F716,0.1)^2),1/3))))),IF(IFERROR(V716,0)=1,MAX($D$16,IFERROR(L716,MAX($D$16,POWER((ABS(K716)^2)/($I$5*MAX(F716,0.1)^2),1/3)))),IF(IFERROR(AG716,0)=1,MAX($D$16,IFERROR(W716,MAX($D$16,POWER((ABS(K716)^2)/($I$5*MAX(F716,0.1)^2),1/3)))),MAX($D$16,POWER((ABS(K716)^2)/($I$5*MAX(F716,0.1)^2),1/3))))))),MAX($D$16,POWER((ABS(K716)^2)/($I$5*MAX(F716,0.1)^2),1/3)))</f>
        <v>2.1389677043987478</v>
      </c>
      <c r="AI716">
        <f t="shared" ca="1" si="362"/>
        <v>634.37446770439874</v>
      </c>
      <c r="AJ716">
        <f t="shared" ca="1" si="363"/>
        <v>635.44395155659811</v>
      </c>
      <c r="AM716">
        <v>0</v>
      </c>
      <c r="AN716">
        <v>0</v>
      </c>
      <c r="AO716">
        <f t="shared" si="364"/>
        <v>0</v>
      </c>
      <c r="AP716">
        <f t="shared" si="373"/>
        <v>0</v>
      </c>
      <c r="AQ716">
        <f t="shared" ca="1" si="365"/>
        <v>1.0000000000000004</v>
      </c>
      <c r="AR716" t="str">
        <f t="shared" ca="1" si="366"/>
        <v>Supercritical</v>
      </c>
      <c r="AS716">
        <f t="shared" ca="1" si="367"/>
        <v>3.8141460404132466E-3</v>
      </c>
    </row>
    <row r="717" spans="1:45" x14ac:dyDescent="0.35">
      <c r="A717">
        <v>656</v>
      </c>
      <c r="B717">
        <v>654.99599999999998</v>
      </c>
      <c r="C717">
        <v>616132.11</v>
      </c>
      <c r="D717">
        <v>3097342.5830000001</v>
      </c>
      <c r="E717">
        <v>632.23500000000001</v>
      </c>
      <c r="F717">
        <v>5.2</v>
      </c>
      <c r="G717">
        <v>0</v>
      </c>
      <c r="H717" t="s">
        <v>154</v>
      </c>
      <c r="I717">
        <v>2.3E-2</v>
      </c>
      <c r="J717">
        <f t="shared" si="368"/>
        <v>1.0009999999999764</v>
      </c>
      <c r="K717">
        <f t="shared" ca="1" si="369"/>
        <v>50.95</v>
      </c>
      <c r="L717">
        <f t="shared" ca="1" si="370"/>
        <v>2.1389677043987478</v>
      </c>
      <c r="M717">
        <f t="shared" ca="1" si="343"/>
        <v>11.122632062873489</v>
      </c>
      <c r="N717">
        <f t="shared" ca="1" si="344"/>
        <v>1.1735290000551568</v>
      </c>
      <c r="O717">
        <f t="shared" ca="1" si="345"/>
        <v>4.5807502857230418</v>
      </c>
      <c r="P717">
        <f t="shared" ca="1" si="346"/>
        <v>634.37396770439875</v>
      </c>
      <c r="Q717">
        <f t="shared" ca="1" si="347"/>
        <v>635.44345155659812</v>
      </c>
      <c r="R717">
        <f t="shared" ca="1" si="348"/>
        <v>3.8141460404132466E-3</v>
      </c>
      <c r="S717">
        <f t="shared" ca="1" si="349"/>
        <v>1.0000000000000004</v>
      </c>
      <c r="T717">
        <f t="shared" ca="1" si="350"/>
        <v>35.686426155594638</v>
      </c>
      <c r="U717">
        <f t="shared" ca="1" si="371"/>
        <v>-3.3589570674621427E-3</v>
      </c>
      <c r="V717">
        <f t="shared" ca="1" si="372"/>
        <v>1</v>
      </c>
      <c r="W717">
        <f t="shared" ca="1" si="351"/>
        <v>1.7069123396282915</v>
      </c>
      <c r="X717">
        <f t="shared" ca="1" si="352"/>
        <v>8.8759441660671161</v>
      </c>
      <c r="Y717">
        <f t="shared" ca="1" si="353"/>
        <v>1.030430093085335</v>
      </c>
      <c r="Z717">
        <f t="shared" ca="1" si="354"/>
        <v>5.7402343961088347</v>
      </c>
      <c r="AA717">
        <f t="shared" ca="1" si="355"/>
        <v>633.94191233962829</v>
      </c>
      <c r="AB717">
        <f t="shared" ca="1" si="356"/>
        <v>635.62133593403553</v>
      </c>
      <c r="AC717">
        <f t="shared" ca="1" si="357"/>
        <v>7.1233408680886371E-3</v>
      </c>
      <c r="AD717">
        <f t="shared" ca="1" si="358"/>
        <v>1.4027798341541811</v>
      </c>
      <c r="AE717">
        <f t="shared" ca="1" si="359"/>
        <v>37.388169421725486</v>
      </c>
      <c r="AF717">
        <f t="shared" ca="1" si="360"/>
        <v>6.623340868145533E-3</v>
      </c>
      <c r="AG717">
        <f t="shared" ca="1" si="361"/>
        <v>0</v>
      </c>
      <c r="AH717">
        <f ca="1">IFERROR(IF(V32="Supercritical",MAX($D$16,IFERROR(L717,MAX($D$16,POWER((ABS(K717)^2)/($I$5*MAX(F717,0.1)^2),1/3)))),IF(V32="Subcritical",MAX($D$16,IFERROR(W717,MAX($D$16,POWER((ABS(K717)^2)/($I$5*MAX(F717,0.1)^2),1/3)))),IF(AND(IFERROR(V717,0)=1,IFERROR(AG717,0)=1),IF(IFERROR(T717,-1E+99)&gt;=IFERROR(AE717,-1E+99),MAX($D$16,IFERROR(L717,MAX($D$16,POWER((ABS(K717)^2)/($I$5*MAX(F717,0.1)^2),1/3)))),MAX($D$16,IFERROR(W717,MAX($D$16,POWER((ABS(K717)^2)/($I$5*MAX(F717,0.1)^2),1/3))))),IF(IFERROR(V717,0)=1,MAX($D$16,IFERROR(L717,MAX($D$16,POWER((ABS(K717)^2)/($I$5*MAX(F717,0.1)^2),1/3)))),IF(IFERROR(AG717,0)=1,MAX($D$16,IFERROR(W717,MAX($D$16,POWER((ABS(K717)^2)/($I$5*MAX(F717,0.1)^2),1/3)))),MAX($D$16,POWER((ABS(K717)^2)/($I$5*MAX(F717,0.1)^2),1/3))))))),MAX($D$16,POWER((ABS(K717)^2)/($I$5*MAX(F717,0.1)^2),1/3)))</f>
        <v>2.1389677043987478</v>
      </c>
      <c r="AI717">
        <f t="shared" ca="1" si="362"/>
        <v>634.37396770439875</v>
      </c>
      <c r="AJ717">
        <f t="shared" ca="1" si="363"/>
        <v>635.44345155659812</v>
      </c>
      <c r="AM717">
        <v>0</v>
      </c>
      <c r="AN717">
        <v>0</v>
      </c>
      <c r="AO717">
        <f t="shared" si="364"/>
        <v>0</v>
      </c>
      <c r="AP717">
        <f t="shared" si="373"/>
        <v>0</v>
      </c>
      <c r="AQ717">
        <f t="shared" ca="1" si="365"/>
        <v>1.0000000000000004</v>
      </c>
      <c r="AR717" t="str">
        <f t="shared" ca="1" si="366"/>
        <v>Supercritical</v>
      </c>
      <c r="AS717">
        <f t="shared" ca="1" si="367"/>
        <v>3.8141460404132466E-3</v>
      </c>
    </row>
    <row r="718" spans="1:45" x14ac:dyDescent="0.35">
      <c r="A718">
        <v>657</v>
      </c>
      <c r="B718">
        <v>655.99599999999998</v>
      </c>
      <c r="C718">
        <v>616131.63600000006</v>
      </c>
      <c r="D718">
        <v>3097341.7030000002</v>
      </c>
      <c r="E718">
        <v>632.23450000000003</v>
      </c>
      <c r="F718">
        <v>5.2</v>
      </c>
      <c r="G718">
        <v>0</v>
      </c>
      <c r="H718" t="s">
        <v>154</v>
      </c>
      <c r="I718">
        <v>0</v>
      </c>
      <c r="J718">
        <f t="shared" si="368"/>
        <v>1</v>
      </c>
      <c r="K718">
        <f t="shared" ca="1" si="369"/>
        <v>50.95</v>
      </c>
      <c r="L718">
        <f t="shared" ca="1" si="370"/>
        <v>2.1389677043987478</v>
      </c>
      <c r="M718">
        <f t="shared" ca="1" si="343"/>
        <v>11.122632062873489</v>
      </c>
      <c r="N718">
        <f t="shared" ca="1" si="344"/>
        <v>1.1735290000551568</v>
      </c>
      <c r="O718">
        <f t="shared" ca="1" si="345"/>
        <v>4.5807502857230418</v>
      </c>
      <c r="P718">
        <f t="shared" ca="1" si="346"/>
        <v>634.37346770439876</v>
      </c>
      <c r="Q718">
        <f t="shared" ca="1" si="347"/>
        <v>635.44295155659813</v>
      </c>
      <c r="R718">
        <f t="shared" ca="1" si="348"/>
        <v>3.8141460404132466E-3</v>
      </c>
      <c r="S718">
        <f t="shared" ca="1" si="349"/>
        <v>1.0000000000000004</v>
      </c>
      <c r="T718">
        <f t="shared" ca="1" si="350"/>
        <v>35.686426155594638</v>
      </c>
      <c r="U718">
        <f t="shared" ca="1" si="371"/>
        <v>-3.3141460404522149E-3</v>
      </c>
      <c r="V718">
        <f t="shared" ca="1" si="372"/>
        <v>1</v>
      </c>
      <c r="W718">
        <f t="shared" ca="1" si="351"/>
        <v>1.7069123396197308</v>
      </c>
      <c r="X718">
        <f t="shared" ca="1" si="352"/>
        <v>8.8759441660226006</v>
      </c>
      <c r="Y718">
        <f t="shared" ca="1" si="353"/>
        <v>1.030430093082215</v>
      </c>
      <c r="Z718">
        <f t="shared" ca="1" si="354"/>
        <v>5.7402343961376232</v>
      </c>
      <c r="AA718">
        <f t="shared" ca="1" si="355"/>
        <v>633.94141233961977</v>
      </c>
      <c r="AB718">
        <f t="shared" ca="1" si="356"/>
        <v>635.62083593404395</v>
      </c>
      <c r="AC718">
        <f t="shared" ca="1" si="357"/>
        <v>7.1233408681888495E-3</v>
      </c>
      <c r="AD718">
        <f t="shared" ca="1" si="358"/>
        <v>1.402779834164734</v>
      </c>
      <c r="AE718">
        <f t="shared" ca="1" si="359"/>
        <v>37.38816942179902</v>
      </c>
      <c r="AF718">
        <f t="shared" ca="1" si="360"/>
        <v>6.6917915891053781E-3</v>
      </c>
      <c r="AG718">
        <f t="shared" ca="1" si="361"/>
        <v>0</v>
      </c>
      <c r="AH718">
        <f ca="1">IFERROR(IF(V32="Supercritical",MAX($D$16,IFERROR(L718,MAX($D$16,POWER((ABS(K718)^2)/($I$5*MAX(F718,0.1)^2),1/3)))),IF(V32="Subcritical",MAX($D$16,IFERROR(W718,MAX($D$16,POWER((ABS(K718)^2)/($I$5*MAX(F718,0.1)^2),1/3)))),IF(AND(IFERROR(V718,0)=1,IFERROR(AG718,0)=1),IF(IFERROR(T718,-1E+99)&gt;=IFERROR(AE718,-1E+99),MAX($D$16,IFERROR(L718,MAX($D$16,POWER((ABS(K718)^2)/($I$5*MAX(F718,0.1)^2),1/3)))),MAX($D$16,IFERROR(W718,MAX($D$16,POWER((ABS(K718)^2)/($I$5*MAX(F718,0.1)^2),1/3))))),IF(IFERROR(V718,0)=1,MAX($D$16,IFERROR(L718,MAX($D$16,POWER((ABS(K718)^2)/($I$5*MAX(F718,0.1)^2),1/3)))),IF(IFERROR(AG718,0)=1,MAX($D$16,IFERROR(W718,MAX($D$16,POWER((ABS(K718)^2)/($I$5*MAX(F718,0.1)^2),1/3)))),MAX($D$16,POWER((ABS(K718)^2)/($I$5*MAX(F718,0.1)^2),1/3))))))),MAX($D$16,POWER((ABS(K718)^2)/($I$5*MAX(F718,0.1)^2),1/3)))</f>
        <v>2.1389677043987478</v>
      </c>
      <c r="AI718">
        <f t="shared" ca="1" si="362"/>
        <v>634.37346770439876</v>
      </c>
      <c r="AJ718">
        <f t="shared" ca="1" si="363"/>
        <v>635.44295155659813</v>
      </c>
      <c r="AM718">
        <v>0</v>
      </c>
      <c r="AN718">
        <v>0</v>
      </c>
      <c r="AO718">
        <f t="shared" si="364"/>
        <v>0</v>
      </c>
      <c r="AP718">
        <f t="shared" si="373"/>
        <v>0</v>
      </c>
      <c r="AQ718">
        <f t="shared" ca="1" si="365"/>
        <v>1.0000000000000004</v>
      </c>
      <c r="AR718" t="str">
        <f t="shared" ca="1" si="366"/>
        <v>Supercritical</v>
      </c>
      <c r="AS718">
        <f t="shared" ca="1" si="367"/>
        <v>3.8141460404132466E-3</v>
      </c>
    </row>
    <row r="719" spans="1:45" x14ac:dyDescent="0.35">
      <c r="A719">
        <v>658</v>
      </c>
      <c r="B719">
        <v>656.995</v>
      </c>
      <c r="C719">
        <v>616131.16200000001</v>
      </c>
      <c r="D719">
        <v>3097340.8229999999</v>
      </c>
      <c r="E719">
        <v>632.23400000000004</v>
      </c>
      <c r="F719">
        <v>5.2</v>
      </c>
      <c r="G719">
        <v>0</v>
      </c>
      <c r="H719" t="s">
        <v>154</v>
      </c>
      <c r="I719">
        <v>2.7E-2</v>
      </c>
      <c r="J719">
        <f t="shared" si="368"/>
        <v>0.99900000000002365</v>
      </c>
      <c r="K719">
        <f t="shared" ca="1" si="369"/>
        <v>50.95</v>
      </c>
      <c r="L719">
        <f t="shared" ca="1" si="370"/>
        <v>2.1389677043987478</v>
      </c>
      <c r="M719">
        <f t="shared" ca="1" si="343"/>
        <v>11.122632062873489</v>
      </c>
      <c r="N719">
        <f t="shared" ca="1" si="344"/>
        <v>1.1735290000551568</v>
      </c>
      <c r="O719">
        <f t="shared" ca="1" si="345"/>
        <v>4.5807502857230418</v>
      </c>
      <c r="P719">
        <f t="shared" ca="1" si="346"/>
        <v>634.37296770439877</v>
      </c>
      <c r="Q719">
        <f t="shared" ca="1" si="347"/>
        <v>635.44245155659814</v>
      </c>
      <c r="R719">
        <f t="shared" ca="1" si="348"/>
        <v>3.8141460404132466E-3</v>
      </c>
      <c r="S719">
        <f t="shared" ca="1" si="349"/>
        <v>1.0000000000000004</v>
      </c>
      <c r="T719">
        <f t="shared" ca="1" si="350"/>
        <v>35.686426155594638</v>
      </c>
      <c r="U719">
        <f t="shared" ca="1" si="371"/>
        <v>-3.3584586676624895E-3</v>
      </c>
      <c r="V719">
        <f t="shared" ca="1" si="372"/>
        <v>1</v>
      </c>
      <c r="W719">
        <f t="shared" ca="1" si="351"/>
        <v>1.7069123396117329</v>
      </c>
      <c r="X719">
        <f t="shared" ca="1" si="352"/>
        <v>8.8759441659810108</v>
      </c>
      <c r="Y719">
        <f t="shared" ca="1" si="353"/>
        <v>1.0304300930793004</v>
      </c>
      <c r="Z719">
        <f t="shared" ca="1" si="354"/>
        <v>5.7402343961645199</v>
      </c>
      <c r="AA719">
        <f t="shared" ca="1" si="355"/>
        <v>633.94091233961171</v>
      </c>
      <c r="AB719">
        <f t="shared" ca="1" si="356"/>
        <v>635.62033593405158</v>
      </c>
      <c r="AC719">
        <f t="shared" ca="1" si="357"/>
        <v>7.1233408682824656E-3</v>
      </c>
      <c r="AD719">
        <f t="shared" ca="1" si="358"/>
        <v>1.4027798341745934</v>
      </c>
      <c r="AE719">
        <f t="shared" ca="1" si="359"/>
        <v>37.38816942186773</v>
      </c>
      <c r="AF719">
        <f t="shared" ca="1" si="360"/>
        <v>6.8487892764323988E-3</v>
      </c>
      <c r="AG719">
        <f t="shared" ca="1" si="361"/>
        <v>0</v>
      </c>
      <c r="AH719">
        <f ca="1">IFERROR(IF(V32="Supercritical",MAX($D$16,IFERROR(L719,MAX($D$16,POWER((ABS(K719)^2)/($I$5*MAX(F719,0.1)^2),1/3)))),IF(V32="Subcritical",MAX($D$16,IFERROR(W719,MAX($D$16,POWER((ABS(K719)^2)/($I$5*MAX(F719,0.1)^2),1/3)))),IF(AND(IFERROR(V719,0)=1,IFERROR(AG719,0)=1),IF(IFERROR(T719,-1E+99)&gt;=IFERROR(AE719,-1E+99),MAX($D$16,IFERROR(L719,MAX($D$16,POWER((ABS(K719)^2)/($I$5*MAX(F719,0.1)^2),1/3)))),MAX($D$16,IFERROR(W719,MAX($D$16,POWER((ABS(K719)^2)/($I$5*MAX(F719,0.1)^2),1/3))))),IF(IFERROR(V719,0)=1,MAX($D$16,IFERROR(L719,MAX($D$16,POWER((ABS(K719)^2)/($I$5*MAX(F719,0.1)^2),1/3)))),IF(IFERROR(AG719,0)=1,MAX($D$16,IFERROR(W719,MAX($D$16,POWER((ABS(K719)^2)/($I$5*MAX(F719,0.1)^2),1/3)))),MAX($D$16,POWER((ABS(K719)^2)/($I$5*MAX(F719,0.1)^2),1/3))))))),MAX($D$16,POWER((ABS(K719)^2)/($I$5*MAX(F719,0.1)^2),1/3)))</f>
        <v>2.1389677043987478</v>
      </c>
      <c r="AI719">
        <f t="shared" ca="1" si="362"/>
        <v>634.37296770439877</v>
      </c>
      <c r="AJ719">
        <f t="shared" ca="1" si="363"/>
        <v>635.44245155659814</v>
      </c>
      <c r="AM719">
        <v>0</v>
      </c>
      <c r="AN719">
        <v>0</v>
      </c>
      <c r="AO719">
        <f t="shared" si="364"/>
        <v>0</v>
      </c>
      <c r="AP719">
        <f t="shared" si="373"/>
        <v>0</v>
      </c>
      <c r="AQ719">
        <f t="shared" ca="1" si="365"/>
        <v>1.0000000000000004</v>
      </c>
      <c r="AR719" t="str">
        <f t="shared" ca="1" si="366"/>
        <v>Supercritical</v>
      </c>
      <c r="AS719">
        <f t="shared" ca="1" si="367"/>
        <v>3.8141460404132466E-3</v>
      </c>
    </row>
    <row r="720" spans="1:45" x14ac:dyDescent="0.35">
      <c r="A720">
        <v>659</v>
      </c>
      <c r="B720">
        <v>657.99599999999998</v>
      </c>
      <c r="C720">
        <v>616130.68799999997</v>
      </c>
      <c r="D720">
        <v>3097339.9419999998</v>
      </c>
      <c r="E720">
        <v>632.23350000000005</v>
      </c>
      <c r="F720">
        <v>5.2</v>
      </c>
      <c r="G720">
        <v>0</v>
      </c>
      <c r="H720" t="s">
        <v>154</v>
      </c>
      <c r="I720">
        <v>7.8E-2</v>
      </c>
      <c r="J720">
        <f t="shared" si="368"/>
        <v>1.0009999999999764</v>
      </c>
      <c r="K720">
        <f t="shared" ca="1" si="369"/>
        <v>50.95</v>
      </c>
      <c r="L720">
        <f t="shared" ca="1" si="370"/>
        <v>2.1389677043987478</v>
      </c>
      <c r="M720">
        <f t="shared" ca="1" si="343"/>
        <v>11.122632062873489</v>
      </c>
      <c r="N720">
        <f t="shared" ca="1" si="344"/>
        <v>1.1735290000551568</v>
      </c>
      <c r="O720">
        <f t="shared" ca="1" si="345"/>
        <v>4.5807502857230418</v>
      </c>
      <c r="P720">
        <f t="shared" ca="1" si="346"/>
        <v>634.37246770439879</v>
      </c>
      <c r="Q720">
        <f t="shared" ca="1" si="347"/>
        <v>635.44195155659816</v>
      </c>
      <c r="R720">
        <f t="shared" ca="1" si="348"/>
        <v>3.8141460404132466E-3</v>
      </c>
      <c r="S720">
        <f t="shared" ca="1" si="349"/>
        <v>1.0000000000000004</v>
      </c>
      <c r="T720">
        <f t="shared" ca="1" si="350"/>
        <v>35.686426155594638</v>
      </c>
      <c r="U720">
        <f t="shared" ca="1" si="371"/>
        <v>-3.456993087183946E-3</v>
      </c>
      <c r="V720">
        <f t="shared" ca="1" si="372"/>
        <v>1</v>
      </c>
      <c r="W720">
        <f t="shared" ca="1" si="351"/>
        <v>1.7069123396042638</v>
      </c>
      <c r="X720">
        <f t="shared" ca="1" si="352"/>
        <v>8.8759441659421725</v>
      </c>
      <c r="Y720">
        <f t="shared" ca="1" si="353"/>
        <v>1.0304300930765786</v>
      </c>
      <c r="Z720">
        <f t="shared" ca="1" si="354"/>
        <v>5.7402343961896376</v>
      </c>
      <c r="AA720">
        <f t="shared" ca="1" si="355"/>
        <v>633.94041233960434</v>
      </c>
      <c r="AB720">
        <f t="shared" ca="1" si="356"/>
        <v>635.61983593405887</v>
      </c>
      <c r="AC720">
        <f t="shared" ca="1" si="357"/>
        <v>7.1233408683698931E-3</v>
      </c>
      <c r="AD720">
        <f t="shared" ca="1" si="358"/>
        <v>1.4027798341838007</v>
      </c>
      <c r="AE720">
        <f t="shared" ca="1" si="359"/>
        <v>37.388169421931877</v>
      </c>
      <c r="AF720">
        <f t="shared" ca="1" si="360"/>
        <v>6.8416659355534648E-3</v>
      </c>
      <c r="AG720">
        <f t="shared" ca="1" si="361"/>
        <v>0</v>
      </c>
      <c r="AH720">
        <f ca="1">IFERROR(IF(V32="Supercritical",MAX($D$16,IFERROR(L720,MAX($D$16,POWER((ABS(K720)^2)/($I$5*MAX(F720,0.1)^2),1/3)))),IF(V32="Subcritical",MAX($D$16,IFERROR(W720,MAX($D$16,POWER((ABS(K720)^2)/($I$5*MAX(F720,0.1)^2),1/3)))),IF(AND(IFERROR(V720,0)=1,IFERROR(AG720,0)=1),IF(IFERROR(T720,-1E+99)&gt;=IFERROR(AE720,-1E+99),MAX($D$16,IFERROR(L720,MAX($D$16,POWER((ABS(K720)^2)/($I$5*MAX(F720,0.1)^2),1/3)))),MAX($D$16,IFERROR(W720,MAX($D$16,POWER((ABS(K720)^2)/($I$5*MAX(F720,0.1)^2),1/3))))),IF(IFERROR(V720,0)=1,MAX($D$16,IFERROR(L720,MAX($D$16,POWER((ABS(K720)^2)/($I$5*MAX(F720,0.1)^2),1/3)))),IF(IFERROR(AG720,0)=1,MAX($D$16,IFERROR(W720,MAX($D$16,POWER((ABS(K720)^2)/($I$5*MAX(F720,0.1)^2),1/3)))),MAX($D$16,POWER((ABS(K720)^2)/($I$5*MAX(F720,0.1)^2),1/3))))))),MAX($D$16,POWER((ABS(K720)^2)/($I$5*MAX(F720,0.1)^2),1/3)))</f>
        <v>2.1389677043987478</v>
      </c>
      <c r="AI720">
        <f t="shared" ca="1" si="362"/>
        <v>634.37246770439879</v>
      </c>
      <c r="AJ720">
        <f t="shared" ca="1" si="363"/>
        <v>635.44195155659816</v>
      </c>
      <c r="AM720">
        <v>0</v>
      </c>
      <c r="AN720">
        <v>0</v>
      </c>
      <c r="AO720">
        <f t="shared" si="364"/>
        <v>0</v>
      </c>
      <c r="AP720">
        <f t="shared" si="373"/>
        <v>0</v>
      </c>
      <c r="AQ720">
        <f t="shared" ca="1" si="365"/>
        <v>1.0000000000000004</v>
      </c>
      <c r="AR720" t="str">
        <f t="shared" ca="1" si="366"/>
        <v>Supercritical</v>
      </c>
      <c r="AS720">
        <f t="shared" ca="1" si="367"/>
        <v>3.8141460404132466E-3</v>
      </c>
    </row>
    <row r="721" spans="1:45" x14ac:dyDescent="0.35">
      <c r="A721">
        <v>660</v>
      </c>
      <c r="B721">
        <v>658.99599999999998</v>
      </c>
      <c r="C721">
        <v>616130.21299999999</v>
      </c>
      <c r="D721">
        <v>3097339.0619999999</v>
      </c>
      <c r="E721">
        <v>632.23299999999995</v>
      </c>
      <c r="F721">
        <v>5.2</v>
      </c>
      <c r="G721">
        <v>0</v>
      </c>
      <c r="H721" t="s">
        <v>154</v>
      </c>
      <c r="I721">
        <v>7.8E-2</v>
      </c>
      <c r="J721">
        <f t="shared" si="368"/>
        <v>1</v>
      </c>
      <c r="K721">
        <f t="shared" ca="1" si="369"/>
        <v>50.95</v>
      </c>
      <c r="L721">
        <f t="shared" ca="1" si="370"/>
        <v>2.1389677043987478</v>
      </c>
      <c r="M721">
        <f t="shared" ca="1" si="343"/>
        <v>11.122632062873489</v>
      </c>
      <c r="N721">
        <f t="shared" ca="1" si="344"/>
        <v>1.1735290000551568</v>
      </c>
      <c r="O721">
        <f t="shared" ca="1" si="345"/>
        <v>4.5807502857230418</v>
      </c>
      <c r="P721">
        <f t="shared" ca="1" si="346"/>
        <v>634.37196770439868</v>
      </c>
      <c r="Q721">
        <f t="shared" ca="1" si="347"/>
        <v>635.44145155659805</v>
      </c>
      <c r="R721">
        <f t="shared" ca="1" si="348"/>
        <v>3.8141460404132466E-3</v>
      </c>
      <c r="S721">
        <f t="shared" ca="1" si="349"/>
        <v>1.0000000000000004</v>
      </c>
      <c r="T721">
        <f t="shared" ca="1" si="350"/>
        <v>35.686426155594638</v>
      </c>
      <c r="U721">
        <f t="shared" ca="1" si="371"/>
        <v>-3.4531789410721103E-3</v>
      </c>
      <c r="V721">
        <f t="shared" ca="1" si="372"/>
        <v>1</v>
      </c>
      <c r="W721">
        <f t="shared" ca="1" si="351"/>
        <v>1.7069123395973063</v>
      </c>
      <c r="X721">
        <f t="shared" ca="1" si="352"/>
        <v>8.8759441659059934</v>
      </c>
      <c r="Y721">
        <f t="shared" ca="1" si="353"/>
        <v>1.0304300930740431</v>
      </c>
      <c r="Z721">
        <f t="shared" ca="1" si="354"/>
        <v>5.7402343962130349</v>
      </c>
      <c r="AA721">
        <f t="shared" ca="1" si="355"/>
        <v>633.9399123395973</v>
      </c>
      <c r="AB721">
        <f t="shared" ca="1" si="356"/>
        <v>635.61933593406559</v>
      </c>
      <c r="AC721">
        <f t="shared" ca="1" si="357"/>
        <v>7.1233408684513366E-3</v>
      </c>
      <c r="AD721">
        <f t="shared" ca="1" si="358"/>
        <v>1.4027798341923774</v>
      </c>
      <c r="AE721">
        <f t="shared" ca="1" si="359"/>
        <v>37.388169421991648</v>
      </c>
      <c r="AF721">
        <f t="shared" ca="1" si="360"/>
        <v>6.6989149302116857E-3</v>
      </c>
      <c r="AG721">
        <f t="shared" ca="1" si="361"/>
        <v>0</v>
      </c>
      <c r="AH721">
        <f ca="1">IFERROR(IF(V32="Supercritical",MAX($D$16,IFERROR(L721,MAX($D$16,POWER((ABS(K721)^2)/($I$5*MAX(F721,0.1)^2),1/3)))),IF(V32="Subcritical",MAX($D$16,IFERROR(W721,MAX($D$16,POWER((ABS(K721)^2)/($I$5*MAX(F721,0.1)^2),1/3)))),IF(AND(IFERROR(V721,0)=1,IFERROR(AG721,0)=1),IF(IFERROR(T721,-1E+99)&gt;=IFERROR(AE721,-1E+99),MAX($D$16,IFERROR(L721,MAX($D$16,POWER((ABS(K721)^2)/($I$5*MAX(F721,0.1)^2),1/3)))),MAX($D$16,IFERROR(W721,MAX($D$16,POWER((ABS(K721)^2)/($I$5*MAX(F721,0.1)^2),1/3))))),IF(IFERROR(V721,0)=1,MAX($D$16,IFERROR(L721,MAX($D$16,POWER((ABS(K721)^2)/($I$5*MAX(F721,0.1)^2),1/3)))),IF(IFERROR(AG721,0)=1,MAX($D$16,IFERROR(W721,MAX($D$16,POWER((ABS(K721)^2)/($I$5*MAX(F721,0.1)^2),1/3)))),MAX($D$16,POWER((ABS(K721)^2)/($I$5*MAX(F721,0.1)^2),1/3))))))),MAX($D$16,POWER((ABS(K721)^2)/($I$5*MAX(F721,0.1)^2),1/3)))</f>
        <v>2.1389677043987478</v>
      </c>
      <c r="AI721">
        <f t="shared" ca="1" si="362"/>
        <v>634.37196770439868</v>
      </c>
      <c r="AJ721">
        <f t="shared" ca="1" si="363"/>
        <v>635.44145155659805</v>
      </c>
      <c r="AM721">
        <v>0</v>
      </c>
      <c r="AN721">
        <v>0</v>
      </c>
      <c r="AO721">
        <f t="shared" si="364"/>
        <v>0</v>
      </c>
      <c r="AP721">
        <f t="shared" si="373"/>
        <v>0</v>
      </c>
      <c r="AQ721">
        <f t="shared" ca="1" si="365"/>
        <v>1.0000000000000004</v>
      </c>
      <c r="AR721" t="str">
        <f t="shared" ca="1" si="366"/>
        <v>Supercritical</v>
      </c>
      <c r="AS721">
        <f t="shared" ca="1" si="367"/>
        <v>3.8141460404132466E-3</v>
      </c>
    </row>
    <row r="722" spans="1:45" x14ac:dyDescent="0.35">
      <c r="A722">
        <v>661</v>
      </c>
      <c r="B722">
        <v>659.99599999999998</v>
      </c>
      <c r="C722">
        <v>616129.73899999994</v>
      </c>
      <c r="D722">
        <v>3097338.1809999999</v>
      </c>
      <c r="E722">
        <v>632.23249999999996</v>
      </c>
      <c r="F722">
        <v>5.2</v>
      </c>
      <c r="G722">
        <v>0</v>
      </c>
      <c r="H722" t="s">
        <v>154</v>
      </c>
      <c r="I722">
        <v>2.7E-2</v>
      </c>
      <c r="J722">
        <f t="shared" si="368"/>
        <v>1</v>
      </c>
      <c r="K722">
        <f t="shared" ca="1" si="369"/>
        <v>50.95</v>
      </c>
      <c r="L722">
        <f t="shared" ca="1" si="370"/>
        <v>2.1389677043987478</v>
      </c>
      <c r="M722">
        <f t="shared" ca="1" si="343"/>
        <v>11.122632062873489</v>
      </c>
      <c r="N722">
        <f t="shared" ca="1" si="344"/>
        <v>1.1735290000551568</v>
      </c>
      <c r="O722">
        <f t="shared" ca="1" si="345"/>
        <v>4.5807502857230418</v>
      </c>
      <c r="P722">
        <f t="shared" ca="1" si="346"/>
        <v>634.3714677043987</v>
      </c>
      <c r="Q722">
        <f t="shared" ca="1" si="347"/>
        <v>635.44095155659807</v>
      </c>
      <c r="R722">
        <f t="shared" ca="1" si="348"/>
        <v>3.8141460404132466E-3</v>
      </c>
      <c r="S722">
        <f t="shared" ca="1" si="349"/>
        <v>1.0000000000000004</v>
      </c>
      <c r="T722">
        <f t="shared" ca="1" si="350"/>
        <v>35.686426155594638</v>
      </c>
      <c r="U722">
        <f t="shared" ca="1" si="371"/>
        <v>-3.3622728137743252E-3</v>
      </c>
      <c r="V722">
        <f t="shared" ca="1" si="372"/>
        <v>1</v>
      </c>
      <c r="W722">
        <f t="shared" ca="1" si="351"/>
        <v>1.706912339590809</v>
      </c>
      <c r="X722">
        <f t="shared" ca="1" si="352"/>
        <v>8.8759441658722071</v>
      </c>
      <c r="Y722">
        <f t="shared" ca="1" si="353"/>
        <v>1.030430093071675</v>
      </c>
      <c r="Z722">
        <f t="shared" ca="1" si="354"/>
        <v>5.7402343962348858</v>
      </c>
      <c r="AA722">
        <f t="shared" ca="1" si="355"/>
        <v>633.93941233959072</v>
      </c>
      <c r="AB722">
        <f t="shared" ca="1" si="356"/>
        <v>635.61883593407174</v>
      </c>
      <c r="AC722">
        <f t="shared" ca="1" si="357"/>
        <v>7.1233408685273929E-3</v>
      </c>
      <c r="AD722">
        <f t="shared" ca="1" si="358"/>
        <v>1.402779834200387</v>
      </c>
      <c r="AE722">
        <f t="shared" ca="1" si="359"/>
        <v>37.388169422047461</v>
      </c>
      <c r="AF722">
        <f t="shared" ca="1" si="360"/>
        <v>6.6233408684865935E-3</v>
      </c>
      <c r="AG722">
        <f t="shared" ca="1" si="361"/>
        <v>0</v>
      </c>
      <c r="AH722">
        <f ca="1">IFERROR(IF(V32="Supercritical",MAX($D$16,IFERROR(L722,MAX($D$16,POWER((ABS(K722)^2)/($I$5*MAX(F722,0.1)^2),1/3)))),IF(V32="Subcritical",MAX($D$16,IFERROR(W722,MAX($D$16,POWER((ABS(K722)^2)/($I$5*MAX(F722,0.1)^2),1/3)))),IF(AND(IFERROR(V722,0)=1,IFERROR(AG722,0)=1),IF(IFERROR(T722,-1E+99)&gt;=IFERROR(AE722,-1E+99),MAX($D$16,IFERROR(L722,MAX($D$16,POWER((ABS(K722)^2)/($I$5*MAX(F722,0.1)^2),1/3)))),MAX($D$16,IFERROR(W722,MAX($D$16,POWER((ABS(K722)^2)/($I$5*MAX(F722,0.1)^2),1/3))))),IF(IFERROR(V722,0)=1,MAX($D$16,IFERROR(L722,MAX($D$16,POWER((ABS(K722)^2)/($I$5*MAX(F722,0.1)^2),1/3)))),IF(IFERROR(AG722,0)=1,MAX($D$16,IFERROR(W722,MAX($D$16,POWER((ABS(K722)^2)/($I$5*MAX(F722,0.1)^2),1/3)))),MAX($D$16,POWER((ABS(K722)^2)/($I$5*MAX(F722,0.1)^2),1/3))))))),MAX($D$16,POWER((ABS(K722)^2)/($I$5*MAX(F722,0.1)^2),1/3)))</f>
        <v>2.1389677043987478</v>
      </c>
      <c r="AI722">
        <f t="shared" ca="1" si="362"/>
        <v>634.3714677043987</v>
      </c>
      <c r="AJ722">
        <f t="shared" ca="1" si="363"/>
        <v>635.44095155659807</v>
      </c>
      <c r="AM722">
        <v>0</v>
      </c>
      <c r="AN722">
        <v>0</v>
      </c>
      <c r="AO722">
        <f t="shared" si="364"/>
        <v>0</v>
      </c>
      <c r="AP722">
        <f t="shared" si="373"/>
        <v>0</v>
      </c>
      <c r="AQ722">
        <f t="shared" ca="1" si="365"/>
        <v>1.0000000000000004</v>
      </c>
      <c r="AR722" t="str">
        <f t="shared" ca="1" si="366"/>
        <v>Supercritical</v>
      </c>
      <c r="AS722">
        <f t="shared" ca="1" si="367"/>
        <v>3.8141460404132466E-3</v>
      </c>
    </row>
    <row r="723" spans="1:45" x14ac:dyDescent="0.35">
      <c r="A723">
        <v>662</v>
      </c>
      <c r="B723">
        <v>660.99599999999998</v>
      </c>
      <c r="C723">
        <v>616129.26500000001</v>
      </c>
      <c r="D723">
        <v>3097337.301</v>
      </c>
      <c r="E723">
        <v>632.23199999999997</v>
      </c>
      <c r="F723">
        <v>5.2</v>
      </c>
      <c r="G723">
        <v>0</v>
      </c>
      <c r="H723" t="s">
        <v>154</v>
      </c>
      <c r="I723">
        <v>0</v>
      </c>
      <c r="J723">
        <f t="shared" si="368"/>
        <v>1</v>
      </c>
      <c r="K723">
        <f t="shared" ca="1" si="369"/>
        <v>50.95</v>
      </c>
      <c r="L723">
        <f t="shared" ca="1" si="370"/>
        <v>2.1389677043987478</v>
      </c>
      <c r="M723">
        <f t="shared" ca="1" si="343"/>
        <v>11.122632062873489</v>
      </c>
      <c r="N723">
        <f t="shared" ca="1" si="344"/>
        <v>1.1735290000551568</v>
      </c>
      <c r="O723">
        <f t="shared" ca="1" si="345"/>
        <v>4.5807502857230418</v>
      </c>
      <c r="P723">
        <f t="shared" ca="1" si="346"/>
        <v>634.37096770439871</v>
      </c>
      <c r="Q723">
        <f t="shared" ca="1" si="347"/>
        <v>635.44045155659808</v>
      </c>
      <c r="R723">
        <f t="shared" ca="1" si="348"/>
        <v>3.8141460404132466E-3</v>
      </c>
      <c r="S723">
        <f t="shared" ca="1" si="349"/>
        <v>1.0000000000000004</v>
      </c>
      <c r="T723">
        <f t="shared" ca="1" si="350"/>
        <v>35.686426155594638</v>
      </c>
      <c r="U723">
        <f t="shared" ca="1" si="371"/>
        <v>-3.3141460404522149E-3</v>
      </c>
      <c r="V723">
        <f t="shared" ca="1" si="372"/>
        <v>1</v>
      </c>
      <c r="W723">
        <f t="shared" ca="1" si="351"/>
        <v>1.706912339584721</v>
      </c>
      <c r="X723">
        <f t="shared" ca="1" si="352"/>
        <v>8.8759441658405489</v>
      </c>
      <c r="Y723">
        <f t="shared" ca="1" si="353"/>
        <v>1.0304300930694565</v>
      </c>
      <c r="Z723">
        <f t="shared" ca="1" si="354"/>
        <v>5.7402343962553593</v>
      </c>
      <c r="AA723">
        <f t="shared" ca="1" si="355"/>
        <v>633.9389123395847</v>
      </c>
      <c r="AB723">
        <f t="shared" ca="1" si="356"/>
        <v>635.61833593407778</v>
      </c>
      <c r="AC723">
        <f t="shared" ca="1" si="357"/>
        <v>7.1233408685986562E-3</v>
      </c>
      <c r="AD723">
        <f t="shared" ca="1" si="358"/>
        <v>1.4027798342078921</v>
      </c>
      <c r="AE723">
        <f t="shared" ca="1" si="359"/>
        <v>37.388169422099764</v>
      </c>
      <c r="AF723">
        <f t="shared" ca="1" si="360"/>
        <v>6.680595432158043E-3</v>
      </c>
      <c r="AG723">
        <f t="shared" ca="1" si="361"/>
        <v>0</v>
      </c>
      <c r="AH723">
        <f ca="1">IFERROR(IF(V32="Supercritical",MAX($D$16,IFERROR(L723,MAX($D$16,POWER((ABS(K723)^2)/($I$5*MAX(F723,0.1)^2),1/3)))),IF(V32="Subcritical",MAX($D$16,IFERROR(W723,MAX($D$16,POWER((ABS(K723)^2)/($I$5*MAX(F723,0.1)^2),1/3)))),IF(AND(IFERROR(V723,0)=1,IFERROR(AG723,0)=1),IF(IFERROR(T723,-1E+99)&gt;=IFERROR(AE723,-1E+99),MAX($D$16,IFERROR(L723,MAX($D$16,POWER((ABS(K723)^2)/($I$5*MAX(F723,0.1)^2),1/3)))),MAX($D$16,IFERROR(W723,MAX($D$16,POWER((ABS(K723)^2)/($I$5*MAX(F723,0.1)^2),1/3))))),IF(IFERROR(V723,0)=1,MAX($D$16,IFERROR(L723,MAX($D$16,POWER((ABS(K723)^2)/($I$5*MAX(F723,0.1)^2),1/3)))),IF(IFERROR(AG723,0)=1,MAX($D$16,IFERROR(W723,MAX($D$16,POWER((ABS(K723)^2)/($I$5*MAX(F723,0.1)^2),1/3)))),MAX($D$16,POWER((ABS(K723)^2)/($I$5*MAX(F723,0.1)^2),1/3))))))),MAX($D$16,POWER((ABS(K723)^2)/($I$5*MAX(F723,0.1)^2),1/3)))</f>
        <v>2.1389677043987478</v>
      </c>
      <c r="AI723">
        <f t="shared" ca="1" si="362"/>
        <v>634.37096770439871</v>
      </c>
      <c r="AJ723">
        <f t="shared" ca="1" si="363"/>
        <v>635.44045155659808</v>
      </c>
      <c r="AM723">
        <v>0</v>
      </c>
      <c r="AN723">
        <v>0</v>
      </c>
      <c r="AO723">
        <f t="shared" si="364"/>
        <v>0</v>
      </c>
      <c r="AP723">
        <f t="shared" si="373"/>
        <v>0</v>
      </c>
      <c r="AQ723">
        <f t="shared" ca="1" si="365"/>
        <v>1.0000000000000004</v>
      </c>
      <c r="AR723" t="str">
        <f t="shared" ca="1" si="366"/>
        <v>Supercritical</v>
      </c>
      <c r="AS723">
        <f t="shared" ca="1" si="367"/>
        <v>3.8141460404132466E-3</v>
      </c>
    </row>
    <row r="724" spans="1:45" x14ac:dyDescent="0.35">
      <c r="A724">
        <v>663</v>
      </c>
      <c r="B724">
        <v>661.995</v>
      </c>
      <c r="C724">
        <v>616128.79099999997</v>
      </c>
      <c r="D724">
        <v>3097336.4210000001</v>
      </c>
      <c r="E724">
        <v>632.23149999999998</v>
      </c>
      <c r="F724">
        <v>5.2</v>
      </c>
      <c r="G724">
        <v>0</v>
      </c>
      <c r="H724" t="s">
        <v>154</v>
      </c>
      <c r="I724">
        <v>2.3E-2</v>
      </c>
      <c r="J724">
        <f t="shared" si="368"/>
        <v>0.99900000000002365</v>
      </c>
      <c r="K724">
        <f t="shared" ca="1" si="369"/>
        <v>50.95</v>
      </c>
      <c r="L724">
        <f t="shared" ca="1" si="370"/>
        <v>2.1389677043987478</v>
      </c>
      <c r="M724">
        <f t="shared" ca="1" si="343"/>
        <v>11.122632062873489</v>
      </c>
      <c r="N724">
        <f t="shared" ca="1" si="344"/>
        <v>1.1735290000551568</v>
      </c>
      <c r="O724">
        <f t="shared" ca="1" si="345"/>
        <v>4.5807502857230418</v>
      </c>
      <c r="P724">
        <f t="shared" ca="1" si="346"/>
        <v>634.37046770439872</v>
      </c>
      <c r="Q724">
        <f t="shared" ca="1" si="347"/>
        <v>635.43995155659809</v>
      </c>
      <c r="R724">
        <f t="shared" ca="1" si="348"/>
        <v>3.8141460404132466E-3</v>
      </c>
      <c r="S724">
        <f t="shared" ca="1" si="349"/>
        <v>1.0000000000000004</v>
      </c>
      <c r="T724">
        <f t="shared" ca="1" si="350"/>
        <v>35.686426155594638</v>
      </c>
      <c r="U724">
        <f t="shared" ca="1" si="371"/>
        <v>-3.3513287753521581E-3</v>
      </c>
      <c r="V724">
        <f t="shared" ca="1" si="372"/>
        <v>1</v>
      </c>
      <c r="W724">
        <f t="shared" ca="1" si="351"/>
        <v>1.7069123395790424</v>
      </c>
      <c r="X724">
        <f t="shared" ca="1" si="352"/>
        <v>8.8759441658110205</v>
      </c>
      <c r="Y724">
        <f t="shared" ca="1" si="353"/>
        <v>1.0304300930673869</v>
      </c>
      <c r="Z724">
        <f t="shared" ca="1" si="354"/>
        <v>5.740234396274456</v>
      </c>
      <c r="AA724">
        <f t="shared" ca="1" si="355"/>
        <v>633.93841233957903</v>
      </c>
      <c r="AB724">
        <f t="shared" ca="1" si="356"/>
        <v>635.61783593408325</v>
      </c>
      <c r="AC724">
        <f t="shared" ca="1" si="357"/>
        <v>7.1233408686651291E-3</v>
      </c>
      <c r="AD724">
        <f t="shared" ca="1" si="358"/>
        <v>1.4027798342148923</v>
      </c>
      <c r="AE724">
        <f t="shared" ca="1" si="359"/>
        <v>37.388169422148536</v>
      </c>
      <c r="AF724">
        <f t="shared" ca="1" si="360"/>
        <v>6.6948421140295977E-3</v>
      </c>
      <c r="AG724">
        <f t="shared" ca="1" si="361"/>
        <v>0</v>
      </c>
      <c r="AH724">
        <f ca="1">IFERROR(IF(V32="Supercritical",MAX($D$16,IFERROR(L724,MAX($D$16,POWER((ABS(K724)^2)/($I$5*MAX(F724,0.1)^2),1/3)))),IF(V32="Subcritical",MAX($D$16,IFERROR(W724,MAX($D$16,POWER((ABS(K724)^2)/($I$5*MAX(F724,0.1)^2),1/3)))),IF(AND(IFERROR(V724,0)=1,IFERROR(AG724,0)=1),IF(IFERROR(T724,-1E+99)&gt;=IFERROR(AE724,-1E+99),MAX($D$16,IFERROR(L724,MAX($D$16,POWER((ABS(K724)^2)/($I$5*MAX(F724,0.1)^2),1/3)))),MAX($D$16,IFERROR(W724,MAX($D$16,POWER((ABS(K724)^2)/($I$5*MAX(F724,0.1)^2),1/3))))),IF(IFERROR(V724,0)=1,MAX($D$16,IFERROR(L724,MAX($D$16,POWER((ABS(K724)^2)/($I$5*MAX(F724,0.1)^2),1/3)))),IF(IFERROR(AG724,0)=1,MAX($D$16,IFERROR(W724,MAX($D$16,POWER((ABS(K724)^2)/($I$5*MAX(F724,0.1)^2),1/3)))),MAX($D$16,POWER((ABS(K724)^2)/($I$5*MAX(F724,0.1)^2),1/3))))))),MAX($D$16,POWER((ABS(K724)^2)/($I$5*MAX(F724,0.1)^2),1/3)))</f>
        <v>2.1389677043987478</v>
      </c>
      <c r="AI724">
        <f t="shared" ca="1" si="362"/>
        <v>634.37046770439872</v>
      </c>
      <c r="AJ724">
        <f t="shared" ca="1" si="363"/>
        <v>635.43995155659809</v>
      </c>
      <c r="AM724">
        <v>0</v>
      </c>
      <c r="AN724">
        <v>0</v>
      </c>
      <c r="AO724">
        <f t="shared" si="364"/>
        <v>0</v>
      </c>
      <c r="AP724">
        <f t="shared" si="373"/>
        <v>0</v>
      </c>
      <c r="AQ724">
        <f t="shared" ca="1" si="365"/>
        <v>1.0000000000000004</v>
      </c>
      <c r="AR724" t="str">
        <f t="shared" ca="1" si="366"/>
        <v>Supercritical</v>
      </c>
      <c r="AS724">
        <f t="shared" ca="1" si="367"/>
        <v>3.8141460404132466E-3</v>
      </c>
    </row>
    <row r="725" spans="1:45" x14ac:dyDescent="0.35">
      <c r="A725">
        <v>664</v>
      </c>
      <c r="B725">
        <v>662.99599999999998</v>
      </c>
      <c r="C725">
        <v>616128.31599999999</v>
      </c>
      <c r="D725">
        <v>3097335.54</v>
      </c>
      <c r="E725">
        <v>632.23099999999999</v>
      </c>
      <c r="F725">
        <v>5.2</v>
      </c>
      <c r="G725">
        <v>0</v>
      </c>
      <c r="H725" t="s">
        <v>154</v>
      </c>
      <c r="I725">
        <v>2.3E-2</v>
      </c>
      <c r="J725">
        <f t="shared" si="368"/>
        <v>1.0009999999999764</v>
      </c>
      <c r="K725">
        <f t="shared" ca="1" si="369"/>
        <v>50.95</v>
      </c>
      <c r="L725">
        <f t="shared" ca="1" si="370"/>
        <v>2.1389677043987478</v>
      </c>
      <c r="M725">
        <f t="shared" ca="1" si="343"/>
        <v>11.122632062873489</v>
      </c>
      <c r="N725">
        <f t="shared" ca="1" si="344"/>
        <v>1.1735290000551568</v>
      </c>
      <c r="O725">
        <f t="shared" ca="1" si="345"/>
        <v>4.5807502857230418</v>
      </c>
      <c r="P725">
        <f t="shared" ca="1" si="346"/>
        <v>634.36996770439873</v>
      </c>
      <c r="Q725">
        <f t="shared" ca="1" si="347"/>
        <v>635.4394515565981</v>
      </c>
      <c r="R725">
        <f t="shared" ca="1" si="348"/>
        <v>3.8141460404132466E-3</v>
      </c>
      <c r="S725">
        <f t="shared" ca="1" si="349"/>
        <v>1.0000000000000004</v>
      </c>
      <c r="T725">
        <f t="shared" ca="1" si="350"/>
        <v>35.686426155594638</v>
      </c>
      <c r="U725">
        <f t="shared" ca="1" si="371"/>
        <v>-3.3589570674621427E-3</v>
      </c>
      <c r="V725">
        <f t="shared" ca="1" si="372"/>
        <v>1</v>
      </c>
      <c r="W725">
        <f t="shared" ca="1" si="351"/>
        <v>1.706912339573756</v>
      </c>
      <c r="X725">
        <f t="shared" ca="1" si="352"/>
        <v>8.8759441657835314</v>
      </c>
      <c r="Y725">
        <f t="shared" ca="1" si="353"/>
        <v>1.0304300930654604</v>
      </c>
      <c r="Z725">
        <f t="shared" ca="1" si="354"/>
        <v>5.7402343962922338</v>
      </c>
      <c r="AA725">
        <f t="shared" ca="1" si="355"/>
        <v>633.9379123395737</v>
      </c>
      <c r="AB725">
        <f t="shared" ca="1" si="356"/>
        <v>635.61733593408826</v>
      </c>
      <c r="AC725">
        <f t="shared" ca="1" si="357"/>
        <v>7.1233408687270058E-3</v>
      </c>
      <c r="AD725">
        <f t="shared" ca="1" si="358"/>
        <v>1.4027798342214088</v>
      </c>
      <c r="AE725">
        <f t="shared" ca="1" si="359"/>
        <v>37.388169422193947</v>
      </c>
      <c r="AF725">
        <f t="shared" ca="1" si="360"/>
        <v>6.6989149304390594E-3</v>
      </c>
      <c r="AG725">
        <f t="shared" ca="1" si="361"/>
        <v>0</v>
      </c>
      <c r="AH725">
        <f ca="1">IFERROR(IF(V32="Supercritical",MAX($D$16,IFERROR(L725,MAX($D$16,POWER((ABS(K725)^2)/($I$5*MAX(F725,0.1)^2),1/3)))),IF(V32="Subcritical",MAX($D$16,IFERROR(W725,MAX($D$16,POWER((ABS(K725)^2)/($I$5*MAX(F725,0.1)^2),1/3)))),IF(AND(IFERROR(V725,0)=1,IFERROR(AG725,0)=1),IF(IFERROR(T725,-1E+99)&gt;=IFERROR(AE725,-1E+99),MAX($D$16,IFERROR(L725,MAX($D$16,POWER((ABS(K725)^2)/($I$5*MAX(F725,0.1)^2),1/3)))),MAX($D$16,IFERROR(W725,MAX($D$16,POWER((ABS(K725)^2)/($I$5*MAX(F725,0.1)^2),1/3))))),IF(IFERROR(V725,0)=1,MAX($D$16,IFERROR(L725,MAX($D$16,POWER((ABS(K725)^2)/($I$5*MAX(F725,0.1)^2),1/3)))),IF(IFERROR(AG725,0)=1,MAX($D$16,IFERROR(W725,MAX($D$16,POWER((ABS(K725)^2)/($I$5*MAX(F725,0.1)^2),1/3)))),MAX($D$16,POWER((ABS(K725)^2)/($I$5*MAX(F725,0.1)^2),1/3))))))),MAX($D$16,POWER((ABS(K725)^2)/($I$5*MAX(F725,0.1)^2),1/3)))</f>
        <v>2.1389677043987478</v>
      </c>
      <c r="AI725">
        <f t="shared" ca="1" si="362"/>
        <v>634.36996770439873</v>
      </c>
      <c r="AJ725">
        <f t="shared" ca="1" si="363"/>
        <v>635.4394515565981</v>
      </c>
      <c r="AM725">
        <v>0</v>
      </c>
      <c r="AN725">
        <v>0</v>
      </c>
      <c r="AO725">
        <f t="shared" si="364"/>
        <v>0</v>
      </c>
      <c r="AP725">
        <f t="shared" si="373"/>
        <v>0</v>
      </c>
      <c r="AQ725">
        <f t="shared" ca="1" si="365"/>
        <v>1.0000000000000004</v>
      </c>
      <c r="AR725" t="str">
        <f t="shared" ca="1" si="366"/>
        <v>Supercritical</v>
      </c>
      <c r="AS725">
        <f t="shared" ca="1" si="367"/>
        <v>3.8141460404132466E-3</v>
      </c>
    </row>
    <row r="726" spans="1:45" x14ac:dyDescent="0.35">
      <c r="A726">
        <v>665</v>
      </c>
      <c r="B726">
        <v>663.99599999999998</v>
      </c>
      <c r="C726">
        <v>616127.84199999995</v>
      </c>
      <c r="D726">
        <v>3097334.66</v>
      </c>
      <c r="E726">
        <v>632.23050000000001</v>
      </c>
      <c r="F726">
        <v>5.2</v>
      </c>
      <c r="G726">
        <v>0</v>
      </c>
      <c r="H726" t="s">
        <v>154</v>
      </c>
      <c r="I726">
        <v>2.7E-2</v>
      </c>
      <c r="J726">
        <f t="shared" si="368"/>
        <v>1</v>
      </c>
      <c r="K726">
        <f t="shared" ca="1" si="369"/>
        <v>50.95</v>
      </c>
      <c r="L726">
        <f t="shared" ca="1" si="370"/>
        <v>2.1389677043987478</v>
      </c>
      <c r="M726">
        <f t="shared" ca="1" si="343"/>
        <v>11.122632062873489</v>
      </c>
      <c r="N726">
        <f t="shared" ca="1" si="344"/>
        <v>1.1735290000551568</v>
      </c>
      <c r="O726">
        <f t="shared" ca="1" si="345"/>
        <v>4.5807502857230418</v>
      </c>
      <c r="P726">
        <f t="shared" ca="1" si="346"/>
        <v>634.36946770439874</v>
      </c>
      <c r="Q726">
        <f t="shared" ca="1" si="347"/>
        <v>635.43895155659811</v>
      </c>
      <c r="R726">
        <f t="shared" ca="1" si="348"/>
        <v>3.8141460404132466E-3</v>
      </c>
      <c r="S726">
        <f t="shared" ca="1" si="349"/>
        <v>1.0000000000000004</v>
      </c>
      <c r="T726">
        <f t="shared" ca="1" si="350"/>
        <v>35.686426155594638</v>
      </c>
      <c r="U726">
        <f t="shared" ca="1" si="371"/>
        <v>-3.3622728137743252E-3</v>
      </c>
      <c r="V726">
        <f t="shared" ca="1" si="372"/>
        <v>1</v>
      </c>
      <c r="W726">
        <f t="shared" ca="1" si="351"/>
        <v>1.7069123395688106</v>
      </c>
      <c r="X726">
        <f t="shared" ca="1" si="352"/>
        <v>8.8759441657578151</v>
      </c>
      <c r="Y726">
        <f t="shared" ca="1" si="353"/>
        <v>1.0304300930636581</v>
      </c>
      <c r="Z726">
        <f t="shared" ca="1" si="354"/>
        <v>5.7402343963088649</v>
      </c>
      <c r="AA726">
        <f t="shared" ca="1" si="355"/>
        <v>633.93741233956882</v>
      </c>
      <c r="AB726">
        <f t="shared" ca="1" si="356"/>
        <v>635.61683593409316</v>
      </c>
      <c r="AC726">
        <f t="shared" ca="1" si="357"/>
        <v>7.1233408687848953E-3</v>
      </c>
      <c r="AD726">
        <f t="shared" ca="1" si="358"/>
        <v>1.4027798342275053</v>
      </c>
      <c r="AE726">
        <f t="shared" ca="1" si="359"/>
        <v>37.38816942223643</v>
      </c>
      <c r="AF726">
        <f t="shared" ca="1" si="360"/>
        <v>6.6989149305527462E-3</v>
      </c>
      <c r="AG726">
        <f t="shared" ca="1" si="361"/>
        <v>0</v>
      </c>
      <c r="AH726">
        <f ca="1">IFERROR(IF(V32="Supercritical",MAX($D$16,IFERROR(L726,MAX($D$16,POWER((ABS(K726)^2)/($I$5*MAX(F726,0.1)^2),1/3)))),IF(V32="Subcritical",MAX($D$16,IFERROR(W726,MAX($D$16,POWER((ABS(K726)^2)/($I$5*MAX(F726,0.1)^2),1/3)))),IF(AND(IFERROR(V726,0)=1,IFERROR(AG726,0)=1),IF(IFERROR(T726,-1E+99)&gt;=IFERROR(AE726,-1E+99),MAX($D$16,IFERROR(L726,MAX($D$16,POWER((ABS(K726)^2)/($I$5*MAX(F726,0.1)^2),1/3)))),MAX($D$16,IFERROR(W726,MAX($D$16,POWER((ABS(K726)^2)/($I$5*MAX(F726,0.1)^2),1/3))))),IF(IFERROR(V726,0)=1,MAX($D$16,IFERROR(L726,MAX($D$16,POWER((ABS(K726)^2)/($I$5*MAX(F726,0.1)^2),1/3)))),IF(IFERROR(AG726,0)=1,MAX($D$16,IFERROR(W726,MAX($D$16,POWER((ABS(K726)^2)/($I$5*MAX(F726,0.1)^2),1/3)))),MAX($D$16,POWER((ABS(K726)^2)/($I$5*MAX(F726,0.1)^2),1/3))))))),MAX($D$16,POWER((ABS(K726)^2)/($I$5*MAX(F726,0.1)^2),1/3)))</f>
        <v>2.1389677043987478</v>
      </c>
      <c r="AI726">
        <f t="shared" ca="1" si="362"/>
        <v>634.36946770439874</v>
      </c>
      <c r="AJ726">
        <f t="shared" ca="1" si="363"/>
        <v>635.43895155659811</v>
      </c>
      <c r="AM726">
        <v>0</v>
      </c>
      <c r="AN726">
        <v>0</v>
      </c>
      <c r="AO726">
        <f t="shared" si="364"/>
        <v>0</v>
      </c>
      <c r="AP726">
        <f t="shared" si="373"/>
        <v>0</v>
      </c>
      <c r="AQ726">
        <f t="shared" ca="1" si="365"/>
        <v>1.0000000000000004</v>
      </c>
      <c r="AR726" t="str">
        <f t="shared" ca="1" si="366"/>
        <v>Supercritical</v>
      </c>
      <c r="AS726">
        <f t="shared" ca="1" si="367"/>
        <v>3.8141460404132466E-3</v>
      </c>
    </row>
    <row r="727" spans="1:45" x14ac:dyDescent="0.35">
      <c r="A727">
        <v>666</v>
      </c>
      <c r="B727">
        <v>664.99599999999998</v>
      </c>
      <c r="C727">
        <v>616127.36800000002</v>
      </c>
      <c r="D727">
        <v>3097333.7790000001</v>
      </c>
      <c r="E727">
        <v>632.23</v>
      </c>
      <c r="F727">
        <v>5.2</v>
      </c>
      <c r="G727">
        <v>0</v>
      </c>
      <c r="H727" t="s">
        <v>154</v>
      </c>
      <c r="I727">
        <v>2.7E-2</v>
      </c>
      <c r="J727">
        <f t="shared" si="368"/>
        <v>1</v>
      </c>
      <c r="K727">
        <f t="shared" ca="1" si="369"/>
        <v>50.95</v>
      </c>
      <c r="L727">
        <f t="shared" ca="1" si="370"/>
        <v>2.1389677043987478</v>
      </c>
      <c r="M727">
        <f t="shared" ca="1" si="343"/>
        <v>11.122632062873489</v>
      </c>
      <c r="N727">
        <f t="shared" ca="1" si="344"/>
        <v>1.1735290000551568</v>
      </c>
      <c r="O727">
        <f t="shared" ca="1" si="345"/>
        <v>4.5807502857230418</v>
      </c>
      <c r="P727">
        <f t="shared" ca="1" si="346"/>
        <v>634.36896770439876</v>
      </c>
      <c r="Q727">
        <f t="shared" ca="1" si="347"/>
        <v>635.43845155659812</v>
      </c>
      <c r="R727">
        <f t="shared" ca="1" si="348"/>
        <v>3.8141460404132466E-3</v>
      </c>
      <c r="S727">
        <f t="shared" ca="1" si="349"/>
        <v>1.0000000000000004</v>
      </c>
      <c r="T727">
        <f t="shared" ca="1" si="350"/>
        <v>35.686426155594638</v>
      </c>
      <c r="U727">
        <f t="shared" ca="1" si="371"/>
        <v>-3.3622728137743252E-3</v>
      </c>
      <c r="V727">
        <f t="shared" ca="1" si="372"/>
        <v>1</v>
      </c>
      <c r="W727">
        <f t="shared" ca="1" si="351"/>
        <v>1.7069123395641892</v>
      </c>
      <c r="X727">
        <f t="shared" ca="1" si="352"/>
        <v>8.8759441657337845</v>
      </c>
      <c r="Y727">
        <f t="shared" ca="1" si="353"/>
        <v>1.0304300930619743</v>
      </c>
      <c r="Z727">
        <f t="shared" ca="1" si="354"/>
        <v>5.7402343963244062</v>
      </c>
      <c r="AA727">
        <f t="shared" ca="1" si="355"/>
        <v>633.93691233956417</v>
      </c>
      <c r="AB727">
        <f t="shared" ca="1" si="356"/>
        <v>635.61633593409761</v>
      </c>
      <c r="AC727">
        <f t="shared" ca="1" si="357"/>
        <v>7.1233408688389874E-3</v>
      </c>
      <c r="AD727">
        <f t="shared" ca="1" si="358"/>
        <v>1.4027798342332021</v>
      </c>
      <c r="AE727">
        <f t="shared" ca="1" si="359"/>
        <v>37.388169422276128</v>
      </c>
      <c r="AF727">
        <f t="shared" ca="1" si="360"/>
        <v>6.623340868827654E-3</v>
      </c>
      <c r="AG727">
        <f t="shared" ca="1" si="361"/>
        <v>0</v>
      </c>
      <c r="AH727">
        <f ca="1">IFERROR(IF(V32="Supercritical",MAX($D$16,IFERROR(L727,MAX($D$16,POWER((ABS(K727)^2)/($I$5*MAX(F727,0.1)^2),1/3)))),IF(V32="Subcritical",MAX($D$16,IFERROR(W727,MAX($D$16,POWER((ABS(K727)^2)/($I$5*MAX(F727,0.1)^2),1/3)))),IF(AND(IFERROR(V727,0)=1,IFERROR(AG727,0)=1),IF(IFERROR(T727,-1E+99)&gt;=IFERROR(AE727,-1E+99),MAX($D$16,IFERROR(L727,MAX($D$16,POWER((ABS(K727)^2)/($I$5*MAX(F727,0.1)^2),1/3)))),MAX($D$16,IFERROR(W727,MAX($D$16,POWER((ABS(K727)^2)/($I$5*MAX(F727,0.1)^2),1/3))))),IF(IFERROR(V727,0)=1,MAX($D$16,IFERROR(L727,MAX($D$16,POWER((ABS(K727)^2)/($I$5*MAX(F727,0.1)^2),1/3)))),IF(IFERROR(AG727,0)=1,MAX($D$16,IFERROR(W727,MAX($D$16,POWER((ABS(K727)^2)/($I$5*MAX(F727,0.1)^2),1/3)))),MAX($D$16,POWER((ABS(K727)^2)/($I$5*MAX(F727,0.1)^2),1/3))))))),MAX($D$16,POWER((ABS(K727)^2)/($I$5*MAX(F727,0.1)^2),1/3)))</f>
        <v>2.1389677043987478</v>
      </c>
      <c r="AI727">
        <f t="shared" ca="1" si="362"/>
        <v>634.36896770439876</v>
      </c>
      <c r="AJ727">
        <f t="shared" ca="1" si="363"/>
        <v>635.43845155659812</v>
      </c>
      <c r="AM727">
        <v>0</v>
      </c>
      <c r="AN727">
        <v>0</v>
      </c>
      <c r="AO727">
        <f t="shared" si="364"/>
        <v>0</v>
      </c>
      <c r="AP727">
        <f t="shared" si="373"/>
        <v>0</v>
      </c>
      <c r="AQ727">
        <f t="shared" ca="1" si="365"/>
        <v>1.0000000000000004</v>
      </c>
      <c r="AR727" t="str">
        <f t="shared" ca="1" si="366"/>
        <v>Supercritical</v>
      </c>
      <c r="AS727">
        <f t="shared" ca="1" si="367"/>
        <v>3.8141460404132466E-3</v>
      </c>
    </row>
    <row r="728" spans="1:45" x14ac:dyDescent="0.35">
      <c r="A728">
        <v>667</v>
      </c>
      <c r="B728">
        <v>665.99599999999998</v>
      </c>
      <c r="C728">
        <v>616126.89399999997</v>
      </c>
      <c r="D728">
        <v>3097332.8990000002</v>
      </c>
      <c r="E728">
        <v>632.22950000000003</v>
      </c>
      <c r="F728">
        <v>5.2</v>
      </c>
      <c r="G728">
        <v>0</v>
      </c>
      <c r="H728" t="s">
        <v>154</v>
      </c>
      <c r="I728">
        <v>0</v>
      </c>
      <c r="J728">
        <f t="shared" si="368"/>
        <v>1</v>
      </c>
      <c r="K728">
        <f t="shared" ca="1" si="369"/>
        <v>50.95</v>
      </c>
      <c r="L728">
        <f t="shared" ca="1" si="370"/>
        <v>2.1389677043987478</v>
      </c>
      <c r="M728">
        <f t="shared" ca="1" si="343"/>
        <v>11.122632062873489</v>
      </c>
      <c r="N728">
        <f t="shared" ca="1" si="344"/>
        <v>1.1735290000551568</v>
      </c>
      <c r="O728">
        <f t="shared" ca="1" si="345"/>
        <v>4.5807502857230418</v>
      </c>
      <c r="P728">
        <f t="shared" ca="1" si="346"/>
        <v>634.36846770439877</v>
      </c>
      <c r="Q728">
        <f t="shared" ca="1" si="347"/>
        <v>635.43795155659814</v>
      </c>
      <c r="R728">
        <f t="shared" ca="1" si="348"/>
        <v>3.8141460404132466E-3</v>
      </c>
      <c r="S728">
        <f t="shared" ca="1" si="349"/>
        <v>1.0000000000000004</v>
      </c>
      <c r="T728">
        <f t="shared" ca="1" si="350"/>
        <v>35.686426155594638</v>
      </c>
      <c r="U728">
        <f t="shared" ca="1" si="371"/>
        <v>-3.3141460404522149E-3</v>
      </c>
      <c r="V728">
        <f t="shared" ca="1" si="372"/>
        <v>1</v>
      </c>
      <c r="W728">
        <f t="shared" ca="1" si="351"/>
        <v>1.7069123395598749</v>
      </c>
      <c r="X728">
        <f t="shared" ca="1" si="352"/>
        <v>8.8759441657113491</v>
      </c>
      <c r="Y728">
        <f t="shared" ca="1" si="353"/>
        <v>1.0304300930604018</v>
      </c>
      <c r="Z728">
        <f t="shared" ca="1" si="354"/>
        <v>5.7402343963389155</v>
      </c>
      <c r="AA728">
        <f t="shared" ca="1" si="355"/>
        <v>633.93641233955987</v>
      </c>
      <c r="AB728">
        <f t="shared" ca="1" si="356"/>
        <v>635.61583593410182</v>
      </c>
      <c r="AC728">
        <f t="shared" ca="1" si="357"/>
        <v>7.1233408688894904E-3</v>
      </c>
      <c r="AD728">
        <f t="shared" ca="1" si="358"/>
        <v>1.4027798342385205</v>
      </c>
      <c r="AE728">
        <f t="shared" ca="1" si="359"/>
        <v>37.38816942231319</v>
      </c>
      <c r="AF728">
        <f t="shared" ca="1" si="360"/>
        <v>6.6805954324991035E-3</v>
      </c>
      <c r="AG728">
        <f t="shared" ca="1" si="361"/>
        <v>0</v>
      </c>
      <c r="AH728">
        <f ca="1">IFERROR(IF(V32="Supercritical",MAX($D$16,IFERROR(L728,MAX($D$16,POWER((ABS(K728)^2)/($I$5*MAX(F728,0.1)^2),1/3)))),IF(V32="Subcritical",MAX($D$16,IFERROR(W728,MAX($D$16,POWER((ABS(K728)^2)/($I$5*MAX(F728,0.1)^2),1/3)))),IF(AND(IFERROR(V728,0)=1,IFERROR(AG728,0)=1),IF(IFERROR(T728,-1E+99)&gt;=IFERROR(AE728,-1E+99),MAX($D$16,IFERROR(L728,MAX($D$16,POWER((ABS(K728)^2)/($I$5*MAX(F728,0.1)^2),1/3)))),MAX($D$16,IFERROR(W728,MAX($D$16,POWER((ABS(K728)^2)/($I$5*MAX(F728,0.1)^2),1/3))))),IF(IFERROR(V728,0)=1,MAX($D$16,IFERROR(L728,MAX($D$16,POWER((ABS(K728)^2)/($I$5*MAX(F728,0.1)^2),1/3)))),IF(IFERROR(AG728,0)=1,MAX($D$16,IFERROR(W728,MAX($D$16,POWER((ABS(K728)^2)/($I$5*MAX(F728,0.1)^2),1/3)))),MAX($D$16,POWER((ABS(K728)^2)/($I$5*MAX(F728,0.1)^2),1/3))))))),MAX($D$16,POWER((ABS(K728)^2)/($I$5*MAX(F728,0.1)^2),1/3)))</f>
        <v>2.1389677043987478</v>
      </c>
      <c r="AI728">
        <f t="shared" ca="1" si="362"/>
        <v>634.36846770439877</v>
      </c>
      <c r="AJ728">
        <f t="shared" ca="1" si="363"/>
        <v>635.43795155659814</v>
      </c>
      <c r="AM728">
        <v>0</v>
      </c>
      <c r="AN728">
        <v>0</v>
      </c>
      <c r="AO728">
        <f t="shared" si="364"/>
        <v>0</v>
      </c>
      <c r="AP728">
        <f t="shared" si="373"/>
        <v>0</v>
      </c>
      <c r="AQ728">
        <f t="shared" ca="1" si="365"/>
        <v>1.0000000000000004</v>
      </c>
      <c r="AR728" t="str">
        <f t="shared" ca="1" si="366"/>
        <v>Supercritical</v>
      </c>
      <c r="AS728">
        <f t="shared" ca="1" si="367"/>
        <v>3.8141460404132466E-3</v>
      </c>
    </row>
    <row r="729" spans="1:45" x14ac:dyDescent="0.35">
      <c r="A729">
        <v>668</v>
      </c>
      <c r="B729">
        <v>666.995</v>
      </c>
      <c r="C729">
        <v>616126.42000000004</v>
      </c>
      <c r="D729">
        <v>3097332.0189999999</v>
      </c>
      <c r="E729">
        <v>632.22900000000004</v>
      </c>
      <c r="F729">
        <v>5.2</v>
      </c>
      <c r="G729">
        <v>0</v>
      </c>
      <c r="H729" t="s">
        <v>154</v>
      </c>
      <c r="I729">
        <v>2.3E-2</v>
      </c>
      <c r="J729">
        <f t="shared" si="368"/>
        <v>0.99900000000002365</v>
      </c>
      <c r="K729">
        <f t="shared" ca="1" si="369"/>
        <v>50.95</v>
      </c>
      <c r="L729">
        <f t="shared" ca="1" si="370"/>
        <v>2.1389677043987478</v>
      </c>
      <c r="M729">
        <f t="shared" ca="1" si="343"/>
        <v>11.122632062873489</v>
      </c>
      <c r="N729">
        <f t="shared" ca="1" si="344"/>
        <v>1.1735290000551568</v>
      </c>
      <c r="O729">
        <f t="shared" ca="1" si="345"/>
        <v>4.5807502857230418</v>
      </c>
      <c r="P729">
        <f t="shared" ca="1" si="346"/>
        <v>634.36796770439878</v>
      </c>
      <c r="Q729">
        <f t="shared" ca="1" si="347"/>
        <v>635.43745155659815</v>
      </c>
      <c r="R729">
        <f t="shared" ca="1" si="348"/>
        <v>3.8141460404132466E-3</v>
      </c>
      <c r="S729">
        <f t="shared" ca="1" si="349"/>
        <v>1.0000000000000004</v>
      </c>
      <c r="T729">
        <f t="shared" ca="1" si="350"/>
        <v>35.686426155594638</v>
      </c>
      <c r="U729">
        <f t="shared" ca="1" si="371"/>
        <v>-3.3513287753521581E-3</v>
      </c>
      <c r="V729">
        <f t="shared" ca="1" si="372"/>
        <v>1</v>
      </c>
      <c r="W729">
        <f t="shared" ca="1" si="351"/>
        <v>1.7069123395558332</v>
      </c>
      <c r="X729">
        <f t="shared" ca="1" si="352"/>
        <v>8.8759441656903331</v>
      </c>
      <c r="Y729">
        <f t="shared" ca="1" si="353"/>
        <v>1.030430093058929</v>
      </c>
      <c r="Z729">
        <f t="shared" ca="1" si="354"/>
        <v>5.7402343963525064</v>
      </c>
      <c r="AA729">
        <f t="shared" ca="1" si="355"/>
        <v>633.9359123395559</v>
      </c>
      <c r="AB729">
        <f t="shared" ca="1" si="356"/>
        <v>635.61533593410581</v>
      </c>
      <c r="AC729">
        <f t="shared" ca="1" si="357"/>
        <v>7.1233408689368016E-3</v>
      </c>
      <c r="AD729">
        <f t="shared" ca="1" si="358"/>
        <v>1.4027798342435027</v>
      </c>
      <c r="AE729">
        <f t="shared" ca="1" si="359"/>
        <v>37.388169422347907</v>
      </c>
      <c r="AF729">
        <f t="shared" ca="1" si="360"/>
        <v>6.6948421142569714E-3</v>
      </c>
      <c r="AG729">
        <f t="shared" ca="1" si="361"/>
        <v>0</v>
      </c>
      <c r="AH729">
        <f ca="1">IFERROR(IF(V32="Supercritical",MAX($D$16,IFERROR(L729,MAX($D$16,POWER((ABS(K729)^2)/($I$5*MAX(F729,0.1)^2),1/3)))),IF(V32="Subcritical",MAX($D$16,IFERROR(W729,MAX($D$16,POWER((ABS(K729)^2)/($I$5*MAX(F729,0.1)^2),1/3)))),IF(AND(IFERROR(V729,0)=1,IFERROR(AG729,0)=1),IF(IFERROR(T729,-1E+99)&gt;=IFERROR(AE729,-1E+99),MAX($D$16,IFERROR(L729,MAX($D$16,POWER((ABS(K729)^2)/($I$5*MAX(F729,0.1)^2),1/3)))),MAX($D$16,IFERROR(W729,MAX($D$16,POWER((ABS(K729)^2)/($I$5*MAX(F729,0.1)^2),1/3))))),IF(IFERROR(V729,0)=1,MAX($D$16,IFERROR(L729,MAX($D$16,POWER((ABS(K729)^2)/($I$5*MAX(F729,0.1)^2),1/3)))),IF(IFERROR(AG729,0)=1,MAX($D$16,IFERROR(W729,MAX($D$16,POWER((ABS(K729)^2)/($I$5*MAX(F729,0.1)^2),1/3)))),MAX($D$16,POWER((ABS(K729)^2)/($I$5*MAX(F729,0.1)^2),1/3))))))),MAX($D$16,POWER((ABS(K729)^2)/($I$5*MAX(F729,0.1)^2),1/3)))</f>
        <v>2.1389677043987478</v>
      </c>
      <c r="AI729">
        <f t="shared" ca="1" si="362"/>
        <v>634.36796770439878</v>
      </c>
      <c r="AJ729">
        <f t="shared" ca="1" si="363"/>
        <v>635.43745155659815</v>
      </c>
      <c r="AM729">
        <v>0</v>
      </c>
      <c r="AN729">
        <v>0</v>
      </c>
      <c r="AO729">
        <f t="shared" si="364"/>
        <v>0</v>
      </c>
      <c r="AP729">
        <f t="shared" si="373"/>
        <v>0</v>
      </c>
      <c r="AQ729">
        <f t="shared" ca="1" si="365"/>
        <v>1.0000000000000004</v>
      </c>
      <c r="AR729" t="str">
        <f t="shared" ca="1" si="366"/>
        <v>Supercritical</v>
      </c>
      <c r="AS729">
        <f t="shared" ca="1" si="367"/>
        <v>3.8141460404132466E-3</v>
      </c>
    </row>
    <row r="730" spans="1:45" x14ac:dyDescent="0.35">
      <c r="A730">
        <v>669</v>
      </c>
      <c r="B730">
        <v>667.99599999999998</v>
      </c>
      <c r="C730">
        <v>616125.94499999995</v>
      </c>
      <c r="D730">
        <v>3097331.1379999998</v>
      </c>
      <c r="E730">
        <v>632.22850000000005</v>
      </c>
      <c r="F730">
        <v>5.2</v>
      </c>
      <c r="G730">
        <v>0</v>
      </c>
      <c r="H730" t="s">
        <v>154</v>
      </c>
      <c r="I730">
        <v>2.3E-2</v>
      </c>
      <c r="J730">
        <f t="shared" si="368"/>
        <v>1.0009999999999764</v>
      </c>
      <c r="K730">
        <f t="shared" ca="1" si="369"/>
        <v>50.95</v>
      </c>
      <c r="L730">
        <f t="shared" ca="1" si="370"/>
        <v>2.1389677043987478</v>
      </c>
      <c r="M730">
        <f t="shared" ca="1" si="343"/>
        <v>11.122632062873489</v>
      </c>
      <c r="N730">
        <f t="shared" ca="1" si="344"/>
        <v>1.1735290000551568</v>
      </c>
      <c r="O730">
        <f t="shared" ca="1" si="345"/>
        <v>4.5807502857230418</v>
      </c>
      <c r="P730">
        <f t="shared" ca="1" si="346"/>
        <v>634.36746770439879</v>
      </c>
      <c r="Q730">
        <f t="shared" ca="1" si="347"/>
        <v>635.43695155659816</v>
      </c>
      <c r="R730">
        <f t="shared" ca="1" si="348"/>
        <v>3.8141460404132466E-3</v>
      </c>
      <c r="S730">
        <f t="shared" ca="1" si="349"/>
        <v>1.0000000000000004</v>
      </c>
      <c r="T730">
        <f t="shared" ca="1" si="350"/>
        <v>35.686426155594638</v>
      </c>
      <c r="U730">
        <f t="shared" ca="1" si="371"/>
        <v>-3.3589570674621427E-3</v>
      </c>
      <c r="V730">
        <f t="shared" ca="1" si="372"/>
        <v>1</v>
      </c>
      <c r="W730">
        <f t="shared" ca="1" si="351"/>
        <v>1.7069123395520815</v>
      </c>
      <c r="X730">
        <f t="shared" ca="1" si="352"/>
        <v>8.8759441656708251</v>
      </c>
      <c r="Y730">
        <f t="shared" ca="1" si="353"/>
        <v>1.0304300930575618</v>
      </c>
      <c r="Z730">
        <f t="shared" ca="1" si="354"/>
        <v>5.740234396365123</v>
      </c>
      <c r="AA730">
        <f t="shared" ca="1" si="355"/>
        <v>633.93541233955216</v>
      </c>
      <c r="AB730">
        <f t="shared" ca="1" si="356"/>
        <v>635.61483593410946</v>
      </c>
      <c r="AC730">
        <f t="shared" ca="1" si="357"/>
        <v>7.1233408689807126E-3</v>
      </c>
      <c r="AD730">
        <f t="shared" ca="1" si="358"/>
        <v>1.4027798342481275</v>
      </c>
      <c r="AE730">
        <f t="shared" ca="1" si="359"/>
        <v>37.38816942238013</v>
      </c>
      <c r="AF730">
        <f t="shared" ca="1" si="360"/>
        <v>6.6989149305527462E-3</v>
      </c>
      <c r="AG730">
        <f t="shared" ca="1" si="361"/>
        <v>0</v>
      </c>
      <c r="AH730">
        <f ca="1">IFERROR(IF(V32="Supercritical",MAX($D$16,IFERROR(L730,MAX($D$16,POWER((ABS(K730)^2)/($I$5*MAX(F730,0.1)^2),1/3)))),IF(V32="Subcritical",MAX($D$16,IFERROR(W730,MAX($D$16,POWER((ABS(K730)^2)/($I$5*MAX(F730,0.1)^2),1/3)))),IF(AND(IFERROR(V730,0)=1,IFERROR(AG730,0)=1),IF(IFERROR(T730,-1E+99)&gt;=IFERROR(AE730,-1E+99),MAX($D$16,IFERROR(L730,MAX($D$16,POWER((ABS(K730)^2)/($I$5*MAX(F730,0.1)^2),1/3)))),MAX($D$16,IFERROR(W730,MAX($D$16,POWER((ABS(K730)^2)/($I$5*MAX(F730,0.1)^2),1/3))))),IF(IFERROR(V730,0)=1,MAX($D$16,IFERROR(L730,MAX($D$16,POWER((ABS(K730)^2)/($I$5*MAX(F730,0.1)^2),1/3)))),IF(IFERROR(AG730,0)=1,MAX($D$16,IFERROR(W730,MAX($D$16,POWER((ABS(K730)^2)/($I$5*MAX(F730,0.1)^2),1/3)))),MAX($D$16,POWER((ABS(K730)^2)/($I$5*MAX(F730,0.1)^2),1/3))))))),MAX($D$16,POWER((ABS(K730)^2)/($I$5*MAX(F730,0.1)^2),1/3)))</f>
        <v>2.1389677043987478</v>
      </c>
      <c r="AI730">
        <f t="shared" ca="1" si="362"/>
        <v>634.36746770439879</v>
      </c>
      <c r="AJ730">
        <f t="shared" ca="1" si="363"/>
        <v>635.43695155659816</v>
      </c>
      <c r="AM730">
        <v>0</v>
      </c>
      <c r="AN730">
        <v>0</v>
      </c>
      <c r="AO730">
        <f t="shared" si="364"/>
        <v>0</v>
      </c>
      <c r="AP730">
        <f t="shared" si="373"/>
        <v>0</v>
      </c>
      <c r="AQ730">
        <f t="shared" ca="1" si="365"/>
        <v>1.0000000000000004</v>
      </c>
      <c r="AR730" t="str">
        <f t="shared" ca="1" si="366"/>
        <v>Supercritical</v>
      </c>
      <c r="AS730">
        <f t="shared" ca="1" si="367"/>
        <v>3.8141460404132466E-3</v>
      </c>
    </row>
    <row r="731" spans="1:45" x14ac:dyDescent="0.35">
      <c r="A731">
        <v>670</v>
      </c>
      <c r="B731">
        <v>668.99599999999998</v>
      </c>
      <c r="C731">
        <v>616125.47100000002</v>
      </c>
      <c r="D731">
        <v>3097330.2579999999</v>
      </c>
      <c r="E731">
        <v>632.22799999999995</v>
      </c>
      <c r="F731">
        <v>5.2</v>
      </c>
      <c r="G731">
        <v>0</v>
      </c>
      <c r="H731" t="s">
        <v>154</v>
      </c>
      <c r="I731">
        <v>2.7E-2</v>
      </c>
      <c r="J731">
        <f t="shared" si="368"/>
        <v>1</v>
      </c>
      <c r="K731">
        <f t="shared" ca="1" si="369"/>
        <v>50.95</v>
      </c>
      <c r="L731">
        <f t="shared" ca="1" si="370"/>
        <v>2.1389677043987478</v>
      </c>
      <c r="M731">
        <f t="shared" ca="1" si="343"/>
        <v>11.122632062873489</v>
      </c>
      <c r="N731">
        <f t="shared" ca="1" si="344"/>
        <v>1.1735290000551568</v>
      </c>
      <c r="O731">
        <f t="shared" ca="1" si="345"/>
        <v>4.5807502857230418</v>
      </c>
      <c r="P731">
        <f t="shared" ca="1" si="346"/>
        <v>634.36696770439869</v>
      </c>
      <c r="Q731">
        <f t="shared" ca="1" si="347"/>
        <v>635.43645155659806</v>
      </c>
      <c r="R731">
        <f t="shared" ca="1" si="348"/>
        <v>3.8141460404132466E-3</v>
      </c>
      <c r="S731">
        <f t="shared" ca="1" si="349"/>
        <v>1.0000000000000004</v>
      </c>
      <c r="T731">
        <f t="shared" ca="1" si="350"/>
        <v>35.686426155594638</v>
      </c>
      <c r="U731">
        <f t="shared" ca="1" si="371"/>
        <v>-3.3622728136606383E-3</v>
      </c>
      <c r="V731">
        <f t="shared" ca="1" si="372"/>
        <v>1</v>
      </c>
      <c r="W731">
        <f t="shared" ca="1" si="351"/>
        <v>1.7069123395485857</v>
      </c>
      <c r="X731">
        <f t="shared" ca="1" si="352"/>
        <v>8.8759441656526459</v>
      </c>
      <c r="Y731">
        <f t="shared" ca="1" si="353"/>
        <v>1.0304300930562877</v>
      </c>
      <c r="Z731">
        <f t="shared" ca="1" si="354"/>
        <v>5.7402343963768798</v>
      </c>
      <c r="AA731">
        <f t="shared" ca="1" si="355"/>
        <v>633.93491233954853</v>
      </c>
      <c r="AB731">
        <f t="shared" ca="1" si="356"/>
        <v>635.61433593411266</v>
      </c>
      <c r="AC731">
        <f t="shared" ca="1" si="357"/>
        <v>7.1233408690216373E-3</v>
      </c>
      <c r="AD731">
        <f t="shared" ca="1" si="358"/>
        <v>1.4027798342524371</v>
      </c>
      <c r="AE731">
        <f t="shared" ca="1" si="359"/>
        <v>37.388169422410165</v>
      </c>
      <c r="AF731">
        <f t="shared" ca="1" si="360"/>
        <v>6.6989149307801199E-3</v>
      </c>
      <c r="AG731">
        <f t="shared" ca="1" si="361"/>
        <v>0</v>
      </c>
      <c r="AH731">
        <f ca="1">IFERROR(IF(V32="Supercritical",MAX($D$16,IFERROR(L731,MAX($D$16,POWER((ABS(K731)^2)/($I$5*MAX(F731,0.1)^2),1/3)))),IF(V32="Subcritical",MAX($D$16,IFERROR(W731,MAX($D$16,POWER((ABS(K731)^2)/($I$5*MAX(F731,0.1)^2),1/3)))),IF(AND(IFERROR(V731,0)=1,IFERROR(AG731,0)=1),IF(IFERROR(T731,-1E+99)&gt;=IFERROR(AE731,-1E+99),MAX($D$16,IFERROR(L731,MAX($D$16,POWER((ABS(K731)^2)/($I$5*MAX(F731,0.1)^2),1/3)))),MAX($D$16,IFERROR(W731,MAX($D$16,POWER((ABS(K731)^2)/($I$5*MAX(F731,0.1)^2),1/3))))),IF(IFERROR(V731,0)=1,MAX($D$16,IFERROR(L731,MAX($D$16,POWER((ABS(K731)^2)/($I$5*MAX(F731,0.1)^2),1/3)))),IF(IFERROR(AG731,0)=1,MAX($D$16,IFERROR(W731,MAX($D$16,POWER((ABS(K731)^2)/($I$5*MAX(F731,0.1)^2),1/3)))),MAX($D$16,POWER((ABS(K731)^2)/($I$5*MAX(F731,0.1)^2),1/3))))))),MAX($D$16,POWER((ABS(K731)^2)/($I$5*MAX(F731,0.1)^2),1/3)))</f>
        <v>2.1389677043987478</v>
      </c>
      <c r="AI731">
        <f t="shared" ca="1" si="362"/>
        <v>634.36696770439869</v>
      </c>
      <c r="AJ731">
        <f t="shared" ca="1" si="363"/>
        <v>635.43645155659806</v>
      </c>
      <c r="AM731">
        <v>0</v>
      </c>
      <c r="AN731">
        <v>0</v>
      </c>
      <c r="AO731">
        <f t="shared" si="364"/>
        <v>0</v>
      </c>
      <c r="AP731">
        <f t="shared" si="373"/>
        <v>0</v>
      </c>
      <c r="AQ731">
        <f t="shared" ca="1" si="365"/>
        <v>1.0000000000000004</v>
      </c>
      <c r="AR731" t="str">
        <f t="shared" ca="1" si="366"/>
        <v>Supercritical</v>
      </c>
      <c r="AS731">
        <f t="shared" ca="1" si="367"/>
        <v>3.8141460404132466E-3</v>
      </c>
    </row>
    <row r="732" spans="1:45" x14ac:dyDescent="0.35">
      <c r="A732">
        <v>671</v>
      </c>
      <c r="B732">
        <v>669.99599999999998</v>
      </c>
      <c r="C732">
        <v>616124.99699999997</v>
      </c>
      <c r="D732">
        <v>3097329.3769999999</v>
      </c>
      <c r="E732">
        <v>632.22749999999996</v>
      </c>
      <c r="F732">
        <v>5.2</v>
      </c>
      <c r="G732">
        <v>0</v>
      </c>
      <c r="H732" t="s">
        <v>154</v>
      </c>
      <c r="I732">
        <v>2.7E-2</v>
      </c>
      <c r="J732">
        <f t="shared" si="368"/>
        <v>1</v>
      </c>
      <c r="K732">
        <f t="shared" ca="1" si="369"/>
        <v>50.95</v>
      </c>
      <c r="L732">
        <f t="shared" ca="1" si="370"/>
        <v>2.1389677043987478</v>
      </c>
      <c r="M732">
        <f t="shared" ca="1" si="343"/>
        <v>11.122632062873489</v>
      </c>
      <c r="N732">
        <f t="shared" ca="1" si="344"/>
        <v>1.1735290000551568</v>
      </c>
      <c r="O732">
        <f t="shared" ca="1" si="345"/>
        <v>4.5807502857230418</v>
      </c>
      <c r="P732">
        <f t="shared" ca="1" si="346"/>
        <v>634.3664677043987</v>
      </c>
      <c r="Q732">
        <f t="shared" ca="1" si="347"/>
        <v>635.43595155659807</v>
      </c>
      <c r="R732">
        <f t="shared" ca="1" si="348"/>
        <v>3.8141460404132466E-3</v>
      </c>
      <c r="S732">
        <f t="shared" ca="1" si="349"/>
        <v>1.0000000000000004</v>
      </c>
      <c r="T732">
        <f t="shared" ca="1" si="350"/>
        <v>35.686426155594638</v>
      </c>
      <c r="U732">
        <f t="shared" ca="1" si="371"/>
        <v>-3.3622728137743252E-3</v>
      </c>
      <c r="V732">
        <f t="shared" ca="1" si="372"/>
        <v>1</v>
      </c>
      <c r="W732">
        <f t="shared" ca="1" si="351"/>
        <v>1.7069123395452945</v>
      </c>
      <c r="X732">
        <f t="shared" ca="1" si="352"/>
        <v>8.8759441656355325</v>
      </c>
      <c r="Y732">
        <f t="shared" ca="1" si="353"/>
        <v>1.0304300930550883</v>
      </c>
      <c r="Z732">
        <f t="shared" ca="1" si="354"/>
        <v>5.7402343963879474</v>
      </c>
      <c r="AA732">
        <f t="shared" ca="1" si="355"/>
        <v>633.93441233954525</v>
      </c>
      <c r="AB732">
        <f t="shared" ca="1" si="356"/>
        <v>635.61383593411585</v>
      </c>
      <c r="AC732">
        <f t="shared" ca="1" si="357"/>
        <v>7.1233408690601612E-3</v>
      </c>
      <c r="AD732">
        <f t="shared" ca="1" si="358"/>
        <v>1.4027798342564939</v>
      </c>
      <c r="AE732">
        <f t="shared" ca="1" si="359"/>
        <v>37.38816942243843</v>
      </c>
      <c r="AF732">
        <f t="shared" ca="1" si="360"/>
        <v>6.7632928352168165E-3</v>
      </c>
      <c r="AG732">
        <f t="shared" ca="1" si="361"/>
        <v>0</v>
      </c>
      <c r="AH732">
        <f ca="1">IFERROR(IF(V32="Supercritical",MAX($D$16,IFERROR(L732,MAX($D$16,POWER((ABS(K732)^2)/($I$5*MAX(F732,0.1)^2),1/3)))),IF(V32="Subcritical",MAX($D$16,IFERROR(W732,MAX($D$16,POWER((ABS(K732)^2)/($I$5*MAX(F732,0.1)^2),1/3)))),IF(AND(IFERROR(V732,0)=1,IFERROR(AG732,0)=1),IF(IFERROR(T732,-1E+99)&gt;=IFERROR(AE732,-1E+99),MAX($D$16,IFERROR(L732,MAX($D$16,POWER((ABS(K732)^2)/($I$5*MAX(F732,0.1)^2),1/3)))),MAX($D$16,IFERROR(W732,MAX($D$16,POWER((ABS(K732)^2)/($I$5*MAX(F732,0.1)^2),1/3))))),IF(IFERROR(V732,0)=1,MAX($D$16,IFERROR(L732,MAX($D$16,POWER((ABS(K732)^2)/($I$5*MAX(F732,0.1)^2),1/3)))),IF(IFERROR(AG732,0)=1,MAX($D$16,IFERROR(W732,MAX($D$16,POWER((ABS(K732)^2)/($I$5*MAX(F732,0.1)^2),1/3)))),MAX($D$16,POWER((ABS(K732)^2)/($I$5*MAX(F732,0.1)^2),1/3))))))),MAX($D$16,POWER((ABS(K732)^2)/($I$5*MAX(F732,0.1)^2),1/3)))</f>
        <v>2.1389677043987478</v>
      </c>
      <c r="AI732">
        <f t="shared" ca="1" si="362"/>
        <v>634.3664677043987</v>
      </c>
      <c r="AJ732">
        <f t="shared" ca="1" si="363"/>
        <v>635.43595155659807</v>
      </c>
      <c r="AM732">
        <v>0</v>
      </c>
      <c r="AN732">
        <v>0</v>
      </c>
      <c r="AO732">
        <f t="shared" si="364"/>
        <v>0</v>
      </c>
      <c r="AP732">
        <f t="shared" si="373"/>
        <v>0</v>
      </c>
      <c r="AQ732">
        <f t="shared" ca="1" si="365"/>
        <v>1.0000000000000004</v>
      </c>
      <c r="AR732" t="str">
        <f t="shared" ca="1" si="366"/>
        <v>Supercritical</v>
      </c>
      <c r="AS732">
        <f t="shared" ca="1" si="367"/>
        <v>3.8141460404132466E-3</v>
      </c>
    </row>
    <row r="733" spans="1:45" x14ac:dyDescent="0.35">
      <c r="A733">
        <v>672</v>
      </c>
      <c r="B733">
        <v>670.99599999999998</v>
      </c>
      <c r="C733">
        <v>616124.52300000004</v>
      </c>
      <c r="D733">
        <v>3097328.497</v>
      </c>
      <c r="E733">
        <v>632.22699999999998</v>
      </c>
      <c r="F733">
        <v>5.2</v>
      </c>
      <c r="G733">
        <v>0</v>
      </c>
      <c r="H733" t="s">
        <v>154</v>
      </c>
      <c r="I733">
        <v>0.05</v>
      </c>
      <c r="J733">
        <f t="shared" si="368"/>
        <v>1</v>
      </c>
      <c r="K733">
        <f t="shared" ca="1" si="369"/>
        <v>50.95</v>
      </c>
      <c r="L733">
        <f t="shared" ca="1" si="370"/>
        <v>2.1389677043987478</v>
      </c>
      <c r="M733">
        <f t="shared" ca="1" si="343"/>
        <v>11.122632062873489</v>
      </c>
      <c r="N733">
        <f t="shared" ca="1" si="344"/>
        <v>1.1735290000551568</v>
      </c>
      <c r="O733">
        <f t="shared" ca="1" si="345"/>
        <v>4.5807502857230418</v>
      </c>
      <c r="P733">
        <f t="shared" ca="1" si="346"/>
        <v>634.36596770439871</v>
      </c>
      <c r="Q733">
        <f t="shared" ca="1" si="347"/>
        <v>635.43545155659808</v>
      </c>
      <c r="R733">
        <f t="shared" ca="1" si="348"/>
        <v>3.8141460404132466E-3</v>
      </c>
      <c r="S733">
        <f t="shared" ca="1" si="349"/>
        <v>1.0000000000000004</v>
      </c>
      <c r="T733">
        <f t="shared" ca="1" si="350"/>
        <v>35.686426155594638</v>
      </c>
      <c r="U733">
        <f t="shared" ca="1" si="371"/>
        <v>-3.4032696947861041E-3</v>
      </c>
      <c r="V733">
        <f t="shared" ca="1" si="372"/>
        <v>1</v>
      </c>
      <c r="W733">
        <f t="shared" ca="1" si="351"/>
        <v>1.706912339542225</v>
      </c>
      <c r="X733">
        <f t="shared" ca="1" si="352"/>
        <v>8.8759441656195701</v>
      </c>
      <c r="Y733">
        <f t="shared" ca="1" si="353"/>
        <v>1.0304300930539696</v>
      </c>
      <c r="Z733">
        <f t="shared" ca="1" si="354"/>
        <v>5.7402343963982707</v>
      </c>
      <c r="AA733">
        <f t="shared" ca="1" si="355"/>
        <v>633.93391233954219</v>
      </c>
      <c r="AB733">
        <f t="shared" ca="1" si="356"/>
        <v>635.61333593411882</v>
      </c>
      <c r="AC733">
        <f t="shared" ca="1" si="357"/>
        <v>7.1233408690960934E-3</v>
      </c>
      <c r="AD733">
        <f t="shared" ca="1" si="358"/>
        <v>1.4027798342602784</v>
      </c>
      <c r="AE733">
        <f t="shared" ca="1" si="359"/>
        <v>37.388169422464799</v>
      </c>
      <c r="AF733">
        <f t="shared" ca="1" si="360"/>
        <v>6.8416659363492727E-3</v>
      </c>
      <c r="AG733">
        <f t="shared" ca="1" si="361"/>
        <v>0</v>
      </c>
      <c r="AH733">
        <f ca="1">IFERROR(IF(V32="Supercritical",MAX($D$16,IFERROR(L733,MAX($D$16,POWER((ABS(K733)^2)/($I$5*MAX(F733,0.1)^2),1/3)))),IF(V32="Subcritical",MAX($D$16,IFERROR(W733,MAX($D$16,POWER((ABS(K733)^2)/($I$5*MAX(F733,0.1)^2),1/3)))),IF(AND(IFERROR(V733,0)=1,IFERROR(AG733,0)=1),IF(IFERROR(T733,-1E+99)&gt;=IFERROR(AE733,-1E+99),MAX($D$16,IFERROR(L733,MAX($D$16,POWER((ABS(K733)^2)/($I$5*MAX(F733,0.1)^2),1/3)))),MAX($D$16,IFERROR(W733,MAX($D$16,POWER((ABS(K733)^2)/($I$5*MAX(F733,0.1)^2),1/3))))),IF(IFERROR(V733,0)=1,MAX($D$16,IFERROR(L733,MAX($D$16,POWER((ABS(K733)^2)/($I$5*MAX(F733,0.1)^2),1/3)))),IF(IFERROR(AG733,0)=1,MAX($D$16,IFERROR(W733,MAX($D$16,POWER((ABS(K733)^2)/($I$5*MAX(F733,0.1)^2),1/3)))),MAX($D$16,POWER((ABS(K733)^2)/($I$5*MAX(F733,0.1)^2),1/3))))))),MAX($D$16,POWER((ABS(K733)^2)/($I$5*MAX(F733,0.1)^2),1/3)))</f>
        <v>2.1389677043987478</v>
      </c>
      <c r="AI733">
        <f t="shared" ca="1" si="362"/>
        <v>634.36596770439871</v>
      </c>
      <c r="AJ733">
        <f t="shared" ca="1" si="363"/>
        <v>635.43545155659808</v>
      </c>
      <c r="AM733">
        <v>0</v>
      </c>
      <c r="AN733">
        <v>0</v>
      </c>
      <c r="AO733">
        <f t="shared" si="364"/>
        <v>0</v>
      </c>
      <c r="AP733">
        <f t="shared" si="373"/>
        <v>0</v>
      </c>
      <c r="AQ733">
        <f t="shared" ca="1" si="365"/>
        <v>1.0000000000000004</v>
      </c>
      <c r="AR733" t="str">
        <f t="shared" ca="1" si="366"/>
        <v>Supercritical</v>
      </c>
      <c r="AS733">
        <f t="shared" ca="1" si="367"/>
        <v>3.8141460404132466E-3</v>
      </c>
    </row>
    <row r="734" spans="1:45" x14ac:dyDescent="0.35">
      <c r="A734">
        <v>673</v>
      </c>
      <c r="B734">
        <v>671.99599999999998</v>
      </c>
      <c r="C734">
        <v>616124.04799999995</v>
      </c>
      <c r="D734">
        <v>3097327.6170000001</v>
      </c>
      <c r="E734">
        <v>632.22649999999999</v>
      </c>
      <c r="F734">
        <v>5.2</v>
      </c>
      <c r="G734">
        <v>0</v>
      </c>
      <c r="H734" t="s">
        <v>154</v>
      </c>
      <c r="I734">
        <v>7.8E-2</v>
      </c>
      <c r="J734">
        <f t="shared" si="368"/>
        <v>1</v>
      </c>
      <c r="K734">
        <f t="shared" ca="1" si="369"/>
        <v>50.95</v>
      </c>
      <c r="L734">
        <f t="shared" ca="1" si="370"/>
        <v>2.1389677043987478</v>
      </c>
      <c r="M734">
        <f t="shared" ca="1" si="343"/>
        <v>11.122632062873489</v>
      </c>
      <c r="N734">
        <f t="shared" ca="1" si="344"/>
        <v>1.1735290000551568</v>
      </c>
      <c r="O734">
        <f t="shared" ca="1" si="345"/>
        <v>4.5807502857230418</v>
      </c>
      <c r="P734">
        <f t="shared" ca="1" si="346"/>
        <v>634.36546770439872</v>
      </c>
      <c r="Q734">
        <f t="shared" ca="1" si="347"/>
        <v>635.43495155659809</v>
      </c>
      <c r="R734">
        <f t="shared" ca="1" si="348"/>
        <v>3.8141460404132466E-3</v>
      </c>
      <c r="S734">
        <f t="shared" ca="1" si="349"/>
        <v>1.0000000000000004</v>
      </c>
      <c r="T734">
        <f t="shared" ca="1" si="350"/>
        <v>35.686426155594638</v>
      </c>
      <c r="U734">
        <f t="shared" ca="1" si="371"/>
        <v>-3.4531789411857972E-3</v>
      </c>
      <c r="V734">
        <f t="shared" ca="1" si="372"/>
        <v>1</v>
      </c>
      <c r="W734">
        <f t="shared" ca="1" si="351"/>
        <v>1.706912339539377</v>
      </c>
      <c r="X734">
        <f t="shared" ca="1" si="352"/>
        <v>8.8759441656047606</v>
      </c>
      <c r="Y734">
        <f t="shared" ca="1" si="353"/>
        <v>1.0304300930529318</v>
      </c>
      <c r="Z734">
        <f t="shared" ca="1" si="354"/>
        <v>5.7402343964078479</v>
      </c>
      <c r="AA734">
        <f t="shared" ca="1" si="355"/>
        <v>633.93341233953936</v>
      </c>
      <c r="AB734">
        <f t="shared" ca="1" si="356"/>
        <v>635.61283593412156</v>
      </c>
      <c r="AC734">
        <f t="shared" ca="1" si="357"/>
        <v>7.1233408691294331E-3</v>
      </c>
      <c r="AD734">
        <f t="shared" ca="1" si="358"/>
        <v>1.4027798342637889</v>
      </c>
      <c r="AE734">
        <f t="shared" ca="1" si="359"/>
        <v>37.38816942248927</v>
      </c>
      <c r="AF734">
        <f t="shared" ca="1" si="360"/>
        <v>6.6989149308938067E-3</v>
      </c>
      <c r="AG734">
        <f t="shared" ca="1" si="361"/>
        <v>0</v>
      </c>
      <c r="AH734">
        <f ca="1">IFERROR(IF(V32="Supercritical",MAX($D$16,IFERROR(L734,MAX($D$16,POWER((ABS(K734)^2)/($I$5*MAX(F734,0.1)^2),1/3)))),IF(V32="Subcritical",MAX($D$16,IFERROR(W734,MAX($D$16,POWER((ABS(K734)^2)/($I$5*MAX(F734,0.1)^2),1/3)))),IF(AND(IFERROR(V734,0)=1,IFERROR(AG734,0)=1),IF(IFERROR(T734,-1E+99)&gt;=IFERROR(AE734,-1E+99),MAX($D$16,IFERROR(L734,MAX($D$16,POWER((ABS(K734)^2)/($I$5*MAX(F734,0.1)^2),1/3)))),MAX($D$16,IFERROR(W734,MAX($D$16,POWER((ABS(K734)^2)/($I$5*MAX(F734,0.1)^2),1/3))))),IF(IFERROR(V734,0)=1,MAX($D$16,IFERROR(L734,MAX($D$16,POWER((ABS(K734)^2)/($I$5*MAX(F734,0.1)^2),1/3)))),IF(IFERROR(AG734,0)=1,MAX($D$16,IFERROR(W734,MAX($D$16,POWER((ABS(K734)^2)/($I$5*MAX(F734,0.1)^2),1/3)))),MAX($D$16,POWER((ABS(K734)^2)/($I$5*MAX(F734,0.1)^2),1/3))))))),MAX($D$16,POWER((ABS(K734)^2)/($I$5*MAX(F734,0.1)^2),1/3)))</f>
        <v>2.1389677043987478</v>
      </c>
      <c r="AI734">
        <f t="shared" ca="1" si="362"/>
        <v>634.36546770439872</v>
      </c>
      <c r="AJ734">
        <f t="shared" ca="1" si="363"/>
        <v>635.43495155659809</v>
      </c>
      <c r="AM734">
        <v>0</v>
      </c>
      <c r="AN734">
        <v>0</v>
      </c>
      <c r="AO734">
        <f t="shared" si="364"/>
        <v>0</v>
      </c>
      <c r="AP734">
        <f t="shared" si="373"/>
        <v>0</v>
      </c>
      <c r="AQ734">
        <f t="shared" ca="1" si="365"/>
        <v>1.0000000000000004</v>
      </c>
      <c r="AR734" t="str">
        <f t="shared" ca="1" si="366"/>
        <v>Supercritical</v>
      </c>
      <c r="AS734">
        <f t="shared" ca="1" si="367"/>
        <v>3.8141460404132466E-3</v>
      </c>
    </row>
    <row r="735" spans="1:45" x14ac:dyDescent="0.35">
      <c r="A735">
        <v>674</v>
      </c>
      <c r="B735">
        <v>672.99599999999998</v>
      </c>
      <c r="C735">
        <v>616123.57400000002</v>
      </c>
      <c r="D735">
        <v>3097326.736</v>
      </c>
      <c r="E735">
        <v>632.226</v>
      </c>
      <c r="F735">
        <v>5.2</v>
      </c>
      <c r="G735">
        <v>0</v>
      </c>
      <c r="H735" t="s">
        <v>154</v>
      </c>
      <c r="I735">
        <v>2.7E-2</v>
      </c>
      <c r="J735">
        <f t="shared" si="368"/>
        <v>1</v>
      </c>
      <c r="K735">
        <f t="shared" ca="1" si="369"/>
        <v>50.95</v>
      </c>
      <c r="L735">
        <f t="shared" ca="1" si="370"/>
        <v>2.1389677043987478</v>
      </c>
      <c r="M735">
        <f t="shared" ca="1" si="343"/>
        <v>11.122632062873489</v>
      </c>
      <c r="N735">
        <f t="shared" ca="1" si="344"/>
        <v>1.1735290000551568</v>
      </c>
      <c r="O735">
        <f t="shared" ca="1" si="345"/>
        <v>4.5807502857230418</v>
      </c>
      <c r="P735">
        <f t="shared" ca="1" si="346"/>
        <v>634.36496770439874</v>
      </c>
      <c r="Q735">
        <f t="shared" ca="1" si="347"/>
        <v>635.43445155659811</v>
      </c>
      <c r="R735">
        <f t="shared" ca="1" si="348"/>
        <v>3.8141460404132466E-3</v>
      </c>
      <c r="S735">
        <f t="shared" ca="1" si="349"/>
        <v>1.0000000000000004</v>
      </c>
      <c r="T735">
        <f t="shared" ca="1" si="350"/>
        <v>35.686426155594638</v>
      </c>
      <c r="U735">
        <f t="shared" ca="1" si="371"/>
        <v>-3.3622728137743252E-3</v>
      </c>
      <c r="V735">
        <f t="shared" ca="1" si="372"/>
        <v>1</v>
      </c>
      <c r="W735">
        <f t="shared" ca="1" si="351"/>
        <v>1.7069123395367167</v>
      </c>
      <c r="X735">
        <f t="shared" ca="1" si="352"/>
        <v>8.8759441655909281</v>
      </c>
      <c r="Y735">
        <f t="shared" ca="1" si="353"/>
        <v>1.0304300930519623</v>
      </c>
      <c r="Z735">
        <f t="shared" ca="1" si="354"/>
        <v>5.7402343964167937</v>
      </c>
      <c r="AA735">
        <f t="shared" ca="1" si="355"/>
        <v>633.93291233953676</v>
      </c>
      <c r="AB735">
        <f t="shared" ca="1" si="356"/>
        <v>635.61233593412419</v>
      </c>
      <c r="AC735">
        <f t="shared" ca="1" si="357"/>
        <v>7.1233408691605679E-3</v>
      </c>
      <c r="AD735">
        <f t="shared" ca="1" si="358"/>
        <v>1.4027798342670681</v>
      </c>
      <c r="AE735">
        <f t="shared" ca="1" si="359"/>
        <v>37.388169422512114</v>
      </c>
      <c r="AF735">
        <f t="shared" ca="1" si="360"/>
        <v>6.6989149308938067E-3</v>
      </c>
      <c r="AG735">
        <f t="shared" ca="1" si="361"/>
        <v>0</v>
      </c>
      <c r="AH735">
        <f ca="1">IFERROR(IF(V32="Supercritical",MAX($D$16,IFERROR(L735,MAX($D$16,POWER((ABS(K735)^2)/($I$5*MAX(F735,0.1)^2),1/3)))),IF(V32="Subcritical",MAX($D$16,IFERROR(W735,MAX($D$16,POWER((ABS(K735)^2)/($I$5*MAX(F735,0.1)^2),1/3)))),IF(AND(IFERROR(V735,0)=1,IFERROR(AG735,0)=1),IF(IFERROR(T735,-1E+99)&gt;=IFERROR(AE735,-1E+99),MAX($D$16,IFERROR(L735,MAX($D$16,POWER((ABS(K735)^2)/($I$5*MAX(F735,0.1)^2),1/3)))),MAX($D$16,IFERROR(W735,MAX($D$16,POWER((ABS(K735)^2)/($I$5*MAX(F735,0.1)^2),1/3))))),IF(IFERROR(V735,0)=1,MAX($D$16,IFERROR(L735,MAX($D$16,POWER((ABS(K735)^2)/($I$5*MAX(F735,0.1)^2),1/3)))),IF(IFERROR(AG735,0)=1,MAX($D$16,IFERROR(W735,MAX($D$16,POWER((ABS(K735)^2)/($I$5*MAX(F735,0.1)^2),1/3)))),MAX($D$16,POWER((ABS(K735)^2)/($I$5*MAX(F735,0.1)^2),1/3))))))),MAX($D$16,POWER((ABS(K735)^2)/($I$5*MAX(F735,0.1)^2),1/3)))</f>
        <v>2.1389677043987478</v>
      </c>
      <c r="AI735">
        <f t="shared" ca="1" si="362"/>
        <v>634.36496770439874</v>
      </c>
      <c r="AJ735">
        <f t="shared" ca="1" si="363"/>
        <v>635.43445155659811</v>
      </c>
      <c r="AM735">
        <v>0</v>
      </c>
      <c r="AN735">
        <v>0</v>
      </c>
      <c r="AO735">
        <f t="shared" si="364"/>
        <v>0</v>
      </c>
      <c r="AP735">
        <f t="shared" si="373"/>
        <v>0</v>
      </c>
      <c r="AQ735">
        <f t="shared" ca="1" si="365"/>
        <v>1.0000000000000004</v>
      </c>
      <c r="AR735" t="str">
        <f t="shared" ca="1" si="366"/>
        <v>Supercritical</v>
      </c>
      <c r="AS735">
        <f t="shared" ca="1" si="367"/>
        <v>3.8141460404132466E-3</v>
      </c>
    </row>
    <row r="736" spans="1:45" x14ac:dyDescent="0.35">
      <c r="A736">
        <v>675</v>
      </c>
      <c r="B736">
        <v>673.99599999999998</v>
      </c>
      <c r="C736">
        <v>616123.1</v>
      </c>
      <c r="D736">
        <v>3097325.8560000001</v>
      </c>
      <c r="E736">
        <v>632.22550000000001</v>
      </c>
      <c r="F736">
        <v>5.2</v>
      </c>
      <c r="G736">
        <v>0</v>
      </c>
      <c r="H736" t="s">
        <v>154</v>
      </c>
      <c r="I736">
        <v>2.7E-2</v>
      </c>
      <c r="J736">
        <f t="shared" si="368"/>
        <v>1</v>
      </c>
      <c r="K736">
        <f t="shared" ca="1" si="369"/>
        <v>50.95</v>
      </c>
      <c r="L736">
        <f t="shared" ca="1" si="370"/>
        <v>2.1389677043987478</v>
      </c>
      <c r="M736">
        <f t="shared" ca="1" si="343"/>
        <v>11.122632062873489</v>
      </c>
      <c r="N736">
        <f t="shared" ca="1" si="344"/>
        <v>1.1735290000551568</v>
      </c>
      <c r="O736">
        <f t="shared" ca="1" si="345"/>
        <v>4.5807502857230418</v>
      </c>
      <c r="P736">
        <f t="shared" ca="1" si="346"/>
        <v>634.36446770439875</v>
      </c>
      <c r="Q736">
        <f t="shared" ca="1" si="347"/>
        <v>635.43395155659812</v>
      </c>
      <c r="R736">
        <f t="shared" ca="1" si="348"/>
        <v>3.8141460404132466E-3</v>
      </c>
      <c r="S736">
        <f t="shared" ca="1" si="349"/>
        <v>1.0000000000000004</v>
      </c>
      <c r="T736">
        <f t="shared" ca="1" si="350"/>
        <v>35.686426155594638</v>
      </c>
      <c r="U736">
        <f t="shared" ca="1" si="371"/>
        <v>-3.3622728137743252E-3</v>
      </c>
      <c r="V736">
        <f t="shared" ca="1" si="372"/>
        <v>1</v>
      </c>
      <c r="W736">
        <f t="shared" ca="1" si="351"/>
        <v>1.7069123395342269</v>
      </c>
      <c r="X736">
        <f t="shared" ca="1" si="352"/>
        <v>8.8759441655779803</v>
      </c>
      <c r="Y736">
        <f t="shared" ca="1" si="353"/>
        <v>1.0304300930510548</v>
      </c>
      <c r="Z736">
        <f t="shared" ca="1" si="354"/>
        <v>5.7402343964251674</v>
      </c>
      <c r="AA736">
        <f t="shared" ca="1" si="355"/>
        <v>633.93241233953427</v>
      </c>
      <c r="AB736">
        <f t="shared" ca="1" si="356"/>
        <v>635.6118359341267</v>
      </c>
      <c r="AC736">
        <f t="shared" ca="1" si="357"/>
        <v>7.1233408691897164E-3</v>
      </c>
      <c r="AD736">
        <f t="shared" ca="1" si="358"/>
        <v>1.4027798342701374</v>
      </c>
      <c r="AE736">
        <f t="shared" ca="1" si="359"/>
        <v>37.388169422533508</v>
      </c>
      <c r="AF736">
        <f t="shared" ca="1" si="360"/>
        <v>6.8416659364629595E-3</v>
      </c>
      <c r="AG736">
        <f t="shared" ca="1" si="361"/>
        <v>0</v>
      </c>
      <c r="AH736">
        <f ca="1">IFERROR(IF(V32="Supercritical",MAX($D$16,IFERROR(L736,MAX($D$16,POWER((ABS(K736)^2)/($I$5*MAX(F736,0.1)^2),1/3)))),IF(V32="Subcritical",MAX($D$16,IFERROR(W736,MAX($D$16,POWER((ABS(K736)^2)/($I$5*MAX(F736,0.1)^2),1/3)))),IF(AND(IFERROR(V736,0)=1,IFERROR(AG736,0)=1),IF(IFERROR(T736,-1E+99)&gt;=IFERROR(AE736,-1E+99),MAX($D$16,IFERROR(L736,MAX($D$16,POWER((ABS(K736)^2)/($I$5*MAX(F736,0.1)^2),1/3)))),MAX($D$16,IFERROR(W736,MAX($D$16,POWER((ABS(K736)^2)/($I$5*MAX(F736,0.1)^2),1/3))))),IF(IFERROR(V736,0)=1,MAX($D$16,IFERROR(L736,MAX($D$16,POWER((ABS(K736)^2)/($I$5*MAX(F736,0.1)^2),1/3)))),IF(IFERROR(AG736,0)=1,MAX($D$16,IFERROR(W736,MAX($D$16,POWER((ABS(K736)^2)/($I$5*MAX(F736,0.1)^2),1/3)))),MAX($D$16,POWER((ABS(K736)^2)/($I$5*MAX(F736,0.1)^2),1/3))))))),MAX($D$16,POWER((ABS(K736)^2)/($I$5*MAX(F736,0.1)^2),1/3)))</f>
        <v>2.1389677043987478</v>
      </c>
      <c r="AI736">
        <f t="shared" ca="1" si="362"/>
        <v>634.36446770439875</v>
      </c>
      <c r="AJ736">
        <f t="shared" ca="1" si="363"/>
        <v>635.43395155659812</v>
      </c>
      <c r="AM736">
        <v>0</v>
      </c>
      <c r="AN736">
        <v>0</v>
      </c>
      <c r="AO736">
        <f t="shared" si="364"/>
        <v>0</v>
      </c>
      <c r="AP736">
        <f t="shared" si="373"/>
        <v>0</v>
      </c>
      <c r="AQ736">
        <f t="shared" ca="1" si="365"/>
        <v>1.0000000000000004</v>
      </c>
      <c r="AR736" t="str">
        <f t="shared" ca="1" si="366"/>
        <v>Supercritical</v>
      </c>
      <c r="AS736">
        <f t="shared" ca="1" si="367"/>
        <v>3.8141460404132466E-3</v>
      </c>
    </row>
    <row r="737" spans="1:45" x14ac:dyDescent="0.35">
      <c r="A737">
        <v>676</v>
      </c>
      <c r="B737">
        <v>674.99599999999998</v>
      </c>
      <c r="C737">
        <v>616122.62600000005</v>
      </c>
      <c r="D737">
        <v>3097324.9750000001</v>
      </c>
      <c r="E737">
        <v>632.22500000000002</v>
      </c>
      <c r="F737">
        <v>5.2</v>
      </c>
      <c r="G737">
        <v>0</v>
      </c>
      <c r="H737" t="s">
        <v>154</v>
      </c>
      <c r="I737">
        <v>7.8E-2</v>
      </c>
      <c r="J737">
        <f t="shared" si="368"/>
        <v>1</v>
      </c>
      <c r="K737">
        <f t="shared" ca="1" si="369"/>
        <v>50.95</v>
      </c>
      <c r="L737">
        <f t="shared" ca="1" si="370"/>
        <v>2.1389677043987478</v>
      </c>
      <c r="M737">
        <f t="shared" ca="1" si="343"/>
        <v>11.122632062873489</v>
      </c>
      <c r="N737">
        <f t="shared" ca="1" si="344"/>
        <v>1.1735290000551568</v>
      </c>
      <c r="O737">
        <f t="shared" ca="1" si="345"/>
        <v>4.5807502857230418</v>
      </c>
      <c r="P737">
        <f t="shared" ca="1" si="346"/>
        <v>634.36396770439876</v>
      </c>
      <c r="Q737">
        <f t="shared" ca="1" si="347"/>
        <v>635.43345155659813</v>
      </c>
      <c r="R737">
        <f t="shared" ca="1" si="348"/>
        <v>3.8141460404132466E-3</v>
      </c>
      <c r="S737">
        <f t="shared" ca="1" si="349"/>
        <v>1.0000000000000004</v>
      </c>
      <c r="T737">
        <f t="shared" ca="1" si="350"/>
        <v>35.686426155594638</v>
      </c>
      <c r="U737">
        <f t="shared" ca="1" si="371"/>
        <v>-3.4531789411857972E-3</v>
      </c>
      <c r="V737">
        <f t="shared" ca="1" si="372"/>
        <v>1</v>
      </c>
      <c r="W737">
        <f t="shared" ca="1" si="351"/>
        <v>1.7069123395319248</v>
      </c>
      <c r="X737">
        <f t="shared" ca="1" si="352"/>
        <v>8.8759441655660094</v>
      </c>
      <c r="Y737">
        <f t="shared" ca="1" si="353"/>
        <v>1.0304300930502159</v>
      </c>
      <c r="Z737">
        <f t="shared" ca="1" si="354"/>
        <v>5.7402343964329088</v>
      </c>
      <c r="AA737">
        <f t="shared" ca="1" si="355"/>
        <v>633.93191233953189</v>
      </c>
      <c r="AB737">
        <f t="shared" ca="1" si="356"/>
        <v>635.61133593412876</v>
      </c>
      <c r="AC737">
        <f t="shared" ca="1" si="357"/>
        <v>7.123340869216661E-3</v>
      </c>
      <c r="AD737">
        <f t="shared" ca="1" si="358"/>
        <v>1.4027798342729754</v>
      </c>
      <c r="AE737">
        <f t="shared" ca="1" si="359"/>
        <v>37.388169422553275</v>
      </c>
      <c r="AF737">
        <f t="shared" ca="1" si="360"/>
        <v>6.7632928354441901E-3</v>
      </c>
      <c r="AG737">
        <f t="shared" ca="1" si="361"/>
        <v>0</v>
      </c>
      <c r="AH737">
        <f ca="1">IFERROR(IF(V32="Supercritical",MAX($D$16,IFERROR(L737,MAX($D$16,POWER((ABS(K737)^2)/($I$5*MAX(F737,0.1)^2),1/3)))),IF(V32="Subcritical",MAX($D$16,IFERROR(W737,MAX($D$16,POWER((ABS(K737)^2)/($I$5*MAX(F737,0.1)^2),1/3)))),IF(AND(IFERROR(V737,0)=1,IFERROR(AG737,0)=1),IF(IFERROR(T737,-1E+99)&gt;=IFERROR(AE737,-1E+99),MAX($D$16,IFERROR(L737,MAX($D$16,POWER((ABS(K737)^2)/($I$5*MAX(F737,0.1)^2),1/3)))),MAX($D$16,IFERROR(W737,MAX($D$16,POWER((ABS(K737)^2)/($I$5*MAX(F737,0.1)^2),1/3))))),IF(IFERROR(V737,0)=1,MAX($D$16,IFERROR(L737,MAX($D$16,POWER((ABS(K737)^2)/($I$5*MAX(F737,0.1)^2),1/3)))),IF(IFERROR(AG737,0)=1,MAX($D$16,IFERROR(W737,MAX($D$16,POWER((ABS(K737)^2)/($I$5*MAX(F737,0.1)^2),1/3)))),MAX($D$16,POWER((ABS(K737)^2)/($I$5*MAX(F737,0.1)^2),1/3))))))),MAX($D$16,POWER((ABS(K737)^2)/($I$5*MAX(F737,0.1)^2),1/3)))</f>
        <v>2.1389677043987478</v>
      </c>
      <c r="AI737">
        <f t="shared" ca="1" si="362"/>
        <v>634.36396770439876</v>
      </c>
      <c r="AJ737">
        <f t="shared" ca="1" si="363"/>
        <v>635.43345155659813</v>
      </c>
      <c r="AM737">
        <v>0</v>
      </c>
      <c r="AN737">
        <v>0</v>
      </c>
      <c r="AO737">
        <f t="shared" si="364"/>
        <v>0</v>
      </c>
      <c r="AP737">
        <f t="shared" si="373"/>
        <v>0</v>
      </c>
      <c r="AQ737">
        <f t="shared" ca="1" si="365"/>
        <v>1.0000000000000004</v>
      </c>
      <c r="AR737" t="str">
        <f t="shared" ca="1" si="366"/>
        <v>Supercritical</v>
      </c>
      <c r="AS737">
        <f t="shared" ca="1" si="367"/>
        <v>3.8141460404132466E-3</v>
      </c>
    </row>
    <row r="738" spans="1:45" x14ac:dyDescent="0.35">
      <c r="A738">
        <v>677</v>
      </c>
      <c r="B738">
        <v>675.99599999999998</v>
      </c>
      <c r="C738">
        <v>616122.15099999995</v>
      </c>
      <c r="D738">
        <v>3097324.0950000002</v>
      </c>
      <c r="E738">
        <v>632.22450000000003</v>
      </c>
      <c r="F738">
        <v>5.2</v>
      </c>
      <c r="G738">
        <v>0</v>
      </c>
      <c r="H738" t="s">
        <v>154</v>
      </c>
      <c r="I738">
        <v>0.05</v>
      </c>
      <c r="J738">
        <f t="shared" si="368"/>
        <v>1</v>
      </c>
      <c r="K738">
        <f t="shared" ca="1" si="369"/>
        <v>50.95</v>
      </c>
      <c r="L738">
        <f t="shared" ca="1" si="370"/>
        <v>2.1389677043987478</v>
      </c>
      <c r="M738">
        <f t="shared" ca="1" si="343"/>
        <v>11.122632062873489</v>
      </c>
      <c r="N738">
        <f t="shared" ca="1" si="344"/>
        <v>1.1735290000551568</v>
      </c>
      <c r="O738">
        <f t="shared" ca="1" si="345"/>
        <v>4.5807502857230418</v>
      </c>
      <c r="P738">
        <f t="shared" ca="1" si="346"/>
        <v>634.36346770439877</v>
      </c>
      <c r="Q738">
        <f t="shared" ca="1" si="347"/>
        <v>635.43295155659814</v>
      </c>
      <c r="R738">
        <f t="shared" ca="1" si="348"/>
        <v>3.8141460404132466E-3</v>
      </c>
      <c r="S738">
        <f t="shared" ca="1" si="349"/>
        <v>1.0000000000000004</v>
      </c>
      <c r="T738">
        <f t="shared" ca="1" si="350"/>
        <v>35.686426155594638</v>
      </c>
      <c r="U738">
        <f t="shared" ca="1" si="371"/>
        <v>-3.4032696947861041E-3</v>
      </c>
      <c r="V738">
        <f t="shared" ca="1" si="372"/>
        <v>1</v>
      </c>
      <c r="W738">
        <f t="shared" ca="1" si="351"/>
        <v>1.706912339529759</v>
      </c>
      <c r="X738">
        <f t="shared" ca="1" si="352"/>
        <v>8.8759441655547473</v>
      </c>
      <c r="Y738">
        <f t="shared" ca="1" si="353"/>
        <v>1.0304300930494266</v>
      </c>
      <c r="Z738">
        <f t="shared" ca="1" si="354"/>
        <v>5.7402343964401927</v>
      </c>
      <c r="AA738">
        <f t="shared" ca="1" si="355"/>
        <v>633.93141233952974</v>
      </c>
      <c r="AB738">
        <f t="shared" ca="1" si="356"/>
        <v>635.61083593413093</v>
      </c>
      <c r="AC738">
        <f t="shared" ca="1" si="357"/>
        <v>7.1233408692420166E-3</v>
      </c>
      <c r="AD738">
        <f t="shared" ca="1" si="358"/>
        <v>1.4027798342756457</v>
      </c>
      <c r="AE738">
        <f t="shared" ca="1" si="359"/>
        <v>37.388169422571885</v>
      </c>
      <c r="AF738">
        <f t="shared" ca="1" si="360"/>
        <v>6.6989149310074936E-3</v>
      </c>
      <c r="AG738">
        <f t="shared" ca="1" si="361"/>
        <v>0</v>
      </c>
      <c r="AH738">
        <f ca="1">IFERROR(IF(V32="Supercritical",MAX($D$16,IFERROR(L738,MAX($D$16,POWER((ABS(K738)^2)/($I$5*MAX(F738,0.1)^2),1/3)))),IF(V32="Subcritical",MAX($D$16,IFERROR(W738,MAX($D$16,POWER((ABS(K738)^2)/($I$5*MAX(F738,0.1)^2),1/3)))),IF(AND(IFERROR(V738,0)=1,IFERROR(AG738,0)=1),IF(IFERROR(T738,-1E+99)&gt;=IFERROR(AE738,-1E+99),MAX($D$16,IFERROR(L738,MAX($D$16,POWER((ABS(K738)^2)/($I$5*MAX(F738,0.1)^2),1/3)))),MAX($D$16,IFERROR(W738,MAX($D$16,POWER((ABS(K738)^2)/($I$5*MAX(F738,0.1)^2),1/3))))),IF(IFERROR(V738,0)=1,MAX($D$16,IFERROR(L738,MAX($D$16,POWER((ABS(K738)^2)/($I$5*MAX(F738,0.1)^2),1/3)))),IF(IFERROR(AG738,0)=1,MAX($D$16,IFERROR(W738,MAX($D$16,POWER((ABS(K738)^2)/($I$5*MAX(F738,0.1)^2),1/3)))),MAX($D$16,POWER((ABS(K738)^2)/($I$5*MAX(F738,0.1)^2),1/3))))))),MAX($D$16,POWER((ABS(K738)^2)/($I$5*MAX(F738,0.1)^2),1/3)))</f>
        <v>2.1389677043987478</v>
      </c>
      <c r="AI738">
        <f t="shared" ca="1" si="362"/>
        <v>634.36346770439877</v>
      </c>
      <c r="AJ738">
        <f t="shared" ca="1" si="363"/>
        <v>635.43295155659814</v>
      </c>
      <c r="AM738">
        <v>0</v>
      </c>
      <c r="AN738">
        <v>0</v>
      </c>
      <c r="AO738">
        <f t="shared" si="364"/>
        <v>0</v>
      </c>
      <c r="AP738">
        <f t="shared" si="373"/>
        <v>0</v>
      </c>
      <c r="AQ738">
        <f t="shared" ca="1" si="365"/>
        <v>1.0000000000000004</v>
      </c>
      <c r="AR738" t="str">
        <f t="shared" ca="1" si="366"/>
        <v>Supercritical</v>
      </c>
      <c r="AS738">
        <f t="shared" ca="1" si="367"/>
        <v>3.8141460404132466E-3</v>
      </c>
    </row>
    <row r="739" spans="1:45" x14ac:dyDescent="0.35">
      <c r="A739">
        <v>678</v>
      </c>
      <c r="B739">
        <v>676.99599999999998</v>
      </c>
      <c r="C739">
        <v>616121.67700000003</v>
      </c>
      <c r="D739">
        <v>3097323.2149999999</v>
      </c>
      <c r="E739">
        <v>632.22400000000005</v>
      </c>
      <c r="F739">
        <v>5.2</v>
      </c>
      <c r="G739">
        <v>0</v>
      </c>
      <c r="H739" t="s">
        <v>154</v>
      </c>
      <c r="I739">
        <v>2.7E-2</v>
      </c>
      <c r="J739">
        <f t="shared" si="368"/>
        <v>1</v>
      </c>
      <c r="K739">
        <f t="shared" ca="1" si="369"/>
        <v>50.95</v>
      </c>
      <c r="L739">
        <f t="shared" ca="1" si="370"/>
        <v>2.1389677043987478</v>
      </c>
      <c r="M739">
        <f t="shared" ca="1" si="343"/>
        <v>11.122632062873489</v>
      </c>
      <c r="N739">
        <f t="shared" ca="1" si="344"/>
        <v>1.1735290000551568</v>
      </c>
      <c r="O739">
        <f t="shared" ca="1" si="345"/>
        <v>4.5807502857230418</v>
      </c>
      <c r="P739">
        <f t="shared" ca="1" si="346"/>
        <v>634.36296770439878</v>
      </c>
      <c r="Q739">
        <f t="shared" ca="1" si="347"/>
        <v>635.43245155659815</v>
      </c>
      <c r="R739">
        <f t="shared" ca="1" si="348"/>
        <v>3.8141460404132466E-3</v>
      </c>
      <c r="S739">
        <f t="shared" ca="1" si="349"/>
        <v>1.0000000000000004</v>
      </c>
      <c r="T739">
        <f t="shared" ca="1" si="350"/>
        <v>35.686426155594638</v>
      </c>
      <c r="U739">
        <f t="shared" ca="1" si="371"/>
        <v>-3.3622728137743252E-3</v>
      </c>
      <c r="V739">
        <f t="shared" ca="1" si="372"/>
        <v>1</v>
      </c>
      <c r="W739">
        <f t="shared" ca="1" si="351"/>
        <v>1.7069123395277126</v>
      </c>
      <c r="X739">
        <f t="shared" ca="1" si="352"/>
        <v>8.8759441655441051</v>
      </c>
      <c r="Y739">
        <f t="shared" ca="1" si="353"/>
        <v>1.0304300930486807</v>
      </c>
      <c r="Z739">
        <f t="shared" ca="1" si="354"/>
        <v>5.7402343964470752</v>
      </c>
      <c r="AA739">
        <f t="shared" ca="1" si="355"/>
        <v>633.93091233952771</v>
      </c>
      <c r="AB739">
        <f t="shared" ca="1" si="356"/>
        <v>635.61033593413288</v>
      </c>
      <c r="AC739">
        <f t="shared" ca="1" si="357"/>
        <v>7.123340869265974E-3</v>
      </c>
      <c r="AD739">
        <f t="shared" ca="1" si="358"/>
        <v>1.4027798342781683</v>
      </c>
      <c r="AE739">
        <f t="shared" ca="1" si="359"/>
        <v>37.388169422589471</v>
      </c>
      <c r="AF739">
        <f t="shared" ca="1" si="360"/>
        <v>6.6989149308938067E-3</v>
      </c>
      <c r="AG739">
        <f t="shared" ca="1" si="361"/>
        <v>0</v>
      </c>
      <c r="AH739">
        <f ca="1">IFERROR(IF(V32="Supercritical",MAX($D$16,IFERROR(L739,MAX($D$16,POWER((ABS(K739)^2)/($I$5*MAX(F739,0.1)^2),1/3)))),IF(V32="Subcritical",MAX($D$16,IFERROR(W739,MAX($D$16,POWER((ABS(K739)^2)/($I$5*MAX(F739,0.1)^2),1/3)))),IF(AND(IFERROR(V739,0)=1,IFERROR(AG739,0)=1),IF(IFERROR(T739,-1E+99)&gt;=IFERROR(AE739,-1E+99),MAX($D$16,IFERROR(L739,MAX($D$16,POWER((ABS(K739)^2)/($I$5*MAX(F739,0.1)^2),1/3)))),MAX($D$16,IFERROR(W739,MAX($D$16,POWER((ABS(K739)^2)/($I$5*MAX(F739,0.1)^2),1/3))))),IF(IFERROR(V739,0)=1,MAX($D$16,IFERROR(L739,MAX($D$16,POWER((ABS(K739)^2)/($I$5*MAX(F739,0.1)^2),1/3)))),IF(IFERROR(AG739,0)=1,MAX($D$16,IFERROR(W739,MAX($D$16,POWER((ABS(K739)^2)/($I$5*MAX(F739,0.1)^2),1/3)))),MAX($D$16,POWER((ABS(K739)^2)/($I$5*MAX(F739,0.1)^2),1/3))))))),MAX($D$16,POWER((ABS(K739)^2)/($I$5*MAX(F739,0.1)^2),1/3)))</f>
        <v>2.1389677043987478</v>
      </c>
      <c r="AI739">
        <f t="shared" ca="1" si="362"/>
        <v>634.36296770439878</v>
      </c>
      <c r="AJ739">
        <f t="shared" ca="1" si="363"/>
        <v>635.43245155659815</v>
      </c>
      <c r="AM739">
        <v>0</v>
      </c>
      <c r="AN739">
        <v>0</v>
      </c>
      <c r="AO739">
        <f t="shared" si="364"/>
        <v>0</v>
      </c>
      <c r="AP739">
        <f t="shared" si="373"/>
        <v>0</v>
      </c>
      <c r="AQ739">
        <f t="shared" ca="1" si="365"/>
        <v>1.0000000000000004</v>
      </c>
      <c r="AR739" t="str">
        <f t="shared" ca="1" si="366"/>
        <v>Supercritical</v>
      </c>
      <c r="AS739">
        <f t="shared" ca="1" si="367"/>
        <v>3.8141460404132466E-3</v>
      </c>
    </row>
    <row r="740" spans="1:45" x14ac:dyDescent="0.35">
      <c r="A740">
        <v>679</v>
      </c>
      <c r="B740">
        <v>677.99599999999998</v>
      </c>
      <c r="C740">
        <v>616121.20299999998</v>
      </c>
      <c r="D740">
        <v>3097322.3339999998</v>
      </c>
      <c r="E740">
        <v>632.22349999999994</v>
      </c>
      <c r="F740">
        <v>5.2</v>
      </c>
      <c r="G740">
        <v>0</v>
      </c>
      <c r="H740" t="s">
        <v>154</v>
      </c>
      <c r="I740">
        <v>2.7E-2</v>
      </c>
      <c r="J740">
        <f t="shared" si="368"/>
        <v>1</v>
      </c>
      <c r="K740">
        <f t="shared" ca="1" si="369"/>
        <v>50.95</v>
      </c>
      <c r="L740">
        <f t="shared" ca="1" si="370"/>
        <v>2.1389677043987478</v>
      </c>
      <c r="M740">
        <f t="shared" ca="1" si="343"/>
        <v>11.122632062873489</v>
      </c>
      <c r="N740">
        <f t="shared" ca="1" si="344"/>
        <v>1.1735290000551568</v>
      </c>
      <c r="O740">
        <f t="shared" ca="1" si="345"/>
        <v>4.5807502857230418</v>
      </c>
      <c r="P740">
        <f t="shared" ca="1" si="346"/>
        <v>634.36246770439868</v>
      </c>
      <c r="Q740">
        <f t="shared" ca="1" si="347"/>
        <v>635.43195155659805</v>
      </c>
      <c r="R740">
        <f t="shared" ca="1" si="348"/>
        <v>3.8141460404132466E-3</v>
      </c>
      <c r="S740">
        <f t="shared" ca="1" si="349"/>
        <v>1.0000000000000004</v>
      </c>
      <c r="T740">
        <f t="shared" ca="1" si="350"/>
        <v>35.686426155594638</v>
      </c>
      <c r="U740">
        <f t="shared" ca="1" si="371"/>
        <v>-3.3622728136606383E-3</v>
      </c>
      <c r="V740">
        <f t="shared" ca="1" si="372"/>
        <v>1</v>
      </c>
      <c r="W740">
        <f t="shared" ca="1" si="351"/>
        <v>1.7069123395258197</v>
      </c>
      <c r="X740">
        <f t="shared" ca="1" si="352"/>
        <v>8.8759441655342624</v>
      </c>
      <c r="Y740">
        <f t="shared" ca="1" si="353"/>
        <v>1.030430093047991</v>
      </c>
      <c r="Z740">
        <f t="shared" ca="1" si="354"/>
        <v>5.7402343964534408</v>
      </c>
      <c r="AA740">
        <f t="shared" ca="1" si="355"/>
        <v>633.93041233952579</v>
      </c>
      <c r="AB740">
        <f t="shared" ca="1" si="356"/>
        <v>635.60983593413471</v>
      </c>
      <c r="AC740">
        <f t="shared" ca="1" si="357"/>
        <v>7.1233408692881282E-3</v>
      </c>
      <c r="AD740">
        <f t="shared" ca="1" si="358"/>
        <v>1.4027798342805018</v>
      </c>
      <c r="AE740">
        <f t="shared" ca="1" si="359"/>
        <v>37.388169422605728</v>
      </c>
      <c r="AF740">
        <f t="shared" ca="1" si="360"/>
        <v>6.6917915901285596E-3</v>
      </c>
      <c r="AG740">
        <f t="shared" ca="1" si="361"/>
        <v>0</v>
      </c>
      <c r="AH740">
        <f ca="1">IFERROR(IF(V32="Supercritical",MAX($D$16,IFERROR(L740,MAX($D$16,POWER((ABS(K740)^2)/($I$5*MAX(F740,0.1)^2),1/3)))),IF(V32="Subcritical",MAX($D$16,IFERROR(W740,MAX($D$16,POWER((ABS(K740)^2)/($I$5*MAX(F740,0.1)^2),1/3)))),IF(AND(IFERROR(V740,0)=1,IFERROR(AG740,0)=1),IF(IFERROR(T740,-1E+99)&gt;=IFERROR(AE740,-1E+99),MAX($D$16,IFERROR(L740,MAX($D$16,POWER((ABS(K740)^2)/($I$5*MAX(F740,0.1)^2),1/3)))),MAX($D$16,IFERROR(W740,MAX($D$16,POWER((ABS(K740)^2)/($I$5*MAX(F740,0.1)^2),1/3))))),IF(IFERROR(V740,0)=1,MAX($D$16,IFERROR(L740,MAX($D$16,POWER((ABS(K740)^2)/($I$5*MAX(F740,0.1)^2),1/3)))),IF(IFERROR(AG740,0)=1,MAX($D$16,IFERROR(W740,MAX($D$16,POWER((ABS(K740)^2)/($I$5*MAX(F740,0.1)^2),1/3)))),MAX($D$16,POWER((ABS(K740)^2)/($I$5*MAX(F740,0.1)^2),1/3))))))),MAX($D$16,POWER((ABS(K740)^2)/($I$5*MAX(F740,0.1)^2),1/3)))</f>
        <v>2.1389677043987478</v>
      </c>
      <c r="AI740">
        <f t="shared" ca="1" si="362"/>
        <v>634.36246770439868</v>
      </c>
      <c r="AJ740">
        <f t="shared" ca="1" si="363"/>
        <v>635.43195155659805</v>
      </c>
      <c r="AM740">
        <v>0</v>
      </c>
      <c r="AN740">
        <v>0</v>
      </c>
      <c r="AO740">
        <f t="shared" si="364"/>
        <v>0</v>
      </c>
      <c r="AP740">
        <f t="shared" si="373"/>
        <v>0</v>
      </c>
      <c r="AQ740">
        <f t="shared" ca="1" si="365"/>
        <v>1.0000000000000004</v>
      </c>
      <c r="AR740" t="str">
        <f t="shared" ca="1" si="366"/>
        <v>Supercritical</v>
      </c>
      <c r="AS740">
        <f t="shared" ca="1" si="367"/>
        <v>3.8141460404132466E-3</v>
      </c>
    </row>
    <row r="741" spans="1:45" x14ac:dyDescent="0.35">
      <c r="A741">
        <v>680</v>
      </c>
      <c r="B741">
        <v>678.995</v>
      </c>
      <c r="C741">
        <v>616120.72900000005</v>
      </c>
      <c r="D741">
        <v>3097321.4539999999</v>
      </c>
      <c r="E741">
        <v>632.22299999999996</v>
      </c>
      <c r="F741">
        <v>5.2</v>
      </c>
      <c r="G741">
        <v>0</v>
      </c>
      <c r="H741" t="s">
        <v>154</v>
      </c>
      <c r="I741">
        <v>2.7E-2</v>
      </c>
      <c r="J741">
        <f t="shared" si="368"/>
        <v>0.99900000000002365</v>
      </c>
      <c r="K741">
        <f t="shared" ca="1" si="369"/>
        <v>50.95</v>
      </c>
      <c r="L741">
        <f t="shared" ca="1" si="370"/>
        <v>2.1389677043987478</v>
      </c>
      <c r="M741">
        <f t="shared" ca="1" si="343"/>
        <v>11.122632062873489</v>
      </c>
      <c r="N741">
        <f t="shared" ca="1" si="344"/>
        <v>1.1735290000551568</v>
      </c>
      <c r="O741">
        <f t="shared" ca="1" si="345"/>
        <v>4.5807502857230418</v>
      </c>
      <c r="P741">
        <f t="shared" ca="1" si="346"/>
        <v>634.36196770439869</v>
      </c>
      <c r="Q741">
        <f t="shared" ca="1" si="347"/>
        <v>635.43145155659806</v>
      </c>
      <c r="R741">
        <f t="shared" ca="1" si="348"/>
        <v>3.8141460404132466E-3</v>
      </c>
      <c r="S741">
        <f t="shared" ca="1" si="349"/>
        <v>1.0000000000000004</v>
      </c>
      <c r="T741">
        <f t="shared" ca="1" si="350"/>
        <v>35.686426155594638</v>
      </c>
      <c r="U741">
        <f t="shared" ca="1" si="371"/>
        <v>-3.3584586676624895E-3</v>
      </c>
      <c r="V741">
        <f t="shared" ca="1" si="372"/>
        <v>1</v>
      </c>
      <c r="W741">
        <f t="shared" ca="1" si="351"/>
        <v>1.7069123395240633</v>
      </c>
      <c r="X741">
        <f t="shared" ca="1" si="352"/>
        <v>8.8759441655251301</v>
      </c>
      <c r="Y741">
        <f t="shared" ca="1" si="353"/>
        <v>1.0304300930473509</v>
      </c>
      <c r="Z741">
        <f t="shared" ca="1" si="354"/>
        <v>5.7402343964593463</v>
      </c>
      <c r="AA741">
        <f t="shared" ca="1" si="355"/>
        <v>633.92991233952398</v>
      </c>
      <c r="AB741">
        <f t="shared" ca="1" si="356"/>
        <v>635.60933593413631</v>
      </c>
      <c r="AC741">
        <f t="shared" ca="1" si="357"/>
        <v>7.1233408693086864E-3</v>
      </c>
      <c r="AD741">
        <f t="shared" ca="1" si="358"/>
        <v>1.4027798342826665</v>
      </c>
      <c r="AE741">
        <f t="shared" ca="1" si="359"/>
        <v>37.388169422620805</v>
      </c>
      <c r="AF741">
        <f t="shared" ca="1" si="360"/>
        <v>6.8487892774555803E-3</v>
      </c>
      <c r="AG741">
        <f t="shared" ca="1" si="361"/>
        <v>0</v>
      </c>
      <c r="AH741">
        <f ca="1">IFERROR(IF(V32="Supercritical",MAX($D$16,IFERROR(L741,MAX($D$16,POWER((ABS(K741)^2)/($I$5*MAX(F741,0.1)^2),1/3)))),IF(V32="Subcritical",MAX($D$16,IFERROR(W741,MAX($D$16,POWER((ABS(K741)^2)/($I$5*MAX(F741,0.1)^2),1/3)))),IF(AND(IFERROR(V741,0)=1,IFERROR(AG741,0)=1),IF(IFERROR(T741,-1E+99)&gt;=IFERROR(AE741,-1E+99),MAX($D$16,IFERROR(L741,MAX($D$16,POWER((ABS(K741)^2)/($I$5*MAX(F741,0.1)^2),1/3)))),MAX($D$16,IFERROR(W741,MAX($D$16,POWER((ABS(K741)^2)/($I$5*MAX(F741,0.1)^2),1/3))))),IF(IFERROR(V741,0)=1,MAX($D$16,IFERROR(L741,MAX($D$16,POWER((ABS(K741)^2)/($I$5*MAX(F741,0.1)^2),1/3)))),IF(IFERROR(AG741,0)=1,MAX($D$16,IFERROR(W741,MAX($D$16,POWER((ABS(K741)^2)/($I$5*MAX(F741,0.1)^2),1/3)))),MAX($D$16,POWER((ABS(K741)^2)/($I$5*MAX(F741,0.1)^2),1/3))))))),MAX($D$16,POWER((ABS(K741)^2)/($I$5*MAX(F741,0.1)^2),1/3)))</f>
        <v>2.1389677043987478</v>
      </c>
      <c r="AI741">
        <f t="shared" ca="1" si="362"/>
        <v>634.36196770439869</v>
      </c>
      <c r="AJ741">
        <f t="shared" ca="1" si="363"/>
        <v>635.43145155659806</v>
      </c>
      <c r="AM741">
        <v>0</v>
      </c>
      <c r="AN741">
        <v>0</v>
      </c>
      <c r="AO741">
        <f t="shared" si="364"/>
        <v>0</v>
      </c>
      <c r="AP741">
        <f t="shared" si="373"/>
        <v>0</v>
      </c>
      <c r="AQ741">
        <f t="shared" ca="1" si="365"/>
        <v>1.0000000000000004</v>
      </c>
      <c r="AR741" t="str">
        <f t="shared" ca="1" si="366"/>
        <v>Supercritical</v>
      </c>
      <c r="AS741">
        <f t="shared" ca="1" si="367"/>
        <v>3.8141460404132466E-3</v>
      </c>
    </row>
    <row r="742" spans="1:45" x14ac:dyDescent="0.35">
      <c r="A742">
        <v>681</v>
      </c>
      <c r="B742">
        <v>679.99599999999998</v>
      </c>
      <c r="C742">
        <v>616120.255</v>
      </c>
      <c r="D742">
        <v>3097320.5729999999</v>
      </c>
      <c r="E742">
        <v>632.22249999999997</v>
      </c>
      <c r="F742">
        <v>5.2</v>
      </c>
      <c r="G742">
        <v>0</v>
      </c>
      <c r="H742" t="s">
        <v>154</v>
      </c>
      <c r="I742">
        <v>7.8E-2</v>
      </c>
      <c r="J742">
        <f t="shared" si="368"/>
        <v>1.0009999999999764</v>
      </c>
      <c r="K742">
        <f t="shared" ca="1" si="369"/>
        <v>50.95</v>
      </c>
      <c r="L742">
        <f t="shared" ca="1" si="370"/>
        <v>2.1389677043987478</v>
      </c>
      <c r="M742">
        <f t="shared" ca="1" si="343"/>
        <v>11.122632062873489</v>
      </c>
      <c r="N742">
        <f t="shared" ca="1" si="344"/>
        <v>1.1735290000551568</v>
      </c>
      <c r="O742">
        <f t="shared" ca="1" si="345"/>
        <v>4.5807502857230418</v>
      </c>
      <c r="P742">
        <f t="shared" ca="1" si="346"/>
        <v>634.36146770439871</v>
      </c>
      <c r="Q742">
        <f t="shared" ca="1" si="347"/>
        <v>635.43095155659807</v>
      </c>
      <c r="R742">
        <f t="shared" ca="1" si="348"/>
        <v>3.8141460404132466E-3</v>
      </c>
      <c r="S742">
        <f t="shared" ca="1" si="349"/>
        <v>1.0000000000000004</v>
      </c>
      <c r="T742">
        <f t="shared" ca="1" si="350"/>
        <v>35.686426155594638</v>
      </c>
      <c r="U742">
        <f t="shared" ca="1" si="371"/>
        <v>-3.456993087183946E-3</v>
      </c>
      <c r="V742">
        <f t="shared" ca="1" si="372"/>
        <v>1</v>
      </c>
      <c r="W742">
        <f t="shared" ca="1" si="351"/>
        <v>1.7069123395224091</v>
      </c>
      <c r="X742">
        <f t="shared" ca="1" si="352"/>
        <v>8.8759441655165272</v>
      </c>
      <c r="Y742">
        <f t="shared" ca="1" si="353"/>
        <v>1.0304300930467483</v>
      </c>
      <c r="Z742">
        <f t="shared" ca="1" si="354"/>
        <v>5.7402343964649098</v>
      </c>
      <c r="AA742">
        <f t="shared" ca="1" si="355"/>
        <v>633.9294123395224</v>
      </c>
      <c r="AB742">
        <f t="shared" ca="1" si="356"/>
        <v>635.60883593413803</v>
      </c>
      <c r="AC742">
        <f t="shared" ca="1" si="357"/>
        <v>7.1233408693280476E-3</v>
      </c>
      <c r="AD742">
        <f t="shared" ca="1" si="358"/>
        <v>1.402779834284706</v>
      </c>
      <c r="AE742">
        <f t="shared" ca="1" si="359"/>
        <v>37.388169422635023</v>
      </c>
      <c r="AF742">
        <f t="shared" ca="1" si="360"/>
        <v>6.763292835557877E-3</v>
      </c>
      <c r="AG742">
        <f t="shared" ca="1" si="361"/>
        <v>0</v>
      </c>
      <c r="AH742">
        <f ca="1">IFERROR(IF(V32="Supercritical",MAX($D$16,IFERROR(L742,MAX($D$16,POWER((ABS(K742)^2)/($I$5*MAX(F742,0.1)^2),1/3)))),IF(V32="Subcritical",MAX($D$16,IFERROR(W742,MAX($D$16,POWER((ABS(K742)^2)/($I$5*MAX(F742,0.1)^2),1/3)))),IF(AND(IFERROR(V742,0)=1,IFERROR(AG742,0)=1),IF(IFERROR(T742,-1E+99)&gt;=IFERROR(AE742,-1E+99),MAX($D$16,IFERROR(L742,MAX($D$16,POWER((ABS(K742)^2)/($I$5*MAX(F742,0.1)^2),1/3)))),MAX($D$16,IFERROR(W742,MAX($D$16,POWER((ABS(K742)^2)/($I$5*MAX(F742,0.1)^2),1/3))))),IF(IFERROR(V742,0)=1,MAX($D$16,IFERROR(L742,MAX($D$16,POWER((ABS(K742)^2)/($I$5*MAX(F742,0.1)^2),1/3)))),IF(IFERROR(AG742,0)=1,MAX($D$16,IFERROR(W742,MAX($D$16,POWER((ABS(K742)^2)/($I$5*MAX(F742,0.1)^2),1/3)))),MAX($D$16,POWER((ABS(K742)^2)/($I$5*MAX(F742,0.1)^2),1/3))))))),MAX($D$16,POWER((ABS(K742)^2)/($I$5*MAX(F742,0.1)^2),1/3)))</f>
        <v>2.1389677043987478</v>
      </c>
      <c r="AI742">
        <f t="shared" ca="1" si="362"/>
        <v>634.36146770439871</v>
      </c>
      <c r="AJ742">
        <f t="shared" ca="1" si="363"/>
        <v>635.43095155659807</v>
      </c>
      <c r="AM742">
        <v>0</v>
      </c>
      <c r="AN742">
        <v>0</v>
      </c>
      <c r="AO742">
        <f t="shared" si="364"/>
        <v>0</v>
      </c>
      <c r="AP742">
        <f t="shared" si="373"/>
        <v>0</v>
      </c>
      <c r="AQ742">
        <f t="shared" ca="1" si="365"/>
        <v>1.0000000000000004</v>
      </c>
      <c r="AR742" t="str">
        <f t="shared" ca="1" si="366"/>
        <v>Supercritical</v>
      </c>
      <c r="AS742">
        <f t="shared" ca="1" si="367"/>
        <v>3.8141460404132466E-3</v>
      </c>
    </row>
    <row r="743" spans="1:45" x14ac:dyDescent="0.35">
      <c r="A743">
        <v>682</v>
      </c>
      <c r="B743">
        <v>680.99599999999998</v>
      </c>
      <c r="C743">
        <v>616119.78</v>
      </c>
      <c r="D743">
        <v>3097319.693</v>
      </c>
      <c r="E743">
        <v>632.22199999999998</v>
      </c>
      <c r="F743">
        <v>5.2</v>
      </c>
      <c r="G743">
        <v>0</v>
      </c>
      <c r="H743" t="s">
        <v>154</v>
      </c>
      <c r="I743">
        <v>0.05</v>
      </c>
      <c r="J743">
        <f t="shared" si="368"/>
        <v>1</v>
      </c>
      <c r="K743">
        <f t="shared" ca="1" si="369"/>
        <v>50.95</v>
      </c>
      <c r="L743">
        <f t="shared" ca="1" si="370"/>
        <v>2.1389677043987478</v>
      </c>
      <c r="M743">
        <f t="shared" ca="1" si="343"/>
        <v>11.122632062873489</v>
      </c>
      <c r="N743">
        <f t="shared" ca="1" si="344"/>
        <v>1.1735290000551568</v>
      </c>
      <c r="O743">
        <f t="shared" ca="1" si="345"/>
        <v>4.5807502857230418</v>
      </c>
      <c r="P743">
        <f t="shared" ca="1" si="346"/>
        <v>634.36096770439872</v>
      </c>
      <c r="Q743">
        <f t="shared" ca="1" si="347"/>
        <v>635.43045155659809</v>
      </c>
      <c r="R743">
        <f t="shared" ca="1" si="348"/>
        <v>3.8141460404132466E-3</v>
      </c>
      <c r="S743">
        <f t="shared" ca="1" si="349"/>
        <v>1.0000000000000004</v>
      </c>
      <c r="T743">
        <f t="shared" ca="1" si="350"/>
        <v>35.686426155594638</v>
      </c>
      <c r="U743">
        <f t="shared" ca="1" si="371"/>
        <v>-3.4032696947861041E-3</v>
      </c>
      <c r="V743">
        <f t="shared" ca="1" si="372"/>
        <v>1</v>
      </c>
      <c r="W743">
        <f t="shared" ca="1" si="351"/>
        <v>1.7069123395208743</v>
      </c>
      <c r="X743">
        <f t="shared" ca="1" si="352"/>
        <v>8.875944165508546</v>
      </c>
      <c r="Y743">
        <f t="shared" ca="1" si="353"/>
        <v>1.0304300930461887</v>
      </c>
      <c r="Z743">
        <f t="shared" ca="1" si="354"/>
        <v>5.7402343964700719</v>
      </c>
      <c r="AA743">
        <f t="shared" ca="1" si="355"/>
        <v>633.92891233952082</v>
      </c>
      <c r="AB743">
        <f t="shared" ca="1" si="356"/>
        <v>635.60833593413952</v>
      </c>
      <c r="AC743">
        <f t="shared" ca="1" si="357"/>
        <v>7.1233408693460194E-3</v>
      </c>
      <c r="AD743">
        <f t="shared" ca="1" si="358"/>
        <v>1.402779834286598</v>
      </c>
      <c r="AE743">
        <f t="shared" ca="1" si="359"/>
        <v>37.388169422648204</v>
      </c>
      <c r="AF743">
        <f t="shared" ca="1" si="360"/>
        <v>6.6917915902422465E-3</v>
      </c>
      <c r="AG743">
        <f t="shared" ca="1" si="361"/>
        <v>0</v>
      </c>
      <c r="AH743">
        <f ca="1">IFERROR(IF(V32="Supercritical",MAX($D$16,IFERROR(L743,MAX($D$16,POWER((ABS(K743)^2)/($I$5*MAX(F743,0.1)^2),1/3)))),IF(V32="Subcritical",MAX($D$16,IFERROR(W743,MAX($D$16,POWER((ABS(K743)^2)/($I$5*MAX(F743,0.1)^2),1/3)))),IF(AND(IFERROR(V743,0)=1,IFERROR(AG743,0)=1),IF(IFERROR(T743,-1E+99)&gt;=IFERROR(AE743,-1E+99),MAX($D$16,IFERROR(L743,MAX($D$16,POWER((ABS(K743)^2)/($I$5*MAX(F743,0.1)^2),1/3)))),MAX($D$16,IFERROR(W743,MAX($D$16,POWER((ABS(K743)^2)/($I$5*MAX(F743,0.1)^2),1/3))))),IF(IFERROR(V743,0)=1,MAX($D$16,IFERROR(L743,MAX($D$16,POWER((ABS(K743)^2)/($I$5*MAX(F743,0.1)^2),1/3)))),IF(IFERROR(AG743,0)=1,MAX($D$16,IFERROR(W743,MAX($D$16,POWER((ABS(K743)^2)/($I$5*MAX(F743,0.1)^2),1/3)))),MAX($D$16,POWER((ABS(K743)^2)/($I$5*MAX(F743,0.1)^2),1/3))))))),MAX($D$16,POWER((ABS(K743)^2)/($I$5*MAX(F743,0.1)^2),1/3)))</f>
        <v>2.1389677043987478</v>
      </c>
      <c r="AI743">
        <f t="shared" ca="1" si="362"/>
        <v>634.36096770439872</v>
      </c>
      <c r="AJ743">
        <f t="shared" ca="1" si="363"/>
        <v>635.43045155659809</v>
      </c>
      <c r="AM743">
        <v>0</v>
      </c>
      <c r="AN743">
        <v>0</v>
      </c>
      <c r="AO743">
        <f t="shared" si="364"/>
        <v>0</v>
      </c>
      <c r="AP743">
        <f t="shared" si="373"/>
        <v>0</v>
      </c>
      <c r="AQ743">
        <f t="shared" ca="1" si="365"/>
        <v>1.0000000000000004</v>
      </c>
      <c r="AR743" t="str">
        <f t="shared" ca="1" si="366"/>
        <v>Supercritical</v>
      </c>
      <c r="AS743">
        <f t="shared" ca="1" si="367"/>
        <v>3.8141460404132466E-3</v>
      </c>
    </row>
    <row r="744" spans="1:45" x14ac:dyDescent="0.35">
      <c r="A744">
        <v>683</v>
      </c>
      <c r="B744">
        <v>681.995</v>
      </c>
      <c r="C744">
        <v>616119.30599999998</v>
      </c>
      <c r="D744">
        <v>3097318.8130000001</v>
      </c>
      <c r="E744">
        <v>632.22149999999999</v>
      </c>
      <c r="F744">
        <v>5.2</v>
      </c>
      <c r="G744">
        <v>0</v>
      </c>
      <c r="H744" t="s">
        <v>154</v>
      </c>
      <c r="I744">
        <v>2.7E-2</v>
      </c>
      <c r="J744">
        <f t="shared" si="368"/>
        <v>0.99900000000002365</v>
      </c>
      <c r="K744">
        <f t="shared" ca="1" si="369"/>
        <v>50.95</v>
      </c>
      <c r="L744">
        <f t="shared" ca="1" si="370"/>
        <v>2.1389677043987478</v>
      </c>
      <c r="M744">
        <f t="shared" ca="1" si="343"/>
        <v>11.122632062873489</v>
      </c>
      <c r="N744">
        <f t="shared" ca="1" si="344"/>
        <v>1.1735290000551568</v>
      </c>
      <c r="O744">
        <f t="shared" ca="1" si="345"/>
        <v>4.5807502857230418</v>
      </c>
      <c r="P744">
        <f t="shared" ca="1" si="346"/>
        <v>634.36046770439873</v>
      </c>
      <c r="Q744">
        <f t="shared" ca="1" si="347"/>
        <v>635.4299515565981</v>
      </c>
      <c r="R744">
        <f t="shared" ca="1" si="348"/>
        <v>3.8141460404132466E-3</v>
      </c>
      <c r="S744">
        <f t="shared" ca="1" si="349"/>
        <v>1.0000000000000004</v>
      </c>
      <c r="T744">
        <f t="shared" ca="1" si="350"/>
        <v>35.686426155594638</v>
      </c>
      <c r="U744">
        <f t="shared" ca="1" si="371"/>
        <v>-3.3584586676624895E-3</v>
      </c>
      <c r="V744">
        <f t="shared" ca="1" si="372"/>
        <v>1</v>
      </c>
      <c r="W744">
        <f t="shared" ca="1" si="351"/>
        <v>1.7069123395194248</v>
      </c>
      <c r="X744">
        <f t="shared" ca="1" si="352"/>
        <v>8.875944165501009</v>
      </c>
      <c r="Y744">
        <f t="shared" ca="1" si="353"/>
        <v>1.0304300930456607</v>
      </c>
      <c r="Z744">
        <f t="shared" ca="1" si="354"/>
        <v>5.7402343964749463</v>
      </c>
      <c r="AA744">
        <f t="shared" ca="1" si="355"/>
        <v>633.92841233951947</v>
      </c>
      <c r="AB744">
        <f t="shared" ca="1" si="356"/>
        <v>635.60783593414101</v>
      </c>
      <c r="AC744">
        <f t="shared" ca="1" si="357"/>
        <v>7.1233408693629797E-3</v>
      </c>
      <c r="AD744">
        <f t="shared" ca="1" si="358"/>
        <v>1.4027798342883848</v>
      </c>
      <c r="AE744">
        <f t="shared" ca="1" si="359"/>
        <v>37.388169422660653</v>
      </c>
      <c r="AF744">
        <f t="shared" ca="1" si="360"/>
        <v>6.7060382720001144E-3</v>
      </c>
      <c r="AG744">
        <f t="shared" ca="1" si="361"/>
        <v>0</v>
      </c>
      <c r="AH744">
        <f ca="1">IFERROR(IF(V32="Supercritical",MAX($D$16,IFERROR(L744,MAX($D$16,POWER((ABS(K744)^2)/($I$5*MAX(F744,0.1)^2),1/3)))),IF(V32="Subcritical",MAX($D$16,IFERROR(W744,MAX($D$16,POWER((ABS(K744)^2)/($I$5*MAX(F744,0.1)^2),1/3)))),IF(AND(IFERROR(V744,0)=1,IFERROR(AG744,0)=1),IF(IFERROR(T744,-1E+99)&gt;=IFERROR(AE744,-1E+99),MAX($D$16,IFERROR(L744,MAX($D$16,POWER((ABS(K744)^2)/($I$5*MAX(F744,0.1)^2),1/3)))),MAX($D$16,IFERROR(W744,MAX($D$16,POWER((ABS(K744)^2)/($I$5*MAX(F744,0.1)^2),1/3))))),IF(IFERROR(V744,0)=1,MAX($D$16,IFERROR(L744,MAX($D$16,POWER((ABS(K744)^2)/($I$5*MAX(F744,0.1)^2),1/3)))),IF(IFERROR(AG744,0)=1,MAX($D$16,IFERROR(W744,MAX($D$16,POWER((ABS(K744)^2)/($I$5*MAX(F744,0.1)^2),1/3)))),MAX($D$16,POWER((ABS(K744)^2)/($I$5*MAX(F744,0.1)^2),1/3))))))),MAX($D$16,POWER((ABS(K744)^2)/($I$5*MAX(F744,0.1)^2),1/3)))</f>
        <v>2.1389677043987478</v>
      </c>
      <c r="AI744">
        <f t="shared" ca="1" si="362"/>
        <v>634.36046770439873</v>
      </c>
      <c r="AJ744">
        <f t="shared" ca="1" si="363"/>
        <v>635.4299515565981</v>
      </c>
      <c r="AM744">
        <v>0</v>
      </c>
      <c r="AN744">
        <v>0</v>
      </c>
      <c r="AO744">
        <f t="shared" si="364"/>
        <v>0</v>
      </c>
      <c r="AP744">
        <f t="shared" si="373"/>
        <v>0</v>
      </c>
      <c r="AQ744">
        <f t="shared" ca="1" si="365"/>
        <v>1.0000000000000004</v>
      </c>
      <c r="AR744" t="str">
        <f t="shared" ca="1" si="366"/>
        <v>Supercritical</v>
      </c>
      <c r="AS744">
        <f t="shared" ca="1" si="367"/>
        <v>3.8141460404132466E-3</v>
      </c>
    </row>
    <row r="745" spans="1:45" x14ac:dyDescent="0.35">
      <c r="A745">
        <v>684</v>
      </c>
      <c r="B745">
        <v>682.99599999999998</v>
      </c>
      <c r="C745">
        <v>616118.83200000005</v>
      </c>
      <c r="D745">
        <v>3097317.932</v>
      </c>
      <c r="E745">
        <v>632.221</v>
      </c>
      <c r="F745">
        <v>5.2</v>
      </c>
      <c r="G745">
        <v>0</v>
      </c>
      <c r="H745" t="s">
        <v>154</v>
      </c>
      <c r="I745">
        <v>2.7E-2</v>
      </c>
      <c r="J745">
        <f t="shared" si="368"/>
        <v>1.0009999999999764</v>
      </c>
      <c r="K745">
        <f t="shared" ca="1" si="369"/>
        <v>50.95</v>
      </c>
      <c r="L745">
        <f t="shared" ca="1" si="370"/>
        <v>2.1389677043987478</v>
      </c>
      <c r="M745">
        <f t="shared" ca="1" si="343"/>
        <v>11.122632062873489</v>
      </c>
      <c r="N745">
        <f t="shared" ca="1" si="344"/>
        <v>1.1735290000551568</v>
      </c>
      <c r="O745">
        <f t="shared" ca="1" si="345"/>
        <v>4.5807502857230418</v>
      </c>
      <c r="P745">
        <f t="shared" ca="1" si="346"/>
        <v>634.35996770439874</v>
      </c>
      <c r="Q745">
        <f t="shared" ca="1" si="347"/>
        <v>635.42945155659811</v>
      </c>
      <c r="R745">
        <f t="shared" ca="1" si="348"/>
        <v>3.8141460404132466E-3</v>
      </c>
      <c r="S745">
        <f t="shared" ca="1" si="349"/>
        <v>1.0000000000000004</v>
      </c>
      <c r="T745">
        <f t="shared" ca="1" si="350"/>
        <v>35.686426155594638</v>
      </c>
      <c r="U745">
        <f t="shared" ca="1" si="371"/>
        <v>-3.3660869597724741E-3</v>
      </c>
      <c r="V745">
        <f t="shared" ca="1" si="372"/>
        <v>1</v>
      </c>
      <c r="W745">
        <f t="shared" ca="1" si="351"/>
        <v>1.7069123395180947</v>
      </c>
      <c r="X745">
        <f t="shared" ca="1" si="352"/>
        <v>8.8759441654940936</v>
      </c>
      <c r="Y745">
        <f t="shared" ca="1" si="353"/>
        <v>1.030430093045176</v>
      </c>
      <c r="Z745">
        <f t="shared" ca="1" si="354"/>
        <v>5.7402343964794182</v>
      </c>
      <c r="AA745">
        <f t="shared" ca="1" si="355"/>
        <v>633.92791233951812</v>
      </c>
      <c r="AB745">
        <f t="shared" ca="1" si="356"/>
        <v>635.60733593414227</v>
      </c>
      <c r="AC745">
        <f t="shared" ca="1" si="357"/>
        <v>7.1233408693785506E-3</v>
      </c>
      <c r="AD745">
        <f t="shared" ca="1" si="358"/>
        <v>1.4027798342900242</v>
      </c>
      <c r="AE745">
        <f t="shared" ca="1" si="359"/>
        <v>37.388169422672078</v>
      </c>
      <c r="AF745">
        <f t="shared" ca="1" si="360"/>
        <v>6.6805954329538508E-3</v>
      </c>
      <c r="AG745">
        <f t="shared" ca="1" si="361"/>
        <v>0</v>
      </c>
      <c r="AH745">
        <f ca="1">IFERROR(IF(V32="Supercritical",MAX($D$16,IFERROR(L745,MAX($D$16,POWER((ABS(K745)^2)/($I$5*MAX(F745,0.1)^2),1/3)))),IF(V32="Subcritical",MAX($D$16,IFERROR(W745,MAX($D$16,POWER((ABS(K745)^2)/($I$5*MAX(F745,0.1)^2),1/3)))),IF(AND(IFERROR(V745,0)=1,IFERROR(AG745,0)=1),IF(IFERROR(T745,-1E+99)&gt;=IFERROR(AE745,-1E+99),MAX($D$16,IFERROR(L745,MAX($D$16,POWER((ABS(K745)^2)/($I$5*MAX(F745,0.1)^2),1/3)))),MAX($D$16,IFERROR(W745,MAX($D$16,POWER((ABS(K745)^2)/($I$5*MAX(F745,0.1)^2),1/3))))),IF(IFERROR(V745,0)=1,MAX($D$16,IFERROR(L745,MAX($D$16,POWER((ABS(K745)^2)/($I$5*MAX(F745,0.1)^2),1/3)))),IF(IFERROR(AG745,0)=1,MAX($D$16,IFERROR(W745,MAX($D$16,POWER((ABS(K745)^2)/($I$5*MAX(F745,0.1)^2),1/3)))),MAX($D$16,POWER((ABS(K745)^2)/($I$5*MAX(F745,0.1)^2),1/3))))))),MAX($D$16,POWER((ABS(K745)^2)/($I$5*MAX(F745,0.1)^2),1/3)))</f>
        <v>2.1389677043987478</v>
      </c>
      <c r="AI745">
        <f t="shared" ca="1" si="362"/>
        <v>634.35996770439874</v>
      </c>
      <c r="AJ745">
        <f t="shared" ca="1" si="363"/>
        <v>635.42945155659811</v>
      </c>
      <c r="AM745">
        <v>0</v>
      </c>
      <c r="AN745">
        <v>0</v>
      </c>
      <c r="AO745">
        <f t="shared" si="364"/>
        <v>0</v>
      </c>
      <c r="AP745">
        <f t="shared" si="373"/>
        <v>0</v>
      </c>
      <c r="AQ745">
        <f t="shared" ca="1" si="365"/>
        <v>1.0000000000000004</v>
      </c>
      <c r="AR745" t="str">
        <f t="shared" ca="1" si="366"/>
        <v>Supercritical</v>
      </c>
      <c r="AS745">
        <f t="shared" ca="1" si="367"/>
        <v>3.8141460404132466E-3</v>
      </c>
    </row>
    <row r="746" spans="1:45" x14ac:dyDescent="0.35">
      <c r="A746">
        <v>685</v>
      </c>
      <c r="B746">
        <v>683.995</v>
      </c>
      <c r="C746">
        <v>616118.35800000001</v>
      </c>
      <c r="D746">
        <v>3097317.0520000001</v>
      </c>
      <c r="E746">
        <v>632.22050000000002</v>
      </c>
      <c r="F746">
        <v>5.2</v>
      </c>
      <c r="G746">
        <v>0</v>
      </c>
      <c r="H746" t="s">
        <v>154</v>
      </c>
      <c r="I746">
        <v>2.3E-2</v>
      </c>
      <c r="J746">
        <f t="shared" si="368"/>
        <v>0.99900000000002365</v>
      </c>
      <c r="K746">
        <f t="shared" ca="1" si="369"/>
        <v>50.95</v>
      </c>
      <c r="L746">
        <f t="shared" ca="1" si="370"/>
        <v>2.1389677043987478</v>
      </c>
      <c r="M746">
        <f t="shared" ca="1" si="343"/>
        <v>11.122632062873489</v>
      </c>
      <c r="N746">
        <f t="shared" ca="1" si="344"/>
        <v>1.1735290000551568</v>
      </c>
      <c r="O746">
        <f t="shared" ca="1" si="345"/>
        <v>4.5807502857230418</v>
      </c>
      <c r="P746">
        <f t="shared" ca="1" si="346"/>
        <v>634.35946770439875</v>
      </c>
      <c r="Q746">
        <f t="shared" ca="1" si="347"/>
        <v>635.42895155659812</v>
      </c>
      <c r="R746">
        <f t="shared" ca="1" si="348"/>
        <v>3.8141460404132466E-3</v>
      </c>
      <c r="S746">
        <f t="shared" ca="1" si="349"/>
        <v>1.0000000000000004</v>
      </c>
      <c r="T746">
        <f t="shared" ca="1" si="350"/>
        <v>35.686426155594638</v>
      </c>
      <c r="U746">
        <f t="shared" ca="1" si="371"/>
        <v>-3.3513287753521581E-3</v>
      </c>
      <c r="V746">
        <f t="shared" ca="1" si="372"/>
        <v>1</v>
      </c>
      <c r="W746">
        <f t="shared" ca="1" si="351"/>
        <v>1.70691233951685</v>
      </c>
      <c r="X746">
        <f t="shared" ca="1" si="352"/>
        <v>8.8759441654876206</v>
      </c>
      <c r="Y746">
        <f t="shared" ca="1" si="353"/>
        <v>1.0304300930447223</v>
      </c>
      <c r="Z746">
        <f t="shared" ca="1" si="354"/>
        <v>5.7402343964836042</v>
      </c>
      <c r="AA746">
        <f t="shared" ca="1" si="355"/>
        <v>633.92741233951688</v>
      </c>
      <c r="AB746">
        <f t="shared" ca="1" si="356"/>
        <v>635.60683593414342</v>
      </c>
      <c r="AC746">
        <f t="shared" ca="1" si="357"/>
        <v>7.1233408693931197E-3</v>
      </c>
      <c r="AD746">
        <f t="shared" ca="1" si="358"/>
        <v>1.4027798342915587</v>
      </c>
      <c r="AE746">
        <f t="shared" ca="1" si="359"/>
        <v>37.388169422682772</v>
      </c>
      <c r="AF746">
        <f t="shared" ca="1" si="360"/>
        <v>6.6948421147117188E-3</v>
      </c>
      <c r="AG746">
        <f t="shared" ca="1" si="361"/>
        <v>0</v>
      </c>
      <c r="AH746">
        <f ca="1">IFERROR(IF(V32="Supercritical",MAX($D$16,IFERROR(L746,MAX($D$16,POWER((ABS(K746)^2)/($I$5*MAX(F746,0.1)^2),1/3)))),IF(V32="Subcritical",MAX($D$16,IFERROR(W746,MAX($D$16,POWER((ABS(K746)^2)/($I$5*MAX(F746,0.1)^2),1/3)))),IF(AND(IFERROR(V746,0)=1,IFERROR(AG746,0)=1),IF(IFERROR(T746,-1E+99)&gt;=IFERROR(AE746,-1E+99),MAX($D$16,IFERROR(L746,MAX($D$16,POWER((ABS(K746)^2)/($I$5*MAX(F746,0.1)^2),1/3)))),MAX($D$16,IFERROR(W746,MAX($D$16,POWER((ABS(K746)^2)/($I$5*MAX(F746,0.1)^2),1/3))))),IF(IFERROR(V746,0)=1,MAX($D$16,IFERROR(L746,MAX($D$16,POWER((ABS(K746)^2)/($I$5*MAX(F746,0.1)^2),1/3)))),IF(IFERROR(AG746,0)=1,MAX($D$16,IFERROR(W746,MAX($D$16,POWER((ABS(K746)^2)/($I$5*MAX(F746,0.1)^2),1/3)))),MAX($D$16,POWER((ABS(K746)^2)/($I$5*MAX(F746,0.1)^2),1/3))))))),MAX($D$16,POWER((ABS(K746)^2)/($I$5*MAX(F746,0.1)^2),1/3)))</f>
        <v>2.1389677043987478</v>
      </c>
      <c r="AI746">
        <f t="shared" ca="1" si="362"/>
        <v>634.35946770439875</v>
      </c>
      <c r="AJ746">
        <f t="shared" ca="1" si="363"/>
        <v>635.42895155659812</v>
      </c>
      <c r="AM746">
        <v>0</v>
      </c>
      <c r="AN746">
        <v>0</v>
      </c>
      <c r="AO746">
        <f t="shared" si="364"/>
        <v>0</v>
      </c>
      <c r="AP746">
        <f t="shared" si="373"/>
        <v>0</v>
      </c>
      <c r="AQ746">
        <f t="shared" ca="1" si="365"/>
        <v>1.0000000000000004</v>
      </c>
      <c r="AR746" t="str">
        <f t="shared" ca="1" si="366"/>
        <v>Supercritical</v>
      </c>
      <c r="AS746">
        <f t="shared" ca="1" si="367"/>
        <v>3.8141460404132466E-3</v>
      </c>
    </row>
    <row r="747" spans="1:45" x14ac:dyDescent="0.35">
      <c r="A747">
        <v>686</v>
      </c>
      <c r="B747">
        <v>684.99599999999998</v>
      </c>
      <c r="C747">
        <v>616117.88300000003</v>
      </c>
      <c r="D747">
        <v>3097316.1710000001</v>
      </c>
      <c r="E747">
        <v>632.22</v>
      </c>
      <c r="F747">
        <v>5.2</v>
      </c>
      <c r="G747">
        <v>0</v>
      </c>
      <c r="H747" t="s">
        <v>154</v>
      </c>
      <c r="I747">
        <v>2.3E-2</v>
      </c>
      <c r="J747">
        <f t="shared" si="368"/>
        <v>1.0009999999999764</v>
      </c>
      <c r="K747">
        <f t="shared" ca="1" si="369"/>
        <v>50.95</v>
      </c>
      <c r="L747">
        <f t="shared" ca="1" si="370"/>
        <v>2.1389677043987478</v>
      </c>
      <c r="M747">
        <f t="shared" ca="1" si="343"/>
        <v>11.122632062873489</v>
      </c>
      <c r="N747">
        <f t="shared" ca="1" si="344"/>
        <v>1.1735290000551568</v>
      </c>
      <c r="O747">
        <f t="shared" ca="1" si="345"/>
        <v>4.5807502857230418</v>
      </c>
      <c r="P747">
        <f t="shared" ca="1" si="346"/>
        <v>634.35896770439876</v>
      </c>
      <c r="Q747">
        <f t="shared" ca="1" si="347"/>
        <v>635.42845155659813</v>
      </c>
      <c r="R747">
        <f t="shared" ca="1" si="348"/>
        <v>3.8141460404132466E-3</v>
      </c>
      <c r="S747">
        <f t="shared" ca="1" si="349"/>
        <v>1.0000000000000004</v>
      </c>
      <c r="T747">
        <f t="shared" ca="1" si="350"/>
        <v>35.686426155594638</v>
      </c>
      <c r="U747">
        <f t="shared" ca="1" si="371"/>
        <v>-3.3589570674621427E-3</v>
      </c>
      <c r="V747">
        <f t="shared" ca="1" si="372"/>
        <v>1</v>
      </c>
      <c r="W747">
        <f t="shared" ca="1" si="351"/>
        <v>1.7069123395156904</v>
      </c>
      <c r="X747">
        <f t="shared" ca="1" si="352"/>
        <v>8.8759441654815898</v>
      </c>
      <c r="Y747">
        <f t="shared" ca="1" si="353"/>
        <v>1.0304300930442996</v>
      </c>
      <c r="Z747">
        <f t="shared" ca="1" si="354"/>
        <v>5.7402343964875051</v>
      </c>
      <c r="AA747">
        <f t="shared" ca="1" si="355"/>
        <v>633.92691233951575</v>
      </c>
      <c r="AB747">
        <f t="shared" ca="1" si="356"/>
        <v>635.60633593414457</v>
      </c>
      <c r="AC747">
        <f t="shared" ca="1" si="357"/>
        <v>7.1233408694066965E-3</v>
      </c>
      <c r="AD747">
        <f t="shared" ca="1" si="358"/>
        <v>1.4027798342929885</v>
      </c>
      <c r="AE747">
        <f t="shared" ca="1" si="359"/>
        <v>37.388169422692741</v>
      </c>
      <c r="AF747">
        <f t="shared" ca="1" si="360"/>
        <v>6.6233408693960882E-3</v>
      </c>
      <c r="AG747">
        <f t="shared" ca="1" si="361"/>
        <v>0</v>
      </c>
      <c r="AH747">
        <f ca="1">IFERROR(IF(V32="Supercritical",MAX($D$16,IFERROR(L747,MAX($D$16,POWER((ABS(K747)^2)/($I$5*MAX(F747,0.1)^2),1/3)))),IF(V32="Subcritical",MAX($D$16,IFERROR(W747,MAX($D$16,POWER((ABS(K747)^2)/($I$5*MAX(F747,0.1)^2),1/3)))),IF(AND(IFERROR(V747,0)=1,IFERROR(AG747,0)=1),IF(IFERROR(T747,-1E+99)&gt;=IFERROR(AE747,-1E+99),MAX($D$16,IFERROR(L747,MAX($D$16,POWER((ABS(K747)^2)/($I$5*MAX(F747,0.1)^2),1/3)))),MAX($D$16,IFERROR(W747,MAX($D$16,POWER((ABS(K747)^2)/($I$5*MAX(F747,0.1)^2),1/3))))),IF(IFERROR(V747,0)=1,MAX($D$16,IFERROR(L747,MAX($D$16,POWER((ABS(K747)^2)/($I$5*MAX(F747,0.1)^2),1/3)))),IF(IFERROR(AG747,0)=1,MAX($D$16,IFERROR(W747,MAX($D$16,POWER((ABS(K747)^2)/($I$5*MAX(F747,0.1)^2),1/3)))),MAX($D$16,POWER((ABS(K747)^2)/($I$5*MAX(F747,0.1)^2),1/3))))))),MAX($D$16,POWER((ABS(K747)^2)/($I$5*MAX(F747,0.1)^2),1/3)))</f>
        <v>2.1389677043987478</v>
      </c>
      <c r="AI747">
        <f t="shared" ca="1" si="362"/>
        <v>634.35896770439876</v>
      </c>
      <c r="AJ747">
        <f t="shared" ca="1" si="363"/>
        <v>635.42845155659813</v>
      </c>
      <c r="AM747">
        <v>0</v>
      </c>
      <c r="AN747">
        <v>0</v>
      </c>
      <c r="AO747">
        <f t="shared" si="364"/>
        <v>0</v>
      </c>
      <c r="AP747">
        <f t="shared" si="373"/>
        <v>0</v>
      </c>
      <c r="AQ747">
        <f t="shared" ca="1" si="365"/>
        <v>1.0000000000000004</v>
      </c>
      <c r="AR747" t="str">
        <f t="shared" ca="1" si="366"/>
        <v>Supercritical</v>
      </c>
      <c r="AS747">
        <f t="shared" ca="1" si="367"/>
        <v>3.8141460404132466E-3</v>
      </c>
    </row>
    <row r="748" spans="1:45" x14ac:dyDescent="0.35">
      <c r="A748">
        <v>687</v>
      </c>
      <c r="B748">
        <v>685.99599999999998</v>
      </c>
      <c r="C748">
        <v>616117.40899999999</v>
      </c>
      <c r="D748">
        <v>3097315.2910000002</v>
      </c>
      <c r="E748">
        <v>632.21950000000004</v>
      </c>
      <c r="F748">
        <v>5.2</v>
      </c>
      <c r="G748">
        <v>0</v>
      </c>
      <c r="H748" t="s">
        <v>154</v>
      </c>
      <c r="I748">
        <v>0</v>
      </c>
      <c r="J748">
        <f t="shared" si="368"/>
        <v>1</v>
      </c>
      <c r="K748">
        <f t="shared" ca="1" si="369"/>
        <v>50.95</v>
      </c>
      <c r="L748">
        <f t="shared" ca="1" si="370"/>
        <v>2.1389677043987478</v>
      </c>
      <c r="M748">
        <f t="shared" ca="1" si="343"/>
        <v>11.122632062873489</v>
      </c>
      <c r="N748">
        <f t="shared" ca="1" si="344"/>
        <v>1.1735290000551568</v>
      </c>
      <c r="O748">
        <f t="shared" ca="1" si="345"/>
        <v>4.5807502857230418</v>
      </c>
      <c r="P748">
        <f t="shared" ca="1" si="346"/>
        <v>634.35846770439878</v>
      </c>
      <c r="Q748">
        <f t="shared" ca="1" si="347"/>
        <v>635.42795155659815</v>
      </c>
      <c r="R748">
        <f t="shared" ca="1" si="348"/>
        <v>3.8141460404132466E-3</v>
      </c>
      <c r="S748">
        <f t="shared" ca="1" si="349"/>
        <v>1.0000000000000004</v>
      </c>
      <c r="T748">
        <f t="shared" ca="1" si="350"/>
        <v>35.686426155594638</v>
      </c>
      <c r="U748">
        <f t="shared" ca="1" si="371"/>
        <v>-3.3141460404522149E-3</v>
      </c>
      <c r="V748">
        <f t="shared" ca="1" si="372"/>
        <v>1</v>
      </c>
      <c r="W748">
        <f t="shared" ca="1" si="351"/>
        <v>1.7069123395146162</v>
      </c>
      <c r="X748">
        <f t="shared" ca="1" si="352"/>
        <v>8.875944165476005</v>
      </c>
      <c r="Y748">
        <f t="shared" ca="1" si="353"/>
        <v>1.0304300930439083</v>
      </c>
      <c r="Z748">
        <f t="shared" ca="1" si="354"/>
        <v>5.7402343964911164</v>
      </c>
      <c r="AA748">
        <f t="shared" ca="1" si="355"/>
        <v>633.92641233951463</v>
      </c>
      <c r="AB748">
        <f t="shared" ca="1" si="356"/>
        <v>635.6058359341456</v>
      </c>
      <c r="AC748">
        <f t="shared" ca="1" si="357"/>
        <v>7.1233408694192672E-3</v>
      </c>
      <c r="AD748">
        <f t="shared" ca="1" si="358"/>
        <v>1.4027798342943125</v>
      </c>
      <c r="AE748">
        <f t="shared" ca="1" si="359"/>
        <v>37.388169422701964</v>
      </c>
      <c r="AF748">
        <f t="shared" ca="1" si="360"/>
        <v>6.6917915902422465E-3</v>
      </c>
      <c r="AG748">
        <f t="shared" ca="1" si="361"/>
        <v>0</v>
      </c>
      <c r="AH748">
        <f ca="1">IFERROR(IF(V32="Supercritical",MAX($D$16,IFERROR(L748,MAX($D$16,POWER((ABS(K748)^2)/($I$5*MAX(F748,0.1)^2),1/3)))),IF(V32="Subcritical",MAX($D$16,IFERROR(W748,MAX($D$16,POWER((ABS(K748)^2)/($I$5*MAX(F748,0.1)^2),1/3)))),IF(AND(IFERROR(V748,0)=1,IFERROR(AG748,0)=1),IF(IFERROR(T748,-1E+99)&gt;=IFERROR(AE748,-1E+99),MAX($D$16,IFERROR(L748,MAX($D$16,POWER((ABS(K748)^2)/($I$5*MAX(F748,0.1)^2),1/3)))),MAX($D$16,IFERROR(W748,MAX($D$16,POWER((ABS(K748)^2)/($I$5*MAX(F748,0.1)^2),1/3))))),IF(IFERROR(V748,0)=1,MAX($D$16,IFERROR(L748,MAX($D$16,POWER((ABS(K748)^2)/($I$5*MAX(F748,0.1)^2),1/3)))),IF(IFERROR(AG748,0)=1,MAX($D$16,IFERROR(W748,MAX($D$16,POWER((ABS(K748)^2)/($I$5*MAX(F748,0.1)^2),1/3)))),MAX($D$16,POWER((ABS(K748)^2)/($I$5*MAX(F748,0.1)^2),1/3))))))),MAX($D$16,POWER((ABS(K748)^2)/($I$5*MAX(F748,0.1)^2),1/3)))</f>
        <v>2.1389677043987478</v>
      </c>
      <c r="AI748">
        <f t="shared" ca="1" si="362"/>
        <v>634.35846770439878</v>
      </c>
      <c r="AJ748">
        <f t="shared" ca="1" si="363"/>
        <v>635.42795155659815</v>
      </c>
      <c r="AM748">
        <v>0</v>
      </c>
      <c r="AN748">
        <v>0</v>
      </c>
      <c r="AO748">
        <f t="shared" si="364"/>
        <v>0</v>
      </c>
      <c r="AP748">
        <f t="shared" si="373"/>
        <v>0</v>
      </c>
      <c r="AQ748">
        <f t="shared" ca="1" si="365"/>
        <v>1.0000000000000004</v>
      </c>
      <c r="AR748" t="str">
        <f t="shared" ca="1" si="366"/>
        <v>Supercritical</v>
      </c>
      <c r="AS748">
        <f t="shared" ca="1" si="367"/>
        <v>3.8141460404132466E-3</v>
      </c>
    </row>
    <row r="749" spans="1:45" x14ac:dyDescent="0.35">
      <c r="A749">
        <v>688</v>
      </c>
      <c r="B749">
        <v>686.995</v>
      </c>
      <c r="C749">
        <v>616116.93500000006</v>
      </c>
      <c r="D749">
        <v>3097314.4109999998</v>
      </c>
      <c r="E749">
        <v>632.21900000000005</v>
      </c>
      <c r="F749">
        <v>5.2</v>
      </c>
      <c r="G749">
        <v>0</v>
      </c>
      <c r="H749" t="s">
        <v>154</v>
      </c>
      <c r="I749">
        <v>2.7E-2</v>
      </c>
      <c r="J749">
        <f t="shared" si="368"/>
        <v>0.99900000000002365</v>
      </c>
      <c r="K749">
        <f t="shared" ca="1" si="369"/>
        <v>50.95</v>
      </c>
      <c r="L749">
        <f t="shared" ca="1" si="370"/>
        <v>2.1389677043987478</v>
      </c>
      <c r="M749">
        <f t="shared" ca="1" si="343"/>
        <v>11.122632062873489</v>
      </c>
      <c r="N749">
        <f t="shared" ca="1" si="344"/>
        <v>1.1735290000551568</v>
      </c>
      <c r="O749">
        <f t="shared" ca="1" si="345"/>
        <v>4.5807502857230418</v>
      </c>
      <c r="P749">
        <f t="shared" ca="1" si="346"/>
        <v>634.35796770439879</v>
      </c>
      <c r="Q749">
        <f t="shared" ca="1" si="347"/>
        <v>635.42745155659816</v>
      </c>
      <c r="R749">
        <f t="shared" ca="1" si="348"/>
        <v>3.8141460404132466E-3</v>
      </c>
      <c r="S749">
        <f t="shared" ca="1" si="349"/>
        <v>1.0000000000000004</v>
      </c>
      <c r="T749">
        <f t="shared" ca="1" si="350"/>
        <v>35.686426155594638</v>
      </c>
      <c r="U749">
        <f t="shared" ca="1" si="371"/>
        <v>-3.3584586676624895E-3</v>
      </c>
      <c r="V749">
        <f t="shared" ca="1" si="372"/>
        <v>1</v>
      </c>
      <c r="W749">
        <f t="shared" ca="1" si="351"/>
        <v>1.706912339513593</v>
      </c>
      <c r="X749">
        <f t="shared" ca="1" si="352"/>
        <v>8.8759441654706848</v>
      </c>
      <c r="Y749">
        <f t="shared" ca="1" si="353"/>
        <v>1.0304300930435355</v>
      </c>
      <c r="Z749">
        <f t="shared" ca="1" si="354"/>
        <v>5.7402343964945572</v>
      </c>
      <c r="AA749">
        <f t="shared" ca="1" si="355"/>
        <v>633.92591233951362</v>
      </c>
      <c r="AB749">
        <f t="shared" ca="1" si="356"/>
        <v>635.60533593414664</v>
      </c>
      <c r="AC749">
        <f t="shared" ca="1" si="357"/>
        <v>7.1233408694312403E-3</v>
      </c>
      <c r="AD749">
        <f t="shared" ca="1" si="358"/>
        <v>1.4027798342955737</v>
      </c>
      <c r="AE749">
        <f t="shared" ca="1" si="359"/>
        <v>37.388169422710753</v>
      </c>
      <c r="AF749">
        <f t="shared" ca="1" si="360"/>
        <v>6.8487892774555803E-3</v>
      </c>
      <c r="AG749">
        <f t="shared" ca="1" si="361"/>
        <v>0</v>
      </c>
      <c r="AH749">
        <f ca="1">IFERROR(IF(V32="Supercritical",MAX($D$16,IFERROR(L749,MAX($D$16,POWER((ABS(K749)^2)/($I$5*MAX(F749,0.1)^2),1/3)))),IF(V32="Subcritical",MAX($D$16,IFERROR(W749,MAX($D$16,POWER((ABS(K749)^2)/($I$5*MAX(F749,0.1)^2),1/3)))),IF(AND(IFERROR(V749,0)=1,IFERROR(AG749,0)=1),IF(IFERROR(T749,-1E+99)&gt;=IFERROR(AE749,-1E+99),MAX($D$16,IFERROR(L749,MAX($D$16,POWER((ABS(K749)^2)/($I$5*MAX(F749,0.1)^2),1/3)))),MAX($D$16,IFERROR(W749,MAX($D$16,POWER((ABS(K749)^2)/($I$5*MAX(F749,0.1)^2),1/3))))),IF(IFERROR(V749,0)=1,MAX($D$16,IFERROR(L749,MAX($D$16,POWER((ABS(K749)^2)/($I$5*MAX(F749,0.1)^2),1/3)))),IF(IFERROR(AG749,0)=1,MAX($D$16,IFERROR(W749,MAX($D$16,POWER((ABS(K749)^2)/($I$5*MAX(F749,0.1)^2),1/3)))),MAX($D$16,POWER((ABS(K749)^2)/($I$5*MAX(F749,0.1)^2),1/3))))))),MAX($D$16,POWER((ABS(K749)^2)/($I$5*MAX(F749,0.1)^2),1/3)))</f>
        <v>2.1389677043987478</v>
      </c>
      <c r="AI749">
        <f t="shared" ca="1" si="362"/>
        <v>634.35796770439879</v>
      </c>
      <c r="AJ749">
        <f t="shared" ca="1" si="363"/>
        <v>635.42745155659816</v>
      </c>
      <c r="AM749">
        <v>0</v>
      </c>
      <c r="AN749">
        <v>0</v>
      </c>
      <c r="AO749">
        <f t="shared" si="364"/>
        <v>0</v>
      </c>
      <c r="AP749">
        <f t="shared" si="373"/>
        <v>0</v>
      </c>
      <c r="AQ749">
        <f t="shared" ca="1" si="365"/>
        <v>1.0000000000000004</v>
      </c>
      <c r="AR749" t="str">
        <f t="shared" ca="1" si="366"/>
        <v>Supercritical</v>
      </c>
      <c r="AS749">
        <f t="shared" ca="1" si="367"/>
        <v>3.8141460404132466E-3</v>
      </c>
    </row>
    <row r="750" spans="1:45" x14ac:dyDescent="0.35">
      <c r="A750">
        <v>689</v>
      </c>
      <c r="B750">
        <v>687.99599999999998</v>
      </c>
      <c r="C750">
        <v>616116.46100000001</v>
      </c>
      <c r="D750">
        <v>3097313.53</v>
      </c>
      <c r="E750">
        <v>632.21849999999995</v>
      </c>
      <c r="F750">
        <v>5.2</v>
      </c>
      <c r="G750">
        <v>0</v>
      </c>
      <c r="H750" t="s">
        <v>154</v>
      </c>
      <c r="I750">
        <v>7.8E-2</v>
      </c>
      <c r="J750">
        <f t="shared" si="368"/>
        <v>1.0009999999999764</v>
      </c>
      <c r="K750">
        <f t="shared" ca="1" si="369"/>
        <v>50.95</v>
      </c>
      <c r="L750">
        <f t="shared" ca="1" si="370"/>
        <v>2.1389677043987478</v>
      </c>
      <c r="M750">
        <f t="shared" ca="1" si="343"/>
        <v>11.122632062873489</v>
      </c>
      <c r="N750">
        <f t="shared" ca="1" si="344"/>
        <v>1.1735290000551568</v>
      </c>
      <c r="O750">
        <f t="shared" ca="1" si="345"/>
        <v>4.5807502857230418</v>
      </c>
      <c r="P750">
        <f t="shared" ca="1" si="346"/>
        <v>634.35746770439869</v>
      </c>
      <c r="Q750">
        <f t="shared" ca="1" si="347"/>
        <v>635.42695155659806</v>
      </c>
      <c r="R750">
        <f t="shared" ca="1" si="348"/>
        <v>3.8141460404132466E-3</v>
      </c>
      <c r="S750">
        <f t="shared" ca="1" si="349"/>
        <v>1.0000000000000004</v>
      </c>
      <c r="T750">
        <f t="shared" ca="1" si="350"/>
        <v>35.686426155594638</v>
      </c>
      <c r="U750">
        <f t="shared" ca="1" si="371"/>
        <v>-3.4569930870702592E-3</v>
      </c>
      <c r="V750">
        <f t="shared" ca="1" si="372"/>
        <v>1</v>
      </c>
      <c r="W750">
        <f t="shared" ca="1" si="351"/>
        <v>1.706912339512638</v>
      </c>
      <c r="X750">
        <f t="shared" ca="1" si="352"/>
        <v>8.8759441654657181</v>
      </c>
      <c r="Y750">
        <f t="shared" ca="1" si="353"/>
        <v>1.0304300930431873</v>
      </c>
      <c r="Z750">
        <f t="shared" ca="1" si="354"/>
        <v>5.7402343964977689</v>
      </c>
      <c r="AA750">
        <f t="shared" ca="1" si="355"/>
        <v>633.9254123395126</v>
      </c>
      <c r="AB750">
        <f t="shared" ca="1" si="356"/>
        <v>635.60483593414745</v>
      </c>
      <c r="AC750">
        <f t="shared" ca="1" si="357"/>
        <v>7.1233408694424231E-3</v>
      </c>
      <c r="AD750">
        <f t="shared" ca="1" si="358"/>
        <v>1.4027798342967508</v>
      </c>
      <c r="AE750">
        <f t="shared" ca="1" si="359"/>
        <v>37.388169422718953</v>
      </c>
      <c r="AF750">
        <f t="shared" ca="1" si="360"/>
        <v>6.84166593680402E-3</v>
      </c>
      <c r="AG750">
        <f t="shared" ca="1" si="361"/>
        <v>0</v>
      </c>
      <c r="AH750">
        <f ca="1">IFERROR(IF(V32="Supercritical",MAX($D$16,IFERROR(L750,MAX($D$16,POWER((ABS(K750)^2)/($I$5*MAX(F750,0.1)^2),1/3)))),IF(V32="Subcritical",MAX($D$16,IFERROR(W750,MAX($D$16,POWER((ABS(K750)^2)/($I$5*MAX(F750,0.1)^2),1/3)))),IF(AND(IFERROR(V750,0)=1,IFERROR(AG750,0)=1),IF(IFERROR(T750,-1E+99)&gt;=IFERROR(AE750,-1E+99),MAX($D$16,IFERROR(L750,MAX($D$16,POWER((ABS(K750)^2)/($I$5*MAX(F750,0.1)^2),1/3)))),MAX($D$16,IFERROR(W750,MAX($D$16,POWER((ABS(K750)^2)/($I$5*MAX(F750,0.1)^2),1/3))))),IF(IFERROR(V750,0)=1,MAX($D$16,IFERROR(L750,MAX($D$16,POWER((ABS(K750)^2)/($I$5*MAX(F750,0.1)^2),1/3)))),IF(IFERROR(AG750,0)=1,MAX($D$16,IFERROR(W750,MAX($D$16,POWER((ABS(K750)^2)/($I$5*MAX(F750,0.1)^2),1/3)))),MAX($D$16,POWER((ABS(K750)^2)/($I$5*MAX(F750,0.1)^2),1/3))))))),MAX($D$16,POWER((ABS(K750)^2)/($I$5*MAX(F750,0.1)^2),1/3)))</f>
        <v>2.1389677043987478</v>
      </c>
      <c r="AI750">
        <f t="shared" ca="1" si="362"/>
        <v>634.35746770439869</v>
      </c>
      <c r="AJ750">
        <f t="shared" ca="1" si="363"/>
        <v>635.42695155659806</v>
      </c>
      <c r="AM750">
        <v>0</v>
      </c>
      <c r="AN750">
        <v>0</v>
      </c>
      <c r="AO750">
        <f t="shared" si="364"/>
        <v>0</v>
      </c>
      <c r="AP750">
        <f t="shared" si="373"/>
        <v>0</v>
      </c>
      <c r="AQ750">
        <f t="shared" ca="1" si="365"/>
        <v>1.0000000000000004</v>
      </c>
      <c r="AR750" t="str">
        <f t="shared" ca="1" si="366"/>
        <v>Supercritical</v>
      </c>
      <c r="AS750">
        <f t="shared" ca="1" si="367"/>
        <v>3.8141460404132466E-3</v>
      </c>
    </row>
    <row r="751" spans="1:45" x14ac:dyDescent="0.35">
      <c r="A751">
        <v>690</v>
      </c>
      <c r="B751">
        <v>688.99599999999998</v>
      </c>
      <c r="C751">
        <v>616115.98600000003</v>
      </c>
      <c r="D751">
        <v>3097312.65</v>
      </c>
      <c r="E751">
        <v>632.21799999999996</v>
      </c>
      <c r="F751">
        <v>5.2</v>
      </c>
      <c r="G751">
        <v>0</v>
      </c>
      <c r="H751" t="s">
        <v>154</v>
      </c>
      <c r="I751">
        <v>7.8E-2</v>
      </c>
      <c r="J751">
        <f t="shared" si="368"/>
        <v>1</v>
      </c>
      <c r="K751">
        <f t="shared" ca="1" si="369"/>
        <v>50.95</v>
      </c>
      <c r="L751">
        <f t="shared" ca="1" si="370"/>
        <v>2.1389677043987478</v>
      </c>
      <c r="M751">
        <f t="shared" ca="1" si="343"/>
        <v>11.122632062873489</v>
      </c>
      <c r="N751">
        <f t="shared" ca="1" si="344"/>
        <v>1.1735290000551568</v>
      </c>
      <c r="O751">
        <f t="shared" ca="1" si="345"/>
        <v>4.5807502857230418</v>
      </c>
      <c r="P751">
        <f t="shared" ca="1" si="346"/>
        <v>634.3569677043987</v>
      </c>
      <c r="Q751">
        <f t="shared" ca="1" si="347"/>
        <v>635.42645155659807</v>
      </c>
      <c r="R751">
        <f t="shared" ca="1" si="348"/>
        <v>3.8141460404132466E-3</v>
      </c>
      <c r="S751">
        <f t="shared" ca="1" si="349"/>
        <v>1.0000000000000004</v>
      </c>
      <c r="T751">
        <f t="shared" ca="1" si="350"/>
        <v>35.686426155594638</v>
      </c>
      <c r="U751">
        <f t="shared" ca="1" si="371"/>
        <v>-3.4531789411857972E-3</v>
      </c>
      <c r="V751">
        <f t="shared" ca="1" si="372"/>
        <v>1</v>
      </c>
      <c r="W751">
        <f t="shared" ca="1" si="351"/>
        <v>1.7069123395117343</v>
      </c>
      <c r="X751">
        <f t="shared" ca="1" si="352"/>
        <v>8.8759441654610178</v>
      </c>
      <c r="Y751">
        <f t="shared" ca="1" si="353"/>
        <v>1.0304300930428578</v>
      </c>
      <c r="Z751">
        <f t="shared" ca="1" si="354"/>
        <v>5.7402343965008091</v>
      </c>
      <c r="AA751">
        <f t="shared" ca="1" si="355"/>
        <v>633.92491233951171</v>
      </c>
      <c r="AB751">
        <f t="shared" ca="1" si="356"/>
        <v>635.60433593414837</v>
      </c>
      <c r="AC751">
        <f t="shared" ca="1" si="357"/>
        <v>7.1233408694530067E-3</v>
      </c>
      <c r="AD751">
        <f t="shared" ca="1" si="358"/>
        <v>1.4027798342978652</v>
      </c>
      <c r="AE751">
        <f t="shared" ca="1" si="359"/>
        <v>37.388169422726719</v>
      </c>
      <c r="AF751">
        <f t="shared" ca="1" si="360"/>
        <v>6.6989149312348673E-3</v>
      </c>
      <c r="AG751">
        <f t="shared" ca="1" si="361"/>
        <v>0</v>
      </c>
      <c r="AH751">
        <f ca="1">IFERROR(IF(V32="Supercritical",MAX($D$16,IFERROR(L751,MAX($D$16,POWER((ABS(K751)^2)/($I$5*MAX(F751,0.1)^2),1/3)))),IF(V32="Subcritical",MAX($D$16,IFERROR(W751,MAX($D$16,POWER((ABS(K751)^2)/($I$5*MAX(F751,0.1)^2),1/3)))),IF(AND(IFERROR(V751,0)=1,IFERROR(AG751,0)=1),IF(IFERROR(T751,-1E+99)&gt;=IFERROR(AE751,-1E+99),MAX($D$16,IFERROR(L751,MAX($D$16,POWER((ABS(K751)^2)/($I$5*MAX(F751,0.1)^2),1/3)))),MAX($D$16,IFERROR(W751,MAX($D$16,POWER((ABS(K751)^2)/($I$5*MAX(F751,0.1)^2),1/3))))),IF(IFERROR(V751,0)=1,MAX($D$16,IFERROR(L751,MAX($D$16,POWER((ABS(K751)^2)/($I$5*MAX(F751,0.1)^2),1/3)))),IF(IFERROR(AG751,0)=1,MAX($D$16,IFERROR(W751,MAX($D$16,POWER((ABS(K751)^2)/($I$5*MAX(F751,0.1)^2),1/3)))),MAX($D$16,POWER((ABS(K751)^2)/($I$5*MAX(F751,0.1)^2),1/3))))))),MAX($D$16,POWER((ABS(K751)^2)/($I$5*MAX(F751,0.1)^2),1/3)))</f>
        <v>2.1389677043987478</v>
      </c>
      <c r="AI751">
        <f t="shared" ca="1" si="362"/>
        <v>634.3569677043987</v>
      </c>
      <c r="AJ751">
        <f t="shared" ca="1" si="363"/>
        <v>635.42645155659807</v>
      </c>
      <c r="AM751">
        <v>0</v>
      </c>
      <c r="AN751">
        <v>0</v>
      </c>
      <c r="AO751">
        <f t="shared" si="364"/>
        <v>0</v>
      </c>
      <c r="AP751">
        <f t="shared" si="373"/>
        <v>0</v>
      </c>
      <c r="AQ751">
        <f t="shared" ca="1" si="365"/>
        <v>1.0000000000000004</v>
      </c>
      <c r="AR751" t="str">
        <f t="shared" ca="1" si="366"/>
        <v>Supercritical</v>
      </c>
      <c r="AS751">
        <f t="shared" ca="1" si="367"/>
        <v>3.8141460404132466E-3</v>
      </c>
    </row>
    <row r="752" spans="1:45" x14ac:dyDescent="0.35">
      <c r="A752">
        <v>691</v>
      </c>
      <c r="B752">
        <v>689.99599999999998</v>
      </c>
      <c r="C752">
        <v>616115.51199999999</v>
      </c>
      <c r="D752">
        <v>3097311.7689999999</v>
      </c>
      <c r="E752">
        <v>632.21749999999997</v>
      </c>
      <c r="F752">
        <v>5.2</v>
      </c>
      <c r="G752">
        <v>0</v>
      </c>
      <c r="H752" t="s">
        <v>154</v>
      </c>
      <c r="I752">
        <v>2.7E-2</v>
      </c>
      <c r="J752">
        <f t="shared" si="368"/>
        <v>1</v>
      </c>
      <c r="K752">
        <f t="shared" ca="1" si="369"/>
        <v>50.95</v>
      </c>
      <c r="L752">
        <f t="shared" ca="1" si="370"/>
        <v>2.1389677043987478</v>
      </c>
      <c r="M752">
        <f t="shared" ca="1" si="343"/>
        <v>11.122632062873489</v>
      </c>
      <c r="N752">
        <f t="shared" ca="1" si="344"/>
        <v>1.1735290000551568</v>
      </c>
      <c r="O752">
        <f t="shared" ca="1" si="345"/>
        <v>4.5807502857230418</v>
      </c>
      <c r="P752">
        <f t="shared" ca="1" si="346"/>
        <v>634.35646770439871</v>
      </c>
      <c r="Q752">
        <f t="shared" ca="1" si="347"/>
        <v>635.42595155659808</v>
      </c>
      <c r="R752">
        <f t="shared" ca="1" si="348"/>
        <v>3.8141460404132466E-3</v>
      </c>
      <c r="S752">
        <f t="shared" ca="1" si="349"/>
        <v>1.0000000000000004</v>
      </c>
      <c r="T752">
        <f t="shared" ca="1" si="350"/>
        <v>35.686426155594638</v>
      </c>
      <c r="U752">
        <f t="shared" ca="1" si="371"/>
        <v>-3.3622728137743252E-3</v>
      </c>
      <c r="V752">
        <f t="shared" ca="1" si="372"/>
        <v>1</v>
      </c>
      <c r="W752">
        <f t="shared" ca="1" si="351"/>
        <v>1.7069123395108987</v>
      </c>
      <c r="X752">
        <f t="shared" ca="1" si="352"/>
        <v>8.8759441654566729</v>
      </c>
      <c r="Y752">
        <f t="shared" ca="1" si="353"/>
        <v>1.0304300930425532</v>
      </c>
      <c r="Z752">
        <f t="shared" ca="1" si="354"/>
        <v>5.7402343965036193</v>
      </c>
      <c r="AA752">
        <f t="shared" ca="1" si="355"/>
        <v>633.92441233951092</v>
      </c>
      <c r="AB752">
        <f t="shared" ca="1" si="356"/>
        <v>635.60383593414917</v>
      </c>
      <c r="AC752">
        <f t="shared" ca="1" si="357"/>
        <v>7.1233408694627853E-3</v>
      </c>
      <c r="AD752">
        <f t="shared" ca="1" si="358"/>
        <v>1.4027798342988953</v>
      </c>
      <c r="AE752">
        <f t="shared" ca="1" si="359"/>
        <v>37.388169422733895</v>
      </c>
      <c r="AF752">
        <f t="shared" ca="1" si="360"/>
        <v>6.6233408695097751E-3</v>
      </c>
      <c r="AG752">
        <f t="shared" ca="1" si="361"/>
        <v>0</v>
      </c>
      <c r="AH752">
        <f ca="1">IFERROR(IF(V32="Supercritical",MAX($D$16,IFERROR(L752,MAX($D$16,POWER((ABS(K752)^2)/($I$5*MAX(F752,0.1)^2),1/3)))),IF(V32="Subcritical",MAX($D$16,IFERROR(W752,MAX($D$16,POWER((ABS(K752)^2)/($I$5*MAX(F752,0.1)^2),1/3)))),IF(AND(IFERROR(V752,0)=1,IFERROR(AG752,0)=1),IF(IFERROR(T752,-1E+99)&gt;=IFERROR(AE752,-1E+99),MAX($D$16,IFERROR(L752,MAX($D$16,POWER((ABS(K752)^2)/($I$5*MAX(F752,0.1)^2),1/3)))),MAX($D$16,IFERROR(W752,MAX($D$16,POWER((ABS(K752)^2)/($I$5*MAX(F752,0.1)^2),1/3))))),IF(IFERROR(V752,0)=1,MAX($D$16,IFERROR(L752,MAX($D$16,POWER((ABS(K752)^2)/($I$5*MAX(F752,0.1)^2),1/3)))),IF(IFERROR(AG752,0)=1,MAX($D$16,IFERROR(W752,MAX($D$16,POWER((ABS(K752)^2)/($I$5*MAX(F752,0.1)^2),1/3)))),MAX($D$16,POWER((ABS(K752)^2)/($I$5*MAX(F752,0.1)^2),1/3))))))),MAX($D$16,POWER((ABS(K752)^2)/($I$5*MAX(F752,0.1)^2),1/3)))</f>
        <v>2.1389677043987478</v>
      </c>
      <c r="AI752">
        <f t="shared" ca="1" si="362"/>
        <v>634.35646770439871</v>
      </c>
      <c r="AJ752">
        <f t="shared" ca="1" si="363"/>
        <v>635.42595155659808</v>
      </c>
      <c r="AM752">
        <v>0</v>
      </c>
      <c r="AN752">
        <v>0</v>
      </c>
      <c r="AO752">
        <f t="shared" si="364"/>
        <v>0</v>
      </c>
      <c r="AP752">
        <f t="shared" si="373"/>
        <v>0</v>
      </c>
      <c r="AQ752">
        <f t="shared" ca="1" si="365"/>
        <v>1.0000000000000004</v>
      </c>
      <c r="AR752" t="str">
        <f t="shared" ca="1" si="366"/>
        <v>Supercritical</v>
      </c>
      <c r="AS752">
        <f t="shared" ca="1" si="367"/>
        <v>3.8141460404132466E-3</v>
      </c>
    </row>
    <row r="753" spans="1:45" x14ac:dyDescent="0.35">
      <c r="A753">
        <v>692</v>
      </c>
      <c r="B753">
        <v>690.99599999999998</v>
      </c>
      <c r="C753">
        <v>616115.03799999994</v>
      </c>
      <c r="D753">
        <v>3097310.889</v>
      </c>
      <c r="E753">
        <v>632.21699999999998</v>
      </c>
      <c r="F753">
        <v>5.2</v>
      </c>
      <c r="G753">
        <v>0</v>
      </c>
      <c r="H753" t="s">
        <v>154</v>
      </c>
      <c r="I753">
        <v>0</v>
      </c>
      <c r="J753">
        <f t="shared" si="368"/>
        <v>1</v>
      </c>
      <c r="K753">
        <f t="shared" ca="1" si="369"/>
        <v>50.95</v>
      </c>
      <c r="L753">
        <f t="shared" ca="1" si="370"/>
        <v>2.1389677043987478</v>
      </c>
      <c r="M753">
        <f t="shared" ca="1" si="343"/>
        <v>11.122632062873489</v>
      </c>
      <c r="N753">
        <f t="shared" ca="1" si="344"/>
        <v>1.1735290000551568</v>
      </c>
      <c r="O753">
        <f t="shared" ca="1" si="345"/>
        <v>4.5807502857230418</v>
      </c>
      <c r="P753">
        <f t="shared" ca="1" si="346"/>
        <v>634.35596770439872</v>
      </c>
      <c r="Q753">
        <f t="shared" ca="1" si="347"/>
        <v>635.42545155659809</v>
      </c>
      <c r="R753">
        <f t="shared" ca="1" si="348"/>
        <v>3.8141460404132466E-3</v>
      </c>
      <c r="S753">
        <f t="shared" ca="1" si="349"/>
        <v>1.0000000000000004</v>
      </c>
      <c r="T753">
        <f t="shared" ca="1" si="350"/>
        <v>35.686426155594638</v>
      </c>
      <c r="U753">
        <f t="shared" ca="1" si="371"/>
        <v>-3.3141460404522149E-3</v>
      </c>
      <c r="V753">
        <f t="shared" ca="1" si="372"/>
        <v>1</v>
      </c>
      <c r="W753">
        <f t="shared" ca="1" si="351"/>
        <v>1.7069123395101313</v>
      </c>
      <c r="X753">
        <f t="shared" ca="1" si="352"/>
        <v>8.8759441654526832</v>
      </c>
      <c r="Y753">
        <f t="shared" ca="1" si="353"/>
        <v>1.0304300930422736</v>
      </c>
      <c r="Z753">
        <f t="shared" ca="1" si="354"/>
        <v>5.7402343965061995</v>
      </c>
      <c r="AA753">
        <f t="shared" ca="1" si="355"/>
        <v>633.92391233951014</v>
      </c>
      <c r="AB753">
        <f t="shared" ca="1" si="356"/>
        <v>635.60333593414998</v>
      </c>
      <c r="AC753">
        <f t="shared" ca="1" si="357"/>
        <v>7.1233408694717686E-3</v>
      </c>
      <c r="AD753">
        <f t="shared" ca="1" si="358"/>
        <v>1.402779834299841</v>
      </c>
      <c r="AE753">
        <f t="shared" ca="1" si="359"/>
        <v>37.388169422740489</v>
      </c>
      <c r="AF753">
        <f t="shared" ca="1" si="360"/>
        <v>6.6805954330675377E-3</v>
      </c>
      <c r="AG753">
        <f t="shared" ca="1" si="361"/>
        <v>0</v>
      </c>
      <c r="AH753">
        <f ca="1">IFERROR(IF(V32="Supercritical",MAX($D$16,IFERROR(L753,MAX($D$16,POWER((ABS(K753)^2)/($I$5*MAX(F753,0.1)^2),1/3)))),IF(V32="Subcritical",MAX($D$16,IFERROR(W753,MAX($D$16,POWER((ABS(K753)^2)/($I$5*MAX(F753,0.1)^2),1/3)))),IF(AND(IFERROR(V753,0)=1,IFERROR(AG753,0)=1),IF(IFERROR(T753,-1E+99)&gt;=IFERROR(AE753,-1E+99),MAX($D$16,IFERROR(L753,MAX($D$16,POWER((ABS(K753)^2)/($I$5*MAX(F753,0.1)^2),1/3)))),MAX($D$16,IFERROR(W753,MAX($D$16,POWER((ABS(K753)^2)/($I$5*MAX(F753,0.1)^2),1/3))))),IF(IFERROR(V753,0)=1,MAX($D$16,IFERROR(L753,MAX($D$16,POWER((ABS(K753)^2)/($I$5*MAX(F753,0.1)^2),1/3)))),IF(IFERROR(AG753,0)=1,MAX($D$16,IFERROR(W753,MAX($D$16,POWER((ABS(K753)^2)/($I$5*MAX(F753,0.1)^2),1/3)))),MAX($D$16,POWER((ABS(K753)^2)/($I$5*MAX(F753,0.1)^2),1/3))))))),MAX($D$16,POWER((ABS(K753)^2)/($I$5*MAX(F753,0.1)^2),1/3)))</f>
        <v>2.1389677043987478</v>
      </c>
      <c r="AI753">
        <f t="shared" ca="1" si="362"/>
        <v>634.35596770439872</v>
      </c>
      <c r="AJ753">
        <f t="shared" ca="1" si="363"/>
        <v>635.42545155659809</v>
      </c>
      <c r="AM753">
        <v>0</v>
      </c>
      <c r="AN753">
        <v>0</v>
      </c>
      <c r="AO753">
        <f t="shared" si="364"/>
        <v>0</v>
      </c>
      <c r="AP753">
        <f t="shared" si="373"/>
        <v>0</v>
      </c>
      <c r="AQ753">
        <f t="shared" ca="1" si="365"/>
        <v>1.0000000000000004</v>
      </c>
      <c r="AR753" t="str">
        <f t="shared" ca="1" si="366"/>
        <v>Supercritical</v>
      </c>
      <c r="AS753">
        <f t="shared" ca="1" si="367"/>
        <v>3.8141460404132466E-3</v>
      </c>
    </row>
    <row r="754" spans="1:45" x14ac:dyDescent="0.35">
      <c r="A754">
        <v>693</v>
      </c>
      <c r="B754">
        <v>691.995</v>
      </c>
      <c r="C754">
        <v>616114.56400000001</v>
      </c>
      <c r="D754">
        <v>3097310.0090000001</v>
      </c>
      <c r="E754">
        <v>632.2165</v>
      </c>
      <c r="F754">
        <v>5.2</v>
      </c>
      <c r="G754">
        <v>0</v>
      </c>
      <c r="H754" t="s">
        <v>154</v>
      </c>
      <c r="I754">
        <v>2.3E-2</v>
      </c>
      <c r="J754">
        <f t="shared" si="368"/>
        <v>0.99900000000002365</v>
      </c>
      <c r="K754">
        <f t="shared" ca="1" si="369"/>
        <v>50.95</v>
      </c>
      <c r="L754">
        <f t="shared" ca="1" si="370"/>
        <v>2.1389677043987478</v>
      </c>
      <c r="M754">
        <f t="shared" ca="1" si="343"/>
        <v>11.122632062873489</v>
      </c>
      <c r="N754">
        <f t="shared" ca="1" si="344"/>
        <v>1.1735290000551568</v>
      </c>
      <c r="O754">
        <f t="shared" ca="1" si="345"/>
        <v>4.5807502857230418</v>
      </c>
      <c r="P754">
        <f t="shared" ca="1" si="346"/>
        <v>634.35546770439873</v>
      </c>
      <c r="Q754">
        <f t="shared" ca="1" si="347"/>
        <v>635.4249515565981</v>
      </c>
      <c r="R754">
        <f t="shared" ca="1" si="348"/>
        <v>3.8141460404132466E-3</v>
      </c>
      <c r="S754">
        <f t="shared" ca="1" si="349"/>
        <v>1.0000000000000004</v>
      </c>
      <c r="T754">
        <f t="shared" ca="1" si="350"/>
        <v>35.686426155594638</v>
      </c>
      <c r="U754">
        <f t="shared" ca="1" si="371"/>
        <v>-3.3513287753521581E-3</v>
      </c>
      <c r="V754">
        <f t="shared" ca="1" si="372"/>
        <v>1</v>
      </c>
      <c r="W754">
        <f t="shared" ca="1" si="351"/>
        <v>1.7069123395093981</v>
      </c>
      <c r="X754">
        <f t="shared" ca="1" si="352"/>
        <v>8.8759441654488711</v>
      </c>
      <c r="Y754">
        <f t="shared" ca="1" si="353"/>
        <v>1.0304300930420067</v>
      </c>
      <c r="Z754">
        <f t="shared" ca="1" si="354"/>
        <v>5.7402343965086642</v>
      </c>
      <c r="AA754">
        <f t="shared" ca="1" si="355"/>
        <v>633.92341233950935</v>
      </c>
      <c r="AB754">
        <f t="shared" ca="1" si="356"/>
        <v>635.60283593415056</v>
      </c>
      <c r="AC754">
        <f t="shared" ca="1" si="357"/>
        <v>7.1233408694803468E-3</v>
      </c>
      <c r="AD754">
        <f t="shared" ca="1" si="358"/>
        <v>1.4027798343007447</v>
      </c>
      <c r="AE754">
        <f t="shared" ca="1" si="359"/>
        <v>37.388169422746785</v>
      </c>
      <c r="AF754">
        <f t="shared" ca="1" si="360"/>
        <v>6.6948421148254056E-3</v>
      </c>
      <c r="AG754">
        <f t="shared" ca="1" si="361"/>
        <v>0</v>
      </c>
      <c r="AH754">
        <f ca="1">IFERROR(IF(V32="Supercritical",MAX($D$16,IFERROR(L754,MAX($D$16,POWER((ABS(K754)^2)/($I$5*MAX(F754,0.1)^2),1/3)))),IF(V32="Subcritical",MAX($D$16,IFERROR(W754,MAX($D$16,POWER((ABS(K754)^2)/($I$5*MAX(F754,0.1)^2),1/3)))),IF(AND(IFERROR(V754,0)=1,IFERROR(AG754,0)=1),IF(IFERROR(T754,-1E+99)&gt;=IFERROR(AE754,-1E+99),MAX($D$16,IFERROR(L754,MAX($D$16,POWER((ABS(K754)^2)/($I$5*MAX(F754,0.1)^2),1/3)))),MAX($D$16,IFERROR(W754,MAX($D$16,POWER((ABS(K754)^2)/($I$5*MAX(F754,0.1)^2),1/3))))),IF(IFERROR(V754,0)=1,MAX($D$16,IFERROR(L754,MAX($D$16,POWER((ABS(K754)^2)/($I$5*MAX(F754,0.1)^2),1/3)))),IF(IFERROR(AG754,0)=1,MAX($D$16,IFERROR(W754,MAX($D$16,POWER((ABS(K754)^2)/($I$5*MAX(F754,0.1)^2),1/3)))),MAX($D$16,POWER((ABS(K754)^2)/($I$5*MAX(F754,0.1)^2),1/3))))))),MAX($D$16,POWER((ABS(K754)^2)/($I$5*MAX(F754,0.1)^2),1/3)))</f>
        <v>2.1389677043987478</v>
      </c>
      <c r="AI754">
        <f t="shared" ca="1" si="362"/>
        <v>634.35546770439873</v>
      </c>
      <c r="AJ754">
        <f t="shared" ca="1" si="363"/>
        <v>635.4249515565981</v>
      </c>
      <c r="AM754">
        <v>0</v>
      </c>
      <c r="AN754">
        <v>0</v>
      </c>
      <c r="AO754">
        <f t="shared" si="364"/>
        <v>0</v>
      </c>
      <c r="AP754">
        <f t="shared" si="373"/>
        <v>0</v>
      </c>
      <c r="AQ754">
        <f t="shared" ca="1" si="365"/>
        <v>1.0000000000000004</v>
      </c>
      <c r="AR754" t="str">
        <f t="shared" ca="1" si="366"/>
        <v>Supercritical</v>
      </c>
      <c r="AS754">
        <f t="shared" ca="1" si="367"/>
        <v>3.8141460404132466E-3</v>
      </c>
    </row>
    <row r="755" spans="1:45" x14ac:dyDescent="0.35">
      <c r="A755">
        <v>694</v>
      </c>
      <c r="B755">
        <v>692.99599999999998</v>
      </c>
      <c r="C755">
        <v>616114.08900000004</v>
      </c>
      <c r="D755">
        <v>3097309.128</v>
      </c>
      <c r="E755">
        <v>632.21600000000001</v>
      </c>
      <c r="F755">
        <v>5.2</v>
      </c>
      <c r="G755">
        <v>0</v>
      </c>
      <c r="H755" t="s">
        <v>154</v>
      </c>
      <c r="I755">
        <v>2.3E-2</v>
      </c>
      <c r="J755">
        <f t="shared" si="368"/>
        <v>1.0009999999999764</v>
      </c>
      <c r="K755">
        <f t="shared" ca="1" si="369"/>
        <v>50.95</v>
      </c>
      <c r="L755">
        <f t="shared" ca="1" si="370"/>
        <v>2.1389677043987478</v>
      </c>
      <c r="M755">
        <f t="shared" ca="1" si="343"/>
        <v>11.122632062873489</v>
      </c>
      <c r="N755">
        <f t="shared" ca="1" si="344"/>
        <v>1.1735290000551568</v>
      </c>
      <c r="O755">
        <f t="shared" ca="1" si="345"/>
        <v>4.5807502857230418</v>
      </c>
      <c r="P755">
        <f t="shared" ca="1" si="346"/>
        <v>634.35496770439875</v>
      </c>
      <c r="Q755">
        <f t="shared" ca="1" si="347"/>
        <v>635.42445155659811</v>
      </c>
      <c r="R755">
        <f t="shared" ca="1" si="348"/>
        <v>3.8141460404132466E-3</v>
      </c>
      <c r="S755">
        <f t="shared" ca="1" si="349"/>
        <v>1.0000000000000004</v>
      </c>
      <c r="T755">
        <f t="shared" ca="1" si="350"/>
        <v>35.686426155594638</v>
      </c>
      <c r="U755">
        <f t="shared" ca="1" si="371"/>
        <v>-3.3589570674621427E-3</v>
      </c>
      <c r="V755">
        <f t="shared" ca="1" si="372"/>
        <v>1</v>
      </c>
      <c r="W755">
        <f t="shared" ca="1" si="351"/>
        <v>1.7069123395086989</v>
      </c>
      <c r="X755">
        <f t="shared" ca="1" si="352"/>
        <v>8.8759441654452349</v>
      </c>
      <c r="Y755">
        <f t="shared" ca="1" si="353"/>
        <v>1.0304300930417518</v>
      </c>
      <c r="Z755">
        <f t="shared" ca="1" si="354"/>
        <v>5.7402343965110161</v>
      </c>
      <c r="AA755">
        <f t="shared" ca="1" si="355"/>
        <v>633.92291233950868</v>
      </c>
      <c r="AB755">
        <f t="shared" ca="1" si="356"/>
        <v>635.60233593415126</v>
      </c>
      <c r="AC755">
        <f t="shared" ca="1" si="357"/>
        <v>7.1233408694885321E-3</v>
      </c>
      <c r="AD755">
        <f t="shared" ca="1" si="358"/>
        <v>1.4027798343016069</v>
      </c>
      <c r="AE755">
        <f t="shared" ca="1" si="359"/>
        <v>37.388169422752796</v>
      </c>
      <c r="AF755">
        <f t="shared" ca="1" si="360"/>
        <v>6.6989149312348673E-3</v>
      </c>
      <c r="AG755">
        <f t="shared" ca="1" si="361"/>
        <v>0</v>
      </c>
      <c r="AH755">
        <f ca="1">IFERROR(IF(V32="Supercritical",MAX($D$16,IFERROR(L755,MAX($D$16,POWER((ABS(K755)^2)/($I$5*MAX(F755,0.1)^2),1/3)))),IF(V32="Subcritical",MAX($D$16,IFERROR(W755,MAX($D$16,POWER((ABS(K755)^2)/($I$5*MAX(F755,0.1)^2),1/3)))),IF(AND(IFERROR(V755,0)=1,IFERROR(AG755,0)=1),IF(IFERROR(T755,-1E+99)&gt;=IFERROR(AE755,-1E+99),MAX($D$16,IFERROR(L755,MAX($D$16,POWER((ABS(K755)^2)/($I$5*MAX(F755,0.1)^2),1/3)))),MAX($D$16,IFERROR(W755,MAX($D$16,POWER((ABS(K755)^2)/($I$5*MAX(F755,0.1)^2),1/3))))),IF(IFERROR(V755,0)=1,MAX($D$16,IFERROR(L755,MAX($D$16,POWER((ABS(K755)^2)/($I$5*MAX(F755,0.1)^2),1/3)))),IF(IFERROR(AG755,0)=1,MAX($D$16,IFERROR(W755,MAX($D$16,POWER((ABS(K755)^2)/($I$5*MAX(F755,0.1)^2),1/3)))),MAX($D$16,POWER((ABS(K755)^2)/($I$5*MAX(F755,0.1)^2),1/3))))))),MAX($D$16,POWER((ABS(K755)^2)/($I$5*MAX(F755,0.1)^2),1/3)))</f>
        <v>2.1389677043987478</v>
      </c>
      <c r="AI755">
        <f t="shared" ca="1" si="362"/>
        <v>634.35496770439875</v>
      </c>
      <c r="AJ755">
        <f t="shared" ca="1" si="363"/>
        <v>635.42445155659811</v>
      </c>
      <c r="AM755">
        <v>0</v>
      </c>
      <c r="AN755">
        <v>0</v>
      </c>
      <c r="AO755">
        <f t="shared" si="364"/>
        <v>0</v>
      </c>
      <c r="AP755">
        <f t="shared" si="373"/>
        <v>0</v>
      </c>
      <c r="AQ755">
        <f t="shared" ca="1" si="365"/>
        <v>1.0000000000000004</v>
      </c>
      <c r="AR755" t="str">
        <f t="shared" ca="1" si="366"/>
        <v>Supercritical</v>
      </c>
      <c r="AS755">
        <f t="shared" ca="1" si="367"/>
        <v>3.8141460404132466E-3</v>
      </c>
    </row>
    <row r="756" spans="1:45" x14ac:dyDescent="0.35">
      <c r="A756">
        <v>695</v>
      </c>
      <c r="B756">
        <v>693.99599999999998</v>
      </c>
      <c r="C756">
        <v>616113.61499999999</v>
      </c>
      <c r="D756">
        <v>3097308.2480000001</v>
      </c>
      <c r="E756">
        <v>632.21550000000002</v>
      </c>
      <c r="F756">
        <v>5.2</v>
      </c>
      <c r="G756">
        <v>0</v>
      </c>
      <c r="H756" t="s">
        <v>154</v>
      </c>
      <c r="I756">
        <v>2.7E-2</v>
      </c>
      <c r="J756">
        <f t="shared" si="368"/>
        <v>1</v>
      </c>
      <c r="K756">
        <f t="shared" ca="1" si="369"/>
        <v>50.95</v>
      </c>
      <c r="L756">
        <f t="shared" ca="1" si="370"/>
        <v>2.1389677043987478</v>
      </c>
      <c r="M756">
        <f t="shared" ca="1" si="343"/>
        <v>11.122632062873489</v>
      </c>
      <c r="N756">
        <f t="shared" ca="1" si="344"/>
        <v>1.1735290000551568</v>
      </c>
      <c r="O756">
        <f t="shared" ca="1" si="345"/>
        <v>4.5807502857230418</v>
      </c>
      <c r="P756">
        <f t="shared" ca="1" si="346"/>
        <v>634.35446770439876</v>
      </c>
      <c r="Q756">
        <f t="shared" ca="1" si="347"/>
        <v>635.42395155659813</v>
      </c>
      <c r="R756">
        <f t="shared" ca="1" si="348"/>
        <v>3.8141460404132466E-3</v>
      </c>
      <c r="S756">
        <f t="shared" ca="1" si="349"/>
        <v>1.0000000000000004</v>
      </c>
      <c r="T756">
        <f t="shared" ca="1" si="350"/>
        <v>35.686426155594638</v>
      </c>
      <c r="U756">
        <f t="shared" ca="1" si="371"/>
        <v>-3.3622728137743252E-3</v>
      </c>
      <c r="V756">
        <f t="shared" ca="1" si="372"/>
        <v>1</v>
      </c>
      <c r="W756">
        <f t="shared" ca="1" si="351"/>
        <v>1.7069123395080679</v>
      </c>
      <c r="X756">
        <f t="shared" ca="1" si="352"/>
        <v>8.875944165441954</v>
      </c>
      <c r="Y756">
        <f t="shared" ca="1" si="353"/>
        <v>1.0304300930415218</v>
      </c>
      <c r="Z756">
        <f t="shared" ca="1" si="354"/>
        <v>5.7402343965131379</v>
      </c>
      <c r="AA756">
        <f t="shared" ca="1" si="355"/>
        <v>633.92241233950813</v>
      </c>
      <c r="AB756">
        <f t="shared" ca="1" si="356"/>
        <v>635.60183593415195</v>
      </c>
      <c r="AC756">
        <f t="shared" ca="1" si="357"/>
        <v>7.1233408694959185E-3</v>
      </c>
      <c r="AD756">
        <f t="shared" ca="1" si="358"/>
        <v>1.4027798343023845</v>
      </c>
      <c r="AE756">
        <f t="shared" ca="1" si="359"/>
        <v>37.38816942275821</v>
      </c>
      <c r="AF756">
        <f t="shared" ca="1" si="360"/>
        <v>6.6989149312348673E-3</v>
      </c>
      <c r="AG756">
        <f t="shared" ca="1" si="361"/>
        <v>0</v>
      </c>
      <c r="AH756">
        <f ca="1">IFERROR(IF(V32="Supercritical",MAX($D$16,IFERROR(L756,MAX($D$16,POWER((ABS(K756)^2)/($I$5*MAX(F756,0.1)^2),1/3)))),IF(V32="Subcritical",MAX($D$16,IFERROR(W756,MAX($D$16,POWER((ABS(K756)^2)/($I$5*MAX(F756,0.1)^2),1/3)))),IF(AND(IFERROR(V756,0)=1,IFERROR(AG756,0)=1),IF(IFERROR(T756,-1E+99)&gt;=IFERROR(AE756,-1E+99),MAX($D$16,IFERROR(L756,MAX($D$16,POWER((ABS(K756)^2)/($I$5*MAX(F756,0.1)^2),1/3)))),MAX($D$16,IFERROR(W756,MAX($D$16,POWER((ABS(K756)^2)/($I$5*MAX(F756,0.1)^2),1/3))))),IF(IFERROR(V756,0)=1,MAX($D$16,IFERROR(L756,MAX($D$16,POWER((ABS(K756)^2)/($I$5*MAX(F756,0.1)^2),1/3)))),IF(IFERROR(AG756,0)=1,MAX($D$16,IFERROR(W756,MAX($D$16,POWER((ABS(K756)^2)/($I$5*MAX(F756,0.1)^2),1/3)))),MAX($D$16,POWER((ABS(K756)^2)/($I$5*MAX(F756,0.1)^2),1/3))))))),MAX($D$16,POWER((ABS(K756)^2)/($I$5*MAX(F756,0.1)^2),1/3)))</f>
        <v>2.1389677043987478</v>
      </c>
      <c r="AI756">
        <f t="shared" ca="1" si="362"/>
        <v>634.35446770439876</v>
      </c>
      <c r="AJ756">
        <f t="shared" ca="1" si="363"/>
        <v>635.42395155659813</v>
      </c>
      <c r="AM756">
        <v>0</v>
      </c>
      <c r="AN756">
        <v>0</v>
      </c>
      <c r="AO756">
        <f t="shared" si="364"/>
        <v>0</v>
      </c>
      <c r="AP756">
        <f t="shared" si="373"/>
        <v>0</v>
      </c>
      <c r="AQ756">
        <f t="shared" ca="1" si="365"/>
        <v>1.0000000000000004</v>
      </c>
      <c r="AR756" t="str">
        <f t="shared" ca="1" si="366"/>
        <v>Supercritical</v>
      </c>
      <c r="AS756">
        <f t="shared" ca="1" si="367"/>
        <v>3.8141460404132466E-3</v>
      </c>
    </row>
    <row r="757" spans="1:45" x14ac:dyDescent="0.35">
      <c r="A757">
        <v>696</v>
      </c>
      <c r="B757">
        <v>694.99599999999998</v>
      </c>
      <c r="C757">
        <v>616113.14099999995</v>
      </c>
      <c r="D757">
        <v>3097307.3670000001</v>
      </c>
      <c r="E757">
        <v>632.21500000000003</v>
      </c>
      <c r="F757">
        <v>5.2</v>
      </c>
      <c r="G757">
        <v>0</v>
      </c>
      <c r="H757" t="s">
        <v>154</v>
      </c>
      <c r="I757">
        <v>2.7E-2</v>
      </c>
      <c r="J757">
        <f t="shared" si="368"/>
        <v>1</v>
      </c>
      <c r="K757">
        <f t="shared" ca="1" si="369"/>
        <v>50.95</v>
      </c>
      <c r="L757">
        <f t="shared" ca="1" si="370"/>
        <v>2.1389677043987478</v>
      </c>
      <c r="M757">
        <f t="shared" ca="1" si="343"/>
        <v>11.122632062873489</v>
      </c>
      <c r="N757">
        <f t="shared" ca="1" si="344"/>
        <v>1.1735290000551568</v>
      </c>
      <c r="O757">
        <f t="shared" ca="1" si="345"/>
        <v>4.5807502857230418</v>
      </c>
      <c r="P757">
        <f t="shared" ca="1" si="346"/>
        <v>634.35396770439877</v>
      </c>
      <c r="Q757">
        <f t="shared" ca="1" si="347"/>
        <v>635.42345155659814</v>
      </c>
      <c r="R757">
        <f t="shared" ca="1" si="348"/>
        <v>3.8141460404132466E-3</v>
      </c>
      <c r="S757">
        <f t="shared" ca="1" si="349"/>
        <v>1.0000000000000004</v>
      </c>
      <c r="T757">
        <f t="shared" ca="1" si="350"/>
        <v>35.686426155594638</v>
      </c>
      <c r="U757">
        <f t="shared" ca="1" si="371"/>
        <v>-3.3622728137743252E-3</v>
      </c>
      <c r="V757">
        <f t="shared" ca="1" si="372"/>
        <v>1</v>
      </c>
      <c r="W757">
        <f t="shared" ca="1" si="351"/>
        <v>1.7069123395074881</v>
      </c>
      <c r="X757">
        <f t="shared" ca="1" si="352"/>
        <v>8.8759441654389377</v>
      </c>
      <c r="Y757">
        <f t="shared" ca="1" si="353"/>
        <v>1.0304300930413104</v>
      </c>
      <c r="Z757">
        <f t="shared" ca="1" si="354"/>
        <v>5.7402343965150884</v>
      </c>
      <c r="AA757">
        <f t="shared" ca="1" si="355"/>
        <v>633.92191233950757</v>
      </c>
      <c r="AB757">
        <f t="shared" ca="1" si="356"/>
        <v>635.60133593415253</v>
      </c>
      <c r="AC757">
        <f t="shared" ca="1" si="357"/>
        <v>7.1233408695027091E-3</v>
      </c>
      <c r="AD757">
        <f t="shared" ca="1" si="358"/>
        <v>1.4027798343030997</v>
      </c>
      <c r="AE757">
        <f t="shared" ca="1" si="359"/>
        <v>37.388169422763198</v>
      </c>
      <c r="AF757">
        <f t="shared" ca="1" si="360"/>
        <v>6.6233408695097751E-3</v>
      </c>
      <c r="AG757">
        <f t="shared" ca="1" si="361"/>
        <v>0</v>
      </c>
      <c r="AH757">
        <f ca="1">IFERROR(IF(V32="Supercritical",MAX($D$16,IFERROR(L757,MAX($D$16,POWER((ABS(K757)^2)/($I$5*MAX(F757,0.1)^2),1/3)))),IF(V32="Subcritical",MAX($D$16,IFERROR(W757,MAX($D$16,POWER((ABS(K757)^2)/($I$5*MAX(F757,0.1)^2),1/3)))),IF(AND(IFERROR(V757,0)=1,IFERROR(AG757,0)=1),IF(IFERROR(T757,-1E+99)&gt;=IFERROR(AE757,-1E+99),MAX($D$16,IFERROR(L757,MAX($D$16,POWER((ABS(K757)^2)/($I$5*MAX(F757,0.1)^2),1/3)))),MAX($D$16,IFERROR(W757,MAX($D$16,POWER((ABS(K757)^2)/($I$5*MAX(F757,0.1)^2),1/3))))),IF(IFERROR(V757,0)=1,MAX($D$16,IFERROR(L757,MAX($D$16,POWER((ABS(K757)^2)/($I$5*MAX(F757,0.1)^2),1/3)))),IF(IFERROR(AG757,0)=1,MAX($D$16,IFERROR(W757,MAX($D$16,POWER((ABS(K757)^2)/($I$5*MAX(F757,0.1)^2),1/3)))),MAX($D$16,POWER((ABS(K757)^2)/($I$5*MAX(F757,0.1)^2),1/3))))))),MAX($D$16,POWER((ABS(K757)^2)/($I$5*MAX(F757,0.1)^2),1/3)))</f>
        <v>2.1389677043987478</v>
      </c>
      <c r="AI757">
        <f t="shared" ca="1" si="362"/>
        <v>634.35396770439877</v>
      </c>
      <c r="AJ757">
        <f t="shared" ca="1" si="363"/>
        <v>635.42345155659814</v>
      </c>
      <c r="AM757">
        <v>0</v>
      </c>
      <c r="AN757">
        <v>0</v>
      </c>
      <c r="AO757">
        <f t="shared" si="364"/>
        <v>0</v>
      </c>
      <c r="AP757">
        <f t="shared" si="373"/>
        <v>0</v>
      </c>
      <c r="AQ757">
        <f t="shared" ca="1" si="365"/>
        <v>1.0000000000000004</v>
      </c>
      <c r="AR757" t="str">
        <f t="shared" ca="1" si="366"/>
        <v>Supercritical</v>
      </c>
      <c r="AS757">
        <f t="shared" ca="1" si="367"/>
        <v>3.8141460404132466E-3</v>
      </c>
    </row>
    <row r="758" spans="1:45" x14ac:dyDescent="0.35">
      <c r="A758">
        <v>697</v>
      </c>
      <c r="B758">
        <v>695.99599999999998</v>
      </c>
      <c r="C758">
        <v>616112.66700000002</v>
      </c>
      <c r="D758">
        <v>3097306.4870000002</v>
      </c>
      <c r="E758">
        <v>632.21450000000004</v>
      </c>
      <c r="F758">
        <v>5.2</v>
      </c>
      <c r="G758">
        <v>0</v>
      </c>
      <c r="H758" t="s">
        <v>154</v>
      </c>
      <c r="I758">
        <v>0</v>
      </c>
      <c r="J758">
        <f t="shared" si="368"/>
        <v>1</v>
      </c>
      <c r="K758">
        <f t="shared" ca="1" si="369"/>
        <v>50.95</v>
      </c>
      <c r="L758">
        <f t="shared" ca="1" si="370"/>
        <v>2.1389677043987478</v>
      </c>
      <c r="M758">
        <f t="shared" ca="1" si="343"/>
        <v>11.122632062873489</v>
      </c>
      <c r="N758">
        <f t="shared" ca="1" si="344"/>
        <v>1.1735290000551568</v>
      </c>
      <c r="O758">
        <f t="shared" ca="1" si="345"/>
        <v>4.5807502857230418</v>
      </c>
      <c r="P758">
        <f t="shared" ca="1" si="346"/>
        <v>634.35346770439878</v>
      </c>
      <c r="Q758">
        <f t="shared" ca="1" si="347"/>
        <v>635.42295155659815</v>
      </c>
      <c r="R758">
        <f t="shared" ca="1" si="348"/>
        <v>3.8141460404132466E-3</v>
      </c>
      <c r="S758">
        <f t="shared" ca="1" si="349"/>
        <v>1.0000000000000004</v>
      </c>
      <c r="T758">
        <f t="shared" ca="1" si="350"/>
        <v>35.686426155594638</v>
      </c>
      <c r="U758">
        <f t="shared" ca="1" si="371"/>
        <v>-3.3141460404522149E-3</v>
      </c>
      <c r="V758">
        <f t="shared" ca="1" si="372"/>
        <v>1</v>
      </c>
      <c r="W758">
        <f t="shared" ca="1" si="351"/>
        <v>1.7069123395069423</v>
      </c>
      <c r="X758">
        <f t="shared" ca="1" si="352"/>
        <v>8.8759441654361009</v>
      </c>
      <c r="Y758">
        <f t="shared" ca="1" si="353"/>
        <v>1.0304300930411117</v>
      </c>
      <c r="Z758">
        <f t="shared" ca="1" si="354"/>
        <v>5.7402343965169234</v>
      </c>
      <c r="AA758">
        <f t="shared" ca="1" si="355"/>
        <v>633.92141233950701</v>
      </c>
      <c r="AB758">
        <f t="shared" ca="1" si="356"/>
        <v>635.60083593415311</v>
      </c>
      <c r="AC758">
        <f t="shared" ca="1" si="357"/>
        <v>7.1233408695090929E-3</v>
      </c>
      <c r="AD758">
        <f t="shared" ca="1" si="358"/>
        <v>1.4027798343037721</v>
      </c>
      <c r="AE758">
        <f t="shared" ca="1" si="359"/>
        <v>37.388169422767881</v>
      </c>
      <c r="AF758">
        <f t="shared" ca="1" si="360"/>
        <v>6.6805954330675377E-3</v>
      </c>
      <c r="AG758">
        <f t="shared" ca="1" si="361"/>
        <v>0</v>
      </c>
      <c r="AH758">
        <f ca="1">IFERROR(IF(V32="Supercritical",MAX($D$16,IFERROR(L758,MAX($D$16,POWER((ABS(K758)^2)/($I$5*MAX(F758,0.1)^2),1/3)))),IF(V32="Subcritical",MAX($D$16,IFERROR(W758,MAX($D$16,POWER((ABS(K758)^2)/($I$5*MAX(F758,0.1)^2),1/3)))),IF(AND(IFERROR(V758,0)=1,IFERROR(AG758,0)=1),IF(IFERROR(T758,-1E+99)&gt;=IFERROR(AE758,-1E+99),MAX($D$16,IFERROR(L758,MAX($D$16,POWER((ABS(K758)^2)/($I$5*MAX(F758,0.1)^2),1/3)))),MAX($D$16,IFERROR(W758,MAX($D$16,POWER((ABS(K758)^2)/($I$5*MAX(F758,0.1)^2),1/3))))),IF(IFERROR(V758,0)=1,MAX($D$16,IFERROR(L758,MAX($D$16,POWER((ABS(K758)^2)/($I$5*MAX(F758,0.1)^2),1/3)))),IF(IFERROR(AG758,0)=1,MAX($D$16,IFERROR(W758,MAX($D$16,POWER((ABS(K758)^2)/($I$5*MAX(F758,0.1)^2),1/3)))),MAX($D$16,POWER((ABS(K758)^2)/($I$5*MAX(F758,0.1)^2),1/3))))))),MAX($D$16,POWER((ABS(K758)^2)/($I$5*MAX(F758,0.1)^2),1/3)))</f>
        <v>2.1389677043987478</v>
      </c>
      <c r="AI758">
        <f t="shared" ca="1" si="362"/>
        <v>634.35346770439878</v>
      </c>
      <c r="AJ758">
        <f t="shared" ca="1" si="363"/>
        <v>635.42295155659815</v>
      </c>
      <c r="AM758">
        <v>0</v>
      </c>
      <c r="AN758">
        <v>0</v>
      </c>
      <c r="AO758">
        <f t="shared" si="364"/>
        <v>0</v>
      </c>
      <c r="AP758">
        <f t="shared" si="373"/>
        <v>0</v>
      </c>
      <c r="AQ758">
        <f t="shared" ca="1" si="365"/>
        <v>1.0000000000000004</v>
      </c>
      <c r="AR758" t="str">
        <f t="shared" ca="1" si="366"/>
        <v>Supercritical</v>
      </c>
      <c r="AS758">
        <f t="shared" ca="1" si="367"/>
        <v>3.8141460404132466E-3</v>
      </c>
    </row>
    <row r="759" spans="1:45" x14ac:dyDescent="0.35">
      <c r="A759">
        <v>698</v>
      </c>
      <c r="B759">
        <v>696.995</v>
      </c>
      <c r="C759">
        <v>616112.19299999997</v>
      </c>
      <c r="D759">
        <v>3097305.6069999998</v>
      </c>
      <c r="E759">
        <v>632.21400000000006</v>
      </c>
      <c r="F759">
        <v>5.2</v>
      </c>
      <c r="G759">
        <v>0</v>
      </c>
      <c r="H759" t="s">
        <v>154</v>
      </c>
      <c r="I759">
        <v>2.3E-2</v>
      </c>
      <c r="J759">
        <f t="shared" si="368"/>
        <v>0.99900000000002365</v>
      </c>
      <c r="K759">
        <f t="shared" ca="1" si="369"/>
        <v>50.95</v>
      </c>
      <c r="L759">
        <f t="shared" ca="1" si="370"/>
        <v>2.1389677043987478</v>
      </c>
      <c r="M759">
        <f t="shared" ca="1" si="343"/>
        <v>11.122632062873489</v>
      </c>
      <c r="N759">
        <f t="shared" ca="1" si="344"/>
        <v>1.1735290000551568</v>
      </c>
      <c r="O759">
        <f t="shared" ca="1" si="345"/>
        <v>4.5807502857230418</v>
      </c>
      <c r="P759">
        <f t="shared" ca="1" si="346"/>
        <v>634.35296770439879</v>
      </c>
      <c r="Q759">
        <f t="shared" ca="1" si="347"/>
        <v>635.42245155659816</v>
      </c>
      <c r="R759">
        <f t="shared" ca="1" si="348"/>
        <v>3.8141460404132466E-3</v>
      </c>
      <c r="S759">
        <f t="shared" ca="1" si="349"/>
        <v>1.0000000000000004</v>
      </c>
      <c r="T759">
        <f t="shared" ca="1" si="350"/>
        <v>35.686426155594638</v>
      </c>
      <c r="U759">
        <f t="shared" ca="1" si="371"/>
        <v>-3.3513287753521581E-3</v>
      </c>
      <c r="V759">
        <f t="shared" ca="1" si="372"/>
        <v>1</v>
      </c>
      <c r="W759">
        <f t="shared" ca="1" si="351"/>
        <v>1.7069123395064307</v>
      </c>
      <c r="X759">
        <f t="shared" ca="1" si="352"/>
        <v>8.8759441654334399</v>
      </c>
      <c r="Y759">
        <f t="shared" ca="1" si="353"/>
        <v>1.0304300930409251</v>
      </c>
      <c r="Z759">
        <f t="shared" ca="1" si="354"/>
        <v>5.7402343965186438</v>
      </c>
      <c r="AA759">
        <f t="shared" ca="1" si="355"/>
        <v>633.92091233950646</v>
      </c>
      <c r="AB759">
        <f t="shared" ca="1" si="356"/>
        <v>635.60033593415358</v>
      </c>
      <c r="AC759">
        <f t="shared" ca="1" si="357"/>
        <v>7.1233408695150855E-3</v>
      </c>
      <c r="AD759">
        <f t="shared" ca="1" si="358"/>
        <v>1.4027798343044029</v>
      </c>
      <c r="AE759">
        <f t="shared" ca="1" si="359"/>
        <v>37.388169422772279</v>
      </c>
      <c r="AF759">
        <f t="shared" ca="1" si="360"/>
        <v>6.6948421147117188E-3</v>
      </c>
      <c r="AG759">
        <f t="shared" ca="1" si="361"/>
        <v>0</v>
      </c>
      <c r="AH759">
        <f ca="1">IFERROR(IF(V32="Supercritical",MAX($D$16,IFERROR(L759,MAX($D$16,POWER((ABS(K759)^2)/($I$5*MAX(F759,0.1)^2),1/3)))),IF(V32="Subcritical",MAX($D$16,IFERROR(W759,MAX($D$16,POWER((ABS(K759)^2)/($I$5*MAX(F759,0.1)^2),1/3)))),IF(AND(IFERROR(V759,0)=1,IFERROR(AG759,0)=1),IF(IFERROR(T759,-1E+99)&gt;=IFERROR(AE759,-1E+99),MAX($D$16,IFERROR(L759,MAX($D$16,POWER((ABS(K759)^2)/($I$5*MAX(F759,0.1)^2),1/3)))),MAX($D$16,IFERROR(W759,MAX($D$16,POWER((ABS(K759)^2)/($I$5*MAX(F759,0.1)^2),1/3))))),IF(IFERROR(V759,0)=1,MAX($D$16,IFERROR(L759,MAX($D$16,POWER((ABS(K759)^2)/($I$5*MAX(F759,0.1)^2),1/3)))),IF(IFERROR(AG759,0)=1,MAX($D$16,IFERROR(W759,MAX($D$16,POWER((ABS(K759)^2)/($I$5*MAX(F759,0.1)^2),1/3)))),MAX($D$16,POWER((ABS(K759)^2)/($I$5*MAX(F759,0.1)^2),1/3))))))),MAX($D$16,POWER((ABS(K759)^2)/($I$5*MAX(F759,0.1)^2),1/3)))</f>
        <v>2.1389677043987478</v>
      </c>
      <c r="AI759">
        <f t="shared" ca="1" si="362"/>
        <v>634.35296770439879</v>
      </c>
      <c r="AJ759">
        <f t="shared" ca="1" si="363"/>
        <v>635.42245155659816</v>
      </c>
      <c r="AM759">
        <v>0</v>
      </c>
      <c r="AN759">
        <v>0</v>
      </c>
      <c r="AO759">
        <f t="shared" si="364"/>
        <v>0</v>
      </c>
      <c r="AP759">
        <f t="shared" si="373"/>
        <v>0</v>
      </c>
      <c r="AQ759">
        <f t="shared" ca="1" si="365"/>
        <v>1.0000000000000004</v>
      </c>
      <c r="AR759" t="str">
        <f t="shared" ca="1" si="366"/>
        <v>Supercritical</v>
      </c>
      <c r="AS759">
        <f t="shared" ca="1" si="367"/>
        <v>3.8141460404132466E-3</v>
      </c>
    </row>
    <row r="760" spans="1:45" x14ac:dyDescent="0.35">
      <c r="A760">
        <v>699</v>
      </c>
      <c r="B760">
        <v>697.99599999999998</v>
      </c>
      <c r="C760">
        <v>616111.71799999999</v>
      </c>
      <c r="D760">
        <v>3097304.7259999998</v>
      </c>
      <c r="E760">
        <v>632.21349999999995</v>
      </c>
      <c r="F760">
        <v>5.2</v>
      </c>
      <c r="G760">
        <v>0</v>
      </c>
      <c r="H760" t="s">
        <v>154</v>
      </c>
      <c r="I760">
        <v>2.3E-2</v>
      </c>
      <c r="J760">
        <f t="shared" si="368"/>
        <v>1.0009999999999764</v>
      </c>
      <c r="K760">
        <f t="shared" ca="1" si="369"/>
        <v>50.95</v>
      </c>
      <c r="L760">
        <f t="shared" ca="1" si="370"/>
        <v>2.1389677043987478</v>
      </c>
      <c r="M760">
        <f t="shared" ca="1" si="343"/>
        <v>11.122632062873489</v>
      </c>
      <c r="N760">
        <f t="shared" ca="1" si="344"/>
        <v>1.1735290000551568</v>
      </c>
      <c r="O760">
        <f t="shared" ca="1" si="345"/>
        <v>4.5807502857230418</v>
      </c>
      <c r="P760">
        <f t="shared" ca="1" si="346"/>
        <v>634.35246770439869</v>
      </c>
      <c r="Q760">
        <f t="shared" ca="1" si="347"/>
        <v>635.42195155659806</v>
      </c>
      <c r="R760">
        <f t="shared" ca="1" si="348"/>
        <v>3.8141460404132466E-3</v>
      </c>
      <c r="S760">
        <f t="shared" ca="1" si="349"/>
        <v>1.0000000000000004</v>
      </c>
      <c r="T760">
        <f t="shared" ca="1" si="350"/>
        <v>35.686426155594638</v>
      </c>
      <c r="U760">
        <f t="shared" ca="1" si="371"/>
        <v>-3.3589570673484559E-3</v>
      </c>
      <c r="V760">
        <f t="shared" ca="1" si="372"/>
        <v>1</v>
      </c>
      <c r="W760">
        <f t="shared" ca="1" si="351"/>
        <v>1.7069123395059533</v>
      </c>
      <c r="X760">
        <f t="shared" ca="1" si="352"/>
        <v>8.8759441654309583</v>
      </c>
      <c r="Y760">
        <f t="shared" ca="1" si="353"/>
        <v>1.0304300930407513</v>
      </c>
      <c r="Z760">
        <f t="shared" ca="1" si="354"/>
        <v>5.7402343965202487</v>
      </c>
      <c r="AA760">
        <f t="shared" ca="1" si="355"/>
        <v>633.9204123395059</v>
      </c>
      <c r="AB760">
        <f t="shared" ca="1" si="356"/>
        <v>635.59983593415393</v>
      </c>
      <c r="AC760">
        <f t="shared" ca="1" si="357"/>
        <v>7.1233408695206722E-3</v>
      </c>
      <c r="AD760">
        <f t="shared" ca="1" si="358"/>
        <v>1.4027798343049913</v>
      </c>
      <c r="AE760">
        <f t="shared" ca="1" si="359"/>
        <v>37.388169422776372</v>
      </c>
      <c r="AF760">
        <f t="shared" ca="1" si="360"/>
        <v>6.6989149312348673E-3</v>
      </c>
      <c r="AG760">
        <f t="shared" ca="1" si="361"/>
        <v>0</v>
      </c>
      <c r="AH760">
        <f ca="1">IFERROR(IF(V32="Supercritical",MAX($D$16,IFERROR(L760,MAX($D$16,POWER((ABS(K760)^2)/($I$5*MAX(F760,0.1)^2),1/3)))),IF(V32="Subcritical",MAX($D$16,IFERROR(W760,MAX($D$16,POWER((ABS(K760)^2)/($I$5*MAX(F760,0.1)^2),1/3)))),IF(AND(IFERROR(V760,0)=1,IFERROR(AG760,0)=1),IF(IFERROR(T760,-1E+99)&gt;=IFERROR(AE760,-1E+99),MAX($D$16,IFERROR(L760,MAX($D$16,POWER((ABS(K760)^2)/($I$5*MAX(F760,0.1)^2),1/3)))),MAX($D$16,IFERROR(W760,MAX($D$16,POWER((ABS(K760)^2)/($I$5*MAX(F760,0.1)^2),1/3))))),IF(IFERROR(V760,0)=1,MAX($D$16,IFERROR(L760,MAX($D$16,POWER((ABS(K760)^2)/($I$5*MAX(F760,0.1)^2),1/3)))),IF(IFERROR(AG760,0)=1,MAX($D$16,IFERROR(W760,MAX($D$16,POWER((ABS(K760)^2)/($I$5*MAX(F760,0.1)^2),1/3)))),MAX($D$16,POWER((ABS(K760)^2)/($I$5*MAX(F760,0.1)^2),1/3))))))),MAX($D$16,POWER((ABS(K760)^2)/($I$5*MAX(F760,0.1)^2),1/3)))</f>
        <v>2.1389677043987478</v>
      </c>
      <c r="AI760">
        <f t="shared" ca="1" si="362"/>
        <v>634.35246770439869</v>
      </c>
      <c r="AJ760">
        <f t="shared" ca="1" si="363"/>
        <v>635.42195155659806</v>
      </c>
      <c r="AM760">
        <v>0</v>
      </c>
      <c r="AN760">
        <v>0</v>
      </c>
      <c r="AO760">
        <f t="shared" si="364"/>
        <v>0</v>
      </c>
      <c r="AP760">
        <f t="shared" si="373"/>
        <v>0</v>
      </c>
      <c r="AQ760">
        <f t="shared" ca="1" si="365"/>
        <v>1.0000000000000004</v>
      </c>
      <c r="AR760" t="str">
        <f t="shared" ca="1" si="366"/>
        <v>Supercritical</v>
      </c>
      <c r="AS760">
        <f t="shared" ca="1" si="367"/>
        <v>3.8141460404132466E-3</v>
      </c>
    </row>
    <row r="761" spans="1:45" x14ac:dyDescent="0.35">
      <c r="A761">
        <v>700</v>
      </c>
      <c r="B761">
        <v>698.99599999999998</v>
      </c>
      <c r="C761">
        <v>616111.24399999995</v>
      </c>
      <c r="D761">
        <v>3097303.8459999999</v>
      </c>
      <c r="E761">
        <v>632.21299999999997</v>
      </c>
      <c r="F761">
        <v>5.2</v>
      </c>
      <c r="G761">
        <v>0</v>
      </c>
      <c r="H761" t="s">
        <v>154</v>
      </c>
      <c r="I761">
        <v>2.7E-2</v>
      </c>
      <c r="J761">
        <f t="shared" si="368"/>
        <v>1</v>
      </c>
      <c r="K761">
        <f t="shared" ca="1" si="369"/>
        <v>50.95</v>
      </c>
      <c r="L761">
        <f t="shared" ca="1" si="370"/>
        <v>2.1389677043987478</v>
      </c>
      <c r="M761">
        <f t="shared" ca="1" si="343"/>
        <v>11.122632062873489</v>
      </c>
      <c r="N761">
        <f t="shared" ca="1" si="344"/>
        <v>1.1735290000551568</v>
      </c>
      <c r="O761">
        <f t="shared" ca="1" si="345"/>
        <v>4.5807502857230418</v>
      </c>
      <c r="P761">
        <f t="shared" ca="1" si="346"/>
        <v>634.3519677043987</v>
      </c>
      <c r="Q761">
        <f t="shared" ca="1" si="347"/>
        <v>635.42145155659807</v>
      </c>
      <c r="R761">
        <f t="shared" ca="1" si="348"/>
        <v>3.8141460404132466E-3</v>
      </c>
      <c r="S761">
        <f t="shared" ca="1" si="349"/>
        <v>1.0000000000000004</v>
      </c>
      <c r="T761">
        <f t="shared" ca="1" si="350"/>
        <v>35.686426155594638</v>
      </c>
      <c r="U761">
        <f t="shared" ca="1" si="371"/>
        <v>-3.3622728137743252E-3</v>
      </c>
      <c r="V761">
        <f t="shared" ca="1" si="372"/>
        <v>1</v>
      </c>
      <c r="W761">
        <f t="shared" ca="1" si="351"/>
        <v>1.7069123395055099</v>
      </c>
      <c r="X761">
        <f t="shared" ca="1" si="352"/>
        <v>8.8759441654286526</v>
      </c>
      <c r="Y761">
        <f t="shared" ca="1" si="353"/>
        <v>1.0304300930405896</v>
      </c>
      <c r="Z761">
        <f t="shared" ca="1" si="354"/>
        <v>5.7402343965217399</v>
      </c>
      <c r="AA761">
        <f t="shared" ca="1" si="355"/>
        <v>633.91991233950546</v>
      </c>
      <c r="AB761">
        <f t="shared" ca="1" si="356"/>
        <v>635.5993359341544</v>
      </c>
      <c r="AC761">
        <f t="shared" ca="1" si="357"/>
        <v>7.1233408695258607E-3</v>
      </c>
      <c r="AD761">
        <f t="shared" ca="1" si="358"/>
        <v>1.4027798343055378</v>
      </c>
      <c r="AE761">
        <f t="shared" ca="1" si="359"/>
        <v>37.38816942278018</v>
      </c>
      <c r="AF761">
        <f t="shared" ca="1" si="360"/>
        <v>6.6989149312348673E-3</v>
      </c>
      <c r="AG761">
        <f t="shared" ca="1" si="361"/>
        <v>0</v>
      </c>
      <c r="AH761">
        <f ca="1">IFERROR(IF(V32="Supercritical",MAX($D$16,IFERROR(L761,MAX($D$16,POWER((ABS(K761)^2)/($I$5*MAX(F761,0.1)^2),1/3)))),IF(V32="Subcritical",MAX($D$16,IFERROR(W761,MAX($D$16,POWER((ABS(K761)^2)/($I$5*MAX(F761,0.1)^2),1/3)))),IF(AND(IFERROR(V761,0)=1,IFERROR(AG761,0)=1),IF(IFERROR(T761,-1E+99)&gt;=IFERROR(AE761,-1E+99),MAX($D$16,IFERROR(L761,MAX($D$16,POWER((ABS(K761)^2)/($I$5*MAX(F761,0.1)^2),1/3)))),MAX($D$16,IFERROR(W761,MAX($D$16,POWER((ABS(K761)^2)/($I$5*MAX(F761,0.1)^2),1/3))))),IF(IFERROR(V761,0)=1,MAX($D$16,IFERROR(L761,MAX($D$16,POWER((ABS(K761)^2)/($I$5*MAX(F761,0.1)^2),1/3)))),IF(IFERROR(AG761,0)=1,MAX($D$16,IFERROR(W761,MAX($D$16,POWER((ABS(K761)^2)/($I$5*MAX(F761,0.1)^2),1/3)))),MAX($D$16,POWER((ABS(K761)^2)/($I$5*MAX(F761,0.1)^2),1/3))))))),MAX($D$16,POWER((ABS(K761)^2)/($I$5*MAX(F761,0.1)^2),1/3)))</f>
        <v>2.1389677043987478</v>
      </c>
      <c r="AI761">
        <f t="shared" ca="1" si="362"/>
        <v>634.3519677043987</v>
      </c>
      <c r="AJ761">
        <f t="shared" ca="1" si="363"/>
        <v>635.42145155659807</v>
      </c>
      <c r="AM761">
        <v>0</v>
      </c>
      <c r="AN761">
        <v>0</v>
      </c>
      <c r="AO761">
        <f t="shared" si="364"/>
        <v>0</v>
      </c>
      <c r="AP761">
        <f t="shared" si="373"/>
        <v>0</v>
      </c>
      <c r="AQ761">
        <f t="shared" ca="1" si="365"/>
        <v>1.0000000000000004</v>
      </c>
      <c r="AR761" t="str">
        <f t="shared" ca="1" si="366"/>
        <v>Supercritical</v>
      </c>
      <c r="AS761">
        <f t="shared" ca="1" si="367"/>
        <v>3.8141460404132466E-3</v>
      </c>
    </row>
    <row r="762" spans="1:45" x14ac:dyDescent="0.35">
      <c r="A762">
        <v>701</v>
      </c>
      <c r="B762">
        <v>699.99599999999998</v>
      </c>
      <c r="C762">
        <v>616110.77</v>
      </c>
      <c r="D762">
        <v>3097302.9649999999</v>
      </c>
      <c r="E762">
        <v>632.21249999999998</v>
      </c>
      <c r="F762">
        <v>5.2</v>
      </c>
      <c r="G762">
        <v>0</v>
      </c>
      <c r="H762" t="s">
        <v>154</v>
      </c>
      <c r="I762">
        <v>2.7E-2</v>
      </c>
      <c r="J762">
        <f t="shared" si="368"/>
        <v>1</v>
      </c>
      <c r="K762">
        <f t="shared" ca="1" si="369"/>
        <v>50.95</v>
      </c>
      <c r="L762">
        <f t="shared" ca="1" si="370"/>
        <v>2.1389677043987478</v>
      </c>
      <c r="M762">
        <f t="shared" ca="1" si="343"/>
        <v>11.122632062873489</v>
      </c>
      <c r="N762">
        <f t="shared" ca="1" si="344"/>
        <v>1.1735290000551568</v>
      </c>
      <c r="O762">
        <f t="shared" ca="1" si="345"/>
        <v>4.5807502857230418</v>
      </c>
      <c r="P762">
        <f t="shared" ca="1" si="346"/>
        <v>634.35146770439871</v>
      </c>
      <c r="Q762">
        <f t="shared" ca="1" si="347"/>
        <v>635.42095155659808</v>
      </c>
      <c r="R762">
        <f t="shared" ca="1" si="348"/>
        <v>3.8141460404132466E-3</v>
      </c>
      <c r="S762">
        <f t="shared" ca="1" si="349"/>
        <v>1.0000000000000004</v>
      </c>
      <c r="T762">
        <f t="shared" ca="1" si="350"/>
        <v>35.686426155594638</v>
      </c>
      <c r="U762">
        <f t="shared" ca="1" si="371"/>
        <v>-3.3622728137743252E-3</v>
      </c>
      <c r="V762">
        <f t="shared" ca="1" si="372"/>
        <v>1</v>
      </c>
      <c r="W762">
        <f t="shared" ca="1" si="351"/>
        <v>1.7069123395050836</v>
      </c>
      <c r="X762">
        <f t="shared" ca="1" si="352"/>
        <v>8.8759441654264357</v>
      </c>
      <c r="Y762">
        <f t="shared" ca="1" si="353"/>
        <v>1.0304300930404342</v>
      </c>
      <c r="Z762">
        <f t="shared" ca="1" si="354"/>
        <v>5.7402343965231744</v>
      </c>
      <c r="AA762">
        <f t="shared" ca="1" si="355"/>
        <v>633.91941233950502</v>
      </c>
      <c r="AB762">
        <f t="shared" ca="1" si="356"/>
        <v>635.59883593415475</v>
      </c>
      <c r="AC762">
        <f t="shared" ca="1" si="357"/>
        <v>7.1233408695308533E-3</v>
      </c>
      <c r="AD762">
        <f t="shared" ca="1" si="358"/>
        <v>1.4027798343060633</v>
      </c>
      <c r="AE762">
        <f t="shared" ca="1" si="359"/>
        <v>37.388169422783847</v>
      </c>
      <c r="AF762">
        <f t="shared" ca="1" si="360"/>
        <v>6.7632928357852506E-3</v>
      </c>
      <c r="AG762">
        <f t="shared" ca="1" si="361"/>
        <v>0</v>
      </c>
      <c r="AH762">
        <f ca="1">IFERROR(IF(V32="Supercritical",MAX($D$16,IFERROR(L762,MAX($D$16,POWER((ABS(K762)^2)/($I$5*MAX(F762,0.1)^2),1/3)))),IF(V32="Subcritical",MAX($D$16,IFERROR(W762,MAX($D$16,POWER((ABS(K762)^2)/($I$5*MAX(F762,0.1)^2),1/3)))),IF(AND(IFERROR(V762,0)=1,IFERROR(AG762,0)=1),IF(IFERROR(T762,-1E+99)&gt;=IFERROR(AE762,-1E+99),MAX($D$16,IFERROR(L762,MAX($D$16,POWER((ABS(K762)^2)/($I$5*MAX(F762,0.1)^2),1/3)))),MAX($D$16,IFERROR(W762,MAX($D$16,POWER((ABS(K762)^2)/($I$5*MAX(F762,0.1)^2),1/3))))),IF(IFERROR(V762,0)=1,MAX($D$16,IFERROR(L762,MAX($D$16,POWER((ABS(K762)^2)/($I$5*MAX(F762,0.1)^2),1/3)))),IF(IFERROR(AG762,0)=1,MAX($D$16,IFERROR(W762,MAX($D$16,POWER((ABS(K762)^2)/($I$5*MAX(F762,0.1)^2),1/3)))),MAX($D$16,POWER((ABS(K762)^2)/($I$5*MAX(F762,0.1)^2),1/3))))))),MAX($D$16,POWER((ABS(K762)^2)/($I$5*MAX(F762,0.1)^2),1/3)))</f>
        <v>2.1389677043987478</v>
      </c>
      <c r="AI762">
        <f t="shared" ca="1" si="362"/>
        <v>634.35146770439871</v>
      </c>
      <c r="AJ762">
        <f t="shared" ca="1" si="363"/>
        <v>635.42095155659808</v>
      </c>
      <c r="AM762">
        <v>0</v>
      </c>
      <c r="AN762">
        <v>0</v>
      </c>
      <c r="AO762">
        <f t="shared" si="364"/>
        <v>0</v>
      </c>
      <c r="AP762">
        <f t="shared" si="373"/>
        <v>0</v>
      </c>
      <c r="AQ762">
        <f t="shared" ca="1" si="365"/>
        <v>1.0000000000000004</v>
      </c>
      <c r="AR762" t="str">
        <f t="shared" ca="1" si="366"/>
        <v>Supercritical</v>
      </c>
      <c r="AS762">
        <f t="shared" ca="1" si="367"/>
        <v>3.8141460404132466E-3</v>
      </c>
    </row>
    <row r="763" spans="1:45" x14ac:dyDescent="0.35">
      <c r="A763">
        <v>702</v>
      </c>
      <c r="B763">
        <v>700.99599999999998</v>
      </c>
      <c r="C763">
        <v>616110.29599999997</v>
      </c>
      <c r="D763">
        <v>3097302.085</v>
      </c>
      <c r="E763">
        <v>632.21199999999999</v>
      </c>
      <c r="F763">
        <v>5.2</v>
      </c>
      <c r="G763">
        <v>0</v>
      </c>
      <c r="H763" t="s">
        <v>154</v>
      </c>
      <c r="I763">
        <v>0.05</v>
      </c>
      <c r="J763">
        <f t="shared" si="368"/>
        <v>1</v>
      </c>
      <c r="K763">
        <f t="shared" ca="1" si="369"/>
        <v>50.95</v>
      </c>
      <c r="L763">
        <f t="shared" ca="1" si="370"/>
        <v>2.1389677043987478</v>
      </c>
      <c r="M763">
        <f t="shared" ca="1" si="343"/>
        <v>11.122632062873489</v>
      </c>
      <c r="N763">
        <f t="shared" ca="1" si="344"/>
        <v>1.1735290000551568</v>
      </c>
      <c r="O763">
        <f t="shared" ca="1" si="345"/>
        <v>4.5807502857230418</v>
      </c>
      <c r="P763">
        <f t="shared" ca="1" si="346"/>
        <v>634.35096770439873</v>
      </c>
      <c r="Q763">
        <f t="shared" ca="1" si="347"/>
        <v>635.4204515565981</v>
      </c>
      <c r="R763">
        <f t="shared" ca="1" si="348"/>
        <v>3.8141460404132466E-3</v>
      </c>
      <c r="S763">
        <f t="shared" ca="1" si="349"/>
        <v>1.0000000000000004</v>
      </c>
      <c r="T763">
        <f t="shared" ca="1" si="350"/>
        <v>35.686426155594638</v>
      </c>
      <c r="U763">
        <f t="shared" ca="1" si="371"/>
        <v>-3.4032696947861041E-3</v>
      </c>
      <c r="V763">
        <f t="shared" ca="1" si="372"/>
        <v>1</v>
      </c>
      <c r="W763">
        <f t="shared" ca="1" si="351"/>
        <v>1.7069123395046915</v>
      </c>
      <c r="X763">
        <f t="shared" ca="1" si="352"/>
        <v>8.8759441654243965</v>
      </c>
      <c r="Y763">
        <f t="shared" ca="1" si="353"/>
        <v>1.0304300930402914</v>
      </c>
      <c r="Z763">
        <f t="shared" ca="1" si="354"/>
        <v>5.7402343965244924</v>
      </c>
      <c r="AA763">
        <f t="shared" ca="1" si="355"/>
        <v>633.91891233950469</v>
      </c>
      <c r="AB763">
        <f t="shared" ca="1" si="356"/>
        <v>635.59833593415522</v>
      </c>
      <c r="AC763">
        <f t="shared" ca="1" si="357"/>
        <v>7.1233408695354399E-3</v>
      </c>
      <c r="AD763">
        <f t="shared" ca="1" si="358"/>
        <v>1.402779834306547</v>
      </c>
      <c r="AE763">
        <f t="shared" ca="1" si="359"/>
        <v>37.388169422787215</v>
      </c>
      <c r="AF763">
        <f t="shared" ca="1" si="360"/>
        <v>6.84166593680402E-3</v>
      </c>
      <c r="AG763">
        <f t="shared" ca="1" si="361"/>
        <v>0</v>
      </c>
      <c r="AH763">
        <f ca="1">IFERROR(IF(V32="Supercritical",MAX($D$16,IFERROR(L763,MAX($D$16,POWER((ABS(K763)^2)/($I$5*MAX(F763,0.1)^2),1/3)))),IF(V32="Subcritical",MAX($D$16,IFERROR(W763,MAX($D$16,POWER((ABS(K763)^2)/($I$5*MAX(F763,0.1)^2),1/3)))),IF(AND(IFERROR(V763,0)=1,IFERROR(AG763,0)=1),IF(IFERROR(T763,-1E+99)&gt;=IFERROR(AE763,-1E+99),MAX($D$16,IFERROR(L763,MAX($D$16,POWER((ABS(K763)^2)/($I$5*MAX(F763,0.1)^2),1/3)))),MAX($D$16,IFERROR(W763,MAX($D$16,POWER((ABS(K763)^2)/($I$5*MAX(F763,0.1)^2),1/3))))),IF(IFERROR(V763,0)=1,MAX($D$16,IFERROR(L763,MAX($D$16,POWER((ABS(K763)^2)/($I$5*MAX(F763,0.1)^2),1/3)))),IF(IFERROR(AG763,0)=1,MAX($D$16,IFERROR(W763,MAX($D$16,POWER((ABS(K763)^2)/($I$5*MAX(F763,0.1)^2),1/3)))),MAX($D$16,POWER((ABS(K763)^2)/($I$5*MAX(F763,0.1)^2),1/3))))))),MAX($D$16,POWER((ABS(K763)^2)/($I$5*MAX(F763,0.1)^2),1/3)))</f>
        <v>2.1389677043987478</v>
      </c>
      <c r="AI763">
        <f t="shared" ca="1" si="362"/>
        <v>634.35096770439873</v>
      </c>
      <c r="AJ763">
        <f t="shared" ca="1" si="363"/>
        <v>635.4204515565981</v>
      </c>
      <c r="AM763">
        <v>0</v>
      </c>
      <c r="AN763">
        <v>0</v>
      </c>
      <c r="AO763">
        <f t="shared" si="364"/>
        <v>0</v>
      </c>
      <c r="AP763">
        <f t="shared" si="373"/>
        <v>0</v>
      </c>
      <c r="AQ763">
        <f t="shared" ca="1" si="365"/>
        <v>1.0000000000000004</v>
      </c>
      <c r="AR763" t="str">
        <f t="shared" ca="1" si="366"/>
        <v>Supercritical</v>
      </c>
      <c r="AS763">
        <f t="shared" ca="1" si="367"/>
        <v>3.8141460404132466E-3</v>
      </c>
    </row>
    <row r="764" spans="1:45" x14ac:dyDescent="0.35">
      <c r="A764">
        <v>703</v>
      </c>
      <c r="B764">
        <v>701.99599999999998</v>
      </c>
      <c r="C764">
        <v>616109.821</v>
      </c>
      <c r="D764">
        <v>3097301.2050000001</v>
      </c>
      <c r="E764">
        <v>632.2115</v>
      </c>
      <c r="F764">
        <v>5.2</v>
      </c>
      <c r="G764">
        <v>0</v>
      </c>
      <c r="H764" t="s">
        <v>154</v>
      </c>
      <c r="I764">
        <v>7.8E-2</v>
      </c>
      <c r="J764">
        <f t="shared" si="368"/>
        <v>1</v>
      </c>
      <c r="K764">
        <f t="shared" ca="1" si="369"/>
        <v>50.95</v>
      </c>
      <c r="L764">
        <f t="shared" ca="1" si="370"/>
        <v>2.1389677043987478</v>
      </c>
      <c r="M764">
        <f t="shared" ca="1" si="343"/>
        <v>11.122632062873489</v>
      </c>
      <c r="N764">
        <f t="shared" ca="1" si="344"/>
        <v>1.1735290000551568</v>
      </c>
      <c r="O764">
        <f t="shared" ca="1" si="345"/>
        <v>4.5807502857230418</v>
      </c>
      <c r="P764">
        <f t="shared" ca="1" si="346"/>
        <v>634.35046770439874</v>
      </c>
      <c r="Q764">
        <f t="shared" ca="1" si="347"/>
        <v>635.41995155659811</v>
      </c>
      <c r="R764">
        <f t="shared" ca="1" si="348"/>
        <v>3.8141460404132466E-3</v>
      </c>
      <c r="S764">
        <f t="shared" ca="1" si="349"/>
        <v>1.0000000000000004</v>
      </c>
      <c r="T764">
        <f t="shared" ca="1" si="350"/>
        <v>35.686426155594638</v>
      </c>
      <c r="U764">
        <f t="shared" ca="1" si="371"/>
        <v>-3.4531789411857972E-3</v>
      </c>
      <c r="V764">
        <f t="shared" ca="1" si="372"/>
        <v>1</v>
      </c>
      <c r="W764">
        <f t="shared" ca="1" si="351"/>
        <v>1.7069123395043333</v>
      </c>
      <c r="X764">
        <f t="shared" ca="1" si="352"/>
        <v>8.8759441654225331</v>
      </c>
      <c r="Y764">
        <f t="shared" ca="1" si="353"/>
        <v>1.0304300930401606</v>
      </c>
      <c r="Z764">
        <f t="shared" ca="1" si="354"/>
        <v>5.7402343965256977</v>
      </c>
      <c r="AA764">
        <f t="shared" ca="1" si="355"/>
        <v>633.91841233950436</v>
      </c>
      <c r="AB764">
        <f t="shared" ca="1" si="356"/>
        <v>635.59783593415557</v>
      </c>
      <c r="AC764">
        <f t="shared" ca="1" si="357"/>
        <v>7.1233408695396379E-3</v>
      </c>
      <c r="AD764">
        <f t="shared" ca="1" si="358"/>
        <v>1.4027798343069884</v>
      </c>
      <c r="AE764">
        <f t="shared" ca="1" si="359"/>
        <v>37.388169422790291</v>
      </c>
      <c r="AF764">
        <f t="shared" ca="1" si="360"/>
        <v>6.6989149312348673E-3</v>
      </c>
      <c r="AG764">
        <f t="shared" ca="1" si="361"/>
        <v>0</v>
      </c>
      <c r="AH764">
        <f ca="1">IFERROR(IF(V32="Supercritical",MAX($D$16,IFERROR(L764,MAX($D$16,POWER((ABS(K764)^2)/($I$5*MAX(F764,0.1)^2),1/3)))),IF(V32="Subcritical",MAX($D$16,IFERROR(W764,MAX($D$16,POWER((ABS(K764)^2)/($I$5*MAX(F764,0.1)^2),1/3)))),IF(AND(IFERROR(V764,0)=1,IFERROR(AG764,0)=1),IF(IFERROR(T764,-1E+99)&gt;=IFERROR(AE764,-1E+99),MAX($D$16,IFERROR(L764,MAX($D$16,POWER((ABS(K764)^2)/($I$5*MAX(F764,0.1)^2),1/3)))),MAX($D$16,IFERROR(W764,MAX($D$16,POWER((ABS(K764)^2)/($I$5*MAX(F764,0.1)^2),1/3))))),IF(IFERROR(V764,0)=1,MAX($D$16,IFERROR(L764,MAX($D$16,POWER((ABS(K764)^2)/($I$5*MAX(F764,0.1)^2),1/3)))),IF(IFERROR(AG764,0)=1,MAX($D$16,IFERROR(W764,MAX($D$16,POWER((ABS(K764)^2)/($I$5*MAX(F764,0.1)^2),1/3)))),MAX($D$16,POWER((ABS(K764)^2)/($I$5*MAX(F764,0.1)^2),1/3))))))),MAX($D$16,POWER((ABS(K764)^2)/($I$5*MAX(F764,0.1)^2),1/3)))</f>
        <v>2.1389677043987478</v>
      </c>
      <c r="AI764">
        <f t="shared" ca="1" si="362"/>
        <v>634.35046770439874</v>
      </c>
      <c r="AJ764">
        <f t="shared" ca="1" si="363"/>
        <v>635.41995155659811</v>
      </c>
      <c r="AM764">
        <v>0</v>
      </c>
      <c r="AN764">
        <v>0</v>
      </c>
      <c r="AO764">
        <f t="shared" si="364"/>
        <v>0</v>
      </c>
      <c r="AP764">
        <f t="shared" si="373"/>
        <v>0</v>
      </c>
      <c r="AQ764">
        <f t="shared" ca="1" si="365"/>
        <v>1.0000000000000004</v>
      </c>
      <c r="AR764" t="str">
        <f t="shared" ca="1" si="366"/>
        <v>Supercritical</v>
      </c>
      <c r="AS764">
        <f t="shared" ca="1" si="367"/>
        <v>3.8141460404132466E-3</v>
      </c>
    </row>
    <row r="765" spans="1:45" x14ac:dyDescent="0.35">
      <c r="A765">
        <v>704</v>
      </c>
      <c r="B765">
        <v>702.99599999999998</v>
      </c>
      <c r="C765">
        <v>616109.34699999995</v>
      </c>
      <c r="D765">
        <v>3097300.324</v>
      </c>
      <c r="E765">
        <v>632.21100000000001</v>
      </c>
      <c r="F765">
        <v>5.2</v>
      </c>
      <c r="G765">
        <v>0</v>
      </c>
      <c r="H765" t="s">
        <v>154</v>
      </c>
      <c r="I765">
        <v>2.7E-2</v>
      </c>
      <c r="J765">
        <f t="shared" si="368"/>
        <v>1</v>
      </c>
      <c r="K765">
        <f t="shared" ca="1" si="369"/>
        <v>50.95</v>
      </c>
      <c r="L765">
        <f t="shared" ca="1" si="370"/>
        <v>2.1389677043987478</v>
      </c>
      <c r="M765">
        <f t="shared" ca="1" si="343"/>
        <v>11.122632062873489</v>
      </c>
      <c r="N765">
        <f t="shared" ca="1" si="344"/>
        <v>1.1735290000551568</v>
      </c>
      <c r="O765">
        <f t="shared" ca="1" si="345"/>
        <v>4.5807502857230418</v>
      </c>
      <c r="P765">
        <f t="shared" ca="1" si="346"/>
        <v>634.34996770439875</v>
      </c>
      <c r="Q765">
        <f t="shared" ca="1" si="347"/>
        <v>635.41945155659812</v>
      </c>
      <c r="R765">
        <f t="shared" ca="1" si="348"/>
        <v>3.8141460404132466E-3</v>
      </c>
      <c r="S765">
        <f t="shared" ca="1" si="349"/>
        <v>1.0000000000000004</v>
      </c>
      <c r="T765">
        <f t="shared" ca="1" si="350"/>
        <v>35.686426155594638</v>
      </c>
      <c r="U765">
        <f t="shared" ca="1" si="371"/>
        <v>-3.3622728137743252E-3</v>
      </c>
      <c r="V765">
        <f t="shared" ca="1" si="372"/>
        <v>1</v>
      </c>
      <c r="W765">
        <f t="shared" ca="1" si="351"/>
        <v>1.7069123395040093</v>
      </c>
      <c r="X765">
        <f t="shared" ca="1" si="352"/>
        <v>8.8759441654208491</v>
      </c>
      <c r="Y765">
        <f t="shared" ca="1" si="353"/>
        <v>1.0304300930400427</v>
      </c>
      <c r="Z765">
        <f t="shared" ca="1" si="354"/>
        <v>5.7402343965267866</v>
      </c>
      <c r="AA765">
        <f t="shared" ca="1" si="355"/>
        <v>633.91791233950403</v>
      </c>
      <c r="AB765">
        <f t="shared" ca="1" si="356"/>
        <v>635.59733593415592</v>
      </c>
      <c r="AC765">
        <f t="shared" ca="1" si="357"/>
        <v>7.12334086954343E-3</v>
      </c>
      <c r="AD765">
        <f t="shared" ca="1" si="358"/>
        <v>1.4027798343073876</v>
      </c>
      <c r="AE765">
        <f t="shared" ca="1" si="359"/>
        <v>37.388169422793077</v>
      </c>
      <c r="AF765">
        <f t="shared" ca="1" si="360"/>
        <v>6.6989149312348673E-3</v>
      </c>
      <c r="AG765">
        <f t="shared" ca="1" si="361"/>
        <v>0</v>
      </c>
      <c r="AH765">
        <f ca="1">IFERROR(IF(V32="Supercritical",MAX($D$16,IFERROR(L765,MAX($D$16,POWER((ABS(K765)^2)/($I$5*MAX(F765,0.1)^2),1/3)))),IF(V32="Subcritical",MAX($D$16,IFERROR(W765,MAX($D$16,POWER((ABS(K765)^2)/($I$5*MAX(F765,0.1)^2),1/3)))),IF(AND(IFERROR(V765,0)=1,IFERROR(AG765,0)=1),IF(IFERROR(T765,-1E+99)&gt;=IFERROR(AE765,-1E+99),MAX($D$16,IFERROR(L765,MAX($D$16,POWER((ABS(K765)^2)/($I$5*MAX(F765,0.1)^2),1/3)))),MAX($D$16,IFERROR(W765,MAX($D$16,POWER((ABS(K765)^2)/($I$5*MAX(F765,0.1)^2),1/3))))),IF(IFERROR(V765,0)=1,MAX($D$16,IFERROR(L765,MAX($D$16,POWER((ABS(K765)^2)/($I$5*MAX(F765,0.1)^2),1/3)))),IF(IFERROR(AG765,0)=1,MAX($D$16,IFERROR(W765,MAX($D$16,POWER((ABS(K765)^2)/($I$5*MAX(F765,0.1)^2),1/3)))),MAX($D$16,POWER((ABS(K765)^2)/($I$5*MAX(F765,0.1)^2),1/3))))))),MAX($D$16,POWER((ABS(K765)^2)/($I$5*MAX(F765,0.1)^2),1/3)))</f>
        <v>2.1389677043987478</v>
      </c>
      <c r="AI765">
        <f t="shared" ca="1" si="362"/>
        <v>634.34996770439875</v>
      </c>
      <c r="AJ765">
        <f t="shared" ca="1" si="363"/>
        <v>635.41945155659812</v>
      </c>
      <c r="AM765">
        <v>0</v>
      </c>
      <c r="AN765">
        <v>0</v>
      </c>
      <c r="AO765">
        <f t="shared" si="364"/>
        <v>0</v>
      </c>
      <c r="AP765">
        <f t="shared" si="373"/>
        <v>0</v>
      </c>
      <c r="AQ765">
        <f t="shared" ca="1" si="365"/>
        <v>1.0000000000000004</v>
      </c>
      <c r="AR765" t="str">
        <f t="shared" ca="1" si="366"/>
        <v>Supercritical</v>
      </c>
      <c r="AS765">
        <f t="shared" ca="1" si="367"/>
        <v>3.8141460404132466E-3</v>
      </c>
    </row>
    <row r="766" spans="1:45" x14ac:dyDescent="0.35">
      <c r="A766">
        <v>705</v>
      </c>
      <c r="B766">
        <v>703.99599999999998</v>
      </c>
      <c r="C766">
        <v>616108.87300000002</v>
      </c>
      <c r="D766">
        <v>3097299.4440000001</v>
      </c>
      <c r="E766">
        <v>632.21050000000002</v>
      </c>
      <c r="F766">
        <v>5.2</v>
      </c>
      <c r="G766">
        <v>0</v>
      </c>
      <c r="H766" t="s">
        <v>154</v>
      </c>
      <c r="I766">
        <v>2.7E-2</v>
      </c>
      <c r="J766">
        <f t="shared" si="368"/>
        <v>1</v>
      </c>
      <c r="K766">
        <f t="shared" ca="1" si="369"/>
        <v>50.95</v>
      </c>
      <c r="L766">
        <f t="shared" ca="1" si="370"/>
        <v>2.1389677043987478</v>
      </c>
      <c r="M766">
        <f t="shared" ref="M766:M829" ca="1" si="374">((F766)+(G766)*(L766))*(L766)</f>
        <v>11.122632062873489</v>
      </c>
      <c r="N766">
        <f t="shared" ref="N766:N829" ca="1" si="375">(((F766)+(G766)*(L766))*(L766))/MAX((F766)+2*(L766)*SQRT(1+(G766)^2),0.000001)</f>
        <v>1.1735290000551568</v>
      </c>
      <c r="O766">
        <f t="shared" ref="O766:O829" ca="1" si="376">ABS(K766)/MAX(((F766)+(G766)*(L766))*(L766),0.000001)</f>
        <v>4.5807502857230418</v>
      </c>
      <c r="P766">
        <f t="shared" ref="P766:P829" ca="1" si="377">E766+L766</f>
        <v>634.34946770439876</v>
      </c>
      <c r="Q766">
        <f t="shared" ref="Q766:Q829" ca="1" si="378">P766+((ABS(K766)/MAX(((F766)+(G766)*(L766))*(L766),0.000001))^2)/(2*$I$5)</f>
        <v>635.41895155659813</v>
      </c>
      <c r="R766">
        <f t="shared" ref="R766:R829" ca="1" si="379">((ABS(K766)*$D$6)/(MAX(((F766)+(G766)*(L766))*(L766),0.000001)*MAX(((((F766)+(G766)*(L766))*(L766))/MAX((F766)+2*(L766)*SQRT(1+(G766)^2),0.000001))^(2/3),0.000001)))^2</f>
        <v>3.8141460404132466E-3</v>
      </c>
      <c r="S766">
        <f t="shared" ref="S766:S829" ca="1" si="380">ABS(ABS(K766)/MAX(((F766)+(G766)*(L766))*(L766),0.000001))/SQRT($I$5*MAX((((F766)+(G766)*(L766))*(L766))/MAX((F766)+2*(G766)*(L766),0.000001),0.000001))</f>
        <v>1.0000000000000004</v>
      </c>
      <c r="T766">
        <f t="shared" ref="T766:T829" ca="1" si="381">((F766)*(L766)^2)/2+(G766)*(L766)^3/3+(ABS(K766)^2)/($I$5*MAX(((F766)+(G766)*(L766))*(L766),0.000001))</f>
        <v>35.686426155594638</v>
      </c>
      <c r="U766">
        <f t="shared" ca="1" si="371"/>
        <v>-3.3622728137743252E-3</v>
      </c>
      <c r="V766">
        <f t="shared" ca="1" si="372"/>
        <v>1</v>
      </c>
      <c r="W766">
        <f t="shared" ref="W766:W829" ca="1" si="382">IF($D$20=0,IFERROR(W767,MAX($D$16,POWER((ABS(K766)^2)/($I$5*MAX(F766,0.1)^2),1/3))),IF(IFERROR(AG767,0)=0,IFERROR(W767,MAX($D$16,POWER((ABS(K766)^2)/($I$5*MAX(F766,0.1)^2),1/3))),IF(OR(IFERROR(W766,0)=0,IFERROR(AD767,0)&gt;1),MAX($D$16,POWER((ABS(K766)^2)/($I$5*MAX(F766,0.1)^2),1/3)),IF(IFERROR(AF766,0)&gt;0,MAX($D$16,IFERROR(W766,0)+((IFERROR(AF766,0))*$D$18*IF((IFERROR(AD766,0))&lt;1,1,-1))),IF(IFERROR(AF766,0)&lt;0,IF(ABS((MAX($D$16,POWER((ABS(K766)^2)/($I$5*MAX(F766,0.1)^2),1/3)))-IFERROR(W766,0))&gt;$D$19,MAX($D$16,IF((MAX($D$16,POWER((ABS(K766)^2)/($I$5*MAX(F766,0.1)^2),1/3)))&gt;IFERROR(W766,0),MIN((MAX($D$16,POWER((ABS(K766)^2)/($I$5*MAX(F766,0.1)^2),1/3))),IFERROR(W766,0)+(MIN(ABS(IFERROR(AF766,0))*$D$18,ABS((MAX($D$16,POWER((ABS(K766)^2)/($I$5*MAX(F766,0.1)^2),1/3)))-IFERROR(W766,0))))),MAX((MAX($D$16,POWER((ABS(K766)^2)/($I$5*MAX(F766,0.1)^2),1/3))),IFERROR(W766,0)-(MIN(ABS(IFERROR(AF766,0))*$D$18,ABS((MAX($D$16,POWER((ABS(K766)^2)/($I$5*MAX(F766,0.1)^2),1/3)))-IFERROR(W766,0))))))),MAX($D$16,POWER((ABS(K766)^2)/($I$5*MAX(F766,0.1)^2),1/3))),MAX($D$16,IFERROR(W766,0)))))))</f>
        <v>1.7069123395037025</v>
      </c>
      <c r="X766">
        <f t="shared" ref="X766:X829" ca="1" si="383">((F766)+(G766)*(W766))*(W766)</f>
        <v>8.8759441654192539</v>
      </c>
      <c r="Y766">
        <f t="shared" ref="Y766:Y829" ca="1" si="384">(((F766)+(G766)*(W766))*(W766))/MAX((F766)+2*(W766)*SQRT(1+(G766)^2),0.000001)</f>
        <v>1.030430093039931</v>
      </c>
      <c r="Z766">
        <f t="shared" ref="Z766:Z829" ca="1" si="385">ABS(K766)/MAX(((F766)+(G766)*(W766))*(W766),0.000001)</f>
        <v>5.7402343965278186</v>
      </c>
      <c r="AA766">
        <f t="shared" ref="AA766:AA829" ca="1" si="386">E766+W766</f>
        <v>633.9174123395037</v>
      </c>
      <c r="AB766">
        <f t="shared" ref="AB766:AB829" ca="1" si="387">AA766+((ABS(K766)/MAX(((F766)+(G766)*(W766))*(W766),0.000001))^2)/(2*$I$5)</f>
        <v>635.59683593415616</v>
      </c>
      <c r="AC766">
        <f t="shared" ref="AC766:AC829" ca="1" si="388">((ABS(K766)*$D$6)/(MAX(((F766)+(G766)*(W766))*(W766),0.000001)*MAX(((((F766)+(G766)*(W766))*(W766))/MAX((F766)+2*(W766)*SQRT(1+(G766)^2),0.000001))^(2/3),0.000001)))^2</f>
        <v>7.1233408695470192E-3</v>
      </c>
      <c r="AD766">
        <f t="shared" ref="AD766:AD829" ca="1" si="389">ABS(ABS(K766)/MAX(((F766)+(G766)*(W766))*(W766),0.000001))/SQRT($I$5*MAX((((F766)+(G766)*(W766))*(W766))/MAX((F766)+2*(G766)*(W766),0.000001),0.000001))</f>
        <v>1.402779834307766</v>
      </c>
      <c r="AE766">
        <f t="shared" ref="AE766:AE829" ca="1" si="390">((F766)*(W766)^2)/2+(G766)*(W766)^3/3+(ABS(K766)^2)/($I$5*MAX(((F766)+(G766)*(W766))*(W766),0.000001))</f>
        <v>37.388169422795713</v>
      </c>
      <c r="AF766">
        <f t="shared" ref="AF766:AF829" ca="1" si="391">IF($D$20=0,0,IFERROR(AB767+(((AC766+AC767)/2)*J767)+(IF(Z766&gt;Z767,$D$8*((Z766^2-Z767^2)/(2*$I$5)),$D$9*((Z767^2-Z766^2)/(2*$I$5)))+($D$10*(ABS(I767)/90)*(MAX(Z766^2,Z767^2)/(2*$I$5))))-AB766,0))</f>
        <v>6.84166593680402E-3</v>
      </c>
      <c r="AG766">
        <f t="shared" ref="AG766:AG829" ca="1" si="392">IF($D$20=0,1,IFERROR(IF(ROUND(AD766,3)=1,1,IF(AND(ABS(AF766)&lt;$D$19,AD766&lt;1),1,0)),0))</f>
        <v>0</v>
      </c>
      <c r="AH766">
        <f ca="1">IFERROR(IF(V32="Supercritical",MAX($D$16,IFERROR(L766,MAX($D$16,POWER((ABS(K766)^2)/($I$5*MAX(F766,0.1)^2),1/3)))),IF(V32="Subcritical",MAX($D$16,IFERROR(W766,MAX($D$16,POWER((ABS(K766)^2)/($I$5*MAX(F766,0.1)^2),1/3)))),IF(AND(IFERROR(V766,0)=1,IFERROR(AG766,0)=1),IF(IFERROR(T766,-1E+99)&gt;=IFERROR(AE766,-1E+99),MAX($D$16,IFERROR(L766,MAX($D$16,POWER((ABS(K766)^2)/($I$5*MAX(F766,0.1)^2),1/3)))),MAX($D$16,IFERROR(W766,MAX($D$16,POWER((ABS(K766)^2)/($I$5*MAX(F766,0.1)^2),1/3))))),IF(IFERROR(V766,0)=1,MAX($D$16,IFERROR(L766,MAX($D$16,POWER((ABS(K766)^2)/($I$5*MAX(F766,0.1)^2),1/3)))),IF(IFERROR(AG766,0)=1,MAX($D$16,IFERROR(W766,MAX($D$16,POWER((ABS(K766)^2)/($I$5*MAX(F766,0.1)^2),1/3)))),MAX($D$16,POWER((ABS(K766)^2)/($I$5*MAX(F766,0.1)^2),1/3))))))),MAX($D$16,POWER((ABS(K766)^2)/($I$5*MAX(F766,0.1)^2),1/3)))</f>
        <v>2.1389677043987478</v>
      </c>
      <c r="AI766">
        <f t="shared" ref="AI766:AI829" ca="1" si="393">E766+AH766</f>
        <v>634.34946770439876</v>
      </c>
      <c r="AJ766">
        <f t="shared" ref="AJ766:AJ829" ca="1" si="394">AI766+((ABS(K766)/MAX(((F766)+(G766)*(AH766))*(AH766),0.000001))^2)/(2*$I$5)</f>
        <v>635.41895155659813</v>
      </c>
      <c r="AM766">
        <v>0</v>
      </c>
      <c r="AN766">
        <v>0</v>
      </c>
      <c r="AO766">
        <f t="shared" ref="AO766:AO829" si="395">AM766+AN766</f>
        <v>0</v>
      </c>
      <c r="AP766">
        <f t="shared" si="373"/>
        <v>0</v>
      </c>
      <c r="AQ766">
        <f t="shared" ref="AQ766:AQ829" ca="1" si="396">ABS(ABS(K766)/MAX(((F766)+(G766)*(AH766))*(AH766),0.000001))/SQRT($I$5*MAX((((F766)+(G766)*(AH766))*(AH766))/MAX((F766)+2*(G766)*(AH766),0.000001),0.000001))</f>
        <v>1.0000000000000004</v>
      </c>
      <c r="AR766" t="str">
        <f t="shared" ref="AR766:AR829" ca="1" si="397">IF(AQ766&lt;1,"Subcritical","Supercritical")</f>
        <v>Supercritical</v>
      </c>
      <c r="AS766">
        <f t="shared" ref="AS766:AS829" ca="1" si="398">((ABS(K766)*$D$6)/(MAX(((F766)+(G766)*(AH766))*(AH766),0.000001)*MAX(((((F766)+(G766)*(AH766))*(AH766))/MAX((F766)+2*(AH766)*SQRT(1+(G766)^2),0.000001))^(2/3),0.000001)))^2</f>
        <v>3.8141460404132466E-3</v>
      </c>
    </row>
    <row r="767" spans="1:45" x14ac:dyDescent="0.35">
      <c r="A767">
        <v>706</v>
      </c>
      <c r="B767">
        <v>704.99599999999998</v>
      </c>
      <c r="C767">
        <v>616108.39899999998</v>
      </c>
      <c r="D767">
        <v>3097298.5630000001</v>
      </c>
      <c r="E767">
        <v>632.21</v>
      </c>
      <c r="F767">
        <v>5.2</v>
      </c>
      <c r="G767">
        <v>0</v>
      </c>
      <c r="H767" t="s">
        <v>154</v>
      </c>
      <c r="I767">
        <v>7.8E-2</v>
      </c>
      <c r="J767">
        <f t="shared" ref="J767:J830" si="399">B767-B766</f>
        <v>1</v>
      </c>
      <c r="K767">
        <f t="shared" ref="K767:K830" ca="1" si="400">MAX(0,K766-AO766)</f>
        <v>50.95</v>
      </c>
      <c r="L767">
        <f t="shared" ref="L767:L830" ca="1" si="401">IF($D$20=0,IFERROR(L766,MAX($D$16,POWER((ABS(K767)^2)/($I$5*MAX(F767,0.1)^2),1/3))),IF(IFERROR(V766,0)=0,IFERROR(L766,MAX($D$16,POWER((ABS(K767)^2)/($I$5*MAX(F767,0.1)^2),1/3))),IF(OR(IFERROR(L767,0)=0,IFERROR(S766,0)&lt;1,IFERROR(S767,0)&lt;1),MAX($D$16,POWER((ABS(K767)^2)/($I$5*MAX(F767,0.1)^2),1/3)),IF(IFERROR(U767,0)&gt;0,MAX($D$16,IFERROR(L767,0)+((IFERROR(U767,0))*$D$18*IF((IFERROR(S767,0))&lt;1,1,-1))),IF(IFERROR(U767,0)&lt;0,IF(ABS((MAX($D$16,POWER((ABS(K767)^2)/($I$5*MAX(F767,0.1)^2),1/3)))-IFERROR(L767,0))&gt;$D$19,MAX($D$16,IF((MAX($D$16,POWER((ABS(K767)^2)/($I$5*MAX(F767,0.1)^2),1/3)))&gt;IFERROR(L767,0),MIN((MAX($D$16,POWER((ABS(K767)^2)/($I$5*MAX(F767,0.1)^2),1/3))),IFERROR(L767,0)+(MIN(ABS(IFERROR(U767,0))*$D$18,ABS((MAX($D$16,POWER((ABS(K767)^2)/($I$5*MAX(F767,0.1)^2),1/3)))-IFERROR(L767,0))))),MAX((MAX($D$16,POWER((ABS(K767)^2)/($I$5*MAX(F767,0.1)^2),1/3))),IFERROR(L767,0)-(MIN(ABS(IFERROR(U767,0))*$D$18,ABS((MAX($D$16,POWER((ABS(K767)^2)/($I$5*MAX(F767,0.1)^2),1/3)))-IFERROR(L767,0))))))),MAX($D$16,POWER((ABS(K767)^2)/($I$5*MAX(F767,0.1)^2),1/3))),MAX($D$16,IFERROR(L767,0)))))))</f>
        <v>2.1389677043987478</v>
      </c>
      <c r="M767">
        <f t="shared" ca="1" si="374"/>
        <v>11.122632062873489</v>
      </c>
      <c r="N767">
        <f t="shared" ca="1" si="375"/>
        <v>1.1735290000551568</v>
      </c>
      <c r="O767">
        <f t="shared" ca="1" si="376"/>
        <v>4.5807502857230418</v>
      </c>
      <c r="P767">
        <f t="shared" ca="1" si="377"/>
        <v>634.34896770439877</v>
      </c>
      <c r="Q767">
        <f t="shared" ca="1" si="378"/>
        <v>635.41845155659814</v>
      </c>
      <c r="R767">
        <f t="shared" ca="1" si="379"/>
        <v>3.8141460404132466E-3</v>
      </c>
      <c r="S767">
        <f t="shared" ca="1" si="380"/>
        <v>1.0000000000000004</v>
      </c>
      <c r="T767">
        <f t="shared" ca="1" si="381"/>
        <v>35.686426155594638</v>
      </c>
      <c r="U767">
        <f t="shared" ref="U767:U830" ca="1" si="402">IF($D$20=0,0,IFERROR(Q766-(((R766+R767)/2)*J767)-(IF(O766&gt;O767,$D$8*((O766^2-O767^2)/(2*$I$5)),$D$9*((O767^2-O766^2)/(2*$I$5)))+($D$10*(ABS(I767)/90)*(MAX(O766^2,O767^2)/(2*$I$5))))-Q767,0))</f>
        <v>-3.4531789411857972E-3</v>
      </c>
      <c r="V767">
        <f t="shared" ref="V767:V830" ca="1" si="403">IF($D$20=0,1,IFERROR(IF(ROUND(S767,3)=1,1,IF(AND(ABS(U767)&lt;$D$19,S767&gt;1),1,0)),0))</f>
        <v>1</v>
      </c>
      <c r="W767">
        <f t="shared" ca="1" si="382"/>
        <v>1.7069123395033956</v>
      </c>
      <c r="X767">
        <f t="shared" ca="1" si="383"/>
        <v>8.875944165417657</v>
      </c>
      <c r="Y767">
        <f t="shared" ca="1" si="384"/>
        <v>1.0304300930398189</v>
      </c>
      <c r="Z767">
        <f t="shared" ca="1" si="385"/>
        <v>5.7402343965288516</v>
      </c>
      <c r="AA767">
        <f t="shared" ca="1" si="386"/>
        <v>633.91691233950348</v>
      </c>
      <c r="AB767">
        <f t="shared" ca="1" si="387"/>
        <v>635.59633593415651</v>
      </c>
      <c r="AC767">
        <f t="shared" ca="1" si="388"/>
        <v>7.1233408695506144E-3</v>
      </c>
      <c r="AD767">
        <f t="shared" ca="1" si="389"/>
        <v>1.4027798343081446</v>
      </c>
      <c r="AE767">
        <f t="shared" ca="1" si="390"/>
        <v>37.388169422798356</v>
      </c>
      <c r="AF767">
        <f t="shared" ca="1" si="391"/>
        <v>6.7632928357852506E-3</v>
      </c>
      <c r="AG767">
        <f t="shared" ca="1" si="392"/>
        <v>0</v>
      </c>
      <c r="AH767">
        <f ca="1">IFERROR(IF(V32="Supercritical",MAX($D$16,IFERROR(L767,MAX($D$16,POWER((ABS(K767)^2)/($I$5*MAX(F767,0.1)^2),1/3)))),IF(V32="Subcritical",MAX($D$16,IFERROR(W767,MAX($D$16,POWER((ABS(K767)^2)/($I$5*MAX(F767,0.1)^2),1/3)))),IF(AND(IFERROR(V767,0)=1,IFERROR(AG767,0)=1),IF(IFERROR(T767,-1E+99)&gt;=IFERROR(AE767,-1E+99),MAX($D$16,IFERROR(L767,MAX($D$16,POWER((ABS(K767)^2)/($I$5*MAX(F767,0.1)^2),1/3)))),MAX($D$16,IFERROR(W767,MAX($D$16,POWER((ABS(K767)^2)/($I$5*MAX(F767,0.1)^2),1/3))))),IF(IFERROR(V767,0)=1,MAX($D$16,IFERROR(L767,MAX($D$16,POWER((ABS(K767)^2)/($I$5*MAX(F767,0.1)^2),1/3)))),IF(IFERROR(AG767,0)=1,MAX($D$16,IFERROR(W767,MAX($D$16,POWER((ABS(K767)^2)/($I$5*MAX(F767,0.1)^2),1/3)))),MAX($D$16,POWER((ABS(K767)^2)/($I$5*MAX(F767,0.1)^2),1/3))))))),MAX($D$16,POWER((ABS(K767)^2)/($I$5*MAX(F767,0.1)^2),1/3)))</f>
        <v>2.1389677043987478</v>
      </c>
      <c r="AI767">
        <f t="shared" ca="1" si="393"/>
        <v>634.34896770439877</v>
      </c>
      <c r="AJ767">
        <f t="shared" ca="1" si="394"/>
        <v>635.41845155659814</v>
      </c>
      <c r="AM767">
        <v>0</v>
      </c>
      <c r="AN767">
        <v>0</v>
      </c>
      <c r="AO767">
        <f t="shared" si="395"/>
        <v>0</v>
      </c>
      <c r="AP767">
        <f t="shared" ref="AP767:AP830" si="404">AP766+AO767</f>
        <v>0</v>
      </c>
      <c r="AQ767">
        <f t="shared" ca="1" si="396"/>
        <v>1.0000000000000004</v>
      </c>
      <c r="AR767" t="str">
        <f t="shared" ca="1" si="397"/>
        <v>Supercritical</v>
      </c>
      <c r="AS767">
        <f t="shared" ca="1" si="398"/>
        <v>3.8141460404132466E-3</v>
      </c>
    </row>
    <row r="768" spans="1:45" x14ac:dyDescent="0.35">
      <c r="A768">
        <v>707</v>
      </c>
      <c r="B768">
        <v>705.99599999999998</v>
      </c>
      <c r="C768">
        <v>616107.924</v>
      </c>
      <c r="D768">
        <v>3097297.6830000002</v>
      </c>
      <c r="E768">
        <v>632.20950000000005</v>
      </c>
      <c r="F768">
        <v>5.2</v>
      </c>
      <c r="G768">
        <v>0</v>
      </c>
      <c r="H768" t="s">
        <v>154</v>
      </c>
      <c r="I768">
        <v>0.05</v>
      </c>
      <c r="J768">
        <f t="shared" si="399"/>
        <v>1</v>
      </c>
      <c r="K768">
        <f t="shared" ca="1" si="400"/>
        <v>50.95</v>
      </c>
      <c r="L768">
        <f t="shared" ca="1" si="401"/>
        <v>2.1389677043987478</v>
      </c>
      <c r="M768">
        <f t="shared" ca="1" si="374"/>
        <v>11.122632062873489</v>
      </c>
      <c r="N768">
        <f t="shared" ca="1" si="375"/>
        <v>1.1735290000551568</v>
      </c>
      <c r="O768">
        <f t="shared" ca="1" si="376"/>
        <v>4.5807502857230418</v>
      </c>
      <c r="P768">
        <f t="shared" ca="1" si="377"/>
        <v>634.34846770439879</v>
      </c>
      <c r="Q768">
        <f t="shared" ca="1" si="378"/>
        <v>635.41795155659815</v>
      </c>
      <c r="R768">
        <f t="shared" ca="1" si="379"/>
        <v>3.8141460404132466E-3</v>
      </c>
      <c r="S768">
        <f t="shared" ca="1" si="380"/>
        <v>1.0000000000000004</v>
      </c>
      <c r="T768">
        <f t="shared" ca="1" si="381"/>
        <v>35.686426155594638</v>
      </c>
      <c r="U768">
        <f t="shared" ca="1" si="402"/>
        <v>-3.4032696947861041E-3</v>
      </c>
      <c r="V768">
        <f t="shared" ca="1" si="403"/>
        <v>1</v>
      </c>
      <c r="W768">
        <f t="shared" ca="1" si="382"/>
        <v>1.7069123395031227</v>
      </c>
      <c r="X768">
        <f t="shared" ca="1" si="383"/>
        <v>8.8759441654162377</v>
      </c>
      <c r="Y768">
        <f t="shared" ca="1" si="384"/>
        <v>1.0304300930397194</v>
      </c>
      <c r="Z768">
        <f t="shared" ca="1" si="385"/>
        <v>5.7402343965297691</v>
      </c>
      <c r="AA768">
        <f t="shared" ca="1" si="386"/>
        <v>633.91641233950315</v>
      </c>
      <c r="AB768">
        <f t="shared" ca="1" si="387"/>
        <v>635.59583593415675</v>
      </c>
      <c r="AC768">
        <f t="shared" ca="1" si="388"/>
        <v>7.1233408695538097E-3</v>
      </c>
      <c r="AD768">
        <f t="shared" ca="1" si="389"/>
        <v>1.402779834308481</v>
      </c>
      <c r="AE768">
        <f t="shared" ca="1" si="390"/>
        <v>37.388169422800694</v>
      </c>
      <c r="AF768">
        <f t="shared" ca="1" si="391"/>
        <v>6.6989149311211804E-3</v>
      </c>
      <c r="AG768">
        <f t="shared" ca="1" si="392"/>
        <v>0</v>
      </c>
      <c r="AH768">
        <f ca="1">IFERROR(IF(V32="Supercritical",MAX($D$16,IFERROR(L768,MAX($D$16,POWER((ABS(K768)^2)/($I$5*MAX(F768,0.1)^2),1/3)))),IF(V32="Subcritical",MAX($D$16,IFERROR(W768,MAX($D$16,POWER((ABS(K768)^2)/($I$5*MAX(F768,0.1)^2),1/3)))),IF(AND(IFERROR(V768,0)=1,IFERROR(AG768,0)=1),IF(IFERROR(T768,-1E+99)&gt;=IFERROR(AE768,-1E+99),MAX($D$16,IFERROR(L768,MAX($D$16,POWER((ABS(K768)^2)/($I$5*MAX(F768,0.1)^2),1/3)))),MAX($D$16,IFERROR(W768,MAX($D$16,POWER((ABS(K768)^2)/($I$5*MAX(F768,0.1)^2),1/3))))),IF(IFERROR(V768,0)=1,MAX($D$16,IFERROR(L768,MAX($D$16,POWER((ABS(K768)^2)/($I$5*MAX(F768,0.1)^2),1/3)))),IF(IFERROR(AG768,0)=1,MAX($D$16,IFERROR(W768,MAX($D$16,POWER((ABS(K768)^2)/($I$5*MAX(F768,0.1)^2),1/3)))),MAX($D$16,POWER((ABS(K768)^2)/($I$5*MAX(F768,0.1)^2),1/3))))))),MAX($D$16,POWER((ABS(K768)^2)/($I$5*MAX(F768,0.1)^2),1/3)))</f>
        <v>2.1389677043987478</v>
      </c>
      <c r="AI768">
        <f t="shared" ca="1" si="393"/>
        <v>634.34846770439879</v>
      </c>
      <c r="AJ768">
        <f t="shared" ca="1" si="394"/>
        <v>635.41795155659815</v>
      </c>
      <c r="AM768">
        <v>0</v>
      </c>
      <c r="AN768">
        <v>0</v>
      </c>
      <c r="AO768">
        <f t="shared" si="395"/>
        <v>0</v>
      </c>
      <c r="AP768">
        <f t="shared" si="404"/>
        <v>0</v>
      </c>
      <c r="AQ768">
        <f t="shared" ca="1" si="396"/>
        <v>1.0000000000000004</v>
      </c>
      <c r="AR768" t="str">
        <f t="shared" ca="1" si="397"/>
        <v>Supercritical</v>
      </c>
      <c r="AS768">
        <f t="shared" ca="1" si="398"/>
        <v>3.8141460404132466E-3</v>
      </c>
    </row>
    <row r="769" spans="1:45" x14ac:dyDescent="0.35">
      <c r="A769">
        <v>708</v>
      </c>
      <c r="B769">
        <v>706.99599999999998</v>
      </c>
      <c r="C769">
        <v>616107.44999999995</v>
      </c>
      <c r="D769">
        <v>3097296.8029999998</v>
      </c>
      <c r="E769">
        <v>632.20899999999995</v>
      </c>
      <c r="F769">
        <v>5.2</v>
      </c>
      <c r="G769">
        <v>0</v>
      </c>
      <c r="H769" t="s">
        <v>154</v>
      </c>
      <c r="I769">
        <v>2.7E-2</v>
      </c>
      <c r="J769">
        <f t="shared" si="399"/>
        <v>1</v>
      </c>
      <c r="K769">
        <f t="shared" ca="1" si="400"/>
        <v>50.95</v>
      </c>
      <c r="L769">
        <f t="shared" ca="1" si="401"/>
        <v>2.1389677043987478</v>
      </c>
      <c r="M769">
        <f t="shared" ca="1" si="374"/>
        <v>11.122632062873489</v>
      </c>
      <c r="N769">
        <f t="shared" ca="1" si="375"/>
        <v>1.1735290000551568</v>
      </c>
      <c r="O769">
        <f t="shared" ca="1" si="376"/>
        <v>4.5807502857230418</v>
      </c>
      <c r="P769">
        <f t="shared" ca="1" si="377"/>
        <v>634.34796770439868</v>
      </c>
      <c r="Q769">
        <f t="shared" ca="1" si="378"/>
        <v>635.41745155659805</v>
      </c>
      <c r="R769">
        <f t="shared" ca="1" si="379"/>
        <v>3.8141460404132466E-3</v>
      </c>
      <c r="S769">
        <f t="shared" ca="1" si="380"/>
        <v>1.0000000000000004</v>
      </c>
      <c r="T769">
        <f t="shared" ca="1" si="381"/>
        <v>35.686426155594638</v>
      </c>
      <c r="U769">
        <f t="shared" ca="1" si="402"/>
        <v>-3.3622728136606383E-3</v>
      </c>
      <c r="V769">
        <f t="shared" ca="1" si="403"/>
        <v>1</v>
      </c>
      <c r="W769">
        <f t="shared" ca="1" si="382"/>
        <v>1.7069123395028669</v>
      </c>
      <c r="X769">
        <f t="shared" ca="1" si="383"/>
        <v>8.8759441654149089</v>
      </c>
      <c r="Y769">
        <f t="shared" ca="1" si="384"/>
        <v>1.0304300930396264</v>
      </c>
      <c r="Z769">
        <f t="shared" ca="1" si="385"/>
        <v>5.7402343965306288</v>
      </c>
      <c r="AA769">
        <f t="shared" ca="1" si="386"/>
        <v>633.91591233950282</v>
      </c>
      <c r="AB769">
        <f t="shared" ca="1" si="387"/>
        <v>635.59533593415688</v>
      </c>
      <c r="AC769">
        <f t="shared" ca="1" si="388"/>
        <v>7.1233408695567995E-3</v>
      </c>
      <c r="AD769">
        <f t="shared" ca="1" si="389"/>
        <v>1.402779834308796</v>
      </c>
      <c r="AE769">
        <f t="shared" ca="1" si="390"/>
        <v>37.388169422802889</v>
      </c>
      <c r="AF769">
        <f t="shared" ca="1" si="391"/>
        <v>6.6989149313485541E-3</v>
      </c>
      <c r="AG769">
        <f t="shared" ca="1" si="392"/>
        <v>0</v>
      </c>
      <c r="AH769">
        <f ca="1">IFERROR(IF(V32="Supercritical",MAX($D$16,IFERROR(L769,MAX($D$16,POWER((ABS(K769)^2)/($I$5*MAX(F769,0.1)^2),1/3)))),IF(V32="Subcritical",MAX($D$16,IFERROR(W769,MAX($D$16,POWER((ABS(K769)^2)/($I$5*MAX(F769,0.1)^2),1/3)))),IF(AND(IFERROR(V769,0)=1,IFERROR(AG769,0)=1),IF(IFERROR(T769,-1E+99)&gt;=IFERROR(AE769,-1E+99),MAX($D$16,IFERROR(L769,MAX($D$16,POWER((ABS(K769)^2)/($I$5*MAX(F769,0.1)^2),1/3)))),MAX($D$16,IFERROR(W769,MAX($D$16,POWER((ABS(K769)^2)/($I$5*MAX(F769,0.1)^2),1/3))))),IF(IFERROR(V769,0)=1,MAX($D$16,IFERROR(L769,MAX($D$16,POWER((ABS(K769)^2)/($I$5*MAX(F769,0.1)^2),1/3)))),IF(IFERROR(AG769,0)=1,MAX($D$16,IFERROR(W769,MAX($D$16,POWER((ABS(K769)^2)/($I$5*MAX(F769,0.1)^2),1/3)))),MAX($D$16,POWER((ABS(K769)^2)/($I$5*MAX(F769,0.1)^2),1/3))))))),MAX($D$16,POWER((ABS(K769)^2)/($I$5*MAX(F769,0.1)^2),1/3)))</f>
        <v>2.1389677043987478</v>
      </c>
      <c r="AI769">
        <f t="shared" ca="1" si="393"/>
        <v>634.34796770439868</v>
      </c>
      <c r="AJ769">
        <f t="shared" ca="1" si="394"/>
        <v>635.41745155659805</v>
      </c>
      <c r="AM769">
        <v>0</v>
      </c>
      <c r="AN769">
        <v>0</v>
      </c>
      <c r="AO769">
        <f t="shared" si="395"/>
        <v>0</v>
      </c>
      <c r="AP769">
        <f t="shared" si="404"/>
        <v>0</v>
      </c>
      <c r="AQ769">
        <f t="shared" ca="1" si="396"/>
        <v>1.0000000000000004</v>
      </c>
      <c r="AR769" t="str">
        <f t="shared" ca="1" si="397"/>
        <v>Supercritical</v>
      </c>
      <c r="AS769">
        <f t="shared" ca="1" si="398"/>
        <v>3.8141460404132466E-3</v>
      </c>
    </row>
    <row r="770" spans="1:45" x14ac:dyDescent="0.35">
      <c r="A770">
        <v>709</v>
      </c>
      <c r="B770">
        <v>707.99599999999998</v>
      </c>
      <c r="C770">
        <v>616106.97600000002</v>
      </c>
      <c r="D770">
        <v>3097295.9219999998</v>
      </c>
      <c r="E770">
        <v>632.20849999999996</v>
      </c>
      <c r="F770">
        <v>5.2</v>
      </c>
      <c r="G770">
        <v>0</v>
      </c>
      <c r="H770" t="s">
        <v>154</v>
      </c>
      <c r="I770">
        <v>2.7E-2</v>
      </c>
      <c r="J770">
        <f t="shared" si="399"/>
        <v>1</v>
      </c>
      <c r="K770">
        <f t="shared" ca="1" si="400"/>
        <v>50.95</v>
      </c>
      <c r="L770">
        <f t="shared" ca="1" si="401"/>
        <v>2.1389677043987478</v>
      </c>
      <c r="M770">
        <f t="shared" ca="1" si="374"/>
        <v>11.122632062873489</v>
      </c>
      <c r="N770">
        <f t="shared" ca="1" si="375"/>
        <v>1.1735290000551568</v>
      </c>
      <c r="O770">
        <f t="shared" ca="1" si="376"/>
        <v>4.5807502857230418</v>
      </c>
      <c r="P770">
        <f t="shared" ca="1" si="377"/>
        <v>634.3474677043987</v>
      </c>
      <c r="Q770">
        <f t="shared" ca="1" si="378"/>
        <v>635.41695155659806</v>
      </c>
      <c r="R770">
        <f t="shared" ca="1" si="379"/>
        <v>3.8141460404132466E-3</v>
      </c>
      <c r="S770">
        <f t="shared" ca="1" si="380"/>
        <v>1.0000000000000004</v>
      </c>
      <c r="T770">
        <f t="shared" ca="1" si="381"/>
        <v>35.686426155594638</v>
      </c>
      <c r="U770">
        <f t="shared" ca="1" si="402"/>
        <v>-3.3622728137743252E-3</v>
      </c>
      <c r="V770">
        <f t="shared" ca="1" si="403"/>
        <v>1</v>
      </c>
      <c r="W770">
        <f t="shared" ca="1" si="382"/>
        <v>1.7069123395026453</v>
      </c>
      <c r="X770">
        <f t="shared" ca="1" si="383"/>
        <v>8.8759441654137561</v>
      </c>
      <c r="Y770">
        <f t="shared" ca="1" si="384"/>
        <v>1.0304300930395456</v>
      </c>
      <c r="Z770">
        <f t="shared" ca="1" si="385"/>
        <v>5.740234396531374</v>
      </c>
      <c r="AA770">
        <f t="shared" ca="1" si="386"/>
        <v>633.91541233950261</v>
      </c>
      <c r="AB770">
        <f t="shared" ca="1" si="387"/>
        <v>635.59483593415712</v>
      </c>
      <c r="AC770">
        <f t="shared" ca="1" si="388"/>
        <v>7.1233408695593973E-3</v>
      </c>
      <c r="AD770">
        <f t="shared" ca="1" si="389"/>
        <v>1.4027798343090696</v>
      </c>
      <c r="AE770">
        <f t="shared" ca="1" si="390"/>
        <v>37.388169422804793</v>
      </c>
      <c r="AF770">
        <f t="shared" ca="1" si="391"/>
        <v>6.6917915904696201E-3</v>
      </c>
      <c r="AG770">
        <f t="shared" ca="1" si="392"/>
        <v>0</v>
      </c>
      <c r="AH770">
        <f ca="1">IFERROR(IF(V32="Supercritical",MAX($D$16,IFERROR(L770,MAX($D$16,POWER((ABS(K770)^2)/($I$5*MAX(F770,0.1)^2),1/3)))),IF(V32="Subcritical",MAX($D$16,IFERROR(W770,MAX($D$16,POWER((ABS(K770)^2)/($I$5*MAX(F770,0.1)^2),1/3)))),IF(AND(IFERROR(V770,0)=1,IFERROR(AG770,0)=1),IF(IFERROR(T770,-1E+99)&gt;=IFERROR(AE770,-1E+99),MAX($D$16,IFERROR(L770,MAX($D$16,POWER((ABS(K770)^2)/($I$5*MAX(F770,0.1)^2),1/3)))),MAX($D$16,IFERROR(W770,MAX($D$16,POWER((ABS(K770)^2)/($I$5*MAX(F770,0.1)^2),1/3))))),IF(IFERROR(V770,0)=1,MAX($D$16,IFERROR(L770,MAX($D$16,POWER((ABS(K770)^2)/($I$5*MAX(F770,0.1)^2),1/3)))),IF(IFERROR(AG770,0)=1,MAX($D$16,IFERROR(W770,MAX($D$16,POWER((ABS(K770)^2)/($I$5*MAX(F770,0.1)^2),1/3)))),MAX($D$16,POWER((ABS(K770)^2)/($I$5*MAX(F770,0.1)^2),1/3))))))),MAX($D$16,POWER((ABS(K770)^2)/($I$5*MAX(F770,0.1)^2),1/3)))</f>
        <v>2.1389677043987478</v>
      </c>
      <c r="AI770">
        <f t="shared" ca="1" si="393"/>
        <v>634.3474677043987</v>
      </c>
      <c r="AJ770">
        <f t="shared" ca="1" si="394"/>
        <v>635.41695155659806</v>
      </c>
      <c r="AM770">
        <v>0</v>
      </c>
      <c r="AN770">
        <v>0</v>
      </c>
      <c r="AO770">
        <f t="shared" si="395"/>
        <v>0</v>
      </c>
      <c r="AP770">
        <f t="shared" si="404"/>
        <v>0</v>
      </c>
      <c r="AQ770">
        <f t="shared" ca="1" si="396"/>
        <v>1.0000000000000004</v>
      </c>
      <c r="AR770" t="str">
        <f t="shared" ca="1" si="397"/>
        <v>Supercritical</v>
      </c>
      <c r="AS770">
        <f t="shared" ca="1" si="398"/>
        <v>3.8141460404132466E-3</v>
      </c>
    </row>
    <row r="771" spans="1:45" x14ac:dyDescent="0.35">
      <c r="A771">
        <v>710</v>
      </c>
      <c r="B771">
        <v>708.995</v>
      </c>
      <c r="C771">
        <v>616106.50199999998</v>
      </c>
      <c r="D771">
        <v>3097295.0419999999</v>
      </c>
      <c r="E771">
        <v>632.20799999999997</v>
      </c>
      <c r="F771">
        <v>5.2</v>
      </c>
      <c r="G771">
        <v>0</v>
      </c>
      <c r="H771" t="s">
        <v>154</v>
      </c>
      <c r="I771">
        <v>2.7E-2</v>
      </c>
      <c r="J771">
        <f t="shared" si="399"/>
        <v>0.99900000000002365</v>
      </c>
      <c r="K771">
        <f t="shared" ca="1" si="400"/>
        <v>50.95</v>
      </c>
      <c r="L771">
        <f t="shared" ca="1" si="401"/>
        <v>2.1389677043987478</v>
      </c>
      <c r="M771">
        <f t="shared" ca="1" si="374"/>
        <v>11.122632062873489</v>
      </c>
      <c r="N771">
        <f t="shared" ca="1" si="375"/>
        <v>1.1735290000551568</v>
      </c>
      <c r="O771">
        <f t="shared" ca="1" si="376"/>
        <v>4.5807502857230418</v>
      </c>
      <c r="P771">
        <f t="shared" ca="1" si="377"/>
        <v>634.34696770439871</v>
      </c>
      <c r="Q771">
        <f t="shared" ca="1" si="378"/>
        <v>635.41645155659808</v>
      </c>
      <c r="R771">
        <f t="shared" ca="1" si="379"/>
        <v>3.8141460404132466E-3</v>
      </c>
      <c r="S771">
        <f t="shared" ca="1" si="380"/>
        <v>1.0000000000000004</v>
      </c>
      <c r="T771">
        <f t="shared" ca="1" si="381"/>
        <v>35.686426155594638</v>
      </c>
      <c r="U771">
        <f t="shared" ca="1" si="402"/>
        <v>-3.3584586676624895E-3</v>
      </c>
      <c r="V771">
        <f t="shared" ca="1" si="403"/>
        <v>1</v>
      </c>
      <c r="W771">
        <f t="shared" ca="1" si="382"/>
        <v>1.7069123395024237</v>
      </c>
      <c r="X771">
        <f t="shared" ca="1" si="383"/>
        <v>8.8759441654126032</v>
      </c>
      <c r="Y771">
        <f t="shared" ca="1" si="384"/>
        <v>1.0304300930394648</v>
      </c>
      <c r="Z771">
        <f t="shared" ca="1" si="385"/>
        <v>5.7402343965321201</v>
      </c>
      <c r="AA771">
        <f t="shared" ca="1" si="386"/>
        <v>633.91491233950239</v>
      </c>
      <c r="AB771">
        <f t="shared" ca="1" si="387"/>
        <v>635.59433593415736</v>
      </c>
      <c r="AC771">
        <f t="shared" ca="1" si="388"/>
        <v>7.1233408695619907E-3</v>
      </c>
      <c r="AD771">
        <f t="shared" ca="1" si="389"/>
        <v>1.4027798343093429</v>
      </c>
      <c r="AE771">
        <f t="shared" ca="1" si="390"/>
        <v>37.388169422806698</v>
      </c>
      <c r="AF771">
        <f t="shared" ca="1" si="391"/>
        <v>6.848789277682954E-3</v>
      </c>
      <c r="AG771">
        <f t="shared" ca="1" si="392"/>
        <v>0</v>
      </c>
      <c r="AH771">
        <f ca="1">IFERROR(IF(V32="Supercritical",MAX($D$16,IFERROR(L771,MAX($D$16,POWER((ABS(K771)^2)/($I$5*MAX(F771,0.1)^2),1/3)))),IF(V32="Subcritical",MAX($D$16,IFERROR(W771,MAX($D$16,POWER((ABS(K771)^2)/($I$5*MAX(F771,0.1)^2),1/3)))),IF(AND(IFERROR(V771,0)=1,IFERROR(AG771,0)=1),IF(IFERROR(T771,-1E+99)&gt;=IFERROR(AE771,-1E+99),MAX($D$16,IFERROR(L771,MAX($D$16,POWER((ABS(K771)^2)/($I$5*MAX(F771,0.1)^2),1/3)))),MAX($D$16,IFERROR(W771,MAX($D$16,POWER((ABS(K771)^2)/($I$5*MAX(F771,0.1)^2),1/3))))),IF(IFERROR(V771,0)=1,MAX($D$16,IFERROR(L771,MAX($D$16,POWER((ABS(K771)^2)/($I$5*MAX(F771,0.1)^2),1/3)))),IF(IFERROR(AG771,0)=1,MAX($D$16,IFERROR(W771,MAX($D$16,POWER((ABS(K771)^2)/($I$5*MAX(F771,0.1)^2),1/3)))),MAX($D$16,POWER((ABS(K771)^2)/($I$5*MAX(F771,0.1)^2),1/3))))))),MAX($D$16,POWER((ABS(K771)^2)/($I$5*MAX(F771,0.1)^2),1/3)))</f>
        <v>2.1389677043987478</v>
      </c>
      <c r="AI771">
        <f t="shared" ca="1" si="393"/>
        <v>634.34696770439871</v>
      </c>
      <c r="AJ771">
        <f t="shared" ca="1" si="394"/>
        <v>635.41645155659808</v>
      </c>
      <c r="AM771">
        <v>0</v>
      </c>
      <c r="AN771">
        <v>0</v>
      </c>
      <c r="AO771">
        <f t="shared" si="395"/>
        <v>0</v>
      </c>
      <c r="AP771">
        <f t="shared" si="404"/>
        <v>0</v>
      </c>
      <c r="AQ771">
        <f t="shared" ca="1" si="396"/>
        <v>1.0000000000000004</v>
      </c>
      <c r="AR771" t="str">
        <f t="shared" ca="1" si="397"/>
        <v>Supercritical</v>
      </c>
      <c r="AS771">
        <f t="shared" ca="1" si="398"/>
        <v>3.8141460404132466E-3</v>
      </c>
    </row>
    <row r="772" spans="1:45" x14ac:dyDescent="0.35">
      <c r="A772">
        <v>711</v>
      </c>
      <c r="B772">
        <v>709.99599999999998</v>
      </c>
      <c r="C772">
        <v>616106.02800000005</v>
      </c>
      <c r="D772">
        <v>3097294.1609999998</v>
      </c>
      <c r="E772">
        <v>632.20749999999998</v>
      </c>
      <c r="F772">
        <v>5.2</v>
      </c>
      <c r="G772">
        <v>0</v>
      </c>
      <c r="H772" t="s">
        <v>154</v>
      </c>
      <c r="I772">
        <v>7.8E-2</v>
      </c>
      <c r="J772">
        <f t="shared" si="399"/>
        <v>1.0009999999999764</v>
      </c>
      <c r="K772">
        <f t="shared" ca="1" si="400"/>
        <v>50.95</v>
      </c>
      <c r="L772">
        <f t="shared" ca="1" si="401"/>
        <v>2.1389677043987478</v>
      </c>
      <c r="M772">
        <f t="shared" ca="1" si="374"/>
        <v>11.122632062873489</v>
      </c>
      <c r="N772">
        <f t="shared" ca="1" si="375"/>
        <v>1.1735290000551568</v>
      </c>
      <c r="O772">
        <f t="shared" ca="1" si="376"/>
        <v>4.5807502857230418</v>
      </c>
      <c r="P772">
        <f t="shared" ca="1" si="377"/>
        <v>634.34646770439872</v>
      </c>
      <c r="Q772">
        <f t="shared" ca="1" si="378"/>
        <v>635.41595155659809</v>
      </c>
      <c r="R772">
        <f t="shared" ca="1" si="379"/>
        <v>3.8141460404132466E-3</v>
      </c>
      <c r="S772">
        <f t="shared" ca="1" si="380"/>
        <v>1.0000000000000004</v>
      </c>
      <c r="T772">
        <f t="shared" ca="1" si="381"/>
        <v>35.686426155594638</v>
      </c>
      <c r="U772">
        <f t="shared" ca="1" si="402"/>
        <v>-3.456993087183946E-3</v>
      </c>
      <c r="V772">
        <f t="shared" ca="1" si="403"/>
        <v>1</v>
      </c>
      <c r="W772">
        <f t="shared" ca="1" si="382"/>
        <v>1.706912339502219</v>
      </c>
      <c r="X772">
        <f t="shared" ca="1" si="383"/>
        <v>8.8759441654115392</v>
      </c>
      <c r="Y772">
        <f t="shared" ca="1" si="384"/>
        <v>1.0304300930393904</v>
      </c>
      <c r="Z772">
        <f t="shared" ca="1" si="385"/>
        <v>5.7402343965328075</v>
      </c>
      <c r="AA772">
        <f t="shared" ca="1" si="386"/>
        <v>633.91441233950218</v>
      </c>
      <c r="AB772">
        <f t="shared" ca="1" si="387"/>
        <v>635.5938359341576</v>
      </c>
      <c r="AC772">
        <f t="shared" ca="1" si="388"/>
        <v>7.1233408695643846E-3</v>
      </c>
      <c r="AD772">
        <f t="shared" ca="1" si="389"/>
        <v>1.402779834309595</v>
      </c>
      <c r="AE772">
        <f t="shared" ca="1" si="390"/>
        <v>37.388169422808453</v>
      </c>
      <c r="AF772">
        <f t="shared" ca="1" si="391"/>
        <v>6.7632928358989375E-3</v>
      </c>
      <c r="AG772">
        <f t="shared" ca="1" si="392"/>
        <v>0</v>
      </c>
      <c r="AH772">
        <f ca="1">IFERROR(IF(V32="Supercritical",MAX($D$16,IFERROR(L772,MAX($D$16,POWER((ABS(K772)^2)/($I$5*MAX(F772,0.1)^2),1/3)))),IF(V32="Subcritical",MAX($D$16,IFERROR(W772,MAX($D$16,POWER((ABS(K772)^2)/($I$5*MAX(F772,0.1)^2),1/3)))),IF(AND(IFERROR(V772,0)=1,IFERROR(AG772,0)=1),IF(IFERROR(T772,-1E+99)&gt;=IFERROR(AE772,-1E+99),MAX($D$16,IFERROR(L772,MAX($D$16,POWER((ABS(K772)^2)/($I$5*MAX(F772,0.1)^2),1/3)))),MAX($D$16,IFERROR(W772,MAX($D$16,POWER((ABS(K772)^2)/($I$5*MAX(F772,0.1)^2),1/3))))),IF(IFERROR(V772,0)=1,MAX($D$16,IFERROR(L772,MAX($D$16,POWER((ABS(K772)^2)/($I$5*MAX(F772,0.1)^2),1/3)))),IF(IFERROR(AG772,0)=1,MAX($D$16,IFERROR(W772,MAX($D$16,POWER((ABS(K772)^2)/($I$5*MAX(F772,0.1)^2),1/3)))),MAX($D$16,POWER((ABS(K772)^2)/($I$5*MAX(F772,0.1)^2),1/3))))))),MAX($D$16,POWER((ABS(K772)^2)/($I$5*MAX(F772,0.1)^2),1/3)))</f>
        <v>2.1389677043987478</v>
      </c>
      <c r="AI772">
        <f t="shared" ca="1" si="393"/>
        <v>634.34646770439872</v>
      </c>
      <c r="AJ772">
        <f t="shared" ca="1" si="394"/>
        <v>635.41595155659809</v>
      </c>
      <c r="AM772">
        <v>0</v>
      </c>
      <c r="AN772">
        <v>0</v>
      </c>
      <c r="AO772">
        <f t="shared" si="395"/>
        <v>0</v>
      </c>
      <c r="AP772">
        <f t="shared" si="404"/>
        <v>0</v>
      </c>
      <c r="AQ772">
        <f t="shared" ca="1" si="396"/>
        <v>1.0000000000000004</v>
      </c>
      <c r="AR772" t="str">
        <f t="shared" ca="1" si="397"/>
        <v>Supercritical</v>
      </c>
      <c r="AS772">
        <f t="shared" ca="1" si="398"/>
        <v>3.8141460404132466E-3</v>
      </c>
    </row>
    <row r="773" spans="1:45" x14ac:dyDescent="0.35">
      <c r="A773">
        <v>712</v>
      </c>
      <c r="B773">
        <v>710.99599999999998</v>
      </c>
      <c r="C773">
        <v>616105.55299999996</v>
      </c>
      <c r="D773">
        <v>3097293.281</v>
      </c>
      <c r="E773">
        <v>632.20699999999999</v>
      </c>
      <c r="F773">
        <v>5.2</v>
      </c>
      <c r="G773">
        <v>0</v>
      </c>
      <c r="H773" t="s">
        <v>154</v>
      </c>
      <c r="I773">
        <v>0.05</v>
      </c>
      <c r="J773">
        <f t="shared" si="399"/>
        <v>1</v>
      </c>
      <c r="K773">
        <f t="shared" ca="1" si="400"/>
        <v>50.95</v>
      </c>
      <c r="L773">
        <f t="shared" ca="1" si="401"/>
        <v>2.1389677043987478</v>
      </c>
      <c r="M773">
        <f t="shared" ca="1" si="374"/>
        <v>11.122632062873489</v>
      </c>
      <c r="N773">
        <f t="shared" ca="1" si="375"/>
        <v>1.1735290000551568</v>
      </c>
      <c r="O773">
        <f t="shared" ca="1" si="376"/>
        <v>4.5807502857230418</v>
      </c>
      <c r="P773">
        <f t="shared" ca="1" si="377"/>
        <v>634.34596770439873</v>
      </c>
      <c r="Q773">
        <f t="shared" ca="1" si="378"/>
        <v>635.4154515565981</v>
      </c>
      <c r="R773">
        <f t="shared" ca="1" si="379"/>
        <v>3.8141460404132466E-3</v>
      </c>
      <c r="S773">
        <f t="shared" ca="1" si="380"/>
        <v>1.0000000000000004</v>
      </c>
      <c r="T773">
        <f t="shared" ca="1" si="381"/>
        <v>35.686426155594638</v>
      </c>
      <c r="U773">
        <f t="shared" ca="1" si="402"/>
        <v>-3.4032696947861041E-3</v>
      </c>
      <c r="V773">
        <f t="shared" ca="1" si="403"/>
        <v>1</v>
      </c>
      <c r="W773">
        <f t="shared" ca="1" si="382"/>
        <v>1.7069123395020143</v>
      </c>
      <c r="X773">
        <f t="shared" ca="1" si="383"/>
        <v>8.8759441654104752</v>
      </c>
      <c r="Y773">
        <f t="shared" ca="1" si="384"/>
        <v>1.0304300930393158</v>
      </c>
      <c r="Z773">
        <f t="shared" ca="1" si="385"/>
        <v>5.7402343965334959</v>
      </c>
      <c r="AA773">
        <f t="shared" ca="1" si="386"/>
        <v>633.91391233950196</v>
      </c>
      <c r="AB773">
        <f t="shared" ca="1" si="387"/>
        <v>635.59333593415772</v>
      </c>
      <c r="AC773">
        <f t="shared" ca="1" si="388"/>
        <v>7.1233408695667811E-3</v>
      </c>
      <c r="AD773">
        <f t="shared" ca="1" si="389"/>
        <v>1.4027798343098472</v>
      </c>
      <c r="AE773">
        <f t="shared" ca="1" si="390"/>
        <v>37.388169422810208</v>
      </c>
      <c r="AF773">
        <f t="shared" ca="1" si="391"/>
        <v>6.6917915904696201E-3</v>
      </c>
      <c r="AG773">
        <f t="shared" ca="1" si="392"/>
        <v>0</v>
      </c>
      <c r="AH773">
        <f ca="1">IFERROR(IF(V32="Supercritical",MAX($D$16,IFERROR(L773,MAX($D$16,POWER((ABS(K773)^2)/($I$5*MAX(F773,0.1)^2),1/3)))),IF(V32="Subcritical",MAX($D$16,IFERROR(W773,MAX($D$16,POWER((ABS(K773)^2)/($I$5*MAX(F773,0.1)^2),1/3)))),IF(AND(IFERROR(V773,0)=1,IFERROR(AG773,0)=1),IF(IFERROR(T773,-1E+99)&gt;=IFERROR(AE773,-1E+99),MAX($D$16,IFERROR(L773,MAX($D$16,POWER((ABS(K773)^2)/($I$5*MAX(F773,0.1)^2),1/3)))),MAX($D$16,IFERROR(W773,MAX($D$16,POWER((ABS(K773)^2)/($I$5*MAX(F773,0.1)^2),1/3))))),IF(IFERROR(V773,0)=1,MAX($D$16,IFERROR(L773,MAX($D$16,POWER((ABS(K773)^2)/($I$5*MAX(F773,0.1)^2),1/3)))),IF(IFERROR(AG773,0)=1,MAX($D$16,IFERROR(W773,MAX($D$16,POWER((ABS(K773)^2)/($I$5*MAX(F773,0.1)^2),1/3)))),MAX($D$16,POWER((ABS(K773)^2)/($I$5*MAX(F773,0.1)^2),1/3))))))),MAX($D$16,POWER((ABS(K773)^2)/($I$5*MAX(F773,0.1)^2),1/3)))</f>
        <v>2.1389677043987478</v>
      </c>
      <c r="AI773">
        <f t="shared" ca="1" si="393"/>
        <v>634.34596770439873</v>
      </c>
      <c r="AJ773">
        <f t="shared" ca="1" si="394"/>
        <v>635.4154515565981</v>
      </c>
      <c r="AM773">
        <v>0</v>
      </c>
      <c r="AN773">
        <v>0</v>
      </c>
      <c r="AO773">
        <f t="shared" si="395"/>
        <v>0</v>
      </c>
      <c r="AP773">
        <f t="shared" si="404"/>
        <v>0</v>
      </c>
      <c r="AQ773">
        <f t="shared" ca="1" si="396"/>
        <v>1.0000000000000004</v>
      </c>
      <c r="AR773" t="str">
        <f t="shared" ca="1" si="397"/>
        <v>Supercritical</v>
      </c>
      <c r="AS773">
        <f t="shared" ca="1" si="398"/>
        <v>3.8141460404132466E-3</v>
      </c>
    </row>
    <row r="774" spans="1:45" x14ac:dyDescent="0.35">
      <c r="A774">
        <v>713</v>
      </c>
      <c r="B774">
        <v>711.995</v>
      </c>
      <c r="C774">
        <v>616105.07900000003</v>
      </c>
      <c r="D774">
        <v>3097292.4010000001</v>
      </c>
      <c r="E774">
        <v>632.20650000000001</v>
      </c>
      <c r="F774">
        <v>5.2</v>
      </c>
      <c r="G774">
        <v>0</v>
      </c>
      <c r="H774" t="s">
        <v>154</v>
      </c>
      <c r="I774">
        <v>2.7E-2</v>
      </c>
      <c r="J774">
        <f t="shared" si="399"/>
        <v>0.99900000000002365</v>
      </c>
      <c r="K774">
        <f t="shared" ca="1" si="400"/>
        <v>50.95</v>
      </c>
      <c r="L774">
        <f t="shared" ca="1" si="401"/>
        <v>2.1389677043987478</v>
      </c>
      <c r="M774">
        <f t="shared" ca="1" si="374"/>
        <v>11.122632062873489</v>
      </c>
      <c r="N774">
        <f t="shared" ca="1" si="375"/>
        <v>1.1735290000551568</v>
      </c>
      <c r="O774">
        <f t="shared" ca="1" si="376"/>
        <v>4.5807502857230418</v>
      </c>
      <c r="P774">
        <f t="shared" ca="1" si="377"/>
        <v>634.34546770439874</v>
      </c>
      <c r="Q774">
        <f t="shared" ca="1" si="378"/>
        <v>635.41495155659811</v>
      </c>
      <c r="R774">
        <f t="shared" ca="1" si="379"/>
        <v>3.8141460404132466E-3</v>
      </c>
      <c r="S774">
        <f t="shared" ca="1" si="380"/>
        <v>1.0000000000000004</v>
      </c>
      <c r="T774">
        <f t="shared" ca="1" si="381"/>
        <v>35.686426155594638</v>
      </c>
      <c r="U774">
        <f t="shared" ca="1" si="402"/>
        <v>-3.3584586676624895E-3</v>
      </c>
      <c r="V774">
        <f t="shared" ca="1" si="403"/>
        <v>1</v>
      </c>
      <c r="W774">
        <f t="shared" ca="1" si="382"/>
        <v>1.7069123395018266</v>
      </c>
      <c r="X774">
        <f t="shared" ca="1" si="383"/>
        <v>8.8759441654094982</v>
      </c>
      <c r="Y774">
        <f t="shared" ca="1" si="384"/>
        <v>1.0304300930392474</v>
      </c>
      <c r="Z774">
        <f t="shared" ca="1" si="385"/>
        <v>5.7402343965341274</v>
      </c>
      <c r="AA774">
        <f t="shared" ca="1" si="386"/>
        <v>633.91341233950186</v>
      </c>
      <c r="AB774">
        <f t="shared" ca="1" si="387"/>
        <v>635.59283593415796</v>
      </c>
      <c r="AC774">
        <f t="shared" ca="1" si="388"/>
        <v>7.1233408695689756E-3</v>
      </c>
      <c r="AD774">
        <f t="shared" ca="1" si="389"/>
        <v>1.4027798343100788</v>
      </c>
      <c r="AE774">
        <f t="shared" ca="1" si="390"/>
        <v>37.388169422811828</v>
      </c>
      <c r="AF774">
        <f t="shared" ca="1" si="391"/>
        <v>6.7060382722274881E-3</v>
      </c>
      <c r="AG774">
        <f t="shared" ca="1" si="392"/>
        <v>0</v>
      </c>
      <c r="AH774">
        <f ca="1">IFERROR(IF(V32="Supercritical",MAX($D$16,IFERROR(L774,MAX($D$16,POWER((ABS(K774)^2)/($I$5*MAX(F774,0.1)^2),1/3)))),IF(V32="Subcritical",MAX($D$16,IFERROR(W774,MAX($D$16,POWER((ABS(K774)^2)/($I$5*MAX(F774,0.1)^2),1/3)))),IF(AND(IFERROR(V774,0)=1,IFERROR(AG774,0)=1),IF(IFERROR(T774,-1E+99)&gt;=IFERROR(AE774,-1E+99),MAX($D$16,IFERROR(L774,MAX($D$16,POWER((ABS(K774)^2)/($I$5*MAX(F774,0.1)^2),1/3)))),MAX($D$16,IFERROR(W774,MAX($D$16,POWER((ABS(K774)^2)/($I$5*MAX(F774,0.1)^2),1/3))))),IF(IFERROR(V774,0)=1,MAX($D$16,IFERROR(L774,MAX($D$16,POWER((ABS(K774)^2)/($I$5*MAX(F774,0.1)^2),1/3)))),IF(IFERROR(AG774,0)=1,MAX($D$16,IFERROR(W774,MAX($D$16,POWER((ABS(K774)^2)/($I$5*MAX(F774,0.1)^2),1/3)))),MAX($D$16,POWER((ABS(K774)^2)/($I$5*MAX(F774,0.1)^2),1/3))))))),MAX($D$16,POWER((ABS(K774)^2)/($I$5*MAX(F774,0.1)^2),1/3)))</f>
        <v>2.1389677043987478</v>
      </c>
      <c r="AI774">
        <f t="shared" ca="1" si="393"/>
        <v>634.34546770439874</v>
      </c>
      <c r="AJ774">
        <f t="shared" ca="1" si="394"/>
        <v>635.41495155659811</v>
      </c>
      <c r="AM774">
        <v>0</v>
      </c>
      <c r="AN774">
        <v>0</v>
      </c>
      <c r="AO774">
        <f t="shared" si="395"/>
        <v>0</v>
      </c>
      <c r="AP774">
        <f t="shared" si="404"/>
        <v>0</v>
      </c>
      <c r="AQ774">
        <f t="shared" ca="1" si="396"/>
        <v>1.0000000000000004</v>
      </c>
      <c r="AR774" t="str">
        <f t="shared" ca="1" si="397"/>
        <v>Supercritical</v>
      </c>
      <c r="AS774">
        <f t="shared" ca="1" si="398"/>
        <v>3.8141460404132466E-3</v>
      </c>
    </row>
    <row r="775" spans="1:45" x14ac:dyDescent="0.35">
      <c r="A775">
        <v>714</v>
      </c>
      <c r="B775">
        <v>712.99599999999998</v>
      </c>
      <c r="C775">
        <v>616104.60499999998</v>
      </c>
      <c r="D775">
        <v>3097291.52</v>
      </c>
      <c r="E775">
        <v>632.20600000000002</v>
      </c>
      <c r="F775">
        <v>5.2</v>
      </c>
      <c r="G775">
        <v>0</v>
      </c>
      <c r="H775" t="s">
        <v>154</v>
      </c>
      <c r="I775">
        <v>2.7E-2</v>
      </c>
      <c r="J775">
        <f t="shared" si="399"/>
        <v>1.0009999999999764</v>
      </c>
      <c r="K775">
        <f t="shared" ca="1" si="400"/>
        <v>50.95</v>
      </c>
      <c r="L775">
        <f t="shared" ca="1" si="401"/>
        <v>2.1389677043987478</v>
      </c>
      <c r="M775">
        <f t="shared" ca="1" si="374"/>
        <v>11.122632062873489</v>
      </c>
      <c r="N775">
        <f t="shared" ca="1" si="375"/>
        <v>1.1735290000551568</v>
      </c>
      <c r="O775">
        <f t="shared" ca="1" si="376"/>
        <v>4.5807502857230418</v>
      </c>
      <c r="P775">
        <f t="shared" ca="1" si="377"/>
        <v>634.34496770439875</v>
      </c>
      <c r="Q775">
        <f t="shared" ca="1" si="378"/>
        <v>635.41445155659812</v>
      </c>
      <c r="R775">
        <f t="shared" ca="1" si="379"/>
        <v>3.8141460404132466E-3</v>
      </c>
      <c r="S775">
        <f t="shared" ca="1" si="380"/>
        <v>1.0000000000000004</v>
      </c>
      <c r="T775">
        <f t="shared" ca="1" si="381"/>
        <v>35.686426155594638</v>
      </c>
      <c r="U775">
        <f t="shared" ca="1" si="402"/>
        <v>-3.3660869597724741E-3</v>
      </c>
      <c r="V775">
        <f t="shared" ca="1" si="403"/>
        <v>1</v>
      </c>
      <c r="W775">
        <f t="shared" ca="1" si="382"/>
        <v>1.7069123395016561</v>
      </c>
      <c r="X775">
        <f t="shared" ca="1" si="383"/>
        <v>8.8759441654086118</v>
      </c>
      <c r="Y775">
        <f t="shared" ca="1" si="384"/>
        <v>1.0304300930391852</v>
      </c>
      <c r="Z775">
        <f t="shared" ca="1" si="385"/>
        <v>5.7402343965347011</v>
      </c>
      <c r="AA775">
        <f t="shared" ca="1" si="386"/>
        <v>633.91291233950164</v>
      </c>
      <c r="AB775">
        <f t="shared" ca="1" si="387"/>
        <v>635.59233593415809</v>
      </c>
      <c r="AC775">
        <f t="shared" ca="1" si="388"/>
        <v>7.123340869570974E-3</v>
      </c>
      <c r="AD775">
        <f t="shared" ca="1" si="389"/>
        <v>1.4027798343102889</v>
      </c>
      <c r="AE775">
        <f t="shared" ca="1" si="390"/>
        <v>37.388169422813291</v>
      </c>
      <c r="AF775">
        <f t="shared" ca="1" si="391"/>
        <v>6.6805954331812245E-3</v>
      </c>
      <c r="AG775">
        <f t="shared" ca="1" si="392"/>
        <v>0</v>
      </c>
      <c r="AH775">
        <f ca="1">IFERROR(IF(V32="Supercritical",MAX($D$16,IFERROR(L775,MAX($D$16,POWER((ABS(K775)^2)/($I$5*MAX(F775,0.1)^2),1/3)))),IF(V32="Subcritical",MAX($D$16,IFERROR(W775,MAX($D$16,POWER((ABS(K775)^2)/($I$5*MAX(F775,0.1)^2),1/3)))),IF(AND(IFERROR(V775,0)=1,IFERROR(AG775,0)=1),IF(IFERROR(T775,-1E+99)&gt;=IFERROR(AE775,-1E+99),MAX($D$16,IFERROR(L775,MAX($D$16,POWER((ABS(K775)^2)/($I$5*MAX(F775,0.1)^2),1/3)))),MAX($D$16,IFERROR(W775,MAX($D$16,POWER((ABS(K775)^2)/($I$5*MAX(F775,0.1)^2),1/3))))),IF(IFERROR(V775,0)=1,MAX($D$16,IFERROR(L775,MAX($D$16,POWER((ABS(K775)^2)/($I$5*MAX(F775,0.1)^2),1/3)))),IF(IFERROR(AG775,0)=1,MAX($D$16,IFERROR(W775,MAX($D$16,POWER((ABS(K775)^2)/($I$5*MAX(F775,0.1)^2),1/3)))),MAX($D$16,POWER((ABS(K775)^2)/($I$5*MAX(F775,0.1)^2),1/3))))))),MAX($D$16,POWER((ABS(K775)^2)/($I$5*MAX(F775,0.1)^2),1/3)))</f>
        <v>2.1389677043987478</v>
      </c>
      <c r="AI775">
        <f t="shared" ca="1" si="393"/>
        <v>634.34496770439875</v>
      </c>
      <c r="AJ775">
        <f t="shared" ca="1" si="394"/>
        <v>635.41445155659812</v>
      </c>
      <c r="AM775">
        <v>0</v>
      </c>
      <c r="AN775">
        <v>0</v>
      </c>
      <c r="AO775">
        <f t="shared" si="395"/>
        <v>0</v>
      </c>
      <c r="AP775">
        <f t="shared" si="404"/>
        <v>0</v>
      </c>
      <c r="AQ775">
        <f t="shared" ca="1" si="396"/>
        <v>1.0000000000000004</v>
      </c>
      <c r="AR775" t="str">
        <f t="shared" ca="1" si="397"/>
        <v>Supercritical</v>
      </c>
      <c r="AS775">
        <f t="shared" ca="1" si="398"/>
        <v>3.8141460404132466E-3</v>
      </c>
    </row>
    <row r="776" spans="1:45" x14ac:dyDescent="0.35">
      <c r="A776">
        <v>715</v>
      </c>
      <c r="B776">
        <v>713.995</v>
      </c>
      <c r="C776">
        <v>616104.13100000005</v>
      </c>
      <c r="D776">
        <v>3097290.64</v>
      </c>
      <c r="E776">
        <v>632.20550000000003</v>
      </c>
      <c r="F776">
        <v>5.2</v>
      </c>
      <c r="G776">
        <v>0</v>
      </c>
      <c r="H776" t="s">
        <v>154</v>
      </c>
      <c r="I776">
        <v>2.3E-2</v>
      </c>
      <c r="J776">
        <f t="shared" si="399"/>
        <v>0.99900000000002365</v>
      </c>
      <c r="K776">
        <f t="shared" ca="1" si="400"/>
        <v>50.95</v>
      </c>
      <c r="L776">
        <f t="shared" ca="1" si="401"/>
        <v>2.1389677043987478</v>
      </c>
      <c r="M776">
        <f t="shared" ca="1" si="374"/>
        <v>11.122632062873489</v>
      </c>
      <c r="N776">
        <f t="shared" ca="1" si="375"/>
        <v>1.1735290000551568</v>
      </c>
      <c r="O776">
        <f t="shared" ca="1" si="376"/>
        <v>4.5807502857230418</v>
      </c>
      <c r="P776">
        <f t="shared" ca="1" si="377"/>
        <v>634.34446770439877</v>
      </c>
      <c r="Q776">
        <f t="shared" ca="1" si="378"/>
        <v>635.41395155659814</v>
      </c>
      <c r="R776">
        <f t="shared" ca="1" si="379"/>
        <v>3.8141460404132466E-3</v>
      </c>
      <c r="S776">
        <f t="shared" ca="1" si="380"/>
        <v>1.0000000000000004</v>
      </c>
      <c r="T776">
        <f t="shared" ca="1" si="381"/>
        <v>35.686426155594638</v>
      </c>
      <c r="U776">
        <f t="shared" ca="1" si="402"/>
        <v>-3.3513287753521581E-3</v>
      </c>
      <c r="V776">
        <f t="shared" ca="1" si="403"/>
        <v>1</v>
      </c>
      <c r="W776">
        <f t="shared" ca="1" si="382"/>
        <v>1.7069123395015027</v>
      </c>
      <c r="X776">
        <f t="shared" ca="1" si="383"/>
        <v>8.8759441654078142</v>
      </c>
      <c r="Y776">
        <f t="shared" ca="1" si="384"/>
        <v>1.0304300930391292</v>
      </c>
      <c r="Z776">
        <f t="shared" ca="1" si="385"/>
        <v>5.7402343965352172</v>
      </c>
      <c r="AA776">
        <f t="shared" ca="1" si="386"/>
        <v>633.91241233950154</v>
      </c>
      <c r="AB776">
        <f t="shared" ca="1" si="387"/>
        <v>635.59183593415833</v>
      </c>
      <c r="AC776">
        <f t="shared" ca="1" si="388"/>
        <v>7.1233408695727685E-3</v>
      </c>
      <c r="AD776">
        <f t="shared" ca="1" si="389"/>
        <v>1.4027798343104783</v>
      </c>
      <c r="AE776">
        <f t="shared" ca="1" si="390"/>
        <v>37.388169422814606</v>
      </c>
      <c r="AF776">
        <f t="shared" ca="1" si="391"/>
        <v>0.10519317108889936</v>
      </c>
      <c r="AG776">
        <f t="shared" ca="1" si="392"/>
        <v>0</v>
      </c>
      <c r="AH776">
        <f ca="1">IFERROR(IF(V32="Supercritical",MAX($D$16,IFERROR(L776,MAX($D$16,POWER((ABS(K776)^2)/($I$5*MAX(F776,0.1)^2),1/3)))),IF(V32="Subcritical",MAX($D$16,IFERROR(W776,MAX($D$16,POWER((ABS(K776)^2)/($I$5*MAX(F776,0.1)^2),1/3)))),IF(AND(IFERROR(V776,0)=1,IFERROR(AG776,0)=1),IF(IFERROR(T776,-1E+99)&gt;=IFERROR(AE776,-1E+99),MAX($D$16,IFERROR(L776,MAX($D$16,POWER((ABS(K776)^2)/($I$5*MAX(F776,0.1)^2),1/3)))),MAX($D$16,IFERROR(W776,MAX($D$16,POWER((ABS(K776)^2)/($I$5*MAX(F776,0.1)^2),1/3))))),IF(IFERROR(V776,0)=1,MAX($D$16,IFERROR(L776,MAX($D$16,POWER((ABS(K776)^2)/($I$5*MAX(F776,0.1)^2),1/3)))),IF(IFERROR(AG776,0)=1,MAX($D$16,IFERROR(W776,MAX($D$16,POWER((ABS(K776)^2)/($I$5*MAX(F776,0.1)^2),1/3)))),MAX($D$16,POWER((ABS(K776)^2)/($I$5*MAX(F776,0.1)^2),1/3))))))),MAX($D$16,POWER((ABS(K776)^2)/($I$5*MAX(F776,0.1)^2),1/3)))</f>
        <v>2.1389677043987478</v>
      </c>
      <c r="AI776">
        <f t="shared" ca="1" si="393"/>
        <v>634.34446770439877</v>
      </c>
      <c r="AJ776">
        <f t="shared" ca="1" si="394"/>
        <v>635.41395155659814</v>
      </c>
      <c r="AM776">
        <v>0</v>
      </c>
      <c r="AN776">
        <v>0</v>
      </c>
      <c r="AO776">
        <f t="shared" si="395"/>
        <v>0</v>
      </c>
      <c r="AP776">
        <f t="shared" si="404"/>
        <v>0</v>
      </c>
      <c r="AQ776">
        <f t="shared" ca="1" si="396"/>
        <v>1.0000000000000004</v>
      </c>
      <c r="AR776" t="str">
        <f t="shared" ca="1" si="397"/>
        <v>Supercritical</v>
      </c>
      <c r="AS776">
        <f t="shared" ca="1" si="398"/>
        <v>3.8141460404132466E-3</v>
      </c>
    </row>
    <row r="777" spans="1:45" x14ac:dyDescent="0.35">
      <c r="A777">
        <v>716</v>
      </c>
      <c r="B777">
        <v>714.99599999999998</v>
      </c>
      <c r="C777">
        <v>616103.65599999996</v>
      </c>
      <c r="D777">
        <v>3097289.7590000001</v>
      </c>
      <c r="E777">
        <v>632.20500000000004</v>
      </c>
      <c r="F777">
        <v>5.0670000000000002</v>
      </c>
      <c r="G777">
        <v>0</v>
      </c>
      <c r="H777" t="s">
        <v>154</v>
      </c>
      <c r="I777">
        <v>2.3E-2</v>
      </c>
      <c r="J777">
        <f t="shared" si="399"/>
        <v>1.0009999999999764</v>
      </c>
      <c r="K777">
        <f t="shared" ca="1" si="400"/>
        <v>50.95</v>
      </c>
      <c r="L777">
        <f t="shared" ca="1" si="401"/>
        <v>2.1762353150568448</v>
      </c>
      <c r="M777">
        <f t="shared" ca="1" si="374"/>
        <v>11.026984341393034</v>
      </c>
      <c r="N777">
        <f t="shared" ca="1" si="375"/>
        <v>1.1706586043317746</v>
      </c>
      <c r="O777">
        <f t="shared" ca="1" si="376"/>
        <v>4.6204835721716018</v>
      </c>
      <c r="P777">
        <f t="shared" ca="1" si="377"/>
        <v>634.38123531505687</v>
      </c>
      <c r="Q777">
        <f t="shared" ca="1" si="378"/>
        <v>635.46935297258528</v>
      </c>
      <c r="R777">
        <f t="shared" ca="1" si="379"/>
        <v>3.8932924749513747E-3</v>
      </c>
      <c r="S777">
        <f t="shared" ca="1" si="380"/>
        <v>1</v>
      </c>
      <c r="T777">
        <f t="shared" ca="1" si="381"/>
        <v>35.995969113477543</v>
      </c>
      <c r="U777">
        <f t="shared" ca="1" si="402"/>
        <v>-6.116408067384782E-2</v>
      </c>
      <c r="V777">
        <f t="shared" ca="1" si="403"/>
        <v>1</v>
      </c>
      <c r="W777">
        <f t="shared" ca="1" si="382"/>
        <v>1.7069123395013492</v>
      </c>
      <c r="X777">
        <f t="shared" ca="1" si="383"/>
        <v>8.6489248242533368</v>
      </c>
      <c r="Y777">
        <f t="shared" ca="1" si="384"/>
        <v>1.0198212027265261</v>
      </c>
      <c r="Z777">
        <f t="shared" ca="1" si="385"/>
        <v>5.8909056368631951</v>
      </c>
      <c r="AA777">
        <f t="shared" ca="1" si="386"/>
        <v>633.91191233950144</v>
      </c>
      <c r="AB777">
        <f t="shared" ca="1" si="387"/>
        <v>635.68065694818779</v>
      </c>
      <c r="AC777">
        <f t="shared" ca="1" si="388"/>
        <v>7.606436912729257E-3</v>
      </c>
      <c r="AD777">
        <f t="shared" ca="1" si="389"/>
        <v>1.4396003825568324</v>
      </c>
      <c r="AE777">
        <f t="shared" ca="1" si="390"/>
        <v>37.976956560632367</v>
      </c>
      <c r="AF777">
        <f t="shared" ca="1" si="391"/>
        <v>8.3180269697322728E-3</v>
      </c>
      <c r="AG777">
        <f t="shared" ca="1" si="392"/>
        <v>0</v>
      </c>
      <c r="AH777">
        <f ca="1">IFERROR(IF(V32="Supercritical",MAX($D$16,IFERROR(L777,MAX($D$16,POWER((ABS(K777)^2)/($I$5*MAX(F777,0.1)^2),1/3)))),IF(V32="Subcritical",MAX($D$16,IFERROR(W777,MAX($D$16,POWER((ABS(K777)^2)/($I$5*MAX(F777,0.1)^2),1/3)))),IF(AND(IFERROR(V777,0)=1,IFERROR(AG777,0)=1),IF(IFERROR(T777,-1E+99)&gt;=IFERROR(AE777,-1E+99),MAX($D$16,IFERROR(L777,MAX($D$16,POWER((ABS(K777)^2)/($I$5*MAX(F777,0.1)^2),1/3)))),MAX($D$16,IFERROR(W777,MAX($D$16,POWER((ABS(K777)^2)/($I$5*MAX(F777,0.1)^2),1/3))))),IF(IFERROR(V777,0)=1,MAX($D$16,IFERROR(L777,MAX($D$16,POWER((ABS(K777)^2)/($I$5*MAX(F777,0.1)^2),1/3)))),IF(IFERROR(AG777,0)=1,MAX($D$16,IFERROR(W777,MAX($D$16,POWER((ABS(K777)^2)/($I$5*MAX(F777,0.1)^2),1/3)))),MAX($D$16,POWER((ABS(K777)^2)/($I$5*MAX(F777,0.1)^2),1/3))))))),MAX($D$16,POWER((ABS(K777)^2)/($I$5*MAX(F777,0.1)^2),1/3)))</f>
        <v>2.1762353150568448</v>
      </c>
      <c r="AI777">
        <f t="shared" ca="1" si="393"/>
        <v>634.38123531505687</v>
      </c>
      <c r="AJ777">
        <f t="shared" ca="1" si="394"/>
        <v>635.46935297258528</v>
      </c>
      <c r="AM777">
        <v>0</v>
      </c>
      <c r="AN777">
        <v>0</v>
      </c>
      <c r="AO777">
        <f t="shared" si="395"/>
        <v>0</v>
      </c>
      <c r="AP777">
        <f t="shared" si="404"/>
        <v>0</v>
      </c>
      <c r="AQ777">
        <f t="shared" ca="1" si="396"/>
        <v>1</v>
      </c>
      <c r="AR777" t="str">
        <f t="shared" ca="1" si="397"/>
        <v>Supercritical</v>
      </c>
      <c r="AS777">
        <f t="shared" ca="1" si="398"/>
        <v>3.8932924749513747E-3</v>
      </c>
    </row>
    <row r="778" spans="1:45" x14ac:dyDescent="0.35">
      <c r="A778">
        <v>717</v>
      </c>
      <c r="B778">
        <v>715.99599999999998</v>
      </c>
      <c r="C778">
        <v>616103.18200000003</v>
      </c>
      <c r="D778">
        <v>3097288.8790000002</v>
      </c>
      <c r="E778">
        <v>632.20450000000005</v>
      </c>
      <c r="F778">
        <v>5.0670000000000002</v>
      </c>
      <c r="G778">
        <v>0</v>
      </c>
      <c r="H778" t="s">
        <v>154</v>
      </c>
      <c r="I778">
        <v>0.41099999999999998</v>
      </c>
      <c r="J778">
        <f t="shared" si="399"/>
        <v>1</v>
      </c>
      <c r="K778">
        <f t="shared" ca="1" si="400"/>
        <v>50.95</v>
      </c>
      <c r="L778">
        <f t="shared" ca="1" si="401"/>
        <v>2.1762353150568448</v>
      </c>
      <c r="M778">
        <f t="shared" ca="1" si="374"/>
        <v>11.026984341393034</v>
      </c>
      <c r="N778">
        <f t="shared" ca="1" si="375"/>
        <v>1.1706586043317746</v>
      </c>
      <c r="O778">
        <f t="shared" ca="1" si="376"/>
        <v>4.6204835721716018</v>
      </c>
      <c r="P778">
        <f t="shared" ca="1" si="377"/>
        <v>634.38073531505688</v>
      </c>
      <c r="Q778">
        <f t="shared" ca="1" si="378"/>
        <v>635.4688529725853</v>
      </c>
      <c r="R778">
        <f t="shared" ca="1" si="379"/>
        <v>3.8932924749513747E-3</v>
      </c>
      <c r="S778">
        <f t="shared" ca="1" si="380"/>
        <v>1</v>
      </c>
      <c r="T778">
        <f t="shared" ca="1" si="381"/>
        <v>35.995969113477543</v>
      </c>
      <c r="U778">
        <f t="shared" ca="1" si="402"/>
        <v>-4.1386530702993696E-3</v>
      </c>
      <c r="V778">
        <f t="shared" ca="1" si="403"/>
        <v>1</v>
      </c>
      <c r="W778">
        <f t="shared" ca="1" si="382"/>
        <v>1.7069123395012129</v>
      </c>
      <c r="X778">
        <f t="shared" ca="1" si="383"/>
        <v>8.6489248242526457</v>
      </c>
      <c r="Y778">
        <f t="shared" ca="1" si="384"/>
        <v>1.0198212027264775</v>
      </c>
      <c r="Z778">
        <f t="shared" ca="1" si="385"/>
        <v>5.8909056368636659</v>
      </c>
      <c r="AA778">
        <f t="shared" ca="1" si="386"/>
        <v>633.91141233950123</v>
      </c>
      <c r="AB778">
        <f t="shared" ca="1" si="387"/>
        <v>635.68015694818791</v>
      </c>
      <c r="AC778">
        <f t="shared" ca="1" si="388"/>
        <v>7.6064369127309562E-3</v>
      </c>
      <c r="AD778">
        <f t="shared" ca="1" si="389"/>
        <v>1.439600382557005</v>
      </c>
      <c r="AE778">
        <f t="shared" ca="1" si="390"/>
        <v>37.976956560633631</v>
      </c>
      <c r="AF778">
        <f t="shared" ca="1" si="391"/>
        <v>8.7661089371522394E-3</v>
      </c>
      <c r="AG778">
        <f t="shared" ca="1" si="392"/>
        <v>0</v>
      </c>
      <c r="AH778">
        <f ca="1">IFERROR(IF(V32="Supercritical",MAX($D$16,IFERROR(L778,MAX($D$16,POWER((ABS(K778)^2)/($I$5*MAX(F778,0.1)^2),1/3)))),IF(V32="Subcritical",MAX($D$16,IFERROR(W778,MAX($D$16,POWER((ABS(K778)^2)/($I$5*MAX(F778,0.1)^2),1/3)))),IF(AND(IFERROR(V778,0)=1,IFERROR(AG778,0)=1),IF(IFERROR(T778,-1E+99)&gt;=IFERROR(AE778,-1E+99),MAX($D$16,IFERROR(L778,MAX($D$16,POWER((ABS(K778)^2)/($I$5*MAX(F778,0.1)^2),1/3)))),MAX($D$16,IFERROR(W778,MAX($D$16,POWER((ABS(K778)^2)/($I$5*MAX(F778,0.1)^2),1/3))))),IF(IFERROR(V778,0)=1,MAX($D$16,IFERROR(L778,MAX($D$16,POWER((ABS(K778)^2)/($I$5*MAX(F778,0.1)^2),1/3)))),IF(IFERROR(AG778,0)=1,MAX($D$16,IFERROR(W778,MAX($D$16,POWER((ABS(K778)^2)/($I$5*MAX(F778,0.1)^2),1/3)))),MAX($D$16,POWER((ABS(K778)^2)/($I$5*MAX(F778,0.1)^2),1/3))))))),MAX($D$16,POWER((ABS(K778)^2)/($I$5*MAX(F778,0.1)^2),1/3)))</f>
        <v>2.1762353150568448</v>
      </c>
      <c r="AI778">
        <f t="shared" ca="1" si="393"/>
        <v>634.38073531505688</v>
      </c>
      <c r="AJ778">
        <f t="shared" ca="1" si="394"/>
        <v>635.4688529725853</v>
      </c>
      <c r="AM778">
        <v>0</v>
      </c>
      <c r="AN778">
        <v>0</v>
      </c>
      <c r="AO778">
        <f t="shared" si="395"/>
        <v>0</v>
      </c>
      <c r="AP778">
        <f t="shared" si="404"/>
        <v>0</v>
      </c>
      <c r="AQ778">
        <f t="shared" ca="1" si="396"/>
        <v>1</v>
      </c>
      <c r="AR778" t="str">
        <f t="shared" ca="1" si="397"/>
        <v>Supercritical</v>
      </c>
      <c r="AS778">
        <f t="shared" ca="1" si="398"/>
        <v>3.8932924749513747E-3</v>
      </c>
    </row>
    <row r="779" spans="1:45" x14ac:dyDescent="0.35">
      <c r="A779">
        <v>718</v>
      </c>
      <c r="B779">
        <v>716.99599999999998</v>
      </c>
      <c r="C779">
        <v>616102.71400000004</v>
      </c>
      <c r="D779">
        <v>3097287.9950000001</v>
      </c>
      <c r="E779">
        <v>632.20399999999995</v>
      </c>
      <c r="F779">
        <v>5.0670000000000002</v>
      </c>
      <c r="G779">
        <v>0</v>
      </c>
      <c r="H779" t="s">
        <v>154</v>
      </c>
      <c r="I779">
        <v>0.56299999999999994</v>
      </c>
      <c r="J779">
        <f t="shared" si="399"/>
        <v>1</v>
      </c>
      <c r="K779">
        <f t="shared" ca="1" si="400"/>
        <v>50.95</v>
      </c>
      <c r="L779">
        <f t="shared" ca="1" si="401"/>
        <v>2.1762353150568448</v>
      </c>
      <c r="M779">
        <f t="shared" ca="1" si="374"/>
        <v>11.026984341393034</v>
      </c>
      <c r="N779">
        <f t="shared" ca="1" si="375"/>
        <v>1.1706586043317746</v>
      </c>
      <c r="O779">
        <f t="shared" ca="1" si="376"/>
        <v>4.6204835721716018</v>
      </c>
      <c r="P779">
        <f t="shared" ca="1" si="377"/>
        <v>634.38023531505678</v>
      </c>
      <c r="Q779">
        <f t="shared" ca="1" si="378"/>
        <v>635.46835297258519</v>
      </c>
      <c r="R779">
        <f t="shared" ca="1" si="379"/>
        <v>3.8932924749513747E-3</v>
      </c>
      <c r="S779">
        <f t="shared" ca="1" si="380"/>
        <v>1</v>
      </c>
      <c r="T779">
        <f t="shared" ca="1" si="381"/>
        <v>35.995969113477543</v>
      </c>
      <c r="U779">
        <f t="shared" ca="1" si="402"/>
        <v>-4.4143095434492352E-3</v>
      </c>
      <c r="V779">
        <f t="shared" ca="1" si="403"/>
        <v>1</v>
      </c>
      <c r="W779">
        <f t="shared" ca="1" si="382"/>
        <v>1.7069123395010934</v>
      </c>
      <c r="X779">
        <f t="shared" ca="1" si="383"/>
        <v>8.64892482425204</v>
      </c>
      <c r="Y779">
        <f t="shared" ca="1" si="384"/>
        <v>1.0198212027264348</v>
      </c>
      <c r="Z779">
        <f t="shared" ca="1" si="385"/>
        <v>5.8909056368640789</v>
      </c>
      <c r="AA779">
        <f t="shared" ca="1" si="386"/>
        <v>633.91091233950101</v>
      </c>
      <c r="AB779">
        <f t="shared" ca="1" si="387"/>
        <v>635.67965694818793</v>
      </c>
      <c r="AC779">
        <f t="shared" ca="1" si="388"/>
        <v>7.6064369127324472E-3</v>
      </c>
      <c r="AD779">
        <f t="shared" ca="1" si="389"/>
        <v>1.4396003825571562</v>
      </c>
      <c r="AE779">
        <f t="shared" ca="1" si="390"/>
        <v>37.97695656063474</v>
      </c>
      <c r="AF779">
        <f t="shared" ca="1" si="391"/>
        <v>8.6953591528526886E-3</v>
      </c>
      <c r="AG779">
        <f t="shared" ca="1" si="392"/>
        <v>0</v>
      </c>
      <c r="AH779">
        <f ca="1">IFERROR(IF(V32="Supercritical",MAX($D$16,IFERROR(L779,MAX($D$16,POWER((ABS(K779)^2)/($I$5*MAX(F779,0.1)^2),1/3)))),IF(V32="Subcritical",MAX($D$16,IFERROR(W779,MAX($D$16,POWER((ABS(K779)^2)/($I$5*MAX(F779,0.1)^2),1/3)))),IF(AND(IFERROR(V779,0)=1,IFERROR(AG779,0)=1),IF(IFERROR(T779,-1E+99)&gt;=IFERROR(AE779,-1E+99),MAX($D$16,IFERROR(L779,MAX($D$16,POWER((ABS(K779)^2)/($I$5*MAX(F779,0.1)^2),1/3)))),MAX($D$16,IFERROR(W779,MAX($D$16,POWER((ABS(K779)^2)/($I$5*MAX(F779,0.1)^2),1/3))))),IF(IFERROR(V779,0)=1,MAX($D$16,IFERROR(L779,MAX($D$16,POWER((ABS(K779)^2)/($I$5*MAX(F779,0.1)^2),1/3)))),IF(IFERROR(AG779,0)=1,MAX($D$16,IFERROR(W779,MAX($D$16,POWER((ABS(K779)^2)/($I$5*MAX(F779,0.1)^2),1/3)))),MAX($D$16,POWER((ABS(K779)^2)/($I$5*MAX(F779,0.1)^2),1/3))))))),MAX($D$16,POWER((ABS(K779)^2)/($I$5*MAX(F779,0.1)^2),1/3)))</f>
        <v>2.1762353150568448</v>
      </c>
      <c r="AI779">
        <f t="shared" ca="1" si="393"/>
        <v>634.38023531505678</v>
      </c>
      <c r="AJ779">
        <f t="shared" ca="1" si="394"/>
        <v>635.46835297258519</v>
      </c>
      <c r="AM779">
        <v>0</v>
      </c>
      <c r="AN779">
        <v>0</v>
      </c>
      <c r="AO779">
        <f t="shared" si="395"/>
        <v>0</v>
      </c>
      <c r="AP779">
        <f t="shared" si="404"/>
        <v>0</v>
      </c>
      <c r="AQ779">
        <f t="shared" ca="1" si="396"/>
        <v>1</v>
      </c>
      <c r="AR779" t="str">
        <f t="shared" ca="1" si="397"/>
        <v>Supercritical</v>
      </c>
      <c r="AS779">
        <f t="shared" ca="1" si="398"/>
        <v>3.8932924749513747E-3</v>
      </c>
    </row>
    <row r="780" spans="1:45" x14ac:dyDescent="0.35">
      <c r="A780">
        <v>719</v>
      </c>
      <c r="B780">
        <v>717.99599999999998</v>
      </c>
      <c r="C780">
        <v>616102.255</v>
      </c>
      <c r="D780">
        <v>3097287.1069999998</v>
      </c>
      <c r="E780">
        <v>632.20349999999996</v>
      </c>
      <c r="F780">
        <v>5.0670000000000002</v>
      </c>
      <c r="G780">
        <v>0</v>
      </c>
      <c r="H780" t="s">
        <v>154</v>
      </c>
      <c r="I780">
        <v>0.53900000000000003</v>
      </c>
      <c r="J780">
        <f t="shared" si="399"/>
        <v>1</v>
      </c>
      <c r="K780">
        <f t="shared" ca="1" si="400"/>
        <v>50.95</v>
      </c>
      <c r="L780">
        <f t="shared" ca="1" si="401"/>
        <v>2.1762353150568448</v>
      </c>
      <c r="M780">
        <f t="shared" ca="1" si="374"/>
        <v>11.026984341393034</v>
      </c>
      <c r="N780">
        <f t="shared" ca="1" si="375"/>
        <v>1.1706586043317746</v>
      </c>
      <c r="O780">
        <f t="shared" ca="1" si="376"/>
        <v>4.6204835721716018</v>
      </c>
      <c r="P780">
        <f t="shared" ca="1" si="377"/>
        <v>634.37973531505679</v>
      </c>
      <c r="Q780">
        <f t="shared" ca="1" si="378"/>
        <v>635.46785297258521</v>
      </c>
      <c r="R780">
        <f t="shared" ca="1" si="379"/>
        <v>3.8932924749513747E-3</v>
      </c>
      <c r="S780">
        <f t="shared" ca="1" si="380"/>
        <v>1</v>
      </c>
      <c r="T780">
        <f t="shared" ca="1" si="381"/>
        <v>35.995969113477543</v>
      </c>
      <c r="U780">
        <f t="shared" ca="1" si="402"/>
        <v>-4.3707848373060187E-3</v>
      </c>
      <c r="V780">
        <f t="shared" ca="1" si="403"/>
        <v>1</v>
      </c>
      <c r="W780">
        <f t="shared" ca="1" si="382"/>
        <v>1.706912339500974</v>
      </c>
      <c r="X780">
        <f t="shared" ca="1" si="383"/>
        <v>8.648924824251436</v>
      </c>
      <c r="Y780">
        <f t="shared" ca="1" si="384"/>
        <v>1.0198212027263922</v>
      </c>
      <c r="Z780">
        <f t="shared" ca="1" si="385"/>
        <v>5.8909056368644901</v>
      </c>
      <c r="AA780">
        <f t="shared" ca="1" si="386"/>
        <v>633.91041233950091</v>
      </c>
      <c r="AB780">
        <f t="shared" ca="1" si="387"/>
        <v>635.67915694818805</v>
      </c>
      <c r="AC780">
        <f t="shared" ca="1" si="388"/>
        <v>7.6064369127339338E-3</v>
      </c>
      <c r="AD780">
        <f t="shared" ca="1" si="389"/>
        <v>1.4396003825573069</v>
      </c>
      <c r="AE780">
        <f t="shared" ca="1" si="390"/>
        <v>37.976956560635841</v>
      </c>
      <c r="AF780">
        <f t="shared" ca="1" si="391"/>
        <v>8.7690568449261264E-3</v>
      </c>
      <c r="AG780">
        <f t="shared" ca="1" si="392"/>
        <v>0</v>
      </c>
      <c r="AH780">
        <f ca="1">IFERROR(IF(V32="Supercritical",MAX($D$16,IFERROR(L780,MAX($D$16,POWER((ABS(K780)^2)/($I$5*MAX(F780,0.1)^2),1/3)))),IF(V32="Subcritical",MAX($D$16,IFERROR(W780,MAX($D$16,POWER((ABS(K780)^2)/($I$5*MAX(F780,0.1)^2),1/3)))),IF(AND(IFERROR(V780,0)=1,IFERROR(AG780,0)=1),IF(IFERROR(T780,-1E+99)&gt;=IFERROR(AE780,-1E+99),MAX($D$16,IFERROR(L780,MAX($D$16,POWER((ABS(K780)^2)/($I$5*MAX(F780,0.1)^2),1/3)))),MAX($D$16,IFERROR(W780,MAX($D$16,POWER((ABS(K780)^2)/($I$5*MAX(F780,0.1)^2),1/3))))),IF(IFERROR(V780,0)=1,MAX($D$16,IFERROR(L780,MAX($D$16,POWER((ABS(K780)^2)/($I$5*MAX(F780,0.1)^2),1/3)))),IF(IFERROR(AG780,0)=1,MAX($D$16,IFERROR(W780,MAX($D$16,POWER((ABS(K780)^2)/($I$5*MAX(F780,0.1)^2),1/3)))),MAX($D$16,POWER((ABS(K780)^2)/($I$5*MAX(F780,0.1)^2),1/3))))))),MAX($D$16,POWER((ABS(K780)^2)/($I$5*MAX(F780,0.1)^2),1/3)))</f>
        <v>2.1762353150568448</v>
      </c>
      <c r="AI780">
        <f t="shared" ca="1" si="393"/>
        <v>634.37973531505679</v>
      </c>
      <c r="AJ780">
        <f t="shared" ca="1" si="394"/>
        <v>635.46785297258521</v>
      </c>
      <c r="AM780">
        <v>0</v>
      </c>
      <c r="AN780">
        <v>0</v>
      </c>
      <c r="AO780">
        <f t="shared" si="395"/>
        <v>0</v>
      </c>
      <c r="AP780">
        <f t="shared" si="404"/>
        <v>0</v>
      </c>
      <c r="AQ780">
        <f t="shared" ca="1" si="396"/>
        <v>1</v>
      </c>
      <c r="AR780" t="str">
        <f t="shared" ca="1" si="397"/>
        <v>Supercritical</v>
      </c>
      <c r="AS780">
        <f t="shared" ca="1" si="398"/>
        <v>3.8932924749513747E-3</v>
      </c>
    </row>
    <row r="781" spans="1:45" x14ac:dyDescent="0.35">
      <c r="A781">
        <v>720</v>
      </c>
      <c r="B781">
        <v>718.99599999999998</v>
      </c>
      <c r="C781">
        <v>616101.804</v>
      </c>
      <c r="D781">
        <v>3097286.2140000002</v>
      </c>
      <c r="E781">
        <v>632.20299999999997</v>
      </c>
      <c r="F781">
        <v>5.0670000000000002</v>
      </c>
      <c r="G781">
        <v>0</v>
      </c>
      <c r="H781" t="s">
        <v>154</v>
      </c>
      <c r="I781">
        <v>0.56399999999999995</v>
      </c>
      <c r="J781">
        <f t="shared" si="399"/>
        <v>1</v>
      </c>
      <c r="K781">
        <f t="shared" ca="1" si="400"/>
        <v>50.95</v>
      </c>
      <c r="L781">
        <f t="shared" ca="1" si="401"/>
        <v>2.1762353150568448</v>
      </c>
      <c r="M781">
        <f t="shared" ca="1" si="374"/>
        <v>11.026984341393034</v>
      </c>
      <c r="N781">
        <f t="shared" ca="1" si="375"/>
        <v>1.1706586043317746</v>
      </c>
      <c r="O781">
        <f t="shared" ca="1" si="376"/>
        <v>4.6204835721716018</v>
      </c>
      <c r="P781">
        <f t="shared" ca="1" si="377"/>
        <v>634.3792353150568</v>
      </c>
      <c r="Q781">
        <f t="shared" ca="1" si="378"/>
        <v>635.46735297258522</v>
      </c>
      <c r="R781">
        <f t="shared" ca="1" si="379"/>
        <v>3.8932924749513747E-3</v>
      </c>
      <c r="S781">
        <f t="shared" ca="1" si="380"/>
        <v>1</v>
      </c>
      <c r="T781">
        <f t="shared" ca="1" si="381"/>
        <v>35.995969113477543</v>
      </c>
      <c r="U781">
        <f t="shared" ca="1" si="402"/>
        <v>-4.4161230730423995E-3</v>
      </c>
      <c r="V781">
        <f t="shared" ca="1" si="403"/>
        <v>1</v>
      </c>
      <c r="W781">
        <f t="shared" ca="1" si="382"/>
        <v>1.7069123395008545</v>
      </c>
      <c r="X781">
        <f t="shared" ca="1" si="383"/>
        <v>8.6489248242508303</v>
      </c>
      <c r="Y781">
        <f t="shared" ca="1" si="384"/>
        <v>1.0198212027263494</v>
      </c>
      <c r="Z781">
        <f t="shared" ca="1" si="385"/>
        <v>5.8909056368649022</v>
      </c>
      <c r="AA781">
        <f t="shared" ca="1" si="386"/>
        <v>633.90991233950081</v>
      </c>
      <c r="AB781">
        <f t="shared" ca="1" si="387"/>
        <v>635.67865694818818</v>
      </c>
      <c r="AC781">
        <f t="shared" ca="1" si="388"/>
        <v>7.6064369127354274E-3</v>
      </c>
      <c r="AD781">
        <f t="shared" ca="1" si="389"/>
        <v>1.4396003825574579</v>
      </c>
      <c r="AE781">
        <f t="shared" ca="1" si="390"/>
        <v>37.976956560636957</v>
      </c>
      <c r="AF781">
        <f t="shared" ca="1" si="391"/>
        <v>8.9223480442797154E-3</v>
      </c>
      <c r="AG781">
        <f t="shared" ca="1" si="392"/>
        <v>0</v>
      </c>
      <c r="AH781">
        <f ca="1">IFERROR(IF(V32="Supercritical",MAX($D$16,IFERROR(L781,MAX($D$16,POWER((ABS(K781)^2)/($I$5*MAX(F781,0.1)^2),1/3)))),IF(V32="Subcritical",MAX($D$16,IFERROR(W781,MAX($D$16,POWER((ABS(K781)^2)/($I$5*MAX(F781,0.1)^2),1/3)))),IF(AND(IFERROR(V781,0)=1,IFERROR(AG781,0)=1),IF(IFERROR(T781,-1E+99)&gt;=IFERROR(AE781,-1E+99),MAX($D$16,IFERROR(L781,MAX($D$16,POWER((ABS(K781)^2)/($I$5*MAX(F781,0.1)^2),1/3)))),MAX($D$16,IFERROR(W781,MAX($D$16,POWER((ABS(K781)^2)/($I$5*MAX(F781,0.1)^2),1/3))))),IF(IFERROR(V781,0)=1,MAX($D$16,IFERROR(L781,MAX($D$16,POWER((ABS(K781)^2)/($I$5*MAX(F781,0.1)^2),1/3)))),IF(IFERROR(AG781,0)=1,MAX($D$16,IFERROR(W781,MAX($D$16,POWER((ABS(K781)^2)/($I$5*MAX(F781,0.1)^2),1/3)))),MAX($D$16,POWER((ABS(K781)^2)/($I$5*MAX(F781,0.1)^2),1/3))))))),MAX($D$16,POWER((ABS(K781)^2)/($I$5*MAX(F781,0.1)^2),1/3)))</f>
        <v>2.1762353150568448</v>
      </c>
      <c r="AI781">
        <f t="shared" ca="1" si="393"/>
        <v>634.3792353150568</v>
      </c>
      <c r="AJ781">
        <f t="shared" ca="1" si="394"/>
        <v>635.46735297258522</v>
      </c>
      <c r="AM781">
        <v>0</v>
      </c>
      <c r="AN781">
        <v>0</v>
      </c>
      <c r="AO781">
        <f t="shared" si="395"/>
        <v>0</v>
      </c>
      <c r="AP781">
        <f t="shared" si="404"/>
        <v>0</v>
      </c>
      <c r="AQ781">
        <f t="shared" ca="1" si="396"/>
        <v>1</v>
      </c>
      <c r="AR781" t="str">
        <f t="shared" ca="1" si="397"/>
        <v>Supercritical</v>
      </c>
      <c r="AS781">
        <f t="shared" ca="1" si="398"/>
        <v>3.8932924749513747E-3</v>
      </c>
    </row>
    <row r="782" spans="1:45" x14ac:dyDescent="0.35">
      <c r="A782">
        <v>721</v>
      </c>
      <c r="B782">
        <v>719.99599999999998</v>
      </c>
      <c r="C782">
        <v>616101.36199999996</v>
      </c>
      <c r="D782">
        <v>3097285.3169999998</v>
      </c>
      <c r="E782">
        <v>632.20249999999999</v>
      </c>
      <c r="F782">
        <v>5.0670000000000002</v>
      </c>
      <c r="G782">
        <v>0</v>
      </c>
      <c r="H782" t="s">
        <v>154</v>
      </c>
      <c r="I782">
        <v>0.61599999999999999</v>
      </c>
      <c r="J782">
        <f t="shared" si="399"/>
        <v>1</v>
      </c>
      <c r="K782">
        <f t="shared" ca="1" si="400"/>
        <v>50.95</v>
      </c>
      <c r="L782">
        <f t="shared" ca="1" si="401"/>
        <v>2.1762353150568448</v>
      </c>
      <c r="M782">
        <f t="shared" ca="1" si="374"/>
        <v>11.026984341393034</v>
      </c>
      <c r="N782">
        <f t="shared" ca="1" si="375"/>
        <v>1.1706586043317746</v>
      </c>
      <c r="O782">
        <f t="shared" ca="1" si="376"/>
        <v>4.6204835721716018</v>
      </c>
      <c r="P782">
        <f t="shared" ca="1" si="377"/>
        <v>634.37873531505682</v>
      </c>
      <c r="Q782">
        <f t="shared" ca="1" si="378"/>
        <v>635.46685297258523</v>
      </c>
      <c r="R782">
        <f t="shared" ca="1" si="379"/>
        <v>3.8932924749513747E-3</v>
      </c>
      <c r="S782">
        <f t="shared" ca="1" si="380"/>
        <v>1</v>
      </c>
      <c r="T782">
        <f t="shared" ca="1" si="381"/>
        <v>35.995969113477543</v>
      </c>
      <c r="U782">
        <f t="shared" ca="1" si="402"/>
        <v>-4.510426603360429E-3</v>
      </c>
      <c r="V782">
        <f t="shared" ca="1" si="403"/>
        <v>1</v>
      </c>
      <c r="W782">
        <f t="shared" ca="1" si="382"/>
        <v>1.7069123395007522</v>
      </c>
      <c r="X782">
        <f t="shared" ca="1" si="383"/>
        <v>8.6489248242503116</v>
      </c>
      <c r="Y782">
        <f t="shared" ca="1" si="384"/>
        <v>1.0198212027263129</v>
      </c>
      <c r="Z782">
        <f t="shared" ca="1" si="385"/>
        <v>5.8909056368652557</v>
      </c>
      <c r="AA782">
        <f t="shared" ca="1" si="386"/>
        <v>633.9094123395007</v>
      </c>
      <c r="AB782">
        <f t="shared" ca="1" si="387"/>
        <v>635.6781569481883</v>
      </c>
      <c r="AC782">
        <f t="shared" ca="1" si="388"/>
        <v>7.6064369127366981E-3</v>
      </c>
      <c r="AD782">
        <f t="shared" ca="1" si="389"/>
        <v>1.4396003825575874</v>
      </c>
      <c r="AE782">
        <f t="shared" ca="1" si="390"/>
        <v>37.976956560637909</v>
      </c>
      <c r="AF782">
        <f t="shared" ca="1" si="391"/>
        <v>8.6818569005799873E-3</v>
      </c>
      <c r="AG782">
        <f t="shared" ca="1" si="392"/>
        <v>0</v>
      </c>
      <c r="AH782">
        <f ca="1">IFERROR(IF(V32="Supercritical",MAX($D$16,IFERROR(L782,MAX($D$16,POWER((ABS(K782)^2)/($I$5*MAX(F782,0.1)^2),1/3)))),IF(V32="Subcritical",MAX($D$16,IFERROR(W782,MAX($D$16,POWER((ABS(K782)^2)/($I$5*MAX(F782,0.1)^2),1/3)))),IF(AND(IFERROR(V782,0)=1,IFERROR(AG782,0)=1),IF(IFERROR(T782,-1E+99)&gt;=IFERROR(AE782,-1E+99),MAX($D$16,IFERROR(L782,MAX($D$16,POWER((ABS(K782)^2)/($I$5*MAX(F782,0.1)^2),1/3)))),MAX($D$16,IFERROR(W782,MAX($D$16,POWER((ABS(K782)^2)/($I$5*MAX(F782,0.1)^2),1/3))))),IF(IFERROR(V782,0)=1,MAX($D$16,IFERROR(L782,MAX($D$16,POWER((ABS(K782)^2)/($I$5*MAX(F782,0.1)^2),1/3)))),IF(IFERROR(AG782,0)=1,MAX($D$16,IFERROR(W782,MAX($D$16,POWER((ABS(K782)^2)/($I$5*MAX(F782,0.1)^2),1/3)))),MAX($D$16,POWER((ABS(K782)^2)/($I$5*MAX(F782,0.1)^2),1/3))))))),MAX($D$16,POWER((ABS(K782)^2)/($I$5*MAX(F782,0.1)^2),1/3)))</f>
        <v>2.1762353150568448</v>
      </c>
      <c r="AI782">
        <f t="shared" ca="1" si="393"/>
        <v>634.37873531505682</v>
      </c>
      <c r="AJ782">
        <f t="shared" ca="1" si="394"/>
        <v>635.46685297258523</v>
      </c>
      <c r="AM782">
        <v>0</v>
      </c>
      <c r="AN782">
        <v>0</v>
      </c>
      <c r="AO782">
        <f t="shared" si="395"/>
        <v>0</v>
      </c>
      <c r="AP782">
        <f t="shared" si="404"/>
        <v>0</v>
      </c>
      <c r="AQ782">
        <f t="shared" ca="1" si="396"/>
        <v>1</v>
      </c>
      <c r="AR782" t="str">
        <f t="shared" ca="1" si="397"/>
        <v>Supercritical</v>
      </c>
      <c r="AS782">
        <f t="shared" ca="1" si="398"/>
        <v>3.8932924749513747E-3</v>
      </c>
    </row>
    <row r="783" spans="1:45" x14ac:dyDescent="0.35">
      <c r="A783">
        <v>722</v>
      </c>
      <c r="B783">
        <v>720.995</v>
      </c>
      <c r="C783">
        <v>616100.93000000005</v>
      </c>
      <c r="D783">
        <v>3097284.4160000002</v>
      </c>
      <c r="E783">
        <v>632.202</v>
      </c>
      <c r="F783">
        <v>5.0670000000000002</v>
      </c>
      <c r="G783">
        <v>0</v>
      </c>
      <c r="H783" t="s">
        <v>154</v>
      </c>
      <c r="I783">
        <v>0.53700000000000003</v>
      </c>
      <c r="J783">
        <f t="shared" si="399"/>
        <v>0.99900000000002365</v>
      </c>
      <c r="K783">
        <f t="shared" ca="1" si="400"/>
        <v>50.95</v>
      </c>
      <c r="L783">
        <f t="shared" ca="1" si="401"/>
        <v>2.1762353150568448</v>
      </c>
      <c r="M783">
        <f t="shared" ca="1" si="374"/>
        <v>11.026984341393034</v>
      </c>
      <c r="N783">
        <f t="shared" ca="1" si="375"/>
        <v>1.1706586043317746</v>
      </c>
      <c r="O783">
        <f t="shared" ca="1" si="376"/>
        <v>4.6204835721716018</v>
      </c>
      <c r="P783">
        <f t="shared" ca="1" si="377"/>
        <v>634.37823531505683</v>
      </c>
      <c r="Q783">
        <f t="shared" ca="1" si="378"/>
        <v>635.46635297258524</v>
      </c>
      <c r="R783">
        <f t="shared" ca="1" si="379"/>
        <v>3.8932924749513747E-3</v>
      </c>
      <c r="S783">
        <f t="shared" ca="1" si="380"/>
        <v>1</v>
      </c>
      <c r="T783">
        <f t="shared" ca="1" si="381"/>
        <v>35.995969113477543</v>
      </c>
      <c r="U783">
        <f t="shared" ca="1" si="402"/>
        <v>-4.3632644860736036E-3</v>
      </c>
      <c r="V783">
        <f t="shared" ca="1" si="403"/>
        <v>1</v>
      </c>
      <c r="W783">
        <f t="shared" ca="1" si="382"/>
        <v>1.7069123395006498</v>
      </c>
      <c r="X783">
        <f t="shared" ca="1" si="383"/>
        <v>8.6489248242497929</v>
      </c>
      <c r="Y783">
        <f t="shared" ca="1" si="384"/>
        <v>1.0198212027262765</v>
      </c>
      <c r="Z783">
        <f t="shared" ca="1" si="385"/>
        <v>5.8909056368656092</v>
      </c>
      <c r="AA783">
        <f t="shared" ca="1" si="386"/>
        <v>633.9089123395006</v>
      </c>
      <c r="AB783">
        <f t="shared" ca="1" si="387"/>
        <v>635.67765694818843</v>
      </c>
      <c r="AC783">
        <f t="shared" ca="1" si="388"/>
        <v>7.606436912737974E-3</v>
      </c>
      <c r="AD783">
        <f t="shared" ca="1" si="389"/>
        <v>1.4396003825577173</v>
      </c>
      <c r="AE783">
        <f t="shared" ca="1" si="390"/>
        <v>37.976956560638854</v>
      </c>
      <c r="AF783">
        <f t="shared" ca="1" si="391"/>
        <v>8.9299544812320164E-3</v>
      </c>
      <c r="AG783">
        <f t="shared" ca="1" si="392"/>
        <v>0</v>
      </c>
      <c r="AH783">
        <f ca="1">IFERROR(IF(V32="Supercritical",MAX($D$16,IFERROR(L783,MAX($D$16,POWER((ABS(K783)^2)/($I$5*MAX(F783,0.1)^2),1/3)))),IF(V32="Subcritical",MAX($D$16,IFERROR(W783,MAX($D$16,POWER((ABS(K783)^2)/($I$5*MAX(F783,0.1)^2),1/3)))),IF(AND(IFERROR(V783,0)=1,IFERROR(AG783,0)=1),IF(IFERROR(T783,-1E+99)&gt;=IFERROR(AE783,-1E+99),MAX($D$16,IFERROR(L783,MAX($D$16,POWER((ABS(K783)^2)/($I$5*MAX(F783,0.1)^2),1/3)))),MAX($D$16,IFERROR(W783,MAX($D$16,POWER((ABS(K783)^2)/($I$5*MAX(F783,0.1)^2),1/3))))),IF(IFERROR(V783,0)=1,MAX($D$16,IFERROR(L783,MAX($D$16,POWER((ABS(K783)^2)/($I$5*MAX(F783,0.1)^2),1/3)))),IF(IFERROR(AG783,0)=1,MAX($D$16,IFERROR(W783,MAX($D$16,POWER((ABS(K783)^2)/($I$5*MAX(F783,0.1)^2),1/3)))),MAX($D$16,POWER((ABS(K783)^2)/($I$5*MAX(F783,0.1)^2),1/3))))))),MAX($D$16,POWER((ABS(K783)^2)/($I$5*MAX(F783,0.1)^2),1/3)))</f>
        <v>2.1762353150568448</v>
      </c>
      <c r="AI783">
        <f t="shared" ca="1" si="393"/>
        <v>634.37823531505683</v>
      </c>
      <c r="AJ783">
        <f t="shared" ca="1" si="394"/>
        <v>635.46635297258524</v>
      </c>
      <c r="AM783">
        <v>0</v>
      </c>
      <c r="AN783">
        <v>0</v>
      </c>
      <c r="AO783">
        <f t="shared" si="395"/>
        <v>0</v>
      </c>
      <c r="AP783">
        <f t="shared" si="404"/>
        <v>0</v>
      </c>
      <c r="AQ783">
        <f t="shared" ca="1" si="396"/>
        <v>1</v>
      </c>
      <c r="AR783" t="str">
        <f t="shared" ca="1" si="397"/>
        <v>Supercritical</v>
      </c>
      <c r="AS783">
        <f t="shared" ca="1" si="398"/>
        <v>3.8932924749513747E-3</v>
      </c>
    </row>
    <row r="784" spans="1:45" x14ac:dyDescent="0.35">
      <c r="A784">
        <v>723</v>
      </c>
      <c r="B784">
        <v>721.99599999999998</v>
      </c>
      <c r="C784">
        <v>616100.50600000005</v>
      </c>
      <c r="D784">
        <v>3097283.51</v>
      </c>
      <c r="E784">
        <v>632.20150000000001</v>
      </c>
      <c r="F784">
        <v>5.0670000000000002</v>
      </c>
      <c r="G784">
        <v>0</v>
      </c>
      <c r="H784" t="s">
        <v>154</v>
      </c>
      <c r="I784">
        <v>0.61599999999999999</v>
      </c>
      <c r="J784">
        <f t="shared" si="399"/>
        <v>1.0009999999999764</v>
      </c>
      <c r="K784">
        <f t="shared" ca="1" si="400"/>
        <v>50.95</v>
      </c>
      <c r="L784">
        <f t="shared" ca="1" si="401"/>
        <v>2.1762353150568448</v>
      </c>
      <c r="M784">
        <f t="shared" ca="1" si="374"/>
        <v>11.026984341393034</v>
      </c>
      <c r="N784">
        <f t="shared" ca="1" si="375"/>
        <v>1.1706586043317746</v>
      </c>
      <c r="O784">
        <f t="shared" ca="1" si="376"/>
        <v>4.6204835721716018</v>
      </c>
      <c r="P784">
        <f t="shared" ca="1" si="377"/>
        <v>634.37773531505684</v>
      </c>
      <c r="Q784">
        <f t="shared" ca="1" si="378"/>
        <v>635.46585297258525</v>
      </c>
      <c r="R784">
        <f t="shared" ca="1" si="379"/>
        <v>3.8932924749513747E-3</v>
      </c>
      <c r="S784">
        <f t="shared" ca="1" si="380"/>
        <v>1</v>
      </c>
      <c r="T784">
        <f t="shared" ca="1" si="381"/>
        <v>35.995969113477543</v>
      </c>
      <c r="U784">
        <f t="shared" ca="1" si="402"/>
        <v>-4.5143198958612629E-3</v>
      </c>
      <c r="V784">
        <f t="shared" ca="1" si="403"/>
        <v>1</v>
      </c>
      <c r="W784">
        <f t="shared" ca="1" si="382"/>
        <v>1.7069123395005474</v>
      </c>
      <c r="X784">
        <f t="shared" ca="1" si="383"/>
        <v>8.6489248242492742</v>
      </c>
      <c r="Y784">
        <f t="shared" ca="1" si="384"/>
        <v>1.0198212027262399</v>
      </c>
      <c r="Z784">
        <f t="shared" ca="1" si="385"/>
        <v>5.8909056368659627</v>
      </c>
      <c r="AA784">
        <f t="shared" ca="1" si="386"/>
        <v>633.9084123395005</v>
      </c>
      <c r="AB784">
        <f t="shared" ca="1" si="387"/>
        <v>635.67715694818855</v>
      </c>
      <c r="AC784">
        <f t="shared" ca="1" si="388"/>
        <v>7.6064369127392525E-3</v>
      </c>
      <c r="AD784">
        <f t="shared" ca="1" si="389"/>
        <v>1.4396003825578465</v>
      </c>
      <c r="AE784">
        <f t="shared" ca="1" si="390"/>
        <v>37.976956560639806</v>
      </c>
      <c r="AF784">
        <f t="shared" ca="1" si="391"/>
        <v>8.6081592085065495E-3</v>
      </c>
      <c r="AG784">
        <f t="shared" ca="1" si="392"/>
        <v>0</v>
      </c>
      <c r="AH784">
        <f ca="1">IFERROR(IF(V32="Supercritical",MAX($D$16,IFERROR(L784,MAX($D$16,POWER((ABS(K784)^2)/($I$5*MAX(F784,0.1)^2),1/3)))),IF(V32="Subcritical",MAX($D$16,IFERROR(W784,MAX($D$16,POWER((ABS(K784)^2)/($I$5*MAX(F784,0.1)^2),1/3)))),IF(AND(IFERROR(V784,0)=1,IFERROR(AG784,0)=1),IF(IFERROR(T784,-1E+99)&gt;=IFERROR(AE784,-1E+99),MAX($D$16,IFERROR(L784,MAX($D$16,POWER((ABS(K784)^2)/($I$5*MAX(F784,0.1)^2),1/3)))),MAX($D$16,IFERROR(W784,MAX($D$16,POWER((ABS(K784)^2)/($I$5*MAX(F784,0.1)^2),1/3))))),IF(IFERROR(V784,0)=1,MAX($D$16,IFERROR(L784,MAX($D$16,POWER((ABS(K784)^2)/($I$5*MAX(F784,0.1)^2),1/3)))),IF(IFERROR(AG784,0)=1,MAX($D$16,IFERROR(W784,MAX($D$16,POWER((ABS(K784)^2)/($I$5*MAX(F784,0.1)^2),1/3)))),MAX($D$16,POWER((ABS(K784)^2)/($I$5*MAX(F784,0.1)^2),1/3))))))),MAX($D$16,POWER((ABS(K784)^2)/($I$5*MAX(F784,0.1)^2),1/3)))</f>
        <v>2.1762353150568448</v>
      </c>
      <c r="AI784">
        <f t="shared" ca="1" si="393"/>
        <v>634.37773531505684</v>
      </c>
      <c r="AJ784">
        <f t="shared" ca="1" si="394"/>
        <v>635.46585297258525</v>
      </c>
      <c r="AM784">
        <v>0</v>
      </c>
      <c r="AN784">
        <v>0</v>
      </c>
      <c r="AO784">
        <f t="shared" si="395"/>
        <v>0</v>
      </c>
      <c r="AP784">
        <f t="shared" si="404"/>
        <v>0</v>
      </c>
      <c r="AQ784">
        <f t="shared" ca="1" si="396"/>
        <v>1</v>
      </c>
      <c r="AR784" t="str">
        <f t="shared" ca="1" si="397"/>
        <v>Supercritical</v>
      </c>
      <c r="AS784">
        <f t="shared" ca="1" si="398"/>
        <v>3.8932924749513747E-3</v>
      </c>
    </row>
    <row r="785" spans="1:45" x14ac:dyDescent="0.35">
      <c r="A785">
        <v>724</v>
      </c>
      <c r="B785">
        <v>722.995</v>
      </c>
      <c r="C785">
        <v>616100.09199999995</v>
      </c>
      <c r="D785">
        <v>3097282.6</v>
      </c>
      <c r="E785">
        <v>632.20100000000002</v>
      </c>
      <c r="F785">
        <v>5.0670000000000002</v>
      </c>
      <c r="G785">
        <v>0</v>
      </c>
      <c r="H785" t="s">
        <v>154</v>
      </c>
      <c r="I785">
        <v>0.51200000000000001</v>
      </c>
      <c r="J785">
        <f t="shared" si="399"/>
        <v>0.99900000000002365</v>
      </c>
      <c r="K785">
        <f t="shared" ca="1" si="400"/>
        <v>50.95</v>
      </c>
      <c r="L785">
        <f t="shared" ca="1" si="401"/>
        <v>2.1762353150568448</v>
      </c>
      <c r="M785">
        <f t="shared" ca="1" si="374"/>
        <v>11.026984341393034</v>
      </c>
      <c r="N785">
        <f t="shared" ca="1" si="375"/>
        <v>1.1706586043317746</v>
      </c>
      <c r="O785">
        <f t="shared" ca="1" si="376"/>
        <v>4.6204835721716018</v>
      </c>
      <c r="P785">
        <f t="shared" ca="1" si="377"/>
        <v>634.37723531505685</v>
      </c>
      <c r="Q785">
        <f t="shared" ca="1" si="378"/>
        <v>635.46535297258526</v>
      </c>
      <c r="R785">
        <f t="shared" ca="1" si="379"/>
        <v>3.8932924749513747E-3</v>
      </c>
      <c r="S785">
        <f t="shared" ca="1" si="380"/>
        <v>1</v>
      </c>
      <c r="T785">
        <f t="shared" ca="1" si="381"/>
        <v>35.995969113477543</v>
      </c>
      <c r="U785">
        <f t="shared" ca="1" si="402"/>
        <v>-4.3179262503372229E-3</v>
      </c>
      <c r="V785">
        <f t="shared" ca="1" si="403"/>
        <v>1</v>
      </c>
      <c r="W785">
        <f t="shared" ca="1" si="382"/>
        <v>1.7069123395004622</v>
      </c>
      <c r="X785">
        <f t="shared" ca="1" si="383"/>
        <v>8.6489248242488426</v>
      </c>
      <c r="Y785">
        <f t="shared" ca="1" si="384"/>
        <v>1.0198212027262095</v>
      </c>
      <c r="Z785">
        <f t="shared" ca="1" si="385"/>
        <v>5.8909056368662567</v>
      </c>
      <c r="AA785">
        <f t="shared" ca="1" si="386"/>
        <v>633.90791233950051</v>
      </c>
      <c r="AB785">
        <f t="shared" ca="1" si="387"/>
        <v>635.67665694818868</v>
      </c>
      <c r="AC785">
        <f t="shared" ca="1" si="388"/>
        <v>7.6064369127403124E-3</v>
      </c>
      <c r="AD785">
        <f t="shared" ca="1" si="389"/>
        <v>1.4396003825579544</v>
      </c>
      <c r="AE785">
        <f t="shared" ca="1" si="390"/>
        <v>37.976956560640595</v>
      </c>
      <c r="AF785">
        <f t="shared" ca="1" si="391"/>
        <v>8.9901499210327529E-3</v>
      </c>
      <c r="AG785">
        <f t="shared" ca="1" si="392"/>
        <v>0</v>
      </c>
      <c r="AH785">
        <f ca="1">IFERROR(IF(V32="Supercritical",MAX($D$16,IFERROR(L785,MAX($D$16,POWER((ABS(K785)^2)/($I$5*MAX(F785,0.1)^2),1/3)))),IF(V32="Subcritical",MAX($D$16,IFERROR(W785,MAX($D$16,POWER((ABS(K785)^2)/($I$5*MAX(F785,0.1)^2),1/3)))),IF(AND(IFERROR(V785,0)=1,IFERROR(AG785,0)=1),IF(IFERROR(T785,-1E+99)&gt;=IFERROR(AE785,-1E+99),MAX($D$16,IFERROR(L785,MAX($D$16,POWER((ABS(K785)^2)/($I$5*MAX(F785,0.1)^2),1/3)))),MAX($D$16,IFERROR(W785,MAX($D$16,POWER((ABS(K785)^2)/($I$5*MAX(F785,0.1)^2),1/3))))),IF(IFERROR(V785,0)=1,MAX($D$16,IFERROR(L785,MAX($D$16,POWER((ABS(K785)^2)/($I$5*MAX(F785,0.1)^2),1/3)))),IF(IFERROR(AG785,0)=1,MAX($D$16,IFERROR(W785,MAX($D$16,POWER((ABS(K785)^2)/($I$5*MAX(F785,0.1)^2),1/3)))),MAX($D$16,POWER((ABS(K785)^2)/($I$5*MAX(F785,0.1)^2),1/3))))))),MAX($D$16,POWER((ABS(K785)^2)/($I$5*MAX(F785,0.1)^2),1/3)))</f>
        <v>2.1762353150568448</v>
      </c>
      <c r="AI785">
        <f t="shared" ca="1" si="393"/>
        <v>634.37723531505685</v>
      </c>
      <c r="AJ785">
        <f t="shared" ca="1" si="394"/>
        <v>635.46535297258526</v>
      </c>
      <c r="AM785">
        <v>0</v>
      </c>
      <c r="AN785">
        <v>0</v>
      </c>
      <c r="AO785">
        <f t="shared" si="395"/>
        <v>0</v>
      </c>
      <c r="AP785">
        <f t="shared" si="404"/>
        <v>0</v>
      </c>
      <c r="AQ785">
        <f t="shared" ca="1" si="396"/>
        <v>1</v>
      </c>
      <c r="AR785" t="str">
        <f t="shared" ca="1" si="397"/>
        <v>Supercritical</v>
      </c>
      <c r="AS785">
        <f t="shared" ca="1" si="398"/>
        <v>3.8932924749513747E-3</v>
      </c>
    </row>
    <row r="786" spans="1:45" x14ac:dyDescent="0.35">
      <c r="A786">
        <v>725</v>
      </c>
      <c r="B786">
        <v>723.995</v>
      </c>
      <c r="C786">
        <v>616099.68599999999</v>
      </c>
      <c r="D786">
        <v>3097281.6860000002</v>
      </c>
      <c r="E786">
        <v>632.20050000000003</v>
      </c>
      <c r="F786">
        <v>5.0670000000000002</v>
      </c>
      <c r="G786">
        <v>0</v>
      </c>
      <c r="H786" t="s">
        <v>154</v>
      </c>
      <c r="I786">
        <v>0.63900000000000001</v>
      </c>
      <c r="J786">
        <f t="shared" si="399"/>
        <v>1</v>
      </c>
      <c r="K786">
        <f t="shared" ca="1" si="400"/>
        <v>50.95</v>
      </c>
      <c r="L786">
        <f t="shared" ca="1" si="401"/>
        <v>2.1762353150568448</v>
      </c>
      <c r="M786">
        <f t="shared" ca="1" si="374"/>
        <v>11.026984341393034</v>
      </c>
      <c r="N786">
        <f t="shared" ca="1" si="375"/>
        <v>1.1706586043317746</v>
      </c>
      <c r="O786">
        <f t="shared" ca="1" si="376"/>
        <v>4.6204835721716018</v>
      </c>
      <c r="P786">
        <f t="shared" ca="1" si="377"/>
        <v>634.37673531505686</v>
      </c>
      <c r="Q786">
        <f t="shared" ca="1" si="378"/>
        <v>635.46485297258528</v>
      </c>
      <c r="R786">
        <f t="shared" ca="1" si="379"/>
        <v>3.8932924749513747E-3</v>
      </c>
      <c r="S786">
        <f t="shared" ca="1" si="380"/>
        <v>1</v>
      </c>
      <c r="T786">
        <f t="shared" ca="1" si="381"/>
        <v>35.995969113477543</v>
      </c>
      <c r="U786">
        <f t="shared" ca="1" si="402"/>
        <v>-4.5521377801378549E-3</v>
      </c>
      <c r="V786">
        <f t="shared" ca="1" si="403"/>
        <v>1</v>
      </c>
      <c r="W786">
        <f t="shared" ca="1" si="382"/>
        <v>1.7069123395003769</v>
      </c>
      <c r="X786">
        <f t="shared" ca="1" si="383"/>
        <v>8.6489248242484109</v>
      </c>
      <c r="Y786">
        <f t="shared" ca="1" si="384"/>
        <v>1.019821202726179</v>
      </c>
      <c r="Z786">
        <f t="shared" ca="1" si="385"/>
        <v>5.8909056368665507</v>
      </c>
      <c r="AA786">
        <f t="shared" ca="1" si="386"/>
        <v>633.90741233950041</v>
      </c>
      <c r="AB786">
        <f t="shared" ca="1" si="387"/>
        <v>635.6761569481888</v>
      </c>
      <c r="AC786">
        <f t="shared" ca="1" si="388"/>
        <v>7.6064369127413749E-3</v>
      </c>
      <c r="AD786">
        <f t="shared" ca="1" si="389"/>
        <v>1.4396003825580623</v>
      </c>
      <c r="AE786">
        <f t="shared" ca="1" si="390"/>
        <v>37.976956560641383</v>
      </c>
      <c r="AF786">
        <f t="shared" ca="1" si="391"/>
        <v>8.7118093128992768E-3</v>
      </c>
      <c r="AG786">
        <f t="shared" ca="1" si="392"/>
        <v>0</v>
      </c>
      <c r="AH786">
        <f ca="1">IFERROR(IF(V32="Supercritical",MAX($D$16,IFERROR(L786,MAX($D$16,POWER((ABS(K786)^2)/($I$5*MAX(F786,0.1)^2),1/3)))),IF(V32="Subcritical",MAX($D$16,IFERROR(W786,MAX($D$16,POWER((ABS(K786)^2)/($I$5*MAX(F786,0.1)^2),1/3)))),IF(AND(IFERROR(V786,0)=1,IFERROR(AG786,0)=1),IF(IFERROR(T786,-1E+99)&gt;=IFERROR(AE786,-1E+99),MAX($D$16,IFERROR(L786,MAX($D$16,POWER((ABS(K786)^2)/($I$5*MAX(F786,0.1)^2),1/3)))),MAX($D$16,IFERROR(W786,MAX($D$16,POWER((ABS(K786)^2)/($I$5*MAX(F786,0.1)^2),1/3))))),IF(IFERROR(V786,0)=1,MAX($D$16,IFERROR(L786,MAX($D$16,POWER((ABS(K786)^2)/($I$5*MAX(F786,0.1)^2),1/3)))),IF(IFERROR(AG786,0)=1,MAX($D$16,IFERROR(W786,MAX($D$16,POWER((ABS(K786)^2)/($I$5*MAX(F786,0.1)^2),1/3)))),MAX($D$16,POWER((ABS(K786)^2)/($I$5*MAX(F786,0.1)^2),1/3))))))),MAX($D$16,POWER((ABS(K786)^2)/($I$5*MAX(F786,0.1)^2),1/3)))</f>
        <v>2.1762353150568448</v>
      </c>
      <c r="AI786">
        <f t="shared" ca="1" si="393"/>
        <v>634.37673531505686</v>
      </c>
      <c r="AJ786">
        <f t="shared" ca="1" si="394"/>
        <v>635.46485297258528</v>
      </c>
      <c r="AM786">
        <v>0</v>
      </c>
      <c r="AN786">
        <v>0</v>
      </c>
      <c r="AO786">
        <f t="shared" si="395"/>
        <v>0</v>
      </c>
      <c r="AP786">
        <f t="shared" si="404"/>
        <v>0</v>
      </c>
      <c r="AQ786">
        <f t="shared" ca="1" si="396"/>
        <v>1</v>
      </c>
      <c r="AR786" t="str">
        <f t="shared" ca="1" si="397"/>
        <v>Supercritical</v>
      </c>
      <c r="AS786">
        <f t="shared" ca="1" si="398"/>
        <v>3.8932924749513747E-3</v>
      </c>
    </row>
    <row r="787" spans="1:45" x14ac:dyDescent="0.35">
      <c r="A787">
        <v>726</v>
      </c>
      <c r="B787">
        <v>724.99599999999998</v>
      </c>
      <c r="C787">
        <v>616099.29</v>
      </c>
      <c r="D787">
        <v>3097280.767</v>
      </c>
      <c r="E787">
        <v>632.20000000000005</v>
      </c>
      <c r="F787">
        <v>5.0670000000000002</v>
      </c>
      <c r="G787">
        <v>0</v>
      </c>
      <c r="H787" t="s">
        <v>154</v>
      </c>
      <c r="I787">
        <v>0.54200000000000004</v>
      </c>
      <c r="J787">
        <f t="shared" si="399"/>
        <v>1.0009999999999764</v>
      </c>
      <c r="K787">
        <f t="shared" ca="1" si="400"/>
        <v>50.95</v>
      </c>
      <c r="L787">
        <f t="shared" ca="1" si="401"/>
        <v>2.1762353150568448</v>
      </c>
      <c r="M787">
        <f t="shared" ca="1" si="374"/>
        <v>11.026984341393034</v>
      </c>
      <c r="N787">
        <f t="shared" ca="1" si="375"/>
        <v>1.1706586043317746</v>
      </c>
      <c r="O787">
        <f t="shared" ca="1" si="376"/>
        <v>4.6204835721716018</v>
      </c>
      <c r="P787">
        <f t="shared" ca="1" si="377"/>
        <v>634.37623531505687</v>
      </c>
      <c r="Q787">
        <f t="shared" ca="1" si="378"/>
        <v>635.46435297258529</v>
      </c>
      <c r="R787">
        <f t="shared" ca="1" si="379"/>
        <v>3.8932924749513747E-3</v>
      </c>
      <c r="S787">
        <f t="shared" ca="1" si="380"/>
        <v>1</v>
      </c>
      <c r="T787">
        <f t="shared" ca="1" si="381"/>
        <v>35.995969113477543</v>
      </c>
      <c r="U787">
        <f t="shared" ca="1" si="402"/>
        <v>-4.3801187180179113E-3</v>
      </c>
      <c r="V787">
        <f t="shared" ca="1" si="403"/>
        <v>1</v>
      </c>
      <c r="W787">
        <f t="shared" ca="1" si="382"/>
        <v>1.7069123395003087</v>
      </c>
      <c r="X787">
        <f t="shared" ca="1" si="383"/>
        <v>8.6489248242480645</v>
      </c>
      <c r="Y787">
        <f t="shared" ca="1" si="384"/>
        <v>1.0198212027261546</v>
      </c>
      <c r="Z787">
        <f t="shared" ca="1" si="385"/>
        <v>5.890905636866786</v>
      </c>
      <c r="AA787">
        <f t="shared" ca="1" si="386"/>
        <v>633.90691233950031</v>
      </c>
      <c r="AB787">
        <f t="shared" ca="1" si="387"/>
        <v>635.67565694818882</v>
      </c>
      <c r="AC787">
        <f t="shared" ca="1" si="388"/>
        <v>7.606436912742225E-3</v>
      </c>
      <c r="AD787">
        <f t="shared" ca="1" si="389"/>
        <v>1.4396003825581485</v>
      </c>
      <c r="AE787">
        <f t="shared" ca="1" si="390"/>
        <v>37.976956560642023</v>
      </c>
      <c r="AF787">
        <f t="shared" ca="1" si="391"/>
        <v>8.7690568448124395E-3</v>
      </c>
      <c r="AG787">
        <f t="shared" ca="1" si="392"/>
        <v>0</v>
      </c>
      <c r="AH787">
        <f ca="1">IFERROR(IF(V32="Supercritical",MAX($D$16,IFERROR(L787,MAX($D$16,POWER((ABS(K787)^2)/($I$5*MAX(F787,0.1)^2),1/3)))),IF(V32="Subcritical",MAX($D$16,IFERROR(W787,MAX($D$16,POWER((ABS(K787)^2)/($I$5*MAX(F787,0.1)^2),1/3)))),IF(AND(IFERROR(V787,0)=1,IFERROR(AG787,0)=1),IF(IFERROR(T787,-1E+99)&gt;=IFERROR(AE787,-1E+99),MAX($D$16,IFERROR(L787,MAX($D$16,POWER((ABS(K787)^2)/($I$5*MAX(F787,0.1)^2),1/3)))),MAX($D$16,IFERROR(W787,MAX($D$16,POWER((ABS(K787)^2)/($I$5*MAX(F787,0.1)^2),1/3))))),IF(IFERROR(V787,0)=1,MAX($D$16,IFERROR(L787,MAX($D$16,POWER((ABS(K787)^2)/($I$5*MAX(F787,0.1)^2),1/3)))),IF(IFERROR(AG787,0)=1,MAX($D$16,IFERROR(W787,MAX($D$16,POWER((ABS(K787)^2)/($I$5*MAX(F787,0.1)^2),1/3)))),MAX($D$16,POWER((ABS(K787)^2)/($I$5*MAX(F787,0.1)^2),1/3))))))),MAX($D$16,POWER((ABS(K787)^2)/($I$5*MAX(F787,0.1)^2),1/3)))</f>
        <v>2.1762353150568448</v>
      </c>
      <c r="AI787">
        <f t="shared" ca="1" si="393"/>
        <v>634.37623531505687</v>
      </c>
      <c r="AJ787">
        <f t="shared" ca="1" si="394"/>
        <v>635.46435297258529</v>
      </c>
      <c r="AM787">
        <v>0</v>
      </c>
      <c r="AN787">
        <v>0</v>
      </c>
      <c r="AO787">
        <f t="shared" si="395"/>
        <v>0</v>
      </c>
      <c r="AP787">
        <f t="shared" si="404"/>
        <v>0</v>
      </c>
      <c r="AQ787">
        <f t="shared" ca="1" si="396"/>
        <v>1</v>
      </c>
      <c r="AR787" t="str">
        <f t="shared" ca="1" si="397"/>
        <v>Supercritical</v>
      </c>
      <c r="AS787">
        <f t="shared" ca="1" si="398"/>
        <v>3.8932924749513747E-3</v>
      </c>
    </row>
    <row r="788" spans="1:45" x14ac:dyDescent="0.35">
      <c r="A788">
        <v>727</v>
      </c>
      <c r="B788">
        <v>725.99599999999998</v>
      </c>
      <c r="C788">
        <v>616098.90300000005</v>
      </c>
      <c r="D788">
        <v>3097279.8450000002</v>
      </c>
      <c r="E788">
        <v>632.19949999999994</v>
      </c>
      <c r="F788">
        <v>5.0670000000000002</v>
      </c>
      <c r="G788">
        <v>0</v>
      </c>
      <c r="H788" t="s">
        <v>154</v>
      </c>
      <c r="I788">
        <v>0.56399999999999995</v>
      </c>
      <c r="J788">
        <f t="shared" si="399"/>
        <v>1</v>
      </c>
      <c r="K788">
        <f t="shared" ca="1" si="400"/>
        <v>50.95</v>
      </c>
      <c r="L788">
        <f t="shared" ca="1" si="401"/>
        <v>2.1762353150568448</v>
      </c>
      <c r="M788">
        <f t="shared" ca="1" si="374"/>
        <v>11.026984341393034</v>
      </c>
      <c r="N788">
        <f t="shared" ca="1" si="375"/>
        <v>1.1706586043317746</v>
      </c>
      <c r="O788">
        <f t="shared" ca="1" si="376"/>
        <v>4.6204835721716018</v>
      </c>
      <c r="P788">
        <f t="shared" ca="1" si="377"/>
        <v>634.37573531505677</v>
      </c>
      <c r="Q788">
        <f t="shared" ca="1" si="378"/>
        <v>635.46385297258519</v>
      </c>
      <c r="R788">
        <f t="shared" ca="1" si="379"/>
        <v>3.8932924749513747E-3</v>
      </c>
      <c r="S788">
        <f t="shared" ca="1" si="380"/>
        <v>1</v>
      </c>
      <c r="T788">
        <f t="shared" ca="1" si="381"/>
        <v>35.995969113477543</v>
      </c>
      <c r="U788">
        <f t="shared" ca="1" si="402"/>
        <v>-4.4161230729287126E-3</v>
      </c>
      <c r="V788">
        <f t="shared" ca="1" si="403"/>
        <v>1</v>
      </c>
      <c r="W788">
        <f t="shared" ca="1" si="382"/>
        <v>1.7069123395002406</v>
      </c>
      <c r="X788">
        <f t="shared" ca="1" si="383"/>
        <v>8.6489248242477199</v>
      </c>
      <c r="Y788">
        <f t="shared" ca="1" si="384"/>
        <v>1.0198212027261304</v>
      </c>
      <c r="Z788">
        <f t="shared" ca="1" si="385"/>
        <v>5.8909056368670214</v>
      </c>
      <c r="AA788">
        <f t="shared" ca="1" si="386"/>
        <v>633.90641233950021</v>
      </c>
      <c r="AB788">
        <f t="shared" ca="1" si="387"/>
        <v>635.67515694818883</v>
      </c>
      <c r="AC788">
        <f t="shared" ca="1" si="388"/>
        <v>7.6064369127430741E-3</v>
      </c>
      <c r="AD788">
        <f t="shared" ca="1" si="389"/>
        <v>1.4396003825582344</v>
      </c>
      <c r="AE788">
        <f t="shared" ca="1" si="390"/>
        <v>37.976956560642648</v>
      </c>
      <c r="AF788">
        <f t="shared" ca="1" si="391"/>
        <v>8.863389890734652E-3</v>
      </c>
      <c r="AG788">
        <f t="shared" ca="1" si="392"/>
        <v>0</v>
      </c>
      <c r="AH788">
        <f ca="1">IFERROR(IF(V32="Supercritical",MAX($D$16,IFERROR(L788,MAX($D$16,POWER((ABS(K788)^2)/($I$5*MAX(F788,0.1)^2),1/3)))),IF(V32="Subcritical",MAX($D$16,IFERROR(W788,MAX($D$16,POWER((ABS(K788)^2)/($I$5*MAX(F788,0.1)^2),1/3)))),IF(AND(IFERROR(V788,0)=1,IFERROR(AG788,0)=1),IF(IFERROR(T788,-1E+99)&gt;=IFERROR(AE788,-1E+99),MAX($D$16,IFERROR(L788,MAX($D$16,POWER((ABS(K788)^2)/($I$5*MAX(F788,0.1)^2),1/3)))),MAX($D$16,IFERROR(W788,MAX($D$16,POWER((ABS(K788)^2)/($I$5*MAX(F788,0.1)^2),1/3))))),IF(IFERROR(V788,0)=1,MAX($D$16,IFERROR(L788,MAX($D$16,POWER((ABS(K788)^2)/($I$5*MAX(F788,0.1)^2),1/3)))),IF(IFERROR(AG788,0)=1,MAX($D$16,IFERROR(W788,MAX($D$16,POWER((ABS(K788)^2)/($I$5*MAX(F788,0.1)^2),1/3)))),MAX($D$16,POWER((ABS(K788)^2)/($I$5*MAX(F788,0.1)^2),1/3))))))),MAX($D$16,POWER((ABS(K788)^2)/($I$5*MAX(F788,0.1)^2),1/3)))</f>
        <v>2.1762353150568448</v>
      </c>
      <c r="AI788">
        <f t="shared" ca="1" si="393"/>
        <v>634.37573531505677</v>
      </c>
      <c r="AJ788">
        <f t="shared" ca="1" si="394"/>
        <v>635.46385297258519</v>
      </c>
      <c r="AM788">
        <v>0</v>
      </c>
      <c r="AN788">
        <v>0</v>
      </c>
      <c r="AO788">
        <f t="shared" si="395"/>
        <v>0</v>
      </c>
      <c r="AP788">
        <f t="shared" si="404"/>
        <v>0</v>
      </c>
      <c r="AQ788">
        <f t="shared" ca="1" si="396"/>
        <v>1</v>
      </c>
      <c r="AR788" t="str">
        <f t="shared" ca="1" si="397"/>
        <v>Supercritical</v>
      </c>
      <c r="AS788">
        <f t="shared" ca="1" si="398"/>
        <v>3.8932924749513747E-3</v>
      </c>
    </row>
    <row r="789" spans="1:45" x14ac:dyDescent="0.35">
      <c r="A789">
        <v>728</v>
      </c>
      <c r="B789">
        <v>726.99599999999998</v>
      </c>
      <c r="C789">
        <v>616098.52500000002</v>
      </c>
      <c r="D789">
        <v>3097278.9190000002</v>
      </c>
      <c r="E789">
        <v>632.19899999999996</v>
      </c>
      <c r="F789">
        <v>5.0670000000000002</v>
      </c>
      <c r="G789">
        <v>0</v>
      </c>
      <c r="H789" t="s">
        <v>154</v>
      </c>
      <c r="I789">
        <v>0.59599999999999997</v>
      </c>
      <c r="J789">
        <f t="shared" si="399"/>
        <v>1</v>
      </c>
      <c r="K789">
        <f t="shared" ca="1" si="400"/>
        <v>50.95</v>
      </c>
      <c r="L789">
        <f t="shared" ca="1" si="401"/>
        <v>2.1762353150568448</v>
      </c>
      <c r="M789">
        <f t="shared" ca="1" si="374"/>
        <v>11.026984341393034</v>
      </c>
      <c r="N789">
        <f t="shared" ca="1" si="375"/>
        <v>1.1706586043317746</v>
      </c>
      <c r="O789">
        <f t="shared" ca="1" si="376"/>
        <v>4.6204835721716018</v>
      </c>
      <c r="P789">
        <f t="shared" ca="1" si="377"/>
        <v>634.37523531505678</v>
      </c>
      <c r="Q789">
        <f t="shared" ca="1" si="378"/>
        <v>635.4633529725852</v>
      </c>
      <c r="R789">
        <f t="shared" ca="1" si="379"/>
        <v>3.8932924749513747E-3</v>
      </c>
      <c r="S789">
        <f t="shared" ca="1" si="380"/>
        <v>1</v>
      </c>
      <c r="T789">
        <f t="shared" ca="1" si="381"/>
        <v>35.995969113477543</v>
      </c>
      <c r="U789">
        <f t="shared" ca="1" si="402"/>
        <v>-4.4741560146803749E-3</v>
      </c>
      <c r="V789">
        <f t="shared" ca="1" si="403"/>
        <v>1</v>
      </c>
      <c r="W789">
        <f t="shared" ca="1" si="382"/>
        <v>1.7069123395001724</v>
      </c>
      <c r="X789">
        <f t="shared" ca="1" si="383"/>
        <v>8.6489248242473735</v>
      </c>
      <c r="Y789">
        <f t="shared" ca="1" si="384"/>
        <v>1.0198212027261058</v>
      </c>
      <c r="Z789">
        <f t="shared" ca="1" si="385"/>
        <v>5.8909056368672568</v>
      </c>
      <c r="AA789">
        <f t="shared" ca="1" si="386"/>
        <v>633.90591233950011</v>
      </c>
      <c r="AB789">
        <f t="shared" ca="1" si="387"/>
        <v>635.67465694818895</v>
      </c>
      <c r="AC789">
        <f t="shared" ca="1" si="388"/>
        <v>7.6064369127439267E-3</v>
      </c>
      <c r="AD789">
        <f t="shared" ca="1" si="389"/>
        <v>1.439600382558321</v>
      </c>
      <c r="AE789">
        <f t="shared" ca="1" si="390"/>
        <v>37.976956560643288</v>
      </c>
      <c r="AF789">
        <f t="shared" ca="1" si="391"/>
        <v>8.7690568449261264E-3</v>
      </c>
      <c r="AG789">
        <f t="shared" ca="1" si="392"/>
        <v>0</v>
      </c>
      <c r="AH789">
        <f ca="1">IFERROR(IF(V32="Supercritical",MAX($D$16,IFERROR(L789,MAX($D$16,POWER((ABS(K789)^2)/($I$5*MAX(F789,0.1)^2),1/3)))),IF(V32="Subcritical",MAX($D$16,IFERROR(W789,MAX($D$16,POWER((ABS(K789)^2)/($I$5*MAX(F789,0.1)^2),1/3)))),IF(AND(IFERROR(V789,0)=1,IFERROR(AG789,0)=1),IF(IFERROR(T789,-1E+99)&gt;=IFERROR(AE789,-1E+99),MAX($D$16,IFERROR(L789,MAX($D$16,POWER((ABS(K789)^2)/($I$5*MAX(F789,0.1)^2),1/3)))),MAX($D$16,IFERROR(W789,MAX($D$16,POWER((ABS(K789)^2)/($I$5*MAX(F789,0.1)^2),1/3))))),IF(IFERROR(V789,0)=1,MAX($D$16,IFERROR(L789,MAX($D$16,POWER((ABS(K789)^2)/($I$5*MAX(F789,0.1)^2),1/3)))),IF(IFERROR(AG789,0)=1,MAX($D$16,IFERROR(W789,MAX($D$16,POWER((ABS(K789)^2)/($I$5*MAX(F789,0.1)^2),1/3)))),MAX($D$16,POWER((ABS(K789)^2)/($I$5*MAX(F789,0.1)^2),1/3))))))),MAX($D$16,POWER((ABS(K789)^2)/($I$5*MAX(F789,0.1)^2),1/3)))</f>
        <v>2.1762353150568448</v>
      </c>
      <c r="AI789">
        <f t="shared" ca="1" si="393"/>
        <v>634.37523531505678</v>
      </c>
      <c r="AJ789">
        <f t="shared" ca="1" si="394"/>
        <v>635.4633529725852</v>
      </c>
      <c r="AM789">
        <v>0</v>
      </c>
      <c r="AN789">
        <v>0</v>
      </c>
      <c r="AO789">
        <f t="shared" si="395"/>
        <v>0</v>
      </c>
      <c r="AP789">
        <f t="shared" si="404"/>
        <v>0</v>
      </c>
      <c r="AQ789">
        <f t="shared" ca="1" si="396"/>
        <v>1</v>
      </c>
      <c r="AR789" t="str">
        <f t="shared" ca="1" si="397"/>
        <v>Supercritical</v>
      </c>
      <c r="AS789">
        <f t="shared" ca="1" si="398"/>
        <v>3.8932924749513747E-3</v>
      </c>
    </row>
    <row r="790" spans="1:45" x14ac:dyDescent="0.35">
      <c r="A790">
        <v>729</v>
      </c>
      <c r="B790">
        <v>727.99599999999998</v>
      </c>
      <c r="C790">
        <v>616098.15700000001</v>
      </c>
      <c r="D790">
        <v>3097277.99</v>
      </c>
      <c r="E790">
        <v>632.19849999999997</v>
      </c>
      <c r="F790">
        <v>5.0670000000000002</v>
      </c>
      <c r="G790">
        <v>0</v>
      </c>
      <c r="H790" t="s">
        <v>154</v>
      </c>
      <c r="I790">
        <v>0.56399999999999995</v>
      </c>
      <c r="J790">
        <f t="shared" si="399"/>
        <v>1</v>
      </c>
      <c r="K790">
        <f t="shared" ca="1" si="400"/>
        <v>50.95</v>
      </c>
      <c r="L790">
        <f t="shared" ca="1" si="401"/>
        <v>2.1762353150568448</v>
      </c>
      <c r="M790">
        <f t="shared" ca="1" si="374"/>
        <v>11.026984341393034</v>
      </c>
      <c r="N790">
        <f t="shared" ca="1" si="375"/>
        <v>1.1706586043317746</v>
      </c>
      <c r="O790">
        <f t="shared" ca="1" si="376"/>
        <v>4.6204835721716018</v>
      </c>
      <c r="P790">
        <f t="shared" ca="1" si="377"/>
        <v>634.3747353150568</v>
      </c>
      <c r="Q790">
        <f t="shared" ca="1" si="378"/>
        <v>635.46285297258521</v>
      </c>
      <c r="R790">
        <f t="shared" ca="1" si="379"/>
        <v>3.8932924749513747E-3</v>
      </c>
      <c r="S790">
        <f t="shared" ca="1" si="380"/>
        <v>1</v>
      </c>
      <c r="T790">
        <f t="shared" ca="1" si="381"/>
        <v>35.995969113477543</v>
      </c>
      <c r="U790">
        <f t="shared" ca="1" si="402"/>
        <v>-4.4161230730423995E-3</v>
      </c>
      <c r="V790">
        <f t="shared" ca="1" si="403"/>
        <v>1</v>
      </c>
      <c r="W790">
        <f t="shared" ca="1" si="382"/>
        <v>1.7069123395001213</v>
      </c>
      <c r="X790">
        <f t="shared" ca="1" si="383"/>
        <v>8.648924824247116</v>
      </c>
      <c r="Y790">
        <f t="shared" ca="1" si="384"/>
        <v>1.019821202726088</v>
      </c>
      <c r="Z790">
        <f t="shared" ca="1" si="385"/>
        <v>5.8909056368674326</v>
      </c>
      <c r="AA790">
        <f t="shared" ca="1" si="386"/>
        <v>633.90541233950012</v>
      </c>
      <c r="AB790">
        <f t="shared" ca="1" si="387"/>
        <v>635.67415694818908</v>
      </c>
      <c r="AC790">
        <f t="shared" ca="1" si="388"/>
        <v>7.6064369127445556E-3</v>
      </c>
      <c r="AD790">
        <f t="shared" ca="1" si="389"/>
        <v>1.4396003825583854</v>
      </c>
      <c r="AE790">
        <f t="shared" ca="1" si="390"/>
        <v>37.976956560643757</v>
      </c>
      <c r="AF790">
        <f t="shared" ca="1" si="391"/>
        <v>8.7585025003136252E-3</v>
      </c>
      <c r="AG790">
        <f t="shared" ca="1" si="392"/>
        <v>0</v>
      </c>
      <c r="AH790">
        <f ca="1">IFERROR(IF(V32="Supercritical",MAX($D$16,IFERROR(L790,MAX($D$16,POWER((ABS(K790)^2)/($I$5*MAX(F790,0.1)^2),1/3)))),IF(V32="Subcritical",MAX($D$16,IFERROR(W790,MAX($D$16,POWER((ABS(K790)^2)/($I$5*MAX(F790,0.1)^2),1/3)))),IF(AND(IFERROR(V790,0)=1,IFERROR(AG790,0)=1),IF(IFERROR(T790,-1E+99)&gt;=IFERROR(AE790,-1E+99),MAX($D$16,IFERROR(L790,MAX($D$16,POWER((ABS(K790)^2)/($I$5*MAX(F790,0.1)^2),1/3)))),MAX($D$16,IFERROR(W790,MAX($D$16,POWER((ABS(K790)^2)/($I$5*MAX(F790,0.1)^2),1/3))))),IF(IFERROR(V790,0)=1,MAX($D$16,IFERROR(L790,MAX($D$16,POWER((ABS(K790)^2)/($I$5*MAX(F790,0.1)^2),1/3)))),IF(IFERROR(AG790,0)=1,MAX($D$16,IFERROR(W790,MAX($D$16,POWER((ABS(K790)^2)/($I$5*MAX(F790,0.1)^2),1/3)))),MAX($D$16,POWER((ABS(K790)^2)/($I$5*MAX(F790,0.1)^2),1/3))))))),MAX($D$16,POWER((ABS(K790)^2)/($I$5*MAX(F790,0.1)^2),1/3)))</f>
        <v>2.1762353150568448</v>
      </c>
      <c r="AI790">
        <f t="shared" ca="1" si="393"/>
        <v>634.3747353150568</v>
      </c>
      <c r="AJ790">
        <f t="shared" ca="1" si="394"/>
        <v>635.46285297258521</v>
      </c>
      <c r="AM790">
        <v>0</v>
      </c>
      <c r="AN790">
        <v>0</v>
      </c>
      <c r="AO790">
        <f t="shared" si="395"/>
        <v>0</v>
      </c>
      <c r="AP790">
        <f t="shared" si="404"/>
        <v>0</v>
      </c>
      <c r="AQ790">
        <f t="shared" ca="1" si="396"/>
        <v>1</v>
      </c>
      <c r="AR790" t="str">
        <f t="shared" ca="1" si="397"/>
        <v>Supercritical</v>
      </c>
      <c r="AS790">
        <f t="shared" ca="1" si="398"/>
        <v>3.8932924749513747E-3</v>
      </c>
    </row>
    <row r="791" spans="1:45" x14ac:dyDescent="0.35">
      <c r="A791">
        <v>730</v>
      </c>
      <c r="B791">
        <v>728.995</v>
      </c>
      <c r="C791">
        <v>616097.79799999995</v>
      </c>
      <c r="D791">
        <v>3097277.057</v>
      </c>
      <c r="E791">
        <v>632.19799999999998</v>
      </c>
      <c r="F791">
        <v>5.0670000000000002</v>
      </c>
      <c r="G791">
        <v>0</v>
      </c>
      <c r="H791" t="s">
        <v>154</v>
      </c>
      <c r="I791">
        <v>0.56299999999999994</v>
      </c>
      <c r="J791">
        <f t="shared" si="399"/>
        <v>0.99900000000002365</v>
      </c>
      <c r="K791">
        <f t="shared" ca="1" si="400"/>
        <v>50.95</v>
      </c>
      <c r="L791">
        <f t="shared" ca="1" si="401"/>
        <v>2.1762353150568448</v>
      </c>
      <c r="M791">
        <f t="shared" ca="1" si="374"/>
        <v>11.026984341393034</v>
      </c>
      <c r="N791">
        <f t="shared" ca="1" si="375"/>
        <v>1.1706586043317746</v>
      </c>
      <c r="O791">
        <f t="shared" ca="1" si="376"/>
        <v>4.6204835721716018</v>
      </c>
      <c r="P791">
        <f t="shared" ca="1" si="377"/>
        <v>634.37423531505681</v>
      </c>
      <c r="Q791">
        <f t="shared" ca="1" si="378"/>
        <v>635.46235297258522</v>
      </c>
      <c r="R791">
        <f t="shared" ca="1" si="379"/>
        <v>3.8932924749513747E-3</v>
      </c>
      <c r="S791">
        <f t="shared" ca="1" si="380"/>
        <v>1</v>
      </c>
      <c r="T791">
        <f t="shared" ca="1" si="381"/>
        <v>35.995969113477543</v>
      </c>
      <c r="U791">
        <f t="shared" ca="1" si="402"/>
        <v>-4.410416251175775E-3</v>
      </c>
      <c r="V791">
        <f t="shared" ca="1" si="403"/>
        <v>1</v>
      </c>
      <c r="W791">
        <f t="shared" ca="1" si="382"/>
        <v>1.7069123395000871</v>
      </c>
      <c r="X791">
        <f t="shared" ca="1" si="383"/>
        <v>8.6489248242469419</v>
      </c>
      <c r="Y791">
        <f t="shared" ca="1" si="384"/>
        <v>1.0198212027260756</v>
      </c>
      <c r="Z791">
        <f t="shared" ca="1" si="385"/>
        <v>5.8909056368675508</v>
      </c>
      <c r="AA791">
        <f t="shared" ca="1" si="386"/>
        <v>633.90491233950002</v>
      </c>
      <c r="AB791">
        <f t="shared" ca="1" si="387"/>
        <v>635.67365694818898</v>
      </c>
      <c r="AC791">
        <f t="shared" ca="1" si="388"/>
        <v>7.6064369127449866E-3</v>
      </c>
      <c r="AD791">
        <f t="shared" ca="1" si="389"/>
        <v>1.4396003825584289</v>
      </c>
      <c r="AE791">
        <f t="shared" ca="1" si="390"/>
        <v>37.976956560644076</v>
      </c>
      <c r="AF791">
        <f t="shared" ca="1" si="391"/>
        <v>8.9252959520536024E-3</v>
      </c>
      <c r="AG791">
        <f t="shared" ca="1" si="392"/>
        <v>0</v>
      </c>
      <c r="AH791">
        <f ca="1">IFERROR(IF(V32="Supercritical",MAX($D$16,IFERROR(L791,MAX($D$16,POWER((ABS(K791)^2)/($I$5*MAX(F791,0.1)^2),1/3)))),IF(V32="Subcritical",MAX($D$16,IFERROR(W791,MAX($D$16,POWER((ABS(K791)^2)/($I$5*MAX(F791,0.1)^2),1/3)))),IF(AND(IFERROR(V791,0)=1,IFERROR(AG791,0)=1),IF(IFERROR(T791,-1E+99)&gt;=IFERROR(AE791,-1E+99),MAX($D$16,IFERROR(L791,MAX($D$16,POWER((ABS(K791)^2)/($I$5*MAX(F791,0.1)^2),1/3)))),MAX($D$16,IFERROR(W791,MAX($D$16,POWER((ABS(K791)^2)/($I$5*MAX(F791,0.1)^2),1/3))))),IF(IFERROR(V791,0)=1,MAX($D$16,IFERROR(L791,MAX($D$16,POWER((ABS(K791)^2)/($I$5*MAX(F791,0.1)^2),1/3)))),IF(IFERROR(AG791,0)=1,MAX($D$16,IFERROR(W791,MAX($D$16,POWER((ABS(K791)^2)/($I$5*MAX(F791,0.1)^2),1/3)))),MAX($D$16,POWER((ABS(K791)^2)/($I$5*MAX(F791,0.1)^2),1/3))))))),MAX($D$16,POWER((ABS(K791)^2)/($I$5*MAX(F791,0.1)^2),1/3)))</f>
        <v>2.1762353150568448</v>
      </c>
      <c r="AI791">
        <f t="shared" ca="1" si="393"/>
        <v>634.37423531505681</v>
      </c>
      <c r="AJ791">
        <f t="shared" ca="1" si="394"/>
        <v>635.46235297258522</v>
      </c>
      <c r="AM791">
        <v>0</v>
      </c>
      <c r="AN791">
        <v>0</v>
      </c>
      <c r="AO791">
        <f t="shared" si="395"/>
        <v>0</v>
      </c>
      <c r="AP791">
        <f t="shared" si="404"/>
        <v>0</v>
      </c>
      <c r="AQ791">
        <f t="shared" ca="1" si="396"/>
        <v>1</v>
      </c>
      <c r="AR791" t="str">
        <f t="shared" ca="1" si="397"/>
        <v>Supercritical</v>
      </c>
      <c r="AS791">
        <f t="shared" ca="1" si="398"/>
        <v>3.8932924749513747E-3</v>
      </c>
    </row>
    <row r="792" spans="1:45" x14ac:dyDescent="0.35">
      <c r="A792">
        <v>731</v>
      </c>
      <c r="B792">
        <v>729.995</v>
      </c>
      <c r="C792">
        <v>616097.44799999997</v>
      </c>
      <c r="D792">
        <v>3097276.12</v>
      </c>
      <c r="E792">
        <v>632.19749999999999</v>
      </c>
      <c r="F792">
        <v>5.0670000000000002</v>
      </c>
      <c r="G792">
        <v>0</v>
      </c>
      <c r="H792" t="s">
        <v>154</v>
      </c>
      <c r="I792">
        <v>0.61699999999999999</v>
      </c>
      <c r="J792">
        <f t="shared" si="399"/>
        <v>1</v>
      </c>
      <c r="K792">
        <f t="shared" ca="1" si="400"/>
        <v>50.95</v>
      </c>
      <c r="L792">
        <f t="shared" ca="1" si="401"/>
        <v>2.1762353150568448</v>
      </c>
      <c r="M792">
        <f t="shared" ca="1" si="374"/>
        <v>11.026984341393034</v>
      </c>
      <c r="N792">
        <f t="shared" ca="1" si="375"/>
        <v>1.1706586043317746</v>
      </c>
      <c r="O792">
        <f t="shared" ca="1" si="376"/>
        <v>4.6204835721716018</v>
      </c>
      <c r="P792">
        <f t="shared" ca="1" si="377"/>
        <v>634.37373531505682</v>
      </c>
      <c r="Q792">
        <f t="shared" ca="1" si="378"/>
        <v>635.46185297258523</v>
      </c>
      <c r="R792">
        <f t="shared" ca="1" si="379"/>
        <v>3.8932924749513747E-3</v>
      </c>
      <c r="S792">
        <f t="shared" ca="1" si="380"/>
        <v>1</v>
      </c>
      <c r="T792">
        <f t="shared" ca="1" si="381"/>
        <v>35.995969113477543</v>
      </c>
      <c r="U792">
        <f t="shared" ca="1" si="402"/>
        <v>-4.5122401327262196E-3</v>
      </c>
      <c r="V792">
        <f t="shared" ca="1" si="403"/>
        <v>1</v>
      </c>
      <c r="W792">
        <f t="shared" ca="1" si="382"/>
        <v>1.706912339500019</v>
      </c>
      <c r="X792">
        <f t="shared" ca="1" si="383"/>
        <v>8.6489248242465973</v>
      </c>
      <c r="Y792">
        <f t="shared" ca="1" si="384"/>
        <v>1.0198212027260514</v>
      </c>
      <c r="Z792">
        <f t="shared" ca="1" si="385"/>
        <v>5.8909056368677861</v>
      </c>
      <c r="AA792">
        <f t="shared" ca="1" si="386"/>
        <v>633.90441233950003</v>
      </c>
      <c r="AB792">
        <f t="shared" ca="1" si="387"/>
        <v>635.6731569481891</v>
      </c>
      <c r="AC792">
        <f t="shared" ca="1" si="388"/>
        <v>7.6064369127458314E-3</v>
      </c>
      <c r="AD792">
        <f t="shared" ca="1" si="389"/>
        <v>1.4396003825585149</v>
      </c>
      <c r="AE792">
        <f t="shared" ca="1" si="390"/>
        <v>37.976956560644702</v>
      </c>
      <c r="AF792">
        <f t="shared" ca="1" si="391"/>
        <v>8.4995599598869376E-3</v>
      </c>
      <c r="AG792">
        <f t="shared" ca="1" si="392"/>
        <v>0</v>
      </c>
      <c r="AH792">
        <f ca="1">IFERROR(IF(V32="Supercritical",MAX($D$16,IFERROR(L792,MAX($D$16,POWER((ABS(K792)^2)/($I$5*MAX(F792,0.1)^2),1/3)))),IF(V32="Subcritical",MAX($D$16,IFERROR(W792,MAX($D$16,POWER((ABS(K792)^2)/($I$5*MAX(F792,0.1)^2),1/3)))),IF(AND(IFERROR(V792,0)=1,IFERROR(AG792,0)=1),IF(IFERROR(T792,-1E+99)&gt;=IFERROR(AE792,-1E+99),MAX($D$16,IFERROR(L792,MAX($D$16,POWER((ABS(K792)^2)/($I$5*MAX(F792,0.1)^2),1/3)))),MAX($D$16,IFERROR(W792,MAX($D$16,POWER((ABS(K792)^2)/($I$5*MAX(F792,0.1)^2),1/3))))),IF(IFERROR(V792,0)=1,MAX($D$16,IFERROR(L792,MAX($D$16,POWER((ABS(K792)^2)/($I$5*MAX(F792,0.1)^2),1/3)))),IF(IFERROR(AG792,0)=1,MAX($D$16,IFERROR(W792,MAX($D$16,POWER((ABS(K792)^2)/($I$5*MAX(F792,0.1)^2),1/3)))),MAX($D$16,POWER((ABS(K792)^2)/($I$5*MAX(F792,0.1)^2),1/3))))))),MAX($D$16,POWER((ABS(K792)^2)/($I$5*MAX(F792,0.1)^2),1/3)))</f>
        <v>2.1762353150568448</v>
      </c>
      <c r="AI792">
        <f t="shared" ca="1" si="393"/>
        <v>634.37373531505682</v>
      </c>
      <c r="AJ792">
        <f t="shared" ca="1" si="394"/>
        <v>635.46185297258523</v>
      </c>
      <c r="AM792">
        <v>0</v>
      </c>
      <c r="AN792">
        <v>0</v>
      </c>
      <c r="AO792">
        <f t="shared" si="395"/>
        <v>0</v>
      </c>
      <c r="AP792">
        <f t="shared" si="404"/>
        <v>0</v>
      </c>
      <c r="AQ792">
        <f t="shared" ca="1" si="396"/>
        <v>1</v>
      </c>
      <c r="AR792" t="str">
        <f t="shared" ca="1" si="397"/>
        <v>Supercritical</v>
      </c>
      <c r="AS792">
        <f t="shared" ca="1" si="398"/>
        <v>3.8932924749513747E-3</v>
      </c>
    </row>
    <row r="793" spans="1:45" x14ac:dyDescent="0.35">
      <c r="A793">
        <v>732</v>
      </c>
      <c r="B793">
        <v>730.99599999999998</v>
      </c>
      <c r="C793">
        <v>616097.10800000001</v>
      </c>
      <c r="D793">
        <v>3097275.179</v>
      </c>
      <c r="E793">
        <v>632.197</v>
      </c>
      <c r="F793">
        <v>5.0670000000000002</v>
      </c>
      <c r="G793">
        <v>0</v>
      </c>
      <c r="H793" t="s">
        <v>154</v>
      </c>
      <c r="I793">
        <v>0.47</v>
      </c>
      <c r="J793">
        <f t="shared" si="399"/>
        <v>1.0009999999999764</v>
      </c>
      <c r="K793">
        <f t="shared" ca="1" si="400"/>
        <v>50.95</v>
      </c>
      <c r="L793">
        <f t="shared" ca="1" si="401"/>
        <v>2.1762353150568448</v>
      </c>
      <c r="M793">
        <f t="shared" ca="1" si="374"/>
        <v>11.026984341393034</v>
      </c>
      <c r="N793">
        <f t="shared" ca="1" si="375"/>
        <v>1.1706586043317746</v>
      </c>
      <c r="O793">
        <f t="shared" ca="1" si="376"/>
        <v>4.6204835721716018</v>
      </c>
      <c r="P793">
        <f t="shared" ca="1" si="377"/>
        <v>634.37323531505683</v>
      </c>
      <c r="Q793">
        <f t="shared" ca="1" si="378"/>
        <v>635.46135297258525</v>
      </c>
      <c r="R793">
        <f t="shared" ca="1" si="379"/>
        <v>3.8932924749513747E-3</v>
      </c>
      <c r="S793">
        <f t="shared" ca="1" si="380"/>
        <v>1</v>
      </c>
      <c r="T793">
        <f t="shared" ca="1" si="381"/>
        <v>35.995969113477543</v>
      </c>
      <c r="U793">
        <f t="shared" ca="1" si="402"/>
        <v>-4.2495445991335146E-3</v>
      </c>
      <c r="V793">
        <f t="shared" ca="1" si="403"/>
        <v>1</v>
      </c>
      <c r="W793">
        <f t="shared" ca="1" si="382"/>
        <v>1.7069123394999679</v>
      </c>
      <c r="X793">
        <f t="shared" ca="1" si="383"/>
        <v>8.6489248242463379</v>
      </c>
      <c r="Y793">
        <f t="shared" ca="1" si="384"/>
        <v>1.0198212027260332</v>
      </c>
      <c r="Z793">
        <f t="shared" ca="1" si="385"/>
        <v>5.890905636867962</v>
      </c>
      <c r="AA793">
        <f t="shared" ca="1" si="386"/>
        <v>633.90391233949993</v>
      </c>
      <c r="AB793">
        <f t="shared" ca="1" si="387"/>
        <v>635.67265694818911</v>
      </c>
      <c r="AC793">
        <f t="shared" ca="1" si="388"/>
        <v>7.6064369127464707E-3</v>
      </c>
      <c r="AD793">
        <f t="shared" ca="1" si="389"/>
        <v>1.4396003825585797</v>
      </c>
      <c r="AE793">
        <f t="shared" ca="1" si="390"/>
        <v>37.976956560645178</v>
      </c>
      <c r="AF793">
        <f t="shared" ca="1" si="391"/>
        <v>9.0844829668412785E-3</v>
      </c>
      <c r="AG793">
        <f t="shared" ca="1" si="392"/>
        <v>0</v>
      </c>
      <c r="AH793">
        <f ca="1">IFERROR(IF(V32="Supercritical",MAX($D$16,IFERROR(L793,MAX($D$16,POWER((ABS(K793)^2)/($I$5*MAX(F793,0.1)^2),1/3)))),IF(V32="Subcritical",MAX($D$16,IFERROR(W793,MAX($D$16,POWER((ABS(K793)^2)/($I$5*MAX(F793,0.1)^2),1/3)))),IF(AND(IFERROR(V793,0)=1,IFERROR(AG793,0)=1),IF(IFERROR(T793,-1E+99)&gt;=IFERROR(AE793,-1E+99),MAX($D$16,IFERROR(L793,MAX($D$16,POWER((ABS(K793)^2)/($I$5*MAX(F793,0.1)^2),1/3)))),MAX($D$16,IFERROR(W793,MAX($D$16,POWER((ABS(K793)^2)/($I$5*MAX(F793,0.1)^2),1/3))))),IF(IFERROR(V793,0)=1,MAX($D$16,IFERROR(L793,MAX($D$16,POWER((ABS(K793)^2)/($I$5*MAX(F793,0.1)^2),1/3)))),IF(IFERROR(AG793,0)=1,MAX($D$16,IFERROR(W793,MAX($D$16,POWER((ABS(K793)^2)/($I$5*MAX(F793,0.1)^2),1/3)))),MAX($D$16,POWER((ABS(K793)^2)/($I$5*MAX(F793,0.1)^2),1/3))))))),MAX($D$16,POWER((ABS(K793)^2)/($I$5*MAX(F793,0.1)^2),1/3)))</f>
        <v>2.1762353150568448</v>
      </c>
      <c r="AI793">
        <f t="shared" ca="1" si="393"/>
        <v>634.37323531505683</v>
      </c>
      <c r="AJ793">
        <f t="shared" ca="1" si="394"/>
        <v>635.46135297258525</v>
      </c>
      <c r="AM793">
        <v>0</v>
      </c>
      <c r="AN793">
        <v>0</v>
      </c>
      <c r="AO793">
        <f t="shared" si="395"/>
        <v>0</v>
      </c>
      <c r="AP793">
        <f t="shared" si="404"/>
        <v>0</v>
      </c>
      <c r="AQ793">
        <f t="shared" ca="1" si="396"/>
        <v>1</v>
      </c>
      <c r="AR793" t="str">
        <f t="shared" ca="1" si="397"/>
        <v>Supercritical</v>
      </c>
      <c r="AS793">
        <f t="shared" ca="1" si="398"/>
        <v>3.8932924749513747E-3</v>
      </c>
    </row>
    <row r="794" spans="1:45" x14ac:dyDescent="0.35">
      <c r="A794">
        <v>733</v>
      </c>
      <c r="B794">
        <v>731.99599999999998</v>
      </c>
      <c r="C794">
        <v>616096.77599999995</v>
      </c>
      <c r="D794">
        <v>3097274.236</v>
      </c>
      <c r="E794">
        <v>632.19650000000001</v>
      </c>
      <c r="F794">
        <v>5.0670000000000002</v>
      </c>
      <c r="G794">
        <v>0</v>
      </c>
      <c r="H794" t="s">
        <v>154</v>
      </c>
      <c r="I794">
        <v>0.67100000000000004</v>
      </c>
      <c r="J794">
        <f t="shared" si="399"/>
        <v>1</v>
      </c>
      <c r="K794">
        <f t="shared" ca="1" si="400"/>
        <v>50.95</v>
      </c>
      <c r="L794">
        <f t="shared" ca="1" si="401"/>
        <v>2.1762353150568448</v>
      </c>
      <c r="M794">
        <f t="shared" ca="1" si="374"/>
        <v>11.026984341393034</v>
      </c>
      <c r="N794">
        <f t="shared" ca="1" si="375"/>
        <v>1.1706586043317746</v>
      </c>
      <c r="O794">
        <f t="shared" ca="1" si="376"/>
        <v>4.6204835721716018</v>
      </c>
      <c r="P794">
        <f t="shared" ca="1" si="377"/>
        <v>634.37273531505684</v>
      </c>
      <c r="Q794">
        <f t="shared" ca="1" si="378"/>
        <v>635.46085297258526</v>
      </c>
      <c r="R794">
        <f t="shared" ca="1" si="379"/>
        <v>3.8932924749513747E-3</v>
      </c>
      <c r="S794">
        <f t="shared" ca="1" si="380"/>
        <v>1</v>
      </c>
      <c r="T794">
        <f t="shared" ca="1" si="381"/>
        <v>35.995969113477543</v>
      </c>
      <c r="U794">
        <f t="shared" ca="1" si="402"/>
        <v>-4.6101707218895172E-3</v>
      </c>
      <c r="V794">
        <f t="shared" ca="1" si="403"/>
        <v>1</v>
      </c>
      <c r="W794">
        <f t="shared" ca="1" si="382"/>
        <v>1.7069123394999168</v>
      </c>
      <c r="X794">
        <f t="shared" ca="1" si="383"/>
        <v>8.6489248242460786</v>
      </c>
      <c r="Y794">
        <f t="shared" ca="1" si="384"/>
        <v>1.0198212027260147</v>
      </c>
      <c r="Z794">
        <f t="shared" ca="1" si="385"/>
        <v>5.8909056368681387</v>
      </c>
      <c r="AA794">
        <f t="shared" ca="1" si="386"/>
        <v>633.90341233949994</v>
      </c>
      <c r="AB794">
        <f t="shared" ca="1" si="387"/>
        <v>635.67215694818924</v>
      </c>
      <c r="AC794">
        <f t="shared" ca="1" si="388"/>
        <v>7.6064369127471117E-3</v>
      </c>
      <c r="AD794">
        <f t="shared" ca="1" si="389"/>
        <v>1.4396003825586445</v>
      </c>
      <c r="AE794">
        <f t="shared" ca="1" si="390"/>
        <v>37.976956560645654</v>
      </c>
      <c r="AF794">
        <f t="shared" ca="1" si="391"/>
        <v>8.7100986912673761E-3</v>
      </c>
      <c r="AG794">
        <f t="shared" ca="1" si="392"/>
        <v>0</v>
      </c>
      <c r="AH794">
        <f ca="1">IFERROR(IF(V32="Supercritical",MAX($D$16,IFERROR(L794,MAX($D$16,POWER((ABS(K794)^2)/($I$5*MAX(F794,0.1)^2),1/3)))),IF(V32="Subcritical",MAX($D$16,IFERROR(W794,MAX($D$16,POWER((ABS(K794)^2)/($I$5*MAX(F794,0.1)^2),1/3)))),IF(AND(IFERROR(V794,0)=1,IFERROR(AG794,0)=1),IF(IFERROR(T794,-1E+99)&gt;=IFERROR(AE794,-1E+99),MAX($D$16,IFERROR(L794,MAX($D$16,POWER((ABS(K794)^2)/($I$5*MAX(F794,0.1)^2),1/3)))),MAX($D$16,IFERROR(W794,MAX($D$16,POWER((ABS(K794)^2)/($I$5*MAX(F794,0.1)^2),1/3))))),IF(IFERROR(V794,0)=1,MAX($D$16,IFERROR(L794,MAX($D$16,POWER((ABS(K794)^2)/($I$5*MAX(F794,0.1)^2),1/3)))),IF(IFERROR(AG794,0)=1,MAX($D$16,IFERROR(W794,MAX($D$16,POWER((ABS(K794)^2)/($I$5*MAX(F794,0.1)^2),1/3)))),MAX($D$16,POWER((ABS(K794)^2)/($I$5*MAX(F794,0.1)^2),1/3))))))),MAX($D$16,POWER((ABS(K794)^2)/($I$5*MAX(F794,0.1)^2),1/3)))</f>
        <v>2.1762353150568448</v>
      </c>
      <c r="AI794">
        <f t="shared" ca="1" si="393"/>
        <v>634.37273531505684</v>
      </c>
      <c r="AJ794">
        <f t="shared" ca="1" si="394"/>
        <v>635.46085297258526</v>
      </c>
      <c r="AM794">
        <v>0</v>
      </c>
      <c r="AN794">
        <v>0</v>
      </c>
      <c r="AO794">
        <f t="shared" si="395"/>
        <v>0</v>
      </c>
      <c r="AP794">
        <f t="shared" si="404"/>
        <v>0</v>
      </c>
      <c r="AQ794">
        <f t="shared" ca="1" si="396"/>
        <v>1</v>
      </c>
      <c r="AR794" t="str">
        <f t="shared" ca="1" si="397"/>
        <v>Supercritical</v>
      </c>
      <c r="AS794">
        <f t="shared" ca="1" si="398"/>
        <v>3.8932924749513747E-3</v>
      </c>
    </row>
    <row r="795" spans="1:45" x14ac:dyDescent="0.35">
      <c r="A795">
        <v>734</v>
      </c>
      <c r="B795">
        <v>732.99599999999998</v>
      </c>
      <c r="C795">
        <v>616096.45499999996</v>
      </c>
      <c r="D795">
        <v>3097273.2889999999</v>
      </c>
      <c r="E795">
        <v>632.19600000000003</v>
      </c>
      <c r="F795">
        <v>5.0670000000000002</v>
      </c>
      <c r="G795">
        <v>0</v>
      </c>
      <c r="H795" t="s">
        <v>154</v>
      </c>
      <c r="I795">
        <v>0.54400000000000004</v>
      </c>
      <c r="J795">
        <f t="shared" si="399"/>
        <v>1</v>
      </c>
      <c r="K795">
        <f t="shared" ca="1" si="400"/>
        <v>50.95</v>
      </c>
      <c r="L795">
        <f t="shared" ca="1" si="401"/>
        <v>2.1762353150568448</v>
      </c>
      <c r="M795">
        <f t="shared" ca="1" si="374"/>
        <v>11.026984341393034</v>
      </c>
      <c r="N795">
        <f t="shared" ca="1" si="375"/>
        <v>1.1706586043317746</v>
      </c>
      <c r="O795">
        <f t="shared" ca="1" si="376"/>
        <v>4.6204835721716018</v>
      </c>
      <c r="P795">
        <f t="shared" ca="1" si="377"/>
        <v>634.37223531505686</v>
      </c>
      <c r="Q795">
        <f t="shared" ca="1" si="378"/>
        <v>635.46035297258527</v>
      </c>
      <c r="R795">
        <f t="shared" ca="1" si="379"/>
        <v>3.8932924749513747E-3</v>
      </c>
      <c r="S795">
        <f t="shared" ca="1" si="380"/>
        <v>1</v>
      </c>
      <c r="T795">
        <f t="shared" ca="1" si="381"/>
        <v>35.995969113477543</v>
      </c>
      <c r="U795">
        <f t="shared" ca="1" si="402"/>
        <v>-4.3798524843623454E-3</v>
      </c>
      <c r="V795">
        <f t="shared" ca="1" si="403"/>
        <v>1</v>
      </c>
      <c r="W795">
        <f t="shared" ca="1" si="382"/>
        <v>1.7069123394998658</v>
      </c>
      <c r="X795">
        <f t="shared" ca="1" si="383"/>
        <v>8.648924824245821</v>
      </c>
      <c r="Y795">
        <f t="shared" ca="1" si="384"/>
        <v>1.0198212027259967</v>
      </c>
      <c r="Z795">
        <f t="shared" ca="1" si="385"/>
        <v>5.8909056368683146</v>
      </c>
      <c r="AA795">
        <f t="shared" ca="1" si="386"/>
        <v>633.90291233949995</v>
      </c>
      <c r="AB795">
        <f t="shared" ca="1" si="387"/>
        <v>635.67165694818937</v>
      </c>
      <c r="AC795">
        <f t="shared" ca="1" si="388"/>
        <v>7.6064369127477414E-3</v>
      </c>
      <c r="AD795">
        <f t="shared" ca="1" si="389"/>
        <v>1.4396003825587087</v>
      </c>
      <c r="AE795">
        <f t="shared" ca="1" si="390"/>
        <v>37.976956560646123</v>
      </c>
      <c r="AF795">
        <f t="shared" ca="1" si="391"/>
        <v>8.7100986912673761E-3</v>
      </c>
      <c r="AG795">
        <f t="shared" ca="1" si="392"/>
        <v>0</v>
      </c>
      <c r="AH795">
        <f ca="1">IFERROR(IF(V32="Supercritical",MAX($D$16,IFERROR(L795,MAX($D$16,POWER((ABS(K795)^2)/($I$5*MAX(F795,0.1)^2),1/3)))),IF(V32="Subcritical",MAX($D$16,IFERROR(W795,MAX($D$16,POWER((ABS(K795)^2)/($I$5*MAX(F795,0.1)^2),1/3)))),IF(AND(IFERROR(V795,0)=1,IFERROR(AG795,0)=1),IF(IFERROR(T795,-1E+99)&gt;=IFERROR(AE795,-1E+99),MAX($D$16,IFERROR(L795,MAX($D$16,POWER((ABS(K795)^2)/($I$5*MAX(F795,0.1)^2),1/3)))),MAX($D$16,IFERROR(W795,MAX($D$16,POWER((ABS(K795)^2)/($I$5*MAX(F795,0.1)^2),1/3))))),IF(IFERROR(V795,0)=1,MAX($D$16,IFERROR(L795,MAX($D$16,POWER((ABS(K795)^2)/($I$5*MAX(F795,0.1)^2),1/3)))),IF(IFERROR(AG795,0)=1,MAX($D$16,IFERROR(W795,MAX($D$16,POWER((ABS(K795)^2)/($I$5*MAX(F795,0.1)^2),1/3)))),MAX($D$16,POWER((ABS(K795)^2)/($I$5*MAX(F795,0.1)^2),1/3))))))),MAX($D$16,POWER((ABS(K795)^2)/($I$5*MAX(F795,0.1)^2),1/3)))</f>
        <v>2.1762353150568448</v>
      </c>
      <c r="AI795">
        <f t="shared" ca="1" si="393"/>
        <v>634.37223531505686</v>
      </c>
      <c r="AJ795">
        <f t="shared" ca="1" si="394"/>
        <v>635.46035297258527</v>
      </c>
      <c r="AM795">
        <v>0</v>
      </c>
      <c r="AN795">
        <v>0</v>
      </c>
      <c r="AO795">
        <f t="shared" si="395"/>
        <v>0</v>
      </c>
      <c r="AP795">
        <f t="shared" si="404"/>
        <v>0</v>
      </c>
      <c r="AQ795">
        <f t="shared" ca="1" si="396"/>
        <v>1</v>
      </c>
      <c r="AR795" t="str">
        <f t="shared" ca="1" si="397"/>
        <v>Supercritical</v>
      </c>
      <c r="AS795">
        <f t="shared" ca="1" si="398"/>
        <v>3.8932924749513747E-3</v>
      </c>
    </row>
    <row r="796" spans="1:45" x14ac:dyDescent="0.35">
      <c r="A796">
        <v>735</v>
      </c>
      <c r="B796">
        <v>733.99599999999998</v>
      </c>
      <c r="C796">
        <v>616096.14300000004</v>
      </c>
      <c r="D796">
        <v>3097272.3390000002</v>
      </c>
      <c r="E796">
        <v>632.19550000000004</v>
      </c>
      <c r="F796">
        <v>5.0670000000000002</v>
      </c>
      <c r="G796">
        <v>0</v>
      </c>
      <c r="H796" t="s">
        <v>154</v>
      </c>
      <c r="I796">
        <v>0.54400000000000004</v>
      </c>
      <c r="J796">
        <f t="shared" si="399"/>
        <v>1</v>
      </c>
      <c r="K796">
        <f t="shared" ca="1" si="400"/>
        <v>50.95</v>
      </c>
      <c r="L796">
        <f t="shared" ca="1" si="401"/>
        <v>2.1762353150568448</v>
      </c>
      <c r="M796">
        <f t="shared" ca="1" si="374"/>
        <v>11.026984341393034</v>
      </c>
      <c r="N796">
        <f t="shared" ca="1" si="375"/>
        <v>1.1706586043317746</v>
      </c>
      <c r="O796">
        <f t="shared" ca="1" si="376"/>
        <v>4.6204835721716018</v>
      </c>
      <c r="P796">
        <f t="shared" ca="1" si="377"/>
        <v>634.37173531505687</v>
      </c>
      <c r="Q796">
        <f t="shared" ca="1" si="378"/>
        <v>635.45985297258528</v>
      </c>
      <c r="R796">
        <f t="shared" ca="1" si="379"/>
        <v>3.8932924749513747E-3</v>
      </c>
      <c r="S796">
        <f t="shared" ca="1" si="380"/>
        <v>1</v>
      </c>
      <c r="T796">
        <f t="shared" ca="1" si="381"/>
        <v>35.995969113477543</v>
      </c>
      <c r="U796">
        <f t="shared" ca="1" si="402"/>
        <v>-4.3798524843623454E-3</v>
      </c>
      <c r="V796">
        <f t="shared" ca="1" si="403"/>
        <v>1</v>
      </c>
      <c r="W796">
        <f t="shared" ca="1" si="382"/>
        <v>1.7069123394998316</v>
      </c>
      <c r="X796">
        <f t="shared" ca="1" si="383"/>
        <v>8.6489248242456469</v>
      </c>
      <c r="Y796">
        <f t="shared" ca="1" si="384"/>
        <v>1.0198212027259843</v>
      </c>
      <c r="Z796">
        <f t="shared" ca="1" si="385"/>
        <v>5.8909056368684327</v>
      </c>
      <c r="AA796">
        <f t="shared" ca="1" si="386"/>
        <v>633.90241233949985</v>
      </c>
      <c r="AB796">
        <f t="shared" ca="1" si="387"/>
        <v>635.67115694818938</v>
      </c>
      <c r="AC796">
        <f t="shared" ca="1" si="388"/>
        <v>7.6064369127481699E-3</v>
      </c>
      <c r="AD796">
        <f t="shared" ca="1" si="389"/>
        <v>1.4396003825587522</v>
      </c>
      <c r="AE796">
        <f t="shared" ca="1" si="390"/>
        <v>37.976956560646443</v>
      </c>
      <c r="AF796">
        <f t="shared" ca="1" si="391"/>
        <v>8.8692857060550523E-3</v>
      </c>
      <c r="AG796">
        <f t="shared" ca="1" si="392"/>
        <v>0</v>
      </c>
      <c r="AH796">
        <f ca="1">IFERROR(IF(V32="Supercritical",MAX($D$16,IFERROR(L796,MAX($D$16,POWER((ABS(K796)^2)/($I$5*MAX(F796,0.1)^2),1/3)))),IF(V32="Subcritical",MAX($D$16,IFERROR(W796,MAX($D$16,POWER((ABS(K796)^2)/($I$5*MAX(F796,0.1)^2),1/3)))),IF(AND(IFERROR(V796,0)=1,IFERROR(AG796,0)=1),IF(IFERROR(T796,-1E+99)&gt;=IFERROR(AE796,-1E+99),MAX($D$16,IFERROR(L796,MAX($D$16,POWER((ABS(K796)^2)/($I$5*MAX(F796,0.1)^2),1/3)))),MAX($D$16,IFERROR(W796,MAX($D$16,POWER((ABS(K796)^2)/($I$5*MAX(F796,0.1)^2),1/3))))),IF(IFERROR(V796,0)=1,MAX($D$16,IFERROR(L796,MAX($D$16,POWER((ABS(K796)^2)/($I$5*MAX(F796,0.1)^2),1/3)))),IF(IFERROR(AG796,0)=1,MAX($D$16,IFERROR(W796,MAX($D$16,POWER((ABS(K796)^2)/($I$5*MAX(F796,0.1)^2),1/3)))),MAX($D$16,POWER((ABS(K796)^2)/($I$5*MAX(F796,0.1)^2),1/3))))))),MAX($D$16,POWER((ABS(K796)^2)/($I$5*MAX(F796,0.1)^2),1/3)))</f>
        <v>2.1762353150568448</v>
      </c>
      <c r="AI796">
        <f t="shared" ca="1" si="393"/>
        <v>634.37173531505687</v>
      </c>
      <c r="AJ796">
        <f t="shared" ca="1" si="394"/>
        <v>635.45985297258528</v>
      </c>
      <c r="AM796">
        <v>0</v>
      </c>
      <c r="AN796">
        <v>0</v>
      </c>
      <c r="AO796">
        <f t="shared" si="395"/>
        <v>0</v>
      </c>
      <c r="AP796">
        <f t="shared" si="404"/>
        <v>0</v>
      </c>
      <c r="AQ796">
        <f t="shared" ca="1" si="396"/>
        <v>1</v>
      </c>
      <c r="AR796" t="str">
        <f t="shared" ca="1" si="397"/>
        <v>Supercritical</v>
      </c>
      <c r="AS796">
        <f t="shared" ca="1" si="398"/>
        <v>3.8932924749513747E-3</v>
      </c>
    </row>
    <row r="797" spans="1:45" x14ac:dyDescent="0.35">
      <c r="A797">
        <v>736</v>
      </c>
      <c r="B797">
        <v>734.99599999999998</v>
      </c>
      <c r="C797">
        <v>616095.84</v>
      </c>
      <c r="D797">
        <v>3097271.3859999999</v>
      </c>
      <c r="E797">
        <v>632.19500000000005</v>
      </c>
      <c r="F797">
        <v>5.0670000000000002</v>
      </c>
      <c r="G797">
        <v>0</v>
      </c>
      <c r="H797" t="s">
        <v>154</v>
      </c>
      <c r="I797">
        <v>0.59799999999999998</v>
      </c>
      <c r="J797">
        <f t="shared" si="399"/>
        <v>1</v>
      </c>
      <c r="K797">
        <f t="shared" ca="1" si="400"/>
        <v>50.95</v>
      </c>
      <c r="L797">
        <f t="shared" ca="1" si="401"/>
        <v>2.1762353150568448</v>
      </c>
      <c r="M797">
        <f t="shared" ca="1" si="374"/>
        <v>11.026984341393034</v>
      </c>
      <c r="N797">
        <f t="shared" ca="1" si="375"/>
        <v>1.1706586043317746</v>
      </c>
      <c r="O797">
        <f t="shared" ca="1" si="376"/>
        <v>4.6204835721716018</v>
      </c>
      <c r="P797">
        <f t="shared" ca="1" si="377"/>
        <v>634.37123531505688</v>
      </c>
      <c r="Q797">
        <f t="shared" ca="1" si="378"/>
        <v>635.45935297258529</v>
      </c>
      <c r="R797">
        <f t="shared" ca="1" si="379"/>
        <v>3.8932924749513747E-3</v>
      </c>
      <c r="S797">
        <f t="shared" ca="1" si="380"/>
        <v>1</v>
      </c>
      <c r="T797">
        <f t="shared" ca="1" si="381"/>
        <v>35.995969113477543</v>
      </c>
      <c r="U797">
        <f t="shared" ca="1" si="402"/>
        <v>-4.4777830736393298E-3</v>
      </c>
      <c r="V797">
        <f t="shared" ca="1" si="403"/>
        <v>1</v>
      </c>
      <c r="W797">
        <f t="shared" ca="1" si="382"/>
        <v>1.7069123394997974</v>
      </c>
      <c r="X797">
        <f t="shared" ca="1" si="383"/>
        <v>8.6489248242454728</v>
      </c>
      <c r="Y797">
        <f t="shared" ca="1" si="384"/>
        <v>1.0198212027259721</v>
      </c>
      <c r="Z797">
        <f t="shared" ca="1" si="385"/>
        <v>5.8909056368685517</v>
      </c>
      <c r="AA797">
        <f t="shared" ca="1" si="386"/>
        <v>633.90191233949986</v>
      </c>
      <c r="AB797">
        <f t="shared" ca="1" si="387"/>
        <v>635.67065694818939</v>
      </c>
      <c r="AC797">
        <f t="shared" ca="1" si="388"/>
        <v>7.6064369127486009E-3</v>
      </c>
      <c r="AD797">
        <f t="shared" ca="1" si="389"/>
        <v>1.4396003825587957</v>
      </c>
      <c r="AE797">
        <f t="shared" ca="1" si="390"/>
        <v>37.976956560646762</v>
      </c>
      <c r="AF797">
        <f t="shared" ca="1" si="391"/>
        <v>8.8616792689890644E-3</v>
      </c>
      <c r="AG797">
        <f t="shared" ca="1" si="392"/>
        <v>0</v>
      </c>
      <c r="AH797">
        <f ca="1">IFERROR(IF(V32="Supercritical",MAX($D$16,IFERROR(L797,MAX($D$16,POWER((ABS(K797)^2)/($I$5*MAX(F797,0.1)^2),1/3)))),IF(V32="Subcritical",MAX($D$16,IFERROR(W797,MAX($D$16,POWER((ABS(K797)^2)/($I$5*MAX(F797,0.1)^2),1/3)))),IF(AND(IFERROR(V797,0)=1,IFERROR(AG797,0)=1),IF(IFERROR(T797,-1E+99)&gt;=IFERROR(AE797,-1E+99),MAX($D$16,IFERROR(L797,MAX($D$16,POWER((ABS(K797)^2)/($I$5*MAX(F797,0.1)^2),1/3)))),MAX($D$16,IFERROR(W797,MAX($D$16,POWER((ABS(K797)^2)/($I$5*MAX(F797,0.1)^2),1/3))))),IF(IFERROR(V797,0)=1,MAX($D$16,IFERROR(L797,MAX($D$16,POWER((ABS(K797)^2)/($I$5*MAX(F797,0.1)^2),1/3)))),IF(IFERROR(AG797,0)=1,MAX($D$16,IFERROR(W797,MAX($D$16,POWER((ABS(K797)^2)/($I$5*MAX(F797,0.1)^2),1/3)))),MAX($D$16,POWER((ABS(K797)^2)/($I$5*MAX(F797,0.1)^2),1/3))))))),MAX($D$16,POWER((ABS(K797)^2)/($I$5*MAX(F797,0.1)^2),1/3)))</f>
        <v>2.1762353150568448</v>
      </c>
      <c r="AI797">
        <f t="shared" ca="1" si="393"/>
        <v>634.37123531505688</v>
      </c>
      <c r="AJ797">
        <f t="shared" ca="1" si="394"/>
        <v>635.45935297258529</v>
      </c>
      <c r="AM797">
        <v>0</v>
      </c>
      <c r="AN797">
        <v>0</v>
      </c>
      <c r="AO797">
        <f t="shared" si="395"/>
        <v>0</v>
      </c>
      <c r="AP797">
        <f t="shared" si="404"/>
        <v>0</v>
      </c>
      <c r="AQ797">
        <f t="shared" ca="1" si="396"/>
        <v>1</v>
      </c>
      <c r="AR797" t="str">
        <f t="shared" ca="1" si="397"/>
        <v>Supercritical</v>
      </c>
      <c r="AS797">
        <f t="shared" ca="1" si="398"/>
        <v>3.8932924749513747E-3</v>
      </c>
    </row>
    <row r="798" spans="1:45" x14ac:dyDescent="0.35">
      <c r="A798">
        <v>737</v>
      </c>
      <c r="B798">
        <v>735.995</v>
      </c>
      <c r="C798">
        <v>616095.54700000002</v>
      </c>
      <c r="D798">
        <v>3097270.43</v>
      </c>
      <c r="E798">
        <v>632.19449999999995</v>
      </c>
      <c r="F798">
        <v>5.0670000000000002</v>
      </c>
      <c r="G798">
        <v>0</v>
      </c>
      <c r="H798" t="s">
        <v>154</v>
      </c>
      <c r="I798">
        <v>0.59799999999999998</v>
      </c>
      <c r="J798">
        <f t="shared" si="399"/>
        <v>0.99900000000002365</v>
      </c>
      <c r="K798">
        <f t="shared" ca="1" si="400"/>
        <v>50.95</v>
      </c>
      <c r="L798">
        <f t="shared" ca="1" si="401"/>
        <v>2.1762353150568448</v>
      </c>
      <c r="M798">
        <f t="shared" ca="1" si="374"/>
        <v>11.026984341393034</v>
      </c>
      <c r="N798">
        <f t="shared" ca="1" si="375"/>
        <v>1.1706586043317746</v>
      </c>
      <c r="O798">
        <f t="shared" ca="1" si="376"/>
        <v>4.6204835721716018</v>
      </c>
      <c r="P798">
        <f t="shared" ca="1" si="377"/>
        <v>634.37073531505678</v>
      </c>
      <c r="Q798">
        <f t="shared" ca="1" si="378"/>
        <v>635.45885297258519</v>
      </c>
      <c r="R798">
        <f t="shared" ca="1" si="379"/>
        <v>3.8932924749513747E-3</v>
      </c>
      <c r="S798">
        <f t="shared" ca="1" si="380"/>
        <v>1</v>
      </c>
      <c r="T798">
        <f t="shared" ca="1" si="381"/>
        <v>35.995969113477543</v>
      </c>
      <c r="U798">
        <f t="shared" ca="1" si="402"/>
        <v>-4.4738897811384959E-3</v>
      </c>
      <c r="V798">
        <f t="shared" ca="1" si="403"/>
        <v>1</v>
      </c>
      <c r="W798">
        <f t="shared" ca="1" si="382"/>
        <v>1.7069123394997632</v>
      </c>
      <c r="X798">
        <f t="shared" ca="1" si="383"/>
        <v>8.6489248242453005</v>
      </c>
      <c r="Y798">
        <f t="shared" ca="1" si="384"/>
        <v>1.0198212027259599</v>
      </c>
      <c r="Z798">
        <f t="shared" ca="1" si="385"/>
        <v>5.890905636868669</v>
      </c>
      <c r="AA798">
        <f t="shared" ca="1" si="386"/>
        <v>633.90141233949976</v>
      </c>
      <c r="AB798">
        <f t="shared" ca="1" si="387"/>
        <v>635.6701569481894</v>
      </c>
      <c r="AC798">
        <f t="shared" ca="1" si="388"/>
        <v>7.6064369127490242E-3</v>
      </c>
      <c r="AD798">
        <f t="shared" ca="1" si="389"/>
        <v>1.4396003825588386</v>
      </c>
      <c r="AE798">
        <f t="shared" ca="1" si="390"/>
        <v>37.976956560647075</v>
      </c>
      <c r="AF798">
        <f t="shared" ca="1" si="391"/>
        <v>8.707150783607176E-3</v>
      </c>
      <c r="AG798">
        <f t="shared" ca="1" si="392"/>
        <v>0</v>
      </c>
      <c r="AH798">
        <f ca="1">IFERROR(IF(V32="Supercritical",MAX($D$16,IFERROR(L798,MAX($D$16,POWER((ABS(K798)^2)/($I$5*MAX(F798,0.1)^2),1/3)))),IF(V32="Subcritical",MAX($D$16,IFERROR(W798,MAX($D$16,POWER((ABS(K798)^2)/($I$5*MAX(F798,0.1)^2),1/3)))),IF(AND(IFERROR(V798,0)=1,IFERROR(AG798,0)=1),IF(IFERROR(T798,-1E+99)&gt;=IFERROR(AE798,-1E+99),MAX($D$16,IFERROR(L798,MAX($D$16,POWER((ABS(K798)^2)/($I$5*MAX(F798,0.1)^2),1/3)))),MAX($D$16,IFERROR(W798,MAX($D$16,POWER((ABS(K798)^2)/($I$5*MAX(F798,0.1)^2),1/3))))),IF(IFERROR(V798,0)=1,MAX($D$16,IFERROR(L798,MAX($D$16,POWER((ABS(K798)^2)/($I$5*MAX(F798,0.1)^2),1/3)))),IF(IFERROR(AG798,0)=1,MAX($D$16,IFERROR(W798,MAX($D$16,POWER((ABS(K798)^2)/($I$5*MAX(F798,0.1)^2),1/3)))),MAX($D$16,POWER((ABS(K798)^2)/($I$5*MAX(F798,0.1)^2),1/3))))))),MAX($D$16,POWER((ABS(K798)^2)/($I$5*MAX(F798,0.1)^2),1/3)))</f>
        <v>2.1762353150568448</v>
      </c>
      <c r="AI798">
        <f t="shared" ca="1" si="393"/>
        <v>634.37073531505678</v>
      </c>
      <c r="AJ798">
        <f t="shared" ca="1" si="394"/>
        <v>635.45885297258519</v>
      </c>
      <c r="AM798">
        <v>0</v>
      </c>
      <c r="AN798">
        <v>0</v>
      </c>
      <c r="AO798">
        <f t="shared" si="395"/>
        <v>0</v>
      </c>
      <c r="AP798">
        <f t="shared" si="404"/>
        <v>0</v>
      </c>
      <c r="AQ798">
        <f t="shared" ca="1" si="396"/>
        <v>1</v>
      </c>
      <c r="AR798" t="str">
        <f t="shared" ca="1" si="397"/>
        <v>Supercritical</v>
      </c>
      <c r="AS798">
        <f t="shared" ca="1" si="398"/>
        <v>3.8932924749513747E-3</v>
      </c>
    </row>
    <row r="799" spans="1:45" x14ac:dyDescent="0.35">
      <c r="A799">
        <v>738</v>
      </c>
      <c r="B799">
        <v>736.995</v>
      </c>
      <c r="C799">
        <v>616095.26399999997</v>
      </c>
      <c r="D799">
        <v>3097269.4709999999</v>
      </c>
      <c r="E799">
        <v>632.19399999999996</v>
      </c>
      <c r="F799">
        <v>5.0670000000000002</v>
      </c>
      <c r="G799">
        <v>0</v>
      </c>
      <c r="H799" t="s">
        <v>154</v>
      </c>
      <c r="I799">
        <v>0.54300000000000004</v>
      </c>
      <c r="J799">
        <f t="shared" si="399"/>
        <v>1</v>
      </c>
      <c r="K799">
        <f t="shared" ca="1" si="400"/>
        <v>50.95</v>
      </c>
      <c r="L799">
        <f t="shared" ca="1" si="401"/>
        <v>2.1762353150568448</v>
      </c>
      <c r="M799">
        <f t="shared" ca="1" si="374"/>
        <v>11.026984341393034</v>
      </c>
      <c r="N799">
        <f t="shared" ca="1" si="375"/>
        <v>1.1706586043317746</v>
      </c>
      <c r="O799">
        <f t="shared" ca="1" si="376"/>
        <v>4.6204835721716018</v>
      </c>
      <c r="P799">
        <f t="shared" ca="1" si="377"/>
        <v>634.37023531505679</v>
      </c>
      <c r="Q799">
        <f t="shared" ca="1" si="378"/>
        <v>635.4583529725852</v>
      </c>
      <c r="R799">
        <f t="shared" ca="1" si="379"/>
        <v>3.8932924749513747E-3</v>
      </c>
      <c r="S799">
        <f t="shared" ca="1" si="380"/>
        <v>1</v>
      </c>
      <c r="T799">
        <f t="shared" ca="1" si="381"/>
        <v>35.995969113477543</v>
      </c>
      <c r="U799">
        <f t="shared" ca="1" si="402"/>
        <v>-4.3780389549965548E-3</v>
      </c>
      <c r="V799">
        <f t="shared" ca="1" si="403"/>
        <v>1</v>
      </c>
      <c r="W799">
        <f t="shared" ca="1" si="382"/>
        <v>1.7069123394997461</v>
      </c>
      <c r="X799">
        <f t="shared" ca="1" si="383"/>
        <v>8.6489248242452135</v>
      </c>
      <c r="Y799">
        <f t="shared" ca="1" si="384"/>
        <v>1.0198212027259537</v>
      </c>
      <c r="Z799">
        <f t="shared" ca="1" si="385"/>
        <v>5.8909056368687285</v>
      </c>
      <c r="AA799">
        <f t="shared" ca="1" si="386"/>
        <v>633.90091233949965</v>
      </c>
      <c r="AB799">
        <f t="shared" ca="1" si="387"/>
        <v>635.6696569481893</v>
      </c>
      <c r="AC799">
        <f t="shared" ca="1" si="388"/>
        <v>7.6064369127492402E-3</v>
      </c>
      <c r="AD799">
        <f t="shared" ca="1" si="389"/>
        <v>1.4396003825588604</v>
      </c>
      <c r="AE799">
        <f t="shared" ca="1" si="390"/>
        <v>37.976956560647238</v>
      </c>
      <c r="AF799">
        <f t="shared" ca="1" si="391"/>
        <v>8.8768921430073533E-3</v>
      </c>
      <c r="AG799">
        <f t="shared" ca="1" si="392"/>
        <v>0</v>
      </c>
      <c r="AH799">
        <f ca="1">IFERROR(IF(V32="Supercritical",MAX($D$16,IFERROR(L799,MAX($D$16,POWER((ABS(K799)^2)/($I$5*MAX(F799,0.1)^2),1/3)))),IF(V32="Subcritical",MAX($D$16,IFERROR(W799,MAX($D$16,POWER((ABS(K799)^2)/($I$5*MAX(F799,0.1)^2),1/3)))),IF(AND(IFERROR(V799,0)=1,IFERROR(AG799,0)=1),IF(IFERROR(T799,-1E+99)&gt;=IFERROR(AE799,-1E+99),MAX($D$16,IFERROR(L799,MAX($D$16,POWER((ABS(K799)^2)/($I$5*MAX(F799,0.1)^2),1/3)))),MAX($D$16,IFERROR(W799,MAX($D$16,POWER((ABS(K799)^2)/($I$5*MAX(F799,0.1)^2),1/3))))),IF(IFERROR(V799,0)=1,MAX($D$16,IFERROR(L799,MAX($D$16,POWER((ABS(K799)^2)/($I$5*MAX(F799,0.1)^2),1/3)))),IF(IFERROR(AG799,0)=1,MAX($D$16,IFERROR(W799,MAX($D$16,POWER((ABS(K799)^2)/($I$5*MAX(F799,0.1)^2),1/3)))),MAX($D$16,POWER((ABS(K799)^2)/($I$5*MAX(F799,0.1)^2),1/3))))))),MAX($D$16,POWER((ABS(K799)^2)/($I$5*MAX(F799,0.1)^2),1/3)))</f>
        <v>2.1762353150568448</v>
      </c>
      <c r="AI799">
        <f t="shared" ca="1" si="393"/>
        <v>634.37023531505679</v>
      </c>
      <c r="AJ799">
        <f t="shared" ca="1" si="394"/>
        <v>635.4583529725852</v>
      </c>
      <c r="AM799">
        <v>0</v>
      </c>
      <c r="AN799">
        <v>0</v>
      </c>
      <c r="AO799">
        <f t="shared" si="395"/>
        <v>0</v>
      </c>
      <c r="AP799">
        <f t="shared" si="404"/>
        <v>0</v>
      </c>
      <c r="AQ799">
        <f t="shared" ca="1" si="396"/>
        <v>1</v>
      </c>
      <c r="AR799" t="str">
        <f t="shared" ca="1" si="397"/>
        <v>Supercritical</v>
      </c>
      <c r="AS799">
        <f t="shared" ca="1" si="398"/>
        <v>3.8932924749513747E-3</v>
      </c>
    </row>
    <row r="800" spans="1:45" x14ac:dyDescent="0.35">
      <c r="A800">
        <v>739</v>
      </c>
      <c r="B800">
        <v>737.99599999999998</v>
      </c>
      <c r="C800">
        <v>616094.99</v>
      </c>
      <c r="D800">
        <v>3097268.5090000001</v>
      </c>
      <c r="E800">
        <v>632.19349999999997</v>
      </c>
      <c r="F800">
        <v>5.0670000000000002</v>
      </c>
      <c r="G800">
        <v>0</v>
      </c>
      <c r="H800" t="s">
        <v>154</v>
      </c>
      <c r="I800">
        <v>0.59799999999999998</v>
      </c>
      <c r="J800">
        <f t="shared" si="399"/>
        <v>1.0009999999999764</v>
      </c>
      <c r="K800">
        <f t="shared" ca="1" si="400"/>
        <v>50.95</v>
      </c>
      <c r="L800">
        <f t="shared" ca="1" si="401"/>
        <v>2.1762353150568448</v>
      </c>
      <c r="M800">
        <f t="shared" ca="1" si="374"/>
        <v>11.026984341393034</v>
      </c>
      <c r="N800">
        <f t="shared" ca="1" si="375"/>
        <v>1.1706586043317746</v>
      </c>
      <c r="O800">
        <f t="shared" ca="1" si="376"/>
        <v>4.6204835721716018</v>
      </c>
      <c r="P800">
        <f t="shared" ca="1" si="377"/>
        <v>634.3697353150568</v>
      </c>
      <c r="Q800">
        <f t="shared" ca="1" si="378"/>
        <v>635.45785297258521</v>
      </c>
      <c r="R800">
        <f t="shared" ca="1" si="379"/>
        <v>3.8932924749513747E-3</v>
      </c>
      <c r="S800">
        <f t="shared" ca="1" si="380"/>
        <v>1</v>
      </c>
      <c r="T800">
        <f t="shared" ca="1" si="381"/>
        <v>35.995969113477543</v>
      </c>
      <c r="U800">
        <f t="shared" ca="1" si="402"/>
        <v>-4.4816763661401637E-3</v>
      </c>
      <c r="V800">
        <f t="shared" ca="1" si="403"/>
        <v>1</v>
      </c>
      <c r="W800">
        <f t="shared" ca="1" si="382"/>
        <v>1.706912339499695</v>
      </c>
      <c r="X800">
        <f t="shared" ca="1" si="383"/>
        <v>8.6489248242449541</v>
      </c>
      <c r="Y800">
        <f t="shared" ca="1" si="384"/>
        <v>1.0198212027259355</v>
      </c>
      <c r="Z800">
        <f t="shared" ca="1" si="385"/>
        <v>5.8909056368689052</v>
      </c>
      <c r="AA800">
        <f t="shared" ca="1" si="386"/>
        <v>633.90041233949967</v>
      </c>
      <c r="AB800">
        <f t="shared" ca="1" si="387"/>
        <v>635.66915694818942</v>
      </c>
      <c r="AC800">
        <f t="shared" ca="1" si="388"/>
        <v>7.6064369127498742E-3</v>
      </c>
      <c r="AD800">
        <f t="shared" ca="1" si="389"/>
        <v>1.4396003825589252</v>
      </c>
      <c r="AE800">
        <f t="shared" ca="1" si="390"/>
        <v>37.976956560647714</v>
      </c>
      <c r="AF800">
        <f t="shared" ca="1" si="391"/>
        <v>8.6629321683631133E-3</v>
      </c>
      <c r="AG800">
        <f t="shared" ca="1" si="392"/>
        <v>0</v>
      </c>
      <c r="AH800">
        <f ca="1">IFERROR(IF(V32="Supercritical",MAX($D$16,IFERROR(L800,MAX($D$16,POWER((ABS(K800)^2)/($I$5*MAX(F800,0.1)^2),1/3)))),IF(V32="Subcritical",MAX($D$16,IFERROR(W800,MAX($D$16,POWER((ABS(K800)^2)/($I$5*MAX(F800,0.1)^2),1/3)))),IF(AND(IFERROR(V800,0)=1,IFERROR(AG800,0)=1),IF(IFERROR(T800,-1E+99)&gt;=IFERROR(AE800,-1E+99),MAX($D$16,IFERROR(L800,MAX($D$16,POWER((ABS(K800)^2)/($I$5*MAX(F800,0.1)^2),1/3)))),MAX($D$16,IFERROR(W800,MAX($D$16,POWER((ABS(K800)^2)/($I$5*MAX(F800,0.1)^2),1/3))))),IF(IFERROR(V800,0)=1,MAX($D$16,IFERROR(L800,MAX($D$16,POWER((ABS(K800)^2)/($I$5*MAX(F800,0.1)^2),1/3)))),IF(IFERROR(AG800,0)=1,MAX($D$16,IFERROR(W800,MAX($D$16,POWER((ABS(K800)^2)/($I$5*MAX(F800,0.1)^2),1/3)))),MAX($D$16,POWER((ABS(K800)^2)/($I$5*MAX(F800,0.1)^2),1/3))))))),MAX($D$16,POWER((ABS(K800)^2)/($I$5*MAX(F800,0.1)^2),1/3)))</f>
        <v>2.1762353150568448</v>
      </c>
      <c r="AI800">
        <f t="shared" ca="1" si="393"/>
        <v>634.3697353150568</v>
      </c>
      <c r="AJ800">
        <f t="shared" ca="1" si="394"/>
        <v>635.45785297258521</v>
      </c>
      <c r="AM800">
        <v>0</v>
      </c>
      <c r="AN800">
        <v>0</v>
      </c>
      <c r="AO800">
        <f t="shared" si="395"/>
        <v>0</v>
      </c>
      <c r="AP800">
        <f t="shared" si="404"/>
        <v>0</v>
      </c>
      <c r="AQ800">
        <f t="shared" ca="1" si="396"/>
        <v>1</v>
      </c>
      <c r="AR800" t="str">
        <f t="shared" ca="1" si="397"/>
        <v>Supercritical</v>
      </c>
      <c r="AS800">
        <f t="shared" ca="1" si="398"/>
        <v>3.8932924749513747E-3</v>
      </c>
    </row>
    <row r="801" spans="1:45" x14ac:dyDescent="0.35">
      <c r="A801">
        <v>740</v>
      </c>
      <c r="B801">
        <v>738.99599999999998</v>
      </c>
      <c r="C801">
        <v>616094.72600000002</v>
      </c>
      <c r="D801">
        <v>3097267.5440000002</v>
      </c>
      <c r="E801">
        <v>632.19299999999998</v>
      </c>
      <c r="F801">
        <v>5.0670000000000002</v>
      </c>
      <c r="G801">
        <v>0</v>
      </c>
      <c r="H801" t="s">
        <v>154</v>
      </c>
      <c r="I801">
        <v>0.52800000000000002</v>
      </c>
      <c r="J801">
        <f t="shared" si="399"/>
        <v>1</v>
      </c>
      <c r="K801">
        <f t="shared" ca="1" si="400"/>
        <v>50.95</v>
      </c>
      <c r="L801">
        <f t="shared" ca="1" si="401"/>
        <v>2.1762353150568448</v>
      </c>
      <c r="M801">
        <f t="shared" ca="1" si="374"/>
        <v>11.026984341393034</v>
      </c>
      <c r="N801">
        <f t="shared" ca="1" si="375"/>
        <v>1.1706586043317746</v>
      </c>
      <c r="O801">
        <f t="shared" ca="1" si="376"/>
        <v>4.6204835721716018</v>
      </c>
      <c r="P801">
        <f t="shared" ca="1" si="377"/>
        <v>634.36923531505681</v>
      </c>
      <c r="Q801">
        <f t="shared" ca="1" si="378"/>
        <v>635.45735297258523</v>
      </c>
      <c r="R801">
        <f t="shared" ca="1" si="379"/>
        <v>3.8932924749513747E-3</v>
      </c>
      <c r="S801">
        <f t="shared" ca="1" si="380"/>
        <v>1</v>
      </c>
      <c r="T801">
        <f t="shared" ca="1" si="381"/>
        <v>35.995969113477543</v>
      </c>
      <c r="U801">
        <f t="shared" ca="1" si="402"/>
        <v>-4.3508360136002011E-3</v>
      </c>
      <c r="V801">
        <f t="shared" ca="1" si="403"/>
        <v>1</v>
      </c>
      <c r="W801">
        <f t="shared" ca="1" si="382"/>
        <v>1.7069123394996608</v>
      </c>
      <c r="X801">
        <f t="shared" ca="1" si="383"/>
        <v>8.6489248242447818</v>
      </c>
      <c r="Y801">
        <f t="shared" ca="1" si="384"/>
        <v>1.0198212027259232</v>
      </c>
      <c r="Z801">
        <f t="shared" ca="1" si="385"/>
        <v>5.8909056368690225</v>
      </c>
      <c r="AA801">
        <f t="shared" ca="1" si="386"/>
        <v>633.89991233949968</v>
      </c>
      <c r="AB801">
        <f t="shared" ca="1" si="387"/>
        <v>635.66865694818955</v>
      </c>
      <c r="AC801">
        <f t="shared" ca="1" si="388"/>
        <v>7.6064369127503027E-3</v>
      </c>
      <c r="AD801">
        <f t="shared" ca="1" si="389"/>
        <v>1.4396003825589683</v>
      </c>
      <c r="AE801">
        <f t="shared" ca="1" si="390"/>
        <v>37.976956560648027</v>
      </c>
      <c r="AF801">
        <f t="shared" ca="1" si="391"/>
        <v>8.8280149985848766E-3</v>
      </c>
      <c r="AG801">
        <f t="shared" ca="1" si="392"/>
        <v>0</v>
      </c>
      <c r="AH801">
        <f ca="1">IFERROR(IF(V32="Supercritical",MAX($D$16,IFERROR(L801,MAX($D$16,POWER((ABS(K801)^2)/($I$5*MAX(F801,0.1)^2),1/3)))),IF(V32="Subcritical",MAX($D$16,IFERROR(W801,MAX($D$16,POWER((ABS(K801)^2)/($I$5*MAX(F801,0.1)^2),1/3)))),IF(AND(IFERROR(V801,0)=1,IFERROR(AG801,0)=1),IF(IFERROR(T801,-1E+99)&gt;=IFERROR(AE801,-1E+99),MAX($D$16,IFERROR(L801,MAX($D$16,POWER((ABS(K801)^2)/($I$5*MAX(F801,0.1)^2),1/3)))),MAX($D$16,IFERROR(W801,MAX($D$16,POWER((ABS(K801)^2)/($I$5*MAX(F801,0.1)^2),1/3))))),IF(IFERROR(V801,0)=1,MAX($D$16,IFERROR(L801,MAX($D$16,POWER((ABS(K801)^2)/($I$5*MAX(F801,0.1)^2),1/3)))),IF(IFERROR(AG801,0)=1,MAX($D$16,IFERROR(W801,MAX($D$16,POWER((ABS(K801)^2)/($I$5*MAX(F801,0.1)^2),1/3)))),MAX($D$16,POWER((ABS(K801)^2)/($I$5*MAX(F801,0.1)^2),1/3))))))),MAX($D$16,POWER((ABS(K801)^2)/($I$5*MAX(F801,0.1)^2),1/3)))</f>
        <v>2.1762353150568448</v>
      </c>
      <c r="AI801">
        <f t="shared" ca="1" si="393"/>
        <v>634.36923531505681</v>
      </c>
      <c r="AJ801">
        <f t="shared" ca="1" si="394"/>
        <v>635.45735297258523</v>
      </c>
      <c r="AM801">
        <v>0</v>
      </c>
      <c r="AN801">
        <v>0</v>
      </c>
      <c r="AO801">
        <f t="shared" si="395"/>
        <v>0</v>
      </c>
      <c r="AP801">
        <f t="shared" si="404"/>
        <v>0</v>
      </c>
      <c r="AQ801">
        <f t="shared" ca="1" si="396"/>
        <v>1</v>
      </c>
      <c r="AR801" t="str">
        <f t="shared" ca="1" si="397"/>
        <v>Supercritical</v>
      </c>
      <c r="AS801">
        <f t="shared" ca="1" si="398"/>
        <v>3.8932924749513747E-3</v>
      </c>
    </row>
    <row r="802" spans="1:45" x14ac:dyDescent="0.35">
      <c r="A802">
        <v>741</v>
      </c>
      <c r="B802">
        <v>739.99599999999998</v>
      </c>
      <c r="C802">
        <v>616094.47100000002</v>
      </c>
      <c r="D802">
        <v>3097266.577</v>
      </c>
      <c r="E802">
        <v>632.1925</v>
      </c>
      <c r="F802">
        <v>5.0670000000000002</v>
      </c>
      <c r="G802">
        <v>0</v>
      </c>
      <c r="H802" t="s">
        <v>154</v>
      </c>
      <c r="I802">
        <v>0.58399999999999996</v>
      </c>
      <c r="J802">
        <f t="shared" si="399"/>
        <v>1</v>
      </c>
      <c r="K802">
        <f t="shared" ca="1" si="400"/>
        <v>50.95</v>
      </c>
      <c r="L802">
        <f t="shared" ca="1" si="401"/>
        <v>2.1762353150568448</v>
      </c>
      <c r="M802">
        <f t="shared" ca="1" si="374"/>
        <v>11.026984341393034</v>
      </c>
      <c r="N802">
        <f t="shared" ca="1" si="375"/>
        <v>1.1706586043317746</v>
      </c>
      <c r="O802">
        <f t="shared" ca="1" si="376"/>
        <v>4.6204835721716018</v>
      </c>
      <c r="P802">
        <f t="shared" ca="1" si="377"/>
        <v>634.36873531505682</v>
      </c>
      <c r="Q802">
        <f t="shared" ca="1" si="378"/>
        <v>635.45685297258524</v>
      </c>
      <c r="R802">
        <f t="shared" ca="1" si="379"/>
        <v>3.8932924749513747E-3</v>
      </c>
      <c r="S802">
        <f t="shared" ca="1" si="380"/>
        <v>1</v>
      </c>
      <c r="T802">
        <f t="shared" ca="1" si="381"/>
        <v>35.995969113477543</v>
      </c>
      <c r="U802">
        <f t="shared" ca="1" si="402"/>
        <v>-4.4523936616087667E-3</v>
      </c>
      <c r="V802">
        <f t="shared" ca="1" si="403"/>
        <v>1</v>
      </c>
      <c r="W802">
        <f t="shared" ca="1" si="382"/>
        <v>1.7069123394996437</v>
      </c>
      <c r="X802">
        <f t="shared" ca="1" si="383"/>
        <v>8.6489248242446948</v>
      </c>
      <c r="Y802">
        <f t="shared" ca="1" si="384"/>
        <v>1.0198212027259173</v>
      </c>
      <c r="Z802">
        <f t="shared" ca="1" si="385"/>
        <v>5.890905636869082</v>
      </c>
      <c r="AA802">
        <f t="shared" ca="1" si="386"/>
        <v>633.89941233949969</v>
      </c>
      <c r="AB802">
        <f t="shared" ca="1" si="387"/>
        <v>635.66815694818956</v>
      </c>
      <c r="AC802">
        <f t="shared" ca="1" si="388"/>
        <v>7.6064369127505135E-3</v>
      </c>
      <c r="AD802">
        <f t="shared" ca="1" si="389"/>
        <v>1.4396003825589898</v>
      </c>
      <c r="AE802">
        <f t="shared" ca="1" si="390"/>
        <v>37.976956560648183</v>
      </c>
      <c r="AF802">
        <f t="shared" ca="1" si="391"/>
        <v>8.8692857060550523E-3</v>
      </c>
      <c r="AG802">
        <f t="shared" ca="1" si="392"/>
        <v>0</v>
      </c>
      <c r="AH802">
        <f ca="1">IFERROR(IF(V32="Supercritical",MAX($D$16,IFERROR(L802,MAX($D$16,POWER((ABS(K802)^2)/($I$5*MAX(F802,0.1)^2),1/3)))),IF(V32="Subcritical",MAX($D$16,IFERROR(W802,MAX($D$16,POWER((ABS(K802)^2)/($I$5*MAX(F802,0.1)^2),1/3)))),IF(AND(IFERROR(V802,0)=1,IFERROR(AG802,0)=1),IF(IFERROR(T802,-1E+99)&gt;=IFERROR(AE802,-1E+99),MAX($D$16,IFERROR(L802,MAX($D$16,POWER((ABS(K802)^2)/($I$5*MAX(F802,0.1)^2),1/3)))),MAX($D$16,IFERROR(W802,MAX($D$16,POWER((ABS(K802)^2)/($I$5*MAX(F802,0.1)^2),1/3))))),IF(IFERROR(V802,0)=1,MAX($D$16,IFERROR(L802,MAX($D$16,POWER((ABS(K802)^2)/($I$5*MAX(F802,0.1)^2),1/3)))),IF(IFERROR(AG802,0)=1,MAX($D$16,IFERROR(W802,MAX($D$16,POWER((ABS(K802)^2)/($I$5*MAX(F802,0.1)^2),1/3)))),MAX($D$16,POWER((ABS(K802)^2)/($I$5*MAX(F802,0.1)^2),1/3))))))),MAX($D$16,POWER((ABS(K802)^2)/($I$5*MAX(F802,0.1)^2),1/3)))</f>
        <v>2.1762353150568448</v>
      </c>
      <c r="AI802">
        <f t="shared" ca="1" si="393"/>
        <v>634.36873531505682</v>
      </c>
      <c r="AJ802">
        <f t="shared" ca="1" si="394"/>
        <v>635.45685297258524</v>
      </c>
      <c r="AM802">
        <v>0</v>
      </c>
      <c r="AN802">
        <v>0</v>
      </c>
      <c r="AO802">
        <f t="shared" si="395"/>
        <v>0</v>
      </c>
      <c r="AP802">
        <f t="shared" si="404"/>
        <v>0</v>
      </c>
      <c r="AQ802">
        <f t="shared" ca="1" si="396"/>
        <v>1</v>
      </c>
      <c r="AR802" t="str">
        <f t="shared" ca="1" si="397"/>
        <v>Supercritical</v>
      </c>
      <c r="AS802">
        <f t="shared" ca="1" si="398"/>
        <v>3.8932924749513747E-3</v>
      </c>
    </row>
    <row r="803" spans="1:45" x14ac:dyDescent="0.35">
      <c r="A803">
        <v>742</v>
      </c>
      <c r="B803">
        <v>740.99599999999998</v>
      </c>
      <c r="C803">
        <v>616094.22600000002</v>
      </c>
      <c r="D803">
        <v>3097265.608</v>
      </c>
      <c r="E803">
        <v>632.19200000000001</v>
      </c>
      <c r="F803">
        <v>5.0670000000000002</v>
      </c>
      <c r="G803">
        <v>0</v>
      </c>
      <c r="H803" t="s">
        <v>154</v>
      </c>
      <c r="I803">
        <v>0.59799999999999998</v>
      </c>
      <c r="J803">
        <f t="shared" si="399"/>
        <v>1</v>
      </c>
      <c r="K803">
        <f t="shared" ca="1" si="400"/>
        <v>50.95</v>
      </c>
      <c r="L803">
        <f t="shared" ca="1" si="401"/>
        <v>2.1762353150568448</v>
      </c>
      <c r="M803">
        <f t="shared" ca="1" si="374"/>
        <v>11.026984341393034</v>
      </c>
      <c r="N803">
        <f t="shared" ca="1" si="375"/>
        <v>1.1706586043317746</v>
      </c>
      <c r="O803">
        <f t="shared" ca="1" si="376"/>
        <v>4.6204835721716018</v>
      </c>
      <c r="P803">
        <f t="shared" ca="1" si="377"/>
        <v>634.36823531505684</v>
      </c>
      <c r="Q803">
        <f t="shared" ca="1" si="378"/>
        <v>635.45635297258525</v>
      </c>
      <c r="R803">
        <f t="shared" ca="1" si="379"/>
        <v>3.8932924749513747E-3</v>
      </c>
      <c r="S803">
        <f t="shared" ca="1" si="380"/>
        <v>1</v>
      </c>
      <c r="T803">
        <f t="shared" ca="1" si="381"/>
        <v>35.995969113477543</v>
      </c>
      <c r="U803">
        <f t="shared" ca="1" si="402"/>
        <v>-4.4777830736393298E-3</v>
      </c>
      <c r="V803">
        <f t="shared" ca="1" si="403"/>
        <v>1</v>
      </c>
      <c r="W803">
        <f t="shared" ca="1" si="382"/>
        <v>1.7069123394996266</v>
      </c>
      <c r="X803">
        <f t="shared" ca="1" si="383"/>
        <v>8.6489248242446077</v>
      </c>
      <c r="Y803">
        <f t="shared" ca="1" si="384"/>
        <v>1.019821202725911</v>
      </c>
      <c r="Z803">
        <f t="shared" ca="1" si="385"/>
        <v>5.8909056368691406</v>
      </c>
      <c r="AA803">
        <f t="shared" ca="1" si="386"/>
        <v>633.89891233949959</v>
      </c>
      <c r="AB803">
        <f t="shared" ca="1" si="387"/>
        <v>635.66765694818957</v>
      </c>
      <c r="AC803">
        <f t="shared" ca="1" si="388"/>
        <v>7.6064369127507286E-3</v>
      </c>
      <c r="AD803">
        <f t="shared" ca="1" si="389"/>
        <v>1.4396003825590118</v>
      </c>
      <c r="AE803">
        <f t="shared" ca="1" si="390"/>
        <v>37.976956560648347</v>
      </c>
      <c r="AF803">
        <f t="shared" ca="1" si="391"/>
        <v>8.8280149985848766E-3</v>
      </c>
      <c r="AG803">
        <f t="shared" ca="1" si="392"/>
        <v>0</v>
      </c>
      <c r="AH803">
        <f ca="1">IFERROR(IF(V32="Supercritical",MAX($D$16,IFERROR(L803,MAX($D$16,POWER((ABS(K803)^2)/($I$5*MAX(F803,0.1)^2),1/3)))),IF(V32="Subcritical",MAX($D$16,IFERROR(W803,MAX($D$16,POWER((ABS(K803)^2)/($I$5*MAX(F803,0.1)^2),1/3)))),IF(AND(IFERROR(V803,0)=1,IFERROR(AG803,0)=1),IF(IFERROR(T803,-1E+99)&gt;=IFERROR(AE803,-1E+99),MAX($D$16,IFERROR(L803,MAX($D$16,POWER((ABS(K803)^2)/($I$5*MAX(F803,0.1)^2),1/3)))),MAX($D$16,IFERROR(W803,MAX($D$16,POWER((ABS(K803)^2)/($I$5*MAX(F803,0.1)^2),1/3))))),IF(IFERROR(V803,0)=1,MAX($D$16,IFERROR(L803,MAX($D$16,POWER((ABS(K803)^2)/($I$5*MAX(F803,0.1)^2),1/3)))),IF(IFERROR(AG803,0)=1,MAX($D$16,IFERROR(W803,MAX($D$16,POWER((ABS(K803)^2)/($I$5*MAX(F803,0.1)^2),1/3)))),MAX($D$16,POWER((ABS(K803)^2)/($I$5*MAX(F803,0.1)^2),1/3))))))),MAX($D$16,POWER((ABS(K803)^2)/($I$5*MAX(F803,0.1)^2),1/3)))</f>
        <v>2.1762353150568448</v>
      </c>
      <c r="AI803">
        <f t="shared" ca="1" si="393"/>
        <v>634.36823531505684</v>
      </c>
      <c r="AJ803">
        <f t="shared" ca="1" si="394"/>
        <v>635.45635297258525</v>
      </c>
      <c r="AM803">
        <v>0</v>
      </c>
      <c r="AN803">
        <v>0</v>
      </c>
      <c r="AO803">
        <f t="shared" si="395"/>
        <v>0</v>
      </c>
      <c r="AP803">
        <f t="shared" si="404"/>
        <v>0</v>
      </c>
      <c r="AQ803">
        <f t="shared" ca="1" si="396"/>
        <v>1</v>
      </c>
      <c r="AR803" t="str">
        <f t="shared" ca="1" si="397"/>
        <v>Supercritical</v>
      </c>
      <c r="AS803">
        <f t="shared" ca="1" si="398"/>
        <v>3.8932924749513747E-3</v>
      </c>
    </row>
    <row r="804" spans="1:45" x14ac:dyDescent="0.35">
      <c r="A804">
        <v>743</v>
      </c>
      <c r="B804">
        <v>741.99599999999998</v>
      </c>
      <c r="C804">
        <v>616093.99100000004</v>
      </c>
      <c r="D804">
        <v>3097264.6359999999</v>
      </c>
      <c r="E804">
        <v>632.19150000000002</v>
      </c>
      <c r="F804">
        <v>5.0670000000000002</v>
      </c>
      <c r="G804">
        <v>0</v>
      </c>
      <c r="H804" t="s">
        <v>154</v>
      </c>
      <c r="I804">
        <v>0.58399999999999996</v>
      </c>
      <c r="J804">
        <f t="shared" si="399"/>
        <v>1</v>
      </c>
      <c r="K804">
        <f t="shared" ca="1" si="400"/>
        <v>50.95</v>
      </c>
      <c r="L804">
        <f t="shared" ca="1" si="401"/>
        <v>2.1762353150568448</v>
      </c>
      <c r="M804">
        <f t="shared" ca="1" si="374"/>
        <v>11.026984341393034</v>
      </c>
      <c r="N804">
        <f t="shared" ca="1" si="375"/>
        <v>1.1706586043317746</v>
      </c>
      <c r="O804">
        <f t="shared" ca="1" si="376"/>
        <v>4.6204835721716018</v>
      </c>
      <c r="P804">
        <f t="shared" ca="1" si="377"/>
        <v>634.36773531505685</v>
      </c>
      <c r="Q804">
        <f t="shared" ca="1" si="378"/>
        <v>635.45585297258526</v>
      </c>
      <c r="R804">
        <f t="shared" ca="1" si="379"/>
        <v>3.8932924749513747E-3</v>
      </c>
      <c r="S804">
        <f t="shared" ca="1" si="380"/>
        <v>1</v>
      </c>
      <c r="T804">
        <f t="shared" ca="1" si="381"/>
        <v>35.995969113477543</v>
      </c>
      <c r="U804">
        <f t="shared" ca="1" si="402"/>
        <v>-4.4523936616087667E-3</v>
      </c>
      <c r="V804">
        <f t="shared" ca="1" si="403"/>
        <v>1</v>
      </c>
      <c r="W804">
        <f t="shared" ca="1" si="382"/>
        <v>1.7069123394996095</v>
      </c>
      <c r="X804">
        <f t="shared" ca="1" si="383"/>
        <v>8.6489248242445225</v>
      </c>
      <c r="Y804">
        <f t="shared" ca="1" si="384"/>
        <v>1.019821202725905</v>
      </c>
      <c r="Z804">
        <f t="shared" ca="1" si="385"/>
        <v>5.8909056368691992</v>
      </c>
      <c r="AA804">
        <f t="shared" ca="1" si="386"/>
        <v>633.8984123394996</v>
      </c>
      <c r="AB804">
        <f t="shared" ca="1" si="387"/>
        <v>635.66715694818959</v>
      </c>
      <c r="AC804">
        <f t="shared" ca="1" si="388"/>
        <v>7.6064369127509393E-3</v>
      </c>
      <c r="AD804">
        <f t="shared" ca="1" si="389"/>
        <v>1.4396003825590329</v>
      </c>
      <c r="AE804">
        <f t="shared" ca="1" si="390"/>
        <v>37.976956560648503</v>
      </c>
      <c r="AF804">
        <f t="shared" ca="1" si="391"/>
        <v>8.6936485313344747E-3</v>
      </c>
      <c r="AG804">
        <f t="shared" ca="1" si="392"/>
        <v>0</v>
      </c>
      <c r="AH804">
        <f ca="1">IFERROR(IF(V32="Supercritical",MAX($D$16,IFERROR(L804,MAX($D$16,POWER((ABS(K804)^2)/($I$5*MAX(F804,0.1)^2),1/3)))),IF(V32="Subcritical",MAX($D$16,IFERROR(W804,MAX($D$16,POWER((ABS(K804)^2)/($I$5*MAX(F804,0.1)^2),1/3)))),IF(AND(IFERROR(V804,0)=1,IFERROR(AG804,0)=1),IF(IFERROR(T804,-1E+99)&gt;=IFERROR(AE804,-1E+99),MAX($D$16,IFERROR(L804,MAX($D$16,POWER((ABS(K804)^2)/($I$5*MAX(F804,0.1)^2),1/3)))),MAX($D$16,IFERROR(W804,MAX($D$16,POWER((ABS(K804)^2)/($I$5*MAX(F804,0.1)^2),1/3))))),IF(IFERROR(V804,0)=1,MAX($D$16,IFERROR(L804,MAX($D$16,POWER((ABS(K804)^2)/($I$5*MAX(F804,0.1)^2),1/3)))),IF(IFERROR(AG804,0)=1,MAX($D$16,IFERROR(W804,MAX($D$16,POWER((ABS(K804)^2)/($I$5*MAX(F804,0.1)^2),1/3)))),MAX($D$16,POWER((ABS(K804)^2)/($I$5*MAX(F804,0.1)^2),1/3))))))),MAX($D$16,POWER((ABS(K804)^2)/($I$5*MAX(F804,0.1)^2),1/3)))</f>
        <v>2.1762353150568448</v>
      </c>
      <c r="AI804">
        <f t="shared" ca="1" si="393"/>
        <v>634.36773531505685</v>
      </c>
      <c r="AJ804">
        <f t="shared" ca="1" si="394"/>
        <v>635.45585297258526</v>
      </c>
      <c r="AM804">
        <v>0</v>
      </c>
      <c r="AN804">
        <v>0</v>
      </c>
      <c r="AO804">
        <f t="shared" si="395"/>
        <v>0</v>
      </c>
      <c r="AP804">
        <f t="shared" si="404"/>
        <v>0</v>
      </c>
      <c r="AQ804">
        <f t="shared" ca="1" si="396"/>
        <v>1</v>
      </c>
      <c r="AR804" t="str">
        <f t="shared" ca="1" si="397"/>
        <v>Supercritical</v>
      </c>
      <c r="AS804">
        <f t="shared" ca="1" si="398"/>
        <v>3.8932924749513747E-3</v>
      </c>
    </row>
    <row r="805" spans="1:45" x14ac:dyDescent="0.35">
      <c r="A805">
        <v>744</v>
      </c>
      <c r="B805">
        <v>742.995</v>
      </c>
      <c r="C805">
        <v>616093.76599999995</v>
      </c>
      <c r="D805">
        <v>3097263.662</v>
      </c>
      <c r="E805">
        <v>632.19100000000003</v>
      </c>
      <c r="F805">
        <v>5.0670000000000002</v>
      </c>
      <c r="G805">
        <v>0</v>
      </c>
      <c r="H805" t="s">
        <v>154</v>
      </c>
      <c r="I805">
        <v>0.54100000000000004</v>
      </c>
      <c r="J805">
        <f t="shared" si="399"/>
        <v>0.99900000000002365</v>
      </c>
      <c r="K805">
        <f t="shared" ca="1" si="400"/>
        <v>50.95</v>
      </c>
      <c r="L805">
        <f t="shared" ca="1" si="401"/>
        <v>2.1762353150568448</v>
      </c>
      <c r="M805">
        <f t="shared" ca="1" si="374"/>
        <v>11.026984341393034</v>
      </c>
      <c r="N805">
        <f t="shared" ca="1" si="375"/>
        <v>1.1706586043317746</v>
      </c>
      <c r="O805">
        <f t="shared" ca="1" si="376"/>
        <v>4.6204835721716018</v>
      </c>
      <c r="P805">
        <f t="shared" ca="1" si="377"/>
        <v>634.36723531505686</v>
      </c>
      <c r="Q805">
        <f t="shared" ca="1" si="378"/>
        <v>635.45535297258527</v>
      </c>
      <c r="R805">
        <f t="shared" ca="1" si="379"/>
        <v>3.8932924749513747E-3</v>
      </c>
      <c r="S805">
        <f t="shared" ca="1" si="380"/>
        <v>1</v>
      </c>
      <c r="T805">
        <f t="shared" ca="1" si="381"/>
        <v>35.995969113477543</v>
      </c>
      <c r="U805">
        <f t="shared" ca="1" si="402"/>
        <v>-4.3705186037641397E-3</v>
      </c>
      <c r="V805">
        <f t="shared" ca="1" si="403"/>
        <v>1</v>
      </c>
      <c r="W805">
        <f t="shared" ca="1" si="382"/>
        <v>1.7069123394995924</v>
      </c>
      <c r="X805">
        <f t="shared" ca="1" si="383"/>
        <v>8.6489248242444354</v>
      </c>
      <c r="Y805">
        <f t="shared" ca="1" si="384"/>
        <v>1.019821202725899</v>
      </c>
      <c r="Z805">
        <f t="shared" ca="1" si="385"/>
        <v>5.8909056368692578</v>
      </c>
      <c r="AA805">
        <f t="shared" ca="1" si="386"/>
        <v>633.89791233949961</v>
      </c>
      <c r="AB805">
        <f t="shared" ca="1" si="387"/>
        <v>635.6666569481896</v>
      </c>
      <c r="AC805">
        <f t="shared" ca="1" si="388"/>
        <v>7.6064369127511518E-3</v>
      </c>
      <c r="AD805">
        <f t="shared" ca="1" si="389"/>
        <v>1.4396003825590549</v>
      </c>
      <c r="AE805">
        <f t="shared" ca="1" si="390"/>
        <v>37.976956560648659</v>
      </c>
      <c r="AF805">
        <f t="shared" ca="1" si="391"/>
        <v>8.8002465432737154E-3</v>
      </c>
      <c r="AG805">
        <f t="shared" ca="1" si="392"/>
        <v>0</v>
      </c>
      <c r="AH805">
        <f ca="1">IFERROR(IF(V32="Supercritical",MAX($D$16,IFERROR(L805,MAX($D$16,POWER((ABS(K805)^2)/($I$5*MAX(F805,0.1)^2),1/3)))),IF(V32="Subcritical",MAX($D$16,IFERROR(W805,MAX($D$16,POWER((ABS(K805)^2)/($I$5*MAX(F805,0.1)^2),1/3)))),IF(AND(IFERROR(V805,0)=1,IFERROR(AG805,0)=1),IF(IFERROR(T805,-1E+99)&gt;=IFERROR(AE805,-1E+99),MAX($D$16,IFERROR(L805,MAX($D$16,POWER((ABS(K805)^2)/($I$5*MAX(F805,0.1)^2),1/3)))),MAX($D$16,IFERROR(W805,MAX($D$16,POWER((ABS(K805)^2)/($I$5*MAX(F805,0.1)^2),1/3))))),IF(IFERROR(V805,0)=1,MAX($D$16,IFERROR(L805,MAX($D$16,POWER((ABS(K805)^2)/($I$5*MAX(F805,0.1)^2),1/3)))),IF(IFERROR(AG805,0)=1,MAX($D$16,IFERROR(W805,MAX($D$16,POWER((ABS(K805)^2)/($I$5*MAX(F805,0.1)^2),1/3)))),MAX($D$16,POWER((ABS(K805)^2)/($I$5*MAX(F805,0.1)^2),1/3))))))),MAX($D$16,POWER((ABS(K805)^2)/($I$5*MAX(F805,0.1)^2),1/3)))</f>
        <v>2.1762353150568448</v>
      </c>
      <c r="AI805">
        <f t="shared" ca="1" si="393"/>
        <v>634.36723531505686</v>
      </c>
      <c r="AJ805">
        <f t="shared" ca="1" si="394"/>
        <v>635.45535297258527</v>
      </c>
      <c r="AM805">
        <v>0</v>
      </c>
      <c r="AN805">
        <v>0</v>
      </c>
      <c r="AO805">
        <f t="shared" si="395"/>
        <v>0</v>
      </c>
      <c r="AP805">
        <f t="shared" si="404"/>
        <v>0</v>
      </c>
      <c r="AQ805">
        <f t="shared" ca="1" si="396"/>
        <v>1</v>
      </c>
      <c r="AR805" t="str">
        <f t="shared" ca="1" si="397"/>
        <v>Supercritical</v>
      </c>
      <c r="AS805">
        <f t="shared" ca="1" si="398"/>
        <v>3.8932924749513747E-3</v>
      </c>
    </row>
    <row r="806" spans="1:45" x14ac:dyDescent="0.35">
      <c r="A806">
        <v>745</v>
      </c>
      <c r="B806">
        <v>743.99599999999998</v>
      </c>
      <c r="C806">
        <v>616093.55000000005</v>
      </c>
      <c r="D806">
        <v>3097262.6850000001</v>
      </c>
      <c r="E806">
        <v>632.19050000000004</v>
      </c>
      <c r="F806">
        <v>5.0670000000000002</v>
      </c>
      <c r="G806">
        <v>0</v>
      </c>
      <c r="H806" t="s">
        <v>154</v>
      </c>
      <c r="I806">
        <v>0.57199999999999995</v>
      </c>
      <c r="J806">
        <f t="shared" si="399"/>
        <v>1.0009999999999764</v>
      </c>
      <c r="K806">
        <f t="shared" ca="1" si="400"/>
        <v>50.95</v>
      </c>
      <c r="L806">
        <f t="shared" ca="1" si="401"/>
        <v>2.1762353150568448</v>
      </c>
      <c r="M806">
        <f t="shared" ca="1" si="374"/>
        <v>11.026984341393034</v>
      </c>
      <c r="N806">
        <f t="shared" ca="1" si="375"/>
        <v>1.1706586043317746</v>
      </c>
      <c r="O806">
        <f t="shared" ca="1" si="376"/>
        <v>4.6204835721716018</v>
      </c>
      <c r="P806">
        <f t="shared" ca="1" si="377"/>
        <v>634.36673531505687</v>
      </c>
      <c r="Q806">
        <f t="shared" ca="1" si="378"/>
        <v>635.45485297258529</v>
      </c>
      <c r="R806">
        <f t="shared" ca="1" si="379"/>
        <v>3.8932924749513747E-3</v>
      </c>
      <c r="S806">
        <f t="shared" ca="1" si="380"/>
        <v>1</v>
      </c>
      <c r="T806">
        <f t="shared" ca="1" si="381"/>
        <v>35.995969113477543</v>
      </c>
      <c r="U806">
        <f t="shared" ca="1" si="402"/>
        <v>-4.4345246009243056E-3</v>
      </c>
      <c r="V806">
        <f t="shared" ca="1" si="403"/>
        <v>1</v>
      </c>
      <c r="W806">
        <f t="shared" ca="1" si="382"/>
        <v>1.7069123394995753</v>
      </c>
      <c r="X806">
        <f t="shared" ca="1" si="383"/>
        <v>8.6489248242443484</v>
      </c>
      <c r="Y806">
        <f t="shared" ca="1" si="384"/>
        <v>1.0198212027258928</v>
      </c>
      <c r="Z806">
        <f t="shared" ca="1" si="385"/>
        <v>5.8909056368693173</v>
      </c>
      <c r="AA806">
        <f t="shared" ca="1" si="386"/>
        <v>633.89741233949962</v>
      </c>
      <c r="AB806">
        <f t="shared" ca="1" si="387"/>
        <v>635.66615694818972</v>
      </c>
      <c r="AC806">
        <f t="shared" ca="1" si="388"/>
        <v>7.6064369127513652E-3</v>
      </c>
      <c r="AD806">
        <f t="shared" ca="1" si="389"/>
        <v>1.4396003825590764</v>
      </c>
      <c r="AE806">
        <f t="shared" ca="1" si="390"/>
        <v>37.976956560648823</v>
      </c>
      <c r="AF806">
        <f t="shared" ca="1" si="391"/>
        <v>8.855783453782351E-3</v>
      </c>
      <c r="AG806">
        <f t="shared" ca="1" si="392"/>
        <v>0</v>
      </c>
      <c r="AH806">
        <f ca="1">IFERROR(IF(V32="Supercritical",MAX($D$16,IFERROR(L806,MAX($D$16,POWER((ABS(K806)^2)/($I$5*MAX(F806,0.1)^2),1/3)))),IF(V32="Subcritical",MAX($D$16,IFERROR(W806,MAX($D$16,POWER((ABS(K806)^2)/($I$5*MAX(F806,0.1)^2),1/3)))),IF(AND(IFERROR(V806,0)=1,IFERROR(AG806,0)=1),IF(IFERROR(T806,-1E+99)&gt;=IFERROR(AE806,-1E+99),MAX($D$16,IFERROR(L806,MAX($D$16,POWER((ABS(K806)^2)/($I$5*MAX(F806,0.1)^2),1/3)))),MAX($D$16,IFERROR(W806,MAX($D$16,POWER((ABS(K806)^2)/($I$5*MAX(F806,0.1)^2),1/3))))),IF(IFERROR(V806,0)=1,MAX($D$16,IFERROR(L806,MAX($D$16,POWER((ABS(K806)^2)/($I$5*MAX(F806,0.1)^2),1/3)))),IF(IFERROR(AG806,0)=1,MAX($D$16,IFERROR(W806,MAX($D$16,POWER((ABS(K806)^2)/($I$5*MAX(F806,0.1)^2),1/3)))),MAX($D$16,POWER((ABS(K806)^2)/($I$5*MAX(F806,0.1)^2),1/3))))))),MAX($D$16,POWER((ABS(K806)^2)/($I$5*MAX(F806,0.1)^2),1/3)))</f>
        <v>2.1762353150568448</v>
      </c>
      <c r="AI806">
        <f t="shared" ca="1" si="393"/>
        <v>634.36673531505687</v>
      </c>
      <c r="AJ806">
        <f t="shared" ca="1" si="394"/>
        <v>635.45485297258529</v>
      </c>
      <c r="AM806">
        <v>0</v>
      </c>
      <c r="AN806">
        <v>0</v>
      </c>
      <c r="AO806">
        <f t="shared" si="395"/>
        <v>0</v>
      </c>
      <c r="AP806">
        <f t="shared" si="404"/>
        <v>0</v>
      </c>
      <c r="AQ806">
        <f t="shared" ca="1" si="396"/>
        <v>1</v>
      </c>
      <c r="AR806" t="str">
        <f t="shared" ca="1" si="397"/>
        <v>Supercritical</v>
      </c>
      <c r="AS806">
        <f t="shared" ca="1" si="398"/>
        <v>3.8932924749513747E-3</v>
      </c>
    </row>
    <row r="807" spans="1:45" x14ac:dyDescent="0.35">
      <c r="A807">
        <v>746</v>
      </c>
      <c r="B807">
        <v>744.995</v>
      </c>
      <c r="C807">
        <v>616093.34400000004</v>
      </c>
      <c r="D807">
        <v>3097261.7069999999</v>
      </c>
      <c r="E807">
        <v>632.19000000000005</v>
      </c>
      <c r="F807">
        <v>5.0670000000000002</v>
      </c>
      <c r="G807">
        <v>0</v>
      </c>
      <c r="H807" t="s">
        <v>154</v>
      </c>
      <c r="I807">
        <v>0.59599999999999997</v>
      </c>
      <c r="J807">
        <f t="shared" si="399"/>
        <v>0.99900000000002365</v>
      </c>
      <c r="K807">
        <f t="shared" ca="1" si="400"/>
        <v>50.95</v>
      </c>
      <c r="L807">
        <f t="shared" ca="1" si="401"/>
        <v>2.1762353150568448</v>
      </c>
      <c r="M807">
        <f t="shared" ca="1" si="374"/>
        <v>11.026984341393034</v>
      </c>
      <c r="N807">
        <f t="shared" ca="1" si="375"/>
        <v>1.1706586043317746</v>
      </c>
      <c r="O807">
        <f t="shared" ca="1" si="376"/>
        <v>4.6204835721716018</v>
      </c>
      <c r="P807">
        <f t="shared" ca="1" si="377"/>
        <v>634.36623531505688</v>
      </c>
      <c r="Q807">
        <f t="shared" ca="1" si="378"/>
        <v>635.4543529725853</v>
      </c>
      <c r="R807">
        <f t="shared" ca="1" si="379"/>
        <v>3.8932924749513747E-3</v>
      </c>
      <c r="S807">
        <f t="shared" ca="1" si="380"/>
        <v>1</v>
      </c>
      <c r="T807">
        <f t="shared" ca="1" si="381"/>
        <v>35.995969113477543</v>
      </c>
      <c r="U807">
        <f t="shared" ca="1" si="402"/>
        <v>-4.4702627222932279E-3</v>
      </c>
      <c r="V807">
        <f t="shared" ca="1" si="403"/>
        <v>1</v>
      </c>
      <c r="W807">
        <f t="shared" ca="1" si="382"/>
        <v>1.7069123394995753</v>
      </c>
      <c r="X807">
        <f t="shared" ca="1" si="383"/>
        <v>8.6489248242443484</v>
      </c>
      <c r="Y807">
        <f t="shared" ca="1" si="384"/>
        <v>1.0198212027258928</v>
      </c>
      <c r="Z807">
        <f t="shared" ca="1" si="385"/>
        <v>5.8909056368693173</v>
      </c>
      <c r="AA807">
        <f t="shared" ca="1" si="386"/>
        <v>633.89691233949964</v>
      </c>
      <c r="AB807">
        <f t="shared" ca="1" si="387"/>
        <v>635.66565694818973</v>
      </c>
      <c r="AC807">
        <f t="shared" ca="1" si="388"/>
        <v>7.6064369127513652E-3</v>
      </c>
      <c r="AD807">
        <f t="shared" ca="1" si="389"/>
        <v>1.4396003825590764</v>
      </c>
      <c r="AE807">
        <f t="shared" ca="1" si="390"/>
        <v>37.976956560648823</v>
      </c>
      <c r="AF807">
        <f t="shared" ca="1" si="391"/>
        <v>8.8031944509339155E-3</v>
      </c>
      <c r="AG807">
        <f t="shared" ca="1" si="392"/>
        <v>0</v>
      </c>
      <c r="AH807">
        <f ca="1">IFERROR(IF(V32="Supercritical",MAX($D$16,IFERROR(L807,MAX($D$16,POWER((ABS(K807)^2)/($I$5*MAX(F807,0.1)^2),1/3)))),IF(V32="Subcritical",MAX($D$16,IFERROR(W807,MAX($D$16,POWER((ABS(K807)^2)/($I$5*MAX(F807,0.1)^2),1/3)))),IF(AND(IFERROR(V807,0)=1,IFERROR(AG807,0)=1),IF(IFERROR(T807,-1E+99)&gt;=IFERROR(AE807,-1E+99),MAX($D$16,IFERROR(L807,MAX($D$16,POWER((ABS(K807)^2)/($I$5*MAX(F807,0.1)^2),1/3)))),MAX($D$16,IFERROR(W807,MAX($D$16,POWER((ABS(K807)^2)/($I$5*MAX(F807,0.1)^2),1/3))))),IF(IFERROR(V807,0)=1,MAX($D$16,IFERROR(L807,MAX($D$16,POWER((ABS(K807)^2)/($I$5*MAX(F807,0.1)^2),1/3)))),IF(IFERROR(AG807,0)=1,MAX($D$16,IFERROR(W807,MAX($D$16,POWER((ABS(K807)^2)/($I$5*MAX(F807,0.1)^2),1/3)))),MAX($D$16,POWER((ABS(K807)^2)/($I$5*MAX(F807,0.1)^2),1/3))))))),MAX($D$16,POWER((ABS(K807)^2)/($I$5*MAX(F807,0.1)^2),1/3)))</f>
        <v>2.1762353150568448</v>
      </c>
      <c r="AI807">
        <f t="shared" ca="1" si="393"/>
        <v>634.36623531505688</v>
      </c>
      <c r="AJ807">
        <f t="shared" ca="1" si="394"/>
        <v>635.4543529725853</v>
      </c>
      <c r="AM807">
        <v>0</v>
      </c>
      <c r="AN807">
        <v>0</v>
      </c>
      <c r="AO807">
        <f t="shared" si="395"/>
        <v>0</v>
      </c>
      <c r="AP807">
        <f t="shared" si="404"/>
        <v>0</v>
      </c>
      <c r="AQ807">
        <f t="shared" ca="1" si="396"/>
        <v>1</v>
      </c>
      <c r="AR807" t="str">
        <f t="shared" ca="1" si="397"/>
        <v>Supercritical</v>
      </c>
      <c r="AS807">
        <f t="shared" ca="1" si="398"/>
        <v>3.8932924749513747E-3</v>
      </c>
    </row>
    <row r="808" spans="1:45" x14ac:dyDescent="0.35">
      <c r="A808">
        <v>747</v>
      </c>
      <c r="B808">
        <v>745.99599999999998</v>
      </c>
      <c r="C808">
        <v>616093.14800000004</v>
      </c>
      <c r="D808">
        <v>3097260.7259999998</v>
      </c>
      <c r="E808">
        <v>632.18949999999995</v>
      </c>
      <c r="F808">
        <v>5.0670000000000002</v>
      </c>
      <c r="G808">
        <v>0</v>
      </c>
      <c r="H808" t="s">
        <v>154</v>
      </c>
      <c r="I808">
        <v>0.57299999999999995</v>
      </c>
      <c r="J808">
        <f t="shared" si="399"/>
        <v>1.0009999999999764</v>
      </c>
      <c r="K808">
        <f t="shared" ca="1" si="400"/>
        <v>50.95</v>
      </c>
      <c r="L808">
        <f t="shared" ca="1" si="401"/>
        <v>2.1762353150568448</v>
      </c>
      <c r="M808">
        <f t="shared" ca="1" si="374"/>
        <v>11.026984341393034</v>
      </c>
      <c r="N808">
        <f t="shared" ca="1" si="375"/>
        <v>1.1706586043317746</v>
      </c>
      <c r="O808">
        <f t="shared" ca="1" si="376"/>
        <v>4.6204835721716018</v>
      </c>
      <c r="P808">
        <f t="shared" ca="1" si="377"/>
        <v>634.36573531505678</v>
      </c>
      <c r="Q808">
        <f t="shared" ca="1" si="378"/>
        <v>635.4538529725852</v>
      </c>
      <c r="R808">
        <f t="shared" ca="1" si="379"/>
        <v>3.8932924749513747E-3</v>
      </c>
      <c r="S808">
        <f t="shared" ca="1" si="380"/>
        <v>1</v>
      </c>
      <c r="T808">
        <f t="shared" ca="1" si="381"/>
        <v>35.995969113477543</v>
      </c>
      <c r="U808">
        <f t="shared" ca="1" si="402"/>
        <v>-4.4363381302900962E-3</v>
      </c>
      <c r="V808">
        <f t="shared" ca="1" si="403"/>
        <v>1</v>
      </c>
      <c r="W808">
        <f t="shared" ca="1" si="382"/>
        <v>1.7069123394995753</v>
      </c>
      <c r="X808">
        <f t="shared" ca="1" si="383"/>
        <v>8.6489248242443484</v>
      </c>
      <c r="Y808">
        <f t="shared" ca="1" si="384"/>
        <v>1.0198212027258928</v>
      </c>
      <c r="Z808">
        <f t="shared" ca="1" si="385"/>
        <v>5.8909056368693173</v>
      </c>
      <c r="AA808">
        <f t="shared" ca="1" si="386"/>
        <v>633.89641233949953</v>
      </c>
      <c r="AB808">
        <f t="shared" ca="1" si="387"/>
        <v>635.66515694818963</v>
      </c>
      <c r="AC808">
        <f t="shared" ca="1" si="388"/>
        <v>7.6064369127513652E-3</v>
      </c>
      <c r="AD808">
        <f t="shared" ca="1" si="389"/>
        <v>1.4396003825590764</v>
      </c>
      <c r="AE808">
        <f t="shared" ca="1" si="390"/>
        <v>37.976956560648823</v>
      </c>
      <c r="AF808">
        <f t="shared" ca="1" si="391"/>
        <v>8.6848048082401874E-3</v>
      </c>
      <c r="AG808">
        <f t="shared" ca="1" si="392"/>
        <v>0</v>
      </c>
      <c r="AH808">
        <f ca="1">IFERROR(IF(V32="Supercritical",MAX($D$16,IFERROR(L808,MAX($D$16,POWER((ABS(K808)^2)/($I$5*MAX(F808,0.1)^2),1/3)))),IF(V32="Subcritical",MAX($D$16,IFERROR(W808,MAX($D$16,POWER((ABS(K808)^2)/($I$5*MAX(F808,0.1)^2),1/3)))),IF(AND(IFERROR(V808,0)=1,IFERROR(AG808,0)=1),IF(IFERROR(T808,-1E+99)&gt;=IFERROR(AE808,-1E+99),MAX($D$16,IFERROR(L808,MAX($D$16,POWER((ABS(K808)^2)/($I$5*MAX(F808,0.1)^2),1/3)))),MAX($D$16,IFERROR(W808,MAX($D$16,POWER((ABS(K808)^2)/($I$5*MAX(F808,0.1)^2),1/3))))),IF(IFERROR(V808,0)=1,MAX($D$16,IFERROR(L808,MAX($D$16,POWER((ABS(K808)^2)/($I$5*MAX(F808,0.1)^2),1/3)))),IF(IFERROR(AG808,0)=1,MAX($D$16,IFERROR(W808,MAX($D$16,POWER((ABS(K808)^2)/($I$5*MAX(F808,0.1)^2),1/3)))),MAX($D$16,POWER((ABS(K808)^2)/($I$5*MAX(F808,0.1)^2),1/3))))))),MAX($D$16,POWER((ABS(K808)^2)/($I$5*MAX(F808,0.1)^2),1/3)))</f>
        <v>2.1762353150568448</v>
      </c>
      <c r="AI808">
        <f t="shared" ca="1" si="393"/>
        <v>634.36573531505678</v>
      </c>
      <c r="AJ808">
        <f t="shared" ca="1" si="394"/>
        <v>635.4538529725852</v>
      </c>
      <c r="AM808">
        <v>0</v>
      </c>
      <c r="AN808">
        <v>0</v>
      </c>
      <c r="AO808">
        <f t="shared" si="395"/>
        <v>0</v>
      </c>
      <c r="AP808">
        <f t="shared" si="404"/>
        <v>0</v>
      </c>
      <c r="AQ808">
        <f t="shared" ca="1" si="396"/>
        <v>1</v>
      </c>
      <c r="AR808" t="str">
        <f t="shared" ca="1" si="397"/>
        <v>Supercritical</v>
      </c>
      <c r="AS808">
        <f t="shared" ca="1" si="398"/>
        <v>3.8932924749513747E-3</v>
      </c>
    </row>
    <row r="809" spans="1:45" x14ac:dyDescent="0.35">
      <c r="A809">
        <v>748</v>
      </c>
      <c r="B809">
        <v>746.995</v>
      </c>
      <c r="C809">
        <v>616092.96200000006</v>
      </c>
      <c r="D809">
        <v>3097259.7439999999</v>
      </c>
      <c r="E809">
        <v>632.18899999999996</v>
      </c>
      <c r="F809">
        <v>5.0670000000000002</v>
      </c>
      <c r="G809">
        <v>0</v>
      </c>
      <c r="H809" t="s">
        <v>154</v>
      </c>
      <c r="I809">
        <v>0.53800000000000003</v>
      </c>
      <c r="J809">
        <f t="shared" si="399"/>
        <v>0.99900000000002365</v>
      </c>
      <c r="K809">
        <f t="shared" ca="1" si="400"/>
        <v>50.95</v>
      </c>
      <c r="L809">
        <f t="shared" ca="1" si="401"/>
        <v>2.1762353150568448</v>
      </c>
      <c r="M809">
        <f t="shared" ca="1" si="374"/>
        <v>11.026984341393034</v>
      </c>
      <c r="N809">
        <f t="shared" ca="1" si="375"/>
        <v>1.1706586043317746</v>
      </c>
      <c r="O809">
        <f t="shared" ca="1" si="376"/>
        <v>4.6204835721716018</v>
      </c>
      <c r="P809">
        <f t="shared" ca="1" si="377"/>
        <v>634.36523531505679</v>
      </c>
      <c r="Q809">
        <f t="shared" ca="1" si="378"/>
        <v>635.45335297258521</v>
      </c>
      <c r="R809">
        <f t="shared" ca="1" si="379"/>
        <v>3.8932924749513747E-3</v>
      </c>
      <c r="S809">
        <f t="shared" ca="1" si="380"/>
        <v>1</v>
      </c>
      <c r="T809">
        <f t="shared" ca="1" si="381"/>
        <v>35.995969113477543</v>
      </c>
      <c r="U809">
        <f t="shared" ca="1" si="402"/>
        <v>-4.3650780154393942E-3</v>
      </c>
      <c r="V809">
        <f t="shared" ca="1" si="403"/>
        <v>1</v>
      </c>
      <c r="W809">
        <f t="shared" ca="1" si="382"/>
        <v>1.7069123394995753</v>
      </c>
      <c r="X809">
        <f t="shared" ca="1" si="383"/>
        <v>8.6489248242443484</v>
      </c>
      <c r="Y809">
        <f t="shared" ca="1" si="384"/>
        <v>1.0198212027258928</v>
      </c>
      <c r="Z809">
        <f t="shared" ca="1" si="385"/>
        <v>5.8909056368693173</v>
      </c>
      <c r="AA809">
        <f t="shared" ca="1" si="386"/>
        <v>633.89591233949955</v>
      </c>
      <c r="AB809">
        <f t="shared" ca="1" si="387"/>
        <v>635.66465694818964</v>
      </c>
      <c r="AC809">
        <f t="shared" ca="1" si="388"/>
        <v>7.6064369127513652E-3</v>
      </c>
      <c r="AD809">
        <f t="shared" ca="1" si="389"/>
        <v>1.4396003825590764</v>
      </c>
      <c r="AE809">
        <f t="shared" ca="1" si="390"/>
        <v>37.976956560648823</v>
      </c>
      <c r="AF809">
        <f t="shared" ca="1" si="391"/>
        <v>8.9741730964760791E-3</v>
      </c>
      <c r="AG809">
        <f t="shared" ca="1" si="392"/>
        <v>0</v>
      </c>
      <c r="AH809">
        <f ca="1">IFERROR(IF(V32="Supercritical",MAX($D$16,IFERROR(L809,MAX($D$16,POWER((ABS(K809)^2)/($I$5*MAX(F809,0.1)^2),1/3)))),IF(V32="Subcritical",MAX($D$16,IFERROR(W809,MAX($D$16,POWER((ABS(K809)^2)/($I$5*MAX(F809,0.1)^2),1/3)))),IF(AND(IFERROR(V809,0)=1,IFERROR(AG809,0)=1),IF(IFERROR(T809,-1E+99)&gt;=IFERROR(AE809,-1E+99),MAX($D$16,IFERROR(L809,MAX($D$16,POWER((ABS(K809)^2)/($I$5*MAX(F809,0.1)^2),1/3)))),MAX($D$16,IFERROR(W809,MAX($D$16,POWER((ABS(K809)^2)/($I$5*MAX(F809,0.1)^2),1/3))))),IF(IFERROR(V809,0)=1,MAX($D$16,IFERROR(L809,MAX($D$16,POWER((ABS(K809)^2)/($I$5*MAX(F809,0.1)^2),1/3)))),IF(IFERROR(AG809,0)=1,MAX($D$16,IFERROR(W809,MAX($D$16,POWER((ABS(K809)^2)/($I$5*MAX(F809,0.1)^2),1/3)))),MAX($D$16,POWER((ABS(K809)^2)/($I$5*MAX(F809,0.1)^2),1/3))))))),MAX($D$16,POWER((ABS(K809)^2)/($I$5*MAX(F809,0.1)^2),1/3)))</f>
        <v>2.1762353150568448</v>
      </c>
      <c r="AI809">
        <f t="shared" ca="1" si="393"/>
        <v>634.36523531505679</v>
      </c>
      <c r="AJ809">
        <f t="shared" ca="1" si="394"/>
        <v>635.45335297258521</v>
      </c>
      <c r="AM809">
        <v>0</v>
      </c>
      <c r="AN809">
        <v>0</v>
      </c>
      <c r="AO809">
        <f t="shared" si="395"/>
        <v>0</v>
      </c>
      <c r="AP809">
        <f t="shared" si="404"/>
        <v>0</v>
      </c>
      <c r="AQ809">
        <f t="shared" ca="1" si="396"/>
        <v>1</v>
      </c>
      <c r="AR809" t="str">
        <f t="shared" ca="1" si="397"/>
        <v>Supercritical</v>
      </c>
      <c r="AS809">
        <f t="shared" ca="1" si="398"/>
        <v>3.8932924749513747E-3</v>
      </c>
    </row>
    <row r="810" spans="1:45" x14ac:dyDescent="0.35">
      <c r="A810">
        <v>749</v>
      </c>
      <c r="B810">
        <v>747.99599999999998</v>
      </c>
      <c r="C810">
        <v>616092.78500000003</v>
      </c>
      <c r="D810">
        <v>3097258.7590000001</v>
      </c>
      <c r="E810">
        <v>632.18849999999998</v>
      </c>
      <c r="F810">
        <v>5.0670000000000002</v>
      </c>
      <c r="G810">
        <v>0</v>
      </c>
      <c r="H810" t="s">
        <v>154</v>
      </c>
      <c r="I810">
        <v>0.63100000000000001</v>
      </c>
      <c r="J810">
        <f t="shared" si="399"/>
        <v>1.0009999999999764</v>
      </c>
      <c r="K810">
        <f t="shared" ca="1" si="400"/>
        <v>50.95</v>
      </c>
      <c r="L810">
        <f t="shared" ca="1" si="401"/>
        <v>2.1762353150568448</v>
      </c>
      <c r="M810">
        <f t="shared" ca="1" si="374"/>
        <v>11.026984341393034</v>
      </c>
      <c r="N810">
        <f t="shared" ca="1" si="375"/>
        <v>1.1706586043317746</v>
      </c>
      <c r="O810">
        <f t="shared" ca="1" si="376"/>
        <v>4.6204835721716018</v>
      </c>
      <c r="P810">
        <f t="shared" ca="1" si="377"/>
        <v>634.36473531505681</v>
      </c>
      <c r="Q810">
        <f t="shared" ca="1" si="378"/>
        <v>635.45285297258522</v>
      </c>
      <c r="R810">
        <f t="shared" ca="1" si="379"/>
        <v>3.8932924749513747E-3</v>
      </c>
      <c r="S810">
        <f t="shared" ca="1" si="380"/>
        <v>1</v>
      </c>
      <c r="T810">
        <f t="shared" ca="1" si="381"/>
        <v>35.995969113477543</v>
      </c>
      <c r="U810">
        <f t="shared" ca="1" si="402"/>
        <v>-4.5415228372576166E-3</v>
      </c>
      <c r="V810">
        <f t="shared" ca="1" si="403"/>
        <v>1</v>
      </c>
      <c r="W810">
        <f t="shared" ca="1" si="382"/>
        <v>1.7069123394995753</v>
      </c>
      <c r="X810">
        <f t="shared" ca="1" si="383"/>
        <v>8.6489248242443484</v>
      </c>
      <c r="Y810">
        <f t="shared" ca="1" si="384"/>
        <v>1.0198212027258928</v>
      </c>
      <c r="Z810">
        <f t="shared" ca="1" si="385"/>
        <v>5.8909056368693173</v>
      </c>
      <c r="AA810">
        <f t="shared" ca="1" si="386"/>
        <v>633.89541233949956</v>
      </c>
      <c r="AB810">
        <f t="shared" ca="1" si="387"/>
        <v>635.66415694818966</v>
      </c>
      <c r="AC810">
        <f t="shared" ca="1" si="388"/>
        <v>7.6064369127513652E-3</v>
      </c>
      <c r="AD810">
        <f t="shared" ca="1" si="389"/>
        <v>1.4396003825590764</v>
      </c>
      <c r="AE810">
        <f t="shared" ca="1" si="390"/>
        <v>37.976956560648823</v>
      </c>
      <c r="AF810">
        <f t="shared" ca="1" si="391"/>
        <v>8.6334530915337382E-3</v>
      </c>
      <c r="AG810">
        <f t="shared" ca="1" si="392"/>
        <v>0</v>
      </c>
      <c r="AH810">
        <f ca="1">IFERROR(IF(V32="Supercritical",MAX($D$16,IFERROR(L810,MAX($D$16,POWER((ABS(K810)^2)/($I$5*MAX(F810,0.1)^2),1/3)))),IF(V32="Subcritical",MAX($D$16,IFERROR(W810,MAX($D$16,POWER((ABS(K810)^2)/($I$5*MAX(F810,0.1)^2),1/3)))),IF(AND(IFERROR(V810,0)=1,IFERROR(AG810,0)=1),IF(IFERROR(T810,-1E+99)&gt;=IFERROR(AE810,-1E+99),MAX($D$16,IFERROR(L810,MAX($D$16,POWER((ABS(K810)^2)/($I$5*MAX(F810,0.1)^2),1/3)))),MAX($D$16,IFERROR(W810,MAX($D$16,POWER((ABS(K810)^2)/($I$5*MAX(F810,0.1)^2),1/3))))),IF(IFERROR(V810,0)=1,MAX($D$16,IFERROR(L810,MAX($D$16,POWER((ABS(K810)^2)/($I$5*MAX(F810,0.1)^2),1/3)))),IF(IFERROR(AG810,0)=1,MAX($D$16,IFERROR(W810,MAX($D$16,POWER((ABS(K810)^2)/($I$5*MAX(F810,0.1)^2),1/3)))),MAX($D$16,POWER((ABS(K810)^2)/($I$5*MAX(F810,0.1)^2),1/3))))))),MAX($D$16,POWER((ABS(K810)^2)/($I$5*MAX(F810,0.1)^2),1/3)))</f>
        <v>2.1762353150568448</v>
      </c>
      <c r="AI810">
        <f t="shared" ca="1" si="393"/>
        <v>634.36473531505681</v>
      </c>
      <c r="AJ810">
        <f t="shared" ca="1" si="394"/>
        <v>635.45285297258522</v>
      </c>
      <c r="AM810">
        <v>0</v>
      </c>
      <c r="AN810">
        <v>0</v>
      </c>
      <c r="AO810">
        <f t="shared" si="395"/>
        <v>0</v>
      </c>
      <c r="AP810">
        <f t="shared" si="404"/>
        <v>0</v>
      </c>
      <c r="AQ810">
        <f t="shared" ca="1" si="396"/>
        <v>1</v>
      </c>
      <c r="AR810" t="str">
        <f t="shared" ca="1" si="397"/>
        <v>Supercritical</v>
      </c>
      <c r="AS810">
        <f t="shared" ca="1" si="398"/>
        <v>3.8932924749513747E-3</v>
      </c>
    </row>
    <row r="811" spans="1:45" x14ac:dyDescent="0.35">
      <c r="A811">
        <v>750</v>
      </c>
      <c r="B811">
        <v>748.99599999999998</v>
      </c>
      <c r="C811">
        <v>616092.61899999995</v>
      </c>
      <c r="D811">
        <v>3097257.773</v>
      </c>
      <c r="E811">
        <v>632.18799999999999</v>
      </c>
      <c r="F811">
        <v>5.0670000000000002</v>
      </c>
      <c r="G811">
        <v>0</v>
      </c>
      <c r="H811" t="s">
        <v>154</v>
      </c>
      <c r="I811">
        <v>0.51800000000000002</v>
      </c>
      <c r="J811">
        <f t="shared" si="399"/>
        <v>1</v>
      </c>
      <c r="K811">
        <f t="shared" ca="1" si="400"/>
        <v>50.95</v>
      </c>
      <c r="L811">
        <f t="shared" ca="1" si="401"/>
        <v>2.1762353150568448</v>
      </c>
      <c r="M811">
        <f t="shared" ca="1" si="374"/>
        <v>11.026984341393034</v>
      </c>
      <c r="N811">
        <f t="shared" ca="1" si="375"/>
        <v>1.1706586043317746</v>
      </c>
      <c r="O811">
        <f t="shared" ca="1" si="376"/>
        <v>4.6204835721716018</v>
      </c>
      <c r="P811">
        <f t="shared" ca="1" si="377"/>
        <v>634.36423531505682</v>
      </c>
      <c r="Q811">
        <f t="shared" ca="1" si="378"/>
        <v>635.45235297258523</v>
      </c>
      <c r="R811">
        <f t="shared" ca="1" si="379"/>
        <v>3.8932924749513747E-3</v>
      </c>
      <c r="S811">
        <f t="shared" ca="1" si="380"/>
        <v>1</v>
      </c>
      <c r="T811">
        <f t="shared" ca="1" si="381"/>
        <v>35.995969113477543</v>
      </c>
      <c r="U811">
        <f t="shared" ca="1" si="402"/>
        <v>-4.3327007192601741E-3</v>
      </c>
      <c r="V811">
        <f t="shared" ca="1" si="403"/>
        <v>1</v>
      </c>
      <c r="W811">
        <f t="shared" ca="1" si="382"/>
        <v>1.7069123394995753</v>
      </c>
      <c r="X811">
        <f t="shared" ca="1" si="383"/>
        <v>8.6489248242443484</v>
      </c>
      <c r="Y811">
        <f t="shared" ca="1" si="384"/>
        <v>1.0198212027258928</v>
      </c>
      <c r="Z811">
        <f t="shared" ca="1" si="385"/>
        <v>5.8909056368693173</v>
      </c>
      <c r="AA811">
        <f t="shared" ca="1" si="386"/>
        <v>633.89491233949957</v>
      </c>
      <c r="AB811">
        <f t="shared" ca="1" si="387"/>
        <v>635.66365694818967</v>
      </c>
      <c r="AC811">
        <f t="shared" ca="1" si="388"/>
        <v>7.6064369127513652E-3</v>
      </c>
      <c r="AD811">
        <f t="shared" ca="1" si="389"/>
        <v>1.4396003825590764</v>
      </c>
      <c r="AE811">
        <f t="shared" ca="1" si="390"/>
        <v>37.976956560648823</v>
      </c>
      <c r="AF811">
        <f t="shared" ca="1" si="391"/>
        <v>8.8439918230278636E-3</v>
      </c>
      <c r="AG811">
        <f t="shared" ca="1" si="392"/>
        <v>0</v>
      </c>
      <c r="AH811">
        <f ca="1">IFERROR(IF(V32="Supercritical",MAX($D$16,IFERROR(L811,MAX($D$16,POWER((ABS(K811)^2)/($I$5*MAX(F811,0.1)^2),1/3)))),IF(V32="Subcritical",MAX($D$16,IFERROR(W811,MAX($D$16,POWER((ABS(K811)^2)/($I$5*MAX(F811,0.1)^2),1/3)))),IF(AND(IFERROR(V811,0)=1,IFERROR(AG811,0)=1),IF(IFERROR(T811,-1E+99)&gt;=IFERROR(AE811,-1E+99),MAX($D$16,IFERROR(L811,MAX($D$16,POWER((ABS(K811)^2)/($I$5*MAX(F811,0.1)^2),1/3)))),MAX($D$16,IFERROR(W811,MAX($D$16,POWER((ABS(K811)^2)/($I$5*MAX(F811,0.1)^2),1/3))))),IF(IFERROR(V811,0)=1,MAX($D$16,IFERROR(L811,MAX($D$16,POWER((ABS(K811)^2)/($I$5*MAX(F811,0.1)^2),1/3)))),IF(IFERROR(AG811,0)=1,MAX($D$16,IFERROR(W811,MAX($D$16,POWER((ABS(K811)^2)/($I$5*MAX(F811,0.1)^2),1/3)))),MAX($D$16,POWER((ABS(K811)^2)/($I$5*MAX(F811,0.1)^2),1/3))))))),MAX($D$16,POWER((ABS(K811)^2)/($I$5*MAX(F811,0.1)^2),1/3)))</f>
        <v>2.1762353150568448</v>
      </c>
      <c r="AI811">
        <f t="shared" ca="1" si="393"/>
        <v>634.36423531505682</v>
      </c>
      <c r="AJ811">
        <f t="shared" ca="1" si="394"/>
        <v>635.45235297258523</v>
      </c>
      <c r="AM811">
        <v>0</v>
      </c>
      <c r="AN811">
        <v>0</v>
      </c>
      <c r="AO811">
        <f t="shared" si="395"/>
        <v>0</v>
      </c>
      <c r="AP811">
        <f t="shared" si="404"/>
        <v>0</v>
      </c>
      <c r="AQ811">
        <f t="shared" ca="1" si="396"/>
        <v>1</v>
      </c>
      <c r="AR811" t="str">
        <f t="shared" ca="1" si="397"/>
        <v>Supercritical</v>
      </c>
      <c r="AS811">
        <f t="shared" ca="1" si="398"/>
        <v>3.8932924749513747E-3</v>
      </c>
    </row>
    <row r="812" spans="1:45" x14ac:dyDescent="0.35">
      <c r="A812">
        <v>751</v>
      </c>
      <c r="B812">
        <v>749.995</v>
      </c>
      <c r="C812">
        <v>616092.46200000006</v>
      </c>
      <c r="D812">
        <v>3097256.7859999998</v>
      </c>
      <c r="E812">
        <v>632.1875</v>
      </c>
      <c r="F812">
        <v>5.0670000000000002</v>
      </c>
      <c r="G812">
        <v>0</v>
      </c>
      <c r="H812" t="s">
        <v>154</v>
      </c>
      <c r="I812">
        <v>0.59199999999999997</v>
      </c>
      <c r="J812">
        <f t="shared" si="399"/>
        <v>0.99900000000002365</v>
      </c>
      <c r="K812">
        <f t="shared" ca="1" si="400"/>
        <v>50.95</v>
      </c>
      <c r="L812">
        <f t="shared" ca="1" si="401"/>
        <v>2.1762353150568448</v>
      </c>
      <c r="M812">
        <f t="shared" ca="1" si="374"/>
        <v>11.026984341393034</v>
      </c>
      <c r="N812">
        <f t="shared" ca="1" si="375"/>
        <v>1.1706586043317746</v>
      </c>
      <c r="O812">
        <f t="shared" ca="1" si="376"/>
        <v>4.6204835721716018</v>
      </c>
      <c r="P812">
        <f t="shared" ca="1" si="377"/>
        <v>634.36373531505683</v>
      </c>
      <c r="Q812">
        <f t="shared" ca="1" si="378"/>
        <v>635.45185297258524</v>
      </c>
      <c r="R812">
        <f t="shared" ca="1" si="379"/>
        <v>3.8932924749513747E-3</v>
      </c>
      <c r="S812">
        <f t="shared" ca="1" si="380"/>
        <v>1</v>
      </c>
      <c r="T812">
        <f t="shared" ca="1" si="381"/>
        <v>35.995969113477543</v>
      </c>
      <c r="U812">
        <f t="shared" ca="1" si="402"/>
        <v>-4.4630086046026918E-3</v>
      </c>
      <c r="V812">
        <f t="shared" ca="1" si="403"/>
        <v>1</v>
      </c>
      <c r="W812">
        <f t="shared" ca="1" si="382"/>
        <v>1.7069123394995753</v>
      </c>
      <c r="X812">
        <f t="shared" ca="1" si="383"/>
        <v>8.6489248242443484</v>
      </c>
      <c r="Y812">
        <f t="shared" ca="1" si="384"/>
        <v>1.0198212027258928</v>
      </c>
      <c r="Z812">
        <f t="shared" ca="1" si="385"/>
        <v>5.8909056368693173</v>
      </c>
      <c r="AA812">
        <f t="shared" ca="1" si="386"/>
        <v>633.89441233949958</v>
      </c>
      <c r="AB812">
        <f t="shared" ca="1" si="387"/>
        <v>635.66315694818968</v>
      </c>
      <c r="AC812">
        <f t="shared" ca="1" si="388"/>
        <v>7.6064369127513652E-3</v>
      </c>
      <c r="AD812">
        <f t="shared" ca="1" si="389"/>
        <v>1.4396003825590764</v>
      </c>
      <c r="AE812">
        <f t="shared" ca="1" si="390"/>
        <v>37.976956560648823</v>
      </c>
      <c r="AF812">
        <f t="shared" ca="1" si="391"/>
        <v>8.7855070048590278E-3</v>
      </c>
      <c r="AG812">
        <f t="shared" ca="1" si="392"/>
        <v>0</v>
      </c>
      <c r="AH812">
        <f ca="1">IFERROR(IF(V32="Supercritical",MAX($D$16,IFERROR(L812,MAX($D$16,POWER((ABS(K812)^2)/($I$5*MAX(F812,0.1)^2),1/3)))),IF(V32="Subcritical",MAX($D$16,IFERROR(W812,MAX($D$16,POWER((ABS(K812)^2)/($I$5*MAX(F812,0.1)^2),1/3)))),IF(AND(IFERROR(V812,0)=1,IFERROR(AG812,0)=1),IF(IFERROR(T812,-1E+99)&gt;=IFERROR(AE812,-1E+99),MAX($D$16,IFERROR(L812,MAX($D$16,POWER((ABS(K812)^2)/($I$5*MAX(F812,0.1)^2),1/3)))),MAX($D$16,IFERROR(W812,MAX($D$16,POWER((ABS(K812)^2)/($I$5*MAX(F812,0.1)^2),1/3))))),IF(IFERROR(V812,0)=1,MAX($D$16,IFERROR(L812,MAX($D$16,POWER((ABS(K812)^2)/($I$5*MAX(F812,0.1)^2),1/3)))),IF(IFERROR(AG812,0)=1,MAX($D$16,IFERROR(W812,MAX($D$16,POWER((ABS(K812)^2)/($I$5*MAX(F812,0.1)^2),1/3)))),MAX($D$16,POWER((ABS(K812)^2)/($I$5*MAX(F812,0.1)^2),1/3))))))),MAX($D$16,POWER((ABS(K812)^2)/($I$5*MAX(F812,0.1)^2),1/3)))</f>
        <v>2.1762353150568448</v>
      </c>
      <c r="AI812">
        <f t="shared" ca="1" si="393"/>
        <v>634.36373531505683</v>
      </c>
      <c r="AJ812">
        <f t="shared" ca="1" si="394"/>
        <v>635.45185297258524</v>
      </c>
      <c r="AM812">
        <v>0</v>
      </c>
      <c r="AN812">
        <v>0</v>
      </c>
      <c r="AO812">
        <f t="shared" si="395"/>
        <v>0</v>
      </c>
      <c r="AP812">
        <f t="shared" si="404"/>
        <v>0</v>
      </c>
      <c r="AQ812">
        <f t="shared" ca="1" si="396"/>
        <v>1</v>
      </c>
      <c r="AR812" t="str">
        <f t="shared" ca="1" si="397"/>
        <v>Supercritical</v>
      </c>
      <c r="AS812">
        <f t="shared" ca="1" si="398"/>
        <v>3.8932924749513747E-3</v>
      </c>
    </row>
    <row r="813" spans="1:45" x14ac:dyDescent="0.35">
      <c r="A813">
        <v>752</v>
      </c>
      <c r="B813">
        <v>750.99599999999998</v>
      </c>
      <c r="C813">
        <v>616092.31499999994</v>
      </c>
      <c r="D813">
        <v>3097255.7960000001</v>
      </c>
      <c r="E813">
        <v>632.18700000000001</v>
      </c>
      <c r="F813">
        <v>5.0670000000000002</v>
      </c>
      <c r="G813">
        <v>0</v>
      </c>
      <c r="H813" t="s">
        <v>154</v>
      </c>
      <c r="I813">
        <v>0.56699999999999995</v>
      </c>
      <c r="J813">
        <f t="shared" si="399"/>
        <v>1.0009999999999764</v>
      </c>
      <c r="K813">
        <f t="shared" ca="1" si="400"/>
        <v>50.95</v>
      </c>
      <c r="L813">
        <f t="shared" ca="1" si="401"/>
        <v>2.1762353150568448</v>
      </c>
      <c r="M813">
        <f t="shared" ca="1" si="374"/>
        <v>11.026984341393034</v>
      </c>
      <c r="N813">
        <f t="shared" ca="1" si="375"/>
        <v>1.1706586043317746</v>
      </c>
      <c r="O813">
        <f t="shared" ca="1" si="376"/>
        <v>4.6204835721716018</v>
      </c>
      <c r="P813">
        <f t="shared" ca="1" si="377"/>
        <v>634.36323531505684</v>
      </c>
      <c r="Q813">
        <f t="shared" ca="1" si="378"/>
        <v>635.45135297258525</v>
      </c>
      <c r="R813">
        <f t="shared" ca="1" si="379"/>
        <v>3.8932924749513747E-3</v>
      </c>
      <c r="S813">
        <f t="shared" ca="1" si="380"/>
        <v>1</v>
      </c>
      <c r="T813">
        <f t="shared" ca="1" si="381"/>
        <v>35.995969113477543</v>
      </c>
      <c r="U813">
        <f t="shared" ca="1" si="402"/>
        <v>-4.425456953754292E-3</v>
      </c>
      <c r="V813">
        <f t="shared" ca="1" si="403"/>
        <v>1</v>
      </c>
      <c r="W813">
        <f t="shared" ca="1" si="382"/>
        <v>1.7069123394995753</v>
      </c>
      <c r="X813">
        <f t="shared" ca="1" si="383"/>
        <v>8.6489248242443484</v>
      </c>
      <c r="Y813">
        <f t="shared" ca="1" si="384"/>
        <v>1.0198212027258928</v>
      </c>
      <c r="Z813">
        <f t="shared" ca="1" si="385"/>
        <v>5.8909056368693173</v>
      </c>
      <c r="AA813">
        <f t="shared" ca="1" si="386"/>
        <v>633.89391233949959</v>
      </c>
      <c r="AB813">
        <f t="shared" ca="1" si="387"/>
        <v>635.66265694818969</v>
      </c>
      <c r="AC813">
        <f t="shared" ca="1" si="388"/>
        <v>7.6064369127513652E-3</v>
      </c>
      <c r="AD813">
        <f t="shared" ca="1" si="389"/>
        <v>1.4396003825590764</v>
      </c>
      <c r="AE813">
        <f t="shared" ca="1" si="390"/>
        <v>37.976956560648823</v>
      </c>
      <c r="AF813">
        <f t="shared" ca="1" si="391"/>
        <v>8.8250670908109896E-3</v>
      </c>
      <c r="AG813">
        <f t="shared" ca="1" si="392"/>
        <v>0</v>
      </c>
      <c r="AH813">
        <f ca="1">IFERROR(IF(V32="Supercritical",MAX($D$16,IFERROR(L813,MAX($D$16,POWER((ABS(K813)^2)/($I$5*MAX(F813,0.1)^2),1/3)))),IF(V32="Subcritical",MAX($D$16,IFERROR(W813,MAX($D$16,POWER((ABS(K813)^2)/($I$5*MAX(F813,0.1)^2),1/3)))),IF(AND(IFERROR(V813,0)=1,IFERROR(AG813,0)=1),IF(IFERROR(T813,-1E+99)&gt;=IFERROR(AE813,-1E+99),MAX($D$16,IFERROR(L813,MAX($D$16,POWER((ABS(K813)^2)/($I$5*MAX(F813,0.1)^2),1/3)))),MAX($D$16,IFERROR(W813,MAX($D$16,POWER((ABS(K813)^2)/($I$5*MAX(F813,0.1)^2),1/3))))),IF(IFERROR(V813,0)=1,MAX($D$16,IFERROR(L813,MAX($D$16,POWER((ABS(K813)^2)/($I$5*MAX(F813,0.1)^2),1/3)))),IF(IFERROR(AG813,0)=1,MAX($D$16,IFERROR(W813,MAX($D$16,POWER((ABS(K813)^2)/($I$5*MAX(F813,0.1)^2),1/3)))),MAX($D$16,POWER((ABS(K813)^2)/($I$5*MAX(F813,0.1)^2),1/3))))))),MAX($D$16,POWER((ABS(K813)^2)/($I$5*MAX(F813,0.1)^2),1/3)))</f>
        <v>2.1762353150568448</v>
      </c>
      <c r="AI813">
        <f t="shared" ca="1" si="393"/>
        <v>634.36323531505684</v>
      </c>
      <c r="AJ813">
        <f t="shared" ca="1" si="394"/>
        <v>635.45135297258525</v>
      </c>
      <c r="AM813">
        <v>0</v>
      </c>
      <c r="AN813">
        <v>0</v>
      </c>
      <c r="AO813">
        <f t="shared" si="395"/>
        <v>0</v>
      </c>
      <c r="AP813">
        <f t="shared" si="404"/>
        <v>0</v>
      </c>
      <c r="AQ813">
        <f t="shared" ca="1" si="396"/>
        <v>1</v>
      </c>
      <c r="AR813" t="str">
        <f t="shared" ca="1" si="397"/>
        <v>Supercritical</v>
      </c>
      <c r="AS813">
        <f t="shared" ca="1" si="398"/>
        <v>3.8932924749513747E-3</v>
      </c>
    </row>
    <row r="814" spans="1:45" x14ac:dyDescent="0.35">
      <c r="A814">
        <v>753</v>
      </c>
      <c r="B814">
        <v>751.99599999999998</v>
      </c>
      <c r="C814">
        <v>616092.17799999996</v>
      </c>
      <c r="D814">
        <v>3097254.8059999999</v>
      </c>
      <c r="E814">
        <v>632.18650000000002</v>
      </c>
      <c r="F814">
        <v>5.0670000000000002</v>
      </c>
      <c r="G814">
        <v>0</v>
      </c>
      <c r="H814" t="s">
        <v>154</v>
      </c>
      <c r="I814">
        <v>0.58299999999999996</v>
      </c>
      <c r="J814">
        <f t="shared" si="399"/>
        <v>1</v>
      </c>
      <c r="K814">
        <f t="shared" ca="1" si="400"/>
        <v>50.95</v>
      </c>
      <c r="L814">
        <f t="shared" ca="1" si="401"/>
        <v>2.1762353150568448</v>
      </c>
      <c r="M814">
        <f t="shared" ca="1" si="374"/>
        <v>11.026984341393034</v>
      </c>
      <c r="N814">
        <f t="shared" ca="1" si="375"/>
        <v>1.1706586043317746</v>
      </c>
      <c r="O814">
        <f t="shared" ca="1" si="376"/>
        <v>4.6204835721716018</v>
      </c>
      <c r="P814">
        <f t="shared" ca="1" si="377"/>
        <v>634.36273531505685</v>
      </c>
      <c r="Q814">
        <f t="shared" ca="1" si="378"/>
        <v>635.45085297258527</v>
      </c>
      <c r="R814">
        <f t="shared" ca="1" si="379"/>
        <v>3.8932924749513747E-3</v>
      </c>
      <c r="S814">
        <f t="shared" ca="1" si="380"/>
        <v>1</v>
      </c>
      <c r="T814">
        <f t="shared" ca="1" si="381"/>
        <v>35.995969113477543</v>
      </c>
      <c r="U814">
        <f t="shared" ca="1" si="402"/>
        <v>-4.4505801321292893E-3</v>
      </c>
      <c r="V814">
        <f t="shared" ca="1" si="403"/>
        <v>1</v>
      </c>
      <c r="W814">
        <f t="shared" ca="1" si="382"/>
        <v>1.7069123394995753</v>
      </c>
      <c r="X814">
        <f t="shared" ca="1" si="383"/>
        <v>8.6489248242443484</v>
      </c>
      <c r="Y814">
        <f t="shared" ca="1" si="384"/>
        <v>1.0198212027258928</v>
      </c>
      <c r="Z814">
        <f t="shared" ca="1" si="385"/>
        <v>5.8909056368693173</v>
      </c>
      <c r="AA814">
        <f t="shared" ca="1" si="386"/>
        <v>633.8934123394996</v>
      </c>
      <c r="AB814">
        <f t="shared" ca="1" si="387"/>
        <v>635.6621569481897</v>
      </c>
      <c r="AC814">
        <f t="shared" ca="1" si="388"/>
        <v>7.6064369127513652E-3</v>
      </c>
      <c r="AD814">
        <f t="shared" ca="1" si="389"/>
        <v>1.4396003825590764</v>
      </c>
      <c r="AE814">
        <f t="shared" ca="1" si="390"/>
        <v>37.976956560648823</v>
      </c>
      <c r="AF814">
        <f t="shared" ca="1" si="391"/>
        <v>8.8044317370759018E-3</v>
      </c>
      <c r="AG814">
        <f t="shared" ca="1" si="392"/>
        <v>0</v>
      </c>
      <c r="AH814">
        <f ca="1">IFERROR(IF(V32="Supercritical",MAX($D$16,IFERROR(L814,MAX($D$16,POWER((ABS(K814)^2)/($I$5*MAX(F814,0.1)^2),1/3)))),IF(V32="Subcritical",MAX($D$16,IFERROR(W814,MAX($D$16,POWER((ABS(K814)^2)/($I$5*MAX(F814,0.1)^2),1/3)))),IF(AND(IFERROR(V814,0)=1,IFERROR(AG814,0)=1),IF(IFERROR(T814,-1E+99)&gt;=IFERROR(AE814,-1E+99),MAX($D$16,IFERROR(L814,MAX($D$16,POWER((ABS(K814)^2)/($I$5*MAX(F814,0.1)^2),1/3)))),MAX($D$16,IFERROR(W814,MAX($D$16,POWER((ABS(K814)^2)/($I$5*MAX(F814,0.1)^2),1/3))))),IF(IFERROR(V814,0)=1,MAX($D$16,IFERROR(L814,MAX($D$16,POWER((ABS(K814)^2)/($I$5*MAX(F814,0.1)^2),1/3)))),IF(IFERROR(AG814,0)=1,MAX($D$16,IFERROR(W814,MAX($D$16,POWER((ABS(K814)^2)/($I$5*MAX(F814,0.1)^2),1/3)))),MAX($D$16,POWER((ABS(K814)^2)/($I$5*MAX(F814,0.1)^2),1/3))))))),MAX($D$16,POWER((ABS(K814)^2)/($I$5*MAX(F814,0.1)^2),1/3)))</f>
        <v>2.1762353150568448</v>
      </c>
      <c r="AI814">
        <f t="shared" ca="1" si="393"/>
        <v>634.36273531505685</v>
      </c>
      <c r="AJ814">
        <f t="shared" ca="1" si="394"/>
        <v>635.45085297258527</v>
      </c>
      <c r="AM814">
        <v>0</v>
      </c>
      <c r="AN814">
        <v>0</v>
      </c>
      <c r="AO814">
        <f t="shared" si="395"/>
        <v>0</v>
      </c>
      <c r="AP814">
        <f t="shared" si="404"/>
        <v>0</v>
      </c>
      <c r="AQ814">
        <f t="shared" ca="1" si="396"/>
        <v>1</v>
      </c>
      <c r="AR814" t="str">
        <f t="shared" ca="1" si="397"/>
        <v>Supercritical</v>
      </c>
      <c r="AS814">
        <f t="shared" ca="1" si="398"/>
        <v>3.8932924749513747E-3</v>
      </c>
    </row>
    <row r="815" spans="1:45" x14ac:dyDescent="0.35">
      <c r="A815">
        <v>754</v>
      </c>
      <c r="B815">
        <v>752.99599999999998</v>
      </c>
      <c r="C815">
        <v>616092.05099999998</v>
      </c>
      <c r="D815">
        <v>3097253.8139999998</v>
      </c>
      <c r="E815">
        <v>632.18600000000004</v>
      </c>
      <c r="F815">
        <v>5.0670000000000002</v>
      </c>
      <c r="G815">
        <v>0</v>
      </c>
      <c r="H815" t="s">
        <v>154</v>
      </c>
      <c r="I815">
        <v>0.57599999999999996</v>
      </c>
      <c r="J815">
        <f t="shared" si="399"/>
        <v>1</v>
      </c>
      <c r="K815">
        <f t="shared" ca="1" si="400"/>
        <v>50.95</v>
      </c>
      <c r="L815">
        <f t="shared" ca="1" si="401"/>
        <v>2.1762353150568448</v>
      </c>
      <c r="M815">
        <f t="shared" ca="1" si="374"/>
        <v>11.026984341393034</v>
      </c>
      <c r="N815">
        <f t="shared" ca="1" si="375"/>
        <v>1.1706586043317746</v>
      </c>
      <c r="O815">
        <f t="shared" ca="1" si="376"/>
        <v>4.6204835721716018</v>
      </c>
      <c r="P815">
        <f t="shared" ca="1" si="377"/>
        <v>634.36223531505686</v>
      </c>
      <c r="Q815">
        <f t="shared" ca="1" si="378"/>
        <v>635.45035297258528</v>
      </c>
      <c r="R815">
        <f t="shared" ca="1" si="379"/>
        <v>3.8932924749513747E-3</v>
      </c>
      <c r="S815">
        <f t="shared" ca="1" si="380"/>
        <v>1</v>
      </c>
      <c r="T815">
        <f t="shared" ca="1" si="381"/>
        <v>35.995969113477543</v>
      </c>
      <c r="U815">
        <f t="shared" ca="1" si="402"/>
        <v>-4.4378854261140077E-3</v>
      </c>
      <c r="V815">
        <f t="shared" ca="1" si="403"/>
        <v>1</v>
      </c>
      <c r="W815">
        <f t="shared" ca="1" si="382"/>
        <v>1.7069123394995753</v>
      </c>
      <c r="X815">
        <f t="shared" ca="1" si="383"/>
        <v>8.6489248242443484</v>
      </c>
      <c r="Y815">
        <f t="shared" ca="1" si="384"/>
        <v>1.0198212027258928</v>
      </c>
      <c r="Z815">
        <f t="shared" ca="1" si="385"/>
        <v>5.8909056368693173</v>
      </c>
      <c r="AA815">
        <f t="shared" ca="1" si="386"/>
        <v>633.89291233949962</v>
      </c>
      <c r="AB815">
        <f t="shared" ca="1" si="387"/>
        <v>635.66165694818972</v>
      </c>
      <c r="AC815">
        <f t="shared" ca="1" si="388"/>
        <v>7.6064369127513652E-3</v>
      </c>
      <c r="AD815">
        <f t="shared" ca="1" si="389"/>
        <v>1.4396003825590764</v>
      </c>
      <c r="AE815">
        <f t="shared" ca="1" si="390"/>
        <v>37.976956560648823</v>
      </c>
      <c r="AF815">
        <f t="shared" ca="1" si="391"/>
        <v>8.7968253001236008E-3</v>
      </c>
      <c r="AG815">
        <f t="shared" ca="1" si="392"/>
        <v>0</v>
      </c>
      <c r="AH815">
        <f ca="1">IFERROR(IF(V32="Supercritical",MAX($D$16,IFERROR(L815,MAX($D$16,POWER((ABS(K815)^2)/($I$5*MAX(F815,0.1)^2),1/3)))),IF(V32="Subcritical",MAX($D$16,IFERROR(W815,MAX($D$16,POWER((ABS(K815)^2)/($I$5*MAX(F815,0.1)^2),1/3)))),IF(AND(IFERROR(V815,0)=1,IFERROR(AG815,0)=1),IF(IFERROR(T815,-1E+99)&gt;=IFERROR(AE815,-1E+99),MAX($D$16,IFERROR(L815,MAX($D$16,POWER((ABS(K815)^2)/($I$5*MAX(F815,0.1)^2),1/3)))),MAX($D$16,IFERROR(W815,MAX($D$16,POWER((ABS(K815)^2)/($I$5*MAX(F815,0.1)^2),1/3))))),IF(IFERROR(V815,0)=1,MAX($D$16,IFERROR(L815,MAX($D$16,POWER((ABS(K815)^2)/($I$5*MAX(F815,0.1)^2),1/3)))),IF(IFERROR(AG815,0)=1,MAX($D$16,IFERROR(W815,MAX($D$16,POWER((ABS(K815)^2)/($I$5*MAX(F815,0.1)^2),1/3)))),MAX($D$16,POWER((ABS(K815)^2)/($I$5*MAX(F815,0.1)^2),1/3))))))),MAX($D$16,POWER((ABS(K815)^2)/($I$5*MAX(F815,0.1)^2),1/3)))</f>
        <v>2.1762353150568448</v>
      </c>
      <c r="AI815">
        <f t="shared" ca="1" si="393"/>
        <v>634.36223531505686</v>
      </c>
      <c r="AJ815">
        <f t="shared" ca="1" si="394"/>
        <v>635.45035297258528</v>
      </c>
      <c r="AM815">
        <v>0</v>
      </c>
      <c r="AN815">
        <v>0</v>
      </c>
      <c r="AO815">
        <f t="shared" si="395"/>
        <v>0</v>
      </c>
      <c r="AP815">
        <f t="shared" si="404"/>
        <v>0</v>
      </c>
      <c r="AQ815">
        <f t="shared" ca="1" si="396"/>
        <v>1</v>
      </c>
      <c r="AR815" t="str">
        <f t="shared" ca="1" si="397"/>
        <v>Supercritical</v>
      </c>
      <c r="AS815">
        <f t="shared" ca="1" si="398"/>
        <v>3.8932924749513747E-3</v>
      </c>
    </row>
    <row r="816" spans="1:45" x14ac:dyDescent="0.35">
      <c r="A816">
        <v>755</v>
      </c>
      <c r="B816">
        <v>753.995</v>
      </c>
      <c r="C816">
        <v>616091.93400000001</v>
      </c>
      <c r="D816">
        <v>3097252.821</v>
      </c>
      <c r="E816">
        <v>632.18550000000005</v>
      </c>
      <c r="F816">
        <v>5.0670000000000002</v>
      </c>
      <c r="G816">
        <v>0</v>
      </c>
      <c r="H816" t="s">
        <v>154</v>
      </c>
      <c r="I816">
        <v>0.57599999999999996</v>
      </c>
      <c r="J816">
        <f t="shared" si="399"/>
        <v>0.99900000000002365</v>
      </c>
      <c r="K816">
        <f t="shared" ca="1" si="400"/>
        <v>50.95</v>
      </c>
      <c r="L816">
        <f t="shared" ca="1" si="401"/>
        <v>2.1762353150568448</v>
      </c>
      <c r="M816">
        <f t="shared" ca="1" si="374"/>
        <v>11.026984341393034</v>
      </c>
      <c r="N816">
        <f t="shared" ca="1" si="375"/>
        <v>1.1706586043317746</v>
      </c>
      <c r="O816">
        <f t="shared" ca="1" si="376"/>
        <v>4.6204835721716018</v>
      </c>
      <c r="P816">
        <f t="shared" ca="1" si="377"/>
        <v>634.36173531505688</v>
      </c>
      <c r="Q816">
        <f t="shared" ca="1" si="378"/>
        <v>635.44985297258529</v>
      </c>
      <c r="R816">
        <f t="shared" ca="1" si="379"/>
        <v>3.8932924749513747E-3</v>
      </c>
      <c r="S816">
        <f t="shared" ca="1" si="380"/>
        <v>1</v>
      </c>
      <c r="T816">
        <f t="shared" ca="1" si="381"/>
        <v>35.995969113477543</v>
      </c>
      <c r="U816">
        <f t="shared" ca="1" si="402"/>
        <v>-4.4339921337268606E-3</v>
      </c>
      <c r="V816">
        <f t="shared" ca="1" si="403"/>
        <v>1</v>
      </c>
      <c r="W816">
        <f t="shared" ca="1" si="382"/>
        <v>1.7069123394995753</v>
      </c>
      <c r="X816">
        <f t="shared" ca="1" si="383"/>
        <v>8.6489248242443484</v>
      </c>
      <c r="Y816">
        <f t="shared" ca="1" si="384"/>
        <v>1.0198212027258928</v>
      </c>
      <c r="Z816">
        <f t="shared" ca="1" si="385"/>
        <v>5.8909056368693173</v>
      </c>
      <c r="AA816">
        <f t="shared" ca="1" si="386"/>
        <v>633.89241233949963</v>
      </c>
      <c r="AB816">
        <f t="shared" ca="1" si="387"/>
        <v>635.66115694818973</v>
      </c>
      <c r="AC816">
        <f t="shared" ca="1" si="388"/>
        <v>7.6064369127513652E-3</v>
      </c>
      <c r="AD816">
        <f t="shared" ca="1" si="389"/>
        <v>1.4396003825590764</v>
      </c>
      <c r="AE816">
        <f t="shared" ca="1" si="390"/>
        <v>37.976956560648823</v>
      </c>
      <c r="AF816">
        <f t="shared" ca="1" si="391"/>
        <v>8.8221191830371026E-3</v>
      </c>
      <c r="AG816">
        <f t="shared" ca="1" si="392"/>
        <v>0</v>
      </c>
      <c r="AH816">
        <f ca="1">IFERROR(IF(V32="Supercritical",MAX($D$16,IFERROR(L816,MAX($D$16,POWER((ABS(K816)^2)/($I$5*MAX(F816,0.1)^2),1/3)))),IF(V32="Subcritical",MAX($D$16,IFERROR(W816,MAX($D$16,POWER((ABS(K816)^2)/($I$5*MAX(F816,0.1)^2),1/3)))),IF(AND(IFERROR(V816,0)=1,IFERROR(AG816,0)=1),IF(IFERROR(T816,-1E+99)&gt;=IFERROR(AE816,-1E+99),MAX($D$16,IFERROR(L816,MAX($D$16,POWER((ABS(K816)^2)/($I$5*MAX(F816,0.1)^2),1/3)))),MAX($D$16,IFERROR(W816,MAX($D$16,POWER((ABS(K816)^2)/($I$5*MAX(F816,0.1)^2),1/3))))),IF(IFERROR(V816,0)=1,MAX($D$16,IFERROR(L816,MAX($D$16,POWER((ABS(K816)^2)/($I$5*MAX(F816,0.1)^2),1/3)))),IF(IFERROR(AG816,0)=1,MAX($D$16,IFERROR(W816,MAX($D$16,POWER((ABS(K816)^2)/($I$5*MAX(F816,0.1)^2),1/3)))),MAX($D$16,POWER((ABS(K816)^2)/($I$5*MAX(F816,0.1)^2),1/3))))))),MAX($D$16,POWER((ABS(K816)^2)/($I$5*MAX(F816,0.1)^2),1/3)))</f>
        <v>2.1762353150568448</v>
      </c>
      <c r="AI816">
        <f t="shared" ca="1" si="393"/>
        <v>634.36173531505688</v>
      </c>
      <c r="AJ816">
        <f t="shared" ca="1" si="394"/>
        <v>635.44985297258529</v>
      </c>
      <c r="AM816">
        <v>0</v>
      </c>
      <c r="AN816">
        <v>0</v>
      </c>
      <c r="AO816">
        <f t="shared" si="395"/>
        <v>0</v>
      </c>
      <c r="AP816">
        <f t="shared" si="404"/>
        <v>0</v>
      </c>
      <c r="AQ816">
        <f t="shared" ca="1" si="396"/>
        <v>1</v>
      </c>
      <c r="AR816" t="str">
        <f t="shared" ca="1" si="397"/>
        <v>Supercritical</v>
      </c>
      <c r="AS816">
        <f t="shared" ca="1" si="398"/>
        <v>3.8932924749513747E-3</v>
      </c>
    </row>
    <row r="817" spans="1:45" x14ac:dyDescent="0.35">
      <c r="A817">
        <v>756</v>
      </c>
      <c r="B817">
        <v>754.995</v>
      </c>
      <c r="C817">
        <v>616091.82700000005</v>
      </c>
      <c r="D817">
        <v>3097251.827</v>
      </c>
      <c r="E817">
        <v>632.18499999999995</v>
      </c>
      <c r="F817">
        <v>5.0670000000000002</v>
      </c>
      <c r="G817">
        <v>0</v>
      </c>
      <c r="H817" t="s">
        <v>154</v>
      </c>
      <c r="I817">
        <v>0.58199999999999996</v>
      </c>
      <c r="J817">
        <f t="shared" si="399"/>
        <v>1</v>
      </c>
      <c r="K817">
        <f t="shared" ca="1" si="400"/>
        <v>50.95</v>
      </c>
      <c r="L817">
        <f t="shared" ca="1" si="401"/>
        <v>2.1762353150568448</v>
      </c>
      <c r="M817">
        <f t="shared" ca="1" si="374"/>
        <v>11.026984341393034</v>
      </c>
      <c r="N817">
        <f t="shared" ca="1" si="375"/>
        <v>1.1706586043317746</v>
      </c>
      <c r="O817">
        <f t="shared" ca="1" si="376"/>
        <v>4.6204835721716018</v>
      </c>
      <c r="P817">
        <f t="shared" ca="1" si="377"/>
        <v>634.36123531505677</v>
      </c>
      <c r="Q817">
        <f t="shared" ca="1" si="378"/>
        <v>635.44935297258519</v>
      </c>
      <c r="R817">
        <f t="shared" ca="1" si="379"/>
        <v>3.8932924749513747E-3</v>
      </c>
      <c r="S817">
        <f t="shared" ca="1" si="380"/>
        <v>1</v>
      </c>
      <c r="T817">
        <f t="shared" ca="1" si="381"/>
        <v>35.995969113477543</v>
      </c>
      <c r="U817">
        <f t="shared" ca="1" si="402"/>
        <v>-4.4487666026498118E-3</v>
      </c>
      <c r="V817">
        <f t="shared" ca="1" si="403"/>
        <v>1</v>
      </c>
      <c r="W817">
        <f t="shared" ca="1" si="382"/>
        <v>1.7069123394995753</v>
      </c>
      <c r="X817">
        <f t="shared" ca="1" si="383"/>
        <v>8.6489248242443484</v>
      </c>
      <c r="Y817">
        <f t="shared" ca="1" si="384"/>
        <v>1.0198212027258928</v>
      </c>
      <c r="Z817">
        <f t="shared" ca="1" si="385"/>
        <v>5.8909056368693173</v>
      </c>
      <c r="AA817">
        <f t="shared" ca="1" si="386"/>
        <v>633.89191233949953</v>
      </c>
      <c r="AB817">
        <f t="shared" ca="1" si="387"/>
        <v>635.66065694818963</v>
      </c>
      <c r="AC817">
        <f t="shared" ca="1" si="388"/>
        <v>7.6064369127513652E-3</v>
      </c>
      <c r="AD817">
        <f t="shared" ca="1" si="389"/>
        <v>1.4396003825590764</v>
      </c>
      <c r="AE817">
        <f t="shared" ca="1" si="390"/>
        <v>37.976956560648823</v>
      </c>
      <c r="AF817">
        <f t="shared" ca="1" si="391"/>
        <v>8.7943507279533151E-3</v>
      </c>
      <c r="AG817">
        <f t="shared" ca="1" si="392"/>
        <v>0</v>
      </c>
      <c r="AH817">
        <f ca="1">IFERROR(IF(V32="Supercritical",MAX($D$16,IFERROR(L817,MAX($D$16,POWER((ABS(K817)^2)/($I$5*MAX(F817,0.1)^2),1/3)))),IF(V32="Subcritical",MAX($D$16,IFERROR(W817,MAX($D$16,POWER((ABS(K817)^2)/($I$5*MAX(F817,0.1)^2),1/3)))),IF(AND(IFERROR(V817,0)=1,IFERROR(AG817,0)=1),IF(IFERROR(T817,-1E+99)&gt;=IFERROR(AE817,-1E+99),MAX($D$16,IFERROR(L817,MAX($D$16,POWER((ABS(K817)^2)/($I$5*MAX(F817,0.1)^2),1/3)))),MAX($D$16,IFERROR(W817,MAX($D$16,POWER((ABS(K817)^2)/($I$5*MAX(F817,0.1)^2),1/3))))),IF(IFERROR(V817,0)=1,MAX($D$16,IFERROR(L817,MAX($D$16,POWER((ABS(K817)^2)/($I$5*MAX(F817,0.1)^2),1/3)))),IF(IFERROR(AG817,0)=1,MAX($D$16,IFERROR(W817,MAX($D$16,POWER((ABS(K817)^2)/($I$5*MAX(F817,0.1)^2),1/3)))),MAX($D$16,POWER((ABS(K817)^2)/($I$5*MAX(F817,0.1)^2),1/3))))))),MAX($D$16,POWER((ABS(K817)^2)/($I$5*MAX(F817,0.1)^2),1/3)))</f>
        <v>2.1762353150568448</v>
      </c>
      <c r="AI817">
        <f t="shared" ca="1" si="393"/>
        <v>634.36123531505677</v>
      </c>
      <c r="AJ817">
        <f t="shared" ca="1" si="394"/>
        <v>635.44935297258519</v>
      </c>
      <c r="AM817">
        <v>0</v>
      </c>
      <c r="AN817">
        <v>0</v>
      </c>
      <c r="AO817">
        <f t="shared" si="395"/>
        <v>0</v>
      </c>
      <c r="AP817">
        <f t="shared" si="404"/>
        <v>0</v>
      </c>
      <c r="AQ817">
        <f t="shared" ca="1" si="396"/>
        <v>1</v>
      </c>
      <c r="AR817" t="str">
        <f t="shared" ca="1" si="397"/>
        <v>Supercritical</v>
      </c>
      <c r="AS817">
        <f t="shared" ca="1" si="398"/>
        <v>3.8932924749513747E-3</v>
      </c>
    </row>
    <row r="818" spans="1:45" x14ac:dyDescent="0.35">
      <c r="A818">
        <v>757</v>
      </c>
      <c r="B818">
        <v>755.99599999999998</v>
      </c>
      <c r="C818">
        <v>616091.73</v>
      </c>
      <c r="D818">
        <v>3097250.8309999998</v>
      </c>
      <c r="E818">
        <v>632.18449999999996</v>
      </c>
      <c r="F818">
        <v>5.0670000000000002</v>
      </c>
      <c r="G818">
        <v>0</v>
      </c>
      <c r="H818" t="s">
        <v>154</v>
      </c>
      <c r="I818">
        <v>0.56999999999999995</v>
      </c>
      <c r="J818">
        <f t="shared" si="399"/>
        <v>1.0009999999999764</v>
      </c>
      <c r="K818">
        <f t="shared" ca="1" si="400"/>
        <v>50.95</v>
      </c>
      <c r="L818">
        <f t="shared" ca="1" si="401"/>
        <v>2.1762353150568448</v>
      </c>
      <c r="M818">
        <f t="shared" ca="1" si="374"/>
        <v>11.026984341393034</v>
      </c>
      <c r="N818">
        <f t="shared" ca="1" si="375"/>
        <v>1.1706586043317746</v>
      </c>
      <c r="O818">
        <f t="shared" ca="1" si="376"/>
        <v>4.6204835721716018</v>
      </c>
      <c r="P818">
        <f t="shared" ca="1" si="377"/>
        <v>634.36073531505679</v>
      </c>
      <c r="Q818">
        <f t="shared" ca="1" si="378"/>
        <v>635.4488529725852</v>
      </c>
      <c r="R818">
        <f t="shared" ca="1" si="379"/>
        <v>3.8932924749513747E-3</v>
      </c>
      <c r="S818">
        <f t="shared" ca="1" si="380"/>
        <v>1</v>
      </c>
      <c r="T818">
        <f t="shared" ca="1" si="381"/>
        <v>35.995969113477543</v>
      </c>
      <c r="U818">
        <f t="shared" ca="1" si="402"/>
        <v>-4.4308975420790375E-3</v>
      </c>
      <c r="V818">
        <f t="shared" ca="1" si="403"/>
        <v>1</v>
      </c>
      <c r="W818">
        <f t="shared" ca="1" si="382"/>
        <v>1.7069123394995753</v>
      </c>
      <c r="X818">
        <f t="shared" ca="1" si="383"/>
        <v>8.6489248242443484</v>
      </c>
      <c r="Y818">
        <f t="shared" ca="1" si="384"/>
        <v>1.0198212027258928</v>
      </c>
      <c r="Z818">
        <f t="shared" ca="1" si="385"/>
        <v>5.8909056368693173</v>
      </c>
      <c r="AA818">
        <f t="shared" ca="1" si="386"/>
        <v>633.89141233949954</v>
      </c>
      <c r="AB818">
        <f t="shared" ca="1" si="387"/>
        <v>635.66015694818964</v>
      </c>
      <c r="AC818">
        <f t="shared" ca="1" si="388"/>
        <v>7.6064369127513652E-3</v>
      </c>
      <c r="AD818">
        <f t="shared" ca="1" si="389"/>
        <v>1.4396003825590764</v>
      </c>
      <c r="AE818">
        <f t="shared" ca="1" si="390"/>
        <v>37.976956560648823</v>
      </c>
      <c r="AF818">
        <f t="shared" ca="1" si="391"/>
        <v>8.6364009993076252E-3</v>
      </c>
      <c r="AG818">
        <f t="shared" ca="1" si="392"/>
        <v>0</v>
      </c>
      <c r="AH818">
        <f ca="1">IFERROR(IF(V32="Supercritical",MAX($D$16,IFERROR(L818,MAX($D$16,POWER((ABS(K818)^2)/($I$5*MAX(F818,0.1)^2),1/3)))),IF(V32="Subcritical",MAX($D$16,IFERROR(W818,MAX($D$16,POWER((ABS(K818)^2)/($I$5*MAX(F818,0.1)^2),1/3)))),IF(AND(IFERROR(V818,0)=1,IFERROR(AG818,0)=1),IF(IFERROR(T818,-1E+99)&gt;=IFERROR(AE818,-1E+99),MAX($D$16,IFERROR(L818,MAX($D$16,POWER((ABS(K818)^2)/($I$5*MAX(F818,0.1)^2),1/3)))),MAX($D$16,IFERROR(W818,MAX($D$16,POWER((ABS(K818)^2)/($I$5*MAX(F818,0.1)^2),1/3))))),IF(IFERROR(V818,0)=1,MAX($D$16,IFERROR(L818,MAX($D$16,POWER((ABS(K818)^2)/($I$5*MAX(F818,0.1)^2),1/3)))),IF(IFERROR(AG818,0)=1,MAX($D$16,IFERROR(W818,MAX($D$16,POWER((ABS(K818)^2)/($I$5*MAX(F818,0.1)^2),1/3)))),MAX($D$16,POWER((ABS(K818)^2)/($I$5*MAX(F818,0.1)^2),1/3))))))),MAX($D$16,POWER((ABS(K818)^2)/($I$5*MAX(F818,0.1)^2),1/3)))</f>
        <v>2.1762353150568448</v>
      </c>
      <c r="AI818">
        <f t="shared" ca="1" si="393"/>
        <v>634.36073531505679</v>
      </c>
      <c r="AJ818">
        <f t="shared" ca="1" si="394"/>
        <v>635.4488529725852</v>
      </c>
      <c r="AM818">
        <v>0</v>
      </c>
      <c r="AN818">
        <v>0</v>
      </c>
      <c r="AO818">
        <f t="shared" si="395"/>
        <v>0</v>
      </c>
      <c r="AP818">
        <f t="shared" si="404"/>
        <v>0</v>
      </c>
      <c r="AQ818">
        <f t="shared" ca="1" si="396"/>
        <v>1</v>
      </c>
      <c r="AR818" t="str">
        <f t="shared" ca="1" si="397"/>
        <v>Supercritical</v>
      </c>
      <c r="AS818">
        <f t="shared" ca="1" si="398"/>
        <v>3.8932924749513747E-3</v>
      </c>
    </row>
    <row r="819" spans="1:45" x14ac:dyDescent="0.35">
      <c r="A819">
        <v>758</v>
      </c>
      <c r="B819">
        <v>756.99599999999998</v>
      </c>
      <c r="C819">
        <v>616091.64300000004</v>
      </c>
      <c r="D819">
        <v>3097249.835</v>
      </c>
      <c r="E819">
        <v>632.18399999999997</v>
      </c>
      <c r="F819">
        <v>5.0670000000000002</v>
      </c>
      <c r="G819">
        <v>0</v>
      </c>
      <c r="H819" t="s">
        <v>154</v>
      </c>
      <c r="I819">
        <v>0.51900000000000002</v>
      </c>
      <c r="J819">
        <f t="shared" si="399"/>
        <v>1</v>
      </c>
      <c r="K819">
        <f t="shared" ca="1" si="400"/>
        <v>50.95</v>
      </c>
      <c r="L819">
        <f t="shared" ca="1" si="401"/>
        <v>2.1762353150568448</v>
      </c>
      <c r="M819">
        <f t="shared" ca="1" si="374"/>
        <v>11.026984341393034</v>
      </c>
      <c r="N819">
        <f t="shared" ca="1" si="375"/>
        <v>1.1706586043317746</v>
      </c>
      <c r="O819">
        <f t="shared" ca="1" si="376"/>
        <v>4.6204835721716018</v>
      </c>
      <c r="P819">
        <f t="shared" ca="1" si="377"/>
        <v>634.3602353150568</v>
      </c>
      <c r="Q819">
        <f t="shared" ca="1" si="378"/>
        <v>635.44835297258521</v>
      </c>
      <c r="R819">
        <f t="shared" ca="1" si="379"/>
        <v>3.8932924749513747E-3</v>
      </c>
      <c r="S819">
        <f t="shared" ca="1" si="380"/>
        <v>1</v>
      </c>
      <c r="T819">
        <f t="shared" ca="1" si="381"/>
        <v>35.995969113477543</v>
      </c>
      <c r="U819">
        <f t="shared" ca="1" si="402"/>
        <v>-4.3345142487396515E-3</v>
      </c>
      <c r="V819">
        <f t="shared" ca="1" si="403"/>
        <v>1</v>
      </c>
      <c r="W819">
        <f t="shared" ca="1" si="382"/>
        <v>1.7069123394995753</v>
      </c>
      <c r="X819">
        <f t="shared" ca="1" si="383"/>
        <v>8.6489248242443484</v>
      </c>
      <c r="Y819">
        <f t="shared" ca="1" si="384"/>
        <v>1.0198212027258928</v>
      </c>
      <c r="Z819">
        <f t="shared" ca="1" si="385"/>
        <v>5.8909056368693173</v>
      </c>
      <c r="AA819">
        <f t="shared" ca="1" si="386"/>
        <v>633.89091233949955</v>
      </c>
      <c r="AB819">
        <f t="shared" ca="1" si="387"/>
        <v>635.65965694818965</v>
      </c>
      <c r="AC819">
        <f t="shared" ca="1" si="388"/>
        <v>7.6064369127513652E-3</v>
      </c>
      <c r="AD819">
        <f t="shared" ca="1" si="389"/>
        <v>1.4396003825590764</v>
      </c>
      <c r="AE819">
        <f t="shared" ca="1" si="390"/>
        <v>37.976956560648823</v>
      </c>
      <c r="AF819">
        <f t="shared" ca="1" si="391"/>
        <v>0</v>
      </c>
      <c r="AG819">
        <f t="shared" ca="1" si="392"/>
        <v>0</v>
      </c>
      <c r="AH819">
        <f ca="1">IFERROR(IF(V32="Supercritical",MAX($D$16,IFERROR(L819,MAX($D$16,POWER((ABS(K819)^2)/($I$5*MAX(F819,0.1)^2),1/3)))),IF(V32="Subcritical",MAX($D$16,IFERROR(W819,MAX($D$16,POWER((ABS(K819)^2)/($I$5*MAX(F819,0.1)^2),1/3)))),IF(AND(IFERROR(V819,0)=1,IFERROR(AG819,0)=1),IF(IFERROR(T819,-1E+99)&gt;=IFERROR(AE819,-1E+99),MAX($D$16,IFERROR(L819,MAX($D$16,POWER((ABS(K819)^2)/($I$5*MAX(F819,0.1)^2),1/3)))),MAX($D$16,IFERROR(W819,MAX($D$16,POWER((ABS(K819)^2)/($I$5*MAX(F819,0.1)^2),1/3))))),IF(IFERROR(V819,0)=1,MAX($D$16,IFERROR(L819,MAX($D$16,POWER((ABS(K819)^2)/($I$5*MAX(F819,0.1)^2),1/3)))),IF(IFERROR(AG819,0)=1,MAX($D$16,IFERROR(W819,MAX($D$16,POWER((ABS(K819)^2)/($I$5*MAX(F819,0.1)^2),1/3)))),MAX($D$16,POWER((ABS(K819)^2)/($I$5*MAX(F819,0.1)^2),1/3))))))),MAX($D$16,POWER((ABS(K819)^2)/($I$5*MAX(F819,0.1)^2),1/3)))</f>
        <v>2.1762353150568448</v>
      </c>
      <c r="AI819">
        <f t="shared" ca="1" si="393"/>
        <v>634.3602353150568</v>
      </c>
      <c r="AJ819">
        <f t="shared" ca="1" si="394"/>
        <v>635.44835297258521</v>
      </c>
      <c r="AM819">
        <v>0</v>
      </c>
      <c r="AN819">
        <v>0</v>
      </c>
      <c r="AO819">
        <f t="shared" si="395"/>
        <v>0</v>
      </c>
      <c r="AP819">
        <f t="shared" si="404"/>
        <v>0</v>
      </c>
      <c r="AQ819">
        <f t="shared" ca="1" si="396"/>
        <v>1</v>
      </c>
      <c r="AR819" t="str">
        <f t="shared" ca="1" si="397"/>
        <v>Supercritical</v>
      </c>
      <c r="AS819">
        <f t="shared" ca="1" si="398"/>
        <v>3.8932924749513747E-3</v>
      </c>
    </row>
    <row r="820" spans="1:45" x14ac:dyDescent="0.35">
      <c r="A820">
        <v>759</v>
      </c>
      <c r="B820">
        <v>757.99599999999998</v>
      </c>
      <c r="C820">
        <v>616091.56499999994</v>
      </c>
      <c r="D820">
        <v>3097248.838</v>
      </c>
      <c r="E820">
        <v>632.18349999999998</v>
      </c>
      <c r="F820">
        <v>5.0670000000000002</v>
      </c>
      <c r="G820">
        <v>0</v>
      </c>
      <c r="H820" t="s">
        <v>154</v>
      </c>
      <c r="I820">
        <v>0.63300000000000001</v>
      </c>
      <c r="J820">
        <f t="shared" si="399"/>
        <v>1</v>
      </c>
      <c r="K820">
        <f t="shared" ca="1" si="400"/>
        <v>50.95</v>
      </c>
      <c r="L820">
        <f t="shared" ca="1" si="401"/>
        <v>2.1762353150568448</v>
      </c>
      <c r="M820">
        <f t="shared" ca="1" si="374"/>
        <v>11.026984341393034</v>
      </c>
      <c r="N820">
        <f t="shared" ca="1" si="375"/>
        <v>1.1706586043317746</v>
      </c>
      <c r="O820">
        <f t="shared" ca="1" si="376"/>
        <v>4.6204835721716018</v>
      </c>
      <c r="P820">
        <f t="shared" ca="1" si="377"/>
        <v>634.35973531505681</v>
      </c>
      <c r="Q820">
        <f t="shared" ca="1" si="378"/>
        <v>635.44785297258522</v>
      </c>
      <c r="R820">
        <f t="shared" ca="1" si="379"/>
        <v>3.8932924749513747E-3</v>
      </c>
      <c r="S820">
        <f t="shared" ca="1" si="380"/>
        <v>1</v>
      </c>
      <c r="T820">
        <f t="shared" ca="1" si="381"/>
        <v>35.995969113477543</v>
      </c>
      <c r="U820">
        <f t="shared" ca="1" si="402"/>
        <v>-4.5412566036020507E-3</v>
      </c>
      <c r="V820">
        <f t="shared" ca="1" si="403"/>
        <v>1</v>
      </c>
      <c r="W820">
        <f t="shared" ca="1" si="382"/>
        <v>2.1762353150568448</v>
      </c>
      <c r="X820">
        <f t="shared" ca="1" si="383"/>
        <v>11.026984341393034</v>
      </c>
      <c r="Y820">
        <f t="shared" ca="1" si="384"/>
        <v>1.1706586043317746</v>
      </c>
      <c r="Z820">
        <f t="shared" ca="1" si="385"/>
        <v>4.6204835721716018</v>
      </c>
      <c r="AA820">
        <f t="shared" ca="1" si="386"/>
        <v>634.35973531505681</v>
      </c>
      <c r="AB820">
        <f t="shared" ca="1" si="387"/>
        <v>635.44785297258522</v>
      </c>
      <c r="AC820">
        <f t="shared" ca="1" si="388"/>
        <v>3.8932924749513747E-3</v>
      </c>
      <c r="AD820">
        <f t="shared" ca="1" si="389"/>
        <v>1</v>
      </c>
      <c r="AE820">
        <f t="shared" ca="1" si="390"/>
        <v>35.995969113477543</v>
      </c>
      <c r="AF820">
        <f t="shared" ca="1" si="391"/>
        <v>-3.9604627832318329E-2</v>
      </c>
      <c r="AG820">
        <f t="shared" ca="1" si="392"/>
        <v>1</v>
      </c>
      <c r="AH820">
        <f ca="1">IFERROR(IF(V32="Supercritical",MAX($D$16,IFERROR(L820,MAX($D$16,POWER((ABS(K820)^2)/($I$5*MAX(F820,0.1)^2),1/3)))),IF(V32="Subcritical",MAX($D$16,IFERROR(W820,MAX($D$16,POWER((ABS(K820)^2)/($I$5*MAX(F820,0.1)^2),1/3)))),IF(AND(IFERROR(V820,0)=1,IFERROR(AG820,0)=1),IF(IFERROR(T820,-1E+99)&gt;=IFERROR(AE820,-1E+99),MAX($D$16,IFERROR(L820,MAX($D$16,POWER((ABS(K820)^2)/($I$5*MAX(F820,0.1)^2),1/3)))),MAX($D$16,IFERROR(W820,MAX($D$16,POWER((ABS(K820)^2)/($I$5*MAX(F820,0.1)^2),1/3))))),IF(IFERROR(V820,0)=1,MAX($D$16,IFERROR(L820,MAX($D$16,POWER((ABS(K820)^2)/($I$5*MAX(F820,0.1)^2),1/3)))),IF(IFERROR(AG820,0)=1,MAX($D$16,IFERROR(W820,MAX($D$16,POWER((ABS(K820)^2)/($I$5*MAX(F820,0.1)^2),1/3)))),MAX($D$16,POWER((ABS(K820)^2)/($I$5*MAX(F820,0.1)^2),1/3))))))),MAX($D$16,POWER((ABS(K820)^2)/($I$5*MAX(F820,0.1)^2),1/3)))</f>
        <v>2.1762353150568448</v>
      </c>
      <c r="AI820">
        <f t="shared" ca="1" si="393"/>
        <v>634.35973531505681</v>
      </c>
      <c r="AJ820">
        <f t="shared" ca="1" si="394"/>
        <v>635.44785297258522</v>
      </c>
      <c r="AM820">
        <v>0</v>
      </c>
      <c r="AN820">
        <v>0</v>
      </c>
      <c r="AO820">
        <f t="shared" si="395"/>
        <v>0</v>
      </c>
      <c r="AP820">
        <f t="shared" si="404"/>
        <v>0</v>
      </c>
      <c r="AQ820">
        <f t="shared" ca="1" si="396"/>
        <v>1</v>
      </c>
      <c r="AR820" t="str">
        <f t="shared" ca="1" si="397"/>
        <v>Supercritical</v>
      </c>
      <c r="AS820">
        <f t="shared" ca="1" si="398"/>
        <v>3.8932924749513747E-3</v>
      </c>
    </row>
    <row r="821" spans="1:45" x14ac:dyDescent="0.35">
      <c r="A821">
        <v>760</v>
      </c>
      <c r="B821">
        <v>758.99599999999998</v>
      </c>
      <c r="C821">
        <v>616091.49800000002</v>
      </c>
      <c r="D821">
        <v>3097247.84</v>
      </c>
      <c r="E821">
        <v>632.18299999999999</v>
      </c>
      <c r="F821">
        <v>5.1829999999999998</v>
      </c>
      <c r="G821">
        <v>0</v>
      </c>
      <c r="H821" t="s">
        <v>154</v>
      </c>
      <c r="I821">
        <v>0.57199999999999995</v>
      </c>
      <c r="J821">
        <f t="shared" si="399"/>
        <v>1</v>
      </c>
      <c r="K821">
        <f t="shared" ca="1" si="400"/>
        <v>50.95</v>
      </c>
      <c r="L821">
        <f t="shared" ca="1" si="401"/>
        <v>2.143642294666587</v>
      </c>
      <c r="M821">
        <f t="shared" ca="1" si="374"/>
        <v>11.110498013256921</v>
      </c>
      <c r="N821">
        <f t="shared" ca="1" si="375"/>
        <v>1.1731957903114334</v>
      </c>
      <c r="O821">
        <f t="shared" ca="1" si="376"/>
        <v>4.5857530363811811</v>
      </c>
      <c r="P821">
        <f t="shared" ca="1" si="377"/>
        <v>634.32664229466661</v>
      </c>
      <c r="Q821">
        <f t="shared" ca="1" si="378"/>
        <v>635.39846344199987</v>
      </c>
      <c r="R821">
        <f t="shared" ca="1" si="379"/>
        <v>3.8239292471702671E-3</v>
      </c>
      <c r="S821">
        <f t="shared" ca="1" si="380"/>
        <v>1.0000000000000002</v>
      </c>
      <c r="T821">
        <f t="shared" ca="1" si="381"/>
        <v>35.725400184039927</v>
      </c>
      <c r="U821">
        <f t="shared" ca="1" si="402"/>
        <v>3.9604627832318329E-2</v>
      </c>
      <c r="V821">
        <f t="shared" ca="1" si="403"/>
        <v>1</v>
      </c>
      <c r="W821">
        <f t="shared" ca="1" si="382"/>
        <v>2.143642294666587</v>
      </c>
      <c r="X821">
        <f t="shared" ca="1" si="383"/>
        <v>11.110498013256921</v>
      </c>
      <c r="Y821">
        <f t="shared" ca="1" si="384"/>
        <v>1.1731957903114334</v>
      </c>
      <c r="Z821">
        <f t="shared" ca="1" si="385"/>
        <v>4.5857530363811811</v>
      </c>
      <c r="AA821">
        <f t="shared" ca="1" si="386"/>
        <v>634.32664229466661</v>
      </c>
      <c r="AB821">
        <f t="shared" ca="1" si="387"/>
        <v>635.39846344199987</v>
      </c>
      <c r="AC821">
        <f t="shared" ca="1" si="388"/>
        <v>3.8239292471702671E-3</v>
      </c>
      <c r="AD821">
        <f t="shared" ca="1" si="389"/>
        <v>1.0000000000000002</v>
      </c>
      <c r="AE821">
        <f t="shared" ca="1" si="390"/>
        <v>35.725400184039927</v>
      </c>
      <c r="AF821">
        <f t="shared" ca="1" si="391"/>
        <v>-2.2436910379610708E-3</v>
      </c>
      <c r="AG821">
        <f t="shared" ca="1" si="392"/>
        <v>1</v>
      </c>
      <c r="AH821">
        <f ca="1">IFERROR(IF(V32="Supercritical",MAX($D$16,IFERROR(L821,MAX($D$16,POWER((ABS(K821)^2)/($I$5*MAX(F821,0.1)^2),1/3)))),IF(V32="Subcritical",MAX($D$16,IFERROR(W821,MAX($D$16,POWER((ABS(K821)^2)/($I$5*MAX(F821,0.1)^2),1/3)))),IF(AND(IFERROR(V821,0)=1,IFERROR(AG821,0)=1),IF(IFERROR(T821,-1E+99)&gt;=IFERROR(AE821,-1E+99),MAX($D$16,IFERROR(L821,MAX($D$16,POWER((ABS(K821)^2)/($I$5*MAX(F821,0.1)^2),1/3)))),MAX($D$16,IFERROR(W821,MAX($D$16,POWER((ABS(K821)^2)/($I$5*MAX(F821,0.1)^2),1/3))))),IF(IFERROR(V821,0)=1,MAX($D$16,IFERROR(L821,MAX($D$16,POWER((ABS(K821)^2)/($I$5*MAX(F821,0.1)^2),1/3)))),IF(IFERROR(AG821,0)=1,MAX($D$16,IFERROR(W821,MAX($D$16,POWER((ABS(K821)^2)/($I$5*MAX(F821,0.1)^2),1/3)))),MAX($D$16,POWER((ABS(K821)^2)/($I$5*MAX(F821,0.1)^2),1/3))))))),MAX($D$16,POWER((ABS(K821)^2)/($I$5*MAX(F821,0.1)^2),1/3)))</f>
        <v>2.143642294666587</v>
      </c>
      <c r="AI821">
        <f t="shared" ca="1" si="393"/>
        <v>634.32664229466661</v>
      </c>
      <c r="AJ821">
        <f t="shared" ca="1" si="394"/>
        <v>635.39846344199987</v>
      </c>
      <c r="AM821">
        <v>0</v>
      </c>
      <c r="AN821">
        <v>0</v>
      </c>
      <c r="AO821">
        <f t="shared" si="395"/>
        <v>0</v>
      </c>
      <c r="AP821">
        <f t="shared" si="404"/>
        <v>0</v>
      </c>
      <c r="AQ821">
        <f t="shared" ca="1" si="396"/>
        <v>1.0000000000000002</v>
      </c>
      <c r="AR821" t="str">
        <f t="shared" ca="1" si="397"/>
        <v>Supercritical</v>
      </c>
      <c r="AS821">
        <f t="shared" ca="1" si="398"/>
        <v>3.8239292471702671E-3</v>
      </c>
    </row>
    <row r="822" spans="1:45" x14ac:dyDescent="0.35">
      <c r="A822">
        <v>761</v>
      </c>
      <c r="B822">
        <v>759.99599999999998</v>
      </c>
      <c r="C822">
        <v>616091.44099999999</v>
      </c>
      <c r="D822">
        <v>3097246.8420000002</v>
      </c>
      <c r="E822">
        <v>632.1825</v>
      </c>
      <c r="F822">
        <v>5.2</v>
      </c>
      <c r="G822">
        <v>0</v>
      </c>
      <c r="H822" t="s">
        <v>154</v>
      </c>
      <c r="I822">
        <v>0.51800000000000002</v>
      </c>
      <c r="J822">
        <f t="shared" si="399"/>
        <v>1</v>
      </c>
      <c r="K822">
        <f t="shared" ca="1" si="400"/>
        <v>50.95</v>
      </c>
      <c r="L822">
        <f t="shared" ca="1" si="401"/>
        <v>2.1389677043987478</v>
      </c>
      <c r="M822">
        <f t="shared" ca="1" si="374"/>
        <v>11.122632062873489</v>
      </c>
      <c r="N822">
        <f t="shared" ca="1" si="375"/>
        <v>1.1735290000551568</v>
      </c>
      <c r="O822">
        <f t="shared" ca="1" si="376"/>
        <v>4.5807502857230418</v>
      </c>
      <c r="P822">
        <f t="shared" ca="1" si="377"/>
        <v>634.32146770439874</v>
      </c>
      <c r="Q822">
        <f t="shared" ca="1" si="378"/>
        <v>635.39095155659811</v>
      </c>
      <c r="R822">
        <f t="shared" ca="1" si="379"/>
        <v>3.8141460404132466E-3</v>
      </c>
      <c r="S822">
        <f t="shared" ca="1" si="380"/>
        <v>1.0000000000000004</v>
      </c>
      <c r="T822">
        <f t="shared" ca="1" si="381"/>
        <v>35.686426155594638</v>
      </c>
      <c r="U822">
        <f t="shared" ca="1" si="402"/>
        <v>2.0663202939203984E-3</v>
      </c>
      <c r="V822">
        <f t="shared" ca="1" si="403"/>
        <v>1</v>
      </c>
      <c r="W822">
        <f t="shared" ca="1" si="382"/>
        <v>2.1389677043987478</v>
      </c>
      <c r="X822">
        <f t="shared" ca="1" si="383"/>
        <v>11.122632062873489</v>
      </c>
      <c r="Y822">
        <f t="shared" ca="1" si="384"/>
        <v>1.1735290000551568</v>
      </c>
      <c r="Z822">
        <f t="shared" ca="1" si="385"/>
        <v>4.5807502857230418</v>
      </c>
      <c r="AA822">
        <f t="shared" ca="1" si="386"/>
        <v>634.32146770439874</v>
      </c>
      <c r="AB822">
        <f t="shared" ca="1" si="387"/>
        <v>635.39095155659811</v>
      </c>
      <c r="AC822">
        <f t="shared" ca="1" si="388"/>
        <v>3.8141460404132466E-3</v>
      </c>
      <c r="AD822">
        <f t="shared" ca="1" si="389"/>
        <v>1.0000000000000004</v>
      </c>
      <c r="AE822">
        <f t="shared" ca="1" si="390"/>
        <v>35.686426155594638</v>
      </c>
      <c r="AF822">
        <f t="shared" ca="1" si="391"/>
        <v>3.977765821673529E-3</v>
      </c>
      <c r="AG822">
        <f t="shared" ca="1" si="392"/>
        <v>1</v>
      </c>
      <c r="AH822">
        <f ca="1">IFERROR(IF(V32="Supercritical",MAX($D$16,IFERROR(L822,MAX($D$16,POWER((ABS(K822)^2)/($I$5*MAX(F822,0.1)^2),1/3)))),IF(V32="Subcritical",MAX($D$16,IFERROR(W822,MAX($D$16,POWER((ABS(K822)^2)/($I$5*MAX(F822,0.1)^2),1/3)))),IF(AND(IFERROR(V822,0)=1,IFERROR(AG822,0)=1),IF(IFERROR(T822,-1E+99)&gt;=IFERROR(AE822,-1E+99),MAX($D$16,IFERROR(L822,MAX($D$16,POWER((ABS(K822)^2)/($I$5*MAX(F822,0.1)^2),1/3)))),MAX($D$16,IFERROR(W822,MAX($D$16,POWER((ABS(K822)^2)/($I$5*MAX(F822,0.1)^2),1/3))))),IF(IFERROR(V822,0)=1,MAX($D$16,IFERROR(L822,MAX($D$16,POWER((ABS(K822)^2)/($I$5*MAX(F822,0.1)^2),1/3)))),IF(IFERROR(AG822,0)=1,MAX($D$16,IFERROR(W822,MAX($D$16,POWER((ABS(K822)^2)/($I$5*MAX(F822,0.1)^2),1/3)))),MAX($D$16,POWER((ABS(K822)^2)/($I$5*MAX(F822,0.1)^2),1/3))))))),MAX($D$16,POWER((ABS(K822)^2)/($I$5*MAX(F822,0.1)^2),1/3)))</f>
        <v>2.1389677043987478</v>
      </c>
      <c r="AI822">
        <f t="shared" ca="1" si="393"/>
        <v>634.32146770439874</v>
      </c>
      <c r="AJ822">
        <f t="shared" ca="1" si="394"/>
        <v>635.39095155659811</v>
      </c>
      <c r="AM822">
        <v>0</v>
      </c>
      <c r="AN822">
        <v>0</v>
      </c>
      <c r="AO822">
        <f t="shared" si="395"/>
        <v>0</v>
      </c>
      <c r="AP822">
        <f t="shared" si="404"/>
        <v>0</v>
      </c>
      <c r="AQ822">
        <f t="shared" ca="1" si="396"/>
        <v>1.0000000000000004</v>
      </c>
      <c r="AR822" t="str">
        <f t="shared" ca="1" si="397"/>
        <v>Supercritical</v>
      </c>
      <c r="AS822">
        <f t="shared" ca="1" si="398"/>
        <v>3.8141460404132466E-3</v>
      </c>
    </row>
    <row r="823" spans="1:45" x14ac:dyDescent="0.35">
      <c r="A823">
        <v>762</v>
      </c>
      <c r="B823">
        <v>760.99599999999998</v>
      </c>
      <c r="C823">
        <v>616091.39300000004</v>
      </c>
      <c r="D823">
        <v>3097245.8429999999</v>
      </c>
      <c r="E823">
        <v>632.18200000000002</v>
      </c>
      <c r="F823">
        <v>5.2</v>
      </c>
      <c r="G823">
        <v>0</v>
      </c>
      <c r="H823" t="s">
        <v>154</v>
      </c>
      <c r="I823">
        <v>0.34300000000000003</v>
      </c>
      <c r="J823">
        <f t="shared" si="399"/>
        <v>1</v>
      </c>
      <c r="K823">
        <f t="shared" ca="1" si="400"/>
        <v>50.95</v>
      </c>
      <c r="L823">
        <f t="shared" ca="1" si="401"/>
        <v>2.1389677043987478</v>
      </c>
      <c r="M823">
        <f t="shared" ca="1" si="374"/>
        <v>11.122632062873489</v>
      </c>
      <c r="N823">
        <f t="shared" ca="1" si="375"/>
        <v>1.1735290000551568</v>
      </c>
      <c r="O823">
        <f t="shared" ca="1" si="376"/>
        <v>4.5807502857230418</v>
      </c>
      <c r="P823">
        <f t="shared" ca="1" si="377"/>
        <v>634.32096770439875</v>
      </c>
      <c r="Q823">
        <f t="shared" ca="1" si="378"/>
        <v>635.39045155659812</v>
      </c>
      <c r="R823">
        <f t="shared" ca="1" si="379"/>
        <v>3.8141460404132466E-3</v>
      </c>
      <c r="S823">
        <f t="shared" ca="1" si="380"/>
        <v>1.0000000000000004</v>
      </c>
      <c r="T823">
        <f t="shared" ca="1" si="381"/>
        <v>35.686426155594638</v>
      </c>
      <c r="U823">
        <f t="shared" ca="1" si="402"/>
        <v>-3.925534309246359E-3</v>
      </c>
      <c r="V823">
        <f t="shared" ca="1" si="403"/>
        <v>1</v>
      </c>
      <c r="W823">
        <f t="shared" ca="1" si="382"/>
        <v>2.1389677043987478</v>
      </c>
      <c r="X823">
        <f t="shared" ca="1" si="383"/>
        <v>11.122632062873489</v>
      </c>
      <c r="Y823">
        <f t="shared" ca="1" si="384"/>
        <v>1.1735290000551568</v>
      </c>
      <c r="Z823">
        <f t="shared" ca="1" si="385"/>
        <v>4.5807502857230418</v>
      </c>
      <c r="AA823">
        <f t="shared" ca="1" si="386"/>
        <v>634.32096770439875</v>
      </c>
      <c r="AB823">
        <f t="shared" ca="1" si="387"/>
        <v>635.39045155659812</v>
      </c>
      <c r="AC823">
        <f t="shared" ca="1" si="388"/>
        <v>3.8141460404132466E-3</v>
      </c>
      <c r="AD823">
        <f t="shared" ca="1" si="389"/>
        <v>1.0000000000000004</v>
      </c>
      <c r="AE823">
        <f t="shared" ca="1" si="390"/>
        <v>35.686426155594638</v>
      </c>
      <c r="AF823">
        <f t="shared" ca="1" si="391"/>
        <v>3.3676622739449158E-3</v>
      </c>
      <c r="AG823">
        <f t="shared" ca="1" si="392"/>
        <v>1</v>
      </c>
      <c r="AH823">
        <f ca="1">IFERROR(IF(V32="Supercritical",MAX($D$16,IFERROR(L823,MAX($D$16,POWER((ABS(K823)^2)/($I$5*MAX(F823,0.1)^2),1/3)))),IF(V32="Subcritical",MAX($D$16,IFERROR(W823,MAX($D$16,POWER((ABS(K823)^2)/($I$5*MAX(F823,0.1)^2),1/3)))),IF(AND(IFERROR(V823,0)=1,IFERROR(AG823,0)=1),IF(IFERROR(T823,-1E+99)&gt;=IFERROR(AE823,-1E+99),MAX($D$16,IFERROR(L823,MAX($D$16,POWER((ABS(K823)^2)/($I$5*MAX(F823,0.1)^2),1/3)))),MAX($D$16,IFERROR(W823,MAX($D$16,POWER((ABS(K823)^2)/($I$5*MAX(F823,0.1)^2),1/3))))),IF(IFERROR(V823,0)=1,MAX($D$16,IFERROR(L823,MAX($D$16,POWER((ABS(K823)^2)/($I$5*MAX(F823,0.1)^2),1/3)))),IF(IFERROR(AG823,0)=1,MAX($D$16,IFERROR(W823,MAX($D$16,POWER((ABS(K823)^2)/($I$5*MAX(F823,0.1)^2),1/3)))),MAX($D$16,POWER((ABS(K823)^2)/($I$5*MAX(F823,0.1)^2),1/3))))))),MAX($D$16,POWER((ABS(K823)^2)/($I$5*MAX(F823,0.1)^2),1/3)))</f>
        <v>2.1389677043987478</v>
      </c>
      <c r="AI823">
        <f t="shared" ca="1" si="393"/>
        <v>634.32096770439875</v>
      </c>
      <c r="AJ823">
        <f t="shared" ca="1" si="394"/>
        <v>635.39045155659812</v>
      </c>
      <c r="AM823">
        <v>0</v>
      </c>
      <c r="AN823">
        <v>0</v>
      </c>
      <c r="AO823">
        <f t="shared" si="395"/>
        <v>0</v>
      </c>
      <c r="AP823">
        <f t="shared" si="404"/>
        <v>0</v>
      </c>
      <c r="AQ823">
        <f t="shared" ca="1" si="396"/>
        <v>1.0000000000000004</v>
      </c>
      <c r="AR823" t="str">
        <f t="shared" ca="1" si="397"/>
        <v>Supercritical</v>
      </c>
      <c r="AS823">
        <f t="shared" ca="1" si="398"/>
        <v>3.8141460404132466E-3</v>
      </c>
    </row>
    <row r="824" spans="1:45" x14ac:dyDescent="0.35">
      <c r="A824">
        <v>763</v>
      </c>
      <c r="B824">
        <v>761.99599999999998</v>
      </c>
      <c r="C824">
        <v>616091.35100000002</v>
      </c>
      <c r="D824">
        <v>3097244.844</v>
      </c>
      <c r="E824">
        <v>632.18150000000003</v>
      </c>
      <c r="F824">
        <v>5.2</v>
      </c>
      <c r="G824">
        <v>0</v>
      </c>
      <c r="H824" t="s">
        <v>154</v>
      </c>
      <c r="I824">
        <v>0</v>
      </c>
      <c r="J824">
        <f t="shared" si="399"/>
        <v>1</v>
      </c>
      <c r="K824">
        <f t="shared" ca="1" si="400"/>
        <v>50.95</v>
      </c>
      <c r="L824">
        <f t="shared" ca="1" si="401"/>
        <v>2.1389677043987478</v>
      </c>
      <c r="M824">
        <f t="shared" ca="1" si="374"/>
        <v>11.122632062873489</v>
      </c>
      <c r="N824">
        <f t="shared" ca="1" si="375"/>
        <v>1.1735290000551568</v>
      </c>
      <c r="O824">
        <f t="shared" ca="1" si="376"/>
        <v>4.5807502857230418</v>
      </c>
      <c r="P824">
        <f t="shared" ca="1" si="377"/>
        <v>634.32046770439877</v>
      </c>
      <c r="Q824">
        <f t="shared" ca="1" si="378"/>
        <v>635.38995155659813</v>
      </c>
      <c r="R824">
        <f t="shared" ca="1" si="379"/>
        <v>3.8141460404132466E-3</v>
      </c>
      <c r="S824">
        <f t="shared" ca="1" si="380"/>
        <v>1.0000000000000004</v>
      </c>
      <c r="T824">
        <f t="shared" ca="1" si="381"/>
        <v>35.686426155594638</v>
      </c>
      <c r="U824">
        <f t="shared" ca="1" si="402"/>
        <v>-3.3141460404522149E-3</v>
      </c>
      <c r="V824">
        <f t="shared" ca="1" si="403"/>
        <v>1</v>
      </c>
      <c r="W824">
        <f t="shared" ca="1" si="382"/>
        <v>2.1389677043987478</v>
      </c>
      <c r="X824">
        <f t="shared" ca="1" si="383"/>
        <v>11.122632062873489</v>
      </c>
      <c r="Y824">
        <f t="shared" ca="1" si="384"/>
        <v>1.1735290000551568</v>
      </c>
      <c r="Z824">
        <f t="shared" ca="1" si="385"/>
        <v>4.5807502857230418</v>
      </c>
      <c r="AA824">
        <f t="shared" ca="1" si="386"/>
        <v>634.32046770439877</v>
      </c>
      <c r="AB824">
        <f t="shared" ca="1" si="387"/>
        <v>635.38995155659813</v>
      </c>
      <c r="AC824">
        <f t="shared" ca="1" si="388"/>
        <v>3.8141460404132466E-3</v>
      </c>
      <c r="AD824">
        <f t="shared" ca="1" si="389"/>
        <v>1.0000000000000004</v>
      </c>
      <c r="AE824">
        <f t="shared" ca="1" si="390"/>
        <v>35.686426155594638</v>
      </c>
      <c r="AF824">
        <f t="shared" ca="1" si="391"/>
        <v>3.4692873792891987E-3</v>
      </c>
      <c r="AG824">
        <f t="shared" ca="1" si="392"/>
        <v>1</v>
      </c>
      <c r="AH824">
        <f ca="1">IFERROR(IF(V32="Supercritical",MAX($D$16,IFERROR(L824,MAX($D$16,POWER((ABS(K824)^2)/($I$5*MAX(F824,0.1)^2),1/3)))),IF(V32="Subcritical",MAX($D$16,IFERROR(W824,MAX($D$16,POWER((ABS(K824)^2)/($I$5*MAX(F824,0.1)^2),1/3)))),IF(AND(IFERROR(V824,0)=1,IFERROR(AG824,0)=1),IF(IFERROR(T824,-1E+99)&gt;=IFERROR(AE824,-1E+99),MAX($D$16,IFERROR(L824,MAX($D$16,POWER((ABS(K824)^2)/($I$5*MAX(F824,0.1)^2),1/3)))),MAX($D$16,IFERROR(W824,MAX($D$16,POWER((ABS(K824)^2)/($I$5*MAX(F824,0.1)^2),1/3))))),IF(IFERROR(V824,0)=1,MAX($D$16,IFERROR(L824,MAX($D$16,POWER((ABS(K824)^2)/($I$5*MAX(F824,0.1)^2),1/3)))),IF(IFERROR(AG824,0)=1,MAX($D$16,IFERROR(W824,MAX($D$16,POWER((ABS(K824)^2)/($I$5*MAX(F824,0.1)^2),1/3)))),MAX($D$16,POWER((ABS(K824)^2)/($I$5*MAX(F824,0.1)^2),1/3))))))),MAX($D$16,POWER((ABS(K824)^2)/($I$5*MAX(F824,0.1)^2),1/3)))</f>
        <v>2.1389677043987478</v>
      </c>
      <c r="AI824">
        <f t="shared" ca="1" si="393"/>
        <v>634.32046770439877</v>
      </c>
      <c r="AJ824">
        <f t="shared" ca="1" si="394"/>
        <v>635.38995155659813</v>
      </c>
      <c r="AM824">
        <v>0</v>
      </c>
      <c r="AN824">
        <v>0</v>
      </c>
      <c r="AO824">
        <f t="shared" si="395"/>
        <v>0</v>
      </c>
      <c r="AP824">
        <f t="shared" si="404"/>
        <v>0</v>
      </c>
      <c r="AQ824">
        <f t="shared" ca="1" si="396"/>
        <v>1.0000000000000004</v>
      </c>
      <c r="AR824" t="str">
        <f t="shared" ca="1" si="397"/>
        <v>Supercritical</v>
      </c>
      <c r="AS824">
        <f t="shared" ca="1" si="398"/>
        <v>3.8141460404132466E-3</v>
      </c>
    </row>
    <row r="825" spans="1:45" x14ac:dyDescent="0.35">
      <c r="A825">
        <v>764</v>
      </c>
      <c r="B825">
        <v>762.99599999999998</v>
      </c>
      <c r="C825">
        <v>616091.30900000001</v>
      </c>
      <c r="D825">
        <v>3097243.8450000002</v>
      </c>
      <c r="E825">
        <v>632.18100000000004</v>
      </c>
      <c r="F825">
        <v>5.2</v>
      </c>
      <c r="G825">
        <v>0</v>
      </c>
      <c r="H825" t="s">
        <v>154</v>
      </c>
      <c r="I825">
        <v>5.7000000000000002E-2</v>
      </c>
      <c r="J825">
        <f t="shared" si="399"/>
        <v>1</v>
      </c>
      <c r="K825">
        <f t="shared" ca="1" si="400"/>
        <v>50.95</v>
      </c>
      <c r="L825">
        <f t="shared" ca="1" si="401"/>
        <v>2.1389677043987478</v>
      </c>
      <c r="M825">
        <f t="shared" ca="1" si="374"/>
        <v>11.122632062873489</v>
      </c>
      <c r="N825">
        <f t="shared" ca="1" si="375"/>
        <v>1.1735290000551568</v>
      </c>
      <c r="O825">
        <f t="shared" ca="1" si="376"/>
        <v>4.5807502857230418</v>
      </c>
      <c r="P825">
        <f t="shared" ca="1" si="377"/>
        <v>634.31996770439878</v>
      </c>
      <c r="Q825">
        <f t="shared" ca="1" si="378"/>
        <v>635.38945155659815</v>
      </c>
      <c r="R825">
        <f t="shared" ca="1" si="379"/>
        <v>3.8141460404132466E-3</v>
      </c>
      <c r="S825">
        <f t="shared" ca="1" si="380"/>
        <v>1.0000000000000004</v>
      </c>
      <c r="T825">
        <f t="shared" ca="1" si="381"/>
        <v>35.686426155594638</v>
      </c>
      <c r="U825">
        <f t="shared" ca="1" si="402"/>
        <v>-3.4157470064428708E-3</v>
      </c>
      <c r="V825">
        <f t="shared" ca="1" si="403"/>
        <v>1</v>
      </c>
      <c r="W825">
        <f t="shared" ca="1" si="382"/>
        <v>2.1389677043987478</v>
      </c>
      <c r="X825">
        <f t="shared" ca="1" si="383"/>
        <v>11.122632062873489</v>
      </c>
      <c r="Y825">
        <f t="shared" ca="1" si="384"/>
        <v>1.1735290000551568</v>
      </c>
      <c r="Z825">
        <f t="shared" ca="1" si="385"/>
        <v>4.5807502857230418</v>
      </c>
      <c r="AA825">
        <f t="shared" ca="1" si="386"/>
        <v>634.31996770439878</v>
      </c>
      <c r="AB825">
        <f t="shared" ca="1" si="387"/>
        <v>635.38945155659815</v>
      </c>
      <c r="AC825">
        <f t="shared" ca="1" si="388"/>
        <v>3.8141460404132466E-3</v>
      </c>
      <c r="AD825">
        <f t="shared" ca="1" si="389"/>
        <v>1.0000000000000004</v>
      </c>
      <c r="AE825">
        <f t="shared" ca="1" si="390"/>
        <v>35.686426155594638</v>
      </c>
      <c r="AF825">
        <f t="shared" ca="1" si="391"/>
        <v>3.4676541206408729E-3</v>
      </c>
      <c r="AG825">
        <f t="shared" ca="1" si="392"/>
        <v>1</v>
      </c>
      <c r="AH825">
        <f ca="1">IFERROR(IF(V32="Supercritical",MAX($D$16,IFERROR(L825,MAX($D$16,POWER((ABS(K825)^2)/($I$5*MAX(F825,0.1)^2),1/3)))),IF(V32="Subcritical",MAX($D$16,IFERROR(W825,MAX($D$16,POWER((ABS(K825)^2)/($I$5*MAX(F825,0.1)^2),1/3)))),IF(AND(IFERROR(V825,0)=1,IFERROR(AG825,0)=1),IF(IFERROR(T825,-1E+99)&gt;=IFERROR(AE825,-1E+99),MAX($D$16,IFERROR(L825,MAX($D$16,POWER((ABS(K825)^2)/($I$5*MAX(F825,0.1)^2),1/3)))),MAX($D$16,IFERROR(W825,MAX($D$16,POWER((ABS(K825)^2)/($I$5*MAX(F825,0.1)^2),1/3))))),IF(IFERROR(V825,0)=1,MAX($D$16,IFERROR(L825,MAX($D$16,POWER((ABS(K825)^2)/($I$5*MAX(F825,0.1)^2),1/3)))),IF(IFERROR(AG825,0)=1,MAX($D$16,IFERROR(W825,MAX($D$16,POWER((ABS(K825)^2)/($I$5*MAX(F825,0.1)^2),1/3)))),MAX($D$16,POWER((ABS(K825)^2)/($I$5*MAX(F825,0.1)^2),1/3))))))),MAX($D$16,POWER((ABS(K825)^2)/($I$5*MAX(F825,0.1)^2),1/3)))</f>
        <v>2.1389677043987478</v>
      </c>
      <c r="AI825">
        <f t="shared" ca="1" si="393"/>
        <v>634.31996770439878</v>
      </c>
      <c r="AJ825">
        <f t="shared" ca="1" si="394"/>
        <v>635.38945155659815</v>
      </c>
      <c r="AM825">
        <v>0</v>
      </c>
      <c r="AN825">
        <v>0</v>
      </c>
      <c r="AO825">
        <f t="shared" si="395"/>
        <v>0</v>
      </c>
      <c r="AP825">
        <f t="shared" si="404"/>
        <v>0</v>
      </c>
      <c r="AQ825">
        <f t="shared" ca="1" si="396"/>
        <v>1.0000000000000004</v>
      </c>
      <c r="AR825" t="str">
        <f t="shared" ca="1" si="397"/>
        <v>Supercritical</v>
      </c>
      <c r="AS825">
        <f t="shared" ca="1" si="398"/>
        <v>3.8141460404132466E-3</v>
      </c>
    </row>
    <row r="826" spans="1:45" x14ac:dyDescent="0.35">
      <c r="A826">
        <v>765</v>
      </c>
      <c r="B826">
        <v>763.99599999999998</v>
      </c>
      <c r="C826">
        <v>616091.26599999995</v>
      </c>
      <c r="D826">
        <v>3097242.8459999999</v>
      </c>
      <c r="E826">
        <v>632.18050000000005</v>
      </c>
      <c r="F826">
        <v>5.2</v>
      </c>
      <c r="G826">
        <v>0</v>
      </c>
      <c r="H826" t="s">
        <v>154</v>
      </c>
      <c r="I826">
        <v>5.7000000000000002E-2</v>
      </c>
      <c r="J826">
        <f t="shared" si="399"/>
        <v>1</v>
      </c>
      <c r="K826">
        <f t="shared" ca="1" si="400"/>
        <v>50.95</v>
      </c>
      <c r="L826">
        <f t="shared" ca="1" si="401"/>
        <v>2.1389677043987478</v>
      </c>
      <c r="M826">
        <f t="shared" ca="1" si="374"/>
        <v>11.122632062873489</v>
      </c>
      <c r="N826">
        <f t="shared" ca="1" si="375"/>
        <v>1.1735290000551568</v>
      </c>
      <c r="O826">
        <f t="shared" ca="1" si="376"/>
        <v>4.5807502857230418</v>
      </c>
      <c r="P826">
        <f t="shared" ca="1" si="377"/>
        <v>634.31946770439879</v>
      </c>
      <c r="Q826">
        <f t="shared" ca="1" si="378"/>
        <v>635.38895155659816</v>
      </c>
      <c r="R826">
        <f t="shared" ca="1" si="379"/>
        <v>3.8141460404132466E-3</v>
      </c>
      <c r="S826">
        <f t="shared" ca="1" si="380"/>
        <v>1.0000000000000004</v>
      </c>
      <c r="T826">
        <f t="shared" ca="1" si="381"/>
        <v>35.686426155594638</v>
      </c>
      <c r="U826">
        <f t="shared" ca="1" si="402"/>
        <v>-3.4157470064428708E-3</v>
      </c>
      <c r="V826">
        <f t="shared" ca="1" si="403"/>
        <v>1</v>
      </c>
      <c r="W826">
        <f t="shared" ca="1" si="382"/>
        <v>2.1389677043987478</v>
      </c>
      <c r="X826">
        <f t="shared" ca="1" si="383"/>
        <v>11.122632062873489</v>
      </c>
      <c r="Y826">
        <f t="shared" ca="1" si="384"/>
        <v>1.1735290000551568</v>
      </c>
      <c r="Z826">
        <f t="shared" ca="1" si="385"/>
        <v>4.5807502857230418</v>
      </c>
      <c r="AA826">
        <f t="shared" ca="1" si="386"/>
        <v>634.31946770439879</v>
      </c>
      <c r="AB826">
        <f t="shared" ca="1" si="387"/>
        <v>635.38895155659816</v>
      </c>
      <c r="AC826">
        <f t="shared" ca="1" si="388"/>
        <v>3.8141460404132466E-3</v>
      </c>
      <c r="AD826">
        <f t="shared" ca="1" si="389"/>
        <v>1.0000000000000004</v>
      </c>
      <c r="AE826">
        <f t="shared" ca="1" si="390"/>
        <v>35.686426155594638</v>
      </c>
      <c r="AF826">
        <f t="shared" ca="1" si="391"/>
        <v>3.3622724424731132E-3</v>
      </c>
      <c r="AG826">
        <f t="shared" ca="1" si="392"/>
        <v>1</v>
      </c>
      <c r="AH826">
        <f ca="1">IFERROR(IF(V32="Supercritical",MAX($D$16,IFERROR(L826,MAX($D$16,POWER((ABS(K826)^2)/($I$5*MAX(F826,0.1)^2),1/3)))),IF(V32="Subcritical",MAX($D$16,IFERROR(W826,MAX($D$16,POWER((ABS(K826)^2)/($I$5*MAX(F826,0.1)^2),1/3)))),IF(AND(IFERROR(V826,0)=1,IFERROR(AG826,0)=1),IF(IFERROR(T826,-1E+99)&gt;=IFERROR(AE826,-1E+99),MAX($D$16,IFERROR(L826,MAX($D$16,POWER((ABS(K826)^2)/($I$5*MAX(F826,0.1)^2),1/3)))),MAX($D$16,IFERROR(W826,MAX($D$16,POWER((ABS(K826)^2)/($I$5*MAX(F826,0.1)^2),1/3))))),IF(IFERROR(V826,0)=1,MAX($D$16,IFERROR(L826,MAX($D$16,POWER((ABS(K826)^2)/($I$5*MAX(F826,0.1)^2),1/3)))),IF(IFERROR(AG826,0)=1,MAX($D$16,IFERROR(W826,MAX($D$16,POWER((ABS(K826)^2)/($I$5*MAX(F826,0.1)^2),1/3)))),MAX($D$16,POWER((ABS(K826)^2)/($I$5*MAX(F826,0.1)^2),1/3))))))),MAX($D$16,POWER((ABS(K826)^2)/($I$5*MAX(F826,0.1)^2),1/3)))</f>
        <v>2.1389677043987478</v>
      </c>
      <c r="AI826">
        <f t="shared" ca="1" si="393"/>
        <v>634.31946770439879</v>
      </c>
      <c r="AJ826">
        <f t="shared" ca="1" si="394"/>
        <v>635.38895155659816</v>
      </c>
      <c r="AM826">
        <v>0</v>
      </c>
      <c r="AN826">
        <v>0</v>
      </c>
      <c r="AO826">
        <f t="shared" si="395"/>
        <v>0</v>
      </c>
      <c r="AP826">
        <f t="shared" si="404"/>
        <v>0</v>
      </c>
      <c r="AQ826">
        <f t="shared" ca="1" si="396"/>
        <v>1.0000000000000004</v>
      </c>
      <c r="AR826" t="str">
        <f t="shared" ca="1" si="397"/>
        <v>Supercritical</v>
      </c>
      <c r="AS826">
        <f t="shared" ca="1" si="398"/>
        <v>3.8141460404132466E-3</v>
      </c>
    </row>
    <row r="827" spans="1:45" x14ac:dyDescent="0.35">
      <c r="A827">
        <v>766</v>
      </c>
      <c r="B827">
        <v>764.995</v>
      </c>
      <c r="C827">
        <v>616091.22400000005</v>
      </c>
      <c r="D827">
        <v>3097241.8470000001</v>
      </c>
      <c r="E827">
        <v>632.17999999999995</v>
      </c>
      <c r="F827">
        <v>5.2</v>
      </c>
      <c r="G827">
        <v>0</v>
      </c>
      <c r="H827" t="s">
        <v>154</v>
      </c>
      <c r="I827">
        <v>0</v>
      </c>
      <c r="J827">
        <f t="shared" si="399"/>
        <v>0.99900000000002365</v>
      </c>
      <c r="K827">
        <f t="shared" ca="1" si="400"/>
        <v>50.95</v>
      </c>
      <c r="L827">
        <f t="shared" ca="1" si="401"/>
        <v>2.1389677043987478</v>
      </c>
      <c r="M827">
        <f t="shared" ca="1" si="374"/>
        <v>11.122632062873489</v>
      </c>
      <c r="N827">
        <f t="shared" ca="1" si="375"/>
        <v>1.1735290000551568</v>
      </c>
      <c r="O827">
        <f t="shared" ca="1" si="376"/>
        <v>4.5807502857230418</v>
      </c>
      <c r="P827">
        <f t="shared" ca="1" si="377"/>
        <v>634.31896770439869</v>
      </c>
      <c r="Q827">
        <f t="shared" ca="1" si="378"/>
        <v>635.38845155659806</v>
      </c>
      <c r="R827">
        <f t="shared" ca="1" si="379"/>
        <v>3.8141460404132466E-3</v>
      </c>
      <c r="S827">
        <f t="shared" ca="1" si="380"/>
        <v>1.0000000000000004</v>
      </c>
      <c r="T827">
        <f t="shared" ca="1" si="381"/>
        <v>35.686426155594638</v>
      </c>
      <c r="U827">
        <f t="shared" ca="1" si="402"/>
        <v>-3.3103318942266924E-3</v>
      </c>
      <c r="V827">
        <f t="shared" ca="1" si="403"/>
        <v>1</v>
      </c>
      <c r="W827">
        <f t="shared" ca="1" si="382"/>
        <v>2.1389677043987478</v>
      </c>
      <c r="X827">
        <f t="shared" ca="1" si="383"/>
        <v>11.122632062873489</v>
      </c>
      <c r="Y827">
        <f t="shared" ca="1" si="384"/>
        <v>1.1735290000551568</v>
      </c>
      <c r="Z827">
        <f t="shared" ca="1" si="385"/>
        <v>4.5807502857230418</v>
      </c>
      <c r="AA827">
        <f t="shared" ca="1" si="386"/>
        <v>634.31896770439869</v>
      </c>
      <c r="AB827">
        <f t="shared" ca="1" si="387"/>
        <v>635.38845155659806</v>
      </c>
      <c r="AC827">
        <f t="shared" ca="1" si="388"/>
        <v>3.8141460404132466E-3</v>
      </c>
      <c r="AD827">
        <f t="shared" ca="1" si="389"/>
        <v>1.0000000000000004</v>
      </c>
      <c r="AE827">
        <f t="shared" ca="1" si="390"/>
        <v>35.686426155594638</v>
      </c>
      <c r="AF827">
        <f t="shared" ca="1" si="391"/>
        <v>3.367607114000748E-3</v>
      </c>
      <c r="AG827">
        <f t="shared" ca="1" si="392"/>
        <v>1</v>
      </c>
      <c r="AH827">
        <f ca="1">IFERROR(IF(V32="Supercritical",MAX($D$16,IFERROR(L827,MAX($D$16,POWER((ABS(K827)^2)/($I$5*MAX(F827,0.1)^2),1/3)))),IF(V32="Subcritical",MAX($D$16,IFERROR(W827,MAX($D$16,POWER((ABS(K827)^2)/($I$5*MAX(F827,0.1)^2),1/3)))),IF(AND(IFERROR(V827,0)=1,IFERROR(AG827,0)=1),IF(IFERROR(T827,-1E+99)&gt;=IFERROR(AE827,-1E+99),MAX($D$16,IFERROR(L827,MAX($D$16,POWER((ABS(K827)^2)/($I$5*MAX(F827,0.1)^2),1/3)))),MAX($D$16,IFERROR(W827,MAX($D$16,POWER((ABS(K827)^2)/($I$5*MAX(F827,0.1)^2),1/3))))),IF(IFERROR(V827,0)=1,MAX($D$16,IFERROR(L827,MAX($D$16,POWER((ABS(K827)^2)/($I$5*MAX(F827,0.1)^2),1/3)))),IF(IFERROR(AG827,0)=1,MAX($D$16,IFERROR(W827,MAX($D$16,POWER((ABS(K827)^2)/($I$5*MAX(F827,0.1)^2),1/3)))),MAX($D$16,POWER((ABS(K827)^2)/($I$5*MAX(F827,0.1)^2),1/3))))))),MAX($D$16,POWER((ABS(K827)^2)/($I$5*MAX(F827,0.1)^2),1/3)))</f>
        <v>2.1389677043987478</v>
      </c>
      <c r="AI827">
        <f t="shared" ca="1" si="393"/>
        <v>634.31896770439869</v>
      </c>
      <c r="AJ827">
        <f t="shared" ca="1" si="394"/>
        <v>635.38845155659806</v>
      </c>
      <c r="AM827">
        <v>0</v>
      </c>
      <c r="AN827">
        <v>0</v>
      </c>
      <c r="AO827">
        <f t="shared" si="395"/>
        <v>0</v>
      </c>
      <c r="AP827">
        <f t="shared" si="404"/>
        <v>0</v>
      </c>
      <c r="AQ827">
        <f t="shared" ca="1" si="396"/>
        <v>1.0000000000000004</v>
      </c>
      <c r="AR827" t="str">
        <f t="shared" ca="1" si="397"/>
        <v>Supercritical</v>
      </c>
      <c r="AS827">
        <f t="shared" ca="1" si="398"/>
        <v>3.8141460404132466E-3</v>
      </c>
    </row>
    <row r="828" spans="1:45" x14ac:dyDescent="0.35">
      <c r="A828">
        <v>767</v>
      </c>
      <c r="B828">
        <v>765.995</v>
      </c>
      <c r="C828">
        <v>616091.18200000003</v>
      </c>
      <c r="D828">
        <v>3097240.8480000002</v>
      </c>
      <c r="E828">
        <v>632.17949999999996</v>
      </c>
      <c r="F828">
        <v>5.2</v>
      </c>
      <c r="G828">
        <v>0</v>
      </c>
      <c r="H828" t="s">
        <v>154</v>
      </c>
      <c r="I828">
        <v>0</v>
      </c>
      <c r="J828">
        <f t="shared" si="399"/>
        <v>1</v>
      </c>
      <c r="K828">
        <f t="shared" ca="1" si="400"/>
        <v>50.95</v>
      </c>
      <c r="L828">
        <f t="shared" ca="1" si="401"/>
        <v>2.1389677043987478</v>
      </c>
      <c r="M828">
        <f t="shared" ca="1" si="374"/>
        <v>11.122632062873489</v>
      </c>
      <c r="N828">
        <f t="shared" ca="1" si="375"/>
        <v>1.1735290000551568</v>
      </c>
      <c r="O828">
        <f t="shared" ca="1" si="376"/>
        <v>4.5807502857230418</v>
      </c>
      <c r="P828">
        <f t="shared" ca="1" si="377"/>
        <v>634.3184677043987</v>
      </c>
      <c r="Q828">
        <f t="shared" ca="1" si="378"/>
        <v>635.38795155659807</v>
      </c>
      <c r="R828">
        <f t="shared" ca="1" si="379"/>
        <v>3.8141460404132466E-3</v>
      </c>
      <c r="S828">
        <f t="shared" ca="1" si="380"/>
        <v>1.0000000000000004</v>
      </c>
      <c r="T828">
        <f t="shared" ca="1" si="381"/>
        <v>35.686426155594638</v>
      </c>
      <c r="U828">
        <f t="shared" ca="1" si="402"/>
        <v>-3.3141460404522149E-3</v>
      </c>
      <c r="V828">
        <f t="shared" ca="1" si="403"/>
        <v>1</v>
      </c>
      <c r="W828">
        <f t="shared" ca="1" si="382"/>
        <v>2.1389677043987478</v>
      </c>
      <c r="X828">
        <f t="shared" ca="1" si="383"/>
        <v>11.122632062873489</v>
      </c>
      <c r="Y828">
        <f t="shared" ca="1" si="384"/>
        <v>1.1735290000551568</v>
      </c>
      <c r="Z828">
        <f t="shared" ca="1" si="385"/>
        <v>4.5807502857230418</v>
      </c>
      <c r="AA828">
        <f t="shared" ca="1" si="386"/>
        <v>634.3184677043987</v>
      </c>
      <c r="AB828">
        <f t="shared" ca="1" si="387"/>
        <v>635.38795155659807</v>
      </c>
      <c r="AC828">
        <f t="shared" ca="1" si="388"/>
        <v>3.8141460404132466E-3</v>
      </c>
      <c r="AD828">
        <f t="shared" ca="1" si="389"/>
        <v>1.0000000000000004</v>
      </c>
      <c r="AE828">
        <f t="shared" ca="1" si="390"/>
        <v>35.686426155594638</v>
      </c>
      <c r="AF828">
        <f t="shared" ca="1" si="391"/>
        <v>3.4657254707326501E-3</v>
      </c>
      <c r="AG828">
        <f t="shared" ca="1" si="392"/>
        <v>1</v>
      </c>
      <c r="AH828">
        <f ca="1">IFERROR(IF(V32="Supercritical",MAX($D$16,IFERROR(L828,MAX($D$16,POWER((ABS(K828)^2)/($I$5*MAX(F828,0.1)^2),1/3)))),IF(V32="Subcritical",MAX($D$16,IFERROR(W828,MAX($D$16,POWER((ABS(K828)^2)/($I$5*MAX(F828,0.1)^2),1/3)))),IF(AND(IFERROR(V828,0)=1,IFERROR(AG828,0)=1),IF(IFERROR(T828,-1E+99)&gt;=IFERROR(AE828,-1E+99),MAX($D$16,IFERROR(L828,MAX($D$16,POWER((ABS(K828)^2)/($I$5*MAX(F828,0.1)^2),1/3)))),MAX($D$16,IFERROR(W828,MAX($D$16,POWER((ABS(K828)^2)/($I$5*MAX(F828,0.1)^2),1/3))))),IF(IFERROR(V828,0)=1,MAX($D$16,IFERROR(L828,MAX($D$16,POWER((ABS(K828)^2)/($I$5*MAX(F828,0.1)^2),1/3)))),IF(IFERROR(AG828,0)=1,MAX($D$16,IFERROR(W828,MAX($D$16,POWER((ABS(K828)^2)/($I$5*MAX(F828,0.1)^2),1/3)))),MAX($D$16,POWER((ABS(K828)^2)/($I$5*MAX(F828,0.1)^2),1/3))))))),MAX($D$16,POWER((ABS(K828)^2)/($I$5*MAX(F828,0.1)^2),1/3)))</f>
        <v>2.1389677043987478</v>
      </c>
      <c r="AI828">
        <f t="shared" ca="1" si="393"/>
        <v>634.3184677043987</v>
      </c>
      <c r="AJ828">
        <f t="shared" ca="1" si="394"/>
        <v>635.38795155659807</v>
      </c>
      <c r="AM828">
        <v>0</v>
      </c>
      <c r="AN828">
        <v>0</v>
      </c>
      <c r="AO828">
        <f t="shared" si="395"/>
        <v>0</v>
      </c>
      <c r="AP828">
        <f t="shared" si="404"/>
        <v>0</v>
      </c>
      <c r="AQ828">
        <f t="shared" ca="1" si="396"/>
        <v>1.0000000000000004</v>
      </c>
      <c r="AR828" t="str">
        <f t="shared" ca="1" si="397"/>
        <v>Supercritical</v>
      </c>
      <c r="AS828">
        <f t="shared" ca="1" si="398"/>
        <v>3.8141460404132466E-3</v>
      </c>
    </row>
    <row r="829" spans="1:45" x14ac:dyDescent="0.35">
      <c r="A829">
        <v>768</v>
      </c>
      <c r="B829">
        <v>766.995</v>
      </c>
      <c r="C829">
        <v>616091.14</v>
      </c>
      <c r="D829">
        <v>3097239.8489999999</v>
      </c>
      <c r="E829">
        <v>632.17899999999997</v>
      </c>
      <c r="F829">
        <v>5.2</v>
      </c>
      <c r="G829">
        <v>0</v>
      </c>
      <c r="H829" t="s">
        <v>154</v>
      </c>
      <c r="I829">
        <v>5.5E-2</v>
      </c>
      <c r="J829">
        <f t="shared" si="399"/>
        <v>1</v>
      </c>
      <c r="K829">
        <f t="shared" ca="1" si="400"/>
        <v>50.95</v>
      </c>
      <c r="L829">
        <f t="shared" ca="1" si="401"/>
        <v>2.1389677043987478</v>
      </c>
      <c r="M829">
        <f t="shared" ca="1" si="374"/>
        <v>11.122632062873489</v>
      </c>
      <c r="N829">
        <f t="shared" ca="1" si="375"/>
        <v>1.1735290000551568</v>
      </c>
      <c r="O829">
        <f t="shared" ca="1" si="376"/>
        <v>4.5807502857230418</v>
      </c>
      <c r="P829">
        <f t="shared" ca="1" si="377"/>
        <v>634.31796770439871</v>
      </c>
      <c r="Q829">
        <f t="shared" ca="1" si="378"/>
        <v>635.38745155659808</v>
      </c>
      <c r="R829">
        <f t="shared" ca="1" si="379"/>
        <v>3.8141460404132466E-3</v>
      </c>
      <c r="S829">
        <f t="shared" ca="1" si="380"/>
        <v>1.0000000000000004</v>
      </c>
      <c r="T829">
        <f t="shared" ca="1" si="381"/>
        <v>35.686426155594638</v>
      </c>
      <c r="U829">
        <f t="shared" ca="1" si="402"/>
        <v>-3.4121820602877051E-3</v>
      </c>
      <c r="V829">
        <f t="shared" ca="1" si="403"/>
        <v>1</v>
      </c>
      <c r="W829">
        <f t="shared" ca="1" si="382"/>
        <v>2.1389677043987478</v>
      </c>
      <c r="X829">
        <f t="shared" ca="1" si="383"/>
        <v>11.122632062873489</v>
      </c>
      <c r="Y829">
        <f t="shared" ca="1" si="384"/>
        <v>1.1735290000551568</v>
      </c>
      <c r="Z829">
        <f t="shared" ca="1" si="385"/>
        <v>4.5807502857230418</v>
      </c>
      <c r="AA829">
        <f t="shared" ca="1" si="386"/>
        <v>634.31796770439871</v>
      </c>
      <c r="AB829">
        <f t="shared" ca="1" si="387"/>
        <v>635.38745155659808</v>
      </c>
      <c r="AC829">
        <f t="shared" ca="1" si="388"/>
        <v>3.8141460404132466E-3</v>
      </c>
      <c r="AD829">
        <f t="shared" ca="1" si="389"/>
        <v>1.0000000000000004</v>
      </c>
      <c r="AE829">
        <f t="shared" ca="1" si="390"/>
        <v>35.686426155594638</v>
      </c>
      <c r="AF829">
        <f t="shared" ca="1" si="391"/>
        <v>3.4679620061979222E-3</v>
      </c>
      <c r="AG829">
        <f t="shared" ca="1" si="392"/>
        <v>1</v>
      </c>
      <c r="AH829">
        <f ca="1">IFERROR(IF(V32="Supercritical",MAX($D$16,IFERROR(L829,MAX($D$16,POWER((ABS(K829)^2)/($I$5*MAX(F829,0.1)^2),1/3)))),IF(V32="Subcritical",MAX($D$16,IFERROR(W829,MAX($D$16,POWER((ABS(K829)^2)/($I$5*MAX(F829,0.1)^2),1/3)))),IF(AND(IFERROR(V829,0)=1,IFERROR(AG829,0)=1),IF(IFERROR(T829,-1E+99)&gt;=IFERROR(AE829,-1E+99),MAX($D$16,IFERROR(L829,MAX($D$16,POWER((ABS(K829)^2)/($I$5*MAX(F829,0.1)^2),1/3)))),MAX($D$16,IFERROR(W829,MAX($D$16,POWER((ABS(K829)^2)/($I$5*MAX(F829,0.1)^2),1/3))))),IF(IFERROR(V829,0)=1,MAX($D$16,IFERROR(L829,MAX($D$16,POWER((ABS(K829)^2)/($I$5*MAX(F829,0.1)^2),1/3)))),IF(IFERROR(AG829,0)=1,MAX($D$16,IFERROR(W829,MAX($D$16,POWER((ABS(K829)^2)/($I$5*MAX(F829,0.1)^2),1/3)))),MAX($D$16,POWER((ABS(K829)^2)/($I$5*MAX(F829,0.1)^2),1/3))))))),MAX($D$16,POWER((ABS(K829)^2)/($I$5*MAX(F829,0.1)^2),1/3)))</f>
        <v>2.1389677043987478</v>
      </c>
      <c r="AI829">
        <f t="shared" ca="1" si="393"/>
        <v>634.31796770439871</v>
      </c>
      <c r="AJ829">
        <f t="shared" ca="1" si="394"/>
        <v>635.38745155659808</v>
      </c>
      <c r="AM829">
        <v>0</v>
      </c>
      <c r="AN829">
        <v>0</v>
      </c>
      <c r="AO829">
        <f t="shared" si="395"/>
        <v>0</v>
      </c>
      <c r="AP829">
        <f t="shared" si="404"/>
        <v>0</v>
      </c>
      <c r="AQ829">
        <f t="shared" ca="1" si="396"/>
        <v>1.0000000000000004</v>
      </c>
      <c r="AR829" t="str">
        <f t="shared" ca="1" si="397"/>
        <v>Supercritical</v>
      </c>
      <c r="AS829">
        <f t="shared" ca="1" si="398"/>
        <v>3.8141460404132466E-3</v>
      </c>
    </row>
    <row r="830" spans="1:45" x14ac:dyDescent="0.35">
      <c r="A830">
        <v>769</v>
      </c>
      <c r="B830">
        <v>767.99599999999998</v>
      </c>
      <c r="C830">
        <v>616091.09699999995</v>
      </c>
      <c r="D830">
        <v>3097238.8489999999</v>
      </c>
      <c r="E830">
        <v>632.17849999999999</v>
      </c>
      <c r="F830">
        <v>5.2</v>
      </c>
      <c r="G830">
        <v>0</v>
      </c>
      <c r="H830" t="s">
        <v>154</v>
      </c>
      <c r="I830">
        <v>5.5E-2</v>
      </c>
      <c r="J830">
        <f t="shared" si="399"/>
        <v>1.0009999999999764</v>
      </c>
      <c r="K830">
        <f t="shared" ca="1" si="400"/>
        <v>50.95</v>
      </c>
      <c r="L830">
        <f t="shared" ca="1" si="401"/>
        <v>2.1389677043987478</v>
      </c>
      <c r="M830">
        <f t="shared" ref="M830:M893" ca="1" si="405">((F830)+(G830)*(L830))*(L830)</f>
        <v>11.122632062873489</v>
      </c>
      <c r="N830">
        <f t="shared" ref="N830:N893" ca="1" si="406">(((F830)+(G830)*(L830))*(L830))/MAX((F830)+2*(L830)*SQRT(1+(G830)^2),0.000001)</f>
        <v>1.1735290000551568</v>
      </c>
      <c r="O830">
        <f t="shared" ref="O830:O893" ca="1" si="407">ABS(K830)/MAX(((F830)+(G830)*(L830))*(L830),0.000001)</f>
        <v>4.5807502857230418</v>
      </c>
      <c r="P830">
        <f t="shared" ref="P830:P893" ca="1" si="408">E830+L830</f>
        <v>634.31746770439872</v>
      </c>
      <c r="Q830">
        <f t="shared" ref="Q830:Q893" ca="1" si="409">P830+((ABS(K830)/MAX(((F830)+(G830)*(L830))*(L830),0.000001))^2)/(2*$I$5)</f>
        <v>635.38695155659809</v>
      </c>
      <c r="R830">
        <f t="shared" ref="R830:R893" ca="1" si="410">((ABS(K830)*$D$6)/(MAX(((F830)+(G830)*(L830))*(L830),0.000001)*MAX(((((F830)+(G830)*(L830))*(L830))/MAX((F830)+2*(L830)*SQRT(1+(G830)^2),0.000001))^(2/3),0.000001)))^2</f>
        <v>3.8141460404132466E-3</v>
      </c>
      <c r="S830">
        <f t="shared" ref="S830:S893" ca="1" si="411">ABS(ABS(K830)/MAX(((F830)+(G830)*(L830))*(L830),0.000001))/SQRT($I$5*MAX((((F830)+(G830)*(L830))*(L830))/MAX((F830)+2*(G830)*(L830),0.000001),0.000001))</f>
        <v>1.0000000000000004</v>
      </c>
      <c r="T830">
        <f t="shared" ref="T830:T893" ca="1" si="412">((F830)*(L830)^2)/2+(G830)*(L830)^3/3+(ABS(K830)^2)/($I$5*MAX(((F830)+(G830)*(L830))*(L830),0.000001))</f>
        <v>35.686426155594638</v>
      </c>
      <c r="U830">
        <f t="shared" ca="1" si="402"/>
        <v>-3.415996206285854E-3</v>
      </c>
      <c r="V830">
        <f t="shared" ca="1" si="403"/>
        <v>1</v>
      </c>
      <c r="W830">
        <f t="shared" ref="W830:W893" ca="1" si="413">IF($D$20=0,IFERROR(W831,MAX($D$16,POWER((ABS(K830)^2)/($I$5*MAX(F830,0.1)^2),1/3))),IF(IFERROR(AG831,0)=0,IFERROR(W831,MAX($D$16,POWER((ABS(K830)^2)/($I$5*MAX(F830,0.1)^2),1/3))),IF(OR(IFERROR(W830,0)=0,IFERROR(AD831,0)&gt;1),MAX($D$16,POWER((ABS(K830)^2)/($I$5*MAX(F830,0.1)^2),1/3)),IF(IFERROR(AF830,0)&gt;0,MAX($D$16,IFERROR(W830,0)+((IFERROR(AF830,0))*$D$18*IF((IFERROR(AD830,0))&lt;1,1,-1))),IF(IFERROR(AF830,0)&lt;0,IF(ABS((MAX($D$16,POWER((ABS(K830)^2)/($I$5*MAX(F830,0.1)^2),1/3)))-IFERROR(W830,0))&gt;$D$19,MAX($D$16,IF((MAX($D$16,POWER((ABS(K830)^2)/($I$5*MAX(F830,0.1)^2),1/3)))&gt;IFERROR(W830,0),MIN((MAX($D$16,POWER((ABS(K830)^2)/($I$5*MAX(F830,0.1)^2),1/3))),IFERROR(W830,0)+(MIN(ABS(IFERROR(AF830,0))*$D$18,ABS((MAX($D$16,POWER((ABS(K830)^2)/($I$5*MAX(F830,0.1)^2),1/3)))-IFERROR(W830,0))))),MAX((MAX($D$16,POWER((ABS(K830)^2)/($I$5*MAX(F830,0.1)^2),1/3))),IFERROR(W830,0)-(MIN(ABS(IFERROR(AF830,0))*$D$18,ABS((MAX($D$16,POWER((ABS(K830)^2)/($I$5*MAX(F830,0.1)^2),1/3)))-IFERROR(W830,0))))))),MAX($D$16,POWER((ABS(K830)^2)/($I$5*MAX(F830,0.1)^2),1/3))),MAX($D$16,IFERROR(W830,0)))))))</f>
        <v>2.1389677043987478</v>
      </c>
      <c r="X830">
        <f t="shared" ref="X830:X893" ca="1" si="414">((F830)+(G830)*(W830))*(W830)</f>
        <v>11.122632062873489</v>
      </c>
      <c r="Y830">
        <f t="shared" ref="Y830:Y893" ca="1" si="415">(((F830)+(G830)*(W830))*(W830))/MAX((F830)+2*(W830)*SQRT(1+(G830)^2),0.000001)</f>
        <v>1.1735290000551568</v>
      </c>
      <c r="Z830">
        <f t="shared" ref="Z830:Z893" ca="1" si="416">ABS(K830)/MAX(((F830)+(G830)*(W830))*(W830),0.000001)</f>
        <v>4.5807502857230418</v>
      </c>
      <c r="AA830">
        <f t="shared" ref="AA830:AA893" ca="1" si="417">E830+W830</f>
        <v>634.31746770439872</v>
      </c>
      <c r="AB830">
        <f t="shared" ref="AB830:AB893" ca="1" si="418">AA830+((ABS(K830)/MAX(((F830)+(G830)*(W830))*(W830),0.000001))^2)/(2*$I$5)</f>
        <v>635.38695155659809</v>
      </c>
      <c r="AC830">
        <f t="shared" ref="AC830:AC893" ca="1" si="419">((ABS(K830)*$D$6)/(MAX(((F830)+(G830)*(W830))*(W830),0.000001)*MAX(((((F830)+(G830)*(W830))*(W830))/MAX((F830)+2*(W830)*SQRT(1+(G830)^2),0.000001))^(2/3),0.000001)))^2</f>
        <v>3.8141460404132466E-3</v>
      </c>
      <c r="AD830">
        <f t="shared" ref="AD830:AD893" ca="1" si="420">ABS(ABS(K830)/MAX(((F830)+(G830)*(W830))*(W830),0.000001))/SQRT($I$5*MAX((((F830)+(G830)*(W830))*(W830))/MAX((F830)+2*(G830)*(W830),0.000001),0.000001))</f>
        <v>1.0000000000000004</v>
      </c>
      <c r="AE830">
        <f t="shared" ref="AE830:AE893" ca="1" si="421">((F830)*(W830)^2)/2+(G830)*(W830)^3/3+(ABS(K830)^2)/($I$5*MAX(((F830)+(G830)*(W830))*(W830),0.000001))</f>
        <v>35.686426155594638</v>
      </c>
      <c r="AF830">
        <f t="shared" ref="AF830:AF893" ca="1" si="422">IF($D$20=0,0,IFERROR(AB831+(((AC830+AC831)/2)*J831)+(IF(Z830&gt;Z831,$D$8*((Z830^2-Z831^2)/(2*$I$5)),$D$9*((Z831^2-Z830^2)/(2*$I$5)))+($D$10*(ABS(I831)/90)*(MAX(Z830^2,Z831^2)/(2*$I$5))))-AB830,0))</f>
        <v>3.3660886736015527E-3</v>
      </c>
      <c r="AG830">
        <f t="shared" ref="AG830:AG893" ca="1" si="423">IF($D$20=0,1,IFERROR(IF(ROUND(AD830,3)=1,1,IF(AND(ABS(AF830)&lt;$D$19,AD830&lt;1),1,0)),0))</f>
        <v>1</v>
      </c>
      <c r="AH830">
        <f ca="1">IFERROR(IF(V32="Supercritical",MAX($D$16,IFERROR(L830,MAX($D$16,POWER((ABS(K830)^2)/($I$5*MAX(F830,0.1)^2),1/3)))),IF(V32="Subcritical",MAX($D$16,IFERROR(W830,MAX($D$16,POWER((ABS(K830)^2)/($I$5*MAX(F830,0.1)^2),1/3)))),IF(AND(IFERROR(V830,0)=1,IFERROR(AG830,0)=1),IF(IFERROR(T830,-1E+99)&gt;=IFERROR(AE830,-1E+99),MAX($D$16,IFERROR(L830,MAX($D$16,POWER((ABS(K830)^2)/($I$5*MAX(F830,0.1)^2),1/3)))),MAX($D$16,IFERROR(W830,MAX($D$16,POWER((ABS(K830)^2)/($I$5*MAX(F830,0.1)^2),1/3))))),IF(IFERROR(V830,0)=1,MAX($D$16,IFERROR(L830,MAX($D$16,POWER((ABS(K830)^2)/($I$5*MAX(F830,0.1)^2),1/3)))),IF(IFERROR(AG830,0)=1,MAX($D$16,IFERROR(W830,MAX($D$16,POWER((ABS(K830)^2)/($I$5*MAX(F830,0.1)^2),1/3)))),MAX($D$16,POWER((ABS(K830)^2)/($I$5*MAX(F830,0.1)^2),1/3))))))),MAX($D$16,POWER((ABS(K830)^2)/($I$5*MAX(F830,0.1)^2),1/3)))</f>
        <v>2.1389677043987478</v>
      </c>
      <c r="AI830">
        <f t="shared" ref="AI830:AI893" ca="1" si="424">E830+AH830</f>
        <v>634.31746770439872</v>
      </c>
      <c r="AJ830">
        <f t="shared" ref="AJ830:AJ893" ca="1" si="425">AI830+((ABS(K830)/MAX(((F830)+(G830)*(AH830))*(AH830),0.000001))^2)/(2*$I$5)</f>
        <v>635.38695155659809</v>
      </c>
      <c r="AM830">
        <v>0</v>
      </c>
      <c r="AN830">
        <v>0</v>
      </c>
      <c r="AO830">
        <f t="shared" ref="AO830:AO893" si="426">AM830+AN830</f>
        <v>0</v>
      </c>
      <c r="AP830">
        <f t="shared" si="404"/>
        <v>0</v>
      </c>
      <c r="AQ830">
        <f t="shared" ref="AQ830:AQ893" ca="1" si="427">ABS(ABS(K830)/MAX(((F830)+(G830)*(AH830))*(AH830),0.000001))/SQRT($I$5*MAX((((F830)+(G830)*(AH830))*(AH830))/MAX((F830)+2*(G830)*(AH830),0.000001),0.000001))</f>
        <v>1.0000000000000004</v>
      </c>
      <c r="AR830" t="str">
        <f t="shared" ref="AR830:AR893" ca="1" si="428">IF(AQ830&lt;1,"Subcritical","Supercritical")</f>
        <v>Supercritical</v>
      </c>
      <c r="AS830">
        <f t="shared" ref="AS830:AS893" ca="1" si="429">((ABS(K830)*$D$6)/(MAX(((F830)+(G830)*(AH830))*(AH830),0.000001)*MAX(((((F830)+(G830)*(AH830))*(AH830))/MAX((F830)+2*(AH830)*SQRT(1+(G830)^2),0.000001))^(2/3),0.000001)))^2</f>
        <v>3.8141460404132466E-3</v>
      </c>
    </row>
    <row r="831" spans="1:45" x14ac:dyDescent="0.35">
      <c r="A831">
        <v>770</v>
      </c>
      <c r="B831">
        <v>768.99599999999998</v>
      </c>
      <c r="C831">
        <v>616091.05500000005</v>
      </c>
      <c r="D831">
        <v>3097237.85</v>
      </c>
      <c r="E831">
        <v>632.178</v>
      </c>
      <c r="F831">
        <v>5.2</v>
      </c>
      <c r="G831">
        <v>0</v>
      </c>
      <c r="H831" t="s">
        <v>154</v>
      </c>
      <c r="I831">
        <v>0</v>
      </c>
      <c r="J831">
        <f t="shared" ref="J831:J894" si="430">B831-B830</f>
        <v>1</v>
      </c>
      <c r="K831">
        <f t="shared" ref="K831:K894" ca="1" si="431">MAX(0,K830-AO830)</f>
        <v>50.95</v>
      </c>
      <c r="L831">
        <f t="shared" ref="L831:L894" ca="1" si="432">IF($D$20=0,IFERROR(L830,MAX($D$16,POWER((ABS(K831)^2)/($I$5*MAX(F831,0.1)^2),1/3))),IF(IFERROR(V830,0)=0,IFERROR(L830,MAX($D$16,POWER((ABS(K831)^2)/($I$5*MAX(F831,0.1)^2),1/3))),IF(OR(IFERROR(L831,0)=0,IFERROR(S830,0)&lt;1,IFERROR(S831,0)&lt;1),MAX($D$16,POWER((ABS(K831)^2)/($I$5*MAX(F831,0.1)^2),1/3)),IF(IFERROR(U831,0)&gt;0,MAX($D$16,IFERROR(L831,0)+((IFERROR(U831,0))*$D$18*IF((IFERROR(S831,0))&lt;1,1,-1))),IF(IFERROR(U831,0)&lt;0,IF(ABS((MAX($D$16,POWER((ABS(K831)^2)/($I$5*MAX(F831,0.1)^2),1/3)))-IFERROR(L831,0))&gt;$D$19,MAX($D$16,IF((MAX($D$16,POWER((ABS(K831)^2)/($I$5*MAX(F831,0.1)^2),1/3)))&gt;IFERROR(L831,0),MIN((MAX($D$16,POWER((ABS(K831)^2)/($I$5*MAX(F831,0.1)^2),1/3))),IFERROR(L831,0)+(MIN(ABS(IFERROR(U831,0))*$D$18,ABS((MAX($D$16,POWER((ABS(K831)^2)/($I$5*MAX(F831,0.1)^2),1/3)))-IFERROR(L831,0))))),MAX((MAX($D$16,POWER((ABS(K831)^2)/($I$5*MAX(F831,0.1)^2),1/3))),IFERROR(L831,0)-(MIN(ABS(IFERROR(U831,0))*$D$18,ABS((MAX($D$16,POWER((ABS(K831)^2)/($I$5*MAX(F831,0.1)^2),1/3)))-IFERROR(L831,0))))))),MAX($D$16,POWER((ABS(K831)^2)/($I$5*MAX(F831,0.1)^2),1/3))),MAX($D$16,IFERROR(L831,0)))))))</f>
        <v>2.1389677043987478</v>
      </c>
      <c r="M831">
        <f t="shared" ca="1" si="405"/>
        <v>11.122632062873489</v>
      </c>
      <c r="N831">
        <f t="shared" ca="1" si="406"/>
        <v>1.1735290000551568</v>
      </c>
      <c r="O831">
        <f t="shared" ca="1" si="407"/>
        <v>4.5807502857230418</v>
      </c>
      <c r="P831">
        <f t="shared" ca="1" si="408"/>
        <v>634.31696770439873</v>
      </c>
      <c r="Q831">
        <f t="shared" ca="1" si="409"/>
        <v>635.3864515565981</v>
      </c>
      <c r="R831">
        <f t="shared" ca="1" si="410"/>
        <v>3.8141460404132466E-3</v>
      </c>
      <c r="S831">
        <f t="shared" ca="1" si="411"/>
        <v>1.0000000000000004</v>
      </c>
      <c r="T831">
        <f t="shared" ca="1" si="412"/>
        <v>35.686426155594638</v>
      </c>
      <c r="U831">
        <f t="shared" ref="U831:U894" ca="1" si="433">IF($D$20=0,0,IFERROR(Q830-(((R830+R831)/2)*J831)-(IF(O830&gt;O831,$D$8*((O830^2-O831^2)/(2*$I$5)),$D$9*((O831^2-O830^2)/(2*$I$5)))+($D$10*(ABS(I831)/90)*(MAX(O830^2,O831^2)/(2*$I$5))))-Q831,0))</f>
        <v>-3.3141460404522149E-3</v>
      </c>
      <c r="V831">
        <f t="shared" ref="V831:V894" ca="1" si="434">IF($D$20=0,1,IFERROR(IF(ROUND(S831,3)=1,1,IF(AND(ABS(U831)&lt;$D$19,S831&gt;1),1,0)),0))</f>
        <v>1</v>
      </c>
      <c r="W831">
        <f t="shared" ca="1" si="413"/>
        <v>2.1389677043987478</v>
      </c>
      <c r="X831">
        <f t="shared" ca="1" si="414"/>
        <v>11.122632062873489</v>
      </c>
      <c r="Y831">
        <f t="shared" ca="1" si="415"/>
        <v>1.1735290000551568</v>
      </c>
      <c r="Z831">
        <f t="shared" ca="1" si="416"/>
        <v>4.5807502857230418</v>
      </c>
      <c r="AA831">
        <f t="shared" ca="1" si="417"/>
        <v>634.31696770439873</v>
      </c>
      <c r="AB831">
        <f t="shared" ca="1" si="418"/>
        <v>635.3864515565981</v>
      </c>
      <c r="AC831">
        <f t="shared" ca="1" si="419"/>
        <v>3.8141460404132466E-3</v>
      </c>
      <c r="AD831">
        <f t="shared" ca="1" si="420"/>
        <v>1.0000000000000004</v>
      </c>
      <c r="AE831">
        <f t="shared" ca="1" si="421"/>
        <v>35.686426155594638</v>
      </c>
      <c r="AF831">
        <f t="shared" ca="1" si="422"/>
        <v>3.3676622879283968E-3</v>
      </c>
      <c r="AG831">
        <f t="shared" ca="1" si="423"/>
        <v>1</v>
      </c>
      <c r="AH831">
        <f ca="1">IFERROR(IF(V32="Supercritical",MAX($D$16,IFERROR(L831,MAX($D$16,POWER((ABS(K831)^2)/($I$5*MAX(F831,0.1)^2),1/3)))),IF(V32="Subcritical",MAX($D$16,IFERROR(W831,MAX($D$16,POWER((ABS(K831)^2)/($I$5*MAX(F831,0.1)^2),1/3)))),IF(AND(IFERROR(V831,0)=1,IFERROR(AG831,0)=1),IF(IFERROR(T831,-1E+99)&gt;=IFERROR(AE831,-1E+99),MAX($D$16,IFERROR(L831,MAX($D$16,POWER((ABS(K831)^2)/($I$5*MAX(F831,0.1)^2),1/3)))),MAX($D$16,IFERROR(W831,MAX($D$16,POWER((ABS(K831)^2)/($I$5*MAX(F831,0.1)^2),1/3))))),IF(IFERROR(V831,0)=1,MAX($D$16,IFERROR(L831,MAX($D$16,POWER((ABS(K831)^2)/($I$5*MAX(F831,0.1)^2),1/3)))),IF(IFERROR(AG831,0)=1,MAX($D$16,IFERROR(W831,MAX($D$16,POWER((ABS(K831)^2)/($I$5*MAX(F831,0.1)^2),1/3)))),MAX($D$16,POWER((ABS(K831)^2)/($I$5*MAX(F831,0.1)^2),1/3))))))),MAX($D$16,POWER((ABS(K831)^2)/($I$5*MAX(F831,0.1)^2),1/3)))</f>
        <v>2.1389677043987478</v>
      </c>
      <c r="AI831">
        <f t="shared" ca="1" si="424"/>
        <v>634.31696770439873</v>
      </c>
      <c r="AJ831">
        <f t="shared" ca="1" si="425"/>
        <v>635.3864515565981</v>
      </c>
      <c r="AM831">
        <v>0</v>
      </c>
      <c r="AN831">
        <v>0</v>
      </c>
      <c r="AO831">
        <f t="shared" si="426"/>
        <v>0</v>
      </c>
      <c r="AP831">
        <f t="shared" ref="AP831:AP894" si="435">AP830+AO831</f>
        <v>0</v>
      </c>
      <c r="AQ831">
        <f t="shared" ca="1" si="427"/>
        <v>1.0000000000000004</v>
      </c>
      <c r="AR831" t="str">
        <f t="shared" ca="1" si="428"/>
        <v>Supercritical</v>
      </c>
      <c r="AS831">
        <f t="shared" ca="1" si="429"/>
        <v>3.8141460404132466E-3</v>
      </c>
    </row>
    <row r="832" spans="1:45" x14ac:dyDescent="0.35">
      <c r="A832">
        <v>771</v>
      </c>
      <c r="B832">
        <v>769.99599999999998</v>
      </c>
      <c r="C832">
        <v>616091.01300000004</v>
      </c>
      <c r="D832">
        <v>3097236.8509999998</v>
      </c>
      <c r="E832">
        <v>632.17750000000001</v>
      </c>
      <c r="F832">
        <v>5.2</v>
      </c>
      <c r="G832">
        <v>0</v>
      </c>
      <c r="H832" t="s">
        <v>154</v>
      </c>
      <c r="I832">
        <v>0</v>
      </c>
      <c r="J832">
        <f t="shared" si="430"/>
        <v>1</v>
      </c>
      <c r="K832">
        <f t="shared" ca="1" si="431"/>
        <v>50.95</v>
      </c>
      <c r="L832">
        <f t="shared" ca="1" si="432"/>
        <v>2.1389677043987478</v>
      </c>
      <c r="M832">
        <f t="shared" ca="1" si="405"/>
        <v>11.122632062873489</v>
      </c>
      <c r="N832">
        <f t="shared" ca="1" si="406"/>
        <v>1.1735290000551568</v>
      </c>
      <c r="O832">
        <f t="shared" ca="1" si="407"/>
        <v>4.5807502857230418</v>
      </c>
      <c r="P832">
        <f t="shared" ca="1" si="408"/>
        <v>634.31646770439875</v>
      </c>
      <c r="Q832">
        <f t="shared" ca="1" si="409"/>
        <v>635.38595155659812</v>
      </c>
      <c r="R832">
        <f t="shared" ca="1" si="410"/>
        <v>3.8141460404132466E-3</v>
      </c>
      <c r="S832">
        <f t="shared" ca="1" si="411"/>
        <v>1.0000000000000004</v>
      </c>
      <c r="T832">
        <f t="shared" ca="1" si="412"/>
        <v>35.686426155594638</v>
      </c>
      <c r="U832">
        <f t="shared" ca="1" si="433"/>
        <v>-3.3141460404522149E-3</v>
      </c>
      <c r="V832">
        <f t="shared" ca="1" si="434"/>
        <v>1</v>
      </c>
      <c r="W832">
        <f t="shared" ca="1" si="413"/>
        <v>2.1389677043987478</v>
      </c>
      <c r="X832">
        <f t="shared" ca="1" si="414"/>
        <v>11.122632062873489</v>
      </c>
      <c r="Y832">
        <f t="shared" ca="1" si="415"/>
        <v>1.1735290000551568</v>
      </c>
      <c r="Z832">
        <f t="shared" ca="1" si="416"/>
        <v>4.5807502857230418</v>
      </c>
      <c r="AA832">
        <f t="shared" ca="1" si="417"/>
        <v>634.31646770439875</v>
      </c>
      <c r="AB832">
        <f t="shared" ca="1" si="418"/>
        <v>635.38595155659812</v>
      </c>
      <c r="AC832">
        <f t="shared" ca="1" si="419"/>
        <v>3.8141460404132466E-3</v>
      </c>
      <c r="AD832">
        <f t="shared" ca="1" si="420"/>
        <v>1.0000000000000004</v>
      </c>
      <c r="AE832">
        <f t="shared" ca="1" si="421"/>
        <v>35.686426155594638</v>
      </c>
      <c r="AF832">
        <f t="shared" ca="1" si="422"/>
        <v>3.4692882816216297E-3</v>
      </c>
      <c r="AG832">
        <f t="shared" ca="1" si="423"/>
        <v>1</v>
      </c>
      <c r="AH832">
        <f ca="1">IFERROR(IF(V32="Supercritical",MAX($D$16,IFERROR(L832,MAX($D$16,POWER((ABS(K832)^2)/($I$5*MAX(F832,0.1)^2),1/3)))),IF(V32="Subcritical",MAX($D$16,IFERROR(W832,MAX($D$16,POWER((ABS(K832)^2)/($I$5*MAX(F832,0.1)^2),1/3)))),IF(AND(IFERROR(V832,0)=1,IFERROR(AG832,0)=1),IF(IFERROR(T832,-1E+99)&gt;=IFERROR(AE832,-1E+99),MAX($D$16,IFERROR(L832,MAX($D$16,POWER((ABS(K832)^2)/($I$5*MAX(F832,0.1)^2),1/3)))),MAX($D$16,IFERROR(W832,MAX($D$16,POWER((ABS(K832)^2)/($I$5*MAX(F832,0.1)^2),1/3))))),IF(IFERROR(V832,0)=1,MAX($D$16,IFERROR(L832,MAX($D$16,POWER((ABS(K832)^2)/($I$5*MAX(F832,0.1)^2),1/3)))),IF(IFERROR(AG832,0)=1,MAX($D$16,IFERROR(W832,MAX($D$16,POWER((ABS(K832)^2)/($I$5*MAX(F832,0.1)^2),1/3)))),MAX($D$16,POWER((ABS(K832)^2)/($I$5*MAX(F832,0.1)^2),1/3))))))),MAX($D$16,POWER((ABS(K832)^2)/($I$5*MAX(F832,0.1)^2),1/3)))</f>
        <v>2.1389677043987478</v>
      </c>
      <c r="AI832">
        <f t="shared" ca="1" si="424"/>
        <v>634.31646770439875</v>
      </c>
      <c r="AJ832">
        <f t="shared" ca="1" si="425"/>
        <v>635.38595155659812</v>
      </c>
      <c r="AM832">
        <v>0</v>
      </c>
      <c r="AN832">
        <v>0</v>
      </c>
      <c r="AO832">
        <f t="shared" si="426"/>
        <v>0</v>
      </c>
      <c r="AP832">
        <f t="shared" si="435"/>
        <v>0</v>
      </c>
      <c r="AQ832">
        <f t="shared" ca="1" si="427"/>
        <v>1.0000000000000004</v>
      </c>
      <c r="AR832" t="str">
        <f t="shared" ca="1" si="428"/>
        <v>Supercritical</v>
      </c>
      <c r="AS832">
        <f t="shared" ca="1" si="429"/>
        <v>3.8141460404132466E-3</v>
      </c>
    </row>
    <row r="833" spans="1:45" x14ac:dyDescent="0.35">
      <c r="A833">
        <v>772</v>
      </c>
      <c r="B833">
        <v>770.99599999999998</v>
      </c>
      <c r="C833">
        <v>616090.97100000002</v>
      </c>
      <c r="D833">
        <v>3097235.852</v>
      </c>
      <c r="E833">
        <v>632.17700000000002</v>
      </c>
      <c r="F833">
        <v>5.2</v>
      </c>
      <c r="G833">
        <v>0</v>
      </c>
      <c r="H833" t="s">
        <v>154</v>
      </c>
      <c r="I833">
        <v>5.7000000000000002E-2</v>
      </c>
      <c r="J833">
        <f t="shared" si="430"/>
        <v>1</v>
      </c>
      <c r="K833">
        <f t="shared" ca="1" si="431"/>
        <v>50.95</v>
      </c>
      <c r="L833">
        <f t="shared" ca="1" si="432"/>
        <v>2.1389677043987478</v>
      </c>
      <c r="M833">
        <f t="shared" ca="1" si="405"/>
        <v>11.122632062873489</v>
      </c>
      <c r="N833">
        <f t="shared" ca="1" si="406"/>
        <v>1.1735290000551568</v>
      </c>
      <c r="O833">
        <f t="shared" ca="1" si="407"/>
        <v>4.5807502857230418</v>
      </c>
      <c r="P833">
        <f t="shared" ca="1" si="408"/>
        <v>634.31596770439876</v>
      </c>
      <c r="Q833">
        <f t="shared" ca="1" si="409"/>
        <v>635.38545155659813</v>
      </c>
      <c r="R833">
        <f t="shared" ca="1" si="410"/>
        <v>3.8141460404132466E-3</v>
      </c>
      <c r="S833">
        <f t="shared" ca="1" si="411"/>
        <v>1.0000000000000004</v>
      </c>
      <c r="T833">
        <f t="shared" ca="1" si="412"/>
        <v>35.686426155594638</v>
      </c>
      <c r="U833">
        <f t="shared" ca="1" si="433"/>
        <v>-3.4157470064428708E-3</v>
      </c>
      <c r="V833">
        <f t="shared" ca="1" si="434"/>
        <v>1</v>
      </c>
      <c r="W833">
        <f t="shared" ca="1" si="413"/>
        <v>2.1389677043987478</v>
      </c>
      <c r="X833">
        <f t="shared" ca="1" si="414"/>
        <v>11.122632062873489</v>
      </c>
      <c r="Y833">
        <f t="shared" ca="1" si="415"/>
        <v>1.1735290000551568</v>
      </c>
      <c r="Z833">
        <f t="shared" ca="1" si="416"/>
        <v>4.5807502857230418</v>
      </c>
      <c r="AA833">
        <f t="shared" ca="1" si="417"/>
        <v>634.31596770439876</v>
      </c>
      <c r="AB833">
        <f t="shared" ca="1" si="418"/>
        <v>635.38545155659813</v>
      </c>
      <c r="AC833">
        <f t="shared" ca="1" si="419"/>
        <v>3.8141460404132466E-3</v>
      </c>
      <c r="AD833">
        <f t="shared" ca="1" si="420"/>
        <v>1.0000000000000004</v>
      </c>
      <c r="AE833">
        <f t="shared" ca="1" si="421"/>
        <v>35.686426155594638</v>
      </c>
      <c r="AF833">
        <f t="shared" ca="1" si="422"/>
        <v>3.467712344672691E-3</v>
      </c>
      <c r="AG833">
        <f t="shared" ca="1" si="423"/>
        <v>1</v>
      </c>
      <c r="AH833">
        <f ca="1">IFERROR(IF(V32="Supercritical",MAX($D$16,IFERROR(L833,MAX($D$16,POWER((ABS(K833)^2)/($I$5*MAX(F833,0.1)^2),1/3)))),IF(V32="Subcritical",MAX($D$16,IFERROR(W833,MAX($D$16,POWER((ABS(K833)^2)/($I$5*MAX(F833,0.1)^2),1/3)))),IF(AND(IFERROR(V833,0)=1,IFERROR(AG833,0)=1),IF(IFERROR(T833,-1E+99)&gt;=IFERROR(AE833,-1E+99),MAX($D$16,IFERROR(L833,MAX($D$16,POWER((ABS(K833)^2)/($I$5*MAX(F833,0.1)^2),1/3)))),MAX($D$16,IFERROR(W833,MAX($D$16,POWER((ABS(K833)^2)/($I$5*MAX(F833,0.1)^2),1/3))))),IF(IFERROR(V833,0)=1,MAX($D$16,IFERROR(L833,MAX($D$16,POWER((ABS(K833)^2)/($I$5*MAX(F833,0.1)^2),1/3)))),IF(IFERROR(AG833,0)=1,MAX($D$16,IFERROR(W833,MAX($D$16,POWER((ABS(K833)^2)/($I$5*MAX(F833,0.1)^2),1/3)))),MAX($D$16,POWER((ABS(K833)^2)/($I$5*MAX(F833,0.1)^2),1/3))))))),MAX($D$16,POWER((ABS(K833)^2)/($I$5*MAX(F833,0.1)^2),1/3)))</f>
        <v>2.1389677043987478</v>
      </c>
      <c r="AI833">
        <f t="shared" ca="1" si="424"/>
        <v>634.31596770439876</v>
      </c>
      <c r="AJ833">
        <f t="shared" ca="1" si="425"/>
        <v>635.38545155659813</v>
      </c>
      <c r="AM833">
        <v>0</v>
      </c>
      <c r="AN833">
        <v>0</v>
      </c>
      <c r="AO833">
        <f t="shared" si="426"/>
        <v>0</v>
      </c>
      <c r="AP833">
        <f t="shared" si="435"/>
        <v>0</v>
      </c>
      <c r="AQ833">
        <f t="shared" ca="1" si="427"/>
        <v>1.0000000000000004</v>
      </c>
      <c r="AR833" t="str">
        <f t="shared" ca="1" si="428"/>
        <v>Supercritical</v>
      </c>
      <c r="AS833">
        <f t="shared" ca="1" si="429"/>
        <v>3.8141460404132466E-3</v>
      </c>
    </row>
    <row r="834" spans="1:45" x14ac:dyDescent="0.35">
      <c r="A834">
        <v>773</v>
      </c>
      <c r="B834">
        <v>771.99599999999998</v>
      </c>
      <c r="C834">
        <v>616090.92799999996</v>
      </c>
      <c r="D834">
        <v>3097234.8530000001</v>
      </c>
      <c r="E834">
        <v>632.17650000000003</v>
      </c>
      <c r="F834">
        <v>5.2</v>
      </c>
      <c r="G834">
        <v>0</v>
      </c>
      <c r="H834" t="s">
        <v>154</v>
      </c>
      <c r="I834">
        <v>5.7000000000000002E-2</v>
      </c>
      <c r="J834">
        <f t="shared" si="430"/>
        <v>1</v>
      </c>
      <c r="K834">
        <f t="shared" ca="1" si="431"/>
        <v>50.95</v>
      </c>
      <c r="L834">
        <f t="shared" ca="1" si="432"/>
        <v>2.1389677043987478</v>
      </c>
      <c r="M834">
        <f t="shared" ca="1" si="405"/>
        <v>11.122632062873489</v>
      </c>
      <c r="N834">
        <f t="shared" ca="1" si="406"/>
        <v>1.1735290000551568</v>
      </c>
      <c r="O834">
        <f t="shared" ca="1" si="407"/>
        <v>4.5807502857230418</v>
      </c>
      <c r="P834">
        <f t="shared" ca="1" si="408"/>
        <v>634.31546770439877</v>
      </c>
      <c r="Q834">
        <f t="shared" ca="1" si="409"/>
        <v>635.38495155659814</v>
      </c>
      <c r="R834">
        <f t="shared" ca="1" si="410"/>
        <v>3.8141460404132466E-3</v>
      </c>
      <c r="S834">
        <f t="shared" ca="1" si="411"/>
        <v>1.0000000000000004</v>
      </c>
      <c r="T834">
        <f t="shared" ca="1" si="412"/>
        <v>35.686426155594638</v>
      </c>
      <c r="U834">
        <f t="shared" ca="1" si="433"/>
        <v>-3.4157470064428708E-3</v>
      </c>
      <c r="V834">
        <f t="shared" ca="1" si="434"/>
        <v>1</v>
      </c>
      <c r="W834">
        <f t="shared" ca="1" si="413"/>
        <v>2.1389677043987478</v>
      </c>
      <c r="X834">
        <f t="shared" ca="1" si="414"/>
        <v>11.122632062873489</v>
      </c>
      <c r="Y834">
        <f t="shared" ca="1" si="415"/>
        <v>1.1735290000551568</v>
      </c>
      <c r="Z834">
        <f t="shared" ca="1" si="416"/>
        <v>4.5807502857230418</v>
      </c>
      <c r="AA834">
        <f t="shared" ca="1" si="417"/>
        <v>634.31546770439877</v>
      </c>
      <c r="AB834">
        <f t="shared" ca="1" si="418"/>
        <v>635.38495155659814</v>
      </c>
      <c r="AC834">
        <f t="shared" ca="1" si="419"/>
        <v>3.8141460404132466E-3</v>
      </c>
      <c r="AD834">
        <f t="shared" ca="1" si="420"/>
        <v>1.0000000000000004</v>
      </c>
      <c r="AE834">
        <f t="shared" ca="1" si="421"/>
        <v>35.686426155594638</v>
      </c>
      <c r="AF834">
        <f t="shared" ca="1" si="422"/>
        <v>3.3660296217021823E-3</v>
      </c>
      <c r="AG834">
        <f t="shared" ca="1" si="423"/>
        <v>1</v>
      </c>
      <c r="AH834">
        <f ca="1">IFERROR(IF(V32="Supercritical",MAX($D$16,IFERROR(L834,MAX($D$16,POWER((ABS(K834)^2)/($I$5*MAX(F834,0.1)^2),1/3)))),IF(V32="Subcritical",MAX($D$16,IFERROR(W834,MAX($D$16,POWER((ABS(K834)^2)/($I$5*MAX(F834,0.1)^2),1/3)))),IF(AND(IFERROR(V834,0)=1,IFERROR(AG834,0)=1),IF(IFERROR(T834,-1E+99)&gt;=IFERROR(AE834,-1E+99),MAX($D$16,IFERROR(L834,MAX($D$16,POWER((ABS(K834)^2)/($I$5*MAX(F834,0.1)^2),1/3)))),MAX($D$16,IFERROR(W834,MAX($D$16,POWER((ABS(K834)^2)/($I$5*MAX(F834,0.1)^2),1/3))))),IF(IFERROR(V834,0)=1,MAX($D$16,IFERROR(L834,MAX($D$16,POWER((ABS(K834)^2)/($I$5*MAX(F834,0.1)^2),1/3)))),IF(IFERROR(AG834,0)=1,MAX($D$16,IFERROR(W834,MAX($D$16,POWER((ABS(K834)^2)/($I$5*MAX(F834,0.1)^2),1/3)))),MAX($D$16,POWER((ABS(K834)^2)/($I$5*MAX(F834,0.1)^2),1/3))))))),MAX($D$16,POWER((ABS(K834)^2)/($I$5*MAX(F834,0.1)^2),1/3)))</f>
        <v>2.1389677043987478</v>
      </c>
      <c r="AI834">
        <f t="shared" ca="1" si="424"/>
        <v>634.31546770439877</v>
      </c>
      <c r="AJ834">
        <f t="shared" ca="1" si="425"/>
        <v>635.38495155659814</v>
      </c>
      <c r="AM834">
        <v>0</v>
      </c>
      <c r="AN834">
        <v>0</v>
      </c>
      <c r="AO834">
        <f t="shared" si="426"/>
        <v>0</v>
      </c>
      <c r="AP834">
        <f t="shared" si="435"/>
        <v>0</v>
      </c>
      <c r="AQ834">
        <f t="shared" ca="1" si="427"/>
        <v>1.0000000000000004</v>
      </c>
      <c r="AR834" t="str">
        <f t="shared" ca="1" si="428"/>
        <v>Supercritical</v>
      </c>
      <c r="AS834">
        <f t="shared" ca="1" si="429"/>
        <v>3.8141460404132466E-3</v>
      </c>
    </row>
    <row r="835" spans="1:45" x14ac:dyDescent="0.35">
      <c r="A835">
        <v>774</v>
      </c>
      <c r="B835">
        <v>772.99599999999998</v>
      </c>
      <c r="C835">
        <v>616090.88600000006</v>
      </c>
      <c r="D835">
        <v>3097233.8539999998</v>
      </c>
      <c r="E835">
        <v>632.17600000000004</v>
      </c>
      <c r="F835">
        <v>5.2</v>
      </c>
      <c r="G835">
        <v>0</v>
      </c>
      <c r="H835" t="s">
        <v>154</v>
      </c>
      <c r="I835">
        <v>0</v>
      </c>
      <c r="J835">
        <f t="shared" si="430"/>
        <v>1</v>
      </c>
      <c r="K835">
        <f t="shared" ca="1" si="431"/>
        <v>50.95</v>
      </c>
      <c r="L835">
        <f t="shared" ca="1" si="432"/>
        <v>2.1389677043987478</v>
      </c>
      <c r="M835">
        <f t="shared" ca="1" si="405"/>
        <v>11.122632062873489</v>
      </c>
      <c r="N835">
        <f t="shared" ca="1" si="406"/>
        <v>1.1735290000551568</v>
      </c>
      <c r="O835">
        <f t="shared" ca="1" si="407"/>
        <v>4.5807502857230418</v>
      </c>
      <c r="P835">
        <f t="shared" ca="1" si="408"/>
        <v>634.31496770439878</v>
      </c>
      <c r="Q835">
        <f t="shared" ca="1" si="409"/>
        <v>635.38445155659815</v>
      </c>
      <c r="R835">
        <f t="shared" ca="1" si="410"/>
        <v>3.8141460404132466E-3</v>
      </c>
      <c r="S835">
        <f t="shared" ca="1" si="411"/>
        <v>1.0000000000000004</v>
      </c>
      <c r="T835">
        <f t="shared" ca="1" si="412"/>
        <v>35.686426155594638</v>
      </c>
      <c r="U835">
        <f t="shared" ca="1" si="433"/>
        <v>-3.3141460404522149E-3</v>
      </c>
      <c r="V835">
        <f t="shared" ca="1" si="434"/>
        <v>1</v>
      </c>
      <c r="W835">
        <f t="shared" ca="1" si="413"/>
        <v>2.1389677043987478</v>
      </c>
      <c r="X835">
        <f t="shared" ca="1" si="414"/>
        <v>11.122632062873489</v>
      </c>
      <c r="Y835">
        <f t="shared" ca="1" si="415"/>
        <v>1.1735290000551568</v>
      </c>
      <c r="Z835">
        <f t="shared" ca="1" si="416"/>
        <v>4.5807502857230418</v>
      </c>
      <c r="AA835">
        <f t="shared" ca="1" si="417"/>
        <v>634.31496770439878</v>
      </c>
      <c r="AB835">
        <f t="shared" ca="1" si="418"/>
        <v>635.38445155659815</v>
      </c>
      <c r="AC835">
        <f t="shared" ca="1" si="419"/>
        <v>3.8141460404132466E-3</v>
      </c>
      <c r="AD835">
        <f t="shared" ca="1" si="420"/>
        <v>1.0000000000000004</v>
      </c>
      <c r="AE835">
        <f t="shared" ca="1" si="421"/>
        <v>35.686426155594638</v>
      </c>
      <c r="AF835">
        <f t="shared" ca="1" si="422"/>
        <v>3.363848191611396E-3</v>
      </c>
      <c r="AG835">
        <f t="shared" ca="1" si="423"/>
        <v>1</v>
      </c>
      <c r="AH835">
        <f ca="1">IFERROR(IF(V32="Supercritical",MAX($D$16,IFERROR(L835,MAX($D$16,POWER((ABS(K835)^2)/($I$5*MAX(F835,0.1)^2),1/3)))),IF(V32="Subcritical",MAX($D$16,IFERROR(W835,MAX($D$16,POWER((ABS(K835)^2)/($I$5*MAX(F835,0.1)^2),1/3)))),IF(AND(IFERROR(V835,0)=1,IFERROR(AG835,0)=1),IF(IFERROR(T835,-1E+99)&gt;=IFERROR(AE835,-1E+99),MAX($D$16,IFERROR(L835,MAX($D$16,POWER((ABS(K835)^2)/($I$5*MAX(F835,0.1)^2),1/3)))),MAX($D$16,IFERROR(W835,MAX($D$16,POWER((ABS(K835)^2)/($I$5*MAX(F835,0.1)^2),1/3))))),IF(IFERROR(V835,0)=1,MAX($D$16,IFERROR(L835,MAX($D$16,POWER((ABS(K835)^2)/($I$5*MAX(F835,0.1)^2),1/3)))),IF(IFERROR(AG835,0)=1,MAX($D$16,IFERROR(W835,MAX($D$16,POWER((ABS(K835)^2)/($I$5*MAX(F835,0.1)^2),1/3)))),MAX($D$16,POWER((ABS(K835)^2)/($I$5*MAX(F835,0.1)^2),1/3))))))),MAX($D$16,POWER((ABS(K835)^2)/($I$5*MAX(F835,0.1)^2),1/3)))</f>
        <v>2.1389677043987478</v>
      </c>
      <c r="AI835">
        <f t="shared" ca="1" si="424"/>
        <v>634.31496770439878</v>
      </c>
      <c r="AJ835">
        <f t="shared" ca="1" si="425"/>
        <v>635.38445155659815</v>
      </c>
      <c r="AM835">
        <v>0</v>
      </c>
      <c r="AN835">
        <v>0</v>
      </c>
      <c r="AO835">
        <f t="shared" si="426"/>
        <v>0</v>
      </c>
      <c r="AP835">
        <f t="shared" si="435"/>
        <v>0</v>
      </c>
      <c r="AQ835">
        <f t="shared" ca="1" si="427"/>
        <v>1.0000000000000004</v>
      </c>
      <c r="AR835" t="str">
        <f t="shared" ca="1" si="428"/>
        <v>Supercritical</v>
      </c>
      <c r="AS835">
        <f t="shared" ca="1" si="429"/>
        <v>3.8141460404132466E-3</v>
      </c>
    </row>
    <row r="836" spans="1:45" x14ac:dyDescent="0.35">
      <c r="A836">
        <v>775</v>
      </c>
      <c r="B836">
        <v>773.995</v>
      </c>
      <c r="C836">
        <v>616090.84400000004</v>
      </c>
      <c r="D836">
        <v>3097232.855</v>
      </c>
      <c r="E836">
        <v>632.17550000000006</v>
      </c>
      <c r="F836">
        <v>5.2</v>
      </c>
      <c r="G836">
        <v>0</v>
      </c>
      <c r="H836" t="s">
        <v>154</v>
      </c>
      <c r="I836">
        <v>0</v>
      </c>
      <c r="J836">
        <f t="shared" si="430"/>
        <v>0.99900000000002365</v>
      </c>
      <c r="K836">
        <f t="shared" ca="1" si="431"/>
        <v>50.95</v>
      </c>
      <c r="L836">
        <f t="shared" ca="1" si="432"/>
        <v>2.1389677043987478</v>
      </c>
      <c r="M836">
        <f t="shared" ca="1" si="405"/>
        <v>11.122632062873489</v>
      </c>
      <c r="N836">
        <f t="shared" ca="1" si="406"/>
        <v>1.1735290000551568</v>
      </c>
      <c r="O836">
        <f t="shared" ca="1" si="407"/>
        <v>4.5807502857230418</v>
      </c>
      <c r="P836">
        <f t="shared" ca="1" si="408"/>
        <v>634.31446770439879</v>
      </c>
      <c r="Q836">
        <f t="shared" ca="1" si="409"/>
        <v>635.38395155659816</v>
      </c>
      <c r="R836">
        <f t="shared" ca="1" si="410"/>
        <v>3.8141460404132466E-3</v>
      </c>
      <c r="S836">
        <f t="shared" ca="1" si="411"/>
        <v>1.0000000000000004</v>
      </c>
      <c r="T836">
        <f t="shared" ca="1" si="412"/>
        <v>35.686426155594638</v>
      </c>
      <c r="U836">
        <f t="shared" ca="1" si="433"/>
        <v>-3.3103318943403792E-3</v>
      </c>
      <c r="V836">
        <f t="shared" ca="1" si="434"/>
        <v>1</v>
      </c>
      <c r="W836">
        <f t="shared" ca="1" si="413"/>
        <v>2.1389677043987478</v>
      </c>
      <c r="X836">
        <f t="shared" ca="1" si="414"/>
        <v>11.122632062873489</v>
      </c>
      <c r="Y836">
        <f t="shared" ca="1" si="415"/>
        <v>1.1735290000551568</v>
      </c>
      <c r="Z836">
        <f t="shared" ca="1" si="416"/>
        <v>4.5807502857230418</v>
      </c>
      <c r="AA836">
        <f t="shared" ca="1" si="417"/>
        <v>634.31446770439879</v>
      </c>
      <c r="AB836">
        <f t="shared" ca="1" si="418"/>
        <v>635.38395155659816</v>
      </c>
      <c r="AC836">
        <f t="shared" ca="1" si="419"/>
        <v>3.8141460404132466E-3</v>
      </c>
      <c r="AD836">
        <f t="shared" ca="1" si="420"/>
        <v>1.0000000000000004</v>
      </c>
      <c r="AE836">
        <f t="shared" ca="1" si="421"/>
        <v>35.686426155594638</v>
      </c>
      <c r="AF836">
        <f t="shared" ca="1" si="422"/>
        <v>3.4693733737185539E-3</v>
      </c>
      <c r="AG836">
        <f t="shared" ca="1" si="423"/>
        <v>1</v>
      </c>
      <c r="AH836">
        <f ca="1">IFERROR(IF(V32="Supercritical",MAX($D$16,IFERROR(L836,MAX($D$16,POWER((ABS(K836)^2)/($I$5*MAX(F836,0.1)^2),1/3)))),IF(V32="Subcritical",MAX($D$16,IFERROR(W836,MAX($D$16,POWER((ABS(K836)^2)/($I$5*MAX(F836,0.1)^2),1/3)))),IF(AND(IFERROR(V836,0)=1,IFERROR(AG836,0)=1),IF(IFERROR(T836,-1E+99)&gt;=IFERROR(AE836,-1E+99),MAX($D$16,IFERROR(L836,MAX($D$16,POWER((ABS(K836)^2)/($I$5*MAX(F836,0.1)^2),1/3)))),MAX($D$16,IFERROR(W836,MAX($D$16,POWER((ABS(K836)^2)/($I$5*MAX(F836,0.1)^2),1/3))))),IF(IFERROR(V836,0)=1,MAX($D$16,IFERROR(L836,MAX($D$16,POWER((ABS(K836)^2)/($I$5*MAX(F836,0.1)^2),1/3)))),IF(IFERROR(AG836,0)=1,MAX($D$16,IFERROR(W836,MAX($D$16,POWER((ABS(K836)^2)/($I$5*MAX(F836,0.1)^2),1/3)))),MAX($D$16,POWER((ABS(K836)^2)/($I$5*MAX(F836,0.1)^2),1/3))))))),MAX($D$16,POWER((ABS(K836)^2)/($I$5*MAX(F836,0.1)^2),1/3)))</f>
        <v>2.1389677043987478</v>
      </c>
      <c r="AI836">
        <f t="shared" ca="1" si="424"/>
        <v>634.31446770439879</v>
      </c>
      <c r="AJ836">
        <f t="shared" ca="1" si="425"/>
        <v>635.38395155659816</v>
      </c>
      <c r="AM836">
        <v>0</v>
      </c>
      <c r="AN836">
        <v>0</v>
      </c>
      <c r="AO836">
        <f t="shared" si="426"/>
        <v>0</v>
      </c>
      <c r="AP836">
        <f t="shared" si="435"/>
        <v>0</v>
      </c>
      <c r="AQ836">
        <f t="shared" ca="1" si="427"/>
        <v>1.0000000000000004</v>
      </c>
      <c r="AR836" t="str">
        <f t="shared" ca="1" si="428"/>
        <v>Supercritical</v>
      </c>
      <c r="AS836">
        <f t="shared" ca="1" si="429"/>
        <v>3.8141460404132466E-3</v>
      </c>
    </row>
    <row r="837" spans="1:45" x14ac:dyDescent="0.35">
      <c r="A837">
        <v>776</v>
      </c>
      <c r="B837">
        <v>774.995</v>
      </c>
      <c r="C837">
        <v>616090.80200000003</v>
      </c>
      <c r="D837">
        <v>3097231.8560000001</v>
      </c>
      <c r="E837">
        <v>632.17499999999995</v>
      </c>
      <c r="F837">
        <v>5.2</v>
      </c>
      <c r="G837">
        <v>0</v>
      </c>
      <c r="H837" t="s">
        <v>154</v>
      </c>
      <c r="I837">
        <v>5.7000000000000002E-2</v>
      </c>
      <c r="J837">
        <f t="shared" si="430"/>
        <v>1</v>
      </c>
      <c r="K837">
        <f t="shared" ca="1" si="431"/>
        <v>50.95</v>
      </c>
      <c r="L837">
        <f t="shared" ca="1" si="432"/>
        <v>2.1389677043987478</v>
      </c>
      <c r="M837">
        <f t="shared" ca="1" si="405"/>
        <v>11.122632062873489</v>
      </c>
      <c r="N837">
        <f t="shared" ca="1" si="406"/>
        <v>1.1735290000551568</v>
      </c>
      <c r="O837">
        <f t="shared" ca="1" si="407"/>
        <v>4.5807502857230418</v>
      </c>
      <c r="P837">
        <f t="shared" ca="1" si="408"/>
        <v>634.31396770439869</v>
      </c>
      <c r="Q837">
        <f t="shared" ca="1" si="409"/>
        <v>635.38345155659806</v>
      </c>
      <c r="R837">
        <f t="shared" ca="1" si="410"/>
        <v>3.8141460404132466E-3</v>
      </c>
      <c r="S837">
        <f t="shared" ca="1" si="411"/>
        <v>1.0000000000000004</v>
      </c>
      <c r="T837">
        <f t="shared" ca="1" si="412"/>
        <v>35.686426155594638</v>
      </c>
      <c r="U837">
        <f t="shared" ca="1" si="433"/>
        <v>-3.4157470063291839E-3</v>
      </c>
      <c r="V837">
        <f t="shared" ca="1" si="434"/>
        <v>1</v>
      </c>
      <c r="W837">
        <f t="shared" ca="1" si="413"/>
        <v>2.1389677043987478</v>
      </c>
      <c r="X837">
        <f t="shared" ca="1" si="414"/>
        <v>11.122632062873489</v>
      </c>
      <c r="Y837">
        <f t="shared" ca="1" si="415"/>
        <v>1.1735290000551568</v>
      </c>
      <c r="Z837">
        <f t="shared" ca="1" si="416"/>
        <v>4.5807502857230418</v>
      </c>
      <c r="AA837">
        <f t="shared" ca="1" si="417"/>
        <v>634.31396770439869</v>
      </c>
      <c r="AB837">
        <f t="shared" ca="1" si="418"/>
        <v>635.38345155659806</v>
      </c>
      <c r="AC837">
        <f t="shared" ca="1" si="419"/>
        <v>3.8141460404132466E-3</v>
      </c>
      <c r="AD837">
        <f t="shared" ca="1" si="420"/>
        <v>1.0000000000000004</v>
      </c>
      <c r="AE837">
        <f t="shared" ca="1" si="421"/>
        <v>35.686426155594638</v>
      </c>
      <c r="AF837">
        <f t="shared" ca="1" si="422"/>
        <v>3.4732019973944261E-3</v>
      </c>
      <c r="AG837">
        <f t="shared" ca="1" si="423"/>
        <v>1</v>
      </c>
      <c r="AH837">
        <f ca="1">IFERROR(IF(V32="Supercritical",MAX($D$16,IFERROR(L837,MAX($D$16,POWER((ABS(K837)^2)/($I$5*MAX(F837,0.1)^2),1/3)))),IF(V32="Subcritical",MAX($D$16,IFERROR(W837,MAX($D$16,POWER((ABS(K837)^2)/($I$5*MAX(F837,0.1)^2),1/3)))),IF(AND(IFERROR(V837,0)=1,IFERROR(AG837,0)=1),IF(IFERROR(T837,-1E+99)&gt;=IFERROR(AE837,-1E+99),MAX($D$16,IFERROR(L837,MAX($D$16,POWER((ABS(K837)^2)/($I$5*MAX(F837,0.1)^2),1/3)))),MAX($D$16,IFERROR(W837,MAX($D$16,POWER((ABS(K837)^2)/($I$5*MAX(F837,0.1)^2),1/3))))),IF(IFERROR(V837,0)=1,MAX($D$16,IFERROR(L837,MAX($D$16,POWER((ABS(K837)^2)/($I$5*MAX(F837,0.1)^2),1/3)))),IF(IFERROR(AG837,0)=1,MAX($D$16,IFERROR(W837,MAX($D$16,POWER((ABS(K837)^2)/($I$5*MAX(F837,0.1)^2),1/3)))),MAX($D$16,POWER((ABS(K837)^2)/($I$5*MAX(F837,0.1)^2),1/3))))))),MAX($D$16,POWER((ABS(K837)^2)/($I$5*MAX(F837,0.1)^2),1/3)))</f>
        <v>2.1389677043987478</v>
      </c>
      <c r="AI837">
        <f t="shared" ca="1" si="424"/>
        <v>634.31396770439869</v>
      </c>
      <c r="AJ837">
        <f t="shared" ca="1" si="425"/>
        <v>635.38345155659806</v>
      </c>
      <c r="AM837">
        <v>0</v>
      </c>
      <c r="AN837">
        <v>0</v>
      </c>
      <c r="AO837">
        <f t="shared" si="426"/>
        <v>0</v>
      </c>
      <c r="AP837">
        <f t="shared" si="435"/>
        <v>0</v>
      </c>
      <c r="AQ837">
        <f t="shared" ca="1" si="427"/>
        <v>1.0000000000000004</v>
      </c>
      <c r="AR837" t="str">
        <f t="shared" ca="1" si="428"/>
        <v>Supercritical</v>
      </c>
      <c r="AS837">
        <f t="shared" ca="1" si="429"/>
        <v>3.8141460404132466E-3</v>
      </c>
    </row>
    <row r="838" spans="1:45" x14ac:dyDescent="0.35">
      <c r="A838">
        <v>777</v>
      </c>
      <c r="B838">
        <v>775.995</v>
      </c>
      <c r="C838">
        <v>616090.75899999996</v>
      </c>
      <c r="D838">
        <v>3097230.8569999998</v>
      </c>
      <c r="E838">
        <v>632.17449999999997</v>
      </c>
      <c r="F838">
        <v>5.2</v>
      </c>
      <c r="G838">
        <v>0</v>
      </c>
      <c r="H838" t="s">
        <v>154</v>
      </c>
      <c r="I838">
        <v>0.06</v>
      </c>
      <c r="J838">
        <f t="shared" si="430"/>
        <v>1</v>
      </c>
      <c r="K838">
        <f t="shared" ca="1" si="431"/>
        <v>50.95</v>
      </c>
      <c r="L838">
        <f t="shared" ca="1" si="432"/>
        <v>2.1389677043987478</v>
      </c>
      <c r="M838">
        <f t="shared" ca="1" si="405"/>
        <v>11.122632062873489</v>
      </c>
      <c r="N838">
        <f t="shared" ca="1" si="406"/>
        <v>1.1735290000551568</v>
      </c>
      <c r="O838">
        <f t="shared" ca="1" si="407"/>
        <v>4.5807502857230418</v>
      </c>
      <c r="P838">
        <f t="shared" ca="1" si="408"/>
        <v>634.3134677043987</v>
      </c>
      <c r="Q838">
        <f t="shared" ca="1" si="409"/>
        <v>635.38295155659807</v>
      </c>
      <c r="R838">
        <f t="shared" ca="1" si="410"/>
        <v>3.8141460404132466E-3</v>
      </c>
      <c r="S838">
        <f t="shared" ca="1" si="411"/>
        <v>1.0000000000000004</v>
      </c>
      <c r="T838">
        <f t="shared" ca="1" si="412"/>
        <v>35.686426155594638</v>
      </c>
      <c r="U838">
        <f t="shared" ca="1" si="433"/>
        <v>-3.4210944256756193E-3</v>
      </c>
      <c r="V838">
        <f t="shared" ca="1" si="434"/>
        <v>1</v>
      </c>
      <c r="W838">
        <f t="shared" ca="1" si="413"/>
        <v>2.1389677043987478</v>
      </c>
      <c r="X838">
        <f t="shared" ca="1" si="414"/>
        <v>11.122632062873489</v>
      </c>
      <c r="Y838">
        <f t="shared" ca="1" si="415"/>
        <v>1.1735290000551568</v>
      </c>
      <c r="Z838">
        <f t="shared" ca="1" si="416"/>
        <v>4.5807502857230418</v>
      </c>
      <c r="AA838">
        <f t="shared" ca="1" si="417"/>
        <v>634.3134677043987</v>
      </c>
      <c r="AB838">
        <f t="shared" ca="1" si="418"/>
        <v>635.38295155659807</v>
      </c>
      <c r="AC838">
        <f t="shared" ca="1" si="419"/>
        <v>3.8141460404132466E-3</v>
      </c>
      <c r="AD838">
        <f t="shared" ca="1" si="420"/>
        <v>1.0000000000000004</v>
      </c>
      <c r="AE838">
        <f t="shared" ca="1" si="421"/>
        <v>35.686426155594638</v>
      </c>
      <c r="AF838">
        <f t="shared" ca="1" si="422"/>
        <v>3.3750443834605903E-3</v>
      </c>
      <c r="AG838">
        <f t="shared" ca="1" si="423"/>
        <v>1</v>
      </c>
      <c r="AH838">
        <f ca="1">IFERROR(IF(V32="Supercritical",MAX($D$16,IFERROR(L838,MAX($D$16,POWER((ABS(K838)^2)/($I$5*MAX(F838,0.1)^2),1/3)))),IF(V32="Subcritical",MAX($D$16,IFERROR(W838,MAX($D$16,POWER((ABS(K838)^2)/($I$5*MAX(F838,0.1)^2),1/3)))),IF(AND(IFERROR(V838,0)=1,IFERROR(AG838,0)=1),IF(IFERROR(T838,-1E+99)&gt;=IFERROR(AE838,-1E+99),MAX($D$16,IFERROR(L838,MAX($D$16,POWER((ABS(K838)^2)/($I$5*MAX(F838,0.1)^2),1/3)))),MAX($D$16,IFERROR(W838,MAX($D$16,POWER((ABS(K838)^2)/($I$5*MAX(F838,0.1)^2),1/3))))),IF(IFERROR(V838,0)=1,MAX($D$16,IFERROR(L838,MAX($D$16,POWER((ABS(K838)^2)/($I$5*MAX(F838,0.1)^2),1/3)))),IF(IFERROR(AG838,0)=1,MAX($D$16,IFERROR(W838,MAX($D$16,POWER((ABS(K838)^2)/($I$5*MAX(F838,0.1)^2),1/3)))),MAX($D$16,POWER((ABS(K838)^2)/($I$5*MAX(F838,0.1)^2),1/3))))))),MAX($D$16,POWER((ABS(K838)^2)/($I$5*MAX(F838,0.1)^2),1/3)))</f>
        <v>2.1389677043987478</v>
      </c>
      <c r="AI838">
        <f t="shared" ca="1" si="424"/>
        <v>634.3134677043987</v>
      </c>
      <c r="AJ838">
        <f t="shared" ca="1" si="425"/>
        <v>635.38295155659807</v>
      </c>
      <c r="AM838">
        <v>0</v>
      </c>
      <c r="AN838">
        <v>0</v>
      </c>
      <c r="AO838">
        <f t="shared" si="426"/>
        <v>0</v>
      </c>
      <c r="AP838">
        <f t="shared" si="435"/>
        <v>0</v>
      </c>
      <c r="AQ838">
        <f t="shared" ca="1" si="427"/>
        <v>1.0000000000000004</v>
      </c>
      <c r="AR838" t="str">
        <f t="shared" ca="1" si="428"/>
        <v>Supercritical</v>
      </c>
      <c r="AS838">
        <f t="shared" ca="1" si="429"/>
        <v>3.8141460404132466E-3</v>
      </c>
    </row>
    <row r="839" spans="1:45" x14ac:dyDescent="0.35">
      <c r="A839">
        <v>778</v>
      </c>
      <c r="B839">
        <v>776.99599999999998</v>
      </c>
      <c r="C839">
        <v>616090.71699999995</v>
      </c>
      <c r="D839">
        <v>3097229.8569999998</v>
      </c>
      <c r="E839">
        <v>632.17399999999998</v>
      </c>
      <c r="F839">
        <v>5.2</v>
      </c>
      <c r="G839">
        <v>0</v>
      </c>
      <c r="H839" t="s">
        <v>154</v>
      </c>
      <c r="I839">
        <v>2E-3</v>
      </c>
      <c r="J839">
        <f t="shared" si="430"/>
        <v>1.0009999999999764</v>
      </c>
      <c r="K839">
        <f t="shared" ca="1" si="431"/>
        <v>50.95</v>
      </c>
      <c r="L839">
        <f t="shared" ca="1" si="432"/>
        <v>2.1389677043987478</v>
      </c>
      <c r="M839">
        <f t="shared" ca="1" si="405"/>
        <v>11.122632062873489</v>
      </c>
      <c r="N839">
        <f t="shared" ca="1" si="406"/>
        <v>1.1735290000551568</v>
      </c>
      <c r="O839">
        <f t="shared" ca="1" si="407"/>
        <v>4.5807502857230418</v>
      </c>
      <c r="P839">
        <f t="shared" ca="1" si="408"/>
        <v>634.31296770439872</v>
      </c>
      <c r="Q839">
        <f t="shared" ca="1" si="409"/>
        <v>635.38245155659808</v>
      </c>
      <c r="R839">
        <f t="shared" ca="1" si="410"/>
        <v>3.8141460404132466E-3</v>
      </c>
      <c r="S839">
        <f t="shared" ca="1" si="411"/>
        <v>1.0000000000000004</v>
      </c>
      <c r="T839">
        <f t="shared" ca="1" si="412"/>
        <v>35.686426155594638</v>
      </c>
      <c r="U839">
        <f t="shared" ca="1" si="433"/>
        <v>-3.3215251326055295E-3</v>
      </c>
      <c r="V839">
        <f t="shared" ca="1" si="434"/>
        <v>1</v>
      </c>
      <c r="W839">
        <f t="shared" ca="1" si="413"/>
        <v>2.1389677043987478</v>
      </c>
      <c r="X839">
        <f t="shared" ca="1" si="414"/>
        <v>11.122632062873489</v>
      </c>
      <c r="Y839">
        <f t="shared" ca="1" si="415"/>
        <v>1.1735290000551568</v>
      </c>
      <c r="Z839">
        <f t="shared" ca="1" si="416"/>
        <v>4.5807502857230418</v>
      </c>
      <c r="AA839">
        <f t="shared" ca="1" si="417"/>
        <v>634.31296770439872</v>
      </c>
      <c r="AB839">
        <f t="shared" ca="1" si="418"/>
        <v>635.38245155659808</v>
      </c>
      <c r="AC839">
        <f t="shared" ca="1" si="419"/>
        <v>3.8141460404132466E-3</v>
      </c>
      <c r="AD839">
        <f t="shared" ca="1" si="420"/>
        <v>1.0000000000000004</v>
      </c>
      <c r="AE839">
        <f t="shared" ca="1" si="421"/>
        <v>35.686426155594638</v>
      </c>
      <c r="AF839">
        <f t="shared" ca="1" si="422"/>
        <v>3.4692882958324844E-3</v>
      </c>
      <c r="AG839">
        <f t="shared" ca="1" si="423"/>
        <v>1</v>
      </c>
      <c r="AH839">
        <f ca="1">IFERROR(IF(V32="Supercritical",MAX($D$16,IFERROR(L839,MAX($D$16,POWER((ABS(K839)^2)/($I$5*MAX(F839,0.1)^2),1/3)))),IF(V32="Subcritical",MAX($D$16,IFERROR(W839,MAX($D$16,POWER((ABS(K839)^2)/($I$5*MAX(F839,0.1)^2),1/3)))),IF(AND(IFERROR(V839,0)=1,IFERROR(AG839,0)=1),IF(IFERROR(T839,-1E+99)&gt;=IFERROR(AE839,-1E+99),MAX($D$16,IFERROR(L839,MAX($D$16,POWER((ABS(K839)^2)/($I$5*MAX(F839,0.1)^2),1/3)))),MAX($D$16,IFERROR(W839,MAX($D$16,POWER((ABS(K839)^2)/($I$5*MAX(F839,0.1)^2),1/3))))),IF(IFERROR(V839,0)=1,MAX($D$16,IFERROR(L839,MAX($D$16,POWER((ABS(K839)^2)/($I$5*MAX(F839,0.1)^2),1/3)))),IF(IFERROR(AG839,0)=1,MAX($D$16,IFERROR(W839,MAX($D$16,POWER((ABS(K839)^2)/($I$5*MAX(F839,0.1)^2),1/3)))),MAX($D$16,POWER((ABS(K839)^2)/($I$5*MAX(F839,0.1)^2),1/3))))))),MAX($D$16,POWER((ABS(K839)^2)/($I$5*MAX(F839,0.1)^2),1/3)))</f>
        <v>2.1389677043987478</v>
      </c>
      <c r="AI839">
        <f t="shared" ca="1" si="424"/>
        <v>634.31296770439872</v>
      </c>
      <c r="AJ839">
        <f t="shared" ca="1" si="425"/>
        <v>635.38245155659808</v>
      </c>
      <c r="AM839">
        <v>0</v>
      </c>
      <c r="AN839">
        <v>0</v>
      </c>
      <c r="AO839">
        <f t="shared" si="426"/>
        <v>0</v>
      </c>
      <c r="AP839">
        <f t="shared" si="435"/>
        <v>0</v>
      </c>
      <c r="AQ839">
        <f t="shared" ca="1" si="427"/>
        <v>1.0000000000000004</v>
      </c>
      <c r="AR839" t="str">
        <f t="shared" ca="1" si="428"/>
        <v>Supercritical</v>
      </c>
      <c r="AS839">
        <f t="shared" ca="1" si="429"/>
        <v>3.8141460404132466E-3</v>
      </c>
    </row>
    <row r="840" spans="1:45" x14ac:dyDescent="0.35">
      <c r="A840">
        <v>779</v>
      </c>
      <c r="B840">
        <v>777.99599999999998</v>
      </c>
      <c r="C840">
        <v>616090.67500000005</v>
      </c>
      <c r="D840">
        <v>3097228.858</v>
      </c>
      <c r="E840">
        <v>632.17349999999999</v>
      </c>
      <c r="F840">
        <v>5.2</v>
      </c>
      <c r="G840">
        <v>0</v>
      </c>
      <c r="H840" t="s">
        <v>154</v>
      </c>
      <c r="I840">
        <v>5.7000000000000002E-2</v>
      </c>
      <c r="J840">
        <f t="shared" si="430"/>
        <v>1</v>
      </c>
      <c r="K840">
        <f t="shared" ca="1" si="431"/>
        <v>50.95</v>
      </c>
      <c r="L840">
        <f t="shared" ca="1" si="432"/>
        <v>2.1389677043987478</v>
      </c>
      <c r="M840">
        <f t="shared" ca="1" si="405"/>
        <v>11.122632062873489</v>
      </c>
      <c r="N840">
        <f t="shared" ca="1" si="406"/>
        <v>1.1735290000551568</v>
      </c>
      <c r="O840">
        <f t="shared" ca="1" si="407"/>
        <v>4.5807502857230418</v>
      </c>
      <c r="P840">
        <f t="shared" ca="1" si="408"/>
        <v>634.31246770439873</v>
      </c>
      <c r="Q840">
        <f t="shared" ca="1" si="409"/>
        <v>635.3819515565981</v>
      </c>
      <c r="R840">
        <f t="shared" ca="1" si="410"/>
        <v>3.8141460404132466E-3</v>
      </c>
      <c r="S840">
        <f t="shared" ca="1" si="411"/>
        <v>1.0000000000000004</v>
      </c>
      <c r="T840">
        <f t="shared" ca="1" si="412"/>
        <v>35.686426155594638</v>
      </c>
      <c r="U840">
        <f t="shared" ca="1" si="433"/>
        <v>-3.4157470064428708E-3</v>
      </c>
      <c r="V840">
        <f t="shared" ca="1" si="434"/>
        <v>1</v>
      </c>
      <c r="W840">
        <f t="shared" ca="1" si="413"/>
        <v>2.1389677043987478</v>
      </c>
      <c r="X840">
        <f t="shared" ca="1" si="414"/>
        <v>11.122632062873489</v>
      </c>
      <c r="Y840">
        <f t="shared" ca="1" si="415"/>
        <v>1.1735290000551568</v>
      </c>
      <c r="Z840">
        <f t="shared" ca="1" si="416"/>
        <v>4.5807502857230418</v>
      </c>
      <c r="AA840">
        <f t="shared" ca="1" si="417"/>
        <v>634.31246770439873</v>
      </c>
      <c r="AB840">
        <f t="shared" ca="1" si="418"/>
        <v>635.3819515565981</v>
      </c>
      <c r="AC840">
        <f t="shared" ca="1" si="419"/>
        <v>3.8141460404132466E-3</v>
      </c>
      <c r="AD840">
        <f t="shared" ca="1" si="420"/>
        <v>1.0000000000000004</v>
      </c>
      <c r="AE840">
        <f t="shared" ca="1" si="421"/>
        <v>35.686426155594638</v>
      </c>
      <c r="AF840">
        <f t="shared" ca="1" si="422"/>
        <v>3.4677132595106741E-3</v>
      </c>
      <c r="AG840">
        <f t="shared" ca="1" si="423"/>
        <v>1</v>
      </c>
      <c r="AH840">
        <f ca="1">IFERROR(IF(V32="Supercritical",MAX($D$16,IFERROR(L840,MAX($D$16,POWER((ABS(K840)^2)/($I$5*MAX(F840,0.1)^2),1/3)))),IF(V32="Subcritical",MAX($D$16,IFERROR(W840,MAX($D$16,POWER((ABS(K840)^2)/($I$5*MAX(F840,0.1)^2),1/3)))),IF(AND(IFERROR(V840,0)=1,IFERROR(AG840,0)=1),IF(IFERROR(T840,-1E+99)&gt;=IFERROR(AE840,-1E+99),MAX($D$16,IFERROR(L840,MAX($D$16,POWER((ABS(K840)^2)/($I$5*MAX(F840,0.1)^2),1/3)))),MAX($D$16,IFERROR(W840,MAX($D$16,POWER((ABS(K840)^2)/($I$5*MAX(F840,0.1)^2),1/3))))),IF(IFERROR(V840,0)=1,MAX($D$16,IFERROR(L840,MAX($D$16,POWER((ABS(K840)^2)/($I$5*MAX(F840,0.1)^2),1/3)))),IF(IFERROR(AG840,0)=1,MAX($D$16,IFERROR(W840,MAX($D$16,POWER((ABS(K840)^2)/($I$5*MAX(F840,0.1)^2),1/3)))),MAX($D$16,POWER((ABS(K840)^2)/($I$5*MAX(F840,0.1)^2),1/3))))))),MAX($D$16,POWER((ABS(K840)^2)/($I$5*MAX(F840,0.1)^2),1/3)))</f>
        <v>2.1389677043987478</v>
      </c>
      <c r="AI840">
        <f t="shared" ca="1" si="424"/>
        <v>634.31246770439873</v>
      </c>
      <c r="AJ840">
        <f t="shared" ca="1" si="425"/>
        <v>635.3819515565981</v>
      </c>
      <c r="AM840">
        <v>0</v>
      </c>
      <c r="AN840">
        <v>0</v>
      </c>
      <c r="AO840">
        <f t="shared" si="426"/>
        <v>0</v>
      </c>
      <c r="AP840">
        <f t="shared" si="435"/>
        <v>0</v>
      </c>
      <c r="AQ840">
        <f t="shared" ca="1" si="427"/>
        <v>1.0000000000000004</v>
      </c>
      <c r="AR840" t="str">
        <f t="shared" ca="1" si="428"/>
        <v>Supercritical</v>
      </c>
      <c r="AS840">
        <f t="shared" ca="1" si="429"/>
        <v>3.8141460404132466E-3</v>
      </c>
    </row>
    <row r="841" spans="1:45" x14ac:dyDescent="0.35">
      <c r="A841">
        <v>780</v>
      </c>
      <c r="B841">
        <v>778.99599999999998</v>
      </c>
      <c r="C841">
        <v>616090.63199999998</v>
      </c>
      <c r="D841">
        <v>3097227.8590000002</v>
      </c>
      <c r="E841">
        <v>632.173</v>
      </c>
      <c r="F841">
        <v>5.2</v>
      </c>
      <c r="G841">
        <v>0</v>
      </c>
      <c r="H841" t="s">
        <v>154</v>
      </c>
      <c r="I841">
        <v>5.7000000000000002E-2</v>
      </c>
      <c r="J841">
        <f t="shared" si="430"/>
        <v>1</v>
      </c>
      <c r="K841">
        <f t="shared" ca="1" si="431"/>
        <v>50.95</v>
      </c>
      <c r="L841">
        <f t="shared" ca="1" si="432"/>
        <v>2.1389677043987478</v>
      </c>
      <c r="M841">
        <f t="shared" ca="1" si="405"/>
        <v>11.122632062873489</v>
      </c>
      <c r="N841">
        <f t="shared" ca="1" si="406"/>
        <v>1.1735290000551568</v>
      </c>
      <c r="O841">
        <f t="shared" ca="1" si="407"/>
        <v>4.5807502857230418</v>
      </c>
      <c r="P841">
        <f t="shared" ca="1" si="408"/>
        <v>634.31196770439874</v>
      </c>
      <c r="Q841">
        <f t="shared" ca="1" si="409"/>
        <v>635.38145155659811</v>
      </c>
      <c r="R841">
        <f t="shared" ca="1" si="410"/>
        <v>3.8141460404132466E-3</v>
      </c>
      <c r="S841">
        <f t="shared" ca="1" si="411"/>
        <v>1.0000000000000004</v>
      </c>
      <c r="T841">
        <f t="shared" ca="1" si="412"/>
        <v>35.686426155594638</v>
      </c>
      <c r="U841">
        <f t="shared" ca="1" si="433"/>
        <v>-3.4157470064428708E-3</v>
      </c>
      <c r="V841">
        <f t="shared" ca="1" si="434"/>
        <v>1</v>
      </c>
      <c r="W841">
        <f t="shared" ca="1" si="413"/>
        <v>2.1389677043987478</v>
      </c>
      <c r="X841">
        <f t="shared" ca="1" si="414"/>
        <v>11.122632062873489</v>
      </c>
      <c r="Y841">
        <f t="shared" ca="1" si="415"/>
        <v>1.1735290000551568</v>
      </c>
      <c r="Z841">
        <f t="shared" ca="1" si="416"/>
        <v>4.5807502857230418</v>
      </c>
      <c r="AA841">
        <f t="shared" ca="1" si="417"/>
        <v>634.31196770439874</v>
      </c>
      <c r="AB841">
        <f t="shared" ca="1" si="418"/>
        <v>635.38145155659811</v>
      </c>
      <c r="AC841">
        <f t="shared" ca="1" si="419"/>
        <v>3.8141460404132466E-3</v>
      </c>
      <c r="AD841">
        <f t="shared" ca="1" si="420"/>
        <v>1.0000000000000004</v>
      </c>
      <c r="AE841">
        <f t="shared" ca="1" si="421"/>
        <v>35.686426155594638</v>
      </c>
      <c r="AF841">
        <f t="shared" ca="1" si="422"/>
        <v>3.366088659390698E-3</v>
      </c>
      <c r="AG841">
        <f t="shared" ca="1" si="423"/>
        <v>1</v>
      </c>
      <c r="AH841">
        <f ca="1">IFERROR(IF(V32="Supercritical",MAX($D$16,IFERROR(L841,MAX($D$16,POWER((ABS(K841)^2)/($I$5*MAX(F841,0.1)^2),1/3)))),IF(V32="Subcritical",MAX($D$16,IFERROR(W841,MAX($D$16,POWER((ABS(K841)^2)/($I$5*MAX(F841,0.1)^2),1/3)))),IF(AND(IFERROR(V841,0)=1,IFERROR(AG841,0)=1),IF(IFERROR(T841,-1E+99)&gt;=IFERROR(AE841,-1E+99),MAX($D$16,IFERROR(L841,MAX($D$16,POWER((ABS(K841)^2)/($I$5*MAX(F841,0.1)^2),1/3)))),MAX($D$16,IFERROR(W841,MAX($D$16,POWER((ABS(K841)^2)/($I$5*MAX(F841,0.1)^2),1/3))))),IF(IFERROR(V841,0)=1,MAX($D$16,IFERROR(L841,MAX($D$16,POWER((ABS(K841)^2)/($I$5*MAX(F841,0.1)^2),1/3)))),IF(IFERROR(AG841,0)=1,MAX($D$16,IFERROR(W841,MAX($D$16,POWER((ABS(K841)^2)/($I$5*MAX(F841,0.1)^2),1/3)))),MAX($D$16,POWER((ABS(K841)^2)/($I$5*MAX(F841,0.1)^2),1/3))))))),MAX($D$16,POWER((ABS(K841)^2)/($I$5*MAX(F841,0.1)^2),1/3)))</f>
        <v>2.1389677043987478</v>
      </c>
      <c r="AI841">
        <f t="shared" ca="1" si="424"/>
        <v>634.31196770439874</v>
      </c>
      <c r="AJ841">
        <f t="shared" ca="1" si="425"/>
        <v>635.38145155659811</v>
      </c>
      <c r="AM841">
        <v>0</v>
      </c>
      <c r="AN841">
        <v>0</v>
      </c>
      <c r="AO841">
        <f t="shared" si="426"/>
        <v>0</v>
      </c>
      <c r="AP841">
        <f t="shared" si="435"/>
        <v>0</v>
      </c>
      <c r="AQ841">
        <f t="shared" ca="1" si="427"/>
        <v>1.0000000000000004</v>
      </c>
      <c r="AR841" t="str">
        <f t="shared" ca="1" si="428"/>
        <v>Supercritical</v>
      </c>
      <c r="AS841">
        <f t="shared" ca="1" si="429"/>
        <v>3.8141460404132466E-3</v>
      </c>
    </row>
    <row r="842" spans="1:45" x14ac:dyDescent="0.35">
      <c r="A842">
        <v>781</v>
      </c>
      <c r="B842">
        <v>779.99599999999998</v>
      </c>
      <c r="C842">
        <v>616090.59</v>
      </c>
      <c r="D842">
        <v>3097226.86</v>
      </c>
      <c r="E842">
        <v>632.17250000000001</v>
      </c>
      <c r="F842">
        <v>5.2</v>
      </c>
      <c r="G842">
        <v>0</v>
      </c>
      <c r="H842" t="s">
        <v>154</v>
      </c>
      <c r="I842">
        <v>0</v>
      </c>
      <c r="J842">
        <f t="shared" si="430"/>
        <v>1</v>
      </c>
      <c r="K842">
        <f t="shared" ca="1" si="431"/>
        <v>50.95</v>
      </c>
      <c r="L842">
        <f t="shared" ca="1" si="432"/>
        <v>2.1389677043987478</v>
      </c>
      <c r="M842">
        <f t="shared" ca="1" si="405"/>
        <v>11.122632062873489</v>
      </c>
      <c r="N842">
        <f t="shared" ca="1" si="406"/>
        <v>1.1735290000551568</v>
      </c>
      <c r="O842">
        <f t="shared" ca="1" si="407"/>
        <v>4.5807502857230418</v>
      </c>
      <c r="P842">
        <f t="shared" ca="1" si="408"/>
        <v>634.31146770439875</v>
      </c>
      <c r="Q842">
        <f t="shared" ca="1" si="409"/>
        <v>635.38095155659812</v>
      </c>
      <c r="R842">
        <f t="shared" ca="1" si="410"/>
        <v>3.8141460404132466E-3</v>
      </c>
      <c r="S842">
        <f t="shared" ca="1" si="411"/>
        <v>1.0000000000000004</v>
      </c>
      <c r="T842">
        <f t="shared" ca="1" si="412"/>
        <v>35.686426155594638</v>
      </c>
      <c r="U842">
        <f t="shared" ca="1" si="433"/>
        <v>-3.3141460404522149E-3</v>
      </c>
      <c r="V842">
        <f t="shared" ca="1" si="434"/>
        <v>1</v>
      </c>
      <c r="W842">
        <f t="shared" ca="1" si="413"/>
        <v>2.1389677043987478</v>
      </c>
      <c r="X842">
        <f t="shared" ca="1" si="414"/>
        <v>11.122632062873489</v>
      </c>
      <c r="Y842">
        <f t="shared" ca="1" si="415"/>
        <v>1.1735290000551568</v>
      </c>
      <c r="Z842">
        <f t="shared" ca="1" si="416"/>
        <v>4.5807502857230418</v>
      </c>
      <c r="AA842">
        <f t="shared" ca="1" si="417"/>
        <v>634.31146770439875</v>
      </c>
      <c r="AB842">
        <f t="shared" ca="1" si="418"/>
        <v>635.38095155659812</v>
      </c>
      <c r="AC842">
        <f t="shared" ca="1" si="419"/>
        <v>3.8141460404132466E-3</v>
      </c>
      <c r="AD842">
        <f t="shared" ca="1" si="420"/>
        <v>1.0000000000000004</v>
      </c>
      <c r="AE842">
        <f t="shared" ca="1" si="421"/>
        <v>35.686426155594638</v>
      </c>
      <c r="AF842">
        <f t="shared" ca="1" si="422"/>
        <v>3.3676613724082927E-3</v>
      </c>
      <c r="AG842">
        <f t="shared" ca="1" si="423"/>
        <v>1</v>
      </c>
      <c r="AH842">
        <f ca="1">IFERROR(IF(V32="Supercritical",MAX($D$16,IFERROR(L842,MAX($D$16,POWER((ABS(K842)^2)/($I$5*MAX(F842,0.1)^2),1/3)))),IF(V32="Subcritical",MAX($D$16,IFERROR(W842,MAX($D$16,POWER((ABS(K842)^2)/($I$5*MAX(F842,0.1)^2),1/3)))),IF(AND(IFERROR(V842,0)=1,IFERROR(AG842,0)=1),IF(IFERROR(T842,-1E+99)&gt;=IFERROR(AE842,-1E+99),MAX($D$16,IFERROR(L842,MAX($D$16,POWER((ABS(K842)^2)/($I$5*MAX(F842,0.1)^2),1/3)))),MAX($D$16,IFERROR(W842,MAX($D$16,POWER((ABS(K842)^2)/($I$5*MAX(F842,0.1)^2),1/3))))),IF(IFERROR(V842,0)=1,MAX($D$16,IFERROR(L842,MAX($D$16,POWER((ABS(K842)^2)/($I$5*MAX(F842,0.1)^2),1/3)))),IF(IFERROR(AG842,0)=1,MAX($D$16,IFERROR(W842,MAX($D$16,POWER((ABS(K842)^2)/($I$5*MAX(F842,0.1)^2),1/3)))),MAX($D$16,POWER((ABS(K842)^2)/($I$5*MAX(F842,0.1)^2),1/3))))))),MAX($D$16,POWER((ABS(K842)^2)/($I$5*MAX(F842,0.1)^2),1/3)))</f>
        <v>2.1389677043987478</v>
      </c>
      <c r="AI842">
        <f t="shared" ca="1" si="424"/>
        <v>634.31146770439875</v>
      </c>
      <c r="AJ842">
        <f t="shared" ca="1" si="425"/>
        <v>635.38095155659812</v>
      </c>
      <c r="AM842">
        <v>0</v>
      </c>
      <c r="AN842">
        <v>0</v>
      </c>
      <c r="AO842">
        <f t="shared" si="426"/>
        <v>0</v>
      </c>
      <c r="AP842">
        <f t="shared" si="435"/>
        <v>0</v>
      </c>
      <c r="AQ842">
        <f t="shared" ca="1" si="427"/>
        <v>1.0000000000000004</v>
      </c>
      <c r="AR842" t="str">
        <f t="shared" ca="1" si="428"/>
        <v>Supercritical</v>
      </c>
      <c r="AS842">
        <f t="shared" ca="1" si="429"/>
        <v>3.8141460404132466E-3</v>
      </c>
    </row>
    <row r="843" spans="1:45" x14ac:dyDescent="0.35">
      <c r="A843">
        <v>782</v>
      </c>
      <c r="B843">
        <v>780.99599999999998</v>
      </c>
      <c r="C843">
        <v>616090.54799999995</v>
      </c>
      <c r="D843">
        <v>3097225.861</v>
      </c>
      <c r="E843">
        <v>632.17200000000003</v>
      </c>
      <c r="F843">
        <v>5.2</v>
      </c>
      <c r="G843">
        <v>0</v>
      </c>
      <c r="H843" t="s">
        <v>154</v>
      </c>
      <c r="I843">
        <v>0</v>
      </c>
      <c r="J843">
        <f t="shared" si="430"/>
        <v>1</v>
      </c>
      <c r="K843">
        <f t="shared" ca="1" si="431"/>
        <v>50.95</v>
      </c>
      <c r="L843">
        <f t="shared" ca="1" si="432"/>
        <v>2.1389677043987478</v>
      </c>
      <c r="M843">
        <f t="shared" ca="1" si="405"/>
        <v>11.122632062873489</v>
      </c>
      <c r="N843">
        <f t="shared" ca="1" si="406"/>
        <v>1.1735290000551568</v>
      </c>
      <c r="O843">
        <f t="shared" ca="1" si="407"/>
        <v>4.5807502857230418</v>
      </c>
      <c r="P843">
        <f t="shared" ca="1" si="408"/>
        <v>634.31096770439876</v>
      </c>
      <c r="Q843">
        <f t="shared" ca="1" si="409"/>
        <v>635.38045155659813</v>
      </c>
      <c r="R843">
        <f t="shared" ca="1" si="410"/>
        <v>3.8141460404132466E-3</v>
      </c>
      <c r="S843">
        <f t="shared" ca="1" si="411"/>
        <v>1.0000000000000004</v>
      </c>
      <c r="T843">
        <f t="shared" ca="1" si="412"/>
        <v>35.686426155594638</v>
      </c>
      <c r="U843">
        <f t="shared" ca="1" si="433"/>
        <v>-3.3141460404522149E-3</v>
      </c>
      <c r="V843">
        <f t="shared" ca="1" si="434"/>
        <v>1</v>
      </c>
      <c r="W843">
        <f t="shared" ca="1" si="413"/>
        <v>2.1389677043987478</v>
      </c>
      <c r="X843">
        <f t="shared" ca="1" si="414"/>
        <v>11.122632062873489</v>
      </c>
      <c r="Y843">
        <f t="shared" ca="1" si="415"/>
        <v>1.1735290000551568</v>
      </c>
      <c r="Z843">
        <f t="shared" ca="1" si="416"/>
        <v>4.5807502857230418</v>
      </c>
      <c r="AA843">
        <f t="shared" ca="1" si="417"/>
        <v>634.31096770439876</v>
      </c>
      <c r="AB843">
        <f t="shared" ca="1" si="418"/>
        <v>635.38045155659813</v>
      </c>
      <c r="AC843">
        <f t="shared" ca="1" si="419"/>
        <v>3.8141460404132466E-3</v>
      </c>
      <c r="AD843">
        <f t="shared" ca="1" si="420"/>
        <v>1.0000000000000004</v>
      </c>
      <c r="AE843">
        <f t="shared" ca="1" si="421"/>
        <v>35.686426155594638</v>
      </c>
      <c r="AF843">
        <f t="shared" ca="1" si="422"/>
        <v>3.4692291562805622E-3</v>
      </c>
      <c r="AG843">
        <f t="shared" ca="1" si="423"/>
        <v>1</v>
      </c>
      <c r="AH843">
        <f ca="1">IFERROR(IF(V32="Supercritical",MAX($D$16,IFERROR(L843,MAX($D$16,POWER((ABS(K843)^2)/($I$5*MAX(F843,0.1)^2),1/3)))),IF(V32="Subcritical",MAX($D$16,IFERROR(W843,MAX($D$16,POWER((ABS(K843)^2)/($I$5*MAX(F843,0.1)^2),1/3)))),IF(AND(IFERROR(V843,0)=1,IFERROR(AG843,0)=1),IF(IFERROR(T843,-1E+99)&gt;=IFERROR(AE843,-1E+99),MAX($D$16,IFERROR(L843,MAX($D$16,POWER((ABS(K843)^2)/($I$5*MAX(F843,0.1)^2),1/3)))),MAX($D$16,IFERROR(W843,MAX($D$16,POWER((ABS(K843)^2)/($I$5*MAX(F843,0.1)^2),1/3))))),IF(IFERROR(V843,0)=1,MAX($D$16,IFERROR(L843,MAX($D$16,POWER((ABS(K843)^2)/($I$5*MAX(F843,0.1)^2),1/3)))),IF(IFERROR(AG843,0)=1,MAX($D$16,IFERROR(W843,MAX($D$16,POWER((ABS(K843)^2)/($I$5*MAX(F843,0.1)^2),1/3)))),MAX($D$16,POWER((ABS(K843)^2)/($I$5*MAX(F843,0.1)^2),1/3))))))),MAX($D$16,POWER((ABS(K843)^2)/($I$5*MAX(F843,0.1)^2),1/3)))</f>
        <v>2.1389677043987478</v>
      </c>
      <c r="AI843">
        <f t="shared" ca="1" si="424"/>
        <v>634.31096770439876</v>
      </c>
      <c r="AJ843">
        <f t="shared" ca="1" si="425"/>
        <v>635.38045155659813</v>
      </c>
      <c r="AM843">
        <v>0</v>
      </c>
      <c r="AN843">
        <v>0</v>
      </c>
      <c r="AO843">
        <f t="shared" si="426"/>
        <v>0</v>
      </c>
      <c r="AP843">
        <f t="shared" si="435"/>
        <v>0</v>
      </c>
      <c r="AQ843">
        <f t="shared" ca="1" si="427"/>
        <v>1.0000000000000004</v>
      </c>
      <c r="AR843" t="str">
        <f t="shared" ca="1" si="428"/>
        <v>Supercritical</v>
      </c>
      <c r="AS843">
        <f t="shared" ca="1" si="429"/>
        <v>3.8141460404132466E-3</v>
      </c>
    </row>
    <row r="844" spans="1:45" x14ac:dyDescent="0.35">
      <c r="A844">
        <v>783</v>
      </c>
      <c r="B844">
        <v>781.99599999999998</v>
      </c>
      <c r="C844">
        <v>616090.50600000005</v>
      </c>
      <c r="D844">
        <v>3097224.8620000002</v>
      </c>
      <c r="E844">
        <v>632.17150000000004</v>
      </c>
      <c r="F844">
        <v>5.2</v>
      </c>
      <c r="G844">
        <v>0</v>
      </c>
      <c r="H844" t="s">
        <v>154</v>
      </c>
      <c r="I844">
        <v>5.7000000000000002E-2</v>
      </c>
      <c r="J844">
        <f t="shared" si="430"/>
        <v>1</v>
      </c>
      <c r="K844">
        <f t="shared" ca="1" si="431"/>
        <v>50.95</v>
      </c>
      <c r="L844">
        <f t="shared" ca="1" si="432"/>
        <v>2.1389677043987478</v>
      </c>
      <c r="M844">
        <f t="shared" ca="1" si="405"/>
        <v>11.122632062873489</v>
      </c>
      <c r="N844">
        <f t="shared" ca="1" si="406"/>
        <v>1.1735290000551568</v>
      </c>
      <c r="O844">
        <f t="shared" ca="1" si="407"/>
        <v>4.5807502857230418</v>
      </c>
      <c r="P844">
        <f t="shared" ca="1" si="408"/>
        <v>634.31046770439877</v>
      </c>
      <c r="Q844">
        <f t="shared" ca="1" si="409"/>
        <v>635.37995155659814</v>
      </c>
      <c r="R844">
        <f t="shared" ca="1" si="410"/>
        <v>3.8141460404132466E-3</v>
      </c>
      <c r="S844">
        <f t="shared" ca="1" si="411"/>
        <v>1.0000000000000004</v>
      </c>
      <c r="T844">
        <f t="shared" ca="1" si="412"/>
        <v>35.686426155594638</v>
      </c>
      <c r="U844">
        <f t="shared" ca="1" si="433"/>
        <v>-3.4157470064428708E-3</v>
      </c>
      <c r="V844">
        <f t="shared" ca="1" si="434"/>
        <v>1</v>
      </c>
      <c r="W844">
        <f t="shared" ca="1" si="413"/>
        <v>2.1389677043987478</v>
      </c>
      <c r="X844">
        <f t="shared" ca="1" si="414"/>
        <v>11.122632062873489</v>
      </c>
      <c r="Y844">
        <f t="shared" ca="1" si="415"/>
        <v>1.1735290000551568</v>
      </c>
      <c r="Z844">
        <f t="shared" ca="1" si="416"/>
        <v>4.5807502857230418</v>
      </c>
      <c r="AA844">
        <f t="shared" ca="1" si="417"/>
        <v>634.31046770439877</v>
      </c>
      <c r="AB844">
        <f t="shared" ca="1" si="418"/>
        <v>635.37995155659814</v>
      </c>
      <c r="AC844">
        <f t="shared" ca="1" si="419"/>
        <v>3.8141460404132466E-3</v>
      </c>
      <c r="AD844">
        <f t="shared" ca="1" si="420"/>
        <v>1.0000000000000004</v>
      </c>
      <c r="AE844">
        <f t="shared" ca="1" si="421"/>
        <v>35.686426155594638</v>
      </c>
      <c r="AF844">
        <f t="shared" ca="1" si="422"/>
        <v>3.4638978702332679E-3</v>
      </c>
      <c r="AG844">
        <f t="shared" ca="1" si="423"/>
        <v>1</v>
      </c>
      <c r="AH844">
        <f ca="1">IFERROR(IF(V32="Supercritical",MAX($D$16,IFERROR(L844,MAX($D$16,POWER((ABS(K844)^2)/($I$5*MAX(F844,0.1)^2),1/3)))),IF(V32="Subcritical",MAX($D$16,IFERROR(W844,MAX($D$16,POWER((ABS(K844)^2)/($I$5*MAX(F844,0.1)^2),1/3)))),IF(AND(IFERROR(V844,0)=1,IFERROR(AG844,0)=1),IF(IFERROR(T844,-1E+99)&gt;=IFERROR(AE844,-1E+99),MAX($D$16,IFERROR(L844,MAX($D$16,POWER((ABS(K844)^2)/($I$5*MAX(F844,0.1)^2),1/3)))),MAX($D$16,IFERROR(W844,MAX($D$16,POWER((ABS(K844)^2)/($I$5*MAX(F844,0.1)^2),1/3))))),IF(IFERROR(V844,0)=1,MAX($D$16,IFERROR(L844,MAX($D$16,POWER((ABS(K844)^2)/($I$5*MAX(F844,0.1)^2),1/3)))),IF(IFERROR(AG844,0)=1,MAX($D$16,IFERROR(W844,MAX($D$16,POWER((ABS(K844)^2)/($I$5*MAX(F844,0.1)^2),1/3)))),MAX($D$16,POWER((ABS(K844)^2)/($I$5*MAX(F844,0.1)^2),1/3))))))),MAX($D$16,POWER((ABS(K844)^2)/($I$5*MAX(F844,0.1)^2),1/3)))</f>
        <v>2.1389677043987478</v>
      </c>
      <c r="AI844">
        <f t="shared" ca="1" si="424"/>
        <v>634.31046770439877</v>
      </c>
      <c r="AJ844">
        <f t="shared" ca="1" si="425"/>
        <v>635.37995155659814</v>
      </c>
      <c r="AM844">
        <v>0</v>
      </c>
      <c r="AN844">
        <v>0</v>
      </c>
      <c r="AO844">
        <f t="shared" si="426"/>
        <v>0</v>
      </c>
      <c r="AP844">
        <f t="shared" si="435"/>
        <v>0</v>
      </c>
      <c r="AQ844">
        <f t="shared" ca="1" si="427"/>
        <v>1.0000000000000004</v>
      </c>
      <c r="AR844" t="str">
        <f t="shared" ca="1" si="428"/>
        <v>Supercritical</v>
      </c>
      <c r="AS844">
        <f t="shared" ca="1" si="429"/>
        <v>3.8141460404132466E-3</v>
      </c>
    </row>
    <row r="845" spans="1:45" x14ac:dyDescent="0.35">
      <c r="A845">
        <v>784</v>
      </c>
      <c r="B845">
        <v>782.995</v>
      </c>
      <c r="C845">
        <v>616090.46299999999</v>
      </c>
      <c r="D845">
        <v>3097223.8629999999</v>
      </c>
      <c r="E845">
        <v>632.17100000000005</v>
      </c>
      <c r="F845">
        <v>5.2</v>
      </c>
      <c r="G845">
        <v>0</v>
      </c>
      <c r="H845" t="s">
        <v>154</v>
      </c>
      <c r="I845">
        <v>5.7000000000000002E-2</v>
      </c>
      <c r="J845">
        <f t="shared" si="430"/>
        <v>0.99900000000002365</v>
      </c>
      <c r="K845">
        <f t="shared" ca="1" si="431"/>
        <v>50.95</v>
      </c>
      <c r="L845">
        <f t="shared" ca="1" si="432"/>
        <v>2.1389677043987478</v>
      </c>
      <c r="M845">
        <f t="shared" ca="1" si="405"/>
        <v>11.122632062873489</v>
      </c>
      <c r="N845">
        <f t="shared" ca="1" si="406"/>
        <v>1.1735290000551568</v>
      </c>
      <c r="O845">
        <f t="shared" ca="1" si="407"/>
        <v>4.5807502857230418</v>
      </c>
      <c r="P845">
        <f t="shared" ca="1" si="408"/>
        <v>634.30996770439879</v>
      </c>
      <c r="Q845">
        <f t="shared" ca="1" si="409"/>
        <v>635.37945155659816</v>
      </c>
      <c r="R845">
        <f t="shared" ca="1" si="410"/>
        <v>3.8141460404132466E-3</v>
      </c>
      <c r="S845">
        <f t="shared" ca="1" si="411"/>
        <v>1.0000000000000004</v>
      </c>
      <c r="T845">
        <f t="shared" ca="1" si="412"/>
        <v>35.686426155594638</v>
      </c>
      <c r="U845">
        <f t="shared" ca="1" si="433"/>
        <v>-3.411932860331035E-3</v>
      </c>
      <c r="V845">
        <f t="shared" ca="1" si="434"/>
        <v>1</v>
      </c>
      <c r="W845">
        <f t="shared" ca="1" si="413"/>
        <v>2.1389677043987478</v>
      </c>
      <c r="X845">
        <f t="shared" ca="1" si="414"/>
        <v>11.122632062873489</v>
      </c>
      <c r="Y845">
        <f t="shared" ca="1" si="415"/>
        <v>1.1735290000551568</v>
      </c>
      <c r="Z845">
        <f t="shared" ca="1" si="416"/>
        <v>4.5807502857230418</v>
      </c>
      <c r="AA845">
        <f t="shared" ca="1" si="417"/>
        <v>634.30996770439879</v>
      </c>
      <c r="AB845">
        <f t="shared" ca="1" si="418"/>
        <v>635.37945155659816</v>
      </c>
      <c r="AC845">
        <f t="shared" ca="1" si="419"/>
        <v>3.8141460404132466E-3</v>
      </c>
      <c r="AD845">
        <f t="shared" ca="1" si="420"/>
        <v>1.0000000000000004</v>
      </c>
      <c r="AE845">
        <f t="shared" ca="1" si="421"/>
        <v>35.686426155594638</v>
      </c>
      <c r="AF845">
        <f t="shared" ca="1" si="422"/>
        <v>3.3660878192449672E-3</v>
      </c>
      <c r="AG845">
        <f t="shared" ca="1" si="423"/>
        <v>1</v>
      </c>
      <c r="AH845">
        <f ca="1">IFERROR(IF(V32="Supercritical",MAX($D$16,IFERROR(L845,MAX($D$16,POWER((ABS(K845)^2)/($I$5*MAX(F845,0.1)^2),1/3)))),IF(V32="Subcritical",MAX($D$16,IFERROR(W845,MAX($D$16,POWER((ABS(K845)^2)/($I$5*MAX(F845,0.1)^2),1/3)))),IF(AND(IFERROR(V845,0)=1,IFERROR(AG845,0)=1),IF(IFERROR(T845,-1E+99)&gt;=IFERROR(AE845,-1E+99),MAX($D$16,IFERROR(L845,MAX($D$16,POWER((ABS(K845)^2)/($I$5*MAX(F845,0.1)^2),1/3)))),MAX($D$16,IFERROR(W845,MAX($D$16,POWER((ABS(K845)^2)/($I$5*MAX(F845,0.1)^2),1/3))))),IF(IFERROR(V845,0)=1,MAX($D$16,IFERROR(L845,MAX($D$16,POWER((ABS(K845)^2)/($I$5*MAX(F845,0.1)^2),1/3)))),IF(IFERROR(AG845,0)=1,MAX($D$16,IFERROR(W845,MAX($D$16,POWER((ABS(K845)^2)/($I$5*MAX(F845,0.1)^2),1/3)))),MAX($D$16,POWER((ABS(K845)^2)/($I$5*MAX(F845,0.1)^2),1/3))))))),MAX($D$16,POWER((ABS(K845)^2)/($I$5*MAX(F845,0.1)^2),1/3)))</f>
        <v>2.1389677043987478</v>
      </c>
      <c r="AI845">
        <f t="shared" ca="1" si="424"/>
        <v>634.30996770439879</v>
      </c>
      <c r="AJ845">
        <f t="shared" ca="1" si="425"/>
        <v>635.37945155659816</v>
      </c>
      <c r="AM845">
        <v>0</v>
      </c>
      <c r="AN845">
        <v>0</v>
      </c>
      <c r="AO845">
        <f t="shared" si="426"/>
        <v>0</v>
      </c>
      <c r="AP845">
        <f t="shared" si="435"/>
        <v>0</v>
      </c>
      <c r="AQ845">
        <f t="shared" ca="1" si="427"/>
        <v>1.0000000000000004</v>
      </c>
      <c r="AR845" t="str">
        <f t="shared" ca="1" si="428"/>
        <v>Supercritical</v>
      </c>
      <c r="AS845">
        <f t="shared" ca="1" si="429"/>
        <v>3.8141460404132466E-3</v>
      </c>
    </row>
    <row r="846" spans="1:45" x14ac:dyDescent="0.35">
      <c r="A846">
        <v>785</v>
      </c>
      <c r="B846">
        <v>783.995</v>
      </c>
      <c r="C846">
        <v>616090.42099999997</v>
      </c>
      <c r="D846">
        <v>3097222.8640000001</v>
      </c>
      <c r="E846">
        <v>632.17049999999995</v>
      </c>
      <c r="F846">
        <v>5.2</v>
      </c>
      <c r="G846">
        <v>0</v>
      </c>
      <c r="H846" t="s">
        <v>154</v>
      </c>
      <c r="I846">
        <v>0</v>
      </c>
      <c r="J846">
        <f t="shared" si="430"/>
        <v>1</v>
      </c>
      <c r="K846">
        <f t="shared" ca="1" si="431"/>
        <v>50.95</v>
      </c>
      <c r="L846">
        <f t="shared" ca="1" si="432"/>
        <v>2.1389677043987478</v>
      </c>
      <c r="M846">
        <f t="shared" ca="1" si="405"/>
        <v>11.122632062873489</v>
      </c>
      <c r="N846">
        <f t="shared" ca="1" si="406"/>
        <v>1.1735290000551568</v>
      </c>
      <c r="O846">
        <f t="shared" ca="1" si="407"/>
        <v>4.5807502857230418</v>
      </c>
      <c r="P846">
        <f t="shared" ca="1" si="408"/>
        <v>634.30946770439868</v>
      </c>
      <c r="Q846">
        <f t="shared" ca="1" si="409"/>
        <v>635.37895155659805</v>
      </c>
      <c r="R846">
        <f t="shared" ca="1" si="410"/>
        <v>3.8141460404132466E-3</v>
      </c>
      <c r="S846">
        <f t="shared" ca="1" si="411"/>
        <v>1.0000000000000004</v>
      </c>
      <c r="T846">
        <f t="shared" ca="1" si="412"/>
        <v>35.686426155594638</v>
      </c>
      <c r="U846">
        <f t="shared" ca="1" si="433"/>
        <v>-3.3141460403385281E-3</v>
      </c>
      <c r="V846">
        <f t="shared" ca="1" si="434"/>
        <v>1</v>
      </c>
      <c r="W846">
        <f t="shared" ca="1" si="413"/>
        <v>2.1389677043987478</v>
      </c>
      <c r="X846">
        <f t="shared" ca="1" si="414"/>
        <v>11.122632062873489</v>
      </c>
      <c r="Y846">
        <f t="shared" ca="1" si="415"/>
        <v>1.1735290000551568</v>
      </c>
      <c r="Z846">
        <f t="shared" ca="1" si="416"/>
        <v>4.5807502857230418</v>
      </c>
      <c r="AA846">
        <f t="shared" ca="1" si="417"/>
        <v>634.30946770439868</v>
      </c>
      <c r="AB846">
        <f t="shared" ca="1" si="418"/>
        <v>635.37895155659805</v>
      </c>
      <c r="AC846">
        <f t="shared" ca="1" si="419"/>
        <v>3.8141460404132466E-3</v>
      </c>
      <c r="AD846">
        <f t="shared" ca="1" si="420"/>
        <v>1.0000000000000004</v>
      </c>
      <c r="AE846">
        <f t="shared" ca="1" si="421"/>
        <v>35.686426155594638</v>
      </c>
      <c r="AF846">
        <f t="shared" ca="1" si="422"/>
        <v>3.367607114000748E-3</v>
      </c>
      <c r="AG846">
        <f t="shared" ca="1" si="423"/>
        <v>1</v>
      </c>
      <c r="AH846">
        <f ca="1">IFERROR(IF(V32="Supercritical",MAX($D$16,IFERROR(L846,MAX($D$16,POWER((ABS(K846)^2)/($I$5*MAX(F846,0.1)^2),1/3)))),IF(V32="Subcritical",MAX($D$16,IFERROR(W846,MAX($D$16,POWER((ABS(K846)^2)/($I$5*MAX(F846,0.1)^2),1/3)))),IF(AND(IFERROR(V846,0)=1,IFERROR(AG846,0)=1),IF(IFERROR(T846,-1E+99)&gt;=IFERROR(AE846,-1E+99),MAX($D$16,IFERROR(L846,MAX($D$16,POWER((ABS(K846)^2)/($I$5*MAX(F846,0.1)^2),1/3)))),MAX($D$16,IFERROR(W846,MAX($D$16,POWER((ABS(K846)^2)/($I$5*MAX(F846,0.1)^2),1/3))))),IF(IFERROR(V846,0)=1,MAX($D$16,IFERROR(L846,MAX($D$16,POWER((ABS(K846)^2)/($I$5*MAX(F846,0.1)^2),1/3)))),IF(IFERROR(AG846,0)=1,MAX($D$16,IFERROR(W846,MAX($D$16,POWER((ABS(K846)^2)/($I$5*MAX(F846,0.1)^2),1/3)))),MAX($D$16,POWER((ABS(K846)^2)/($I$5*MAX(F846,0.1)^2),1/3))))))),MAX($D$16,POWER((ABS(K846)^2)/($I$5*MAX(F846,0.1)^2),1/3)))</f>
        <v>2.1389677043987478</v>
      </c>
      <c r="AI846">
        <f t="shared" ca="1" si="424"/>
        <v>634.30946770439868</v>
      </c>
      <c r="AJ846">
        <f t="shared" ca="1" si="425"/>
        <v>635.37895155659805</v>
      </c>
      <c r="AM846">
        <v>0</v>
      </c>
      <c r="AN846">
        <v>0</v>
      </c>
      <c r="AO846">
        <f t="shared" si="426"/>
        <v>0</v>
      </c>
      <c r="AP846">
        <f t="shared" si="435"/>
        <v>0</v>
      </c>
      <c r="AQ846">
        <f t="shared" ca="1" si="427"/>
        <v>1.0000000000000004</v>
      </c>
      <c r="AR846" t="str">
        <f t="shared" ca="1" si="428"/>
        <v>Supercritical</v>
      </c>
      <c r="AS846">
        <f t="shared" ca="1" si="429"/>
        <v>3.8141460404132466E-3</v>
      </c>
    </row>
    <row r="847" spans="1:45" x14ac:dyDescent="0.35">
      <c r="A847">
        <v>786</v>
      </c>
      <c r="B847">
        <v>784.995</v>
      </c>
      <c r="C847">
        <v>616090.37899999996</v>
      </c>
      <c r="D847">
        <v>3097221.8650000002</v>
      </c>
      <c r="E847">
        <v>632.16999999999996</v>
      </c>
      <c r="F847">
        <v>5.2</v>
      </c>
      <c r="G847">
        <v>0</v>
      </c>
      <c r="H847" t="s">
        <v>154</v>
      </c>
      <c r="I847">
        <v>0</v>
      </c>
      <c r="J847">
        <f t="shared" si="430"/>
        <v>1</v>
      </c>
      <c r="K847">
        <f t="shared" ca="1" si="431"/>
        <v>50.95</v>
      </c>
      <c r="L847">
        <f t="shared" ca="1" si="432"/>
        <v>2.1389677043987478</v>
      </c>
      <c r="M847">
        <f t="shared" ca="1" si="405"/>
        <v>11.122632062873489</v>
      </c>
      <c r="N847">
        <f t="shared" ca="1" si="406"/>
        <v>1.1735290000551568</v>
      </c>
      <c r="O847">
        <f t="shared" ca="1" si="407"/>
        <v>4.5807502857230418</v>
      </c>
      <c r="P847">
        <f t="shared" ca="1" si="408"/>
        <v>634.3089677043987</v>
      </c>
      <c r="Q847">
        <f t="shared" ca="1" si="409"/>
        <v>635.37845155659807</v>
      </c>
      <c r="R847">
        <f t="shared" ca="1" si="410"/>
        <v>3.8141460404132466E-3</v>
      </c>
      <c r="S847">
        <f t="shared" ca="1" si="411"/>
        <v>1.0000000000000004</v>
      </c>
      <c r="T847">
        <f t="shared" ca="1" si="412"/>
        <v>35.686426155594638</v>
      </c>
      <c r="U847">
        <f t="shared" ca="1" si="433"/>
        <v>-3.3141460404522149E-3</v>
      </c>
      <c r="V847">
        <f t="shared" ca="1" si="434"/>
        <v>1</v>
      </c>
      <c r="W847">
        <f t="shared" ca="1" si="413"/>
        <v>2.1389677043987478</v>
      </c>
      <c r="X847">
        <f t="shared" ca="1" si="414"/>
        <v>11.122632062873489</v>
      </c>
      <c r="Y847">
        <f t="shared" ca="1" si="415"/>
        <v>1.1735290000551568</v>
      </c>
      <c r="Z847">
        <f t="shared" ca="1" si="416"/>
        <v>4.5807502857230418</v>
      </c>
      <c r="AA847">
        <f t="shared" ca="1" si="417"/>
        <v>634.3089677043987</v>
      </c>
      <c r="AB847">
        <f t="shared" ca="1" si="418"/>
        <v>635.37845155659807</v>
      </c>
      <c r="AC847">
        <f t="shared" ca="1" si="419"/>
        <v>3.8141460404132466E-3</v>
      </c>
      <c r="AD847">
        <f t="shared" ca="1" si="420"/>
        <v>1.0000000000000004</v>
      </c>
      <c r="AE847">
        <f t="shared" ca="1" si="421"/>
        <v>35.686426155594638</v>
      </c>
      <c r="AF847">
        <f t="shared" ca="1" si="422"/>
        <v>3.4657254707326501E-3</v>
      </c>
      <c r="AG847">
        <f t="shared" ca="1" si="423"/>
        <v>1</v>
      </c>
      <c r="AH847">
        <f ca="1">IFERROR(IF(V32="Supercritical",MAX($D$16,IFERROR(L847,MAX($D$16,POWER((ABS(K847)^2)/($I$5*MAX(F847,0.1)^2),1/3)))),IF(V32="Subcritical",MAX($D$16,IFERROR(W847,MAX($D$16,POWER((ABS(K847)^2)/($I$5*MAX(F847,0.1)^2),1/3)))),IF(AND(IFERROR(V847,0)=1,IFERROR(AG847,0)=1),IF(IFERROR(T847,-1E+99)&gt;=IFERROR(AE847,-1E+99),MAX($D$16,IFERROR(L847,MAX($D$16,POWER((ABS(K847)^2)/($I$5*MAX(F847,0.1)^2),1/3)))),MAX($D$16,IFERROR(W847,MAX($D$16,POWER((ABS(K847)^2)/($I$5*MAX(F847,0.1)^2),1/3))))),IF(IFERROR(V847,0)=1,MAX($D$16,IFERROR(L847,MAX($D$16,POWER((ABS(K847)^2)/($I$5*MAX(F847,0.1)^2),1/3)))),IF(IFERROR(AG847,0)=1,MAX($D$16,IFERROR(W847,MAX($D$16,POWER((ABS(K847)^2)/($I$5*MAX(F847,0.1)^2),1/3)))),MAX($D$16,POWER((ABS(K847)^2)/($I$5*MAX(F847,0.1)^2),1/3))))))),MAX($D$16,POWER((ABS(K847)^2)/($I$5*MAX(F847,0.1)^2),1/3)))</f>
        <v>2.1389677043987478</v>
      </c>
      <c r="AI847">
        <f t="shared" ca="1" si="424"/>
        <v>634.3089677043987</v>
      </c>
      <c r="AJ847">
        <f t="shared" ca="1" si="425"/>
        <v>635.37845155659807</v>
      </c>
      <c r="AM847">
        <v>0</v>
      </c>
      <c r="AN847">
        <v>0</v>
      </c>
      <c r="AO847">
        <f t="shared" si="426"/>
        <v>0</v>
      </c>
      <c r="AP847">
        <f t="shared" si="435"/>
        <v>0</v>
      </c>
      <c r="AQ847">
        <f t="shared" ca="1" si="427"/>
        <v>1.0000000000000004</v>
      </c>
      <c r="AR847" t="str">
        <f t="shared" ca="1" si="428"/>
        <v>Supercritical</v>
      </c>
      <c r="AS847">
        <f t="shared" ca="1" si="429"/>
        <v>3.8141460404132466E-3</v>
      </c>
    </row>
    <row r="848" spans="1:45" x14ac:dyDescent="0.35">
      <c r="A848">
        <v>787</v>
      </c>
      <c r="B848">
        <v>785.995</v>
      </c>
      <c r="C848">
        <v>616090.33700000006</v>
      </c>
      <c r="D848">
        <v>3097220.8659999999</v>
      </c>
      <c r="E848">
        <v>632.16949999999997</v>
      </c>
      <c r="F848">
        <v>5.2</v>
      </c>
      <c r="G848">
        <v>0</v>
      </c>
      <c r="H848" t="s">
        <v>154</v>
      </c>
      <c r="I848">
        <v>5.5E-2</v>
      </c>
      <c r="J848">
        <f t="shared" si="430"/>
        <v>1</v>
      </c>
      <c r="K848">
        <f t="shared" ca="1" si="431"/>
        <v>50.95</v>
      </c>
      <c r="L848">
        <f t="shared" ca="1" si="432"/>
        <v>2.1389677043987478</v>
      </c>
      <c r="M848">
        <f t="shared" ca="1" si="405"/>
        <v>11.122632062873489</v>
      </c>
      <c r="N848">
        <f t="shared" ca="1" si="406"/>
        <v>1.1735290000551568</v>
      </c>
      <c r="O848">
        <f t="shared" ca="1" si="407"/>
        <v>4.5807502857230418</v>
      </c>
      <c r="P848">
        <f t="shared" ca="1" si="408"/>
        <v>634.30846770439871</v>
      </c>
      <c r="Q848">
        <f t="shared" ca="1" si="409"/>
        <v>635.37795155659808</v>
      </c>
      <c r="R848">
        <f t="shared" ca="1" si="410"/>
        <v>3.8141460404132466E-3</v>
      </c>
      <c r="S848">
        <f t="shared" ca="1" si="411"/>
        <v>1.0000000000000004</v>
      </c>
      <c r="T848">
        <f t="shared" ca="1" si="412"/>
        <v>35.686426155594638</v>
      </c>
      <c r="U848">
        <f t="shared" ca="1" si="433"/>
        <v>-3.4121820602877051E-3</v>
      </c>
      <c r="V848">
        <f t="shared" ca="1" si="434"/>
        <v>1</v>
      </c>
      <c r="W848">
        <f t="shared" ca="1" si="413"/>
        <v>2.1389677043987478</v>
      </c>
      <c r="X848">
        <f t="shared" ca="1" si="414"/>
        <v>11.122632062873489</v>
      </c>
      <c r="Y848">
        <f t="shared" ca="1" si="415"/>
        <v>1.1735290000551568</v>
      </c>
      <c r="Z848">
        <f t="shared" ca="1" si="416"/>
        <v>4.5807502857230418</v>
      </c>
      <c r="AA848">
        <f t="shared" ca="1" si="417"/>
        <v>634.30846770439871</v>
      </c>
      <c r="AB848">
        <f t="shared" ca="1" si="418"/>
        <v>635.37795155659808</v>
      </c>
      <c r="AC848">
        <f t="shared" ca="1" si="419"/>
        <v>3.8141460404132466E-3</v>
      </c>
      <c r="AD848">
        <f t="shared" ca="1" si="420"/>
        <v>1.0000000000000004</v>
      </c>
      <c r="AE848">
        <f t="shared" ca="1" si="421"/>
        <v>35.686426155594638</v>
      </c>
      <c r="AF848">
        <f t="shared" ca="1" si="422"/>
        <v>3.4679620061979222E-3</v>
      </c>
      <c r="AG848">
        <f t="shared" ca="1" si="423"/>
        <v>1</v>
      </c>
      <c r="AH848">
        <f ca="1">IFERROR(IF(V32="Supercritical",MAX($D$16,IFERROR(L848,MAX($D$16,POWER((ABS(K848)^2)/($I$5*MAX(F848,0.1)^2),1/3)))),IF(V32="Subcritical",MAX($D$16,IFERROR(W848,MAX($D$16,POWER((ABS(K848)^2)/($I$5*MAX(F848,0.1)^2),1/3)))),IF(AND(IFERROR(V848,0)=1,IFERROR(AG848,0)=1),IF(IFERROR(T848,-1E+99)&gt;=IFERROR(AE848,-1E+99),MAX($D$16,IFERROR(L848,MAX($D$16,POWER((ABS(K848)^2)/($I$5*MAX(F848,0.1)^2),1/3)))),MAX($D$16,IFERROR(W848,MAX($D$16,POWER((ABS(K848)^2)/($I$5*MAX(F848,0.1)^2),1/3))))),IF(IFERROR(V848,0)=1,MAX($D$16,IFERROR(L848,MAX($D$16,POWER((ABS(K848)^2)/($I$5*MAX(F848,0.1)^2),1/3)))),IF(IFERROR(AG848,0)=1,MAX($D$16,IFERROR(W848,MAX($D$16,POWER((ABS(K848)^2)/($I$5*MAX(F848,0.1)^2),1/3)))),MAX($D$16,POWER((ABS(K848)^2)/($I$5*MAX(F848,0.1)^2),1/3))))))),MAX($D$16,POWER((ABS(K848)^2)/($I$5*MAX(F848,0.1)^2),1/3)))</f>
        <v>2.1389677043987478</v>
      </c>
      <c r="AI848">
        <f t="shared" ca="1" si="424"/>
        <v>634.30846770439871</v>
      </c>
      <c r="AJ848">
        <f t="shared" ca="1" si="425"/>
        <v>635.37795155659808</v>
      </c>
      <c r="AM848">
        <v>0</v>
      </c>
      <c r="AN848">
        <v>0</v>
      </c>
      <c r="AO848">
        <f t="shared" si="426"/>
        <v>0</v>
      </c>
      <c r="AP848">
        <f t="shared" si="435"/>
        <v>0</v>
      </c>
      <c r="AQ848">
        <f t="shared" ca="1" si="427"/>
        <v>1.0000000000000004</v>
      </c>
      <c r="AR848" t="str">
        <f t="shared" ca="1" si="428"/>
        <v>Supercritical</v>
      </c>
      <c r="AS848">
        <f t="shared" ca="1" si="429"/>
        <v>3.8141460404132466E-3</v>
      </c>
    </row>
    <row r="849" spans="1:45" x14ac:dyDescent="0.35">
      <c r="A849">
        <v>788</v>
      </c>
      <c r="B849">
        <v>786.99599999999998</v>
      </c>
      <c r="C849">
        <v>616090.29399999999</v>
      </c>
      <c r="D849">
        <v>3097219.8659999999</v>
      </c>
      <c r="E849">
        <v>632.16899999999998</v>
      </c>
      <c r="F849">
        <v>5.2</v>
      </c>
      <c r="G849">
        <v>0</v>
      </c>
      <c r="H849" t="s">
        <v>154</v>
      </c>
      <c r="I849">
        <v>5.5E-2</v>
      </c>
      <c r="J849">
        <f t="shared" si="430"/>
        <v>1.0009999999999764</v>
      </c>
      <c r="K849">
        <f t="shared" ca="1" si="431"/>
        <v>50.95</v>
      </c>
      <c r="L849">
        <f t="shared" ca="1" si="432"/>
        <v>2.1389677043987478</v>
      </c>
      <c r="M849">
        <f t="shared" ca="1" si="405"/>
        <v>11.122632062873489</v>
      </c>
      <c r="N849">
        <f t="shared" ca="1" si="406"/>
        <v>1.1735290000551568</v>
      </c>
      <c r="O849">
        <f t="shared" ca="1" si="407"/>
        <v>4.5807502857230418</v>
      </c>
      <c r="P849">
        <f t="shared" ca="1" si="408"/>
        <v>634.30796770439872</v>
      </c>
      <c r="Q849">
        <f t="shared" ca="1" si="409"/>
        <v>635.37745155659809</v>
      </c>
      <c r="R849">
        <f t="shared" ca="1" si="410"/>
        <v>3.8141460404132466E-3</v>
      </c>
      <c r="S849">
        <f t="shared" ca="1" si="411"/>
        <v>1.0000000000000004</v>
      </c>
      <c r="T849">
        <f t="shared" ca="1" si="412"/>
        <v>35.686426155594638</v>
      </c>
      <c r="U849">
        <f t="shared" ca="1" si="433"/>
        <v>-3.415996206285854E-3</v>
      </c>
      <c r="V849">
        <f t="shared" ca="1" si="434"/>
        <v>1</v>
      </c>
      <c r="W849">
        <f t="shared" ca="1" si="413"/>
        <v>2.1389677043987478</v>
      </c>
      <c r="X849">
        <f t="shared" ca="1" si="414"/>
        <v>11.122632062873489</v>
      </c>
      <c r="Y849">
        <f t="shared" ca="1" si="415"/>
        <v>1.1735290000551568</v>
      </c>
      <c r="Z849">
        <f t="shared" ca="1" si="416"/>
        <v>4.5807502857230418</v>
      </c>
      <c r="AA849">
        <f t="shared" ca="1" si="417"/>
        <v>634.30796770439872</v>
      </c>
      <c r="AB849">
        <f t="shared" ca="1" si="418"/>
        <v>635.37745155659809</v>
      </c>
      <c r="AC849">
        <f t="shared" ca="1" si="419"/>
        <v>3.8141460404132466E-3</v>
      </c>
      <c r="AD849">
        <f t="shared" ca="1" si="420"/>
        <v>1.0000000000000004</v>
      </c>
      <c r="AE849">
        <f t="shared" ca="1" si="421"/>
        <v>35.686426155594638</v>
      </c>
      <c r="AF849">
        <f t="shared" ca="1" si="422"/>
        <v>3.3660886736015527E-3</v>
      </c>
      <c r="AG849">
        <f t="shared" ca="1" si="423"/>
        <v>1</v>
      </c>
      <c r="AH849">
        <f ca="1">IFERROR(IF(V32="Supercritical",MAX($D$16,IFERROR(L849,MAX($D$16,POWER((ABS(K849)^2)/($I$5*MAX(F849,0.1)^2),1/3)))),IF(V32="Subcritical",MAX($D$16,IFERROR(W849,MAX($D$16,POWER((ABS(K849)^2)/($I$5*MAX(F849,0.1)^2),1/3)))),IF(AND(IFERROR(V849,0)=1,IFERROR(AG849,0)=1),IF(IFERROR(T849,-1E+99)&gt;=IFERROR(AE849,-1E+99),MAX($D$16,IFERROR(L849,MAX($D$16,POWER((ABS(K849)^2)/($I$5*MAX(F849,0.1)^2),1/3)))),MAX($D$16,IFERROR(W849,MAX($D$16,POWER((ABS(K849)^2)/($I$5*MAX(F849,0.1)^2),1/3))))),IF(IFERROR(V849,0)=1,MAX($D$16,IFERROR(L849,MAX($D$16,POWER((ABS(K849)^2)/($I$5*MAX(F849,0.1)^2),1/3)))),IF(IFERROR(AG849,0)=1,MAX($D$16,IFERROR(W849,MAX($D$16,POWER((ABS(K849)^2)/($I$5*MAX(F849,0.1)^2),1/3)))),MAX($D$16,POWER((ABS(K849)^2)/($I$5*MAX(F849,0.1)^2),1/3))))))),MAX($D$16,POWER((ABS(K849)^2)/($I$5*MAX(F849,0.1)^2),1/3)))</f>
        <v>2.1389677043987478</v>
      </c>
      <c r="AI849">
        <f t="shared" ca="1" si="424"/>
        <v>634.30796770439872</v>
      </c>
      <c r="AJ849">
        <f t="shared" ca="1" si="425"/>
        <v>635.37745155659809</v>
      </c>
      <c r="AM849">
        <v>0</v>
      </c>
      <c r="AN849">
        <v>0</v>
      </c>
      <c r="AO849">
        <f t="shared" si="426"/>
        <v>0</v>
      </c>
      <c r="AP849">
        <f t="shared" si="435"/>
        <v>0</v>
      </c>
      <c r="AQ849">
        <f t="shared" ca="1" si="427"/>
        <v>1.0000000000000004</v>
      </c>
      <c r="AR849" t="str">
        <f t="shared" ca="1" si="428"/>
        <v>Supercritical</v>
      </c>
      <c r="AS849">
        <f t="shared" ca="1" si="429"/>
        <v>3.8141460404132466E-3</v>
      </c>
    </row>
    <row r="850" spans="1:45" x14ac:dyDescent="0.35">
      <c r="A850">
        <v>789</v>
      </c>
      <c r="B850">
        <v>787.99599999999998</v>
      </c>
      <c r="C850">
        <v>616090.25199999998</v>
      </c>
      <c r="D850">
        <v>3097218.8670000001</v>
      </c>
      <c r="E850">
        <v>632.16849999999999</v>
      </c>
      <c r="F850">
        <v>5.2</v>
      </c>
      <c r="G850">
        <v>0</v>
      </c>
      <c r="H850" t="s">
        <v>154</v>
      </c>
      <c r="I850">
        <v>0</v>
      </c>
      <c r="J850">
        <f t="shared" si="430"/>
        <v>1</v>
      </c>
      <c r="K850">
        <f t="shared" ca="1" si="431"/>
        <v>50.95</v>
      </c>
      <c r="L850">
        <f t="shared" ca="1" si="432"/>
        <v>2.1389677043987478</v>
      </c>
      <c r="M850">
        <f t="shared" ca="1" si="405"/>
        <v>11.122632062873489</v>
      </c>
      <c r="N850">
        <f t="shared" ca="1" si="406"/>
        <v>1.1735290000551568</v>
      </c>
      <c r="O850">
        <f t="shared" ca="1" si="407"/>
        <v>4.5807502857230418</v>
      </c>
      <c r="P850">
        <f t="shared" ca="1" si="408"/>
        <v>634.30746770439873</v>
      </c>
      <c r="Q850">
        <f t="shared" ca="1" si="409"/>
        <v>635.3769515565981</v>
      </c>
      <c r="R850">
        <f t="shared" ca="1" si="410"/>
        <v>3.8141460404132466E-3</v>
      </c>
      <c r="S850">
        <f t="shared" ca="1" si="411"/>
        <v>1.0000000000000004</v>
      </c>
      <c r="T850">
        <f t="shared" ca="1" si="412"/>
        <v>35.686426155594638</v>
      </c>
      <c r="U850">
        <f t="shared" ca="1" si="433"/>
        <v>-3.3141460404522149E-3</v>
      </c>
      <c r="V850">
        <f t="shared" ca="1" si="434"/>
        <v>1</v>
      </c>
      <c r="W850">
        <f t="shared" ca="1" si="413"/>
        <v>2.1389677043987478</v>
      </c>
      <c r="X850">
        <f t="shared" ca="1" si="414"/>
        <v>11.122632062873489</v>
      </c>
      <c r="Y850">
        <f t="shared" ca="1" si="415"/>
        <v>1.1735290000551568</v>
      </c>
      <c r="Z850">
        <f t="shared" ca="1" si="416"/>
        <v>4.5807502857230418</v>
      </c>
      <c r="AA850">
        <f t="shared" ca="1" si="417"/>
        <v>634.30746770439873</v>
      </c>
      <c r="AB850">
        <f t="shared" ca="1" si="418"/>
        <v>635.3769515565981</v>
      </c>
      <c r="AC850">
        <f t="shared" ca="1" si="419"/>
        <v>3.8141460404132466E-3</v>
      </c>
      <c r="AD850">
        <f t="shared" ca="1" si="420"/>
        <v>1.0000000000000004</v>
      </c>
      <c r="AE850">
        <f t="shared" ca="1" si="421"/>
        <v>35.686426155594638</v>
      </c>
      <c r="AF850">
        <f t="shared" ca="1" si="422"/>
        <v>3.3676622879283968E-3</v>
      </c>
      <c r="AG850">
        <f t="shared" ca="1" si="423"/>
        <v>1</v>
      </c>
      <c r="AH850">
        <f ca="1">IFERROR(IF(V32="Supercritical",MAX($D$16,IFERROR(L850,MAX($D$16,POWER((ABS(K850)^2)/($I$5*MAX(F850,0.1)^2),1/3)))),IF(V32="Subcritical",MAX($D$16,IFERROR(W850,MAX($D$16,POWER((ABS(K850)^2)/($I$5*MAX(F850,0.1)^2),1/3)))),IF(AND(IFERROR(V850,0)=1,IFERROR(AG850,0)=1),IF(IFERROR(T850,-1E+99)&gt;=IFERROR(AE850,-1E+99),MAX($D$16,IFERROR(L850,MAX($D$16,POWER((ABS(K850)^2)/($I$5*MAX(F850,0.1)^2),1/3)))),MAX($D$16,IFERROR(W850,MAX($D$16,POWER((ABS(K850)^2)/($I$5*MAX(F850,0.1)^2),1/3))))),IF(IFERROR(V850,0)=1,MAX($D$16,IFERROR(L850,MAX($D$16,POWER((ABS(K850)^2)/($I$5*MAX(F850,0.1)^2),1/3)))),IF(IFERROR(AG850,0)=1,MAX($D$16,IFERROR(W850,MAX($D$16,POWER((ABS(K850)^2)/($I$5*MAX(F850,0.1)^2),1/3)))),MAX($D$16,POWER((ABS(K850)^2)/($I$5*MAX(F850,0.1)^2),1/3))))))),MAX($D$16,POWER((ABS(K850)^2)/($I$5*MAX(F850,0.1)^2),1/3)))</f>
        <v>2.1389677043987478</v>
      </c>
      <c r="AI850">
        <f t="shared" ca="1" si="424"/>
        <v>634.30746770439873</v>
      </c>
      <c r="AJ850">
        <f t="shared" ca="1" si="425"/>
        <v>635.3769515565981</v>
      </c>
      <c r="AM850">
        <v>0</v>
      </c>
      <c r="AN850">
        <v>0</v>
      </c>
      <c r="AO850">
        <f t="shared" si="426"/>
        <v>0</v>
      </c>
      <c r="AP850">
        <f t="shared" si="435"/>
        <v>0</v>
      </c>
      <c r="AQ850">
        <f t="shared" ca="1" si="427"/>
        <v>1.0000000000000004</v>
      </c>
      <c r="AR850" t="str">
        <f t="shared" ca="1" si="428"/>
        <v>Supercritical</v>
      </c>
      <c r="AS850">
        <f t="shared" ca="1" si="429"/>
        <v>3.8141460404132466E-3</v>
      </c>
    </row>
    <row r="851" spans="1:45" x14ac:dyDescent="0.35">
      <c r="A851">
        <v>790</v>
      </c>
      <c r="B851">
        <v>788.99599999999998</v>
      </c>
      <c r="C851">
        <v>616090.21</v>
      </c>
      <c r="D851">
        <v>3097217.8679999998</v>
      </c>
      <c r="E851">
        <v>632.16800000000001</v>
      </c>
      <c r="F851">
        <v>5.2</v>
      </c>
      <c r="G851">
        <v>0</v>
      </c>
      <c r="H851" t="s">
        <v>154</v>
      </c>
      <c r="I851">
        <v>0</v>
      </c>
      <c r="J851">
        <f t="shared" si="430"/>
        <v>1</v>
      </c>
      <c r="K851">
        <f t="shared" ca="1" si="431"/>
        <v>50.95</v>
      </c>
      <c r="L851">
        <f t="shared" ca="1" si="432"/>
        <v>2.1389677043987478</v>
      </c>
      <c r="M851">
        <f t="shared" ca="1" si="405"/>
        <v>11.122632062873489</v>
      </c>
      <c r="N851">
        <f t="shared" ca="1" si="406"/>
        <v>1.1735290000551568</v>
      </c>
      <c r="O851">
        <f t="shared" ca="1" si="407"/>
        <v>4.5807502857230418</v>
      </c>
      <c r="P851">
        <f t="shared" ca="1" si="408"/>
        <v>634.30696770439874</v>
      </c>
      <c r="Q851">
        <f t="shared" ca="1" si="409"/>
        <v>635.37645155659811</v>
      </c>
      <c r="R851">
        <f t="shared" ca="1" si="410"/>
        <v>3.8141460404132466E-3</v>
      </c>
      <c r="S851">
        <f t="shared" ca="1" si="411"/>
        <v>1.0000000000000004</v>
      </c>
      <c r="T851">
        <f t="shared" ca="1" si="412"/>
        <v>35.686426155594638</v>
      </c>
      <c r="U851">
        <f t="shared" ca="1" si="433"/>
        <v>-3.3141460404522149E-3</v>
      </c>
      <c r="V851">
        <f t="shared" ca="1" si="434"/>
        <v>1</v>
      </c>
      <c r="W851">
        <f t="shared" ca="1" si="413"/>
        <v>2.1389677043987478</v>
      </c>
      <c r="X851">
        <f t="shared" ca="1" si="414"/>
        <v>11.122632062873489</v>
      </c>
      <c r="Y851">
        <f t="shared" ca="1" si="415"/>
        <v>1.1735290000551568</v>
      </c>
      <c r="Z851">
        <f t="shared" ca="1" si="416"/>
        <v>4.5807502857230418</v>
      </c>
      <c r="AA851">
        <f t="shared" ca="1" si="417"/>
        <v>634.30696770439874</v>
      </c>
      <c r="AB851">
        <f t="shared" ca="1" si="418"/>
        <v>635.37645155659811</v>
      </c>
      <c r="AC851">
        <f t="shared" ca="1" si="419"/>
        <v>3.8141460404132466E-3</v>
      </c>
      <c r="AD851">
        <f t="shared" ca="1" si="420"/>
        <v>1.0000000000000004</v>
      </c>
      <c r="AE851">
        <f t="shared" ca="1" si="421"/>
        <v>35.686426155594638</v>
      </c>
      <c r="AF851">
        <f t="shared" ca="1" si="422"/>
        <v>3.4692882816216297E-3</v>
      </c>
      <c r="AG851">
        <f t="shared" ca="1" si="423"/>
        <v>1</v>
      </c>
      <c r="AH851">
        <f ca="1">IFERROR(IF(V32="Supercritical",MAX($D$16,IFERROR(L851,MAX($D$16,POWER((ABS(K851)^2)/($I$5*MAX(F851,0.1)^2),1/3)))),IF(V32="Subcritical",MAX($D$16,IFERROR(W851,MAX($D$16,POWER((ABS(K851)^2)/($I$5*MAX(F851,0.1)^2),1/3)))),IF(AND(IFERROR(V851,0)=1,IFERROR(AG851,0)=1),IF(IFERROR(T851,-1E+99)&gt;=IFERROR(AE851,-1E+99),MAX($D$16,IFERROR(L851,MAX($D$16,POWER((ABS(K851)^2)/($I$5*MAX(F851,0.1)^2),1/3)))),MAX($D$16,IFERROR(W851,MAX($D$16,POWER((ABS(K851)^2)/($I$5*MAX(F851,0.1)^2),1/3))))),IF(IFERROR(V851,0)=1,MAX($D$16,IFERROR(L851,MAX($D$16,POWER((ABS(K851)^2)/($I$5*MAX(F851,0.1)^2),1/3)))),IF(IFERROR(AG851,0)=1,MAX($D$16,IFERROR(W851,MAX($D$16,POWER((ABS(K851)^2)/($I$5*MAX(F851,0.1)^2),1/3)))),MAX($D$16,POWER((ABS(K851)^2)/($I$5*MAX(F851,0.1)^2),1/3))))))),MAX($D$16,POWER((ABS(K851)^2)/($I$5*MAX(F851,0.1)^2),1/3)))</f>
        <v>2.1389677043987478</v>
      </c>
      <c r="AI851">
        <f t="shared" ca="1" si="424"/>
        <v>634.30696770439874</v>
      </c>
      <c r="AJ851">
        <f t="shared" ca="1" si="425"/>
        <v>635.37645155659811</v>
      </c>
      <c r="AM851">
        <v>0</v>
      </c>
      <c r="AN851">
        <v>0</v>
      </c>
      <c r="AO851">
        <f t="shared" si="426"/>
        <v>0</v>
      </c>
      <c r="AP851">
        <f t="shared" si="435"/>
        <v>0</v>
      </c>
      <c r="AQ851">
        <f t="shared" ca="1" si="427"/>
        <v>1.0000000000000004</v>
      </c>
      <c r="AR851" t="str">
        <f t="shared" ca="1" si="428"/>
        <v>Supercritical</v>
      </c>
      <c r="AS851">
        <f t="shared" ca="1" si="429"/>
        <v>3.8141460404132466E-3</v>
      </c>
    </row>
    <row r="852" spans="1:45" x14ac:dyDescent="0.35">
      <c r="A852">
        <v>791</v>
      </c>
      <c r="B852">
        <v>789.99599999999998</v>
      </c>
      <c r="C852">
        <v>616090.16799999995</v>
      </c>
      <c r="D852">
        <v>3097216.8689999999</v>
      </c>
      <c r="E852">
        <v>632.16750000000002</v>
      </c>
      <c r="F852">
        <v>5.2</v>
      </c>
      <c r="G852">
        <v>0</v>
      </c>
      <c r="H852" t="s">
        <v>154</v>
      </c>
      <c r="I852">
        <v>5.7000000000000002E-2</v>
      </c>
      <c r="J852">
        <f t="shared" si="430"/>
        <v>1</v>
      </c>
      <c r="K852">
        <f t="shared" ca="1" si="431"/>
        <v>50.95</v>
      </c>
      <c r="L852">
        <f t="shared" ca="1" si="432"/>
        <v>2.1389677043987478</v>
      </c>
      <c r="M852">
        <f t="shared" ca="1" si="405"/>
        <v>11.122632062873489</v>
      </c>
      <c r="N852">
        <f t="shared" ca="1" si="406"/>
        <v>1.1735290000551568</v>
      </c>
      <c r="O852">
        <f t="shared" ca="1" si="407"/>
        <v>4.5807502857230418</v>
      </c>
      <c r="P852">
        <f t="shared" ca="1" si="408"/>
        <v>634.30646770439876</v>
      </c>
      <c r="Q852">
        <f t="shared" ca="1" si="409"/>
        <v>635.37595155659812</v>
      </c>
      <c r="R852">
        <f t="shared" ca="1" si="410"/>
        <v>3.8141460404132466E-3</v>
      </c>
      <c r="S852">
        <f t="shared" ca="1" si="411"/>
        <v>1.0000000000000004</v>
      </c>
      <c r="T852">
        <f t="shared" ca="1" si="412"/>
        <v>35.686426155594638</v>
      </c>
      <c r="U852">
        <f t="shared" ca="1" si="433"/>
        <v>-3.4157470064428708E-3</v>
      </c>
      <c r="V852">
        <f t="shared" ca="1" si="434"/>
        <v>1</v>
      </c>
      <c r="W852">
        <f t="shared" ca="1" si="413"/>
        <v>2.1389677043987478</v>
      </c>
      <c r="X852">
        <f t="shared" ca="1" si="414"/>
        <v>11.122632062873489</v>
      </c>
      <c r="Y852">
        <f t="shared" ca="1" si="415"/>
        <v>1.1735290000551568</v>
      </c>
      <c r="Z852">
        <f t="shared" ca="1" si="416"/>
        <v>4.5807502857230418</v>
      </c>
      <c r="AA852">
        <f t="shared" ca="1" si="417"/>
        <v>634.30646770439876</v>
      </c>
      <c r="AB852">
        <f t="shared" ca="1" si="418"/>
        <v>635.37595155659812</v>
      </c>
      <c r="AC852">
        <f t="shared" ca="1" si="419"/>
        <v>3.8141460404132466E-3</v>
      </c>
      <c r="AD852">
        <f t="shared" ca="1" si="420"/>
        <v>1.0000000000000004</v>
      </c>
      <c r="AE852">
        <f t="shared" ca="1" si="421"/>
        <v>35.686426155594638</v>
      </c>
      <c r="AF852">
        <f t="shared" ca="1" si="422"/>
        <v>3.467712344672691E-3</v>
      </c>
      <c r="AG852">
        <f t="shared" ca="1" si="423"/>
        <v>1</v>
      </c>
      <c r="AH852">
        <f ca="1">IFERROR(IF(V32="Supercritical",MAX($D$16,IFERROR(L852,MAX($D$16,POWER((ABS(K852)^2)/($I$5*MAX(F852,0.1)^2),1/3)))),IF(V32="Subcritical",MAX($D$16,IFERROR(W852,MAX($D$16,POWER((ABS(K852)^2)/($I$5*MAX(F852,0.1)^2),1/3)))),IF(AND(IFERROR(V852,0)=1,IFERROR(AG852,0)=1),IF(IFERROR(T852,-1E+99)&gt;=IFERROR(AE852,-1E+99),MAX($D$16,IFERROR(L852,MAX($D$16,POWER((ABS(K852)^2)/($I$5*MAX(F852,0.1)^2),1/3)))),MAX($D$16,IFERROR(W852,MAX($D$16,POWER((ABS(K852)^2)/($I$5*MAX(F852,0.1)^2),1/3))))),IF(IFERROR(V852,0)=1,MAX($D$16,IFERROR(L852,MAX($D$16,POWER((ABS(K852)^2)/($I$5*MAX(F852,0.1)^2),1/3)))),IF(IFERROR(AG852,0)=1,MAX($D$16,IFERROR(W852,MAX($D$16,POWER((ABS(K852)^2)/($I$5*MAX(F852,0.1)^2),1/3)))),MAX($D$16,POWER((ABS(K852)^2)/($I$5*MAX(F852,0.1)^2),1/3))))))),MAX($D$16,POWER((ABS(K852)^2)/($I$5*MAX(F852,0.1)^2),1/3)))</f>
        <v>2.1389677043987478</v>
      </c>
      <c r="AI852">
        <f t="shared" ca="1" si="424"/>
        <v>634.30646770439876</v>
      </c>
      <c r="AJ852">
        <f t="shared" ca="1" si="425"/>
        <v>635.37595155659812</v>
      </c>
      <c r="AM852">
        <v>0</v>
      </c>
      <c r="AN852">
        <v>0</v>
      </c>
      <c r="AO852">
        <f t="shared" si="426"/>
        <v>0</v>
      </c>
      <c r="AP852">
        <f t="shared" si="435"/>
        <v>0</v>
      </c>
      <c r="AQ852">
        <f t="shared" ca="1" si="427"/>
        <v>1.0000000000000004</v>
      </c>
      <c r="AR852" t="str">
        <f t="shared" ca="1" si="428"/>
        <v>Supercritical</v>
      </c>
      <c r="AS852">
        <f t="shared" ca="1" si="429"/>
        <v>3.8141460404132466E-3</v>
      </c>
    </row>
    <row r="853" spans="1:45" x14ac:dyDescent="0.35">
      <c r="A853">
        <v>792</v>
      </c>
      <c r="B853">
        <v>790.99599999999998</v>
      </c>
      <c r="C853">
        <v>616090.125</v>
      </c>
      <c r="D853">
        <v>3097215.87</v>
      </c>
      <c r="E853">
        <v>632.16700000000003</v>
      </c>
      <c r="F853">
        <v>5.2</v>
      </c>
      <c r="G853">
        <v>0</v>
      </c>
      <c r="H853" t="s">
        <v>154</v>
      </c>
      <c r="I853">
        <v>5.7000000000000002E-2</v>
      </c>
      <c r="J853">
        <f t="shared" si="430"/>
        <v>1</v>
      </c>
      <c r="K853">
        <f t="shared" ca="1" si="431"/>
        <v>50.95</v>
      </c>
      <c r="L853">
        <f t="shared" ca="1" si="432"/>
        <v>2.1389677043987478</v>
      </c>
      <c r="M853">
        <f t="shared" ca="1" si="405"/>
        <v>11.122632062873489</v>
      </c>
      <c r="N853">
        <f t="shared" ca="1" si="406"/>
        <v>1.1735290000551568</v>
      </c>
      <c r="O853">
        <f t="shared" ca="1" si="407"/>
        <v>4.5807502857230418</v>
      </c>
      <c r="P853">
        <f t="shared" ca="1" si="408"/>
        <v>634.30596770439877</v>
      </c>
      <c r="Q853">
        <f t="shared" ca="1" si="409"/>
        <v>635.37545155659814</v>
      </c>
      <c r="R853">
        <f t="shared" ca="1" si="410"/>
        <v>3.8141460404132466E-3</v>
      </c>
      <c r="S853">
        <f t="shared" ca="1" si="411"/>
        <v>1.0000000000000004</v>
      </c>
      <c r="T853">
        <f t="shared" ca="1" si="412"/>
        <v>35.686426155594638</v>
      </c>
      <c r="U853">
        <f t="shared" ca="1" si="433"/>
        <v>-3.4157470064428708E-3</v>
      </c>
      <c r="V853">
        <f t="shared" ca="1" si="434"/>
        <v>1</v>
      </c>
      <c r="W853">
        <f t="shared" ca="1" si="413"/>
        <v>2.1389677043987478</v>
      </c>
      <c r="X853">
        <f t="shared" ca="1" si="414"/>
        <v>11.122632062873489</v>
      </c>
      <c r="Y853">
        <f t="shared" ca="1" si="415"/>
        <v>1.1735290000551568</v>
      </c>
      <c r="Z853">
        <f t="shared" ca="1" si="416"/>
        <v>4.5807502857230418</v>
      </c>
      <c r="AA853">
        <f t="shared" ca="1" si="417"/>
        <v>634.30596770439877</v>
      </c>
      <c r="AB853">
        <f t="shared" ca="1" si="418"/>
        <v>635.37545155659814</v>
      </c>
      <c r="AC853">
        <f t="shared" ca="1" si="419"/>
        <v>3.8141460404132466E-3</v>
      </c>
      <c r="AD853">
        <f t="shared" ca="1" si="420"/>
        <v>1.0000000000000004</v>
      </c>
      <c r="AE853">
        <f t="shared" ca="1" si="421"/>
        <v>35.686426155594638</v>
      </c>
      <c r="AF853">
        <f t="shared" ca="1" si="422"/>
        <v>3.3660296217021823E-3</v>
      </c>
      <c r="AG853">
        <f t="shared" ca="1" si="423"/>
        <v>1</v>
      </c>
      <c r="AH853">
        <f ca="1">IFERROR(IF(V32="Supercritical",MAX($D$16,IFERROR(L853,MAX($D$16,POWER((ABS(K853)^2)/($I$5*MAX(F853,0.1)^2),1/3)))),IF(V32="Subcritical",MAX($D$16,IFERROR(W853,MAX($D$16,POWER((ABS(K853)^2)/($I$5*MAX(F853,0.1)^2),1/3)))),IF(AND(IFERROR(V853,0)=1,IFERROR(AG853,0)=1),IF(IFERROR(T853,-1E+99)&gt;=IFERROR(AE853,-1E+99),MAX($D$16,IFERROR(L853,MAX($D$16,POWER((ABS(K853)^2)/($I$5*MAX(F853,0.1)^2),1/3)))),MAX($D$16,IFERROR(W853,MAX($D$16,POWER((ABS(K853)^2)/($I$5*MAX(F853,0.1)^2),1/3))))),IF(IFERROR(V853,0)=1,MAX($D$16,IFERROR(L853,MAX($D$16,POWER((ABS(K853)^2)/($I$5*MAX(F853,0.1)^2),1/3)))),IF(IFERROR(AG853,0)=1,MAX($D$16,IFERROR(W853,MAX($D$16,POWER((ABS(K853)^2)/($I$5*MAX(F853,0.1)^2),1/3)))),MAX($D$16,POWER((ABS(K853)^2)/($I$5*MAX(F853,0.1)^2),1/3))))))),MAX($D$16,POWER((ABS(K853)^2)/($I$5*MAX(F853,0.1)^2),1/3)))</f>
        <v>2.1389677043987478</v>
      </c>
      <c r="AI853">
        <f t="shared" ca="1" si="424"/>
        <v>634.30596770439877</v>
      </c>
      <c r="AJ853">
        <f t="shared" ca="1" si="425"/>
        <v>635.37545155659814</v>
      </c>
      <c r="AM853">
        <v>0</v>
      </c>
      <c r="AN853">
        <v>0</v>
      </c>
      <c r="AO853">
        <f t="shared" si="426"/>
        <v>0</v>
      </c>
      <c r="AP853">
        <f t="shared" si="435"/>
        <v>0</v>
      </c>
      <c r="AQ853">
        <f t="shared" ca="1" si="427"/>
        <v>1.0000000000000004</v>
      </c>
      <c r="AR853" t="str">
        <f t="shared" ca="1" si="428"/>
        <v>Supercritical</v>
      </c>
      <c r="AS853">
        <f t="shared" ca="1" si="429"/>
        <v>3.8141460404132466E-3</v>
      </c>
    </row>
    <row r="854" spans="1:45" x14ac:dyDescent="0.35">
      <c r="A854">
        <v>793</v>
      </c>
      <c r="B854">
        <v>791.99599999999998</v>
      </c>
      <c r="C854">
        <v>616090.08299999998</v>
      </c>
      <c r="D854">
        <v>3097214.8709999998</v>
      </c>
      <c r="E854">
        <v>632.16650000000004</v>
      </c>
      <c r="F854">
        <v>5.2</v>
      </c>
      <c r="G854">
        <v>0</v>
      </c>
      <c r="H854" t="s">
        <v>154</v>
      </c>
      <c r="I854">
        <v>0</v>
      </c>
      <c r="J854">
        <f t="shared" si="430"/>
        <v>1</v>
      </c>
      <c r="K854">
        <f t="shared" ca="1" si="431"/>
        <v>50.95</v>
      </c>
      <c r="L854">
        <f t="shared" ca="1" si="432"/>
        <v>2.1389677043987478</v>
      </c>
      <c r="M854">
        <f t="shared" ca="1" si="405"/>
        <v>11.122632062873489</v>
      </c>
      <c r="N854">
        <f t="shared" ca="1" si="406"/>
        <v>1.1735290000551568</v>
      </c>
      <c r="O854">
        <f t="shared" ca="1" si="407"/>
        <v>4.5807502857230418</v>
      </c>
      <c r="P854">
        <f t="shared" ca="1" si="408"/>
        <v>634.30546770439878</v>
      </c>
      <c r="Q854">
        <f t="shared" ca="1" si="409"/>
        <v>635.37495155659815</v>
      </c>
      <c r="R854">
        <f t="shared" ca="1" si="410"/>
        <v>3.8141460404132466E-3</v>
      </c>
      <c r="S854">
        <f t="shared" ca="1" si="411"/>
        <v>1.0000000000000004</v>
      </c>
      <c r="T854">
        <f t="shared" ca="1" si="412"/>
        <v>35.686426155594638</v>
      </c>
      <c r="U854">
        <f t="shared" ca="1" si="433"/>
        <v>-3.3141460404522149E-3</v>
      </c>
      <c r="V854">
        <f t="shared" ca="1" si="434"/>
        <v>1</v>
      </c>
      <c r="W854">
        <f t="shared" ca="1" si="413"/>
        <v>2.1389677043987478</v>
      </c>
      <c r="X854">
        <f t="shared" ca="1" si="414"/>
        <v>11.122632062873489</v>
      </c>
      <c r="Y854">
        <f t="shared" ca="1" si="415"/>
        <v>1.1735290000551568</v>
      </c>
      <c r="Z854">
        <f t="shared" ca="1" si="416"/>
        <v>4.5807502857230418</v>
      </c>
      <c r="AA854">
        <f t="shared" ca="1" si="417"/>
        <v>634.30546770439878</v>
      </c>
      <c r="AB854">
        <f t="shared" ca="1" si="418"/>
        <v>635.37495155659815</v>
      </c>
      <c r="AC854">
        <f t="shared" ca="1" si="419"/>
        <v>3.8141460404132466E-3</v>
      </c>
      <c r="AD854">
        <f t="shared" ca="1" si="420"/>
        <v>1.0000000000000004</v>
      </c>
      <c r="AE854">
        <f t="shared" ca="1" si="421"/>
        <v>35.686426155594638</v>
      </c>
      <c r="AF854">
        <f t="shared" ca="1" si="422"/>
        <v>3.3638481858133673E-3</v>
      </c>
      <c r="AG854">
        <f t="shared" ca="1" si="423"/>
        <v>1</v>
      </c>
      <c r="AH854">
        <f ca="1">IFERROR(IF(V32="Supercritical",MAX($D$16,IFERROR(L854,MAX($D$16,POWER((ABS(K854)^2)/($I$5*MAX(F854,0.1)^2),1/3)))),IF(V32="Subcritical",MAX($D$16,IFERROR(W854,MAX($D$16,POWER((ABS(K854)^2)/($I$5*MAX(F854,0.1)^2),1/3)))),IF(AND(IFERROR(V854,0)=1,IFERROR(AG854,0)=1),IF(IFERROR(T854,-1E+99)&gt;=IFERROR(AE854,-1E+99),MAX($D$16,IFERROR(L854,MAX($D$16,POWER((ABS(K854)^2)/($I$5*MAX(F854,0.1)^2),1/3)))),MAX($D$16,IFERROR(W854,MAX($D$16,POWER((ABS(K854)^2)/($I$5*MAX(F854,0.1)^2),1/3))))),IF(IFERROR(V854,0)=1,MAX($D$16,IFERROR(L854,MAX($D$16,POWER((ABS(K854)^2)/($I$5*MAX(F854,0.1)^2),1/3)))),IF(IFERROR(AG854,0)=1,MAX($D$16,IFERROR(W854,MAX($D$16,POWER((ABS(K854)^2)/($I$5*MAX(F854,0.1)^2),1/3)))),MAX($D$16,POWER((ABS(K854)^2)/($I$5*MAX(F854,0.1)^2),1/3))))))),MAX($D$16,POWER((ABS(K854)^2)/($I$5*MAX(F854,0.1)^2),1/3)))</f>
        <v>2.1389677043987478</v>
      </c>
      <c r="AI854">
        <f t="shared" ca="1" si="424"/>
        <v>634.30546770439878</v>
      </c>
      <c r="AJ854">
        <f t="shared" ca="1" si="425"/>
        <v>635.37495155659815</v>
      </c>
      <c r="AM854">
        <v>0</v>
      </c>
      <c r="AN854">
        <v>0</v>
      </c>
      <c r="AO854">
        <f t="shared" si="426"/>
        <v>0</v>
      </c>
      <c r="AP854">
        <f t="shared" si="435"/>
        <v>0</v>
      </c>
      <c r="AQ854">
        <f t="shared" ca="1" si="427"/>
        <v>1.0000000000000004</v>
      </c>
      <c r="AR854" t="str">
        <f t="shared" ca="1" si="428"/>
        <v>Supercritical</v>
      </c>
      <c r="AS854">
        <f t="shared" ca="1" si="429"/>
        <v>3.8141460404132466E-3</v>
      </c>
    </row>
    <row r="855" spans="1:45" x14ac:dyDescent="0.35">
      <c r="A855">
        <v>794</v>
      </c>
      <c r="B855">
        <v>792.995</v>
      </c>
      <c r="C855">
        <v>616090.04099999997</v>
      </c>
      <c r="D855">
        <v>3097213.872</v>
      </c>
      <c r="E855">
        <v>632.16600000000005</v>
      </c>
      <c r="F855">
        <v>5.2</v>
      </c>
      <c r="G855">
        <v>0</v>
      </c>
      <c r="H855" t="s">
        <v>154</v>
      </c>
      <c r="I855">
        <v>0</v>
      </c>
      <c r="J855">
        <f t="shared" si="430"/>
        <v>0.99900000000002365</v>
      </c>
      <c r="K855">
        <f t="shared" ca="1" si="431"/>
        <v>50.95</v>
      </c>
      <c r="L855">
        <f t="shared" ca="1" si="432"/>
        <v>2.1389677043987478</v>
      </c>
      <c r="M855">
        <f t="shared" ca="1" si="405"/>
        <v>11.122632062873489</v>
      </c>
      <c r="N855">
        <f t="shared" ca="1" si="406"/>
        <v>1.1735290000551568</v>
      </c>
      <c r="O855">
        <f t="shared" ca="1" si="407"/>
        <v>4.5807502857230418</v>
      </c>
      <c r="P855">
        <f t="shared" ca="1" si="408"/>
        <v>634.30496770439879</v>
      </c>
      <c r="Q855">
        <f t="shared" ca="1" si="409"/>
        <v>635.37445155659816</v>
      </c>
      <c r="R855">
        <f t="shared" ca="1" si="410"/>
        <v>3.8141460404132466E-3</v>
      </c>
      <c r="S855">
        <f t="shared" ca="1" si="411"/>
        <v>1.0000000000000004</v>
      </c>
      <c r="T855">
        <f t="shared" ca="1" si="412"/>
        <v>35.686426155594638</v>
      </c>
      <c r="U855">
        <f t="shared" ca="1" si="433"/>
        <v>-3.3103318943403792E-3</v>
      </c>
      <c r="V855">
        <f t="shared" ca="1" si="434"/>
        <v>1</v>
      </c>
      <c r="W855">
        <f t="shared" ca="1" si="413"/>
        <v>2.1389677043987478</v>
      </c>
      <c r="X855">
        <f t="shared" ca="1" si="414"/>
        <v>11.122632062873489</v>
      </c>
      <c r="Y855">
        <f t="shared" ca="1" si="415"/>
        <v>1.1735290000551568</v>
      </c>
      <c r="Z855">
        <f t="shared" ca="1" si="416"/>
        <v>4.5807502857230418</v>
      </c>
      <c r="AA855">
        <f t="shared" ca="1" si="417"/>
        <v>634.30496770439879</v>
      </c>
      <c r="AB855">
        <f t="shared" ca="1" si="418"/>
        <v>635.37445155659816</v>
      </c>
      <c r="AC855">
        <f t="shared" ca="1" si="419"/>
        <v>3.8141460404132466E-3</v>
      </c>
      <c r="AD855">
        <f t="shared" ca="1" si="420"/>
        <v>1.0000000000000004</v>
      </c>
      <c r="AE855">
        <f t="shared" ca="1" si="421"/>
        <v>35.686426155594638</v>
      </c>
      <c r="AF855">
        <f t="shared" ca="1" si="422"/>
        <v>3.4693729955961317E-3</v>
      </c>
      <c r="AG855">
        <f t="shared" ca="1" si="423"/>
        <v>1</v>
      </c>
      <c r="AH855">
        <f ca="1">IFERROR(IF(V32="Supercritical",MAX($D$16,IFERROR(L855,MAX($D$16,POWER((ABS(K855)^2)/($I$5*MAX(F855,0.1)^2),1/3)))),IF(V32="Subcritical",MAX($D$16,IFERROR(W855,MAX($D$16,POWER((ABS(K855)^2)/($I$5*MAX(F855,0.1)^2),1/3)))),IF(AND(IFERROR(V855,0)=1,IFERROR(AG855,0)=1),IF(IFERROR(T855,-1E+99)&gt;=IFERROR(AE855,-1E+99),MAX($D$16,IFERROR(L855,MAX($D$16,POWER((ABS(K855)^2)/($I$5*MAX(F855,0.1)^2),1/3)))),MAX($D$16,IFERROR(W855,MAX($D$16,POWER((ABS(K855)^2)/($I$5*MAX(F855,0.1)^2),1/3))))),IF(IFERROR(V855,0)=1,MAX($D$16,IFERROR(L855,MAX($D$16,POWER((ABS(K855)^2)/($I$5*MAX(F855,0.1)^2),1/3)))),IF(IFERROR(AG855,0)=1,MAX($D$16,IFERROR(W855,MAX($D$16,POWER((ABS(K855)^2)/($I$5*MAX(F855,0.1)^2),1/3)))),MAX($D$16,POWER((ABS(K855)^2)/($I$5*MAX(F855,0.1)^2),1/3))))))),MAX($D$16,POWER((ABS(K855)^2)/($I$5*MAX(F855,0.1)^2),1/3)))</f>
        <v>2.1389677043987478</v>
      </c>
      <c r="AI855">
        <f t="shared" ca="1" si="424"/>
        <v>634.30496770439879</v>
      </c>
      <c r="AJ855">
        <f t="shared" ca="1" si="425"/>
        <v>635.37445155659816</v>
      </c>
      <c r="AM855">
        <v>0</v>
      </c>
      <c r="AN855">
        <v>0</v>
      </c>
      <c r="AO855">
        <f t="shared" si="426"/>
        <v>0</v>
      </c>
      <c r="AP855">
        <f t="shared" si="435"/>
        <v>0</v>
      </c>
      <c r="AQ855">
        <f t="shared" ca="1" si="427"/>
        <v>1.0000000000000004</v>
      </c>
      <c r="AR855" t="str">
        <f t="shared" ca="1" si="428"/>
        <v>Supercritical</v>
      </c>
      <c r="AS855">
        <f t="shared" ca="1" si="429"/>
        <v>3.8141460404132466E-3</v>
      </c>
    </row>
    <row r="856" spans="1:45" x14ac:dyDescent="0.35">
      <c r="A856">
        <v>795</v>
      </c>
      <c r="B856">
        <v>793.995</v>
      </c>
      <c r="C856">
        <v>616089.99899999995</v>
      </c>
      <c r="D856">
        <v>3097212.8730000001</v>
      </c>
      <c r="E856">
        <v>632.16549999999995</v>
      </c>
      <c r="F856">
        <v>5.2</v>
      </c>
      <c r="G856">
        <v>0</v>
      </c>
      <c r="H856" t="s">
        <v>154</v>
      </c>
      <c r="I856">
        <v>5.7000000000000002E-2</v>
      </c>
      <c r="J856">
        <f t="shared" si="430"/>
        <v>1</v>
      </c>
      <c r="K856">
        <f t="shared" ca="1" si="431"/>
        <v>50.95</v>
      </c>
      <c r="L856">
        <f t="shared" ca="1" si="432"/>
        <v>2.1389677043987478</v>
      </c>
      <c r="M856">
        <f t="shared" ca="1" si="405"/>
        <v>11.122632062873489</v>
      </c>
      <c r="N856">
        <f t="shared" ca="1" si="406"/>
        <v>1.1735290000551568</v>
      </c>
      <c r="O856">
        <f t="shared" ca="1" si="407"/>
        <v>4.5807502857230418</v>
      </c>
      <c r="P856">
        <f t="shared" ca="1" si="408"/>
        <v>634.30446770439869</v>
      </c>
      <c r="Q856">
        <f t="shared" ca="1" si="409"/>
        <v>635.37395155659806</v>
      </c>
      <c r="R856">
        <f t="shared" ca="1" si="410"/>
        <v>3.8141460404132466E-3</v>
      </c>
      <c r="S856">
        <f t="shared" ca="1" si="411"/>
        <v>1.0000000000000004</v>
      </c>
      <c r="T856">
        <f t="shared" ca="1" si="412"/>
        <v>35.686426155594638</v>
      </c>
      <c r="U856">
        <f t="shared" ca="1" si="433"/>
        <v>-3.4157470063291839E-3</v>
      </c>
      <c r="V856">
        <f t="shared" ca="1" si="434"/>
        <v>1</v>
      </c>
      <c r="W856">
        <f t="shared" ca="1" si="413"/>
        <v>2.1389677043987478</v>
      </c>
      <c r="X856">
        <f t="shared" ca="1" si="414"/>
        <v>11.122632062873489</v>
      </c>
      <c r="Y856">
        <f t="shared" ca="1" si="415"/>
        <v>1.1735290000551568</v>
      </c>
      <c r="Z856">
        <f t="shared" ca="1" si="416"/>
        <v>4.5807502857230418</v>
      </c>
      <c r="AA856">
        <f t="shared" ca="1" si="417"/>
        <v>634.30446770439869</v>
      </c>
      <c r="AB856">
        <f t="shared" ca="1" si="418"/>
        <v>635.37395155659806</v>
      </c>
      <c r="AC856">
        <f t="shared" ca="1" si="419"/>
        <v>3.8141460404132466E-3</v>
      </c>
      <c r="AD856">
        <f t="shared" ca="1" si="420"/>
        <v>1.0000000000000004</v>
      </c>
      <c r="AE856">
        <f t="shared" ca="1" si="421"/>
        <v>35.686426155594638</v>
      </c>
      <c r="AF856">
        <f t="shared" ca="1" si="422"/>
        <v>3.4731776084981902E-3</v>
      </c>
      <c r="AG856">
        <f t="shared" ca="1" si="423"/>
        <v>1</v>
      </c>
      <c r="AH856">
        <f ca="1">IFERROR(IF(V32="Supercritical",MAX($D$16,IFERROR(L856,MAX($D$16,POWER((ABS(K856)^2)/($I$5*MAX(F856,0.1)^2),1/3)))),IF(V32="Subcritical",MAX($D$16,IFERROR(W856,MAX($D$16,POWER((ABS(K856)^2)/($I$5*MAX(F856,0.1)^2),1/3)))),IF(AND(IFERROR(V856,0)=1,IFERROR(AG856,0)=1),IF(IFERROR(T856,-1E+99)&gt;=IFERROR(AE856,-1E+99),MAX($D$16,IFERROR(L856,MAX($D$16,POWER((ABS(K856)^2)/($I$5*MAX(F856,0.1)^2),1/3)))),MAX($D$16,IFERROR(W856,MAX($D$16,POWER((ABS(K856)^2)/($I$5*MAX(F856,0.1)^2),1/3))))),IF(IFERROR(V856,0)=1,MAX($D$16,IFERROR(L856,MAX($D$16,POWER((ABS(K856)^2)/($I$5*MAX(F856,0.1)^2),1/3)))),IF(IFERROR(AG856,0)=1,MAX($D$16,IFERROR(W856,MAX($D$16,POWER((ABS(K856)^2)/($I$5*MAX(F856,0.1)^2),1/3)))),MAX($D$16,POWER((ABS(K856)^2)/($I$5*MAX(F856,0.1)^2),1/3))))))),MAX($D$16,POWER((ABS(K856)^2)/($I$5*MAX(F856,0.1)^2),1/3)))</f>
        <v>2.1389677043987478</v>
      </c>
      <c r="AI856">
        <f t="shared" ca="1" si="424"/>
        <v>634.30446770439869</v>
      </c>
      <c r="AJ856">
        <f t="shared" ca="1" si="425"/>
        <v>635.37395155659806</v>
      </c>
      <c r="AM856">
        <v>0</v>
      </c>
      <c r="AN856">
        <v>0</v>
      </c>
      <c r="AO856">
        <f t="shared" si="426"/>
        <v>0</v>
      </c>
      <c r="AP856">
        <f t="shared" si="435"/>
        <v>0</v>
      </c>
      <c r="AQ856">
        <f t="shared" ca="1" si="427"/>
        <v>1.0000000000000004</v>
      </c>
      <c r="AR856" t="str">
        <f t="shared" ca="1" si="428"/>
        <v>Supercritical</v>
      </c>
      <c r="AS856">
        <f t="shared" ca="1" si="429"/>
        <v>3.8141460404132466E-3</v>
      </c>
    </row>
    <row r="857" spans="1:45" x14ac:dyDescent="0.35">
      <c r="A857">
        <v>796</v>
      </c>
      <c r="B857">
        <v>794.995</v>
      </c>
      <c r="C857">
        <v>616089.95600000001</v>
      </c>
      <c r="D857">
        <v>3097211.8739999998</v>
      </c>
      <c r="E857">
        <v>632.16499999999996</v>
      </c>
      <c r="F857">
        <v>5.2</v>
      </c>
      <c r="G857">
        <v>0</v>
      </c>
      <c r="H857" t="s">
        <v>154</v>
      </c>
      <c r="I857">
        <v>0.06</v>
      </c>
      <c r="J857">
        <f t="shared" si="430"/>
        <v>1</v>
      </c>
      <c r="K857">
        <f t="shared" ca="1" si="431"/>
        <v>50.95</v>
      </c>
      <c r="L857">
        <f t="shared" ca="1" si="432"/>
        <v>2.1389677043987478</v>
      </c>
      <c r="M857">
        <f t="shared" ca="1" si="405"/>
        <v>11.122632062873489</v>
      </c>
      <c r="N857">
        <f t="shared" ca="1" si="406"/>
        <v>1.1735290000551568</v>
      </c>
      <c r="O857">
        <f t="shared" ca="1" si="407"/>
        <v>4.5807502857230418</v>
      </c>
      <c r="P857">
        <f t="shared" ca="1" si="408"/>
        <v>634.3039677043987</v>
      </c>
      <c r="Q857">
        <f t="shared" ca="1" si="409"/>
        <v>635.37345155659807</v>
      </c>
      <c r="R857">
        <f t="shared" ca="1" si="410"/>
        <v>3.8141460404132466E-3</v>
      </c>
      <c r="S857">
        <f t="shared" ca="1" si="411"/>
        <v>1.0000000000000004</v>
      </c>
      <c r="T857">
        <f t="shared" ca="1" si="412"/>
        <v>35.686426155594638</v>
      </c>
      <c r="U857">
        <f t="shared" ca="1" si="433"/>
        <v>-3.4210944256756193E-3</v>
      </c>
      <c r="V857">
        <f t="shared" ca="1" si="434"/>
        <v>1</v>
      </c>
      <c r="W857">
        <f t="shared" ca="1" si="413"/>
        <v>2.1389677043987478</v>
      </c>
      <c r="X857">
        <f t="shared" ca="1" si="414"/>
        <v>11.122632062873489</v>
      </c>
      <c r="Y857">
        <f t="shared" ca="1" si="415"/>
        <v>1.1735290000551568</v>
      </c>
      <c r="Z857">
        <f t="shared" ca="1" si="416"/>
        <v>4.5807502857230418</v>
      </c>
      <c r="AA857">
        <f t="shared" ca="1" si="417"/>
        <v>634.3039677043987</v>
      </c>
      <c r="AB857">
        <f t="shared" ca="1" si="418"/>
        <v>635.37345155659807</v>
      </c>
      <c r="AC857">
        <f t="shared" ca="1" si="419"/>
        <v>3.8141460404132466E-3</v>
      </c>
      <c r="AD857">
        <f t="shared" ca="1" si="420"/>
        <v>1.0000000000000004</v>
      </c>
      <c r="AE857">
        <f t="shared" ca="1" si="421"/>
        <v>35.686426155594638</v>
      </c>
      <c r="AF857">
        <f t="shared" ca="1" si="422"/>
        <v>3.373470681026447E-3</v>
      </c>
      <c r="AG857">
        <f t="shared" ca="1" si="423"/>
        <v>1</v>
      </c>
      <c r="AH857">
        <f ca="1">IFERROR(IF(V32="Supercritical",MAX($D$16,IFERROR(L857,MAX($D$16,POWER((ABS(K857)^2)/($I$5*MAX(F857,0.1)^2),1/3)))),IF(V32="Subcritical",MAX($D$16,IFERROR(W857,MAX($D$16,POWER((ABS(K857)^2)/($I$5*MAX(F857,0.1)^2),1/3)))),IF(AND(IFERROR(V857,0)=1,IFERROR(AG857,0)=1),IF(IFERROR(T857,-1E+99)&gt;=IFERROR(AE857,-1E+99),MAX($D$16,IFERROR(L857,MAX($D$16,POWER((ABS(K857)^2)/($I$5*MAX(F857,0.1)^2),1/3)))),MAX($D$16,IFERROR(W857,MAX($D$16,POWER((ABS(K857)^2)/($I$5*MAX(F857,0.1)^2),1/3))))),IF(IFERROR(V857,0)=1,MAX($D$16,IFERROR(L857,MAX($D$16,POWER((ABS(K857)^2)/($I$5*MAX(F857,0.1)^2),1/3)))),IF(IFERROR(AG857,0)=1,MAX($D$16,IFERROR(W857,MAX($D$16,POWER((ABS(K857)^2)/($I$5*MAX(F857,0.1)^2),1/3)))),MAX($D$16,POWER((ABS(K857)^2)/($I$5*MAX(F857,0.1)^2),1/3))))))),MAX($D$16,POWER((ABS(K857)^2)/($I$5*MAX(F857,0.1)^2),1/3)))</f>
        <v>2.1389677043987478</v>
      </c>
      <c r="AI857">
        <f t="shared" ca="1" si="424"/>
        <v>634.3039677043987</v>
      </c>
      <c r="AJ857">
        <f t="shared" ca="1" si="425"/>
        <v>635.37345155659807</v>
      </c>
      <c r="AM857">
        <v>0</v>
      </c>
      <c r="AN857">
        <v>0</v>
      </c>
      <c r="AO857">
        <f t="shared" si="426"/>
        <v>0</v>
      </c>
      <c r="AP857">
        <f t="shared" si="435"/>
        <v>0</v>
      </c>
      <c r="AQ857">
        <f t="shared" ca="1" si="427"/>
        <v>1.0000000000000004</v>
      </c>
      <c r="AR857" t="str">
        <f t="shared" ca="1" si="428"/>
        <v>Supercritical</v>
      </c>
      <c r="AS857">
        <f t="shared" ca="1" si="429"/>
        <v>3.8141460404132466E-3</v>
      </c>
    </row>
    <row r="858" spans="1:45" x14ac:dyDescent="0.35">
      <c r="A858">
        <v>797</v>
      </c>
      <c r="B858">
        <v>795.99599999999998</v>
      </c>
      <c r="C858">
        <v>616089.91399999999</v>
      </c>
      <c r="D858">
        <v>3097210.8739999998</v>
      </c>
      <c r="E858">
        <v>632.16449999999998</v>
      </c>
      <c r="F858">
        <v>5.2</v>
      </c>
      <c r="G858">
        <v>0</v>
      </c>
      <c r="H858" t="s">
        <v>154</v>
      </c>
      <c r="I858">
        <v>2E-3</v>
      </c>
      <c r="J858">
        <f t="shared" si="430"/>
        <v>1.0009999999999764</v>
      </c>
      <c r="K858">
        <f t="shared" ca="1" si="431"/>
        <v>50.95</v>
      </c>
      <c r="L858">
        <f t="shared" ca="1" si="432"/>
        <v>2.1389677043987478</v>
      </c>
      <c r="M858">
        <f t="shared" ca="1" si="405"/>
        <v>11.122632062873489</v>
      </c>
      <c r="N858">
        <f t="shared" ca="1" si="406"/>
        <v>1.1735290000551568</v>
      </c>
      <c r="O858">
        <f t="shared" ca="1" si="407"/>
        <v>4.5807502857230418</v>
      </c>
      <c r="P858">
        <f t="shared" ca="1" si="408"/>
        <v>634.30346770439871</v>
      </c>
      <c r="Q858">
        <f t="shared" ca="1" si="409"/>
        <v>635.37295155659808</v>
      </c>
      <c r="R858">
        <f t="shared" ca="1" si="410"/>
        <v>3.8141460404132466E-3</v>
      </c>
      <c r="S858">
        <f t="shared" ca="1" si="411"/>
        <v>1.0000000000000004</v>
      </c>
      <c r="T858">
        <f t="shared" ca="1" si="412"/>
        <v>35.686426155594638</v>
      </c>
      <c r="U858">
        <f t="shared" ca="1" si="433"/>
        <v>-3.3215251326055295E-3</v>
      </c>
      <c r="V858">
        <f t="shared" ca="1" si="434"/>
        <v>1</v>
      </c>
      <c r="W858">
        <f t="shared" ca="1" si="413"/>
        <v>2.1389677043987478</v>
      </c>
      <c r="X858">
        <f t="shared" ca="1" si="414"/>
        <v>11.122632062873489</v>
      </c>
      <c r="Y858">
        <f t="shared" ca="1" si="415"/>
        <v>1.1735290000551568</v>
      </c>
      <c r="Z858">
        <f t="shared" ca="1" si="416"/>
        <v>4.5807502857230418</v>
      </c>
      <c r="AA858">
        <f t="shared" ca="1" si="417"/>
        <v>634.30346770439871</v>
      </c>
      <c r="AB858">
        <f t="shared" ca="1" si="418"/>
        <v>635.37295155659808</v>
      </c>
      <c r="AC858">
        <f t="shared" ca="1" si="419"/>
        <v>3.8141460404132466E-3</v>
      </c>
      <c r="AD858">
        <f t="shared" ca="1" si="420"/>
        <v>1.0000000000000004</v>
      </c>
      <c r="AE858">
        <f t="shared" ca="1" si="421"/>
        <v>35.686426155594638</v>
      </c>
      <c r="AF858">
        <f t="shared" ca="1" si="422"/>
        <v>3.3676622881557705E-3</v>
      </c>
      <c r="AG858">
        <f t="shared" ca="1" si="423"/>
        <v>1</v>
      </c>
      <c r="AH858">
        <f ca="1">IFERROR(IF(V32="Supercritical",MAX($D$16,IFERROR(L858,MAX($D$16,POWER((ABS(K858)^2)/($I$5*MAX(F858,0.1)^2),1/3)))),IF(V32="Subcritical",MAX($D$16,IFERROR(W858,MAX($D$16,POWER((ABS(K858)^2)/($I$5*MAX(F858,0.1)^2),1/3)))),IF(AND(IFERROR(V858,0)=1,IFERROR(AG858,0)=1),IF(IFERROR(T858,-1E+99)&gt;=IFERROR(AE858,-1E+99),MAX($D$16,IFERROR(L858,MAX($D$16,POWER((ABS(K858)^2)/($I$5*MAX(F858,0.1)^2),1/3)))),MAX($D$16,IFERROR(W858,MAX($D$16,POWER((ABS(K858)^2)/($I$5*MAX(F858,0.1)^2),1/3))))),IF(IFERROR(V858,0)=1,MAX($D$16,IFERROR(L858,MAX($D$16,POWER((ABS(K858)^2)/($I$5*MAX(F858,0.1)^2),1/3)))),IF(IFERROR(AG858,0)=1,MAX($D$16,IFERROR(W858,MAX($D$16,POWER((ABS(K858)^2)/($I$5*MAX(F858,0.1)^2),1/3)))),MAX($D$16,POWER((ABS(K858)^2)/($I$5*MAX(F858,0.1)^2),1/3))))))),MAX($D$16,POWER((ABS(K858)^2)/($I$5*MAX(F858,0.1)^2),1/3)))</f>
        <v>2.1389677043987478</v>
      </c>
      <c r="AI858">
        <f t="shared" ca="1" si="424"/>
        <v>634.30346770439871</v>
      </c>
      <c r="AJ858">
        <f t="shared" ca="1" si="425"/>
        <v>635.37295155659808</v>
      </c>
      <c r="AM858">
        <v>0</v>
      </c>
      <c r="AN858">
        <v>0</v>
      </c>
      <c r="AO858">
        <f t="shared" si="426"/>
        <v>0</v>
      </c>
      <c r="AP858">
        <f t="shared" si="435"/>
        <v>0</v>
      </c>
      <c r="AQ858">
        <f t="shared" ca="1" si="427"/>
        <v>1.0000000000000004</v>
      </c>
      <c r="AR858" t="str">
        <f t="shared" ca="1" si="428"/>
        <v>Supercritical</v>
      </c>
      <c r="AS858">
        <f t="shared" ca="1" si="429"/>
        <v>3.8141460404132466E-3</v>
      </c>
    </row>
    <row r="859" spans="1:45" x14ac:dyDescent="0.35">
      <c r="A859">
        <v>798</v>
      </c>
      <c r="B859">
        <v>796.99599999999998</v>
      </c>
      <c r="C859">
        <v>616089.87199999997</v>
      </c>
      <c r="D859">
        <v>3097209.875</v>
      </c>
      <c r="E859">
        <v>632.16399999999999</v>
      </c>
      <c r="F859">
        <v>5.2</v>
      </c>
      <c r="G859">
        <v>0</v>
      </c>
      <c r="H859" t="s">
        <v>154</v>
      </c>
      <c r="I859">
        <v>0</v>
      </c>
      <c r="J859">
        <f t="shared" si="430"/>
        <v>1</v>
      </c>
      <c r="K859">
        <f t="shared" ca="1" si="431"/>
        <v>50.95</v>
      </c>
      <c r="L859">
        <f t="shared" ca="1" si="432"/>
        <v>2.1389677043987478</v>
      </c>
      <c r="M859">
        <f t="shared" ca="1" si="405"/>
        <v>11.122632062873489</v>
      </c>
      <c r="N859">
        <f t="shared" ca="1" si="406"/>
        <v>1.1735290000551568</v>
      </c>
      <c r="O859">
        <f t="shared" ca="1" si="407"/>
        <v>4.5807502857230418</v>
      </c>
      <c r="P859">
        <f t="shared" ca="1" si="408"/>
        <v>634.30296770439872</v>
      </c>
      <c r="Q859">
        <f t="shared" ca="1" si="409"/>
        <v>635.37245155659809</v>
      </c>
      <c r="R859">
        <f t="shared" ca="1" si="410"/>
        <v>3.8141460404132466E-3</v>
      </c>
      <c r="S859">
        <f t="shared" ca="1" si="411"/>
        <v>1.0000000000000004</v>
      </c>
      <c r="T859">
        <f t="shared" ca="1" si="412"/>
        <v>35.686426155594638</v>
      </c>
      <c r="U859">
        <f t="shared" ca="1" si="433"/>
        <v>-3.3141460404522149E-3</v>
      </c>
      <c r="V859">
        <f t="shared" ca="1" si="434"/>
        <v>1</v>
      </c>
      <c r="W859">
        <f t="shared" ca="1" si="413"/>
        <v>2.1389677043987478</v>
      </c>
      <c r="X859">
        <f t="shared" ca="1" si="414"/>
        <v>11.122632062873489</v>
      </c>
      <c r="Y859">
        <f t="shared" ca="1" si="415"/>
        <v>1.1735290000551568</v>
      </c>
      <c r="Z859">
        <f t="shared" ca="1" si="416"/>
        <v>4.5807502857230418</v>
      </c>
      <c r="AA859">
        <f t="shared" ca="1" si="417"/>
        <v>634.30296770439872</v>
      </c>
      <c r="AB859">
        <f t="shared" ca="1" si="418"/>
        <v>635.37245155659809</v>
      </c>
      <c r="AC859">
        <f t="shared" ca="1" si="419"/>
        <v>3.8141460404132466E-3</v>
      </c>
      <c r="AD859">
        <f t="shared" ca="1" si="420"/>
        <v>1.0000000000000004</v>
      </c>
      <c r="AE859">
        <f t="shared" ca="1" si="421"/>
        <v>35.686426155594638</v>
      </c>
      <c r="AF859">
        <f t="shared" ca="1" si="422"/>
        <v>3.4692882956051108E-3</v>
      </c>
      <c r="AG859">
        <f t="shared" ca="1" si="423"/>
        <v>1</v>
      </c>
      <c r="AH859">
        <f ca="1">IFERROR(IF(V32="Supercritical",MAX($D$16,IFERROR(L859,MAX($D$16,POWER((ABS(K859)^2)/($I$5*MAX(F859,0.1)^2),1/3)))),IF(V32="Subcritical",MAX($D$16,IFERROR(W859,MAX($D$16,POWER((ABS(K859)^2)/($I$5*MAX(F859,0.1)^2),1/3)))),IF(AND(IFERROR(V859,0)=1,IFERROR(AG859,0)=1),IF(IFERROR(T859,-1E+99)&gt;=IFERROR(AE859,-1E+99),MAX($D$16,IFERROR(L859,MAX($D$16,POWER((ABS(K859)^2)/($I$5*MAX(F859,0.1)^2),1/3)))),MAX($D$16,IFERROR(W859,MAX($D$16,POWER((ABS(K859)^2)/($I$5*MAX(F859,0.1)^2),1/3))))),IF(IFERROR(V859,0)=1,MAX($D$16,IFERROR(L859,MAX($D$16,POWER((ABS(K859)^2)/($I$5*MAX(F859,0.1)^2),1/3)))),IF(IFERROR(AG859,0)=1,MAX($D$16,IFERROR(W859,MAX($D$16,POWER((ABS(K859)^2)/($I$5*MAX(F859,0.1)^2),1/3)))),MAX($D$16,POWER((ABS(K859)^2)/($I$5*MAX(F859,0.1)^2),1/3))))))),MAX($D$16,POWER((ABS(K859)^2)/($I$5*MAX(F859,0.1)^2),1/3)))</f>
        <v>2.1389677043987478</v>
      </c>
      <c r="AI859">
        <f t="shared" ca="1" si="424"/>
        <v>634.30296770439872</v>
      </c>
      <c r="AJ859">
        <f t="shared" ca="1" si="425"/>
        <v>635.37245155659809</v>
      </c>
      <c r="AM859">
        <v>0</v>
      </c>
      <c r="AN859">
        <v>0</v>
      </c>
      <c r="AO859">
        <f t="shared" si="426"/>
        <v>0</v>
      </c>
      <c r="AP859">
        <f t="shared" si="435"/>
        <v>0</v>
      </c>
      <c r="AQ859">
        <f t="shared" ca="1" si="427"/>
        <v>1.0000000000000004</v>
      </c>
      <c r="AR859" t="str">
        <f t="shared" ca="1" si="428"/>
        <v>Supercritical</v>
      </c>
      <c r="AS859">
        <f t="shared" ca="1" si="429"/>
        <v>3.8141460404132466E-3</v>
      </c>
    </row>
    <row r="860" spans="1:45" x14ac:dyDescent="0.35">
      <c r="A860">
        <v>799</v>
      </c>
      <c r="B860">
        <v>797.99599999999998</v>
      </c>
      <c r="C860">
        <v>616089.82999999996</v>
      </c>
      <c r="D860">
        <v>3097208.8760000002</v>
      </c>
      <c r="E860">
        <v>632.1635</v>
      </c>
      <c r="F860">
        <v>5.2</v>
      </c>
      <c r="G860">
        <v>0</v>
      </c>
      <c r="H860" t="s">
        <v>154</v>
      </c>
      <c r="I860">
        <v>5.7000000000000002E-2</v>
      </c>
      <c r="J860">
        <f t="shared" si="430"/>
        <v>1</v>
      </c>
      <c r="K860">
        <f t="shared" ca="1" si="431"/>
        <v>50.95</v>
      </c>
      <c r="L860">
        <f t="shared" ca="1" si="432"/>
        <v>2.1389677043987478</v>
      </c>
      <c r="M860">
        <f t="shared" ca="1" si="405"/>
        <v>11.122632062873489</v>
      </c>
      <c r="N860">
        <f t="shared" ca="1" si="406"/>
        <v>1.1735290000551568</v>
      </c>
      <c r="O860">
        <f t="shared" ca="1" si="407"/>
        <v>4.5807502857230418</v>
      </c>
      <c r="P860">
        <f t="shared" ca="1" si="408"/>
        <v>634.30246770439874</v>
      </c>
      <c r="Q860">
        <f t="shared" ca="1" si="409"/>
        <v>635.37195155659811</v>
      </c>
      <c r="R860">
        <f t="shared" ca="1" si="410"/>
        <v>3.8141460404132466E-3</v>
      </c>
      <c r="S860">
        <f t="shared" ca="1" si="411"/>
        <v>1.0000000000000004</v>
      </c>
      <c r="T860">
        <f t="shared" ca="1" si="412"/>
        <v>35.686426155594638</v>
      </c>
      <c r="U860">
        <f t="shared" ca="1" si="433"/>
        <v>-3.4157470064428708E-3</v>
      </c>
      <c r="V860">
        <f t="shared" ca="1" si="434"/>
        <v>1</v>
      </c>
      <c r="W860">
        <f t="shared" ca="1" si="413"/>
        <v>2.1389677043987478</v>
      </c>
      <c r="X860">
        <f t="shared" ca="1" si="414"/>
        <v>11.122632062873489</v>
      </c>
      <c r="Y860">
        <f t="shared" ca="1" si="415"/>
        <v>1.1735290000551568</v>
      </c>
      <c r="Z860">
        <f t="shared" ca="1" si="416"/>
        <v>4.5807502857230418</v>
      </c>
      <c r="AA860">
        <f t="shared" ca="1" si="417"/>
        <v>634.30246770439874</v>
      </c>
      <c r="AB860">
        <f t="shared" ca="1" si="418"/>
        <v>635.37195155659811</v>
      </c>
      <c r="AC860">
        <f t="shared" ca="1" si="419"/>
        <v>3.8141460404132466E-3</v>
      </c>
      <c r="AD860">
        <f t="shared" ca="1" si="420"/>
        <v>1.0000000000000004</v>
      </c>
      <c r="AE860">
        <f t="shared" ca="1" si="421"/>
        <v>35.686426155594638</v>
      </c>
      <c r="AF860">
        <f t="shared" ca="1" si="422"/>
        <v>3.4677132457545667E-3</v>
      </c>
      <c r="AG860">
        <f t="shared" ca="1" si="423"/>
        <v>1</v>
      </c>
      <c r="AH860">
        <f ca="1">IFERROR(IF(V32="Supercritical",MAX($D$16,IFERROR(L860,MAX($D$16,POWER((ABS(K860)^2)/($I$5*MAX(F860,0.1)^2),1/3)))),IF(V32="Subcritical",MAX($D$16,IFERROR(W860,MAX($D$16,POWER((ABS(K860)^2)/($I$5*MAX(F860,0.1)^2),1/3)))),IF(AND(IFERROR(V860,0)=1,IFERROR(AG860,0)=1),IF(IFERROR(T860,-1E+99)&gt;=IFERROR(AE860,-1E+99),MAX($D$16,IFERROR(L860,MAX($D$16,POWER((ABS(K860)^2)/($I$5*MAX(F860,0.1)^2),1/3)))),MAX($D$16,IFERROR(W860,MAX($D$16,POWER((ABS(K860)^2)/($I$5*MAX(F860,0.1)^2),1/3))))),IF(IFERROR(V860,0)=1,MAX($D$16,IFERROR(L860,MAX($D$16,POWER((ABS(K860)^2)/($I$5*MAX(F860,0.1)^2),1/3)))),IF(IFERROR(AG860,0)=1,MAX($D$16,IFERROR(W860,MAX($D$16,POWER((ABS(K860)^2)/($I$5*MAX(F860,0.1)^2),1/3)))),MAX($D$16,POWER((ABS(K860)^2)/($I$5*MAX(F860,0.1)^2),1/3))))))),MAX($D$16,POWER((ABS(K860)^2)/($I$5*MAX(F860,0.1)^2),1/3)))</f>
        <v>2.1389677043987478</v>
      </c>
      <c r="AI860">
        <f t="shared" ca="1" si="424"/>
        <v>634.30246770439874</v>
      </c>
      <c r="AJ860">
        <f t="shared" ca="1" si="425"/>
        <v>635.37195155659811</v>
      </c>
      <c r="AM860">
        <v>0</v>
      </c>
      <c r="AN860">
        <v>0</v>
      </c>
      <c r="AO860">
        <f t="shared" si="426"/>
        <v>0</v>
      </c>
      <c r="AP860">
        <f t="shared" si="435"/>
        <v>0</v>
      </c>
      <c r="AQ860">
        <f t="shared" ca="1" si="427"/>
        <v>1.0000000000000004</v>
      </c>
      <c r="AR860" t="str">
        <f t="shared" ca="1" si="428"/>
        <v>Supercritical</v>
      </c>
      <c r="AS860">
        <f t="shared" ca="1" si="429"/>
        <v>3.8141460404132466E-3</v>
      </c>
    </row>
    <row r="861" spans="1:45" x14ac:dyDescent="0.35">
      <c r="A861">
        <v>800</v>
      </c>
      <c r="B861">
        <v>798.99599999999998</v>
      </c>
      <c r="C861">
        <v>616089.78700000001</v>
      </c>
      <c r="D861">
        <v>3097207.8769999999</v>
      </c>
      <c r="E861">
        <v>632.16300000000001</v>
      </c>
      <c r="F861">
        <v>5.2</v>
      </c>
      <c r="G861">
        <v>0</v>
      </c>
      <c r="H861" t="s">
        <v>154</v>
      </c>
      <c r="I861">
        <v>5.7000000000000002E-2</v>
      </c>
      <c r="J861">
        <f t="shared" si="430"/>
        <v>1</v>
      </c>
      <c r="K861">
        <f t="shared" ca="1" si="431"/>
        <v>50.95</v>
      </c>
      <c r="L861">
        <f t="shared" ca="1" si="432"/>
        <v>2.1389677043987478</v>
      </c>
      <c r="M861">
        <f t="shared" ca="1" si="405"/>
        <v>11.122632062873489</v>
      </c>
      <c r="N861">
        <f t="shared" ca="1" si="406"/>
        <v>1.1735290000551568</v>
      </c>
      <c r="O861">
        <f t="shared" ca="1" si="407"/>
        <v>4.5807502857230418</v>
      </c>
      <c r="P861">
        <f t="shared" ca="1" si="408"/>
        <v>634.30196770439875</v>
      </c>
      <c r="Q861">
        <f t="shared" ca="1" si="409"/>
        <v>635.37145155659812</v>
      </c>
      <c r="R861">
        <f t="shared" ca="1" si="410"/>
        <v>3.8141460404132466E-3</v>
      </c>
      <c r="S861">
        <f t="shared" ca="1" si="411"/>
        <v>1.0000000000000004</v>
      </c>
      <c r="T861">
        <f t="shared" ca="1" si="412"/>
        <v>35.686426155594638</v>
      </c>
      <c r="U861">
        <f t="shared" ca="1" si="433"/>
        <v>-3.4157470064428708E-3</v>
      </c>
      <c r="V861">
        <f t="shared" ca="1" si="434"/>
        <v>1</v>
      </c>
      <c r="W861">
        <f t="shared" ca="1" si="413"/>
        <v>2.1389677043987478</v>
      </c>
      <c r="X861">
        <f t="shared" ca="1" si="414"/>
        <v>11.122632062873489</v>
      </c>
      <c r="Y861">
        <f t="shared" ca="1" si="415"/>
        <v>1.1735290000551568</v>
      </c>
      <c r="Z861">
        <f t="shared" ca="1" si="416"/>
        <v>4.5807502857230418</v>
      </c>
      <c r="AA861">
        <f t="shared" ca="1" si="417"/>
        <v>634.30196770439875</v>
      </c>
      <c r="AB861">
        <f t="shared" ca="1" si="418"/>
        <v>635.37145155659812</v>
      </c>
      <c r="AC861">
        <f t="shared" ca="1" si="419"/>
        <v>3.8141460404132466E-3</v>
      </c>
      <c r="AD861">
        <f t="shared" ca="1" si="420"/>
        <v>1.0000000000000004</v>
      </c>
      <c r="AE861">
        <f t="shared" ca="1" si="421"/>
        <v>35.686426155594638</v>
      </c>
      <c r="AF861">
        <f t="shared" ca="1" si="422"/>
        <v>3.3660877591046301E-3</v>
      </c>
      <c r="AG861">
        <f t="shared" ca="1" si="423"/>
        <v>1</v>
      </c>
      <c r="AH861">
        <f ca="1">IFERROR(IF(V32="Supercritical",MAX($D$16,IFERROR(L861,MAX($D$16,POWER((ABS(K861)^2)/($I$5*MAX(F861,0.1)^2),1/3)))),IF(V32="Subcritical",MAX($D$16,IFERROR(W861,MAX($D$16,POWER((ABS(K861)^2)/($I$5*MAX(F861,0.1)^2),1/3)))),IF(AND(IFERROR(V861,0)=1,IFERROR(AG861,0)=1),IF(IFERROR(T861,-1E+99)&gt;=IFERROR(AE861,-1E+99),MAX($D$16,IFERROR(L861,MAX($D$16,POWER((ABS(K861)^2)/($I$5*MAX(F861,0.1)^2),1/3)))),MAX($D$16,IFERROR(W861,MAX($D$16,POWER((ABS(K861)^2)/($I$5*MAX(F861,0.1)^2),1/3))))),IF(IFERROR(V861,0)=1,MAX($D$16,IFERROR(L861,MAX($D$16,POWER((ABS(K861)^2)/($I$5*MAX(F861,0.1)^2),1/3)))),IF(IFERROR(AG861,0)=1,MAX($D$16,IFERROR(W861,MAX($D$16,POWER((ABS(K861)^2)/($I$5*MAX(F861,0.1)^2),1/3)))),MAX($D$16,POWER((ABS(K861)^2)/($I$5*MAX(F861,0.1)^2),1/3))))))),MAX($D$16,POWER((ABS(K861)^2)/($I$5*MAX(F861,0.1)^2),1/3)))</f>
        <v>2.1389677043987478</v>
      </c>
      <c r="AI861">
        <f t="shared" ca="1" si="424"/>
        <v>634.30196770439875</v>
      </c>
      <c r="AJ861">
        <f t="shared" ca="1" si="425"/>
        <v>635.37145155659812</v>
      </c>
      <c r="AM861">
        <v>0</v>
      </c>
      <c r="AN861">
        <v>0</v>
      </c>
      <c r="AO861">
        <f t="shared" si="426"/>
        <v>0</v>
      </c>
      <c r="AP861">
        <f t="shared" si="435"/>
        <v>0</v>
      </c>
      <c r="AQ861">
        <f t="shared" ca="1" si="427"/>
        <v>1.0000000000000004</v>
      </c>
      <c r="AR861" t="str">
        <f t="shared" ca="1" si="428"/>
        <v>Supercritical</v>
      </c>
      <c r="AS861">
        <f t="shared" ca="1" si="429"/>
        <v>3.8141460404132466E-3</v>
      </c>
    </row>
    <row r="862" spans="1:45" x14ac:dyDescent="0.35">
      <c r="A862">
        <v>801</v>
      </c>
      <c r="B862">
        <v>799.99599999999998</v>
      </c>
      <c r="C862">
        <v>616089.745</v>
      </c>
      <c r="D862">
        <v>3097206.878</v>
      </c>
      <c r="E862">
        <v>632.16250000000002</v>
      </c>
      <c r="F862">
        <v>5.2</v>
      </c>
      <c r="G862">
        <v>0</v>
      </c>
      <c r="H862" t="s">
        <v>154</v>
      </c>
      <c r="I862">
        <v>0</v>
      </c>
      <c r="J862">
        <f t="shared" si="430"/>
        <v>1</v>
      </c>
      <c r="K862">
        <f t="shared" ca="1" si="431"/>
        <v>50.95</v>
      </c>
      <c r="L862">
        <f t="shared" ca="1" si="432"/>
        <v>2.1389677043987478</v>
      </c>
      <c r="M862">
        <f t="shared" ca="1" si="405"/>
        <v>11.122632062873489</v>
      </c>
      <c r="N862">
        <f t="shared" ca="1" si="406"/>
        <v>1.1735290000551568</v>
      </c>
      <c r="O862">
        <f t="shared" ca="1" si="407"/>
        <v>4.5807502857230418</v>
      </c>
      <c r="P862">
        <f t="shared" ca="1" si="408"/>
        <v>634.30146770439876</v>
      </c>
      <c r="Q862">
        <f t="shared" ca="1" si="409"/>
        <v>635.37095155659813</v>
      </c>
      <c r="R862">
        <f t="shared" ca="1" si="410"/>
        <v>3.8141460404132466E-3</v>
      </c>
      <c r="S862">
        <f t="shared" ca="1" si="411"/>
        <v>1.0000000000000004</v>
      </c>
      <c r="T862">
        <f t="shared" ca="1" si="412"/>
        <v>35.686426155594638</v>
      </c>
      <c r="U862">
        <f t="shared" ca="1" si="433"/>
        <v>-3.3141460404522149E-3</v>
      </c>
      <c r="V862">
        <f t="shared" ca="1" si="434"/>
        <v>1</v>
      </c>
      <c r="W862">
        <f t="shared" ca="1" si="413"/>
        <v>2.1389677043987478</v>
      </c>
      <c r="X862">
        <f t="shared" ca="1" si="414"/>
        <v>11.122632062873489</v>
      </c>
      <c r="Y862">
        <f t="shared" ca="1" si="415"/>
        <v>1.1735290000551568</v>
      </c>
      <c r="Z862">
        <f t="shared" ca="1" si="416"/>
        <v>4.5807502857230418</v>
      </c>
      <c r="AA862">
        <f t="shared" ca="1" si="417"/>
        <v>634.30146770439876</v>
      </c>
      <c r="AB862">
        <f t="shared" ca="1" si="418"/>
        <v>635.37095155659813</v>
      </c>
      <c r="AC862">
        <f t="shared" ca="1" si="419"/>
        <v>3.8141460404132466E-3</v>
      </c>
      <c r="AD862">
        <f t="shared" ca="1" si="420"/>
        <v>1.0000000000000004</v>
      </c>
      <c r="AE862">
        <f t="shared" ca="1" si="421"/>
        <v>35.686426155594638</v>
      </c>
      <c r="AF862">
        <f t="shared" ca="1" si="422"/>
        <v>3.3676032162475167E-3</v>
      </c>
      <c r="AG862">
        <f t="shared" ca="1" si="423"/>
        <v>1</v>
      </c>
      <c r="AH862">
        <f ca="1">IFERROR(IF(V32="Supercritical",MAX($D$16,IFERROR(L862,MAX($D$16,POWER((ABS(K862)^2)/($I$5*MAX(F862,0.1)^2),1/3)))),IF(V32="Subcritical",MAX($D$16,IFERROR(W862,MAX($D$16,POWER((ABS(K862)^2)/($I$5*MAX(F862,0.1)^2),1/3)))),IF(AND(IFERROR(V862,0)=1,IFERROR(AG862,0)=1),IF(IFERROR(T862,-1E+99)&gt;=IFERROR(AE862,-1E+99),MAX($D$16,IFERROR(L862,MAX($D$16,POWER((ABS(K862)^2)/($I$5*MAX(F862,0.1)^2),1/3)))),MAX($D$16,IFERROR(W862,MAX($D$16,POWER((ABS(K862)^2)/($I$5*MAX(F862,0.1)^2),1/3))))),IF(IFERROR(V862,0)=1,MAX($D$16,IFERROR(L862,MAX($D$16,POWER((ABS(K862)^2)/($I$5*MAX(F862,0.1)^2),1/3)))),IF(IFERROR(AG862,0)=1,MAX($D$16,IFERROR(W862,MAX($D$16,POWER((ABS(K862)^2)/($I$5*MAX(F862,0.1)^2),1/3)))),MAX($D$16,POWER((ABS(K862)^2)/($I$5*MAX(F862,0.1)^2),1/3))))))),MAX($D$16,POWER((ABS(K862)^2)/($I$5*MAX(F862,0.1)^2),1/3)))</f>
        <v>2.1389677043987478</v>
      </c>
      <c r="AI862">
        <f t="shared" ca="1" si="424"/>
        <v>634.30146770439876</v>
      </c>
      <c r="AJ862">
        <f t="shared" ca="1" si="425"/>
        <v>635.37095155659813</v>
      </c>
      <c r="AM862">
        <v>0</v>
      </c>
      <c r="AN862">
        <v>0</v>
      </c>
      <c r="AO862">
        <f t="shared" si="426"/>
        <v>0</v>
      </c>
      <c r="AP862">
        <f t="shared" si="435"/>
        <v>0</v>
      </c>
      <c r="AQ862">
        <f t="shared" ca="1" si="427"/>
        <v>1.0000000000000004</v>
      </c>
      <c r="AR862" t="str">
        <f t="shared" ca="1" si="428"/>
        <v>Supercritical</v>
      </c>
      <c r="AS862">
        <f t="shared" ca="1" si="429"/>
        <v>3.8141460404132466E-3</v>
      </c>
    </row>
    <row r="863" spans="1:45" x14ac:dyDescent="0.35">
      <c r="A863">
        <v>802</v>
      </c>
      <c r="B863">
        <v>800.99599999999998</v>
      </c>
      <c r="C863">
        <v>616089.70299999998</v>
      </c>
      <c r="D863">
        <v>3097205.8790000002</v>
      </c>
      <c r="E863">
        <v>632.16200000000003</v>
      </c>
      <c r="F863">
        <v>5.2</v>
      </c>
      <c r="G863">
        <v>0</v>
      </c>
      <c r="H863" t="s">
        <v>154</v>
      </c>
      <c r="I863">
        <v>0</v>
      </c>
      <c r="J863">
        <f t="shared" si="430"/>
        <v>1</v>
      </c>
      <c r="K863">
        <f t="shared" ca="1" si="431"/>
        <v>50.95</v>
      </c>
      <c r="L863">
        <f t="shared" ca="1" si="432"/>
        <v>2.1389677043987478</v>
      </c>
      <c r="M863">
        <f t="shared" ca="1" si="405"/>
        <v>11.122632062873489</v>
      </c>
      <c r="N863">
        <f t="shared" ca="1" si="406"/>
        <v>1.1735290000551568</v>
      </c>
      <c r="O863">
        <f t="shared" ca="1" si="407"/>
        <v>4.5807502857230418</v>
      </c>
      <c r="P863">
        <f t="shared" ca="1" si="408"/>
        <v>634.30096770439877</v>
      </c>
      <c r="Q863">
        <f t="shared" ca="1" si="409"/>
        <v>635.37045155659814</v>
      </c>
      <c r="R863">
        <f t="shared" ca="1" si="410"/>
        <v>3.8141460404132466E-3</v>
      </c>
      <c r="S863">
        <f t="shared" ca="1" si="411"/>
        <v>1.0000000000000004</v>
      </c>
      <c r="T863">
        <f t="shared" ca="1" si="412"/>
        <v>35.686426155594638</v>
      </c>
      <c r="U863">
        <f t="shared" ca="1" si="433"/>
        <v>-3.3141460404522149E-3</v>
      </c>
      <c r="V863">
        <f t="shared" ca="1" si="434"/>
        <v>1</v>
      </c>
      <c r="W863">
        <f t="shared" ca="1" si="413"/>
        <v>2.1389677043987478</v>
      </c>
      <c r="X863">
        <f t="shared" ca="1" si="414"/>
        <v>11.122632062873489</v>
      </c>
      <c r="Y863">
        <f t="shared" ca="1" si="415"/>
        <v>1.1735290000551568</v>
      </c>
      <c r="Z863">
        <f t="shared" ca="1" si="416"/>
        <v>4.5807502857230418</v>
      </c>
      <c r="AA863">
        <f t="shared" ca="1" si="417"/>
        <v>634.30096770439877</v>
      </c>
      <c r="AB863">
        <f t="shared" ca="1" si="418"/>
        <v>635.37045155659814</v>
      </c>
      <c r="AC863">
        <f t="shared" ca="1" si="419"/>
        <v>3.8141460404132466E-3</v>
      </c>
      <c r="AD863">
        <f t="shared" ca="1" si="420"/>
        <v>1.0000000000000004</v>
      </c>
      <c r="AE863">
        <f t="shared" ca="1" si="421"/>
        <v>35.686426155594638</v>
      </c>
      <c r="AF863">
        <f t="shared" ca="1" si="422"/>
        <v>3.4654737841037786E-3</v>
      </c>
      <c r="AG863">
        <f t="shared" ca="1" si="423"/>
        <v>1</v>
      </c>
      <c r="AH863">
        <f ca="1">IFERROR(IF(V32="Supercritical",MAX($D$16,IFERROR(L863,MAX($D$16,POWER((ABS(K863)^2)/($I$5*MAX(F863,0.1)^2),1/3)))),IF(V32="Subcritical",MAX($D$16,IFERROR(W863,MAX($D$16,POWER((ABS(K863)^2)/($I$5*MAX(F863,0.1)^2),1/3)))),IF(AND(IFERROR(V863,0)=1,IFERROR(AG863,0)=1),IF(IFERROR(T863,-1E+99)&gt;=IFERROR(AE863,-1E+99),MAX($D$16,IFERROR(L863,MAX($D$16,POWER((ABS(K863)^2)/($I$5*MAX(F863,0.1)^2),1/3)))),MAX($D$16,IFERROR(W863,MAX($D$16,POWER((ABS(K863)^2)/($I$5*MAX(F863,0.1)^2),1/3))))),IF(IFERROR(V863,0)=1,MAX($D$16,IFERROR(L863,MAX($D$16,POWER((ABS(K863)^2)/($I$5*MAX(F863,0.1)^2),1/3)))),IF(IFERROR(AG863,0)=1,MAX($D$16,IFERROR(W863,MAX($D$16,POWER((ABS(K863)^2)/($I$5*MAX(F863,0.1)^2),1/3)))),MAX($D$16,POWER((ABS(K863)^2)/($I$5*MAX(F863,0.1)^2),1/3))))))),MAX($D$16,POWER((ABS(K863)^2)/($I$5*MAX(F863,0.1)^2),1/3)))</f>
        <v>2.1389677043987478</v>
      </c>
      <c r="AI863">
        <f t="shared" ca="1" si="424"/>
        <v>634.30096770439877</v>
      </c>
      <c r="AJ863">
        <f t="shared" ca="1" si="425"/>
        <v>635.37045155659814</v>
      </c>
      <c r="AM863">
        <v>0</v>
      </c>
      <c r="AN863">
        <v>0</v>
      </c>
      <c r="AO863">
        <f t="shared" si="426"/>
        <v>0</v>
      </c>
      <c r="AP863">
        <f t="shared" si="435"/>
        <v>0</v>
      </c>
      <c r="AQ863">
        <f t="shared" ca="1" si="427"/>
        <v>1.0000000000000004</v>
      </c>
      <c r="AR863" t="str">
        <f t="shared" ca="1" si="428"/>
        <v>Supercritical</v>
      </c>
      <c r="AS863">
        <f t="shared" ca="1" si="429"/>
        <v>3.8141460404132466E-3</v>
      </c>
    </row>
    <row r="864" spans="1:45" x14ac:dyDescent="0.35">
      <c r="A864">
        <v>803</v>
      </c>
      <c r="B864">
        <v>801.995</v>
      </c>
      <c r="C864">
        <v>616089.66099999996</v>
      </c>
      <c r="D864">
        <v>3097204.88</v>
      </c>
      <c r="E864">
        <v>632.16150000000005</v>
      </c>
      <c r="F864">
        <v>5.2</v>
      </c>
      <c r="G864">
        <v>0</v>
      </c>
      <c r="H864" t="s">
        <v>154</v>
      </c>
      <c r="I864">
        <v>5.7000000000000002E-2</v>
      </c>
      <c r="J864">
        <f t="shared" si="430"/>
        <v>0.99900000000002365</v>
      </c>
      <c r="K864">
        <f t="shared" ca="1" si="431"/>
        <v>50.95</v>
      </c>
      <c r="L864">
        <f t="shared" ca="1" si="432"/>
        <v>2.1389677043987478</v>
      </c>
      <c r="M864">
        <f t="shared" ca="1" si="405"/>
        <v>11.122632062873489</v>
      </c>
      <c r="N864">
        <f t="shared" ca="1" si="406"/>
        <v>1.1735290000551568</v>
      </c>
      <c r="O864">
        <f t="shared" ca="1" si="407"/>
        <v>4.5807502857230418</v>
      </c>
      <c r="P864">
        <f t="shared" ca="1" si="408"/>
        <v>634.30046770439878</v>
      </c>
      <c r="Q864">
        <f t="shared" ca="1" si="409"/>
        <v>635.36995155659815</v>
      </c>
      <c r="R864">
        <f t="shared" ca="1" si="410"/>
        <v>3.8141460404132466E-3</v>
      </c>
      <c r="S864">
        <f t="shared" ca="1" si="411"/>
        <v>1.0000000000000004</v>
      </c>
      <c r="T864">
        <f t="shared" ca="1" si="412"/>
        <v>35.686426155594638</v>
      </c>
      <c r="U864">
        <f t="shared" ca="1" si="433"/>
        <v>-3.411932860331035E-3</v>
      </c>
      <c r="V864">
        <f t="shared" ca="1" si="434"/>
        <v>1</v>
      </c>
      <c r="W864">
        <f t="shared" ca="1" si="413"/>
        <v>2.1389677043987478</v>
      </c>
      <c r="X864">
        <f t="shared" ca="1" si="414"/>
        <v>11.122632062873489</v>
      </c>
      <c r="Y864">
        <f t="shared" ca="1" si="415"/>
        <v>1.1735290000551568</v>
      </c>
      <c r="Z864">
        <f t="shared" ca="1" si="416"/>
        <v>4.5807502857230418</v>
      </c>
      <c r="AA864">
        <f t="shared" ca="1" si="417"/>
        <v>634.30046770439878</v>
      </c>
      <c r="AB864">
        <f t="shared" ca="1" si="418"/>
        <v>635.36995155659815</v>
      </c>
      <c r="AC864">
        <f t="shared" ca="1" si="419"/>
        <v>3.8141460404132466E-3</v>
      </c>
      <c r="AD864">
        <f t="shared" ca="1" si="420"/>
        <v>1.0000000000000004</v>
      </c>
      <c r="AE864">
        <f t="shared" ca="1" si="421"/>
        <v>35.686426155594638</v>
      </c>
      <c r="AF864">
        <f t="shared" ca="1" si="422"/>
        <v>3.4677714292001838E-3</v>
      </c>
      <c r="AG864">
        <f t="shared" ca="1" si="423"/>
        <v>1</v>
      </c>
      <c r="AH864">
        <f ca="1">IFERROR(IF(V32="Supercritical",MAX($D$16,IFERROR(L864,MAX($D$16,POWER((ABS(K864)^2)/($I$5*MAX(F864,0.1)^2),1/3)))),IF(V32="Subcritical",MAX($D$16,IFERROR(W864,MAX($D$16,POWER((ABS(K864)^2)/($I$5*MAX(F864,0.1)^2),1/3)))),IF(AND(IFERROR(V864,0)=1,IFERROR(AG864,0)=1),IF(IFERROR(T864,-1E+99)&gt;=IFERROR(AE864,-1E+99),MAX($D$16,IFERROR(L864,MAX($D$16,POWER((ABS(K864)^2)/($I$5*MAX(F864,0.1)^2),1/3)))),MAX($D$16,IFERROR(W864,MAX($D$16,POWER((ABS(K864)^2)/($I$5*MAX(F864,0.1)^2),1/3))))),IF(IFERROR(V864,0)=1,MAX($D$16,IFERROR(L864,MAX($D$16,POWER((ABS(K864)^2)/($I$5*MAX(F864,0.1)^2),1/3)))),IF(IFERROR(AG864,0)=1,MAX($D$16,IFERROR(W864,MAX($D$16,POWER((ABS(K864)^2)/($I$5*MAX(F864,0.1)^2),1/3)))),MAX($D$16,POWER((ABS(K864)^2)/($I$5*MAX(F864,0.1)^2),1/3))))))),MAX($D$16,POWER((ABS(K864)^2)/($I$5*MAX(F864,0.1)^2),1/3)))</f>
        <v>2.1389677043987478</v>
      </c>
      <c r="AI864">
        <f t="shared" ca="1" si="424"/>
        <v>634.30046770439878</v>
      </c>
      <c r="AJ864">
        <f t="shared" ca="1" si="425"/>
        <v>635.36995155659815</v>
      </c>
      <c r="AM864">
        <v>0</v>
      </c>
      <c r="AN864">
        <v>0</v>
      </c>
      <c r="AO864">
        <f t="shared" si="426"/>
        <v>0</v>
      </c>
      <c r="AP864">
        <f t="shared" si="435"/>
        <v>0</v>
      </c>
      <c r="AQ864">
        <f t="shared" ca="1" si="427"/>
        <v>1.0000000000000004</v>
      </c>
      <c r="AR864" t="str">
        <f t="shared" ca="1" si="428"/>
        <v>Supercritical</v>
      </c>
      <c r="AS864">
        <f t="shared" ca="1" si="429"/>
        <v>3.8141460404132466E-3</v>
      </c>
    </row>
    <row r="865" spans="1:45" x14ac:dyDescent="0.35">
      <c r="A865">
        <v>804</v>
      </c>
      <c r="B865">
        <v>802.995</v>
      </c>
      <c r="C865">
        <v>616089.61800000002</v>
      </c>
      <c r="D865">
        <v>3097203.8810000001</v>
      </c>
      <c r="E865">
        <v>632.16099999999994</v>
      </c>
      <c r="F865">
        <v>5.2</v>
      </c>
      <c r="G865">
        <v>0</v>
      </c>
      <c r="H865" t="s">
        <v>154</v>
      </c>
      <c r="I865">
        <v>5.7000000000000002E-2</v>
      </c>
      <c r="J865">
        <f t="shared" si="430"/>
        <v>1</v>
      </c>
      <c r="K865">
        <f t="shared" ca="1" si="431"/>
        <v>50.95</v>
      </c>
      <c r="L865">
        <f t="shared" ca="1" si="432"/>
        <v>2.1389677043987478</v>
      </c>
      <c r="M865">
        <f t="shared" ca="1" si="405"/>
        <v>11.122632062873489</v>
      </c>
      <c r="N865">
        <f t="shared" ca="1" si="406"/>
        <v>1.1735290000551568</v>
      </c>
      <c r="O865">
        <f t="shared" ca="1" si="407"/>
        <v>4.5807502857230418</v>
      </c>
      <c r="P865">
        <f t="shared" ca="1" si="408"/>
        <v>634.29996770439868</v>
      </c>
      <c r="Q865">
        <f t="shared" ca="1" si="409"/>
        <v>635.36945155659805</v>
      </c>
      <c r="R865">
        <f t="shared" ca="1" si="410"/>
        <v>3.8141460404132466E-3</v>
      </c>
      <c r="S865">
        <f t="shared" ca="1" si="411"/>
        <v>1.0000000000000004</v>
      </c>
      <c r="T865">
        <f t="shared" ca="1" si="412"/>
        <v>35.686426155594638</v>
      </c>
      <c r="U865">
        <f t="shared" ca="1" si="433"/>
        <v>-3.4157470063291839E-3</v>
      </c>
      <c r="V865">
        <f t="shared" ca="1" si="434"/>
        <v>1</v>
      </c>
      <c r="W865">
        <f t="shared" ca="1" si="413"/>
        <v>2.1389677043987478</v>
      </c>
      <c r="X865">
        <f t="shared" ca="1" si="414"/>
        <v>11.122632062873489</v>
      </c>
      <c r="Y865">
        <f t="shared" ca="1" si="415"/>
        <v>1.1735290000551568</v>
      </c>
      <c r="Z865">
        <f t="shared" ca="1" si="416"/>
        <v>4.5807502857230418</v>
      </c>
      <c r="AA865">
        <f t="shared" ca="1" si="417"/>
        <v>634.29996770439868</v>
      </c>
      <c r="AB865">
        <f t="shared" ca="1" si="418"/>
        <v>635.36945155659805</v>
      </c>
      <c r="AC865">
        <f t="shared" ca="1" si="419"/>
        <v>3.8141460404132466E-3</v>
      </c>
      <c r="AD865">
        <f t="shared" ca="1" si="420"/>
        <v>1.0000000000000004</v>
      </c>
      <c r="AE865">
        <f t="shared" ca="1" si="421"/>
        <v>35.686426155594638</v>
      </c>
      <c r="AF865">
        <f t="shared" ca="1" si="422"/>
        <v>3.3698423089845164E-3</v>
      </c>
      <c r="AG865">
        <f t="shared" ca="1" si="423"/>
        <v>1</v>
      </c>
      <c r="AH865">
        <f ca="1">IFERROR(IF(V32="Supercritical",MAX($D$16,IFERROR(L865,MAX($D$16,POWER((ABS(K865)^2)/($I$5*MAX(F865,0.1)^2),1/3)))),IF(V32="Subcritical",MAX($D$16,IFERROR(W865,MAX($D$16,POWER((ABS(K865)^2)/($I$5*MAX(F865,0.1)^2),1/3)))),IF(AND(IFERROR(V865,0)=1,IFERROR(AG865,0)=1),IF(IFERROR(T865,-1E+99)&gt;=IFERROR(AE865,-1E+99),MAX($D$16,IFERROR(L865,MAX($D$16,POWER((ABS(K865)^2)/($I$5*MAX(F865,0.1)^2),1/3)))),MAX($D$16,IFERROR(W865,MAX($D$16,POWER((ABS(K865)^2)/($I$5*MAX(F865,0.1)^2),1/3))))),IF(IFERROR(V865,0)=1,MAX($D$16,IFERROR(L865,MAX($D$16,POWER((ABS(K865)^2)/($I$5*MAX(F865,0.1)^2),1/3)))),IF(IFERROR(AG865,0)=1,MAX($D$16,IFERROR(W865,MAX($D$16,POWER((ABS(K865)^2)/($I$5*MAX(F865,0.1)^2),1/3)))),MAX($D$16,POWER((ABS(K865)^2)/($I$5*MAX(F865,0.1)^2),1/3))))))),MAX($D$16,POWER((ABS(K865)^2)/($I$5*MAX(F865,0.1)^2),1/3)))</f>
        <v>2.1389677043987478</v>
      </c>
      <c r="AI865">
        <f t="shared" ca="1" si="424"/>
        <v>634.29996770439868</v>
      </c>
      <c r="AJ865">
        <f t="shared" ca="1" si="425"/>
        <v>635.36945155659805</v>
      </c>
      <c r="AM865">
        <v>0</v>
      </c>
      <c r="AN865">
        <v>0</v>
      </c>
      <c r="AO865">
        <f t="shared" si="426"/>
        <v>0</v>
      </c>
      <c r="AP865">
        <f t="shared" si="435"/>
        <v>0</v>
      </c>
      <c r="AQ865">
        <f t="shared" ca="1" si="427"/>
        <v>1.0000000000000004</v>
      </c>
      <c r="AR865" t="str">
        <f t="shared" ca="1" si="428"/>
        <v>Supercritical</v>
      </c>
      <c r="AS865">
        <f t="shared" ca="1" si="429"/>
        <v>3.8141460404132466E-3</v>
      </c>
    </row>
    <row r="866" spans="1:45" x14ac:dyDescent="0.35">
      <c r="A866">
        <v>805</v>
      </c>
      <c r="B866">
        <v>803.995</v>
      </c>
      <c r="C866">
        <v>616089.576</v>
      </c>
      <c r="D866">
        <v>3097202.8820000002</v>
      </c>
      <c r="E866">
        <v>632.16049999999996</v>
      </c>
      <c r="F866">
        <v>5.2</v>
      </c>
      <c r="G866">
        <v>0</v>
      </c>
      <c r="H866" t="s">
        <v>154</v>
      </c>
      <c r="I866">
        <v>2E-3</v>
      </c>
      <c r="J866">
        <f t="shared" si="430"/>
        <v>1</v>
      </c>
      <c r="K866">
        <f t="shared" ca="1" si="431"/>
        <v>50.95</v>
      </c>
      <c r="L866">
        <f t="shared" ca="1" si="432"/>
        <v>2.1389677043987478</v>
      </c>
      <c r="M866">
        <f t="shared" ca="1" si="405"/>
        <v>11.122632062873489</v>
      </c>
      <c r="N866">
        <f t="shared" ca="1" si="406"/>
        <v>1.1735290000551568</v>
      </c>
      <c r="O866">
        <f t="shared" ca="1" si="407"/>
        <v>4.5807502857230418</v>
      </c>
      <c r="P866">
        <f t="shared" ca="1" si="408"/>
        <v>634.29946770439869</v>
      </c>
      <c r="Q866">
        <f t="shared" ca="1" si="409"/>
        <v>635.36895155659806</v>
      </c>
      <c r="R866">
        <f t="shared" ca="1" si="410"/>
        <v>3.8141460404132466E-3</v>
      </c>
      <c r="S866">
        <f t="shared" ca="1" si="411"/>
        <v>1.0000000000000004</v>
      </c>
      <c r="T866">
        <f t="shared" ca="1" si="412"/>
        <v>35.686426155594638</v>
      </c>
      <c r="U866">
        <f t="shared" ca="1" si="433"/>
        <v>-3.3177109866073806E-3</v>
      </c>
      <c r="V866">
        <f t="shared" ca="1" si="434"/>
        <v>1</v>
      </c>
      <c r="W866">
        <f t="shared" ca="1" si="413"/>
        <v>2.1389677043987478</v>
      </c>
      <c r="X866">
        <f t="shared" ca="1" si="414"/>
        <v>11.122632062873489</v>
      </c>
      <c r="Y866">
        <f t="shared" ca="1" si="415"/>
        <v>1.1735290000551568</v>
      </c>
      <c r="Z866">
        <f t="shared" ca="1" si="416"/>
        <v>4.5807502857230418</v>
      </c>
      <c r="AA866">
        <f t="shared" ca="1" si="417"/>
        <v>634.29946770439869</v>
      </c>
      <c r="AB866">
        <f t="shared" ca="1" si="418"/>
        <v>635.36895155659806</v>
      </c>
      <c r="AC866">
        <f t="shared" ca="1" si="419"/>
        <v>3.8141460404132466E-3</v>
      </c>
      <c r="AD866">
        <f t="shared" ca="1" si="420"/>
        <v>1.0000000000000004</v>
      </c>
      <c r="AE866">
        <f t="shared" ca="1" si="421"/>
        <v>35.686426155594638</v>
      </c>
      <c r="AF866">
        <f t="shared" ca="1" si="422"/>
        <v>3.3797401132460436E-3</v>
      </c>
      <c r="AG866">
        <f t="shared" ca="1" si="423"/>
        <v>1</v>
      </c>
      <c r="AH866">
        <f ca="1">IFERROR(IF(V32="Supercritical",MAX($D$16,IFERROR(L866,MAX($D$16,POWER((ABS(K866)^2)/($I$5*MAX(F866,0.1)^2),1/3)))),IF(V32="Subcritical",MAX($D$16,IFERROR(W866,MAX($D$16,POWER((ABS(K866)^2)/($I$5*MAX(F866,0.1)^2),1/3)))),IF(AND(IFERROR(V866,0)=1,IFERROR(AG866,0)=1),IF(IFERROR(T866,-1E+99)&gt;=IFERROR(AE866,-1E+99),MAX($D$16,IFERROR(L866,MAX($D$16,POWER((ABS(K866)^2)/($I$5*MAX(F866,0.1)^2),1/3)))),MAX($D$16,IFERROR(W866,MAX($D$16,POWER((ABS(K866)^2)/($I$5*MAX(F866,0.1)^2),1/3))))),IF(IFERROR(V866,0)=1,MAX($D$16,IFERROR(L866,MAX($D$16,POWER((ABS(K866)^2)/($I$5*MAX(F866,0.1)^2),1/3)))),IF(IFERROR(AG866,0)=1,MAX($D$16,IFERROR(W866,MAX($D$16,POWER((ABS(K866)^2)/($I$5*MAX(F866,0.1)^2),1/3)))),MAX($D$16,POWER((ABS(K866)^2)/($I$5*MAX(F866,0.1)^2),1/3))))))),MAX($D$16,POWER((ABS(K866)^2)/($I$5*MAX(F866,0.1)^2),1/3)))</f>
        <v>2.1389677043987478</v>
      </c>
      <c r="AI866">
        <f t="shared" ca="1" si="424"/>
        <v>634.29946770439869</v>
      </c>
      <c r="AJ866">
        <f t="shared" ca="1" si="425"/>
        <v>635.36895155659806</v>
      </c>
      <c r="AM866">
        <v>0</v>
      </c>
      <c r="AN866">
        <v>0</v>
      </c>
      <c r="AO866">
        <f t="shared" si="426"/>
        <v>0</v>
      </c>
      <c r="AP866">
        <f t="shared" si="435"/>
        <v>0</v>
      </c>
      <c r="AQ866">
        <f t="shared" ca="1" si="427"/>
        <v>1.0000000000000004</v>
      </c>
      <c r="AR866" t="str">
        <f t="shared" ca="1" si="428"/>
        <v>Supercritical</v>
      </c>
      <c r="AS866">
        <f t="shared" ca="1" si="429"/>
        <v>3.8141460404132466E-3</v>
      </c>
    </row>
    <row r="867" spans="1:45" x14ac:dyDescent="0.35">
      <c r="A867">
        <v>806</v>
      </c>
      <c r="B867">
        <v>804.99599999999998</v>
      </c>
      <c r="C867">
        <v>616089.53399999999</v>
      </c>
      <c r="D867">
        <v>3097201.8820000002</v>
      </c>
      <c r="E867">
        <v>632.16</v>
      </c>
      <c r="F867">
        <v>5.2</v>
      </c>
      <c r="G867">
        <v>0</v>
      </c>
      <c r="H867" t="s">
        <v>154</v>
      </c>
      <c r="I867">
        <v>2E-3</v>
      </c>
      <c r="J867">
        <f t="shared" si="430"/>
        <v>1.0009999999999764</v>
      </c>
      <c r="K867">
        <f t="shared" ca="1" si="431"/>
        <v>50.95</v>
      </c>
      <c r="L867">
        <f t="shared" ca="1" si="432"/>
        <v>2.1389677043987478</v>
      </c>
      <c r="M867">
        <f t="shared" ca="1" si="405"/>
        <v>11.122632062873489</v>
      </c>
      <c r="N867">
        <f t="shared" ca="1" si="406"/>
        <v>1.1735290000551568</v>
      </c>
      <c r="O867">
        <f t="shared" ca="1" si="407"/>
        <v>4.5807502857230418</v>
      </c>
      <c r="P867">
        <f t="shared" ca="1" si="408"/>
        <v>634.29896770439871</v>
      </c>
      <c r="Q867">
        <f t="shared" ca="1" si="409"/>
        <v>635.36845155659807</v>
      </c>
      <c r="R867">
        <f t="shared" ca="1" si="410"/>
        <v>3.8141460404132466E-3</v>
      </c>
      <c r="S867">
        <f t="shared" ca="1" si="411"/>
        <v>1.0000000000000004</v>
      </c>
      <c r="T867">
        <f t="shared" ca="1" si="412"/>
        <v>35.686426155594638</v>
      </c>
      <c r="U867">
        <f t="shared" ca="1" si="433"/>
        <v>-3.3215251326055295E-3</v>
      </c>
      <c r="V867">
        <f t="shared" ca="1" si="434"/>
        <v>1</v>
      </c>
      <c r="W867">
        <f t="shared" ca="1" si="413"/>
        <v>2.1389677043987478</v>
      </c>
      <c r="X867">
        <f t="shared" ca="1" si="414"/>
        <v>11.122632062873489</v>
      </c>
      <c r="Y867">
        <f t="shared" ca="1" si="415"/>
        <v>1.1735290000551568</v>
      </c>
      <c r="Z867">
        <f t="shared" ca="1" si="416"/>
        <v>4.5807502857230418</v>
      </c>
      <c r="AA867">
        <f t="shared" ca="1" si="417"/>
        <v>634.29896770439871</v>
      </c>
      <c r="AB867">
        <f t="shared" ca="1" si="418"/>
        <v>635.36845155659807</v>
      </c>
      <c r="AC867">
        <f t="shared" ca="1" si="419"/>
        <v>3.8141460404132466E-3</v>
      </c>
      <c r="AD867">
        <f t="shared" ca="1" si="420"/>
        <v>1.0000000000000004</v>
      </c>
      <c r="AE867">
        <f t="shared" ca="1" si="421"/>
        <v>35.686426155594638</v>
      </c>
      <c r="AF867">
        <f t="shared" ca="1" si="422"/>
        <v>3.7723894398595803E-3</v>
      </c>
      <c r="AG867">
        <f t="shared" ca="1" si="423"/>
        <v>1</v>
      </c>
      <c r="AH867">
        <f ca="1">IFERROR(IF(V32="Supercritical",MAX($D$16,IFERROR(L867,MAX($D$16,POWER((ABS(K867)^2)/($I$5*MAX(F867,0.1)^2),1/3)))),IF(V32="Subcritical",MAX($D$16,IFERROR(W867,MAX($D$16,POWER((ABS(K867)^2)/($I$5*MAX(F867,0.1)^2),1/3)))),IF(AND(IFERROR(V867,0)=1,IFERROR(AG867,0)=1),IF(IFERROR(T867,-1E+99)&gt;=IFERROR(AE867,-1E+99),MAX($D$16,IFERROR(L867,MAX($D$16,POWER((ABS(K867)^2)/($I$5*MAX(F867,0.1)^2),1/3)))),MAX($D$16,IFERROR(W867,MAX($D$16,POWER((ABS(K867)^2)/($I$5*MAX(F867,0.1)^2),1/3))))),IF(IFERROR(V867,0)=1,MAX($D$16,IFERROR(L867,MAX($D$16,POWER((ABS(K867)^2)/($I$5*MAX(F867,0.1)^2),1/3)))),IF(IFERROR(AG867,0)=1,MAX($D$16,IFERROR(W867,MAX($D$16,POWER((ABS(K867)^2)/($I$5*MAX(F867,0.1)^2),1/3)))),MAX($D$16,POWER((ABS(K867)^2)/($I$5*MAX(F867,0.1)^2),1/3))))))),MAX($D$16,POWER((ABS(K867)^2)/($I$5*MAX(F867,0.1)^2),1/3)))</f>
        <v>2.1389677043987478</v>
      </c>
      <c r="AI867">
        <f t="shared" ca="1" si="424"/>
        <v>634.29896770439871</v>
      </c>
      <c r="AJ867">
        <f t="shared" ca="1" si="425"/>
        <v>635.36845155659807</v>
      </c>
      <c r="AM867">
        <v>0</v>
      </c>
      <c r="AN867">
        <v>0</v>
      </c>
      <c r="AO867">
        <f t="shared" si="426"/>
        <v>0</v>
      </c>
      <c r="AP867">
        <f t="shared" si="435"/>
        <v>0</v>
      </c>
      <c r="AQ867">
        <f t="shared" ca="1" si="427"/>
        <v>1.0000000000000004</v>
      </c>
      <c r="AR867" t="str">
        <f t="shared" ca="1" si="428"/>
        <v>Supercritical</v>
      </c>
      <c r="AS867">
        <f t="shared" ca="1" si="429"/>
        <v>3.8141460404132466E-3</v>
      </c>
    </row>
    <row r="868" spans="1:45" x14ac:dyDescent="0.35">
      <c r="A868">
        <v>807</v>
      </c>
      <c r="B868">
        <v>805.99599999999998</v>
      </c>
      <c r="C868">
        <v>616089.49199999997</v>
      </c>
      <c r="D868">
        <v>3097200.8829999999</v>
      </c>
      <c r="E868">
        <v>632.15980000000002</v>
      </c>
      <c r="F868">
        <v>5.2</v>
      </c>
      <c r="G868">
        <v>0</v>
      </c>
      <c r="H868" t="s">
        <v>154</v>
      </c>
      <c r="I868">
        <v>5.7000000000000002E-2</v>
      </c>
      <c r="J868">
        <f t="shared" si="430"/>
        <v>1</v>
      </c>
      <c r="K868">
        <f t="shared" ca="1" si="431"/>
        <v>50.95</v>
      </c>
      <c r="L868">
        <f t="shared" ca="1" si="432"/>
        <v>2.1389677043987478</v>
      </c>
      <c r="M868">
        <f t="shared" ca="1" si="405"/>
        <v>11.122632062873489</v>
      </c>
      <c r="N868">
        <f t="shared" ca="1" si="406"/>
        <v>1.1735290000551568</v>
      </c>
      <c r="O868">
        <f t="shared" ca="1" si="407"/>
        <v>4.5807502857230418</v>
      </c>
      <c r="P868">
        <f t="shared" ca="1" si="408"/>
        <v>634.29876770439876</v>
      </c>
      <c r="Q868">
        <f t="shared" ca="1" si="409"/>
        <v>635.36825155659812</v>
      </c>
      <c r="R868">
        <f t="shared" ca="1" si="410"/>
        <v>3.8141460404132466E-3</v>
      </c>
      <c r="S868">
        <f t="shared" ca="1" si="411"/>
        <v>1.0000000000000004</v>
      </c>
      <c r="T868">
        <f t="shared" ca="1" si="412"/>
        <v>35.686426155594638</v>
      </c>
      <c r="U868">
        <f t="shared" ca="1" si="433"/>
        <v>-3.7157470064812514E-3</v>
      </c>
      <c r="V868">
        <f t="shared" ca="1" si="434"/>
        <v>1</v>
      </c>
      <c r="W868">
        <f t="shared" ca="1" si="413"/>
        <v>2.1389677043987478</v>
      </c>
      <c r="X868">
        <f t="shared" ca="1" si="414"/>
        <v>11.122632062873489</v>
      </c>
      <c r="Y868">
        <f t="shared" ca="1" si="415"/>
        <v>1.1735290000551568</v>
      </c>
      <c r="Z868">
        <f t="shared" ca="1" si="416"/>
        <v>4.5807502857230418</v>
      </c>
      <c r="AA868">
        <f t="shared" ca="1" si="417"/>
        <v>634.29876770439876</v>
      </c>
      <c r="AB868">
        <f t="shared" ca="1" si="418"/>
        <v>635.36825155659812</v>
      </c>
      <c r="AC868">
        <f t="shared" ca="1" si="419"/>
        <v>3.8141460404132466E-3</v>
      </c>
      <c r="AD868">
        <f t="shared" ca="1" si="420"/>
        <v>1.0000000000000004</v>
      </c>
      <c r="AE868">
        <f t="shared" ca="1" si="421"/>
        <v>35.686426155594638</v>
      </c>
      <c r="AF868">
        <f t="shared" ca="1" si="422"/>
        <v>3.6677376456282218E-3</v>
      </c>
      <c r="AG868">
        <f t="shared" ca="1" si="423"/>
        <v>1</v>
      </c>
      <c r="AH868">
        <f ca="1">IFERROR(IF(V32="Supercritical",MAX($D$16,IFERROR(L868,MAX($D$16,POWER((ABS(K868)^2)/($I$5*MAX(F868,0.1)^2),1/3)))),IF(V32="Subcritical",MAX($D$16,IFERROR(W868,MAX($D$16,POWER((ABS(K868)^2)/($I$5*MAX(F868,0.1)^2),1/3)))),IF(AND(IFERROR(V868,0)=1,IFERROR(AG868,0)=1),IF(IFERROR(T868,-1E+99)&gt;=IFERROR(AE868,-1E+99),MAX($D$16,IFERROR(L868,MAX($D$16,POWER((ABS(K868)^2)/($I$5*MAX(F868,0.1)^2),1/3)))),MAX($D$16,IFERROR(W868,MAX($D$16,POWER((ABS(K868)^2)/($I$5*MAX(F868,0.1)^2),1/3))))),IF(IFERROR(V868,0)=1,MAX($D$16,IFERROR(L868,MAX($D$16,POWER((ABS(K868)^2)/($I$5*MAX(F868,0.1)^2),1/3)))),IF(IFERROR(AG868,0)=1,MAX($D$16,IFERROR(W868,MAX($D$16,POWER((ABS(K868)^2)/($I$5*MAX(F868,0.1)^2),1/3)))),MAX($D$16,POWER((ABS(K868)^2)/($I$5*MAX(F868,0.1)^2),1/3))))))),MAX($D$16,POWER((ABS(K868)^2)/($I$5*MAX(F868,0.1)^2),1/3)))</f>
        <v>2.1389677043987478</v>
      </c>
      <c r="AI868">
        <f t="shared" ca="1" si="424"/>
        <v>634.29876770439876</v>
      </c>
      <c r="AJ868">
        <f t="shared" ca="1" si="425"/>
        <v>635.36825155659812</v>
      </c>
      <c r="AM868">
        <v>0</v>
      </c>
      <c r="AN868">
        <v>0</v>
      </c>
      <c r="AO868">
        <f t="shared" si="426"/>
        <v>0</v>
      </c>
      <c r="AP868">
        <f t="shared" si="435"/>
        <v>0</v>
      </c>
      <c r="AQ868">
        <f t="shared" ca="1" si="427"/>
        <v>1.0000000000000004</v>
      </c>
      <c r="AR868" t="str">
        <f t="shared" ca="1" si="428"/>
        <v>Supercritical</v>
      </c>
      <c r="AS868">
        <f t="shared" ca="1" si="429"/>
        <v>3.8141460404132466E-3</v>
      </c>
    </row>
    <row r="869" spans="1:45" x14ac:dyDescent="0.35">
      <c r="A869">
        <v>808</v>
      </c>
      <c r="B869">
        <v>806.99599999999998</v>
      </c>
      <c r="C869">
        <v>616089.44900000002</v>
      </c>
      <c r="D869">
        <v>3097199.8840000001</v>
      </c>
      <c r="E869">
        <v>632.15949999999998</v>
      </c>
      <c r="F869">
        <v>5.2</v>
      </c>
      <c r="G869">
        <v>0</v>
      </c>
      <c r="H869" t="s">
        <v>154</v>
      </c>
      <c r="I869">
        <v>5.7000000000000002E-2</v>
      </c>
      <c r="J869">
        <f t="shared" si="430"/>
        <v>1</v>
      </c>
      <c r="K869">
        <f t="shared" ca="1" si="431"/>
        <v>50.95</v>
      </c>
      <c r="L869">
        <f t="shared" ca="1" si="432"/>
        <v>2.1389677043987478</v>
      </c>
      <c r="M869">
        <f t="shared" ca="1" si="405"/>
        <v>11.122632062873489</v>
      </c>
      <c r="N869">
        <f t="shared" ca="1" si="406"/>
        <v>1.1735290000551568</v>
      </c>
      <c r="O869">
        <f t="shared" ca="1" si="407"/>
        <v>4.5807502857230418</v>
      </c>
      <c r="P869">
        <f t="shared" ca="1" si="408"/>
        <v>634.29846770439872</v>
      </c>
      <c r="Q869">
        <f t="shared" ca="1" si="409"/>
        <v>635.36795155659809</v>
      </c>
      <c r="R869">
        <f t="shared" ca="1" si="410"/>
        <v>3.8141460404132466E-3</v>
      </c>
      <c r="S869">
        <f t="shared" ca="1" si="411"/>
        <v>1.0000000000000004</v>
      </c>
      <c r="T869">
        <f t="shared" ca="1" si="412"/>
        <v>35.686426155594638</v>
      </c>
      <c r="U869">
        <f t="shared" ca="1" si="433"/>
        <v>-3.6157470063926667E-3</v>
      </c>
      <c r="V869">
        <f t="shared" ca="1" si="434"/>
        <v>1</v>
      </c>
      <c r="W869">
        <f t="shared" ca="1" si="413"/>
        <v>2.1389677043987478</v>
      </c>
      <c r="X869">
        <f t="shared" ca="1" si="414"/>
        <v>11.122632062873489</v>
      </c>
      <c r="Y869">
        <f t="shared" ca="1" si="415"/>
        <v>1.1735290000551568</v>
      </c>
      <c r="Z869">
        <f t="shared" ca="1" si="416"/>
        <v>4.5807502857230418</v>
      </c>
      <c r="AA869">
        <f t="shared" ca="1" si="417"/>
        <v>634.29846770439872</v>
      </c>
      <c r="AB869">
        <f t="shared" ca="1" si="418"/>
        <v>635.36795155659809</v>
      </c>
      <c r="AC869">
        <f t="shared" ca="1" si="419"/>
        <v>3.8141460404132466E-3</v>
      </c>
      <c r="AD869">
        <f t="shared" ca="1" si="420"/>
        <v>1.0000000000000004</v>
      </c>
      <c r="AE869">
        <f t="shared" ca="1" si="421"/>
        <v>35.686426155594638</v>
      </c>
      <c r="AF869">
        <f t="shared" ca="1" si="422"/>
        <v>3.3676622739449158E-3</v>
      </c>
      <c r="AG869">
        <f t="shared" ca="1" si="423"/>
        <v>1</v>
      </c>
      <c r="AH869">
        <f ca="1">IFERROR(IF(V32="Supercritical",MAX($D$16,IFERROR(L869,MAX($D$16,POWER((ABS(K869)^2)/($I$5*MAX(F869,0.1)^2),1/3)))),IF(V32="Subcritical",MAX($D$16,IFERROR(W869,MAX($D$16,POWER((ABS(K869)^2)/($I$5*MAX(F869,0.1)^2),1/3)))),IF(AND(IFERROR(V869,0)=1,IFERROR(AG869,0)=1),IF(IFERROR(T869,-1E+99)&gt;=IFERROR(AE869,-1E+99),MAX($D$16,IFERROR(L869,MAX($D$16,POWER((ABS(K869)^2)/($I$5*MAX(F869,0.1)^2),1/3)))),MAX($D$16,IFERROR(W869,MAX($D$16,POWER((ABS(K869)^2)/($I$5*MAX(F869,0.1)^2),1/3))))),IF(IFERROR(V869,0)=1,MAX($D$16,IFERROR(L869,MAX($D$16,POWER((ABS(K869)^2)/($I$5*MAX(F869,0.1)^2),1/3)))),IF(IFERROR(AG869,0)=1,MAX($D$16,IFERROR(W869,MAX($D$16,POWER((ABS(K869)^2)/($I$5*MAX(F869,0.1)^2),1/3)))),MAX($D$16,POWER((ABS(K869)^2)/($I$5*MAX(F869,0.1)^2),1/3))))))),MAX($D$16,POWER((ABS(K869)^2)/($I$5*MAX(F869,0.1)^2),1/3)))</f>
        <v>2.1389677043987478</v>
      </c>
      <c r="AI869">
        <f t="shared" ca="1" si="424"/>
        <v>634.29846770439872</v>
      </c>
      <c r="AJ869">
        <f t="shared" ca="1" si="425"/>
        <v>635.36795155659809</v>
      </c>
      <c r="AM869">
        <v>0</v>
      </c>
      <c r="AN869">
        <v>0</v>
      </c>
      <c r="AO869">
        <f t="shared" si="426"/>
        <v>0</v>
      </c>
      <c r="AP869">
        <f t="shared" si="435"/>
        <v>0</v>
      </c>
      <c r="AQ869">
        <f t="shared" ca="1" si="427"/>
        <v>1.0000000000000004</v>
      </c>
      <c r="AR869" t="str">
        <f t="shared" ca="1" si="428"/>
        <v>Supercritical</v>
      </c>
      <c r="AS869">
        <f t="shared" ca="1" si="429"/>
        <v>3.8141460404132466E-3</v>
      </c>
    </row>
    <row r="870" spans="1:45" x14ac:dyDescent="0.35">
      <c r="A870">
        <v>809</v>
      </c>
      <c r="B870">
        <v>807.99599999999998</v>
      </c>
      <c r="C870">
        <v>616089.40700000001</v>
      </c>
      <c r="D870">
        <v>3097198.8849999998</v>
      </c>
      <c r="E870">
        <v>632.15899999999999</v>
      </c>
      <c r="F870">
        <v>5.2</v>
      </c>
      <c r="G870">
        <v>0</v>
      </c>
      <c r="H870" t="s">
        <v>154</v>
      </c>
      <c r="I870">
        <v>0</v>
      </c>
      <c r="J870">
        <f t="shared" si="430"/>
        <v>1</v>
      </c>
      <c r="K870">
        <f t="shared" ca="1" si="431"/>
        <v>50.95</v>
      </c>
      <c r="L870">
        <f t="shared" ca="1" si="432"/>
        <v>2.1389677043987478</v>
      </c>
      <c r="M870">
        <f t="shared" ca="1" si="405"/>
        <v>11.122632062873489</v>
      </c>
      <c r="N870">
        <f t="shared" ca="1" si="406"/>
        <v>1.1735290000551568</v>
      </c>
      <c r="O870">
        <f t="shared" ca="1" si="407"/>
        <v>4.5807502857230418</v>
      </c>
      <c r="P870">
        <f t="shared" ca="1" si="408"/>
        <v>634.29796770439873</v>
      </c>
      <c r="Q870">
        <f t="shared" ca="1" si="409"/>
        <v>635.3674515565981</v>
      </c>
      <c r="R870">
        <f t="shared" ca="1" si="410"/>
        <v>3.8141460404132466E-3</v>
      </c>
      <c r="S870">
        <f t="shared" ca="1" si="411"/>
        <v>1.0000000000000004</v>
      </c>
      <c r="T870">
        <f t="shared" ca="1" si="412"/>
        <v>35.686426155594638</v>
      </c>
      <c r="U870">
        <f t="shared" ca="1" si="433"/>
        <v>-3.3141460404522149E-3</v>
      </c>
      <c r="V870">
        <f t="shared" ca="1" si="434"/>
        <v>1</v>
      </c>
      <c r="W870">
        <f t="shared" ca="1" si="413"/>
        <v>2.1389677043987478</v>
      </c>
      <c r="X870">
        <f t="shared" ca="1" si="414"/>
        <v>11.122632062873489</v>
      </c>
      <c r="Y870">
        <f t="shared" ca="1" si="415"/>
        <v>1.1735290000551568</v>
      </c>
      <c r="Z870">
        <f t="shared" ca="1" si="416"/>
        <v>4.5807502857230418</v>
      </c>
      <c r="AA870">
        <f t="shared" ca="1" si="417"/>
        <v>634.29796770439873</v>
      </c>
      <c r="AB870">
        <f t="shared" ca="1" si="418"/>
        <v>635.3674515565981</v>
      </c>
      <c r="AC870">
        <f t="shared" ca="1" si="419"/>
        <v>3.8141460404132466E-3</v>
      </c>
      <c r="AD870">
        <f t="shared" ca="1" si="420"/>
        <v>1.0000000000000004</v>
      </c>
      <c r="AE870">
        <f t="shared" ca="1" si="421"/>
        <v>35.686426155594638</v>
      </c>
      <c r="AF870">
        <f t="shared" ca="1" si="422"/>
        <v>3.4692873794028856E-3</v>
      </c>
      <c r="AG870">
        <f t="shared" ca="1" si="423"/>
        <v>1</v>
      </c>
      <c r="AH870">
        <f ca="1">IFERROR(IF(V32="Supercritical",MAX($D$16,IFERROR(L870,MAX($D$16,POWER((ABS(K870)^2)/($I$5*MAX(F870,0.1)^2),1/3)))),IF(V32="Subcritical",MAX($D$16,IFERROR(W870,MAX($D$16,POWER((ABS(K870)^2)/($I$5*MAX(F870,0.1)^2),1/3)))),IF(AND(IFERROR(V870,0)=1,IFERROR(AG870,0)=1),IF(IFERROR(T870,-1E+99)&gt;=IFERROR(AE870,-1E+99),MAX($D$16,IFERROR(L870,MAX($D$16,POWER((ABS(K870)^2)/($I$5*MAX(F870,0.1)^2),1/3)))),MAX($D$16,IFERROR(W870,MAX($D$16,POWER((ABS(K870)^2)/($I$5*MAX(F870,0.1)^2),1/3))))),IF(IFERROR(V870,0)=1,MAX($D$16,IFERROR(L870,MAX($D$16,POWER((ABS(K870)^2)/($I$5*MAX(F870,0.1)^2),1/3)))),IF(IFERROR(AG870,0)=1,MAX($D$16,IFERROR(W870,MAX($D$16,POWER((ABS(K870)^2)/($I$5*MAX(F870,0.1)^2),1/3)))),MAX($D$16,POWER((ABS(K870)^2)/($I$5*MAX(F870,0.1)^2),1/3))))))),MAX($D$16,POWER((ABS(K870)^2)/($I$5*MAX(F870,0.1)^2),1/3)))</f>
        <v>2.1389677043987478</v>
      </c>
      <c r="AI870">
        <f t="shared" ca="1" si="424"/>
        <v>634.29796770439873</v>
      </c>
      <c r="AJ870">
        <f t="shared" ca="1" si="425"/>
        <v>635.3674515565981</v>
      </c>
      <c r="AM870">
        <v>0</v>
      </c>
      <c r="AN870">
        <v>0</v>
      </c>
      <c r="AO870">
        <f t="shared" si="426"/>
        <v>0</v>
      </c>
      <c r="AP870">
        <f t="shared" si="435"/>
        <v>0</v>
      </c>
      <c r="AQ870">
        <f t="shared" ca="1" si="427"/>
        <v>1.0000000000000004</v>
      </c>
      <c r="AR870" t="str">
        <f t="shared" ca="1" si="428"/>
        <v>Supercritical</v>
      </c>
      <c r="AS870">
        <f t="shared" ca="1" si="429"/>
        <v>3.8141460404132466E-3</v>
      </c>
    </row>
    <row r="871" spans="1:45" x14ac:dyDescent="0.35">
      <c r="A871">
        <v>810</v>
      </c>
      <c r="B871">
        <v>808.99599999999998</v>
      </c>
      <c r="C871">
        <v>616089.36499999999</v>
      </c>
      <c r="D871">
        <v>3097197.8859999999</v>
      </c>
      <c r="E871">
        <v>632.1585</v>
      </c>
      <c r="F871">
        <v>5.2</v>
      </c>
      <c r="G871">
        <v>0</v>
      </c>
      <c r="H871" t="s">
        <v>154</v>
      </c>
      <c r="I871">
        <v>5.7000000000000002E-2</v>
      </c>
      <c r="J871">
        <f t="shared" si="430"/>
        <v>1</v>
      </c>
      <c r="K871">
        <f t="shared" ca="1" si="431"/>
        <v>50.95</v>
      </c>
      <c r="L871">
        <f t="shared" ca="1" si="432"/>
        <v>2.1389677043987478</v>
      </c>
      <c r="M871">
        <f t="shared" ca="1" si="405"/>
        <v>11.122632062873489</v>
      </c>
      <c r="N871">
        <f t="shared" ca="1" si="406"/>
        <v>1.1735290000551568</v>
      </c>
      <c r="O871">
        <f t="shared" ca="1" si="407"/>
        <v>4.5807502857230418</v>
      </c>
      <c r="P871">
        <f t="shared" ca="1" si="408"/>
        <v>634.29746770439874</v>
      </c>
      <c r="Q871">
        <f t="shared" ca="1" si="409"/>
        <v>635.36695155659811</v>
      </c>
      <c r="R871">
        <f t="shared" ca="1" si="410"/>
        <v>3.8141460404132466E-3</v>
      </c>
      <c r="S871">
        <f t="shared" ca="1" si="411"/>
        <v>1.0000000000000004</v>
      </c>
      <c r="T871">
        <f t="shared" ca="1" si="412"/>
        <v>35.686426155594638</v>
      </c>
      <c r="U871">
        <f t="shared" ca="1" si="433"/>
        <v>-3.4157470064428708E-3</v>
      </c>
      <c r="V871">
        <f t="shared" ca="1" si="434"/>
        <v>1</v>
      </c>
      <c r="W871">
        <f t="shared" ca="1" si="413"/>
        <v>2.1389677043987478</v>
      </c>
      <c r="X871">
        <f t="shared" ca="1" si="414"/>
        <v>11.122632062873489</v>
      </c>
      <c r="Y871">
        <f t="shared" ca="1" si="415"/>
        <v>1.1735290000551568</v>
      </c>
      <c r="Z871">
        <f t="shared" ca="1" si="416"/>
        <v>4.5807502857230418</v>
      </c>
      <c r="AA871">
        <f t="shared" ca="1" si="417"/>
        <v>634.29746770439874</v>
      </c>
      <c r="AB871">
        <f t="shared" ca="1" si="418"/>
        <v>635.36695155659811</v>
      </c>
      <c r="AC871">
        <f t="shared" ca="1" si="419"/>
        <v>3.8141460404132466E-3</v>
      </c>
      <c r="AD871">
        <f t="shared" ca="1" si="420"/>
        <v>1.0000000000000004</v>
      </c>
      <c r="AE871">
        <f t="shared" ca="1" si="421"/>
        <v>35.686426155594638</v>
      </c>
      <c r="AF871">
        <f t="shared" ca="1" si="422"/>
        <v>3.4676541342832934E-3</v>
      </c>
      <c r="AG871">
        <f t="shared" ca="1" si="423"/>
        <v>1</v>
      </c>
      <c r="AH871">
        <f ca="1">IFERROR(IF(V32="Supercritical",MAX($D$16,IFERROR(L871,MAX($D$16,POWER((ABS(K871)^2)/($I$5*MAX(F871,0.1)^2),1/3)))),IF(V32="Subcritical",MAX($D$16,IFERROR(W871,MAX($D$16,POWER((ABS(K871)^2)/($I$5*MAX(F871,0.1)^2),1/3)))),IF(AND(IFERROR(V871,0)=1,IFERROR(AG871,0)=1),IF(IFERROR(T871,-1E+99)&gt;=IFERROR(AE871,-1E+99),MAX($D$16,IFERROR(L871,MAX($D$16,POWER((ABS(K871)^2)/($I$5*MAX(F871,0.1)^2),1/3)))),MAX($D$16,IFERROR(W871,MAX($D$16,POWER((ABS(K871)^2)/($I$5*MAX(F871,0.1)^2),1/3))))),IF(IFERROR(V871,0)=1,MAX($D$16,IFERROR(L871,MAX($D$16,POWER((ABS(K871)^2)/($I$5*MAX(F871,0.1)^2),1/3)))),IF(IFERROR(AG871,0)=1,MAX($D$16,IFERROR(W871,MAX($D$16,POWER((ABS(K871)^2)/($I$5*MAX(F871,0.1)^2),1/3)))),MAX($D$16,POWER((ABS(K871)^2)/($I$5*MAX(F871,0.1)^2),1/3))))))),MAX($D$16,POWER((ABS(K871)^2)/($I$5*MAX(F871,0.1)^2),1/3)))</f>
        <v>2.1389677043987478</v>
      </c>
      <c r="AI871">
        <f t="shared" ca="1" si="424"/>
        <v>634.29746770439874</v>
      </c>
      <c r="AJ871">
        <f t="shared" ca="1" si="425"/>
        <v>635.36695155659811</v>
      </c>
      <c r="AM871">
        <v>0</v>
      </c>
      <c r="AN871">
        <v>0</v>
      </c>
      <c r="AO871">
        <f t="shared" si="426"/>
        <v>0</v>
      </c>
      <c r="AP871">
        <f t="shared" si="435"/>
        <v>0</v>
      </c>
      <c r="AQ871">
        <f t="shared" ca="1" si="427"/>
        <v>1.0000000000000004</v>
      </c>
      <c r="AR871" t="str">
        <f t="shared" ca="1" si="428"/>
        <v>Supercritical</v>
      </c>
      <c r="AS871">
        <f t="shared" ca="1" si="429"/>
        <v>3.8141460404132466E-3</v>
      </c>
    </row>
    <row r="872" spans="1:45" x14ac:dyDescent="0.35">
      <c r="A872">
        <v>811</v>
      </c>
      <c r="B872">
        <v>809.99599999999998</v>
      </c>
      <c r="C872">
        <v>616089.32200000004</v>
      </c>
      <c r="D872">
        <v>3097196.8870000001</v>
      </c>
      <c r="E872">
        <v>632.15800000000002</v>
      </c>
      <c r="F872">
        <v>5.2</v>
      </c>
      <c r="G872">
        <v>0</v>
      </c>
      <c r="H872" t="s">
        <v>154</v>
      </c>
      <c r="I872">
        <v>5.7000000000000002E-2</v>
      </c>
      <c r="J872">
        <f t="shared" si="430"/>
        <v>1</v>
      </c>
      <c r="K872">
        <f t="shared" ca="1" si="431"/>
        <v>50.95</v>
      </c>
      <c r="L872">
        <f t="shared" ca="1" si="432"/>
        <v>2.1389677043987478</v>
      </c>
      <c r="M872">
        <f t="shared" ca="1" si="405"/>
        <v>11.122632062873489</v>
      </c>
      <c r="N872">
        <f t="shared" ca="1" si="406"/>
        <v>1.1735290000551568</v>
      </c>
      <c r="O872">
        <f t="shared" ca="1" si="407"/>
        <v>4.5807502857230418</v>
      </c>
      <c r="P872">
        <f t="shared" ca="1" si="408"/>
        <v>634.29696770439875</v>
      </c>
      <c r="Q872">
        <f t="shared" ca="1" si="409"/>
        <v>635.36645155659812</v>
      </c>
      <c r="R872">
        <f t="shared" ca="1" si="410"/>
        <v>3.8141460404132466E-3</v>
      </c>
      <c r="S872">
        <f t="shared" ca="1" si="411"/>
        <v>1.0000000000000004</v>
      </c>
      <c r="T872">
        <f t="shared" ca="1" si="412"/>
        <v>35.686426155594638</v>
      </c>
      <c r="U872">
        <f t="shared" ca="1" si="433"/>
        <v>-3.4157470064428708E-3</v>
      </c>
      <c r="V872">
        <f t="shared" ca="1" si="434"/>
        <v>1</v>
      </c>
      <c r="W872">
        <f t="shared" ca="1" si="413"/>
        <v>2.1389677043987478</v>
      </c>
      <c r="X872">
        <f t="shared" ca="1" si="414"/>
        <v>11.122632062873489</v>
      </c>
      <c r="Y872">
        <f t="shared" ca="1" si="415"/>
        <v>1.1735290000551568</v>
      </c>
      <c r="Z872">
        <f t="shared" ca="1" si="416"/>
        <v>4.5807502857230418</v>
      </c>
      <c r="AA872">
        <f t="shared" ca="1" si="417"/>
        <v>634.29696770439875</v>
      </c>
      <c r="AB872">
        <f t="shared" ca="1" si="418"/>
        <v>635.36645155659812</v>
      </c>
      <c r="AC872">
        <f t="shared" ca="1" si="419"/>
        <v>3.8141460404132466E-3</v>
      </c>
      <c r="AD872">
        <f t="shared" ca="1" si="420"/>
        <v>1.0000000000000004</v>
      </c>
      <c r="AE872">
        <f t="shared" ca="1" si="421"/>
        <v>35.686426155594638</v>
      </c>
      <c r="AF872">
        <f t="shared" ca="1" si="422"/>
        <v>3.3622733170659558E-3</v>
      </c>
      <c r="AG872">
        <f t="shared" ca="1" si="423"/>
        <v>1</v>
      </c>
      <c r="AH872">
        <f ca="1">IFERROR(IF(V32="Supercritical",MAX($D$16,IFERROR(L872,MAX($D$16,POWER((ABS(K872)^2)/($I$5*MAX(F872,0.1)^2),1/3)))),IF(V32="Subcritical",MAX($D$16,IFERROR(W872,MAX($D$16,POWER((ABS(K872)^2)/($I$5*MAX(F872,0.1)^2),1/3)))),IF(AND(IFERROR(V872,0)=1,IFERROR(AG872,0)=1),IF(IFERROR(T872,-1E+99)&gt;=IFERROR(AE872,-1E+99),MAX($D$16,IFERROR(L872,MAX($D$16,POWER((ABS(K872)^2)/($I$5*MAX(F872,0.1)^2),1/3)))),MAX($D$16,IFERROR(W872,MAX($D$16,POWER((ABS(K872)^2)/($I$5*MAX(F872,0.1)^2),1/3))))),IF(IFERROR(V872,0)=1,MAX($D$16,IFERROR(L872,MAX($D$16,POWER((ABS(K872)^2)/($I$5*MAX(F872,0.1)^2),1/3)))),IF(IFERROR(AG872,0)=1,MAX($D$16,IFERROR(W872,MAX($D$16,POWER((ABS(K872)^2)/($I$5*MAX(F872,0.1)^2),1/3)))),MAX($D$16,POWER((ABS(K872)^2)/($I$5*MAX(F872,0.1)^2),1/3))))))),MAX($D$16,POWER((ABS(K872)^2)/($I$5*MAX(F872,0.1)^2),1/3)))</f>
        <v>2.1389677043987478</v>
      </c>
      <c r="AI872">
        <f t="shared" ca="1" si="424"/>
        <v>634.29696770439875</v>
      </c>
      <c r="AJ872">
        <f t="shared" ca="1" si="425"/>
        <v>635.36645155659812</v>
      </c>
      <c r="AM872">
        <v>0</v>
      </c>
      <c r="AN872">
        <v>0</v>
      </c>
      <c r="AO872">
        <f t="shared" si="426"/>
        <v>0</v>
      </c>
      <c r="AP872">
        <f t="shared" si="435"/>
        <v>0</v>
      </c>
      <c r="AQ872">
        <f t="shared" ca="1" si="427"/>
        <v>1.0000000000000004</v>
      </c>
      <c r="AR872" t="str">
        <f t="shared" ca="1" si="428"/>
        <v>Supercritical</v>
      </c>
      <c r="AS872">
        <f t="shared" ca="1" si="429"/>
        <v>3.8141460404132466E-3</v>
      </c>
    </row>
    <row r="873" spans="1:45" x14ac:dyDescent="0.35">
      <c r="A873">
        <v>812</v>
      </c>
      <c r="B873">
        <v>810.995</v>
      </c>
      <c r="C873">
        <v>616089.28</v>
      </c>
      <c r="D873">
        <v>3097195.8879999998</v>
      </c>
      <c r="E873">
        <v>632.15750000000003</v>
      </c>
      <c r="F873">
        <v>5.2</v>
      </c>
      <c r="G873">
        <v>0</v>
      </c>
      <c r="H873" t="s">
        <v>154</v>
      </c>
      <c r="I873">
        <v>0</v>
      </c>
      <c r="J873">
        <f t="shared" si="430"/>
        <v>0.99900000000002365</v>
      </c>
      <c r="K873">
        <f t="shared" ca="1" si="431"/>
        <v>50.95</v>
      </c>
      <c r="L873">
        <f t="shared" ca="1" si="432"/>
        <v>2.1389677043987478</v>
      </c>
      <c r="M873">
        <f t="shared" ca="1" si="405"/>
        <v>11.122632062873489</v>
      </c>
      <c r="N873">
        <f t="shared" ca="1" si="406"/>
        <v>1.1735290000551568</v>
      </c>
      <c r="O873">
        <f t="shared" ca="1" si="407"/>
        <v>4.5807502857230418</v>
      </c>
      <c r="P873">
        <f t="shared" ca="1" si="408"/>
        <v>634.29646770439876</v>
      </c>
      <c r="Q873">
        <f t="shared" ca="1" si="409"/>
        <v>635.36595155659813</v>
      </c>
      <c r="R873">
        <f t="shared" ca="1" si="410"/>
        <v>3.8141460404132466E-3</v>
      </c>
      <c r="S873">
        <f t="shared" ca="1" si="411"/>
        <v>1.0000000000000004</v>
      </c>
      <c r="T873">
        <f t="shared" ca="1" si="412"/>
        <v>35.686426155594638</v>
      </c>
      <c r="U873">
        <f t="shared" ca="1" si="433"/>
        <v>-3.3103318943403792E-3</v>
      </c>
      <c r="V873">
        <f t="shared" ca="1" si="434"/>
        <v>1</v>
      </c>
      <c r="W873">
        <f t="shared" ca="1" si="413"/>
        <v>2.1389677043987478</v>
      </c>
      <c r="X873">
        <f t="shared" ca="1" si="414"/>
        <v>11.122632062873489</v>
      </c>
      <c r="Y873">
        <f t="shared" ca="1" si="415"/>
        <v>1.1735290000551568</v>
      </c>
      <c r="Z873">
        <f t="shared" ca="1" si="416"/>
        <v>4.5807502857230418</v>
      </c>
      <c r="AA873">
        <f t="shared" ca="1" si="417"/>
        <v>634.29646770439876</v>
      </c>
      <c r="AB873">
        <f t="shared" ca="1" si="418"/>
        <v>635.36595155659813</v>
      </c>
      <c r="AC873">
        <f t="shared" ca="1" si="419"/>
        <v>3.8141460404132466E-3</v>
      </c>
      <c r="AD873">
        <f t="shared" ca="1" si="420"/>
        <v>1.0000000000000004</v>
      </c>
      <c r="AE873">
        <f t="shared" ca="1" si="421"/>
        <v>35.686426155594638</v>
      </c>
      <c r="AF873">
        <f t="shared" ca="1" si="422"/>
        <v>3.3676635997608173E-3</v>
      </c>
      <c r="AG873">
        <f t="shared" ca="1" si="423"/>
        <v>1</v>
      </c>
      <c r="AH873">
        <f ca="1">IFERROR(IF(V32="Supercritical",MAX($D$16,IFERROR(L873,MAX($D$16,POWER((ABS(K873)^2)/($I$5*MAX(F873,0.1)^2),1/3)))),IF(V32="Subcritical",MAX($D$16,IFERROR(W873,MAX($D$16,POWER((ABS(K873)^2)/($I$5*MAX(F873,0.1)^2),1/3)))),IF(AND(IFERROR(V873,0)=1,IFERROR(AG873,0)=1),IF(IFERROR(T873,-1E+99)&gt;=IFERROR(AE873,-1E+99),MAX($D$16,IFERROR(L873,MAX($D$16,POWER((ABS(K873)^2)/($I$5*MAX(F873,0.1)^2),1/3)))),MAX($D$16,IFERROR(W873,MAX($D$16,POWER((ABS(K873)^2)/($I$5*MAX(F873,0.1)^2),1/3))))),IF(IFERROR(V873,0)=1,MAX($D$16,IFERROR(L873,MAX($D$16,POWER((ABS(K873)^2)/($I$5*MAX(F873,0.1)^2),1/3)))),IF(IFERROR(AG873,0)=1,MAX($D$16,IFERROR(W873,MAX($D$16,POWER((ABS(K873)^2)/($I$5*MAX(F873,0.1)^2),1/3)))),MAX($D$16,POWER((ABS(K873)^2)/($I$5*MAX(F873,0.1)^2),1/3))))))),MAX($D$16,POWER((ABS(K873)^2)/($I$5*MAX(F873,0.1)^2),1/3)))</f>
        <v>2.1389677043987478</v>
      </c>
      <c r="AI873">
        <f t="shared" ca="1" si="424"/>
        <v>634.29646770439876</v>
      </c>
      <c r="AJ873">
        <f t="shared" ca="1" si="425"/>
        <v>635.36595155659813</v>
      </c>
      <c r="AM873">
        <v>0</v>
      </c>
      <c r="AN873">
        <v>0</v>
      </c>
      <c r="AO873">
        <f t="shared" si="426"/>
        <v>0</v>
      </c>
      <c r="AP873">
        <f t="shared" si="435"/>
        <v>0</v>
      </c>
      <c r="AQ873">
        <f t="shared" ca="1" si="427"/>
        <v>1.0000000000000004</v>
      </c>
      <c r="AR873" t="str">
        <f t="shared" ca="1" si="428"/>
        <v>Supercritical</v>
      </c>
      <c r="AS873">
        <f t="shared" ca="1" si="429"/>
        <v>3.8141460404132466E-3</v>
      </c>
    </row>
    <row r="874" spans="1:45" x14ac:dyDescent="0.35">
      <c r="A874">
        <v>813</v>
      </c>
      <c r="B874">
        <v>811.995</v>
      </c>
      <c r="C874">
        <v>616089.23800000001</v>
      </c>
      <c r="D874">
        <v>3097194.889</v>
      </c>
      <c r="E874">
        <v>632.15700000000004</v>
      </c>
      <c r="F874">
        <v>5.2</v>
      </c>
      <c r="G874">
        <v>0</v>
      </c>
      <c r="H874" t="s">
        <v>154</v>
      </c>
      <c r="I874">
        <v>0</v>
      </c>
      <c r="J874">
        <f t="shared" si="430"/>
        <v>1</v>
      </c>
      <c r="K874">
        <f t="shared" ca="1" si="431"/>
        <v>50.95</v>
      </c>
      <c r="L874">
        <f t="shared" ca="1" si="432"/>
        <v>2.1389677043987478</v>
      </c>
      <c r="M874">
        <f t="shared" ca="1" si="405"/>
        <v>11.122632062873489</v>
      </c>
      <c r="N874">
        <f t="shared" ca="1" si="406"/>
        <v>1.1735290000551568</v>
      </c>
      <c r="O874">
        <f t="shared" ca="1" si="407"/>
        <v>4.5807502857230418</v>
      </c>
      <c r="P874">
        <f t="shared" ca="1" si="408"/>
        <v>634.29596770439878</v>
      </c>
      <c r="Q874">
        <f t="shared" ca="1" si="409"/>
        <v>635.36545155659815</v>
      </c>
      <c r="R874">
        <f t="shared" ca="1" si="410"/>
        <v>3.8141460404132466E-3</v>
      </c>
      <c r="S874">
        <f t="shared" ca="1" si="411"/>
        <v>1.0000000000000004</v>
      </c>
      <c r="T874">
        <f t="shared" ca="1" si="412"/>
        <v>35.686426155594638</v>
      </c>
      <c r="U874">
        <f t="shared" ca="1" si="433"/>
        <v>-3.3141460404522149E-3</v>
      </c>
      <c r="V874">
        <f t="shared" ca="1" si="434"/>
        <v>1</v>
      </c>
      <c r="W874">
        <f t="shared" ca="1" si="413"/>
        <v>2.1389677043987478</v>
      </c>
      <c r="X874">
        <f t="shared" ca="1" si="414"/>
        <v>11.122632062873489</v>
      </c>
      <c r="Y874">
        <f t="shared" ca="1" si="415"/>
        <v>1.1735290000551568</v>
      </c>
      <c r="Z874">
        <f t="shared" ca="1" si="416"/>
        <v>4.5807502857230418</v>
      </c>
      <c r="AA874">
        <f t="shared" ca="1" si="417"/>
        <v>634.29596770439878</v>
      </c>
      <c r="AB874">
        <f t="shared" ca="1" si="418"/>
        <v>635.36545155659815</v>
      </c>
      <c r="AC874">
        <f t="shared" ca="1" si="419"/>
        <v>3.8141460404132466E-3</v>
      </c>
      <c r="AD874">
        <f t="shared" ca="1" si="420"/>
        <v>1.0000000000000004</v>
      </c>
      <c r="AE874">
        <f t="shared" ca="1" si="421"/>
        <v>35.686426155594638</v>
      </c>
      <c r="AF874">
        <f t="shared" ca="1" si="422"/>
        <v>3.4693729957098185E-3</v>
      </c>
      <c r="AG874">
        <f t="shared" ca="1" si="423"/>
        <v>1</v>
      </c>
      <c r="AH874">
        <f ca="1">IFERROR(IF(V32="Supercritical",MAX($D$16,IFERROR(L874,MAX($D$16,POWER((ABS(K874)^2)/($I$5*MAX(F874,0.1)^2),1/3)))),IF(V32="Subcritical",MAX($D$16,IFERROR(W874,MAX($D$16,POWER((ABS(K874)^2)/($I$5*MAX(F874,0.1)^2),1/3)))),IF(AND(IFERROR(V874,0)=1,IFERROR(AG874,0)=1),IF(IFERROR(T874,-1E+99)&gt;=IFERROR(AE874,-1E+99),MAX($D$16,IFERROR(L874,MAX($D$16,POWER((ABS(K874)^2)/($I$5*MAX(F874,0.1)^2),1/3)))),MAX($D$16,IFERROR(W874,MAX($D$16,POWER((ABS(K874)^2)/($I$5*MAX(F874,0.1)^2),1/3))))),IF(IFERROR(V874,0)=1,MAX($D$16,IFERROR(L874,MAX($D$16,POWER((ABS(K874)^2)/($I$5*MAX(F874,0.1)^2),1/3)))),IF(IFERROR(AG874,0)=1,MAX($D$16,IFERROR(W874,MAX($D$16,POWER((ABS(K874)^2)/($I$5*MAX(F874,0.1)^2),1/3)))),MAX($D$16,POWER((ABS(K874)^2)/($I$5*MAX(F874,0.1)^2),1/3))))))),MAX($D$16,POWER((ABS(K874)^2)/($I$5*MAX(F874,0.1)^2),1/3)))</f>
        <v>2.1389677043987478</v>
      </c>
      <c r="AI874">
        <f t="shared" ca="1" si="424"/>
        <v>634.29596770439878</v>
      </c>
      <c r="AJ874">
        <f t="shared" ca="1" si="425"/>
        <v>635.36545155659815</v>
      </c>
      <c r="AM874">
        <v>0</v>
      </c>
      <c r="AN874">
        <v>0</v>
      </c>
      <c r="AO874">
        <f t="shared" si="426"/>
        <v>0</v>
      </c>
      <c r="AP874">
        <f t="shared" si="435"/>
        <v>0</v>
      </c>
      <c r="AQ874">
        <f t="shared" ca="1" si="427"/>
        <v>1.0000000000000004</v>
      </c>
      <c r="AR874" t="str">
        <f t="shared" ca="1" si="428"/>
        <v>Supercritical</v>
      </c>
      <c r="AS874">
        <f t="shared" ca="1" si="429"/>
        <v>3.8141460404132466E-3</v>
      </c>
    </row>
    <row r="875" spans="1:45" x14ac:dyDescent="0.35">
      <c r="A875">
        <v>814</v>
      </c>
      <c r="B875">
        <v>812.995</v>
      </c>
      <c r="C875">
        <v>616089.196</v>
      </c>
      <c r="D875">
        <v>3097193.89</v>
      </c>
      <c r="E875">
        <v>632.15650000000005</v>
      </c>
      <c r="F875">
        <v>5.2</v>
      </c>
      <c r="G875">
        <v>0</v>
      </c>
      <c r="H875" t="s">
        <v>154</v>
      </c>
      <c r="I875">
        <v>5.7000000000000002E-2</v>
      </c>
      <c r="J875">
        <f t="shared" si="430"/>
        <v>1</v>
      </c>
      <c r="K875">
        <f t="shared" ca="1" si="431"/>
        <v>50.95</v>
      </c>
      <c r="L875">
        <f t="shared" ca="1" si="432"/>
        <v>2.1389677043987478</v>
      </c>
      <c r="M875">
        <f t="shared" ca="1" si="405"/>
        <v>11.122632062873489</v>
      </c>
      <c r="N875">
        <f t="shared" ca="1" si="406"/>
        <v>1.1735290000551568</v>
      </c>
      <c r="O875">
        <f t="shared" ca="1" si="407"/>
        <v>4.5807502857230418</v>
      </c>
      <c r="P875">
        <f t="shared" ca="1" si="408"/>
        <v>634.29546770439879</v>
      </c>
      <c r="Q875">
        <f t="shared" ca="1" si="409"/>
        <v>635.36495155659816</v>
      </c>
      <c r="R875">
        <f t="shared" ca="1" si="410"/>
        <v>3.8141460404132466E-3</v>
      </c>
      <c r="S875">
        <f t="shared" ca="1" si="411"/>
        <v>1.0000000000000004</v>
      </c>
      <c r="T875">
        <f t="shared" ca="1" si="412"/>
        <v>35.686426155594638</v>
      </c>
      <c r="U875">
        <f t="shared" ca="1" si="433"/>
        <v>-3.4157470064428708E-3</v>
      </c>
      <c r="V875">
        <f t="shared" ca="1" si="434"/>
        <v>1</v>
      </c>
      <c r="W875">
        <f t="shared" ca="1" si="413"/>
        <v>2.1389677043987478</v>
      </c>
      <c r="X875">
        <f t="shared" ca="1" si="414"/>
        <v>11.122632062873489</v>
      </c>
      <c r="Y875">
        <f t="shared" ca="1" si="415"/>
        <v>1.1735290000551568</v>
      </c>
      <c r="Z875">
        <f t="shared" ca="1" si="416"/>
        <v>4.5807502857230418</v>
      </c>
      <c r="AA875">
        <f t="shared" ca="1" si="417"/>
        <v>634.29546770439879</v>
      </c>
      <c r="AB875">
        <f t="shared" ca="1" si="418"/>
        <v>635.36495155659816</v>
      </c>
      <c r="AC875">
        <f t="shared" ca="1" si="419"/>
        <v>3.8141460404132466E-3</v>
      </c>
      <c r="AD875">
        <f t="shared" ca="1" si="420"/>
        <v>1.0000000000000004</v>
      </c>
      <c r="AE875">
        <f t="shared" ca="1" si="421"/>
        <v>35.686426155594638</v>
      </c>
      <c r="AF875">
        <f t="shared" ca="1" si="422"/>
        <v>3.4731776083845034E-3</v>
      </c>
      <c r="AG875">
        <f t="shared" ca="1" si="423"/>
        <v>1</v>
      </c>
      <c r="AH875">
        <f ca="1">IFERROR(IF(V32="Supercritical",MAX($D$16,IFERROR(L875,MAX($D$16,POWER((ABS(K875)^2)/($I$5*MAX(F875,0.1)^2),1/3)))),IF(V32="Subcritical",MAX($D$16,IFERROR(W875,MAX($D$16,POWER((ABS(K875)^2)/($I$5*MAX(F875,0.1)^2),1/3)))),IF(AND(IFERROR(V875,0)=1,IFERROR(AG875,0)=1),IF(IFERROR(T875,-1E+99)&gt;=IFERROR(AE875,-1E+99),MAX($D$16,IFERROR(L875,MAX($D$16,POWER((ABS(K875)^2)/($I$5*MAX(F875,0.1)^2),1/3)))),MAX($D$16,IFERROR(W875,MAX($D$16,POWER((ABS(K875)^2)/($I$5*MAX(F875,0.1)^2),1/3))))),IF(IFERROR(V875,0)=1,MAX($D$16,IFERROR(L875,MAX($D$16,POWER((ABS(K875)^2)/($I$5*MAX(F875,0.1)^2),1/3)))),IF(IFERROR(AG875,0)=1,MAX($D$16,IFERROR(W875,MAX($D$16,POWER((ABS(K875)^2)/($I$5*MAX(F875,0.1)^2),1/3)))),MAX($D$16,POWER((ABS(K875)^2)/($I$5*MAX(F875,0.1)^2),1/3))))))),MAX($D$16,POWER((ABS(K875)^2)/($I$5*MAX(F875,0.1)^2),1/3)))</f>
        <v>2.1389677043987478</v>
      </c>
      <c r="AI875">
        <f t="shared" ca="1" si="424"/>
        <v>634.29546770439879</v>
      </c>
      <c r="AJ875">
        <f t="shared" ca="1" si="425"/>
        <v>635.36495155659816</v>
      </c>
      <c r="AM875">
        <v>0</v>
      </c>
      <c r="AN875">
        <v>0</v>
      </c>
      <c r="AO875">
        <f t="shared" si="426"/>
        <v>0</v>
      </c>
      <c r="AP875">
        <f t="shared" si="435"/>
        <v>0</v>
      </c>
      <c r="AQ875">
        <f t="shared" ca="1" si="427"/>
        <v>1.0000000000000004</v>
      </c>
      <c r="AR875" t="str">
        <f t="shared" ca="1" si="428"/>
        <v>Supercritical</v>
      </c>
      <c r="AS875">
        <f t="shared" ca="1" si="429"/>
        <v>3.8141460404132466E-3</v>
      </c>
    </row>
    <row r="876" spans="1:45" x14ac:dyDescent="0.35">
      <c r="A876">
        <v>815</v>
      </c>
      <c r="B876">
        <v>813.995</v>
      </c>
      <c r="C876">
        <v>616089.15300000005</v>
      </c>
      <c r="D876">
        <v>3097192.8909999998</v>
      </c>
      <c r="E876">
        <v>632.15599999999995</v>
      </c>
      <c r="F876">
        <v>5.2</v>
      </c>
      <c r="G876">
        <v>0</v>
      </c>
      <c r="H876" t="s">
        <v>154</v>
      </c>
      <c r="I876">
        <v>0.06</v>
      </c>
      <c r="J876">
        <f t="shared" si="430"/>
        <v>1</v>
      </c>
      <c r="K876">
        <f t="shared" ca="1" si="431"/>
        <v>50.95</v>
      </c>
      <c r="L876">
        <f t="shared" ca="1" si="432"/>
        <v>2.1389677043987478</v>
      </c>
      <c r="M876">
        <f t="shared" ca="1" si="405"/>
        <v>11.122632062873489</v>
      </c>
      <c r="N876">
        <f t="shared" ca="1" si="406"/>
        <v>1.1735290000551568</v>
      </c>
      <c r="O876">
        <f t="shared" ca="1" si="407"/>
        <v>4.5807502857230418</v>
      </c>
      <c r="P876">
        <f t="shared" ca="1" si="408"/>
        <v>634.29496770439869</v>
      </c>
      <c r="Q876">
        <f t="shared" ca="1" si="409"/>
        <v>635.36445155659806</v>
      </c>
      <c r="R876">
        <f t="shared" ca="1" si="410"/>
        <v>3.8141460404132466E-3</v>
      </c>
      <c r="S876">
        <f t="shared" ca="1" si="411"/>
        <v>1.0000000000000004</v>
      </c>
      <c r="T876">
        <f t="shared" ca="1" si="412"/>
        <v>35.686426155594638</v>
      </c>
      <c r="U876">
        <f t="shared" ca="1" si="433"/>
        <v>-3.4210944255619324E-3</v>
      </c>
      <c r="V876">
        <f t="shared" ca="1" si="434"/>
        <v>1</v>
      </c>
      <c r="W876">
        <f t="shared" ca="1" si="413"/>
        <v>2.1389677043987478</v>
      </c>
      <c r="X876">
        <f t="shared" ca="1" si="414"/>
        <v>11.122632062873489</v>
      </c>
      <c r="Y876">
        <f t="shared" ca="1" si="415"/>
        <v>1.1735290000551568</v>
      </c>
      <c r="Z876">
        <f t="shared" ca="1" si="416"/>
        <v>4.5807502857230418</v>
      </c>
      <c r="AA876">
        <f t="shared" ca="1" si="417"/>
        <v>634.29496770439869</v>
      </c>
      <c r="AB876">
        <f t="shared" ca="1" si="418"/>
        <v>635.36445155659806</v>
      </c>
      <c r="AC876">
        <f t="shared" ca="1" si="419"/>
        <v>3.8141460404132466E-3</v>
      </c>
      <c r="AD876">
        <f t="shared" ca="1" si="420"/>
        <v>1.0000000000000004</v>
      </c>
      <c r="AE876">
        <f t="shared" ca="1" si="421"/>
        <v>35.686426155594638</v>
      </c>
      <c r="AF876">
        <f t="shared" ca="1" si="422"/>
        <v>3.373470681026447E-3</v>
      </c>
      <c r="AG876">
        <f t="shared" ca="1" si="423"/>
        <v>1</v>
      </c>
      <c r="AH876">
        <f ca="1">IFERROR(IF(V32="Supercritical",MAX($D$16,IFERROR(L876,MAX($D$16,POWER((ABS(K876)^2)/($I$5*MAX(F876,0.1)^2),1/3)))),IF(V32="Subcritical",MAX($D$16,IFERROR(W876,MAX($D$16,POWER((ABS(K876)^2)/($I$5*MAX(F876,0.1)^2),1/3)))),IF(AND(IFERROR(V876,0)=1,IFERROR(AG876,0)=1),IF(IFERROR(T876,-1E+99)&gt;=IFERROR(AE876,-1E+99),MAX($D$16,IFERROR(L876,MAX($D$16,POWER((ABS(K876)^2)/($I$5*MAX(F876,0.1)^2),1/3)))),MAX($D$16,IFERROR(W876,MAX($D$16,POWER((ABS(K876)^2)/($I$5*MAX(F876,0.1)^2),1/3))))),IF(IFERROR(V876,0)=1,MAX($D$16,IFERROR(L876,MAX($D$16,POWER((ABS(K876)^2)/($I$5*MAX(F876,0.1)^2),1/3)))),IF(IFERROR(AG876,0)=1,MAX($D$16,IFERROR(W876,MAX($D$16,POWER((ABS(K876)^2)/($I$5*MAX(F876,0.1)^2),1/3)))),MAX($D$16,POWER((ABS(K876)^2)/($I$5*MAX(F876,0.1)^2),1/3))))))),MAX($D$16,POWER((ABS(K876)^2)/($I$5*MAX(F876,0.1)^2),1/3)))</f>
        <v>2.1389677043987478</v>
      </c>
      <c r="AI876">
        <f t="shared" ca="1" si="424"/>
        <v>634.29496770439869</v>
      </c>
      <c r="AJ876">
        <f t="shared" ca="1" si="425"/>
        <v>635.36445155659806</v>
      </c>
      <c r="AM876">
        <v>0</v>
      </c>
      <c r="AN876">
        <v>0</v>
      </c>
      <c r="AO876">
        <f t="shared" si="426"/>
        <v>0</v>
      </c>
      <c r="AP876">
        <f t="shared" si="435"/>
        <v>0</v>
      </c>
      <c r="AQ876">
        <f t="shared" ca="1" si="427"/>
        <v>1.0000000000000004</v>
      </c>
      <c r="AR876" t="str">
        <f t="shared" ca="1" si="428"/>
        <v>Supercritical</v>
      </c>
      <c r="AS876">
        <f t="shared" ca="1" si="429"/>
        <v>3.8141460404132466E-3</v>
      </c>
    </row>
    <row r="877" spans="1:45" x14ac:dyDescent="0.35">
      <c r="A877">
        <v>816</v>
      </c>
      <c r="B877">
        <v>814.99599999999998</v>
      </c>
      <c r="C877">
        <v>616089.11100000003</v>
      </c>
      <c r="D877">
        <v>3097191.8909999998</v>
      </c>
      <c r="E877">
        <v>632.15549999999996</v>
      </c>
      <c r="F877">
        <v>5.2</v>
      </c>
      <c r="G877">
        <v>0</v>
      </c>
      <c r="H877" t="s">
        <v>154</v>
      </c>
      <c r="I877">
        <v>2E-3</v>
      </c>
      <c r="J877">
        <f t="shared" si="430"/>
        <v>1.0009999999999764</v>
      </c>
      <c r="K877">
        <f t="shared" ca="1" si="431"/>
        <v>50.95</v>
      </c>
      <c r="L877">
        <f t="shared" ca="1" si="432"/>
        <v>2.1389677043987478</v>
      </c>
      <c r="M877">
        <f t="shared" ca="1" si="405"/>
        <v>11.122632062873489</v>
      </c>
      <c r="N877">
        <f t="shared" ca="1" si="406"/>
        <v>1.1735290000551568</v>
      </c>
      <c r="O877">
        <f t="shared" ca="1" si="407"/>
        <v>4.5807502857230418</v>
      </c>
      <c r="P877">
        <f t="shared" ca="1" si="408"/>
        <v>634.2944677043987</v>
      </c>
      <c r="Q877">
        <f t="shared" ca="1" si="409"/>
        <v>635.36395155659807</v>
      </c>
      <c r="R877">
        <f t="shared" ca="1" si="410"/>
        <v>3.8141460404132466E-3</v>
      </c>
      <c r="S877">
        <f t="shared" ca="1" si="411"/>
        <v>1.0000000000000004</v>
      </c>
      <c r="T877">
        <f t="shared" ca="1" si="412"/>
        <v>35.686426155594638</v>
      </c>
      <c r="U877">
        <f t="shared" ca="1" si="433"/>
        <v>-3.3215251326055295E-3</v>
      </c>
      <c r="V877">
        <f t="shared" ca="1" si="434"/>
        <v>1</v>
      </c>
      <c r="W877">
        <f t="shared" ca="1" si="413"/>
        <v>2.1389677043987478</v>
      </c>
      <c r="X877">
        <f t="shared" ca="1" si="414"/>
        <v>11.122632062873489</v>
      </c>
      <c r="Y877">
        <f t="shared" ca="1" si="415"/>
        <v>1.1735290000551568</v>
      </c>
      <c r="Z877">
        <f t="shared" ca="1" si="416"/>
        <v>4.5807502857230418</v>
      </c>
      <c r="AA877">
        <f t="shared" ca="1" si="417"/>
        <v>634.2944677043987</v>
      </c>
      <c r="AB877">
        <f t="shared" ca="1" si="418"/>
        <v>635.36395155659807</v>
      </c>
      <c r="AC877">
        <f t="shared" ca="1" si="419"/>
        <v>3.8141460404132466E-3</v>
      </c>
      <c r="AD877">
        <f t="shared" ca="1" si="420"/>
        <v>1.0000000000000004</v>
      </c>
      <c r="AE877">
        <f t="shared" ca="1" si="421"/>
        <v>35.686426155594638</v>
      </c>
      <c r="AF877">
        <f t="shared" ca="1" si="422"/>
        <v>3.3676622881557705E-3</v>
      </c>
      <c r="AG877">
        <f t="shared" ca="1" si="423"/>
        <v>1</v>
      </c>
      <c r="AH877">
        <f ca="1">IFERROR(IF(V32="Supercritical",MAX($D$16,IFERROR(L877,MAX($D$16,POWER((ABS(K877)^2)/($I$5*MAX(F877,0.1)^2),1/3)))),IF(V32="Subcritical",MAX($D$16,IFERROR(W877,MAX($D$16,POWER((ABS(K877)^2)/($I$5*MAX(F877,0.1)^2),1/3)))),IF(AND(IFERROR(V877,0)=1,IFERROR(AG877,0)=1),IF(IFERROR(T877,-1E+99)&gt;=IFERROR(AE877,-1E+99),MAX($D$16,IFERROR(L877,MAX($D$16,POWER((ABS(K877)^2)/($I$5*MAX(F877,0.1)^2),1/3)))),MAX($D$16,IFERROR(W877,MAX($D$16,POWER((ABS(K877)^2)/($I$5*MAX(F877,0.1)^2),1/3))))),IF(IFERROR(V877,0)=1,MAX($D$16,IFERROR(L877,MAX($D$16,POWER((ABS(K877)^2)/($I$5*MAX(F877,0.1)^2),1/3)))),IF(IFERROR(AG877,0)=1,MAX($D$16,IFERROR(W877,MAX($D$16,POWER((ABS(K877)^2)/($I$5*MAX(F877,0.1)^2),1/3)))),MAX($D$16,POWER((ABS(K877)^2)/($I$5*MAX(F877,0.1)^2),1/3))))))),MAX($D$16,POWER((ABS(K877)^2)/($I$5*MAX(F877,0.1)^2),1/3)))</f>
        <v>2.1389677043987478</v>
      </c>
      <c r="AI877">
        <f t="shared" ca="1" si="424"/>
        <v>634.2944677043987</v>
      </c>
      <c r="AJ877">
        <f t="shared" ca="1" si="425"/>
        <v>635.36395155659807</v>
      </c>
      <c r="AM877">
        <v>0</v>
      </c>
      <c r="AN877">
        <v>0</v>
      </c>
      <c r="AO877">
        <f t="shared" si="426"/>
        <v>0</v>
      </c>
      <c r="AP877">
        <f t="shared" si="435"/>
        <v>0</v>
      </c>
      <c r="AQ877">
        <f t="shared" ca="1" si="427"/>
        <v>1.0000000000000004</v>
      </c>
      <c r="AR877" t="str">
        <f t="shared" ca="1" si="428"/>
        <v>Supercritical</v>
      </c>
      <c r="AS877">
        <f t="shared" ca="1" si="429"/>
        <v>3.8141460404132466E-3</v>
      </c>
    </row>
    <row r="878" spans="1:45" x14ac:dyDescent="0.35">
      <c r="A878">
        <v>817</v>
      </c>
      <c r="B878">
        <v>815.99599999999998</v>
      </c>
      <c r="C878">
        <v>616089.06900000002</v>
      </c>
      <c r="D878">
        <v>3097190.892</v>
      </c>
      <c r="E878">
        <v>632.15499999999997</v>
      </c>
      <c r="F878">
        <v>5.2</v>
      </c>
      <c r="G878">
        <v>0</v>
      </c>
      <c r="H878" t="s">
        <v>154</v>
      </c>
      <c r="I878">
        <v>0</v>
      </c>
      <c r="J878">
        <f t="shared" si="430"/>
        <v>1</v>
      </c>
      <c r="K878">
        <f t="shared" ca="1" si="431"/>
        <v>50.95</v>
      </c>
      <c r="L878">
        <f t="shared" ca="1" si="432"/>
        <v>2.1389677043987478</v>
      </c>
      <c r="M878">
        <f t="shared" ca="1" si="405"/>
        <v>11.122632062873489</v>
      </c>
      <c r="N878">
        <f t="shared" ca="1" si="406"/>
        <v>1.1735290000551568</v>
      </c>
      <c r="O878">
        <f t="shared" ca="1" si="407"/>
        <v>4.5807502857230418</v>
      </c>
      <c r="P878">
        <f t="shared" ca="1" si="408"/>
        <v>634.29396770439871</v>
      </c>
      <c r="Q878">
        <f t="shared" ca="1" si="409"/>
        <v>635.36345155659808</v>
      </c>
      <c r="R878">
        <f t="shared" ca="1" si="410"/>
        <v>3.8141460404132466E-3</v>
      </c>
      <c r="S878">
        <f t="shared" ca="1" si="411"/>
        <v>1.0000000000000004</v>
      </c>
      <c r="T878">
        <f t="shared" ca="1" si="412"/>
        <v>35.686426155594638</v>
      </c>
      <c r="U878">
        <f t="shared" ca="1" si="433"/>
        <v>-3.3141460404522149E-3</v>
      </c>
      <c r="V878">
        <f t="shared" ca="1" si="434"/>
        <v>1</v>
      </c>
      <c r="W878">
        <f t="shared" ca="1" si="413"/>
        <v>2.1389677043987478</v>
      </c>
      <c r="X878">
        <f t="shared" ca="1" si="414"/>
        <v>11.122632062873489</v>
      </c>
      <c r="Y878">
        <f t="shared" ca="1" si="415"/>
        <v>1.1735290000551568</v>
      </c>
      <c r="Z878">
        <f t="shared" ca="1" si="416"/>
        <v>4.5807502857230418</v>
      </c>
      <c r="AA878">
        <f t="shared" ca="1" si="417"/>
        <v>634.29396770439871</v>
      </c>
      <c r="AB878">
        <f t="shared" ca="1" si="418"/>
        <v>635.36345155659808</v>
      </c>
      <c r="AC878">
        <f t="shared" ca="1" si="419"/>
        <v>3.8141460404132466E-3</v>
      </c>
      <c r="AD878">
        <f t="shared" ca="1" si="420"/>
        <v>1.0000000000000004</v>
      </c>
      <c r="AE878">
        <f t="shared" ca="1" si="421"/>
        <v>35.686426155594638</v>
      </c>
      <c r="AF878">
        <f t="shared" ca="1" si="422"/>
        <v>3.4692882957187976E-3</v>
      </c>
      <c r="AG878">
        <f t="shared" ca="1" si="423"/>
        <v>1</v>
      </c>
      <c r="AH878">
        <f ca="1">IFERROR(IF(V32="Supercritical",MAX($D$16,IFERROR(L878,MAX($D$16,POWER((ABS(K878)^2)/($I$5*MAX(F878,0.1)^2),1/3)))),IF(V32="Subcritical",MAX($D$16,IFERROR(W878,MAX($D$16,POWER((ABS(K878)^2)/($I$5*MAX(F878,0.1)^2),1/3)))),IF(AND(IFERROR(V878,0)=1,IFERROR(AG878,0)=1),IF(IFERROR(T878,-1E+99)&gt;=IFERROR(AE878,-1E+99),MAX($D$16,IFERROR(L878,MAX($D$16,POWER((ABS(K878)^2)/($I$5*MAX(F878,0.1)^2),1/3)))),MAX($D$16,IFERROR(W878,MAX($D$16,POWER((ABS(K878)^2)/($I$5*MAX(F878,0.1)^2),1/3))))),IF(IFERROR(V878,0)=1,MAX($D$16,IFERROR(L878,MAX($D$16,POWER((ABS(K878)^2)/($I$5*MAX(F878,0.1)^2),1/3)))),IF(IFERROR(AG878,0)=1,MAX($D$16,IFERROR(W878,MAX($D$16,POWER((ABS(K878)^2)/($I$5*MAX(F878,0.1)^2),1/3)))),MAX($D$16,POWER((ABS(K878)^2)/($I$5*MAX(F878,0.1)^2),1/3))))))),MAX($D$16,POWER((ABS(K878)^2)/($I$5*MAX(F878,0.1)^2),1/3)))</f>
        <v>2.1389677043987478</v>
      </c>
      <c r="AI878">
        <f t="shared" ca="1" si="424"/>
        <v>634.29396770439871</v>
      </c>
      <c r="AJ878">
        <f t="shared" ca="1" si="425"/>
        <v>635.36345155659808</v>
      </c>
      <c r="AM878">
        <v>0</v>
      </c>
      <c r="AN878">
        <v>0</v>
      </c>
      <c r="AO878">
        <f t="shared" si="426"/>
        <v>0</v>
      </c>
      <c r="AP878">
        <f t="shared" si="435"/>
        <v>0</v>
      </c>
      <c r="AQ878">
        <f t="shared" ca="1" si="427"/>
        <v>1.0000000000000004</v>
      </c>
      <c r="AR878" t="str">
        <f t="shared" ca="1" si="428"/>
        <v>Supercritical</v>
      </c>
      <c r="AS878">
        <f t="shared" ca="1" si="429"/>
        <v>3.8141460404132466E-3</v>
      </c>
    </row>
    <row r="879" spans="1:45" x14ac:dyDescent="0.35">
      <c r="A879">
        <v>818</v>
      </c>
      <c r="B879">
        <v>816.99599999999998</v>
      </c>
      <c r="C879">
        <v>616089.027</v>
      </c>
      <c r="D879">
        <v>3097189.8930000002</v>
      </c>
      <c r="E879">
        <v>632.15449999999998</v>
      </c>
      <c r="F879">
        <v>5.2</v>
      </c>
      <c r="G879">
        <v>0</v>
      </c>
      <c r="H879" t="s">
        <v>154</v>
      </c>
      <c r="I879">
        <v>5.7000000000000002E-2</v>
      </c>
      <c r="J879">
        <f t="shared" si="430"/>
        <v>1</v>
      </c>
      <c r="K879">
        <f t="shared" ca="1" si="431"/>
        <v>50.95</v>
      </c>
      <c r="L879">
        <f t="shared" ca="1" si="432"/>
        <v>2.1389677043987478</v>
      </c>
      <c r="M879">
        <f t="shared" ca="1" si="405"/>
        <v>11.122632062873489</v>
      </c>
      <c r="N879">
        <f t="shared" ca="1" si="406"/>
        <v>1.1735290000551568</v>
      </c>
      <c r="O879">
        <f t="shared" ca="1" si="407"/>
        <v>4.5807502857230418</v>
      </c>
      <c r="P879">
        <f t="shared" ca="1" si="408"/>
        <v>634.29346770439872</v>
      </c>
      <c r="Q879">
        <f t="shared" ca="1" si="409"/>
        <v>635.36295155659809</v>
      </c>
      <c r="R879">
        <f t="shared" ca="1" si="410"/>
        <v>3.8141460404132466E-3</v>
      </c>
      <c r="S879">
        <f t="shared" ca="1" si="411"/>
        <v>1.0000000000000004</v>
      </c>
      <c r="T879">
        <f t="shared" ca="1" si="412"/>
        <v>35.686426155594638</v>
      </c>
      <c r="U879">
        <f t="shared" ca="1" si="433"/>
        <v>-3.4157470064428708E-3</v>
      </c>
      <c r="V879">
        <f t="shared" ca="1" si="434"/>
        <v>1</v>
      </c>
      <c r="W879">
        <f t="shared" ca="1" si="413"/>
        <v>2.1389677043987478</v>
      </c>
      <c r="X879">
        <f t="shared" ca="1" si="414"/>
        <v>11.122632062873489</v>
      </c>
      <c r="Y879">
        <f t="shared" ca="1" si="415"/>
        <v>1.1735290000551568</v>
      </c>
      <c r="Z879">
        <f t="shared" ca="1" si="416"/>
        <v>4.5807502857230418</v>
      </c>
      <c r="AA879">
        <f t="shared" ca="1" si="417"/>
        <v>634.29346770439872</v>
      </c>
      <c r="AB879">
        <f t="shared" ca="1" si="418"/>
        <v>635.36295155659809</v>
      </c>
      <c r="AC879">
        <f t="shared" ca="1" si="419"/>
        <v>3.8141460404132466E-3</v>
      </c>
      <c r="AD879">
        <f t="shared" ca="1" si="420"/>
        <v>1.0000000000000004</v>
      </c>
      <c r="AE879">
        <f t="shared" ca="1" si="421"/>
        <v>35.686426155594638</v>
      </c>
      <c r="AF879">
        <f t="shared" ca="1" si="422"/>
        <v>3.4677132456408799E-3</v>
      </c>
      <c r="AG879">
        <f t="shared" ca="1" si="423"/>
        <v>1</v>
      </c>
      <c r="AH879">
        <f ca="1">IFERROR(IF(V32="Supercritical",MAX($D$16,IFERROR(L879,MAX($D$16,POWER((ABS(K879)^2)/($I$5*MAX(F879,0.1)^2),1/3)))),IF(V32="Subcritical",MAX($D$16,IFERROR(W879,MAX($D$16,POWER((ABS(K879)^2)/($I$5*MAX(F879,0.1)^2),1/3)))),IF(AND(IFERROR(V879,0)=1,IFERROR(AG879,0)=1),IF(IFERROR(T879,-1E+99)&gt;=IFERROR(AE879,-1E+99),MAX($D$16,IFERROR(L879,MAX($D$16,POWER((ABS(K879)^2)/($I$5*MAX(F879,0.1)^2),1/3)))),MAX($D$16,IFERROR(W879,MAX($D$16,POWER((ABS(K879)^2)/($I$5*MAX(F879,0.1)^2),1/3))))),IF(IFERROR(V879,0)=1,MAX($D$16,IFERROR(L879,MAX($D$16,POWER((ABS(K879)^2)/($I$5*MAX(F879,0.1)^2),1/3)))),IF(IFERROR(AG879,0)=1,MAX($D$16,IFERROR(W879,MAX($D$16,POWER((ABS(K879)^2)/($I$5*MAX(F879,0.1)^2),1/3)))),MAX($D$16,POWER((ABS(K879)^2)/($I$5*MAX(F879,0.1)^2),1/3))))))),MAX($D$16,POWER((ABS(K879)^2)/($I$5*MAX(F879,0.1)^2),1/3)))</f>
        <v>2.1389677043987478</v>
      </c>
      <c r="AI879">
        <f t="shared" ca="1" si="424"/>
        <v>634.29346770439872</v>
      </c>
      <c r="AJ879">
        <f t="shared" ca="1" si="425"/>
        <v>635.36295155659809</v>
      </c>
      <c r="AM879">
        <v>0</v>
      </c>
      <c r="AN879">
        <v>0</v>
      </c>
      <c r="AO879">
        <f t="shared" si="426"/>
        <v>0</v>
      </c>
      <c r="AP879">
        <f t="shared" si="435"/>
        <v>0</v>
      </c>
      <c r="AQ879">
        <f t="shared" ca="1" si="427"/>
        <v>1.0000000000000004</v>
      </c>
      <c r="AR879" t="str">
        <f t="shared" ca="1" si="428"/>
        <v>Supercritical</v>
      </c>
      <c r="AS879">
        <f t="shared" ca="1" si="429"/>
        <v>3.8141460404132466E-3</v>
      </c>
    </row>
    <row r="880" spans="1:45" x14ac:dyDescent="0.35">
      <c r="A880">
        <v>819</v>
      </c>
      <c r="B880">
        <v>817.99599999999998</v>
      </c>
      <c r="C880">
        <v>616088.98400000005</v>
      </c>
      <c r="D880">
        <v>3097188.8939999999</v>
      </c>
      <c r="E880">
        <v>632.154</v>
      </c>
      <c r="F880">
        <v>5.2</v>
      </c>
      <c r="G880">
        <v>0</v>
      </c>
      <c r="H880" t="s">
        <v>154</v>
      </c>
      <c r="I880">
        <v>5.7000000000000002E-2</v>
      </c>
      <c r="J880">
        <f t="shared" si="430"/>
        <v>1</v>
      </c>
      <c r="K880">
        <f t="shared" ca="1" si="431"/>
        <v>50.95</v>
      </c>
      <c r="L880">
        <f t="shared" ca="1" si="432"/>
        <v>2.1389677043987478</v>
      </c>
      <c r="M880">
        <f t="shared" ca="1" si="405"/>
        <v>11.122632062873489</v>
      </c>
      <c r="N880">
        <f t="shared" ca="1" si="406"/>
        <v>1.1735290000551568</v>
      </c>
      <c r="O880">
        <f t="shared" ca="1" si="407"/>
        <v>4.5807502857230418</v>
      </c>
      <c r="P880">
        <f t="shared" ca="1" si="408"/>
        <v>634.29296770439873</v>
      </c>
      <c r="Q880">
        <f t="shared" ca="1" si="409"/>
        <v>635.3624515565981</v>
      </c>
      <c r="R880">
        <f t="shared" ca="1" si="410"/>
        <v>3.8141460404132466E-3</v>
      </c>
      <c r="S880">
        <f t="shared" ca="1" si="411"/>
        <v>1.0000000000000004</v>
      </c>
      <c r="T880">
        <f t="shared" ca="1" si="412"/>
        <v>35.686426155594638</v>
      </c>
      <c r="U880">
        <f t="shared" ca="1" si="433"/>
        <v>-3.4157470064428708E-3</v>
      </c>
      <c r="V880">
        <f t="shared" ca="1" si="434"/>
        <v>1</v>
      </c>
      <c r="W880">
        <f t="shared" ca="1" si="413"/>
        <v>2.1389677043987478</v>
      </c>
      <c r="X880">
        <f t="shared" ca="1" si="414"/>
        <v>11.122632062873489</v>
      </c>
      <c r="Y880">
        <f t="shared" ca="1" si="415"/>
        <v>1.1735290000551568</v>
      </c>
      <c r="Z880">
        <f t="shared" ca="1" si="416"/>
        <v>4.5807502857230418</v>
      </c>
      <c r="AA880">
        <f t="shared" ca="1" si="417"/>
        <v>634.29296770439873</v>
      </c>
      <c r="AB880">
        <f t="shared" ca="1" si="418"/>
        <v>635.3624515565981</v>
      </c>
      <c r="AC880">
        <f t="shared" ca="1" si="419"/>
        <v>3.8141460404132466E-3</v>
      </c>
      <c r="AD880">
        <f t="shared" ca="1" si="420"/>
        <v>1.0000000000000004</v>
      </c>
      <c r="AE880">
        <f t="shared" ca="1" si="421"/>
        <v>35.686426155594638</v>
      </c>
      <c r="AF880">
        <f t="shared" ca="1" si="422"/>
        <v>3.3660877592183169E-3</v>
      </c>
      <c r="AG880">
        <f t="shared" ca="1" si="423"/>
        <v>1</v>
      </c>
      <c r="AH880">
        <f ca="1">IFERROR(IF(V32="Supercritical",MAX($D$16,IFERROR(L880,MAX($D$16,POWER((ABS(K880)^2)/($I$5*MAX(F880,0.1)^2),1/3)))),IF(V32="Subcritical",MAX($D$16,IFERROR(W880,MAX($D$16,POWER((ABS(K880)^2)/($I$5*MAX(F880,0.1)^2),1/3)))),IF(AND(IFERROR(V880,0)=1,IFERROR(AG880,0)=1),IF(IFERROR(T880,-1E+99)&gt;=IFERROR(AE880,-1E+99),MAX($D$16,IFERROR(L880,MAX($D$16,POWER((ABS(K880)^2)/($I$5*MAX(F880,0.1)^2),1/3)))),MAX($D$16,IFERROR(W880,MAX($D$16,POWER((ABS(K880)^2)/($I$5*MAX(F880,0.1)^2),1/3))))),IF(IFERROR(V880,0)=1,MAX($D$16,IFERROR(L880,MAX($D$16,POWER((ABS(K880)^2)/($I$5*MAX(F880,0.1)^2),1/3)))),IF(IFERROR(AG880,0)=1,MAX($D$16,IFERROR(W880,MAX($D$16,POWER((ABS(K880)^2)/($I$5*MAX(F880,0.1)^2),1/3)))),MAX($D$16,POWER((ABS(K880)^2)/($I$5*MAX(F880,0.1)^2),1/3))))))),MAX($D$16,POWER((ABS(K880)^2)/($I$5*MAX(F880,0.1)^2),1/3)))</f>
        <v>2.1389677043987478</v>
      </c>
      <c r="AI880">
        <f t="shared" ca="1" si="424"/>
        <v>634.29296770439873</v>
      </c>
      <c r="AJ880">
        <f t="shared" ca="1" si="425"/>
        <v>635.3624515565981</v>
      </c>
      <c r="AM880">
        <v>0</v>
      </c>
      <c r="AN880">
        <v>0</v>
      </c>
      <c r="AO880">
        <f t="shared" si="426"/>
        <v>0</v>
      </c>
      <c r="AP880">
        <f t="shared" si="435"/>
        <v>0</v>
      </c>
      <c r="AQ880">
        <f t="shared" ca="1" si="427"/>
        <v>1.0000000000000004</v>
      </c>
      <c r="AR880" t="str">
        <f t="shared" ca="1" si="428"/>
        <v>Supercritical</v>
      </c>
      <c r="AS880">
        <f t="shared" ca="1" si="429"/>
        <v>3.8141460404132466E-3</v>
      </c>
    </row>
    <row r="881" spans="1:45" x14ac:dyDescent="0.35">
      <c r="A881">
        <v>820</v>
      </c>
      <c r="B881">
        <v>818.99599999999998</v>
      </c>
      <c r="C881">
        <v>616088.94200000004</v>
      </c>
      <c r="D881">
        <v>3097187.895</v>
      </c>
      <c r="E881">
        <v>632.15350000000001</v>
      </c>
      <c r="F881">
        <v>5.2</v>
      </c>
      <c r="G881">
        <v>0</v>
      </c>
      <c r="H881" t="s">
        <v>154</v>
      </c>
      <c r="I881">
        <v>0</v>
      </c>
      <c r="J881">
        <f t="shared" si="430"/>
        <v>1</v>
      </c>
      <c r="K881">
        <f t="shared" ca="1" si="431"/>
        <v>50.95</v>
      </c>
      <c r="L881">
        <f t="shared" ca="1" si="432"/>
        <v>2.1389677043987478</v>
      </c>
      <c r="M881">
        <f t="shared" ca="1" si="405"/>
        <v>11.122632062873489</v>
      </c>
      <c r="N881">
        <f t="shared" ca="1" si="406"/>
        <v>1.1735290000551568</v>
      </c>
      <c r="O881">
        <f t="shared" ca="1" si="407"/>
        <v>4.5807502857230418</v>
      </c>
      <c r="P881">
        <f t="shared" ca="1" si="408"/>
        <v>634.29246770439875</v>
      </c>
      <c r="Q881">
        <f t="shared" ca="1" si="409"/>
        <v>635.36195155659811</v>
      </c>
      <c r="R881">
        <f t="shared" ca="1" si="410"/>
        <v>3.8141460404132466E-3</v>
      </c>
      <c r="S881">
        <f t="shared" ca="1" si="411"/>
        <v>1.0000000000000004</v>
      </c>
      <c r="T881">
        <f t="shared" ca="1" si="412"/>
        <v>35.686426155594638</v>
      </c>
      <c r="U881">
        <f t="shared" ca="1" si="433"/>
        <v>-3.3141460404522149E-3</v>
      </c>
      <c r="V881">
        <f t="shared" ca="1" si="434"/>
        <v>1</v>
      </c>
      <c r="W881">
        <f t="shared" ca="1" si="413"/>
        <v>2.1389677043987478</v>
      </c>
      <c r="X881">
        <f t="shared" ca="1" si="414"/>
        <v>11.122632062873489</v>
      </c>
      <c r="Y881">
        <f t="shared" ca="1" si="415"/>
        <v>1.1735290000551568</v>
      </c>
      <c r="Z881">
        <f t="shared" ca="1" si="416"/>
        <v>4.5807502857230418</v>
      </c>
      <c r="AA881">
        <f t="shared" ca="1" si="417"/>
        <v>634.29246770439875</v>
      </c>
      <c r="AB881">
        <f t="shared" ca="1" si="418"/>
        <v>635.36195155659811</v>
      </c>
      <c r="AC881">
        <f t="shared" ca="1" si="419"/>
        <v>3.8141460404132466E-3</v>
      </c>
      <c r="AD881">
        <f t="shared" ca="1" si="420"/>
        <v>1.0000000000000004</v>
      </c>
      <c r="AE881">
        <f t="shared" ca="1" si="421"/>
        <v>35.686426155594638</v>
      </c>
      <c r="AF881">
        <f t="shared" ca="1" si="422"/>
        <v>3.367603216020143E-3</v>
      </c>
      <c r="AG881">
        <f t="shared" ca="1" si="423"/>
        <v>1</v>
      </c>
      <c r="AH881">
        <f ca="1">IFERROR(IF(V32="Supercritical",MAX($D$16,IFERROR(L881,MAX($D$16,POWER((ABS(K881)^2)/($I$5*MAX(F881,0.1)^2),1/3)))),IF(V32="Subcritical",MAX($D$16,IFERROR(W881,MAX($D$16,POWER((ABS(K881)^2)/($I$5*MAX(F881,0.1)^2),1/3)))),IF(AND(IFERROR(V881,0)=1,IFERROR(AG881,0)=1),IF(IFERROR(T881,-1E+99)&gt;=IFERROR(AE881,-1E+99),MAX($D$16,IFERROR(L881,MAX($D$16,POWER((ABS(K881)^2)/($I$5*MAX(F881,0.1)^2),1/3)))),MAX($D$16,IFERROR(W881,MAX($D$16,POWER((ABS(K881)^2)/($I$5*MAX(F881,0.1)^2),1/3))))),IF(IFERROR(V881,0)=1,MAX($D$16,IFERROR(L881,MAX($D$16,POWER((ABS(K881)^2)/($I$5*MAX(F881,0.1)^2),1/3)))),IF(IFERROR(AG881,0)=1,MAX($D$16,IFERROR(W881,MAX($D$16,POWER((ABS(K881)^2)/($I$5*MAX(F881,0.1)^2),1/3)))),MAX($D$16,POWER((ABS(K881)^2)/($I$5*MAX(F881,0.1)^2),1/3))))))),MAX($D$16,POWER((ABS(K881)^2)/($I$5*MAX(F881,0.1)^2),1/3)))</f>
        <v>2.1389677043987478</v>
      </c>
      <c r="AI881">
        <f t="shared" ca="1" si="424"/>
        <v>634.29246770439875</v>
      </c>
      <c r="AJ881">
        <f t="shared" ca="1" si="425"/>
        <v>635.36195155659811</v>
      </c>
      <c r="AM881">
        <v>0</v>
      </c>
      <c r="AN881">
        <v>0</v>
      </c>
      <c r="AO881">
        <f t="shared" si="426"/>
        <v>0</v>
      </c>
      <c r="AP881">
        <f t="shared" si="435"/>
        <v>0</v>
      </c>
      <c r="AQ881">
        <f t="shared" ca="1" si="427"/>
        <v>1.0000000000000004</v>
      </c>
      <c r="AR881" t="str">
        <f t="shared" ca="1" si="428"/>
        <v>Supercritical</v>
      </c>
      <c r="AS881">
        <f t="shared" ca="1" si="429"/>
        <v>3.8141460404132466E-3</v>
      </c>
    </row>
    <row r="882" spans="1:45" x14ac:dyDescent="0.35">
      <c r="A882">
        <v>821</v>
      </c>
      <c r="B882">
        <v>819.99599999999998</v>
      </c>
      <c r="C882">
        <v>616088.9</v>
      </c>
      <c r="D882">
        <v>3097186.8960000002</v>
      </c>
      <c r="E882">
        <v>632.15300000000002</v>
      </c>
      <c r="F882">
        <v>5.2</v>
      </c>
      <c r="G882">
        <v>0</v>
      </c>
      <c r="H882" t="s">
        <v>154</v>
      </c>
      <c r="I882">
        <v>0</v>
      </c>
      <c r="J882">
        <f t="shared" si="430"/>
        <v>1</v>
      </c>
      <c r="K882">
        <f t="shared" ca="1" si="431"/>
        <v>50.95</v>
      </c>
      <c r="L882">
        <f t="shared" ca="1" si="432"/>
        <v>2.1389677043987478</v>
      </c>
      <c r="M882">
        <f t="shared" ca="1" si="405"/>
        <v>11.122632062873489</v>
      </c>
      <c r="N882">
        <f t="shared" ca="1" si="406"/>
        <v>1.1735290000551568</v>
      </c>
      <c r="O882">
        <f t="shared" ca="1" si="407"/>
        <v>4.5807502857230418</v>
      </c>
      <c r="P882">
        <f t="shared" ca="1" si="408"/>
        <v>634.29196770439876</v>
      </c>
      <c r="Q882">
        <f t="shared" ca="1" si="409"/>
        <v>635.36145155659813</v>
      </c>
      <c r="R882">
        <f t="shared" ca="1" si="410"/>
        <v>3.8141460404132466E-3</v>
      </c>
      <c r="S882">
        <f t="shared" ca="1" si="411"/>
        <v>1.0000000000000004</v>
      </c>
      <c r="T882">
        <f t="shared" ca="1" si="412"/>
        <v>35.686426155594638</v>
      </c>
      <c r="U882">
        <f t="shared" ca="1" si="433"/>
        <v>-3.3141460404522149E-3</v>
      </c>
      <c r="V882">
        <f t="shared" ca="1" si="434"/>
        <v>1</v>
      </c>
      <c r="W882">
        <f t="shared" ca="1" si="413"/>
        <v>2.1389677043987478</v>
      </c>
      <c r="X882">
        <f t="shared" ca="1" si="414"/>
        <v>11.122632062873489</v>
      </c>
      <c r="Y882">
        <f t="shared" ca="1" si="415"/>
        <v>1.1735290000551568</v>
      </c>
      <c r="Z882">
        <f t="shared" ca="1" si="416"/>
        <v>4.5807502857230418</v>
      </c>
      <c r="AA882">
        <f t="shared" ca="1" si="417"/>
        <v>634.29196770439876</v>
      </c>
      <c r="AB882">
        <f t="shared" ca="1" si="418"/>
        <v>635.36145155659813</v>
      </c>
      <c r="AC882">
        <f t="shared" ca="1" si="419"/>
        <v>3.8141460404132466E-3</v>
      </c>
      <c r="AD882">
        <f t="shared" ca="1" si="420"/>
        <v>1.0000000000000004</v>
      </c>
      <c r="AE882">
        <f t="shared" ca="1" si="421"/>
        <v>35.686426155594638</v>
      </c>
      <c r="AF882">
        <f t="shared" ca="1" si="422"/>
        <v>3.4654737667096924E-3</v>
      </c>
      <c r="AG882">
        <f t="shared" ca="1" si="423"/>
        <v>1</v>
      </c>
      <c r="AH882">
        <f ca="1">IFERROR(IF(V32="Supercritical",MAX($D$16,IFERROR(L882,MAX($D$16,POWER((ABS(K882)^2)/($I$5*MAX(F882,0.1)^2),1/3)))),IF(V32="Subcritical",MAX($D$16,IFERROR(W882,MAX($D$16,POWER((ABS(K882)^2)/($I$5*MAX(F882,0.1)^2),1/3)))),IF(AND(IFERROR(V882,0)=1,IFERROR(AG882,0)=1),IF(IFERROR(T882,-1E+99)&gt;=IFERROR(AE882,-1E+99),MAX($D$16,IFERROR(L882,MAX($D$16,POWER((ABS(K882)^2)/($I$5*MAX(F882,0.1)^2),1/3)))),MAX($D$16,IFERROR(W882,MAX($D$16,POWER((ABS(K882)^2)/($I$5*MAX(F882,0.1)^2),1/3))))),IF(IFERROR(V882,0)=1,MAX($D$16,IFERROR(L882,MAX($D$16,POWER((ABS(K882)^2)/($I$5*MAX(F882,0.1)^2),1/3)))),IF(IFERROR(AG882,0)=1,MAX($D$16,IFERROR(W882,MAX($D$16,POWER((ABS(K882)^2)/($I$5*MAX(F882,0.1)^2),1/3)))),MAX($D$16,POWER((ABS(K882)^2)/($I$5*MAX(F882,0.1)^2),1/3))))))),MAX($D$16,POWER((ABS(K882)^2)/($I$5*MAX(F882,0.1)^2),1/3)))</f>
        <v>2.1389677043987478</v>
      </c>
      <c r="AI882">
        <f t="shared" ca="1" si="424"/>
        <v>634.29196770439876</v>
      </c>
      <c r="AJ882">
        <f t="shared" ca="1" si="425"/>
        <v>635.36145155659813</v>
      </c>
      <c r="AM882">
        <v>0</v>
      </c>
      <c r="AN882">
        <v>0</v>
      </c>
      <c r="AO882">
        <f t="shared" si="426"/>
        <v>0</v>
      </c>
      <c r="AP882">
        <f t="shared" si="435"/>
        <v>0</v>
      </c>
      <c r="AQ882">
        <f t="shared" ca="1" si="427"/>
        <v>1.0000000000000004</v>
      </c>
      <c r="AR882" t="str">
        <f t="shared" ca="1" si="428"/>
        <v>Supercritical</v>
      </c>
      <c r="AS882">
        <f t="shared" ca="1" si="429"/>
        <v>3.8141460404132466E-3</v>
      </c>
    </row>
    <row r="883" spans="1:45" x14ac:dyDescent="0.35">
      <c r="A883">
        <v>822</v>
      </c>
      <c r="B883">
        <v>820.995</v>
      </c>
      <c r="C883">
        <v>616088.85800000001</v>
      </c>
      <c r="D883">
        <v>3097185.8969999999</v>
      </c>
      <c r="E883">
        <v>632.15250000000003</v>
      </c>
      <c r="F883">
        <v>5.2</v>
      </c>
      <c r="G883">
        <v>0</v>
      </c>
      <c r="H883" t="s">
        <v>154</v>
      </c>
      <c r="I883">
        <v>5.7000000000000002E-2</v>
      </c>
      <c r="J883">
        <f t="shared" si="430"/>
        <v>0.99900000000002365</v>
      </c>
      <c r="K883">
        <f t="shared" ca="1" si="431"/>
        <v>50.95</v>
      </c>
      <c r="L883">
        <f t="shared" ca="1" si="432"/>
        <v>2.1389677043987478</v>
      </c>
      <c r="M883">
        <f t="shared" ca="1" si="405"/>
        <v>11.122632062873489</v>
      </c>
      <c r="N883">
        <f t="shared" ca="1" si="406"/>
        <v>1.1735290000551568</v>
      </c>
      <c r="O883">
        <f t="shared" ca="1" si="407"/>
        <v>4.5807502857230418</v>
      </c>
      <c r="P883">
        <f t="shared" ca="1" si="408"/>
        <v>634.29146770439877</v>
      </c>
      <c r="Q883">
        <f t="shared" ca="1" si="409"/>
        <v>635.36095155659814</v>
      </c>
      <c r="R883">
        <f t="shared" ca="1" si="410"/>
        <v>3.8141460404132466E-3</v>
      </c>
      <c r="S883">
        <f t="shared" ca="1" si="411"/>
        <v>1.0000000000000004</v>
      </c>
      <c r="T883">
        <f t="shared" ca="1" si="412"/>
        <v>35.686426155594638</v>
      </c>
      <c r="U883">
        <f t="shared" ca="1" si="433"/>
        <v>-3.411932860331035E-3</v>
      </c>
      <c r="V883">
        <f t="shared" ca="1" si="434"/>
        <v>1</v>
      </c>
      <c r="W883">
        <f t="shared" ca="1" si="413"/>
        <v>2.1389677043987478</v>
      </c>
      <c r="X883">
        <f t="shared" ca="1" si="414"/>
        <v>11.122632062873489</v>
      </c>
      <c r="Y883">
        <f t="shared" ca="1" si="415"/>
        <v>1.1735290000551568</v>
      </c>
      <c r="Z883">
        <f t="shared" ca="1" si="416"/>
        <v>4.5807502857230418</v>
      </c>
      <c r="AA883">
        <f t="shared" ca="1" si="417"/>
        <v>634.29146770439877</v>
      </c>
      <c r="AB883">
        <f t="shared" ca="1" si="418"/>
        <v>635.36095155659814</v>
      </c>
      <c r="AC883">
        <f t="shared" ca="1" si="419"/>
        <v>3.8141460404132466E-3</v>
      </c>
      <c r="AD883">
        <f t="shared" ca="1" si="420"/>
        <v>1.0000000000000004</v>
      </c>
      <c r="AE883">
        <f t="shared" ca="1" si="421"/>
        <v>35.686426155594638</v>
      </c>
      <c r="AF883">
        <f t="shared" ca="1" si="422"/>
        <v>3.467770302563622E-3</v>
      </c>
      <c r="AG883">
        <f t="shared" ca="1" si="423"/>
        <v>1</v>
      </c>
      <c r="AH883">
        <f ca="1">IFERROR(IF(V32="Supercritical",MAX($D$16,IFERROR(L883,MAX($D$16,POWER((ABS(K883)^2)/($I$5*MAX(F883,0.1)^2),1/3)))),IF(V32="Subcritical",MAX($D$16,IFERROR(W883,MAX($D$16,POWER((ABS(K883)^2)/($I$5*MAX(F883,0.1)^2),1/3)))),IF(AND(IFERROR(V883,0)=1,IFERROR(AG883,0)=1),IF(IFERROR(T883,-1E+99)&gt;=IFERROR(AE883,-1E+99),MAX($D$16,IFERROR(L883,MAX($D$16,POWER((ABS(K883)^2)/($I$5*MAX(F883,0.1)^2),1/3)))),MAX($D$16,IFERROR(W883,MAX($D$16,POWER((ABS(K883)^2)/($I$5*MAX(F883,0.1)^2),1/3))))),IF(IFERROR(V883,0)=1,MAX($D$16,IFERROR(L883,MAX($D$16,POWER((ABS(K883)^2)/($I$5*MAX(F883,0.1)^2),1/3)))),IF(IFERROR(AG883,0)=1,MAX($D$16,IFERROR(W883,MAX($D$16,POWER((ABS(K883)^2)/($I$5*MAX(F883,0.1)^2),1/3)))),MAX($D$16,POWER((ABS(K883)^2)/($I$5*MAX(F883,0.1)^2),1/3))))))),MAX($D$16,POWER((ABS(K883)^2)/($I$5*MAX(F883,0.1)^2),1/3)))</f>
        <v>2.1389677043987478</v>
      </c>
      <c r="AI883">
        <f t="shared" ca="1" si="424"/>
        <v>634.29146770439877</v>
      </c>
      <c r="AJ883">
        <f t="shared" ca="1" si="425"/>
        <v>635.36095155659814</v>
      </c>
      <c r="AM883">
        <v>0</v>
      </c>
      <c r="AN883">
        <v>0</v>
      </c>
      <c r="AO883">
        <f t="shared" si="426"/>
        <v>0</v>
      </c>
      <c r="AP883">
        <f t="shared" si="435"/>
        <v>0</v>
      </c>
      <c r="AQ883">
        <f t="shared" ca="1" si="427"/>
        <v>1.0000000000000004</v>
      </c>
      <c r="AR883" t="str">
        <f t="shared" ca="1" si="428"/>
        <v>Supercritical</v>
      </c>
      <c r="AS883">
        <f t="shared" ca="1" si="429"/>
        <v>3.8141460404132466E-3</v>
      </c>
    </row>
    <row r="884" spans="1:45" x14ac:dyDescent="0.35">
      <c r="A884">
        <v>823</v>
      </c>
      <c r="B884">
        <v>821.995</v>
      </c>
      <c r="C884">
        <v>616088.81499999994</v>
      </c>
      <c r="D884">
        <v>3097184.898</v>
      </c>
      <c r="E884">
        <v>632.15200000000004</v>
      </c>
      <c r="F884">
        <v>5.2</v>
      </c>
      <c r="G884">
        <v>0</v>
      </c>
      <c r="H884" t="s">
        <v>154</v>
      </c>
      <c r="I884">
        <v>5.7000000000000002E-2</v>
      </c>
      <c r="J884">
        <f t="shared" si="430"/>
        <v>1</v>
      </c>
      <c r="K884">
        <f t="shared" ca="1" si="431"/>
        <v>50.95</v>
      </c>
      <c r="L884">
        <f t="shared" ca="1" si="432"/>
        <v>2.1389677043987478</v>
      </c>
      <c r="M884">
        <f t="shared" ca="1" si="405"/>
        <v>11.122632062873489</v>
      </c>
      <c r="N884">
        <f t="shared" ca="1" si="406"/>
        <v>1.1735290000551568</v>
      </c>
      <c r="O884">
        <f t="shared" ca="1" si="407"/>
        <v>4.5807502857230418</v>
      </c>
      <c r="P884">
        <f t="shared" ca="1" si="408"/>
        <v>634.29096770439878</v>
      </c>
      <c r="Q884">
        <f t="shared" ca="1" si="409"/>
        <v>635.36045155659815</v>
      </c>
      <c r="R884">
        <f t="shared" ca="1" si="410"/>
        <v>3.8141460404132466E-3</v>
      </c>
      <c r="S884">
        <f t="shared" ca="1" si="411"/>
        <v>1.0000000000000004</v>
      </c>
      <c r="T884">
        <f t="shared" ca="1" si="412"/>
        <v>35.686426155594638</v>
      </c>
      <c r="U884">
        <f t="shared" ca="1" si="433"/>
        <v>-3.4157470064428708E-3</v>
      </c>
      <c r="V884">
        <f t="shared" ca="1" si="434"/>
        <v>1</v>
      </c>
      <c r="W884">
        <f t="shared" ca="1" si="413"/>
        <v>2.1389677043987478</v>
      </c>
      <c r="X884">
        <f t="shared" ca="1" si="414"/>
        <v>11.122632062873489</v>
      </c>
      <c r="Y884">
        <f t="shared" ca="1" si="415"/>
        <v>1.1735290000551568</v>
      </c>
      <c r="Z884">
        <f t="shared" ca="1" si="416"/>
        <v>4.5807502857230418</v>
      </c>
      <c r="AA884">
        <f t="shared" ca="1" si="417"/>
        <v>634.29096770439878</v>
      </c>
      <c r="AB884">
        <f t="shared" ca="1" si="418"/>
        <v>635.36045155659815</v>
      </c>
      <c r="AC884">
        <f t="shared" ca="1" si="419"/>
        <v>3.8141460404132466E-3</v>
      </c>
      <c r="AD884">
        <f t="shared" ca="1" si="420"/>
        <v>1.0000000000000004</v>
      </c>
      <c r="AE884">
        <f t="shared" ca="1" si="421"/>
        <v>35.686426155594638</v>
      </c>
      <c r="AF884">
        <f t="shared" ca="1" si="422"/>
        <v>3.3697696028411883E-3</v>
      </c>
      <c r="AG884">
        <f t="shared" ca="1" si="423"/>
        <v>1</v>
      </c>
      <c r="AH884">
        <f ca="1">IFERROR(IF(V32="Supercritical",MAX($D$16,IFERROR(L884,MAX($D$16,POWER((ABS(K884)^2)/($I$5*MAX(F884,0.1)^2),1/3)))),IF(V32="Subcritical",MAX($D$16,IFERROR(W884,MAX($D$16,POWER((ABS(K884)^2)/($I$5*MAX(F884,0.1)^2),1/3)))),IF(AND(IFERROR(V884,0)=1,IFERROR(AG884,0)=1),IF(IFERROR(T884,-1E+99)&gt;=IFERROR(AE884,-1E+99),MAX($D$16,IFERROR(L884,MAX($D$16,POWER((ABS(K884)^2)/($I$5*MAX(F884,0.1)^2),1/3)))),MAX($D$16,IFERROR(W884,MAX($D$16,POWER((ABS(K884)^2)/($I$5*MAX(F884,0.1)^2),1/3))))),IF(IFERROR(V884,0)=1,MAX($D$16,IFERROR(L884,MAX($D$16,POWER((ABS(K884)^2)/($I$5*MAX(F884,0.1)^2),1/3)))),IF(IFERROR(AG884,0)=1,MAX($D$16,IFERROR(W884,MAX($D$16,POWER((ABS(K884)^2)/($I$5*MAX(F884,0.1)^2),1/3)))),MAX($D$16,POWER((ABS(K884)^2)/($I$5*MAX(F884,0.1)^2),1/3))))))),MAX($D$16,POWER((ABS(K884)^2)/($I$5*MAX(F884,0.1)^2),1/3)))</f>
        <v>2.1389677043987478</v>
      </c>
      <c r="AI884">
        <f t="shared" ca="1" si="424"/>
        <v>634.29096770439878</v>
      </c>
      <c r="AJ884">
        <f t="shared" ca="1" si="425"/>
        <v>635.36045155659815</v>
      </c>
      <c r="AM884">
        <v>0</v>
      </c>
      <c r="AN884">
        <v>0</v>
      </c>
      <c r="AO884">
        <f t="shared" si="426"/>
        <v>0</v>
      </c>
      <c r="AP884">
        <f t="shared" si="435"/>
        <v>0</v>
      </c>
      <c r="AQ884">
        <f t="shared" ca="1" si="427"/>
        <v>1.0000000000000004</v>
      </c>
      <c r="AR884" t="str">
        <f t="shared" ca="1" si="428"/>
        <v>Supercritical</v>
      </c>
      <c r="AS884">
        <f t="shared" ca="1" si="429"/>
        <v>3.8141460404132466E-3</v>
      </c>
    </row>
    <row r="885" spans="1:45" x14ac:dyDescent="0.35">
      <c r="A885">
        <v>824</v>
      </c>
      <c r="B885">
        <v>822.995</v>
      </c>
      <c r="C885">
        <v>616088.77300000004</v>
      </c>
      <c r="D885">
        <v>3097183.8990000002</v>
      </c>
      <c r="E885">
        <v>632.15150000000006</v>
      </c>
      <c r="F885">
        <v>5.2</v>
      </c>
      <c r="G885">
        <v>0</v>
      </c>
      <c r="H885" t="s">
        <v>154</v>
      </c>
      <c r="I885">
        <v>2E-3</v>
      </c>
      <c r="J885">
        <f t="shared" si="430"/>
        <v>1</v>
      </c>
      <c r="K885">
        <f t="shared" ca="1" si="431"/>
        <v>50.95</v>
      </c>
      <c r="L885">
        <f t="shared" ca="1" si="432"/>
        <v>2.1389677043987478</v>
      </c>
      <c r="M885">
        <f t="shared" ca="1" si="405"/>
        <v>11.122632062873489</v>
      </c>
      <c r="N885">
        <f t="shared" ca="1" si="406"/>
        <v>1.1735290000551568</v>
      </c>
      <c r="O885">
        <f t="shared" ca="1" si="407"/>
        <v>4.5807502857230418</v>
      </c>
      <c r="P885">
        <f t="shared" ca="1" si="408"/>
        <v>634.29046770439879</v>
      </c>
      <c r="Q885">
        <f t="shared" ca="1" si="409"/>
        <v>635.35995155659816</v>
      </c>
      <c r="R885">
        <f t="shared" ca="1" si="410"/>
        <v>3.8141460404132466E-3</v>
      </c>
      <c r="S885">
        <f t="shared" ca="1" si="411"/>
        <v>1.0000000000000004</v>
      </c>
      <c r="T885">
        <f t="shared" ca="1" si="412"/>
        <v>35.686426155594638</v>
      </c>
      <c r="U885">
        <f t="shared" ca="1" si="433"/>
        <v>-3.3177109866073806E-3</v>
      </c>
      <c r="V885">
        <f t="shared" ca="1" si="434"/>
        <v>1</v>
      </c>
      <c r="W885">
        <f t="shared" ca="1" si="413"/>
        <v>2.1389677043987478</v>
      </c>
      <c r="X885">
        <f t="shared" ca="1" si="414"/>
        <v>11.122632062873489</v>
      </c>
      <c r="Y885">
        <f t="shared" ca="1" si="415"/>
        <v>1.1735290000551568</v>
      </c>
      <c r="Z885">
        <f t="shared" ca="1" si="416"/>
        <v>4.5807502857230418</v>
      </c>
      <c r="AA885">
        <f t="shared" ca="1" si="417"/>
        <v>634.29046770439879</v>
      </c>
      <c r="AB885">
        <f t="shared" ca="1" si="418"/>
        <v>635.35995155659816</v>
      </c>
      <c r="AC885">
        <f t="shared" ca="1" si="419"/>
        <v>3.8141460404132466E-3</v>
      </c>
      <c r="AD885">
        <f t="shared" ca="1" si="420"/>
        <v>1.0000000000000004</v>
      </c>
      <c r="AE885">
        <f t="shared" ca="1" si="421"/>
        <v>35.686426155594638</v>
      </c>
      <c r="AF885">
        <f t="shared" ca="1" si="422"/>
        <v>3.3750443833469035E-3</v>
      </c>
      <c r="AG885">
        <f t="shared" ca="1" si="423"/>
        <v>1</v>
      </c>
      <c r="AH885">
        <f ca="1">IFERROR(IF(V32="Supercritical",MAX($D$16,IFERROR(L885,MAX($D$16,POWER((ABS(K885)^2)/($I$5*MAX(F885,0.1)^2),1/3)))),IF(V32="Subcritical",MAX($D$16,IFERROR(W885,MAX($D$16,POWER((ABS(K885)^2)/($I$5*MAX(F885,0.1)^2),1/3)))),IF(AND(IFERROR(V885,0)=1,IFERROR(AG885,0)=1),IF(IFERROR(T885,-1E+99)&gt;=IFERROR(AE885,-1E+99),MAX($D$16,IFERROR(L885,MAX($D$16,POWER((ABS(K885)^2)/($I$5*MAX(F885,0.1)^2),1/3)))),MAX($D$16,IFERROR(W885,MAX($D$16,POWER((ABS(K885)^2)/($I$5*MAX(F885,0.1)^2),1/3))))),IF(IFERROR(V885,0)=1,MAX($D$16,IFERROR(L885,MAX($D$16,POWER((ABS(K885)^2)/($I$5*MAX(F885,0.1)^2),1/3)))),IF(IFERROR(AG885,0)=1,MAX($D$16,IFERROR(W885,MAX($D$16,POWER((ABS(K885)^2)/($I$5*MAX(F885,0.1)^2),1/3)))),MAX($D$16,POWER((ABS(K885)^2)/($I$5*MAX(F885,0.1)^2),1/3))))))),MAX($D$16,POWER((ABS(K885)^2)/($I$5*MAX(F885,0.1)^2),1/3)))</f>
        <v>2.1389677043987478</v>
      </c>
      <c r="AI885">
        <f t="shared" ca="1" si="424"/>
        <v>634.29046770439879</v>
      </c>
      <c r="AJ885">
        <f t="shared" ca="1" si="425"/>
        <v>635.35995155659816</v>
      </c>
      <c r="AM885">
        <v>0</v>
      </c>
      <c r="AN885">
        <v>0</v>
      </c>
      <c r="AO885">
        <f t="shared" si="426"/>
        <v>0</v>
      </c>
      <c r="AP885">
        <f t="shared" si="435"/>
        <v>0</v>
      </c>
      <c r="AQ885">
        <f t="shared" ca="1" si="427"/>
        <v>1.0000000000000004</v>
      </c>
      <c r="AR885" t="str">
        <f t="shared" ca="1" si="428"/>
        <v>Supercritical</v>
      </c>
      <c r="AS885">
        <f t="shared" ca="1" si="429"/>
        <v>3.8141460404132466E-3</v>
      </c>
    </row>
    <row r="886" spans="1:45" x14ac:dyDescent="0.35">
      <c r="A886">
        <v>825</v>
      </c>
      <c r="B886">
        <v>823.99599999999998</v>
      </c>
      <c r="C886">
        <v>616088.73100000003</v>
      </c>
      <c r="D886">
        <v>3097182.8990000002</v>
      </c>
      <c r="E886">
        <v>632.15099999999995</v>
      </c>
      <c r="F886">
        <v>5.2</v>
      </c>
      <c r="G886">
        <v>0</v>
      </c>
      <c r="H886" t="s">
        <v>154</v>
      </c>
      <c r="I886">
        <v>2E-3</v>
      </c>
      <c r="J886">
        <f t="shared" si="430"/>
        <v>1.0009999999999764</v>
      </c>
      <c r="K886">
        <f t="shared" ca="1" si="431"/>
        <v>50.95</v>
      </c>
      <c r="L886">
        <f t="shared" ca="1" si="432"/>
        <v>2.1389677043987478</v>
      </c>
      <c r="M886">
        <f t="shared" ca="1" si="405"/>
        <v>11.122632062873489</v>
      </c>
      <c r="N886">
        <f t="shared" ca="1" si="406"/>
        <v>1.1735290000551568</v>
      </c>
      <c r="O886">
        <f t="shared" ca="1" si="407"/>
        <v>4.5807502857230418</v>
      </c>
      <c r="P886">
        <f t="shared" ca="1" si="408"/>
        <v>634.28996770439869</v>
      </c>
      <c r="Q886">
        <f t="shared" ca="1" si="409"/>
        <v>635.35945155659806</v>
      </c>
      <c r="R886">
        <f t="shared" ca="1" si="410"/>
        <v>3.8141460404132466E-3</v>
      </c>
      <c r="S886">
        <f t="shared" ca="1" si="411"/>
        <v>1.0000000000000004</v>
      </c>
      <c r="T886">
        <f t="shared" ca="1" si="412"/>
        <v>35.686426155594638</v>
      </c>
      <c r="U886">
        <f t="shared" ca="1" si="433"/>
        <v>-3.3215251324918427E-3</v>
      </c>
      <c r="V886">
        <f t="shared" ca="1" si="434"/>
        <v>1</v>
      </c>
      <c r="W886">
        <f t="shared" ca="1" si="413"/>
        <v>2.1389677043987478</v>
      </c>
      <c r="X886">
        <f t="shared" ca="1" si="414"/>
        <v>11.122632062873489</v>
      </c>
      <c r="Y886">
        <f t="shared" ca="1" si="415"/>
        <v>1.1735290000551568</v>
      </c>
      <c r="Z886">
        <f t="shared" ca="1" si="416"/>
        <v>4.5807502857230418</v>
      </c>
      <c r="AA886">
        <f t="shared" ca="1" si="417"/>
        <v>634.28996770439869</v>
      </c>
      <c r="AB886">
        <f t="shared" ca="1" si="418"/>
        <v>635.35945155659806</v>
      </c>
      <c r="AC886">
        <f t="shared" ca="1" si="419"/>
        <v>3.8141460404132466E-3</v>
      </c>
      <c r="AD886">
        <f t="shared" ca="1" si="420"/>
        <v>1.0000000000000004</v>
      </c>
      <c r="AE886">
        <f t="shared" ca="1" si="421"/>
        <v>35.686426155594638</v>
      </c>
      <c r="AF886">
        <f t="shared" ca="1" si="422"/>
        <v>3.4692882958324844E-3</v>
      </c>
      <c r="AG886">
        <f t="shared" ca="1" si="423"/>
        <v>1</v>
      </c>
      <c r="AH886">
        <f ca="1">IFERROR(IF(V32="Supercritical",MAX($D$16,IFERROR(L886,MAX($D$16,POWER((ABS(K886)^2)/($I$5*MAX(F886,0.1)^2),1/3)))),IF(V32="Subcritical",MAX($D$16,IFERROR(W886,MAX($D$16,POWER((ABS(K886)^2)/($I$5*MAX(F886,0.1)^2),1/3)))),IF(AND(IFERROR(V886,0)=1,IFERROR(AG886,0)=1),IF(IFERROR(T886,-1E+99)&gt;=IFERROR(AE886,-1E+99),MAX($D$16,IFERROR(L886,MAX($D$16,POWER((ABS(K886)^2)/($I$5*MAX(F886,0.1)^2),1/3)))),MAX($D$16,IFERROR(W886,MAX($D$16,POWER((ABS(K886)^2)/($I$5*MAX(F886,0.1)^2),1/3))))),IF(IFERROR(V886,0)=1,MAX($D$16,IFERROR(L886,MAX($D$16,POWER((ABS(K886)^2)/($I$5*MAX(F886,0.1)^2),1/3)))),IF(IFERROR(AG886,0)=1,MAX($D$16,IFERROR(W886,MAX($D$16,POWER((ABS(K886)^2)/($I$5*MAX(F886,0.1)^2),1/3)))),MAX($D$16,POWER((ABS(K886)^2)/($I$5*MAX(F886,0.1)^2),1/3))))))),MAX($D$16,POWER((ABS(K886)^2)/($I$5*MAX(F886,0.1)^2),1/3)))</f>
        <v>2.1389677043987478</v>
      </c>
      <c r="AI886">
        <f t="shared" ca="1" si="424"/>
        <v>634.28996770439869</v>
      </c>
      <c r="AJ886">
        <f t="shared" ca="1" si="425"/>
        <v>635.35945155659806</v>
      </c>
      <c r="AM886">
        <v>0</v>
      </c>
      <c r="AN886">
        <v>0</v>
      </c>
      <c r="AO886">
        <f t="shared" si="426"/>
        <v>0</v>
      </c>
      <c r="AP886">
        <f t="shared" si="435"/>
        <v>0</v>
      </c>
      <c r="AQ886">
        <f t="shared" ca="1" si="427"/>
        <v>1.0000000000000004</v>
      </c>
      <c r="AR886" t="str">
        <f t="shared" ca="1" si="428"/>
        <v>Supercritical</v>
      </c>
      <c r="AS886">
        <f t="shared" ca="1" si="429"/>
        <v>3.8141460404132466E-3</v>
      </c>
    </row>
    <row r="887" spans="1:45" x14ac:dyDescent="0.35">
      <c r="A887">
        <v>826</v>
      </c>
      <c r="B887">
        <v>824.99599999999998</v>
      </c>
      <c r="C887">
        <v>616088.68900000001</v>
      </c>
      <c r="D887">
        <v>3097181.9</v>
      </c>
      <c r="E887">
        <v>632.15049999999997</v>
      </c>
      <c r="F887">
        <v>5.2</v>
      </c>
      <c r="G887">
        <v>0</v>
      </c>
      <c r="H887" t="s">
        <v>154</v>
      </c>
      <c r="I887">
        <v>5.7000000000000002E-2</v>
      </c>
      <c r="J887">
        <f t="shared" si="430"/>
        <v>1</v>
      </c>
      <c r="K887">
        <f t="shared" ca="1" si="431"/>
        <v>50.95</v>
      </c>
      <c r="L887">
        <f t="shared" ca="1" si="432"/>
        <v>2.1389677043987478</v>
      </c>
      <c r="M887">
        <f t="shared" ca="1" si="405"/>
        <v>11.122632062873489</v>
      </c>
      <c r="N887">
        <f t="shared" ca="1" si="406"/>
        <v>1.1735290000551568</v>
      </c>
      <c r="O887">
        <f t="shared" ca="1" si="407"/>
        <v>4.5807502857230418</v>
      </c>
      <c r="P887">
        <f t="shared" ca="1" si="408"/>
        <v>634.2894677043987</v>
      </c>
      <c r="Q887">
        <f t="shared" ca="1" si="409"/>
        <v>635.35895155659807</v>
      </c>
      <c r="R887">
        <f t="shared" ca="1" si="410"/>
        <v>3.8141460404132466E-3</v>
      </c>
      <c r="S887">
        <f t="shared" ca="1" si="411"/>
        <v>1.0000000000000004</v>
      </c>
      <c r="T887">
        <f t="shared" ca="1" si="412"/>
        <v>35.686426155594638</v>
      </c>
      <c r="U887">
        <f t="shared" ca="1" si="433"/>
        <v>-3.4157470064428708E-3</v>
      </c>
      <c r="V887">
        <f t="shared" ca="1" si="434"/>
        <v>1</v>
      </c>
      <c r="W887">
        <f t="shared" ca="1" si="413"/>
        <v>2.1389677043987478</v>
      </c>
      <c r="X887">
        <f t="shared" ca="1" si="414"/>
        <v>11.122632062873489</v>
      </c>
      <c r="Y887">
        <f t="shared" ca="1" si="415"/>
        <v>1.1735290000551568</v>
      </c>
      <c r="Z887">
        <f t="shared" ca="1" si="416"/>
        <v>4.5807502857230418</v>
      </c>
      <c r="AA887">
        <f t="shared" ca="1" si="417"/>
        <v>634.2894677043987</v>
      </c>
      <c r="AB887">
        <f t="shared" ca="1" si="418"/>
        <v>635.35895155659807</v>
      </c>
      <c r="AC887">
        <f t="shared" ca="1" si="419"/>
        <v>3.8141460404132466E-3</v>
      </c>
      <c r="AD887">
        <f t="shared" ca="1" si="420"/>
        <v>1.0000000000000004</v>
      </c>
      <c r="AE887">
        <f t="shared" ca="1" si="421"/>
        <v>35.686426155594638</v>
      </c>
      <c r="AF887">
        <f t="shared" ca="1" si="422"/>
        <v>3.4677132595106741E-3</v>
      </c>
      <c r="AG887">
        <f t="shared" ca="1" si="423"/>
        <v>1</v>
      </c>
      <c r="AH887">
        <f ca="1">IFERROR(IF(V32="Supercritical",MAX($D$16,IFERROR(L887,MAX($D$16,POWER((ABS(K887)^2)/($I$5*MAX(F887,0.1)^2),1/3)))),IF(V32="Subcritical",MAX($D$16,IFERROR(W887,MAX($D$16,POWER((ABS(K887)^2)/($I$5*MAX(F887,0.1)^2),1/3)))),IF(AND(IFERROR(V887,0)=1,IFERROR(AG887,0)=1),IF(IFERROR(T887,-1E+99)&gt;=IFERROR(AE887,-1E+99),MAX($D$16,IFERROR(L887,MAX($D$16,POWER((ABS(K887)^2)/($I$5*MAX(F887,0.1)^2),1/3)))),MAX($D$16,IFERROR(W887,MAX($D$16,POWER((ABS(K887)^2)/($I$5*MAX(F887,0.1)^2),1/3))))),IF(IFERROR(V887,0)=1,MAX($D$16,IFERROR(L887,MAX($D$16,POWER((ABS(K887)^2)/($I$5*MAX(F887,0.1)^2),1/3)))),IF(IFERROR(AG887,0)=1,MAX($D$16,IFERROR(W887,MAX($D$16,POWER((ABS(K887)^2)/($I$5*MAX(F887,0.1)^2),1/3)))),MAX($D$16,POWER((ABS(K887)^2)/($I$5*MAX(F887,0.1)^2),1/3))))))),MAX($D$16,POWER((ABS(K887)^2)/($I$5*MAX(F887,0.1)^2),1/3)))</f>
        <v>2.1389677043987478</v>
      </c>
      <c r="AI887">
        <f t="shared" ca="1" si="424"/>
        <v>634.2894677043987</v>
      </c>
      <c r="AJ887">
        <f t="shared" ca="1" si="425"/>
        <v>635.35895155659807</v>
      </c>
      <c r="AM887">
        <v>0</v>
      </c>
      <c r="AN887">
        <v>0</v>
      </c>
      <c r="AO887">
        <f t="shared" si="426"/>
        <v>0</v>
      </c>
      <c r="AP887">
        <f t="shared" si="435"/>
        <v>0</v>
      </c>
      <c r="AQ887">
        <f t="shared" ca="1" si="427"/>
        <v>1.0000000000000004</v>
      </c>
      <c r="AR887" t="str">
        <f t="shared" ca="1" si="428"/>
        <v>Supercritical</v>
      </c>
      <c r="AS887">
        <f t="shared" ca="1" si="429"/>
        <v>3.8141460404132466E-3</v>
      </c>
    </row>
    <row r="888" spans="1:45" x14ac:dyDescent="0.35">
      <c r="A888">
        <v>827</v>
      </c>
      <c r="B888">
        <v>825.99599999999998</v>
      </c>
      <c r="C888">
        <v>616088.64599999995</v>
      </c>
      <c r="D888">
        <v>3097180.9010000001</v>
      </c>
      <c r="E888">
        <v>632.15</v>
      </c>
      <c r="F888">
        <v>5.2</v>
      </c>
      <c r="G888">
        <v>0</v>
      </c>
      <c r="H888" t="s">
        <v>154</v>
      </c>
      <c r="I888">
        <v>5.7000000000000002E-2</v>
      </c>
      <c r="J888">
        <f t="shared" si="430"/>
        <v>1</v>
      </c>
      <c r="K888">
        <f t="shared" ca="1" si="431"/>
        <v>50.95</v>
      </c>
      <c r="L888">
        <f t="shared" ca="1" si="432"/>
        <v>2.1389677043987478</v>
      </c>
      <c r="M888">
        <f t="shared" ca="1" si="405"/>
        <v>11.122632062873489</v>
      </c>
      <c r="N888">
        <f t="shared" ca="1" si="406"/>
        <v>1.1735290000551568</v>
      </c>
      <c r="O888">
        <f t="shared" ca="1" si="407"/>
        <v>4.5807502857230418</v>
      </c>
      <c r="P888">
        <f t="shared" ca="1" si="408"/>
        <v>634.28896770439871</v>
      </c>
      <c r="Q888">
        <f t="shared" ca="1" si="409"/>
        <v>635.35845155659808</v>
      </c>
      <c r="R888">
        <f t="shared" ca="1" si="410"/>
        <v>3.8141460404132466E-3</v>
      </c>
      <c r="S888">
        <f t="shared" ca="1" si="411"/>
        <v>1.0000000000000004</v>
      </c>
      <c r="T888">
        <f t="shared" ca="1" si="412"/>
        <v>35.686426155594638</v>
      </c>
      <c r="U888">
        <f t="shared" ca="1" si="433"/>
        <v>-3.4157470064428708E-3</v>
      </c>
      <c r="V888">
        <f t="shared" ca="1" si="434"/>
        <v>1</v>
      </c>
      <c r="W888">
        <f t="shared" ca="1" si="413"/>
        <v>2.1389677043987478</v>
      </c>
      <c r="X888">
        <f t="shared" ca="1" si="414"/>
        <v>11.122632062873489</v>
      </c>
      <c r="Y888">
        <f t="shared" ca="1" si="415"/>
        <v>1.1735290000551568</v>
      </c>
      <c r="Z888">
        <f t="shared" ca="1" si="416"/>
        <v>4.5807502857230418</v>
      </c>
      <c r="AA888">
        <f t="shared" ca="1" si="417"/>
        <v>634.28896770439871</v>
      </c>
      <c r="AB888">
        <f t="shared" ca="1" si="418"/>
        <v>635.35845155659808</v>
      </c>
      <c r="AC888">
        <f t="shared" ca="1" si="419"/>
        <v>3.8141460404132466E-3</v>
      </c>
      <c r="AD888">
        <f t="shared" ca="1" si="420"/>
        <v>1.0000000000000004</v>
      </c>
      <c r="AE888">
        <f t="shared" ca="1" si="421"/>
        <v>35.686426155594638</v>
      </c>
      <c r="AF888">
        <f t="shared" ca="1" si="422"/>
        <v>3.366088659390698E-3</v>
      </c>
      <c r="AG888">
        <f t="shared" ca="1" si="423"/>
        <v>1</v>
      </c>
      <c r="AH888">
        <f ca="1">IFERROR(IF(V32="Supercritical",MAX($D$16,IFERROR(L888,MAX($D$16,POWER((ABS(K888)^2)/($I$5*MAX(F888,0.1)^2),1/3)))),IF(V32="Subcritical",MAX($D$16,IFERROR(W888,MAX($D$16,POWER((ABS(K888)^2)/($I$5*MAX(F888,0.1)^2),1/3)))),IF(AND(IFERROR(V888,0)=1,IFERROR(AG888,0)=1),IF(IFERROR(T888,-1E+99)&gt;=IFERROR(AE888,-1E+99),MAX($D$16,IFERROR(L888,MAX($D$16,POWER((ABS(K888)^2)/($I$5*MAX(F888,0.1)^2),1/3)))),MAX($D$16,IFERROR(W888,MAX($D$16,POWER((ABS(K888)^2)/($I$5*MAX(F888,0.1)^2),1/3))))),IF(IFERROR(V888,0)=1,MAX($D$16,IFERROR(L888,MAX($D$16,POWER((ABS(K888)^2)/($I$5*MAX(F888,0.1)^2),1/3)))),IF(IFERROR(AG888,0)=1,MAX($D$16,IFERROR(W888,MAX($D$16,POWER((ABS(K888)^2)/($I$5*MAX(F888,0.1)^2),1/3)))),MAX($D$16,POWER((ABS(K888)^2)/($I$5*MAX(F888,0.1)^2),1/3))))))),MAX($D$16,POWER((ABS(K888)^2)/($I$5*MAX(F888,0.1)^2),1/3)))</f>
        <v>2.1389677043987478</v>
      </c>
      <c r="AI888">
        <f t="shared" ca="1" si="424"/>
        <v>634.28896770439871</v>
      </c>
      <c r="AJ888">
        <f t="shared" ca="1" si="425"/>
        <v>635.35845155659808</v>
      </c>
      <c r="AM888">
        <v>0</v>
      </c>
      <c r="AN888">
        <v>0</v>
      </c>
      <c r="AO888">
        <f t="shared" si="426"/>
        <v>0</v>
      </c>
      <c r="AP888">
        <f t="shared" si="435"/>
        <v>0</v>
      </c>
      <c r="AQ888">
        <f t="shared" ca="1" si="427"/>
        <v>1.0000000000000004</v>
      </c>
      <c r="AR888" t="str">
        <f t="shared" ca="1" si="428"/>
        <v>Supercritical</v>
      </c>
      <c r="AS888">
        <f t="shared" ca="1" si="429"/>
        <v>3.8141460404132466E-3</v>
      </c>
    </row>
    <row r="889" spans="1:45" x14ac:dyDescent="0.35">
      <c r="A889">
        <v>828</v>
      </c>
      <c r="B889">
        <v>826.99599999999998</v>
      </c>
      <c r="C889">
        <v>616088.60400000005</v>
      </c>
      <c r="D889">
        <v>3097179.9019999998</v>
      </c>
      <c r="E889">
        <v>632.14949999999999</v>
      </c>
      <c r="F889">
        <v>5.2</v>
      </c>
      <c r="G889">
        <v>0</v>
      </c>
      <c r="H889" t="s">
        <v>154</v>
      </c>
      <c r="I889">
        <v>0</v>
      </c>
      <c r="J889">
        <f t="shared" si="430"/>
        <v>1</v>
      </c>
      <c r="K889">
        <f t="shared" ca="1" si="431"/>
        <v>50.95</v>
      </c>
      <c r="L889">
        <f t="shared" ca="1" si="432"/>
        <v>2.1389677043987478</v>
      </c>
      <c r="M889">
        <f t="shared" ca="1" si="405"/>
        <v>11.122632062873489</v>
      </c>
      <c r="N889">
        <f t="shared" ca="1" si="406"/>
        <v>1.1735290000551568</v>
      </c>
      <c r="O889">
        <f t="shared" ca="1" si="407"/>
        <v>4.5807502857230418</v>
      </c>
      <c r="P889">
        <f t="shared" ca="1" si="408"/>
        <v>634.28846770439873</v>
      </c>
      <c r="Q889">
        <f t="shared" ca="1" si="409"/>
        <v>635.3579515565981</v>
      </c>
      <c r="R889">
        <f t="shared" ca="1" si="410"/>
        <v>3.8141460404132466E-3</v>
      </c>
      <c r="S889">
        <f t="shared" ca="1" si="411"/>
        <v>1.0000000000000004</v>
      </c>
      <c r="T889">
        <f t="shared" ca="1" si="412"/>
        <v>35.686426155594638</v>
      </c>
      <c r="U889">
        <f t="shared" ca="1" si="433"/>
        <v>-3.3141460404522149E-3</v>
      </c>
      <c r="V889">
        <f t="shared" ca="1" si="434"/>
        <v>1</v>
      </c>
      <c r="W889">
        <f t="shared" ca="1" si="413"/>
        <v>2.1389677043987478</v>
      </c>
      <c r="X889">
        <f t="shared" ca="1" si="414"/>
        <v>11.122632062873489</v>
      </c>
      <c r="Y889">
        <f t="shared" ca="1" si="415"/>
        <v>1.1735290000551568</v>
      </c>
      <c r="Z889">
        <f t="shared" ca="1" si="416"/>
        <v>4.5807502857230418</v>
      </c>
      <c r="AA889">
        <f t="shared" ca="1" si="417"/>
        <v>634.28846770439873</v>
      </c>
      <c r="AB889">
        <f t="shared" ca="1" si="418"/>
        <v>635.3579515565981</v>
      </c>
      <c r="AC889">
        <f t="shared" ca="1" si="419"/>
        <v>3.8141460404132466E-3</v>
      </c>
      <c r="AD889">
        <f t="shared" ca="1" si="420"/>
        <v>1.0000000000000004</v>
      </c>
      <c r="AE889">
        <f t="shared" ca="1" si="421"/>
        <v>35.686426155594638</v>
      </c>
      <c r="AF889">
        <f t="shared" ca="1" si="422"/>
        <v>3.3676613724082927E-3</v>
      </c>
      <c r="AG889">
        <f t="shared" ca="1" si="423"/>
        <v>1</v>
      </c>
      <c r="AH889">
        <f ca="1">IFERROR(IF(V32="Supercritical",MAX($D$16,IFERROR(L889,MAX($D$16,POWER((ABS(K889)^2)/($I$5*MAX(F889,0.1)^2),1/3)))),IF(V32="Subcritical",MAX($D$16,IFERROR(W889,MAX($D$16,POWER((ABS(K889)^2)/($I$5*MAX(F889,0.1)^2),1/3)))),IF(AND(IFERROR(V889,0)=1,IFERROR(AG889,0)=1),IF(IFERROR(T889,-1E+99)&gt;=IFERROR(AE889,-1E+99),MAX($D$16,IFERROR(L889,MAX($D$16,POWER((ABS(K889)^2)/($I$5*MAX(F889,0.1)^2),1/3)))),MAX($D$16,IFERROR(W889,MAX($D$16,POWER((ABS(K889)^2)/($I$5*MAX(F889,0.1)^2),1/3))))),IF(IFERROR(V889,0)=1,MAX($D$16,IFERROR(L889,MAX($D$16,POWER((ABS(K889)^2)/($I$5*MAX(F889,0.1)^2),1/3)))),IF(IFERROR(AG889,0)=1,MAX($D$16,IFERROR(W889,MAX($D$16,POWER((ABS(K889)^2)/($I$5*MAX(F889,0.1)^2),1/3)))),MAX($D$16,POWER((ABS(K889)^2)/($I$5*MAX(F889,0.1)^2),1/3))))))),MAX($D$16,POWER((ABS(K889)^2)/($I$5*MAX(F889,0.1)^2),1/3)))</f>
        <v>2.1389677043987478</v>
      </c>
      <c r="AI889">
        <f t="shared" ca="1" si="424"/>
        <v>634.28846770439873</v>
      </c>
      <c r="AJ889">
        <f t="shared" ca="1" si="425"/>
        <v>635.3579515565981</v>
      </c>
      <c r="AM889">
        <v>0</v>
      </c>
      <c r="AN889">
        <v>0</v>
      </c>
      <c r="AO889">
        <f t="shared" si="426"/>
        <v>0</v>
      </c>
      <c r="AP889">
        <f t="shared" si="435"/>
        <v>0</v>
      </c>
      <c r="AQ889">
        <f t="shared" ca="1" si="427"/>
        <v>1.0000000000000004</v>
      </c>
      <c r="AR889" t="str">
        <f t="shared" ca="1" si="428"/>
        <v>Supercritical</v>
      </c>
      <c r="AS889">
        <f t="shared" ca="1" si="429"/>
        <v>3.8141460404132466E-3</v>
      </c>
    </row>
    <row r="890" spans="1:45" x14ac:dyDescent="0.35">
      <c r="A890">
        <v>829</v>
      </c>
      <c r="B890">
        <v>827.99599999999998</v>
      </c>
      <c r="C890">
        <v>616088.56200000003</v>
      </c>
      <c r="D890">
        <v>3097178.9029999999</v>
      </c>
      <c r="E890">
        <v>632.149</v>
      </c>
      <c r="F890">
        <v>5.2</v>
      </c>
      <c r="G890">
        <v>0</v>
      </c>
      <c r="H890" t="s">
        <v>154</v>
      </c>
      <c r="I890">
        <v>0</v>
      </c>
      <c r="J890">
        <f t="shared" si="430"/>
        <v>1</v>
      </c>
      <c r="K890">
        <f t="shared" ca="1" si="431"/>
        <v>50.95</v>
      </c>
      <c r="L890">
        <f t="shared" ca="1" si="432"/>
        <v>2.1389677043987478</v>
      </c>
      <c r="M890">
        <f t="shared" ca="1" si="405"/>
        <v>11.122632062873489</v>
      </c>
      <c r="N890">
        <f t="shared" ca="1" si="406"/>
        <v>1.1735290000551568</v>
      </c>
      <c r="O890">
        <f t="shared" ca="1" si="407"/>
        <v>4.5807502857230418</v>
      </c>
      <c r="P890">
        <f t="shared" ca="1" si="408"/>
        <v>634.28796770439874</v>
      </c>
      <c r="Q890">
        <f t="shared" ca="1" si="409"/>
        <v>635.35745155659811</v>
      </c>
      <c r="R890">
        <f t="shared" ca="1" si="410"/>
        <v>3.8141460404132466E-3</v>
      </c>
      <c r="S890">
        <f t="shared" ca="1" si="411"/>
        <v>1.0000000000000004</v>
      </c>
      <c r="T890">
        <f t="shared" ca="1" si="412"/>
        <v>35.686426155594638</v>
      </c>
      <c r="U890">
        <f t="shared" ca="1" si="433"/>
        <v>-3.3141460404522149E-3</v>
      </c>
      <c r="V890">
        <f t="shared" ca="1" si="434"/>
        <v>1</v>
      </c>
      <c r="W890">
        <f t="shared" ca="1" si="413"/>
        <v>2.1389677043987478</v>
      </c>
      <c r="X890">
        <f t="shared" ca="1" si="414"/>
        <v>11.122632062873489</v>
      </c>
      <c r="Y890">
        <f t="shared" ca="1" si="415"/>
        <v>1.1735290000551568</v>
      </c>
      <c r="Z890">
        <f t="shared" ca="1" si="416"/>
        <v>4.5807502857230418</v>
      </c>
      <c r="AA890">
        <f t="shared" ca="1" si="417"/>
        <v>634.28796770439874</v>
      </c>
      <c r="AB890">
        <f t="shared" ca="1" si="418"/>
        <v>635.35745155659811</v>
      </c>
      <c r="AC890">
        <f t="shared" ca="1" si="419"/>
        <v>3.8141460404132466E-3</v>
      </c>
      <c r="AD890">
        <f t="shared" ca="1" si="420"/>
        <v>1.0000000000000004</v>
      </c>
      <c r="AE890">
        <f t="shared" ca="1" si="421"/>
        <v>35.686426155594638</v>
      </c>
      <c r="AF890">
        <f t="shared" ca="1" si="422"/>
        <v>3.4692291562805622E-3</v>
      </c>
      <c r="AG890">
        <f t="shared" ca="1" si="423"/>
        <v>1</v>
      </c>
      <c r="AH890">
        <f ca="1">IFERROR(IF(V32="Supercritical",MAX($D$16,IFERROR(L890,MAX($D$16,POWER((ABS(K890)^2)/($I$5*MAX(F890,0.1)^2),1/3)))),IF(V32="Subcritical",MAX($D$16,IFERROR(W890,MAX($D$16,POWER((ABS(K890)^2)/($I$5*MAX(F890,0.1)^2),1/3)))),IF(AND(IFERROR(V890,0)=1,IFERROR(AG890,0)=1),IF(IFERROR(T890,-1E+99)&gt;=IFERROR(AE890,-1E+99),MAX($D$16,IFERROR(L890,MAX($D$16,POWER((ABS(K890)^2)/($I$5*MAX(F890,0.1)^2),1/3)))),MAX($D$16,IFERROR(W890,MAX($D$16,POWER((ABS(K890)^2)/($I$5*MAX(F890,0.1)^2),1/3))))),IF(IFERROR(V890,0)=1,MAX($D$16,IFERROR(L890,MAX($D$16,POWER((ABS(K890)^2)/($I$5*MAX(F890,0.1)^2),1/3)))),IF(IFERROR(AG890,0)=1,MAX($D$16,IFERROR(W890,MAX($D$16,POWER((ABS(K890)^2)/($I$5*MAX(F890,0.1)^2),1/3)))),MAX($D$16,POWER((ABS(K890)^2)/($I$5*MAX(F890,0.1)^2),1/3))))))),MAX($D$16,POWER((ABS(K890)^2)/($I$5*MAX(F890,0.1)^2),1/3)))</f>
        <v>2.1389677043987478</v>
      </c>
      <c r="AI890">
        <f t="shared" ca="1" si="424"/>
        <v>634.28796770439874</v>
      </c>
      <c r="AJ890">
        <f t="shared" ca="1" si="425"/>
        <v>635.35745155659811</v>
      </c>
      <c r="AM890">
        <v>0</v>
      </c>
      <c r="AN890">
        <v>0</v>
      </c>
      <c r="AO890">
        <f t="shared" si="426"/>
        <v>0</v>
      </c>
      <c r="AP890">
        <f t="shared" si="435"/>
        <v>0</v>
      </c>
      <c r="AQ890">
        <f t="shared" ca="1" si="427"/>
        <v>1.0000000000000004</v>
      </c>
      <c r="AR890" t="str">
        <f t="shared" ca="1" si="428"/>
        <v>Supercritical</v>
      </c>
      <c r="AS890">
        <f t="shared" ca="1" si="429"/>
        <v>3.8141460404132466E-3</v>
      </c>
    </row>
    <row r="891" spans="1:45" x14ac:dyDescent="0.35">
      <c r="A891">
        <v>830</v>
      </c>
      <c r="B891">
        <v>828.99599999999998</v>
      </c>
      <c r="C891">
        <v>616088.52</v>
      </c>
      <c r="D891">
        <v>3097177.9040000001</v>
      </c>
      <c r="E891">
        <v>632.14850000000001</v>
      </c>
      <c r="F891">
        <v>5.2</v>
      </c>
      <c r="G891">
        <v>0</v>
      </c>
      <c r="H891" t="s">
        <v>154</v>
      </c>
      <c r="I891">
        <v>5.7000000000000002E-2</v>
      </c>
      <c r="J891">
        <f t="shared" si="430"/>
        <v>1</v>
      </c>
      <c r="K891">
        <f t="shared" ca="1" si="431"/>
        <v>50.95</v>
      </c>
      <c r="L891">
        <f t="shared" ca="1" si="432"/>
        <v>2.1389677043987478</v>
      </c>
      <c r="M891">
        <f t="shared" ca="1" si="405"/>
        <v>11.122632062873489</v>
      </c>
      <c r="N891">
        <f t="shared" ca="1" si="406"/>
        <v>1.1735290000551568</v>
      </c>
      <c r="O891">
        <f t="shared" ca="1" si="407"/>
        <v>4.5807502857230418</v>
      </c>
      <c r="P891">
        <f t="shared" ca="1" si="408"/>
        <v>634.28746770439875</v>
      </c>
      <c r="Q891">
        <f t="shared" ca="1" si="409"/>
        <v>635.35695155659812</v>
      </c>
      <c r="R891">
        <f t="shared" ca="1" si="410"/>
        <v>3.8141460404132466E-3</v>
      </c>
      <c r="S891">
        <f t="shared" ca="1" si="411"/>
        <v>1.0000000000000004</v>
      </c>
      <c r="T891">
        <f t="shared" ca="1" si="412"/>
        <v>35.686426155594638</v>
      </c>
      <c r="U891">
        <f t="shared" ca="1" si="433"/>
        <v>-3.4157470064428708E-3</v>
      </c>
      <c r="V891">
        <f t="shared" ca="1" si="434"/>
        <v>1</v>
      </c>
      <c r="W891">
        <f t="shared" ca="1" si="413"/>
        <v>2.1389677043987478</v>
      </c>
      <c r="X891">
        <f t="shared" ca="1" si="414"/>
        <v>11.122632062873489</v>
      </c>
      <c r="Y891">
        <f t="shared" ca="1" si="415"/>
        <v>1.1735290000551568</v>
      </c>
      <c r="Z891">
        <f t="shared" ca="1" si="416"/>
        <v>4.5807502857230418</v>
      </c>
      <c r="AA891">
        <f t="shared" ca="1" si="417"/>
        <v>634.28746770439875</v>
      </c>
      <c r="AB891">
        <f t="shared" ca="1" si="418"/>
        <v>635.35695155659812</v>
      </c>
      <c r="AC891">
        <f t="shared" ca="1" si="419"/>
        <v>3.8141460404132466E-3</v>
      </c>
      <c r="AD891">
        <f t="shared" ca="1" si="420"/>
        <v>1.0000000000000004</v>
      </c>
      <c r="AE891">
        <f t="shared" ca="1" si="421"/>
        <v>35.686426155594638</v>
      </c>
      <c r="AF891">
        <f t="shared" ca="1" si="422"/>
        <v>3.4638978702332679E-3</v>
      </c>
      <c r="AG891">
        <f t="shared" ca="1" si="423"/>
        <v>1</v>
      </c>
      <c r="AH891">
        <f ca="1">IFERROR(IF(V32="Supercritical",MAX($D$16,IFERROR(L891,MAX($D$16,POWER((ABS(K891)^2)/($I$5*MAX(F891,0.1)^2),1/3)))),IF(V32="Subcritical",MAX($D$16,IFERROR(W891,MAX($D$16,POWER((ABS(K891)^2)/($I$5*MAX(F891,0.1)^2),1/3)))),IF(AND(IFERROR(V891,0)=1,IFERROR(AG891,0)=1),IF(IFERROR(T891,-1E+99)&gt;=IFERROR(AE891,-1E+99),MAX($D$16,IFERROR(L891,MAX($D$16,POWER((ABS(K891)^2)/($I$5*MAX(F891,0.1)^2),1/3)))),MAX($D$16,IFERROR(W891,MAX($D$16,POWER((ABS(K891)^2)/($I$5*MAX(F891,0.1)^2),1/3))))),IF(IFERROR(V891,0)=1,MAX($D$16,IFERROR(L891,MAX($D$16,POWER((ABS(K891)^2)/($I$5*MAX(F891,0.1)^2),1/3)))),IF(IFERROR(AG891,0)=1,MAX($D$16,IFERROR(W891,MAX($D$16,POWER((ABS(K891)^2)/($I$5*MAX(F891,0.1)^2),1/3)))),MAX($D$16,POWER((ABS(K891)^2)/($I$5*MAX(F891,0.1)^2),1/3))))))),MAX($D$16,POWER((ABS(K891)^2)/($I$5*MAX(F891,0.1)^2),1/3)))</f>
        <v>2.1389677043987478</v>
      </c>
      <c r="AI891">
        <f t="shared" ca="1" si="424"/>
        <v>634.28746770439875</v>
      </c>
      <c r="AJ891">
        <f t="shared" ca="1" si="425"/>
        <v>635.35695155659812</v>
      </c>
      <c r="AM891">
        <v>0</v>
      </c>
      <c r="AN891">
        <v>0</v>
      </c>
      <c r="AO891">
        <f t="shared" si="426"/>
        <v>0</v>
      </c>
      <c r="AP891">
        <f t="shared" si="435"/>
        <v>0</v>
      </c>
      <c r="AQ891">
        <f t="shared" ca="1" si="427"/>
        <v>1.0000000000000004</v>
      </c>
      <c r="AR891" t="str">
        <f t="shared" ca="1" si="428"/>
        <v>Supercritical</v>
      </c>
      <c r="AS891">
        <f t="shared" ca="1" si="429"/>
        <v>3.8141460404132466E-3</v>
      </c>
    </row>
    <row r="892" spans="1:45" x14ac:dyDescent="0.35">
      <c r="A892">
        <v>831</v>
      </c>
      <c r="B892">
        <v>829.995</v>
      </c>
      <c r="C892">
        <v>616088.47699999996</v>
      </c>
      <c r="D892">
        <v>3097176.9049999998</v>
      </c>
      <c r="E892">
        <v>632.14800000000002</v>
      </c>
      <c r="F892">
        <v>5.2</v>
      </c>
      <c r="G892">
        <v>0</v>
      </c>
      <c r="H892" t="s">
        <v>154</v>
      </c>
      <c r="I892">
        <v>5.7000000000000002E-2</v>
      </c>
      <c r="J892">
        <f t="shared" si="430"/>
        <v>0.99900000000002365</v>
      </c>
      <c r="K892">
        <f t="shared" ca="1" si="431"/>
        <v>50.95</v>
      </c>
      <c r="L892">
        <f t="shared" ca="1" si="432"/>
        <v>2.1389677043987478</v>
      </c>
      <c r="M892">
        <f t="shared" ca="1" si="405"/>
        <v>11.122632062873489</v>
      </c>
      <c r="N892">
        <f t="shared" ca="1" si="406"/>
        <v>1.1735290000551568</v>
      </c>
      <c r="O892">
        <f t="shared" ca="1" si="407"/>
        <v>4.5807502857230418</v>
      </c>
      <c r="P892">
        <f t="shared" ca="1" si="408"/>
        <v>634.28696770439876</v>
      </c>
      <c r="Q892">
        <f t="shared" ca="1" si="409"/>
        <v>635.35645155659813</v>
      </c>
      <c r="R892">
        <f t="shared" ca="1" si="410"/>
        <v>3.8141460404132466E-3</v>
      </c>
      <c r="S892">
        <f t="shared" ca="1" si="411"/>
        <v>1.0000000000000004</v>
      </c>
      <c r="T892">
        <f t="shared" ca="1" si="412"/>
        <v>35.686426155594638</v>
      </c>
      <c r="U892">
        <f t="shared" ca="1" si="433"/>
        <v>-3.411932860331035E-3</v>
      </c>
      <c r="V892">
        <f t="shared" ca="1" si="434"/>
        <v>1</v>
      </c>
      <c r="W892">
        <f t="shared" ca="1" si="413"/>
        <v>2.1389677043987478</v>
      </c>
      <c r="X892">
        <f t="shared" ca="1" si="414"/>
        <v>11.122632062873489</v>
      </c>
      <c r="Y892">
        <f t="shared" ca="1" si="415"/>
        <v>1.1735290000551568</v>
      </c>
      <c r="Z892">
        <f t="shared" ca="1" si="416"/>
        <v>4.5807502857230418</v>
      </c>
      <c r="AA892">
        <f t="shared" ca="1" si="417"/>
        <v>634.28696770439876</v>
      </c>
      <c r="AB892">
        <f t="shared" ca="1" si="418"/>
        <v>635.35645155659813</v>
      </c>
      <c r="AC892">
        <f t="shared" ca="1" si="419"/>
        <v>3.8141460404132466E-3</v>
      </c>
      <c r="AD892">
        <f t="shared" ca="1" si="420"/>
        <v>1.0000000000000004</v>
      </c>
      <c r="AE892">
        <f t="shared" ca="1" si="421"/>
        <v>35.686426155594638</v>
      </c>
      <c r="AF892">
        <f t="shared" ca="1" si="422"/>
        <v>3.3660878194723409E-3</v>
      </c>
      <c r="AG892">
        <f t="shared" ca="1" si="423"/>
        <v>1</v>
      </c>
      <c r="AH892">
        <f ca="1">IFERROR(IF(V32="Supercritical",MAX($D$16,IFERROR(L892,MAX($D$16,POWER((ABS(K892)^2)/($I$5*MAX(F892,0.1)^2),1/3)))),IF(V32="Subcritical",MAX($D$16,IFERROR(W892,MAX($D$16,POWER((ABS(K892)^2)/($I$5*MAX(F892,0.1)^2),1/3)))),IF(AND(IFERROR(V892,0)=1,IFERROR(AG892,0)=1),IF(IFERROR(T892,-1E+99)&gt;=IFERROR(AE892,-1E+99),MAX($D$16,IFERROR(L892,MAX($D$16,POWER((ABS(K892)^2)/($I$5*MAX(F892,0.1)^2),1/3)))),MAX($D$16,IFERROR(W892,MAX($D$16,POWER((ABS(K892)^2)/($I$5*MAX(F892,0.1)^2),1/3))))),IF(IFERROR(V892,0)=1,MAX($D$16,IFERROR(L892,MAX($D$16,POWER((ABS(K892)^2)/($I$5*MAX(F892,0.1)^2),1/3)))),IF(IFERROR(AG892,0)=1,MAX($D$16,IFERROR(W892,MAX($D$16,POWER((ABS(K892)^2)/($I$5*MAX(F892,0.1)^2),1/3)))),MAX($D$16,POWER((ABS(K892)^2)/($I$5*MAX(F892,0.1)^2),1/3))))))),MAX($D$16,POWER((ABS(K892)^2)/($I$5*MAX(F892,0.1)^2),1/3)))</f>
        <v>2.1389677043987478</v>
      </c>
      <c r="AI892">
        <f t="shared" ca="1" si="424"/>
        <v>634.28696770439876</v>
      </c>
      <c r="AJ892">
        <f t="shared" ca="1" si="425"/>
        <v>635.35645155659813</v>
      </c>
      <c r="AM892">
        <v>0</v>
      </c>
      <c r="AN892">
        <v>0</v>
      </c>
      <c r="AO892">
        <f t="shared" si="426"/>
        <v>0</v>
      </c>
      <c r="AP892">
        <f t="shared" si="435"/>
        <v>0</v>
      </c>
      <c r="AQ892">
        <f t="shared" ca="1" si="427"/>
        <v>1.0000000000000004</v>
      </c>
      <c r="AR892" t="str">
        <f t="shared" ca="1" si="428"/>
        <v>Supercritical</v>
      </c>
      <c r="AS892">
        <f t="shared" ca="1" si="429"/>
        <v>3.8141460404132466E-3</v>
      </c>
    </row>
    <row r="893" spans="1:45" x14ac:dyDescent="0.35">
      <c r="A893">
        <v>832</v>
      </c>
      <c r="B893">
        <v>830.995</v>
      </c>
      <c r="C893">
        <v>616088.43500000006</v>
      </c>
      <c r="D893">
        <v>3097175.906</v>
      </c>
      <c r="E893">
        <v>632.14750000000004</v>
      </c>
      <c r="F893">
        <v>5.2</v>
      </c>
      <c r="G893">
        <v>0</v>
      </c>
      <c r="H893" t="s">
        <v>154</v>
      </c>
      <c r="I893">
        <v>0</v>
      </c>
      <c r="J893">
        <f t="shared" si="430"/>
        <v>1</v>
      </c>
      <c r="K893">
        <f t="shared" ca="1" si="431"/>
        <v>50.95</v>
      </c>
      <c r="L893">
        <f t="shared" ca="1" si="432"/>
        <v>2.1389677043987478</v>
      </c>
      <c r="M893">
        <f t="shared" ca="1" si="405"/>
        <v>11.122632062873489</v>
      </c>
      <c r="N893">
        <f t="shared" ca="1" si="406"/>
        <v>1.1735290000551568</v>
      </c>
      <c r="O893">
        <f t="shared" ca="1" si="407"/>
        <v>4.5807502857230418</v>
      </c>
      <c r="P893">
        <f t="shared" ca="1" si="408"/>
        <v>634.28646770439877</v>
      </c>
      <c r="Q893">
        <f t="shared" ca="1" si="409"/>
        <v>635.35595155659814</v>
      </c>
      <c r="R893">
        <f t="shared" ca="1" si="410"/>
        <v>3.8141460404132466E-3</v>
      </c>
      <c r="S893">
        <f t="shared" ca="1" si="411"/>
        <v>1.0000000000000004</v>
      </c>
      <c r="T893">
        <f t="shared" ca="1" si="412"/>
        <v>35.686426155594638</v>
      </c>
      <c r="U893">
        <f t="shared" ca="1" si="433"/>
        <v>-3.3141460404522149E-3</v>
      </c>
      <c r="V893">
        <f t="shared" ca="1" si="434"/>
        <v>1</v>
      </c>
      <c r="W893">
        <f t="shared" ca="1" si="413"/>
        <v>2.1389677043987478</v>
      </c>
      <c r="X893">
        <f t="shared" ca="1" si="414"/>
        <v>11.122632062873489</v>
      </c>
      <c r="Y893">
        <f t="shared" ca="1" si="415"/>
        <v>1.1735290000551568</v>
      </c>
      <c r="Z893">
        <f t="shared" ca="1" si="416"/>
        <v>4.5807502857230418</v>
      </c>
      <c r="AA893">
        <f t="shared" ca="1" si="417"/>
        <v>634.28646770439877</v>
      </c>
      <c r="AB893">
        <f t="shared" ca="1" si="418"/>
        <v>635.35595155659814</v>
      </c>
      <c r="AC893">
        <f t="shared" ca="1" si="419"/>
        <v>3.8141460404132466E-3</v>
      </c>
      <c r="AD893">
        <f t="shared" ca="1" si="420"/>
        <v>1.0000000000000004</v>
      </c>
      <c r="AE893">
        <f t="shared" ca="1" si="421"/>
        <v>35.686426155594638</v>
      </c>
      <c r="AF893">
        <f t="shared" ca="1" si="422"/>
        <v>3.3676071197987767E-3</v>
      </c>
      <c r="AG893">
        <f t="shared" ca="1" si="423"/>
        <v>1</v>
      </c>
      <c r="AH893">
        <f ca="1">IFERROR(IF(V32="Supercritical",MAX($D$16,IFERROR(L893,MAX($D$16,POWER((ABS(K893)^2)/($I$5*MAX(F893,0.1)^2),1/3)))),IF(V32="Subcritical",MAX($D$16,IFERROR(W893,MAX($D$16,POWER((ABS(K893)^2)/($I$5*MAX(F893,0.1)^2),1/3)))),IF(AND(IFERROR(V893,0)=1,IFERROR(AG893,0)=1),IF(IFERROR(T893,-1E+99)&gt;=IFERROR(AE893,-1E+99),MAX($D$16,IFERROR(L893,MAX($D$16,POWER((ABS(K893)^2)/($I$5*MAX(F893,0.1)^2),1/3)))),MAX($D$16,IFERROR(W893,MAX($D$16,POWER((ABS(K893)^2)/($I$5*MAX(F893,0.1)^2),1/3))))),IF(IFERROR(V893,0)=1,MAX($D$16,IFERROR(L893,MAX($D$16,POWER((ABS(K893)^2)/($I$5*MAX(F893,0.1)^2),1/3)))),IF(IFERROR(AG893,0)=1,MAX($D$16,IFERROR(W893,MAX($D$16,POWER((ABS(K893)^2)/($I$5*MAX(F893,0.1)^2),1/3)))),MAX($D$16,POWER((ABS(K893)^2)/($I$5*MAX(F893,0.1)^2),1/3))))))),MAX($D$16,POWER((ABS(K893)^2)/($I$5*MAX(F893,0.1)^2),1/3)))</f>
        <v>2.1389677043987478</v>
      </c>
      <c r="AI893">
        <f t="shared" ca="1" si="424"/>
        <v>634.28646770439877</v>
      </c>
      <c r="AJ893">
        <f t="shared" ca="1" si="425"/>
        <v>635.35595155659814</v>
      </c>
      <c r="AM893">
        <v>0</v>
      </c>
      <c r="AN893">
        <v>0</v>
      </c>
      <c r="AO893">
        <f t="shared" si="426"/>
        <v>0</v>
      </c>
      <c r="AP893">
        <f t="shared" si="435"/>
        <v>0</v>
      </c>
      <c r="AQ893">
        <f t="shared" ca="1" si="427"/>
        <v>1.0000000000000004</v>
      </c>
      <c r="AR893" t="str">
        <f t="shared" ca="1" si="428"/>
        <v>Supercritical</v>
      </c>
      <c r="AS893">
        <f t="shared" ca="1" si="429"/>
        <v>3.8141460404132466E-3</v>
      </c>
    </row>
    <row r="894" spans="1:45" x14ac:dyDescent="0.35">
      <c r="A894">
        <v>833</v>
      </c>
      <c r="B894">
        <v>831.995</v>
      </c>
      <c r="C894">
        <v>616088.39300000004</v>
      </c>
      <c r="D894">
        <v>3097174.9070000001</v>
      </c>
      <c r="E894">
        <v>632.14700000000005</v>
      </c>
      <c r="F894">
        <v>5.2</v>
      </c>
      <c r="G894">
        <v>0</v>
      </c>
      <c r="H894" t="s">
        <v>154</v>
      </c>
      <c r="I894">
        <v>0</v>
      </c>
      <c r="J894">
        <f t="shared" si="430"/>
        <v>1</v>
      </c>
      <c r="K894">
        <f t="shared" ca="1" si="431"/>
        <v>50.95</v>
      </c>
      <c r="L894">
        <f t="shared" ca="1" si="432"/>
        <v>2.1389677043987478</v>
      </c>
      <c r="M894">
        <f t="shared" ref="M894:M957" ca="1" si="436">((F894)+(G894)*(L894))*(L894)</f>
        <v>11.122632062873489</v>
      </c>
      <c r="N894">
        <f t="shared" ref="N894:N957" ca="1" si="437">(((F894)+(G894)*(L894))*(L894))/MAX((F894)+2*(L894)*SQRT(1+(G894)^2),0.000001)</f>
        <v>1.1735290000551568</v>
      </c>
      <c r="O894">
        <f t="shared" ref="O894:O957" ca="1" si="438">ABS(K894)/MAX(((F894)+(G894)*(L894))*(L894),0.000001)</f>
        <v>4.5807502857230418</v>
      </c>
      <c r="P894">
        <f t="shared" ref="P894:P957" ca="1" si="439">E894+L894</f>
        <v>634.28596770439879</v>
      </c>
      <c r="Q894">
        <f t="shared" ref="Q894:Q957" ca="1" si="440">P894+((ABS(K894)/MAX(((F894)+(G894)*(L894))*(L894),0.000001))^2)/(2*$I$5)</f>
        <v>635.35545155659815</v>
      </c>
      <c r="R894">
        <f t="shared" ref="R894:R957" ca="1" si="441">((ABS(K894)*$D$6)/(MAX(((F894)+(G894)*(L894))*(L894),0.000001)*MAX(((((F894)+(G894)*(L894))*(L894))/MAX((F894)+2*(L894)*SQRT(1+(G894)^2),0.000001))^(2/3),0.000001)))^2</f>
        <v>3.8141460404132466E-3</v>
      </c>
      <c r="S894">
        <f t="shared" ref="S894:S957" ca="1" si="442">ABS(ABS(K894)/MAX(((F894)+(G894)*(L894))*(L894),0.000001))/SQRT($I$5*MAX((((F894)+(G894)*(L894))*(L894))/MAX((F894)+2*(G894)*(L894),0.000001),0.000001))</f>
        <v>1.0000000000000004</v>
      </c>
      <c r="T894">
        <f t="shared" ref="T894:T957" ca="1" si="443">((F894)*(L894)^2)/2+(G894)*(L894)^3/3+(ABS(K894)^2)/($I$5*MAX(((F894)+(G894)*(L894))*(L894),0.000001))</f>
        <v>35.686426155594638</v>
      </c>
      <c r="U894">
        <f t="shared" ca="1" si="433"/>
        <v>-3.3141460404522149E-3</v>
      </c>
      <c r="V894">
        <f t="shared" ca="1" si="434"/>
        <v>1</v>
      </c>
      <c r="W894">
        <f t="shared" ref="W894:W957" ca="1" si="444">IF($D$20=0,IFERROR(W895,MAX($D$16,POWER((ABS(K894)^2)/($I$5*MAX(F894,0.1)^2),1/3))),IF(IFERROR(AG895,0)=0,IFERROR(W895,MAX($D$16,POWER((ABS(K894)^2)/($I$5*MAX(F894,0.1)^2),1/3))),IF(OR(IFERROR(W894,0)=0,IFERROR(AD895,0)&gt;1),MAX($D$16,POWER((ABS(K894)^2)/($I$5*MAX(F894,0.1)^2),1/3)),IF(IFERROR(AF894,0)&gt;0,MAX($D$16,IFERROR(W894,0)+((IFERROR(AF894,0))*$D$18*IF((IFERROR(AD894,0))&lt;1,1,-1))),IF(IFERROR(AF894,0)&lt;0,IF(ABS((MAX($D$16,POWER((ABS(K894)^2)/($I$5*MAX(F894,0.1)^2),1/3)))-IFERROR(W894,0))&gt;$D$19,MAX($D$16,IF((MAX($D$16,POWER((ABS(K894)^2)/($I$5*MAX(F894,0.1)^2),1/3)))&gt;IFERROR(W894,0),MIN((MAX($D$16,POWER((ABS(K894)^2)/($I$5*MAX(F894,0.1)^2),1/3))),IFERROR(W894,0)+(MIN(ABS(IFERROR(AF894,0))*$D$18,ABS((MAX($D$16,POWER((ABS(K894)^2)/($I$5*MAX(F894,0.1)^2),1/3)))-IFERROR(W894,0))))),MAX((MAX($D$16,POWER((ABS(K894)^2)/($I$5*MAX(F894,0.1)^2),1/3))),IFERROR(W894,0)-(MIN(ABS(IFERROR(AF894,0))*$D$18,ABS((MAX($D$16,POWER((ABS(K894)^2)/($I$5*MAX(F894,0.1)^2),1/3)))-IFERROR(W894,0))))))),MAX($D$16,POWER((ABS(K894)^2)/($I$5*MAX(F894,0.1)^2),1/3))),MAX($D$16,IFERROR(W894,0)))))))</f>
        <v>2.1389677043987478</v>
      </c>
      <c r="X894">
        <f t="shared" ref="X894:X957" ca="1" si="445">((F894)+(G894)*(W894))*(W894)</f>
        <v>11.122632062873489</v>
      </c>
      <c r="Y894">
        <f t="shared" ref="Y894:Y957" ca="1" si="446">(((F894)+(G894)*(W894))*(W894))/MAX((F894)+2*(W894)*SQRT(1+(G894)^2),0.000001)</f>
        <v>1.1735290000551568</v>
      </c>
      <c r="Z894">
        <f t="shared" ref="Z894:Z957" ca="1" si="447">ABS(K894)/MAX(((F894)+(G894)*(W894))*(W894),0.000001)</f>
        <v>4.5807502857230418</v>
      </c>
      <c r="AA894">
        <f t="shared" ref="AA894:AA957" ca="1" si="448">E894+W894</f>
        <v>634.28596770439879</v>
      </c>
      <c r="AB894">
        <f t="shared" ref="AB894:AB957" ca="1" si="449">AA894+((ABS(K894)/MAX(((F894)+(G894)*(W894))*(W894),0.000001))^2)/(2*$I$5)</f>
        <v>635.35545155659815</v>
      </c>
      <c r="AC894">
        <f t="shared" ref="AC894:AC957" ca="1" si="450">((ABS(K894)*$D$6)/(MAX(((F894)+(G894)*(W894))*(W894),0.000001)*MAX(((((F894)+(G894)*(W894))*(W894))/MAX((F894)+2*(W894)*SQRT(1+(G894)^2),0.000001))^(2/3),0.000001)))^2</f>
        <v>3.8141460404132466E-3</v>
      </c>
      <c r="AD894">
        <f t="shared" ref="AD894:AD957" ca="1" si="451">ABS(ABS(K894)/MAX(((F894)+(G894)*(W894))*(W894),0.000001))/SQRT($I$5*MAX((((F894)+(G894)*(W894))*(W894))/MAX((F894)+2*(G894)*(W894),0.000001),0.000001))</f>
        <v>1.0000000000000004</v>
      </c>
      <c r="AE894">
        <f t="shared" ref="AE894:AE957" ca="1" si="452">((F894)*(W894)^2)/2+(G894)*(W894)^3/3+(ABS(K894)^2)/($I$5*MAX(((F894)+(G894)*(W894))*(W894),0.000001))</f>
        <v>35.686426155594638</v>
      </c>
      <c r="AF894">
        <f t="shared" ref="AF894:AF957" ca="1" si="453">IF($D$20=0,0,IFERROR(AB895+(((AC894+AC895)/2)*J895)+(IF(Z894&gt;Z895,$D$8*((Z894^2-Z895^2)/(2*$I$5)),$D$9*((Z895^2-Z894^2)/(2*$I$5)))+($D$10*(ABS(I895)/90)*(MAX(Z894^2,Z895^2)/(2*$I$5))))-AB894,0))</f>
        <v>3.4657258487413856E-3</v>
      </c>
      <c r="AG894">
        <f t="shared" ref="AG894:AG957" ca="1" si="454">IF($D$20=0,1,IFERROR(IF(ROUND(AD894,3)=1,1,IF(AND(ABS(AF894)&lt;$D$19,AD894&lt;1),1,0)),0))</f>
        <v>1</v>
      </c>
      <c r="AH894">
        <f ca="1">IFERROR(IF(V32="Supercritical",MAX($D$16,IFERROR(L894,MAX($D$16,POWER((ABS(K894)^2)/($I$5*MAX(F894,0.1)^2),1/3)))),IF(V32="Subcritical",MAX($D$16,IFERROR(W894,MAX($D$16,POWER((ABS(K894)^2)/($I$5*MAX(F894,0.1)^2),1/3)))),IF(AND(IFERROR(V894,0)=1,IFERROR(AG894,0)=1),IF(IFERROR(T894,-1E+99)&gt;=IFERROR(AE894,-1E+99),MAX($D$16,IFERROR(L894,MAX($D$16,POWER((ABS(K894)^2)/($I$5*MAX(F894,0.1)^2),1/3)))),MAX($D$16,IFERROR(W894,MAX($D$16,POWER((ABS(K894)^2)/($I$5*MAX(F894,0.1)^2),1/3))))),IF(IFERROR(V894,0)=1,MAX($D$16,IFERROR(L894,MAX($D$16,POWER((ABS(K894)^2)/($I$5*MAX(F894,0.1)^2),1/3)))),IF(IFERROR(AG894,0)=1,MAX($D$16,IFERROR(W894,MAX($D$16,POWER((ABS(K894)^2)/($I$5*MAX(F894,0.1)^2),1/3)))),MAX($D$16,POWER((ABS(K894)^2)/($I$5*MAX(F894,0.1)^2),1/3))))))),MAX($D$16,POWER((ABS(K894)^2)/($I$5*MAX(F894,0.1)^2),1/3)))</f>
        <v>2.1389677043987478</v>
      </c>
      <c r="AI894">
        <f t="shared" ref="AI894:AI957" ca="1" si="455">E894+AH894</f>
        <v>634.28596770439879</v>
      </c>
      <c r="AJ894">
        <f t="shared" ref="AJ894:AJ957" ca="1" si="456">AI894+((ABS(K894)/MAX(((F894)+(G894)*(AH894))*(AH894),0.000001))^2)/(2*$I$5)</f>
        <v>635.35545155659815</v>
      </c>
      <c r="AM894">
        <v>0</v>
      </c>
      <c r="AN894">
        <v>0</v>
      </c>
      <c r="AO894">
        <f t="shared" ref="AO894:AO957" si="457">AM894+AN894</f>
        <v>0</v>
      </c>
      <c r="AP894">
        <f t="shared" si="435"/>
        <v>0</v>
      </c>
      <c r="AQ894">
        <f t="shared" ref="AQ894:AQ957" ca="1" si="458">ABS(ABS(K894)/MAX(((F894)+(G894)*(AH894))*(AH894),0.000001))/SQRT($I$5*MAX((((F894)+(G894)*(AH894))*(AH894))/MAX((F894)+2*(G894)*(AH894),0.000001),0.000001))</f>
        <v>1.0000000000000004</v>
      </c>
      <c r="AR894" t="str">
        <f t="shared" ref="AR894:AR957" ca="1" si="459">IF(AQ894&lt;1,"Subcritical","Supercritical")</f>
        <v>Supercritical</v>
      </c>
      <c r="AS894">
        <f t="shared" ref="AS894:AS957" ca="1" si="460">((ABS(K894)*$D$6)/(MAX(((F894)+(G894)*(AH894))*(AH894),0.000001)*MAX(((((F894)+(G894)*(AH894))*(AH894))/MAX((F894)+2*(AH894)*SQRT(1+(G894)^2),0.000001))^(2/3),0.000001)))^2</f>
        <v>3.8141460404132466E-3</v>
      </c>
    </row>
    <row r="895" spans="1:45" x14ac:dyDescent="0.35">
      <c r="A895">
        <v>834</v>
      </c>
      <c r="B895">
        <v>832.995</v>
      </c>
      <c r="C895">
        <v>616088.35100000002</v>
      </c>
      <c r="D895">
        <v>3097173.9079999998</v>
      </c>
      <c r="E895">
        <v>632.14649999999995</v>
      </c>
      <c r="F895">
        <v>5.2</v>
      </c>
      <c r="G895">
        <v>0</v>
      </c>
      <c r="H895" t="s">
        <v>154</v>
      </c>
      <c r="I895">
        <v>5.5E-2</v>
      </c>
      <c r="J895">
        <f t="shared" ref="J895:J958" si="461">B895-B894</f>
        <v>1</v>
      </c>
      <c r="K895">
        <f t="shared" ref="K895:K958" ca="1" si="462">MAX(0,K894-AO894)</f>
        <v>50.95</v>
      </c>
      <c r="L895">
        <f t="shared" ref="L895:L958" ca="1" si="463">IF($D$20=0,IFERROR(L894,MAX($D$16,POWER((ABS(K895)^2)/($I$5*MAX(F895,0.1)^2),1/3))),IF(IFERROR(V894,0)=0,IFERROR(L894,MAX($D$16,POWER((ABS(K895)^2)/($I$5*MAX(F895,0.1)^2),1/3))),IF(OR(IFERROR(L895,0)=0,IFERROR(S894,0)&lt;1,IFERROR(S895,0)&lt;1),MAX($D$16,POWER((ABS(K895)^2)/($I$5*MAX(F895,0.1)^2),1/3)),IF(IFERROR(U895,0)&gt;0,MAX($D$16,IFERROR(L895,0)+((IFERROR(U895,0))*$D$18*IF((IFERROR(S895,0))&lt;1,1,-1))),IF(IFERROR(U895,0)&lt;0,IF(ABS((MAX($D$16,POWER((ABS(K895)^2)/($I$5*MAX(F895,0.1)^2),1/3)))-IFERROR(L895,0))&gt;$D$19,MAX($D$16,IF((MAX($D$16,POWER((ABS(K895)^2)/($I$5*MAX(F895,0.1)^2),1/3)))&gt;IFERROR(L895,0),MIN((MAX($D$16,POWER((ABS(K895)^2)/($I$5*MAX(F895,0.1)^2),1/3))),IFERROR(L895,0)+(MIN(ABS(IFERROR(U895,0))*$D$18,ABS((MAX($D$16,POWER((ABS(K895)^2)/($I$5*MAX(F895,0.1)^2),1/3)))-IFERROR(L895,0))))),MAX((MAX($D$16,POWER((ABS(K895)^2)/($I$5*MAX(F895,0.1)^2),1/3))),IFERROR(L895,0)-(MIN(ABS(IFERROR(U895,0))*$D$18,ABS((MAX($D$16,POWER((ABS(K895)^2)/($I$5*MAX(F895,0.1)^2),1/3)))-IFERROR(L895,0))))))),MAX($D$16,POWER((ABS(K895)^2)/($I$5*MAX(F895,0.1)^2),1/3))),MAX($D$16,IFERROR(L895,0)))))))</f>
        <v>2.1389677043987478</v>
      </c>
      <c r="M895">
        <f t="shared" ca="1" si="436"/>
        <v>11.122632062873489</v>
      </c>
      <c r="N895">
        <f t="shared" ca="1" si="437"/>
        <v>1.1735290000551568</v>
      </c>
      <c r="O895">
        <f t="shared" ca="1" si="438"/>
        <v>4.5807502857230418</v>
      </c>
      <c r="P895">
        <f t="shared" ca="1" si="439"/>
        <v>634.28546770439868</v>
      </c>
      <c r="Q895">
        <f t="shared" ca="1" si="440"/>
        <v>635.35495155659805</v>
      </c>
      <c r="R895">
        <f t="shared" ca="1" si="441"/>
        <v>3.8141460404132466E-3</v>
      </c>
      <c r="S895">
        <f t="shared" ca="1" si="442"/>
        <v>1.0000000000000004</v>
      </c>
      <c r="T895">
        <f t="shared" ca="1" si="443"/>
        <v>35.686426155594638</v>
      </c>
      <c r="U895">
        <f t="shared" ref="U895:U958" ca="1" si="464">IF($D$20=0,0,IFERROR(Q894-(((R894+R895)/2)*J895)-(IF(O894&gt;O895,$D$8*((O894^2-O895^2)/(2*$I$5)),$D$9*((O895^2-O894^2)/(2*$I$5)))+($D$10*(ABS(I895)/90)*(MAX(O894^2,O895^2)/(2*$I$5))))-Q895,0))</f>
        <v>-3.4121820601740183E-3</v>
      </c>
      <c r="V895">
        <f t="shared" ref="V895:V958" ca="1" si="465">IF($D$20=0,1,IFERROR(IF(ROUND(S895,3)=1,1,IF(AND(ABS(U895)&lt;$D$19,S895&gt;1),1,0)),0))</f>
        <v>1</v>
      </c>
      <c r="W895">
        <f t="shared" ca="1" si="444"/>
        <v>2.1389677043987478</v>
      </c>
      <c r="X895">
        <f t="shared" ca="1" si="445"/>
        <v>11.122632062873489</v>
      </c>
      <c r="Y895">
        <f t="shared" ca="1" si="446"/>
        <v>1.1735290000551568</v>
      </c>
      <c r="Z895">
        <f t="shared" ca="1" si="447"/>
        <v>4.5807502857230418</v>
      </c>
      <c r="AA895">
        <f t="shared" ca="1" si="448"/>
        <v>634.28546770439868</v>
      </c>
      <c r="AB895">
        <f t="shared" ca="1" si="449"/>
        <v>635.35495155659805</v>
      </c>
      <c r="AC895">
        <f t="shared" ca="1" si="450"/>
        <v>3.8141460404132466E-3</v>
      </c>
      <c r="AD895">
        <f t="shared" ca="1" si="451"/>
        <v>1.0000000000000004</v>
      </c>
      <c r="AE895">
        <f t="shared" ca="1" si="452"/>
        <v>35.686426155594638</v>
      </c>
      <c r="AF895">
        <f t="shared" ca="1" si="453"/>
        <v>3.4679863919109266E-3</v>
      </c>
      <c r="AG895">
        <f t="shared" ca="1" si="454"/>
        <v>1</v>
      </c>
      <c r="AH895">
        <f ca="1">IFERROR(IF(V32="Supercritical",MAX($D$16,IFERROR(L895,MAX($D$16,POWER((ABS(K895)^2)/($I$5*MAX(F895,0.1)^2),1/3)))),IF(V32="Subcritical",MAX($D$16,IFERROR(W895,MAX($D$16,POWER((ABS(K895)^2)/($I$5*MAX(F895,0.1)^2),1/3)))),IF(AND(IFERROR(V895,0)=1,IFERROR(AG895,0)=1),IF(IFERROR(T895,-1E+99)&gt;=IFERROR(AE895,-1E+99),MAX($D$16,IFERROR(L895,MAX($D$16,POWER((ABS(K895)^2)/($I$5*MAX(F895,0.1)^2),1/3)))),MAX($D$16,IFERROR(W895,MAX($D$16,POWER((ABS(K895)^2)/($I$5*MAX(F895,0.1)^2),1/3))))),IF(IFERROR(V895,0)=1,MAX($D$16,IFERROR(L895,MAX($D$16,POWER((ABS(K895)^2)/($I$5*MAX(F895,0.1)^2),1/3)))),IF(IFERROR(AG895,0)=1,MAX($D$16,IFERROR(W895,MAX($D$16,POWER((ABS(K895)^2)/($I$5*MAX(F895,0.1)^2),1/3)))),MAX($D$16,POWER((ABS(K895)^2)/($I$5*MAX(F895,0.1)^2),1/3))))))),MAX($D$16,POWER((ABS(K895)^2)/($I$5*MAX(F895,0.1)^2),1/3)))</f>
        <v>2.1389677043987478</v>
      </c>
      <c r="AI895">
        <f t="shared" ca="1" si="455"/>
        <v>634.28546770439868</v>
      </c>
      <c r="AJ895">
        <f t="shared" ca="1" si="456"/>
        <v>635.35495155659805</v>
      </c>
      <c r="AM895">
        <v>0</v>
      </c>
      <c r="AN895">
        <v>0</v>
      </c>
      <c r="AO895">
        <f t="shared" si="457"/>
        <v>0</v>
      </c>
      <c r="AP895">
        <f t="shared" ref="AP895:AP958" si="466">AP894+AO895</f>
        <v>0</v>
      </c>
      <c r="AQ895">
        <f t="shared" ca="1" si="458"/>
        <v>1.0000000000000004</v>
      </c>
      <c r="AR895" t="str">
        <f t="shared" ca="1" si="459"/>
        <v>Supercritical</v>
      </c>
      <c r="AS895">
        <f t="shared" ca="1" si="460"/>
        <v>3.8141460404132466E-3</v>
      </c>
    </row>
    <row r="896" spans="1:45" x14ac:dyDescent="0.35">
      <c r="A896">
        <v>835</v>
      </c>
      <c r="B896">
        <v>833.99599999999998</v>
      </c>
      <c r="C896">
        <v>616088.30799999996</v>
      </c>
      <c r="D896">
        <v>3097172.9079999998</v>
      </c>
      <c r="E896">
        <v>632.14599999999996</v>
      </c>
      <c r="F896">
        <v>5.2</v>
      </c>
      <c r="G896">
        <v>0</v>
      </c>
      <c r="H896" t="s">
        <v>154</v>
      </c>
      <c r="I896">
        <v>5.5E-2</v>
      </c>
      <c r="J896">
        <f t="shared" si="461"/>
        <v>1.0009999999999764</v>
      </c>
      <c r="K896">
        <f t="shared" ca="1" si="462"/>
        <v>50.95</v>
      </c>
      <c r="L896">
        <f t="shared" ca="1" si="463"/>
        <v>2.1389677043987478</v>
      </c>
      <c r="M896">
        <f t="shared" ca="1" si="436"/>
        <v>11.122632062873489</v>
      </c>
      <c r="N896">
        <f t="shared" ca="1" si="437"/>
        <v>1.1735290000551568</v>
      </c>
      <c r="O896">
        <f t="shared" ca="1" si="438"/>
        <v>4.5807502857230418</v>
      </c>
      <c r="P896">
        <f t="shared" ca="1" si="439"/>
        <v>634.2849677043987</v>
      </c>
      <c r="Q896">
        <f t="shared" ca="1" si="440"/>
        <v>635.35445155659806</v>
      </c>
      <c r="R896">
        <f t="shared" ca="1" si="441"/>
        <v>3.8141460404132466E-3</v>
      </c>
      <c r="S896">
        <f t="shared" ca="1" si="442"/>
        <v>1.0000000000000004</v>
      </c>
      <c r="T896">
        <f t="shared" ca="1" si="443"/>
        <v>35.686426155594638</v>
      </c>
      <c r="U896">
        <f t="shared" ca="1" si="464"/>
        <v>-3.415996206285854E-3</v>
      </c>
      <c r="V896">
        <f t="shared" ca="1" si="465"/>
        <v>1</v>
      </c>
      <c r="W896">
        <f t="shared" ca="1" si="444"/>
        <v>2.1389677043987478</v>
      </c>
      <c r="X896">
        <f t="shared" ca="1" si="445"/>
        <v>11.122632062873489</v>
      </c>
      <c r="Y896">
        <f t="shared" ca="1" si="446"/>
        <v>1.1735290000551568</v>
      </c>
      <c r="Z896">
        <f t="shared" ca="1" si="447"/>
        <v>4.5807502857230418</v>
      </c>
      <c r="AA896">
        <f t="shared" ca="1" si="448"/>
        <v>634.2849677043987</v>
      </c>
      <c r="AB896">
        <f t="shared" ca="1" si="449"/>
        <v>635.35445155659806</v>
      </c>
      <c r="AC896">
        <f t="shared" ca="1" si="450"/>
        <v>3.8141460404132466E-3</v>
      </c>
      <c r="AD896">
        <f t="shared" ca="1" si="451"/>
        <v>1.0000000000000004</v>
      </c>
      <c r="AE896">
        <f t="shared" ca="1" si="452"/>
        <v>35.686426155594638</v>
      </c>
      <c r="AF896">
        <f t="shared" ca="1" si="453"/>
        <v>3.3676622879283968E-3</v>
      </c>
      <c r="AG896">
        <f t="shared" ca="1" si="454"/>
        <v>1</v>
      </c>
      <c r="AH896">
        <f ca="1">IFERROR(IF(V32="Supercritical",MAX($D$16,IFERROR(L896,MAX($D$16,POWER((ABS(K896)^2)/($I$5*MAX(F896,0.1)^2),1/3)))),IF(V32="Subcritical",MAX($D$16,IFERROR(W896,MAX($D$16,POWER((ABS(K896)^2)/($I$5*MAX(F896,0.1)^2),1/3)))),IF(AND(IFERROR(V896,0)=1,IFERROR(AG896,0)=1),IF(IFERROR(T896,-1E+99)&gt;=IFERROR(AE896,-1E+99),MAX($D$16,IFERROR(L896,MAX($D$16,POWER((ABS(K896)^2)/($I$5*MAX(F896,0.1)^2),1/3)))),MAX($D$16,IFERROR(W896,MAX($D$16,POWER((ABS(K896)^2)/($I$5*MAX(F896,0.1)^2),1/3))))),IF(IFERROR(V896,0)=1,MAX($D$16,IFERROR(L896,MAX($D$16,POWER((ABS(K896)^2)/($I$5*MAX(F896,0.1)^2),1/3)))),IF(IFERROR(AG896,0)=1,MAX($D$16,IFERROR(W896,MAX($D$16,POWER((ABS(K896)^2)/($I$5*MAX(F896,0.1)^2),1/3)))),MAX($D$16,POWER((ABS(K896)^2)/($I$5*MAX(F896,0.1)^2),1/3))))))),MAX($D$16,POWER((ABS(K896)^2)/($I$5*MAX(F896,0.1)^2),1/3)))</f>
        <v>2.1389677043987478</v>
      </c>
      <c r="AI896">
        <f t="shared" ca="1" si="455"/>
        <v>634.2849677043987</v>
      </c>
      <c r="AJ896">
        <f t="shared" ca="1" si="456"/>
        <v>635.35445155659806</v>
      </c>
      <c r="AM896">
        <v>0</v>
      </c>
      <c r="AN896">
        <v>0</v>
      </c>
      <c r="AO896">
        <f t="shared" si="457"/>
        <v>0</v>
      </c>
      <c r="AP896">
        <f t="shared" si="466"/>
        <v>0</v>
      </c>
      <c r="AQ896">
        <f t="shared" ca="1" si="458"/>
        <v>1.0000000000000004</v>
      </c>
      <c r="AR896" t="str">
        <f t="shared" ca="1" si="459"/>
        <v>Supercritical</v>
      </c>
      <c r="AS896">
        <f t="shared" ca="1" si="460"/>
        <v>3.8141460404132466E-3</v>
      </c>
    </row>
    <row r="897" spans="1:45" x14ac:dyDescent="0.35">
      <c r="A897">
        <v>836</v>
      </c>
      <c r="B897">
        <v>834.99599999999998</v>
      </c>
      <c r="C897">
        <v>616088.26599999995</v>
      </c>
      <c r="D897">
        <v>3097171.909</v>
      </c>
      <c r="E897">
        <v>632.14549999999997</v>
      </c>
      <c r="F897">
        <v>5.2</v>
      </c>
      <c r="G897">
        <v>0</v>
      </c>
      <c r="H897" t="s">
        <v>154</v>
      </c>
      <c r="I897">
        <v>0</v>
      </c>
      <c r="J897">
        <f t="shared" si="461"/>
        <v>1</v>
      </c>
      <c r="K897">
        <f t="shared" ca="1" si="462"/>
        <v>50.95</v>
      </c>
      <c r="L897">
        <f t="shared" ca="1" si="463"/>
        <v>2.1389677043987478</v>
      </c>
      <c r="M897">
        <f t="shared" ca="1" si="436"/>
        <v>11.122632062873489</v>
      </c>
      <c r="N897">
        <f t="shared" ca="1" si="437"/>
        <v>1.1735290000551568</v>
      </c>
      <c r="O897">
        <f t="shared" ca="1" si="438"/>
        <v>4.5807502857230418</v>
      </c>
      <c r="P897">
        <f t="shared" ca="1" si="439"/>
        <v>634.28446770439871</v>
      </c>
      <c r="Q897">
        <f t="shared" ca="1" si="440"/>
        <v>635.35395155659808</v>
      </c>
      <c r="R897">
        <f t="shared" ca="1" si="441"/>
        <v>3.8141460404132466E-3</v>
      </c>
      <c r="S897">
        <f t="shared" ca="1" si="442"/>
        <v>1.0000000000000004</v>
      </c>
      <c r="T897">
        <f t="shared" ca="1" si="443"/>
        <v>35.686426155594638</v>
      </c>
      <c r="U897">
        <f t="shared" ca="1" si="464"/>
        <v>-3.3141460404522149E-3</v>
      </c>
      <c r="V897">
        <f t="shared" ca="1" si="465"/>
        <v>1</v>
      </c>
      <c r="W897">
        <f t="shared" ca="1" si="444"/>
        <v>2.1389677043987478</v>
      </c>
      <c r="X897">
        <f t="shared" ca="1" si="445"/>
        <v>11.122632062873489</v>
      </c>
      <c r="Y897">
        <f t="shared" ca="1" si="446"/>
        <v>1.1735290000551568</v>
      </c>
      <c r="Z897">
        <f t="shared" ca="1" si="447"/>
        <v>4.5807502857230418</v>
      </c>
      <c r="AA897">
        <f t="shared" ca="1" si="448"/>
        <v>634.28446770439871</v>
      </c>
      <c r="AB897">
        <f t="shared" ca="1" si="449"/>
        <v>635.35395155659808</v>
      </c>
      <c r="AC897">
        <f t="shared" ca="1" si="450"/>
        <v>3.8141460404132466E-3</v>
      </c>
      <c r="AD897">
        <f t="shared" ca="1" si="451"/>
        <v>1.0000000000000004</v>
      </c>
      <c r="AE897">
        <f t="shared" ca="1" si="452"/>
        <v>35.686426155594638</v>
      </c>
      <c r="AF897">
        <f t="shared" ca="1" si="453"/>
        <v>3.4692882817353166E-3</v>
      </c>
      <c r="AG897">
        <f t="shared" ca="1" si="454"/>
        <v>1</v>
      </c>
      <c r="AH897">
        <f ca="1">IFERROR(IF(V32="Supercritical",MAX($D$16,IFERROR(L897,MAX($D$16,POWER((ABS(K897)^2)/($I$5*MAX(F897,0.1)^2),1/3)))),IF(V32="Subcritical",MAX($D$16,IFERROR(W897,MAX($D$16,POWER((ABS(K897)^2)/($I$5*MAX(F897,0.1)^2),1/3)))),IF(AND(IFERROR(V897,0)=1,IFERROR(AG897,0)=1),IF(IFERROR(T897,-1E+99)&gt;=IFERROR(AE897,-1E+99),MAX($D$16,IFERROR(L897,MAX($D$16,POWER((ABS(K897)^2)/($I$5*MAX(F897,0.1)^2),1/3)))),MAX($D$16,IFERROR(W897,MAX($D$16,POWER((ABS(K897)^2)/($I$5*MAX(F897,0.1)^2),1/3))))),IF(IFERROR(V897,0)=1,MAX($D$16,IFERROR(L897,MAX($D$16,POWER((ABS(K897)^2)/($I$5*MAX(F897,0.1)^2),1/3)))),IF(IFERROR(AG897,0)=1,MAX($D$16,IFERROR(W897,MAX($D$16,POWER((ABS(K897)^2)/($I$5*MAX(F897,0.1)^2),1/3)))),MAX($D$16,POWER((ABS(K897)^2)/($I$5*MAX(F897,0.1)^2),1/3))))))),MAX($D$16,POWER((ABS(K897)^2)/($I$5*MAX(F897,0.1)^2),1/3)))</f>
        <v>2.1389677043987478</v>
      </c>
      <c r="AI897">
        <f t="shared" ca="1" si="455"/>
        <v>634.28446770439871</v>
      </c>
      <c r="AJ897">
        <f t="shared" ca="1" si="456"/>
        <v>635.35395155659808</v>
      </c>
      <c r="AM897">
        <v>0</v>
      </c>
      <c r="AN897">
        <v>0</v>
      </c>
      <c r="AO897">
        <f t="shared" si="457"/>
        <v>0</v>
      </c>
      <c r="AP897">
        <f t="shared" si="466"/>
        <v>0</v>
      </c>
      <c r="AQ897">
        <f t="shared" ca="1" si="458"/>
        <v>1.0000000000000004</v>
      </c>
      <c r="AR897" t="str">
        <f t="shared" ca="1" si="459"/>
        <v>Supercritical</v>
      </c>
      <c r="AS897">
        <f t="shared" ca="1" si="460"/>
        <v>3.8141460404132466E-3</v>
      </c>
    </row>
    <row r="898" spans="1:45" x14ac:dyDescent="0.35">
      <c r="A898">
        <v>837</v>
      </c>
      <c r="B898">
        <v>835.99599999999998</v>
      </c>
      <c r="C898">
        <v>616088.22400000005</v>
      </c>
      <c r="D898">
        <v>3097170.91</v>
      </c>
      <c r="E898">
        <v>632.14499999999998</v>
      </c>
      <c r="F898">
        <v>5.2</v>
      </c>
      <c r="G898">
        <v>0</v>
      </c>
      <c r="H898" t="s">
        <v>154</v>
      </c>
      <c r="I898">
        <v>5.7000000000000002E-2</v>
      </c>
      <c r="J898">
        <f t="shared" si="461"/>
        <v>1</v>
      </c>
      <c r="K898">
        <f t="shared" ca="1" si="462"/>
        <v>50.95</v>
      </c>
      <c r="L898">
        <f t="shared" ca="1" si="463"/>
        <v>2.1389677043987478</v>
      </c>
      <c r="M898">
        <f t="shared" ca="1" si="436"/>
        <v>11.122632062873489</v>
      </c>
      <c r="N898">
        <f t="shared" ca="1" si="437"/>
        <v>1.1735290000551568</v>
      </c>
      <c r="O898">
        <f t="shared" ca="1" si="438"/>
        <v>4.5807502857230418</v>
      </c>
      <c r="P898">
        <f t="shared" ca="1" si="439"/>
        <v>634.28396770439872</v>
      </c>
      <c r="Q898">
        <f t="shared" ca="1" si="440"/>
        <v>635.35345155659809</v>
      </c>
      <c r="R898">
        <f t="shared" ca="1" si="441"/>
        <v>3.8141460404132466E-3</v>
      </c>
      <c r="S898">
        <f t="shared" ca="1" si="442"/>
        <v>1.0000000000000004</v>
      </c>
      <c r="T898">
        <f t="shared" ca="1" si="443"/>
        <v>35.686426155594638</v>
      </c>
      <c r="U898">
        <f t="shared" ca="1" si="464"/>
        <v>-3.4157470064428708E-3</v>
      </c>
      <c r="V898">
        <f t="shared" ca="1" si="465"/>
        <v>1</v>
      </c>
      <c r="W898">
        <f t="shared" ca="1" si="444"/>
        <v>2.1389677043987478</v>
      </c>
      <c r="X898">
        <f t="shared" ca="1" si="445"/>
        <v>11.122632062873489</v>
      </c>
      <c r="Y898">
        <f t="shared" ca="1" si="446"/>
        <v>1.1735290000551568</v>
      </c>
      <c r="Z898">
        <f t="shared" ca="1" si="447"/>
        <v>4.5807502857230418</v>
      </c>
      <c r="AA898">
        <f t="shared" ca="1" si="448"/>
        <v>634.28396770439872</v>
      </c>
      <c r="AB898">
        <f t="shared" ca="1" si="449"/>
        <v>635.35345155659809</v>
      </c>
      <c r="AC898">
        <f t="shared" ca="1" si="450"/>
        <v>3.8141460404132466E-3</v>
      </c>
      <c r="AD898">
        <f t="shared" ca="1" si="451"/>
        <v>1.0000000000000004</v>
      </c>
      <c r="AE898">
        <f t="shared" ca="1" si="452"/>
        <v>35.686426155594638</v>
      </c>
      <c r="AF898">
        <f t="shared" ca="1" si="453"/>
        <v>3.4677123442179436E-3</v>
      </c>
      <c r="AG898">
        <f t="shared" ca="1" si="454"/>
        <v>1</v>
      </c>
      <c r="AH898">
        <f ca="1">IFERROR(IF(V32="Supercritical",MAX($D$16,IFERROR(L898,MAX($D$16,POWER((ABS(K898)^2)/($I$5*MAX(F898,0.1)^2),1/3)))),IF(V32="Subcritical",MAX($D$16,IFERROR(W898,MAX($D$16,POWER((ABS(K898)^2)/($I$5*MAX(F898,0.1)^2),1/3)))),IF(AND(IFERROR(V898,0)=1,IFERROR(AG898,0)=1),IF(IFERROR(T898,-1E+99)&gt;=IFERROR(AE898,-1E+99),MAX($D$16,IFERROR(L898,MAX($D$16,POWER((ABS(K898)^2)/($I$5*MAX(F898,0.1)^2),1/3)))),MAX($D$16,IFERROR(W898,MAX($D$16,POWER((ABS(K898)^2)/($I$5*MAX(F898,0.1)^2),1/3))))),IF(IFERROR(V898,0)=1,MAX($D$16,IFERROR(L898,MAX($D$16,POWER((ABS(K898)^2)/($I$5*MAX(F898,0.1)^2),1/3)))),IF(IFERROR(AG898,0)=1,MAX($D$16,IFERROR(W898,MAX($D$16,POWER((ABS(K898)^2)/($I$5*MAX(F898,0.1)^2),1/3)))),MAX($D$16,POWER((ABS(K898)^2)/($I$5*MAX(F898,0.1)^2),1/3))))))),MAX($D$16,POWER((ABS(K898)^2)/($I$5*MAX(F898,0.1)^2),1/3)))</f>
        <v>2.1389677043987478</v>
      </c>
      <c r="AI898">
        <f t="shared" ca="1" si="455"/>
        <v>634.28396770439872</v>
      </c>
      <c r="AJ898">
        <f t="shared" ca="1" si="456"/>
        <v>635.35345155659809</v>
      </c>
      <c r="AM898">
        <v>0</v>
      </c>
      <c r="AN898">
        <v>0</v>
      </c>
      <c r="AO898">
        <f t="shared" si="457"/>
        <v>0</v>
      </c>
      <c r="AP898">
        <f t="shared" si="466"/>
        <v>0</v>
      </c>
      <c r="AQ898">
        <f t="shared" ca="1" si="458"/>
        <v>1.0000000000000004</v>
      </c>
      <c r="AR898" t="str">
        <f t="shared" ca="1" si="459"/>
        <v>Supercritical</v>
      </c>
      <c r="AS898">
        <f t="shared" ca="1" si="460"/>
        <v>3.8141460404132466E-3</v>
      </c>
    </row>
    <row r="899" spans="1:45" x14ac:dyDescent="0.35">
      <c r="A899">
        <v>838</v>
      </c>
      <c r="B899">
        <v>836.99599999999998</v>
      </c>
      <c r="C899">
        <v>616088.18099999998</v>
      </c>
      <c r="D899">
        <v>3097169.9109999998</v>
      </c>
      <c r="E899">
        <v>632.14449999999999</v>
      </c>
      <c r="F899">
        <v>5.2</v>
      </c>
      <c r="G899">
        <v>0</v>
      </c>
      <c r="H899" t="s">
        <v>154</v>
      </c>
      <c r="I899">
        <v>5.7000000000000002E-2</v>
      </c>
      <c r="J899">
        <f t="shared" si="461"/>
        <v>1</v>
      </c>
      <c r="K899">
        <f t="shared" ca="1" si="462"/>
        <v>50.95</v>
      </c>
      <c r="L899">
        <f t="shared" ca="1" si="463"/>
        <v>2.1389677043987478</v>
      </c>
      <c r="M899">
        <f t="shared" ca="1" si="436"/>
        <v>11.122632062873489</v>
      </c>
      <c r="N899">
        <f t="shared" ca="1" si="437"/>
        <v>1.1735290000551568</v>
      </c>
      <c r="O899">
        <f t="shared" ca="1" si="438"/>
        <v>4.5807502857230418</v>
      </c>
      <c r="P899">
        <f t="shared" ca="1" si="439"/>
        <v>634.28346770439873</v>
      </c>
      <c r="Q899">
        <f t="shared" ca="1" si="440"/>
        <v>635.3529515565981</v>
      </c>
      <c r="R899">
        <f t="shared" ca="1" si="441"/>
        <v>3.8141460404132466E-3</v>
      </c>
      <c r="S899">
        <f t="shared" ca="1" si="442"/>
        <v>1.0000000000000004</v>
      </c>
      <c r="T899">
        <f t="shared" ca="1" si="443"/>
        <v>35.686426155594638</v>
      </c>
      <c r="U899">
        <f t="shared" ca="1" si="464"/>
        <v>-3.4157470064428708E-3</v>
      </c>
      <c r="V899">
        <f t="shared" ca="1" si="465"/>
        <v>1</v>
      </c>
      <c r="W899">
        <f t="shared" ca="1" si="444"/>
        <v>2.1389677043987478</v>
      </c>
      <c r="X899">
        <f t="shared" ca="1" si="445"/>
        <v>11.122632062873489</v>
      </c>
      <c r="Y899">
        <f t="shared" ca="1" si="446"/>
        <v>1.1735290000551568</v>
      </c>
      <c r="Z899">
        <f t="shared" ca="1" si="447"/>
        <v>4.5807502857230418</v>
      </c>
      <c r="AA899">
        <f t="shared" ca="1" si="448"/>
        <v>634.28346770439873</v>
      </c>
      <c r="AB899">
        <f t="shared" ca="1" si="449"/>
        <v>635.3529515565981</v>
      </c>
      <c r="AC899">
        <f t="shared" ca="1" si="450"/>
        <v>3.8141460404132466E-3</v>
      </c>
      <c r="AD899">
        <f t="shared" ca="1" si="451"/>
        <v>1.0000000000000004</v>
      </c>
      <c r="AE899">
        <f t="shared" ca="1" si="452"/>
        <v>35.686426155594638</v>
      </c>
      <c r="AF899">
        <f t="shared" ca="1" si="453"/>
        <v>3.3660296015796121E-3</v>
      </c>
      <c r="AG899">
        <f t="shared" ca="1" si="454"/>
        <v>1</v>
      </c>
      <c r="AH899">
        <f ca="1">IFERROR(IF(V32="Supercritical",MAX($D$16,IFERROR(L899,MAX($D$16,POWER((ABS(K899)^2)/($I$5*MAX(F899,0.1)^2),1/3)))),IF(V32="Subcritical",MAX($D$16,IFERROR(W899,MAX($D$16,POWER((ABS(K899)^2)/($I$5*MAX(F899,0.1)^2),1/3)))),IF(AND(IFERROR(V899,0)=1,IFERROR(AG899,0)=1),IF(IFERROR(T899,-1E+99)&gt;=IFERROR(AE899,-1E+99),MAX($D$16,IFERROR(L899,MAX($D$16,POWER((ABS(K899)^2)/($I$5*MAX(F899,0.1)^2),1/3)))),MAX($D$16,IFERROR(W899,MAX($D$16,POWER((ABS(K899)^2)/($I$5*MAX(F899,0.1)^2),1/3))))),IF(IFERROR(V899,0)=1,MAX($D$16,IFERROR(L899,MAX($D$16,POWER((ABS(K899)^2)/($I$5*MAX(F899,0.1)^2),1/3)))),IF(IFERROR(AG899,0)=1,MAX($D$16,IFERROR(W899,MAX($D$16,POWER((ABS(K899)^2)/($I$5*MAX(F899,0.1)^2),1/3)))),MAX($D$16,POWER((ABS(K899)^2)/($I$5*MAX(F899,0.1)^2),1/3))))))),MAX($D$16,POWER((ABS(K899)^2)/($I$5*MAX(F899,0.1)^2),1/3)))</f>
        <v>2.1389677043987478</v>
      </c>
      <c r="AI899">
        <f t="shared" ca="1" si="455"/>
        <v>634.28346770439873</v>
      </c>
      <c r="AJ899">
        <f t="shared" ca="1" si="456"/>
        <v>635.3529515565981</v>
      </c>
      <c r="AM899">
        <v>0</v>
      </c>
      <c r="AN899">
        <v>0</v>
      </c>
      <c r="AO899">
        <f t="shared" si="457"/>
        <v>0</v>
      </c>
      <c r="AP899">
        <f t="shared" si="466"/>
        <v>0</v>
      </c>
      <c r="AQ899">
        <f t="shared" ca="1" si="458"/>
        <v>1.0000000000000004</v>
      </c>
      <c r="AR899" t="str">
        <f t="shared" ca="1" si="459"/>
        <v>Supercritical</v>
      </c>
      <c r="AS899">
        <f t="shared" ca="1" si="460"/>
        <v>3.8141460404132466E-3</v>
      </c>
    </row>
    <row r="900" spans="1:45" x14ac:dyDescent="0.35">
      <c r="A900">
        <v>839</v>
      </c>
      <c r="B900">
        <v>837.99599999999998</v>
      </c>
      <c r="C900">
        <v>616088.13899999997</v>
      </c>
      <c r="D900">
        <v>3097168.912</v>
      </c>
      <c r="E900">
        <v>632.14400000000001</v>
      </c>
      <c r="F900">
        <v>5.2</v>
      </c>
      <c r="G900">
        <v>0</v>
      </c>
      <c r="H900" t="s">
        <v>154</v>
      </c>
      <c r="I900">
        <v>0</v>
      </c>
      <c r="J900">
        <f t="shared" si="461"/>
        <v>1</v>
      </c>
      <c r="K900">
        <f t="shared" ca="1" si="462"/>
        <v>50.95</v>
      </c>
      <c r="L900">
        <f t="shared" ca="1" si="463"/>
        <v>2.1389677043987478</v>
      </c>
      <c r="M900">
        <f t="shared" ca="1" si="436"/>
        <v>11.122632062873489</v>
      </c>
      <c r="N900">
        <f t="shared" ca="1" si="437"/>
        <v>1.1735290000551568</v>
      </c>
      <c r="O900">
        <f t="shared" ca="1" si="438"/>
        <v>4.5807502857230418</v>
      </c>
      <c r="P900">
        <f t="shared" ca="1" si="439"/>
        <v>634.28296770439874</v>
      </c>
      <c r="Q900">
        <f t="shared" ca="1" si="440"/>
        <v>635.35245155659811</v>
      </c>
      <c r="R900">
        <f t="shared" ca="1" si="441"/>
        <v>3.8141460404132466E-3</v>
      </c>
      <c r="S900">
        <f t="shared" ca="1" si="442"/>
        <v>1.0000000000000004</v>
      </c>
      <c r="T900">
        <f t="shared" ca="1" si="443"/>
        <v>35.686426155594638</v>
      </c>
      <c r="U900">
        <f t="shared" ca="1" si="464"/>
        <v>-3.3141460404522149E-3</v>
      </c>
      <c r="V900">
        <f t="shared" ca="1" si="465"/>
        <v>1</v>
      </c>
      <c r="W900">
        <f t="shared" ca="1" si="444"/>
        <v>2.1389677043987478</v>
      </c>
      <c r="X900">
        <f t="shared" ca="1" si="445"/>
        <v>11.122632062873489</v>
      </c>
      <c r="Y900">
        <f t="shared" ca="1" si="446"/>
        <v>1.1735290000551568</v>
      </c>
      <c r="Z900">
        <f t="shared" ca="1" si="447"/>
        <v>4.5807502857230418</v>
      </c>
      <c r="AA900">
        <f t="shared" ca="1" si="448"/>
        <v>634.28296770439874</v>
      </c>
      <c r="AB900">
        <f t="shared" ca="1" si="449"/>
        <v>635.35245155659811</v>
      </c>
      <c r="AC900">
        <f t="shared" ca="1" si="450"/>
        <v>3.8141460404132466E-3</v>
      </c>
      <c r="AD900">
        <f t="shared" ca="1" si="451"/>
        <v>1.0000000000000004</v>
      </c>
      <c r="AE900">
        <f t="shared" ca="1" si="452"/>
        <v>35.686426155594638</v>
      </c>
      <c r="AF900">
        <f t="shared" ca="1" si="453"/>
        <v>3.363846887850741E-3</v>
      </c>
      <c r="AG900">
        <f t="shared" ca="1" si="454"/>
        <v>1</v>
      </c>
      <c r="AH900">
        <f ca="1">IFERROR(IF(V32="Supercritical",MAX($D$16,IFERROR(L900,MAX($D$16,POWER((ABS(K900)^2)/($I$5*MAX(F900,0.1)^2),1/3)))),IF(V32="Subcritical",MAX($D$16,IFERROR(W900,MAX($D$16,POWER((ABS(K900)^2)/($I$5*MAX(F900,0.1)^2),1/3)))),IF(AND(IFERROR(V900,0)=1,IFERROR(AG900,0)=1),IF(IFERROR(T900,-1E+99)&gt;=IFERROR(AE900,-1E+99),MAX($D$16,IFERROR(L900,MAX($D$16,POWER((ABS(K900)^2)/($I$5*MAX(F900,0.1)^2),1/3)))),MAX($D$16,IFERROR(W900,MAX($D$16,POWER((ABS(K900)^2)/($I$5*MAX(F900,0.1)^2),1/3))))),IF(IFERROR(V900,0)=1,MAX($D$16,IFERROR(L900,MAX($D$16,POWER((ABS(K900)^2)/($I$5*MAX(F900,0.1)^2),1/3)))),IF(IFERROR(AG900,0)=1,MAX($D$16,IFERROR(W900,MAX($D$16,POWER((ABS(K900)^2)/($I$5*MAX(F900,0.1)^2),1/3)))),MAX($D$16,POWER((ABS(K900)^2)/($I$5*MAX(F900,0.1)^2),1/3))))))),MAX($D$16,POWER((ABS(K900)^2)/($I$5*MAX(F900,0.1)^2),1/3)))</f>
        <v>2.1389677043987478</v>
      </c>
      <c r="AI900">
        <f t="shared" ca="1" si="455"/>
        <v>634.28296770439874</v>
      </c>
      <c r="AJ900">
        <f t="shared" ca="1" si="456"/>
        <v>635.35245155659811</v>
      </c>
      <c r="AM900">
        <v>0</v>
      </c>
      <c r="AN900">
        <v>0</v>
      </c>
      <c r="AO900">
        <f t="shared" si="457"/>
        <v>0</v>
      </c>
      <c r="AP900">
        <f t="shared" si="466"/>
        <v>0</v>
      </c>
      <c r="AQ900">
        <f t="shared" ca="1" si="458"/>
        <v>1.0000000000000004</v>
      </c>
      <c r="AR900" t="str">
        <f t="shared" ca="1" si="459"/>
        <v>Supercritical</v>
      </c>
      <c r="AS900">
        <f t="shared" ca="1" si="460"/>
        <v>3.8141460404132466E-3</v>
      </c>
    </row>
    <row r="901" spans="1:45" x14ac:dyDescent="0.35">
      <c r="A901">
        <v>840</v>
      </c>
      <c r="B901">
        <v>838.995</v>
      </c>
      <c r="C901">
        <v>616088.09699999995</v>
      </c>
      <c r="D901">
        <v>3097167.9130000002</v>
      </c>
      <c r="E901">
        <v>632.14350000000002</v>
      </c>
      <c r="F901">
        <v>5.2</v>
      </c>
      <c r="G901">
        <v>0</v>
      </c>
      <c r="H901" t="s">
        <v>154</v>
      </c>
      <c r="I901">
        <v>0</v>
      </c>
      <c r="J901">
        <f t="shared" si="461"/>
        <v>0.99900000000002365</v>
      </c>
      <c r="K901">
        <f t="shared" ca="1" si="462"/>
        <v>50.95</v>
      </c>
      <c r="L901">
        <f t="shared" ca="1" si="463"/>
        <v>2.1389677043987478</v>
      </c>
      <c r="M901">
        <f t="shared" ca="1" si="436"/>
        <v>11.122632062873489</v>
      </c>
      <c r="N901">
        <f t="shared" ca="1" si="437"/>
        <v>1.1735290000551568</v>
      </c>
      <c r="O901">
        <f t="shared" ca="1" si="438"/>
        <v>4.5807502857230418</v>
      </c>
      <c r="P901">
        <f t="shared" ca="1" si="439"/>
        <v>634.28246770439875</v>
      </c>
      <c r="Q901">
        <f t="shared" ca="1" si="440"/>
        <v>635.35195155659812</v>
      </c>
      <c r="R901">
        <f t="shared" ca="1" si="441"/>
        <v>3.8141460404132466E-3</v>
      </c>
      <c r="S901">
        <f t="shared" ca="1" si="442"/>
        <v>1.0000000000000004</v>
      </c>
      <c r="T901">
        <f t="shared" ca="1" si="443"/>
        <v>35.686426155594638</v>
      </c>
      <c r="U901">
        <f t="shared" ca="1" si="464"/>
        <v>-3.3103318943403792E-3</v>
      </c>
      <c r="V901">
        <f t="shared" ca="1" si="465"/>
        <v>1</v>
      </c>
      <c r="W901">
        <f t="shared" ca="1" si="444"/>
        <v>2.1389677043987478</v>
      </c>
      <c r="X901">
        <f t="shared" ca="1" si="445"/>
        <v>11.122632062873489</v>
      </c>
      <c r="Y901">
        <f t="shared" ca="1" si="446"/>
        <v>1.1735290000551568</v>
      </c>
      <c r="Z901">
        <f t="shared" ca="1" si="447"/>
        <v>4.5807502857230418</v>
      </c>
      <c r="AA901">
        <f t="shared" ca="1" si="448"/>
        <v>634.28246770439875</v>
      </c>
      <c r="AB901">
        <f t="shared" ca="1" si="449"/>
        <v>635.35195155659812</v>
      </c>
      <c r="AC901">
        <f t="shared" ca="1" si="450"/>
        <v>3.8141460404132466E-3</v>
      </c>
      <c r="AD901">
        <f t="shared" ca="1" si="451"/>
        <v>1.0000000000000004</v>
      </c>
      <c r="AE901">
        <f t="shared" ca="1" si="452"/>
        <v>35.686426155594638</v>
      </c>
      <c r="AF901">
        <f t="shared" ca="1" si="453"/>
        <v>3.4692891802023951E-3</v>
      </c>
      <c r="AG901">
        <f t="shared" ca="1" si="454"/>
        <v>1</v>
      </c>
      <c r="AH901">
        <f ca="1">IFERROR(IF(V32="Supercritical",MAX($D$16,IFERROR(L901,MAX($D$16,POWER((ABS(K901)^2)/($I$5*MAX(F901,0.1)^2),1/3)))),IF(V32="Subcritical",MAX($D$16,IFERROR(W901,MAX($D$16,POWER((ABS(K901)^2)/($I$5*MAX(F901,0.1)^2),1/3)))),IF(AND(IFERROR(V901,0)=1,IFERROR(AG901,0)=1),IF(IFERROR(T901,-1E+99)&gt;=IFERROR(AE901,-1E+99),MAX($D$16,IFERROR(L901,MAX($D$16,POWER((ABS(K901)^2)/($I$5*MAX(F901,0.1)^2),1/3)))),MAX($D$16,IFERROR(W901,MAX($D$16,POWER((ABS(K901)^2)/($I$5*MAX(F901,0.1)^2),1/3))))),IF(IFERROR(V901,0)=1,MAX($D$16,IFERROR(L901,MAX($D$16,POWER((ABS(K901)^2)/($I$5*MAX(F901,0.1)^2),1/3)))),IF(IFERROR(AG901,0)=1,MAX($D$16,IFERROR(W901,MAX($D$16,POWER((ABS(K901)^2)/($I$5*MAX(F901,0.1)^2),1/3)))),MAX($D$16,POWER((ABS(K901)^2)/($I$5*MAX(F901,0.1)^2),1/3))))))),MAX($D$16,POWER((ABS(K901)^2)/($I$5*MAX(F901,0.1)^2),1/3)))</f>
        <v>2.1389677043987478</v>
      </c>
      <c r="AI901">
        <f t="shared" ca="1" si="455"/>
        <v>634.28246770439875</v>
      </c>
      <c r="AJ901">
        <f t="shared" ca="1" si="456"/>
        <v>635.35195155659812</v>
      </c>
      <c r="AM901">
        <v>0</v>
      </c>
      <c r="AN901">
        <v>0</v>
      </c>
      <c r="AO901">
        <f t="shared" si="457"/>
        <v>0</v>
      </c>
      <c r="AP901">
        <f t="shared" si="466"/>
        <v>0</v>
      </c>
      <c r="AQ901">
        <f t="shared" ca="1" si="458"/>
        <v>1.0000000000000004</v>
      </c>
      <c r="AR901" t="str">
        <f t="shared" ca="1" si="459"/>
        <v>Supercritical</v>
      </c>
      <c r="AS901">
        <f t="shared" ca="1" si="460"/>
        <v>3.8141460404132466E-3</v>
      </c>
    </row>
    <row r="902" spans="1:45" x14ac:dyDescent="0.35">
      <c r="A902">
        <v>841</v>
      </c>
      <c r="B902">
        <v>839.995</v>
      </c>
      <c r="C902">
        <v>616088.05500000005</v>
      </c>
      <c r="D902">
        <v>3097166.9139999999</v>
      </c>
      <c r="E902">
        <v>632.14300000000003</v>
      </c>
      <c r="F902">
        <v>5.2</v>
      </c>
      <c r="G902">
        <v>0</v>
      </c>
      <c r="H902" t="s">
        <v>154</v>
      </c>
      <c r="I902">
        <v>5.7000000000000002E-2</v>
      </c>
      <c r="J902">
        <f t="shared" si="461"/>
        <v>1</v>
      </c>
      <c r="K902">
        <f t="shared" ca="1" si="462"/>
        <v>50.95</v>
      </c>
      <c r="L902">
        <f t="shared" ca="1" si="463"/>
        <v>2.1389677043987478</v>
      </c>
      <c r="M902">
        <f t="shared" ca="1" si="436"/>
        <v>11.122632062873489</v>
      </c>
      <c r="N902">
        <f t="shared" ca="1" si="437"/>
        <v>1.1735290000551568</v>
      </c>
      <c r="O902">
        <f t="shared" ca="1" si="438"/>
        <v>4.5807502857230418</v>
      </c>
      <c r="P902">
        <f t="shared" ca="1" si="439"/>
        <v>634.28196770439877</v>
      </c>
      <c r="Q902">
        <f t="shared" ca="1" si="440"/>
        <v>635.35145155659814</v>
      </c>
      <c r="R902">
        <f t="shared" ca="1" si="441"/>
        <v>3.8141460404132466E-3</v>
      </c>
      <c r="S902">
        <f t="shared" ca="1" si="442"/>
        <v>1.0000000000000004</v>
      </c>
      <c r="T902">
        <f t="shared" ca="1" si="443"/>
        <v>35.686426155594638</v>
      </c>
      <c r="U902">
        <f t="shared" ca="1" si="464"/>
        <v>-3.4157470064428708E-3</v>
      </c>
      <c r="V902">
        <f t="shared" ca="1" si="465"/>
        <v>1</v>
      </c>
      <c r="W902">
        <f t="shared" ca="1" si="444"/>
        <v>2.1389677043987478</v>
      </c>
      <c r="X902">
        <f t="shared" ca="1" si="445"/>
        <v>11.122632062873489</v>
      </c>
      <c r="Y902">
        <f t="shared" ca="1" si="446"/>
        <v>1.1735290000551568</v>
      </c>
      <c r="Z902">
        <f t="shared" ca="1" si="447"/>
        <v>4.5807502857230418</v>
      </c>
      <c r="AA902">
        <f t="shared" ca="1" si="448"/>
        <v>634.28196770439877</v>
      </c>
      <c r="AB902">
        <f t="shared" ca="1" si="449"/>
        <v>635.35145155659814</v>
      </c>
      <c r="AC902">
        <f t="shared" ca="1" si="450"/>
        <v>3.8141460404132466E-3</v>
      </c>
      <c r="AD902">
        <f t="shared" ca="1" si="451"/>
        <v>1.0000000000000004</v>
      </c>
      <c r="AE902">
        <f t="shared" ca="1" si="452"/>
        <v>35.686426155594638</v>
      </c>
      <c r="AF902">
        <f t="shared" ca="1" si="453"/>
        <v>3.467770302563622E-3</v>
      </c>
      <c r="AG902">
        <f t="shared" ca="1" si="454"/>
        <v>1</v>
      </c>
      <c r="AH902">
        <f ca="1">IFERROR(IF(V32="Supercritical",MAX($D$16,IFERROR(L902,MAX($D$16,POWER((ABS(K902)^2)/($I$5*MAX(F902,0.1)^2),1/3)))),IF(V32="Subcritical",MAX($D$16,IFERROR(W902,MAX($D$16,POWER((ABS(K902)^2)/($I$5*MAX(F902,0.1)^2),1/3)))),IF(AND(IFERROR(V902,0)=1,IFERROR(AG902,0)=1),IF(IFERROR(T902,-1E+99)&gt;=IFERROR(AE902,-1E+99),MAX($D$16,IFERROR(L902,MAX($D$16,POWER((ABS(K902)^2)/($I$5*MAX(F902,0.1)^2),1/3)))),MAX($D$16,IFERROR(W902,MAX($D$16,POWER((ABS(K902)^2)/($I$5*MAX(F902,0.1)^2),1/3))))),IF(IFERROR(V902,0)=1,MAX($D$16,IFERROR(L902,MAX($D$16,POWER((ABS(K902)^2)/($I$5*MAX(F902,0.1)^2),1/3)))),IF(IFERROR(AG902,0)=1,MAX($D$16,IFERROR(W902,MAX($D$16,POWER((ABS(K902)^2)/($I$5*MAX(F902,0.1)^2),1/3)))),MAX($D$16,POWER((ABS(K902)^2)/($I$5*MAX(F902,0.1)^2),1/3))))))),MAX($D$16,POWER((ABS(K902)^2)/($I$5*MAX(F902,0.1)^2),1/3)))</f>
        <v>2.1389677043987478</v>
      </c>
      <c r="AI902">
        <f t="shared" ca="1" si="455"/>
        <v>634.28196770439877</v>
      </c>
      <c r="AJ902">
        <f t="shared" ca="1" si="456"/>
        <v>635.35145155659814</v>
      </c>
      <c r="AM902">
        <v>0</v>
      </c>
      <c r="AN902">
        <v>0</v>
      </c>
      <c r="AO902">
        <f t="shared" si="457"/>
        <v>0</v>
      </c>
      <c r="AP902">
        <f t="shared" si="466"/>
        <v>0</v>
      </c>
      <c r="AQ902">
        <f t="shared" ca="1" si="458"/>
        <v>1.0000000000000004</v>
      </c>
      <c r="AR902" t="str">
        <f t="shared" ca="1" si="459"/>
        <v>Supercritical</v>
      </c>
      <c r="AS902">
        <f t="shared" ca="1" si="460"/>
        <v>3.8141460404132466E-3</v>
      </c>
    </row>
    <row r="903" spans="1:45" x14ac:dyDescent="0.35">
      <c r="A903">
        <v>842</v>
      </c>
      <c r="B903">
        <v>840.995</v>
      </c>
      <c r="C903">
        <v>616088.01199999999</v>
      </c>
      <c r="D903">
        <v>3097165.915</v>
      </c>
      <c r="E903">
        <v>632.14250000000004</v>
      </c>
      <c r="F903">
        <v>5.2</v>
      </c>
      <c r="G903">
        <v>0</v>
      </c>
      <c r="H903" t="s">
        <v>154</v>
      </c>
      <c r="I903">
        <v>5.7000000000000002E-2</v>
      </c>
      <c r="J903">
        <f t="shared" si="461"/>
        <v>1</v>
      </c>
      <c r="K903">
        <f t="shared" ca="1" si="462"/>
        <v>50.95</v>
      </c>
      <c r="L903">
        <f t="shared" ca="1" si="463"/>
        <v>2.1389677043987478</v>
      </c>
      <c r="M903">
        <f t="shared" ca="1" si="436"/>
        <v>11.122632062873489</v>
      </c>
      <c r="N903">
        <f t="shared" ca="1" si="437"/>
        <v>1.1735290000551568</v>
      </c>
      <c r="O903">
        <f t="shared" ca="1" si="438"/>
        <v>4.5807502857230418</v>
      </c>
      <c r="P903">
        <f t="shared" ca="1" si="439"/>
        <v>634.28146770439878</v>
      </c>
      <c r="Q903">
        <f t="shared" ca="1" si="440"/>
        <v>635.35095155659815</v>
      </c>
      <c r="R903">
        <f t="shared" ca="1" si="441"/>
        <v>3.8141460404132466E-3</v>
      </c>
      <c r="S903">
        <f t="shared" ca="1" si="442"/>
        <v>1.0000000000000004</v>
      </c>
      <c r="T903">
        <f t="shared" ca="1" si="443"/>
        <v>35.686426155594638</v>
      </c>
      <c r="U903">
        <f t="shared" ca="1" si="464"/>
        <v>-3.4157470064428708E-3</v>
      </c>
      <c r="V903">
        <f t="shared" ca="1" si="465"/>
        <v>1</v>
      </c>
      <c r="W903">
        <f t="shared" ca="1" si="444"/>
        <v>2.1389677043987478</v>
      </c>
      <c r="X903">
        <f t="shared" ca="1" si="445"/>
        <v>11.122632062873489</v>
      </c>
      <c r="Y903">
        <f t="shared" ca="1" si="446"/>
        <v>1.1735290000551568</v>
      </c>
      <c r="Z903">
        <f t="shared" ca="1" si="447"/>
        <v>4.5807502857230418</v>
      </c>
      <c r="AA903">
        <f t="shared" ca="1" si="448"/>
        <v>634.28146770439878</v>
      </c>
      <c r="AB903">
        <f t="shared" ca="1" si="449"/>
        <v>635.35095155659815</v>
      </c>
      <c r="AC903">
        <f t="shared" ca="1" si="450"/>
        <v>3.8141460404132466E-3</v>
      </c>
      <c r="AD903">
        <f t="shared" ca="1" si="451"/>
        <v>1.0000000000000004</v>
      </c>
      <c r="AE903">
        <f t="shared" ca="1" si="452"/>
        <v>35.686426155594638</v>
      </c>
      <c r="AF903">
        <f t="shared" ca="1" si="453"/>
        <v>3.3697696028411883E-3</v>
      </c>
      <c r="AG903">
        <f t="shared" ca="1" si="454"/>
        <v>1</v>
      </c>
      <c r="AH903">
        <f ca="1">IFERROR(IF(V32="Supercritical",MAX($D$16,IFERROR(L903,MAX($D$16,POWER((ABS(K903)^2)/($I$5*MAX(F903,0.1)^2),1/3)))),IF(V32="Subcritical",MAX($D$16,IFERROR(W903,MAX($D$16,POWER((ABS(K903)^2)/($I$5*MAX(F903,0.1)^2),1/3)))),IF(AND(IFERROR(V903,0)=1,IFERROR(AG903,0)=1),IF(IFERROR(T903,-1E+99)&gt;=IFERROR(AE903,-1E+99),MAX($D$16,IFERROR(L903,MAX($D$16,POWER((ABS(K903)^2)/($I$5*MAX(F903,0.1)^2),1/3)))),MAX($D$16,IFERROR(W903,MAX($D$16,POWER((ABS(K903)^2)/($I$5*MAX(F903,0.1)^2),1/3))))),IF(IFERROR(V903,0)=1,MAX($D$16,IFERROR(L903,MAX($D$16,POWER((ABS(K903)^2)/($I$5*MAX(F903,0.1)^2),1/3)))),IF(IFERROR(AG903,0)=1,MAX($D$16,IFERROR(W903,MAX($D$16,POWER((ABS(K903)^2)/($I$5*MAX(F903,0.1)^2),1/3)))),MAX($D$16,POWER((ABS(K903)^2)/($I$5*MAX(F903,0.1)^2),1/3))))))),MAX($D$16,POWER((ABS(K903)^2)/($I$5*MAX(F903,0.1)^2),1/3)))</f>
        <v>2.1389677043987478</v>
      </c>
      <c r="AI903">
        <f t="shared" ca="1" si="455"/>
        <v>634.28146770439878</v>
      </c>
      <c r="AJ903">
        <f t="shared" ca="1" si="456"/>
        <v>635.35095155659815</v>
      </c>
      <c r="AM903">
        <v>0</v>
      </c>
      <c r="AN903">
        <v>0</v>
      </c>
      <c r="AO903">
        <f t="shared" si="457"/>
        <v>0</v>
      </c>
      <c r="AP903">
        <f t="shared" si="466"/>
        <v>0</v>
      </c>
      <c r="AQ903">
        <f t="shared" ca="1" si="458"/>
        <v>1.0000000000000004</v>
      </c>
      <c r="AR903" t="str">
        <f t="shared" ca="1" si="459"/>
        <v>Supercritical</v>
      </c>
      <c r="AS903">
        <f t="shared" ca="1" si="460"/>
        <v>3.8141460404132466E-3</v>
      </c>
    </row>
    <row r="904" spans="1:45" x14ac:dyDescent="0.35">
      <c r="A904">
        <v>843</v>
      </c>
      <c r="B904">
        <v>841.995</v>
      </c>
      <c r="C904">
        <v>616087.97</v>
      </c>
      <c r="D904">
        <v>3097164.9160000002</v>
      </c>
      <c r="E904">
        <v>632.14200000000005</v>
      </c>
      <c r="F904">
        <v>5.2</v>
      </c>
      <c r="G904">
        <v>0</v>
      </c>
      <c r="H904" t="s">
        <v>154</v>
      </c>
      <c r="I904">
        <v>2E-3</v>
      </c>
      <c r="J904">
        <f t="shared" si="461"/>
        <v>1</v>
      </c>
      <c r="K904">
        <f t="shared" ca="1" si="462"/>
        <v>50.95</v>
      </c>
      <c r="L904">
        <f t="shared" ca="1" si="463"/>
        <v>2.1389677043987478</v>
      </c>
      <c r="M904">
        <f t="shared" ca="1" si="436"/>
        <v>11.122632062873489</v>
      </c>
      <c r="N904">
        <f t="shared" ca="1" si="437"/>
        <v>1.1735290000551568</v>
      </c>
      <c r="O904">
        <f t="shared" ca="1" si="438"/>
        <v>4.5807502857230418</v>
      </c>
      <c r="P904">
        <f t="shared" ca="1" si="439"/>
        <v>634.28096770439879</v>
      </c>
      <c r="Q904">
        <f t="shared" ca="1" si="440"/>
        <v>635.35045155659816</v>
      </c>
      <c r="R904">
        <f t="shared" ca="1" si="441"/>
        <v>3.8141460404132466E-3</v>
      </c>
      <c r="S904">
        <f t="shared" ca="1" si="442"/>
        <v>1.0000000000000004</v>
      </c>
      <c r="T904">
        <f t="shared" ca="1" si="443"/>
        <v>35.686426155594638</v>
      </c>
      <c r="U904">
        <f t="shared" ca="1" si="464"/>
        <v>-3.3177109866073806E-3</v>
      </c>
      <c r="V904">
        <f t="shared" ca="1" si="465"/>
        <v>1</v>
      </c>
      <c r="W904">
        <f t="shared" ca="1" si="444"/>
        <v>2.1389677043987478</v>
      </c>
      <c r="X904">
        <f t="shared" ca="1" si="445"/>
        <v>11.122632062873489</v>
      </c>
      <c r="Y904">
        <f t="shared" ca="1" si="446"/>
        <v>1.1735290000551568</v>
      </c>
      <c r="Z904">
        <f t="shared" ca="1" si="447"/>
        <v>4.5807502857230418</v>
      </c>
      <c r="AA904">
        <f t="shared" ca="1" si="448"/>
        <v>634.28096770439879</v>
      </c>
      <c r="AB904">
        <f t="shared" ca="1" si="449"/>
        <v>635.35045155659816</v>
      </c>
      <c r="AC904">
        <f t="shared" ca="1" si="450"/>
        <v>3.8141460404132466E-3</v>
      </c>
      <c r="AD904">
        <f t="shared" ca="1" si="451"/>
        <v>1.0000000000000004</v>
      </c>
      <c r="AE904">
        <f t="shared" ca="1" si="452"/>
        <v>35.686426155594638</v>
      </c>
      <c r="AF904">
        <f t="shared" ca="1" si="453"/>
        <v>3.3750443833469035E-3</v>
      </c>
      <c r="AG904">
        <f t="shared" ca="1" si="454"/>
        <v>1</v>
      </c>
      <c r="AH904">
        <f ca="1">IFERROR(IF(V32="Supercritical",MAX($D$16,IFERROR(L904,MAX($D$16,POWER((ABS(K904)^2)/($I$5*MAX(F904,0.1)^2),1/3)))),IF(V32="Subcritical",MAX($D$16,IFERROR(W904,MAX($D$16,POWER((ABS(K904)^2)/($I$5*MAX(F904,0.1)^2),1/3)))),IF(AND(IFERROR(V904,0)=1,IFERROR(AG904,0)=1),IF(IFERROR(T904,-1E+99)&gt;=IFERROR(AE904,-1E+99),MAX($D$16,IFERROR(L904,MAX($D$16,POWER((ABS(K904)^2)/($I$5*MAX(F904,0.1)^2),1/3)))),MAX($D$16,IFERROR(W904,MAX($D$16,POWER((ABS(K904)^2)/($I$5*MAX(F904,0.1)^2),1/3))))),IF(IFERROR(V904,0)=1,MAX($D$16,IFERROR(L904,MAX($D$16,POWER((ABS(K904)^2)/($I$5*MAX(F904,0.1)^2),1/3)))),IF(IFERROR(AG904,0)=1,MAX($D$16,IFERROR(W904,MAX($D$16,POWER((ABS(K904)^2)/($I$5*MAX(F904,0.1)^2),1/3)))),MAX($D$16,POWER((ABS(K904)^2)/($I$5*MAX(F904,0.1)^2),1/3))))))),MAX($D$16,POWER((ABS(K904)^2)/($I$5*MAX(F904,0.1)^2),1/3)))</f>
        <v>2.1389677043987478</v>
      </c>
      <c r="AI904">
        <f t="shared" ca="1" si="455"/>
        <v>634.28096770439879</v>
      </c>
      <c r="AJ904">
        <f t="shared" ca="1" si="456"/>
        <v>635.35045155659816</v>
      </c>
      <c r="AM904">
        <v>0</v>
      </c>
      <c r="AN904">
        <v>0</v>
      </c>
      <c r="AO904">
        <f t="shared" si="457"/>
        <v>0</v>
      </c>
      <c r="AP904">
        <f t="shared" si="466"/>
        <v>0</v>
      </c>
      <c r="AQ904">
        <f t="shared" ca="1" si="458"/>
        <v>1.0000000000000004</v>
      </c>
      <c r="AR904" t="str">
        <f t="shared" ca="1" si="459"/>
        <v>Supercritical</v>
      </c>
      <c r="AS904">
        <f t="shared" ca="1" si="460"/>
        <v>3.8141460404132466E-3</v>
      </c>
    </row>
    <row r="905" spans="1:45" x14ac:dyDescent="0.35">
      <c r="A905">
        <v>844</v>
      </c>
      <c r="B905">
        <v>842.99599999999998</v>
      </c>
      <c r="C905">
        <v>616087.92799999996</v>
      </c>
      <c r="D905">
        <v>3097163.9160000002</v>
      </c>
      <c r="E905">
        <v>632.14149999999995</v>
      </c>
      <c r="F905">
        <v>5.2</v>
      </c>
      <c r="G905">
        <v>0</v>
      </c>
      <c r="H905" t="s">
        <v>154</v>
      </c>
      <c r="I905">
        <v>2E-3</v>
      </c>
      <c r="J905">
        <f t="shared" si="461"/>
        <v>1.0009999999999764</v>
      </c>
      <c r="K905">
        <f t="shared" ca="1" si="462"/>
        <v>50.95</v>
      </c>
      <c r="L905">
        <f t="shared" ca="1" si="463"/>
        <v>2.1389677043987478</v>
      </c>
      <c r="M905">
        <f t="shared" ca="1" si="436"/>
        <v>11.122632062873489</v>
      </c>
      <c r="N905">
        <f t="shared" ca="1" si="437"/>
        <v>1.1735290000551568</v>
      </c>
      <c r="O905">
        <f t="shared" ca="1" si="438"/>
        <v>4.5807502857230418</v>
      </c>
      <c r="P905">
        <f t="shared" ca="1" si="439"/>
        <v>634.28046770439869</v>
      </c>
      <c r="Q905">
        <f t="shared" ca="1" si="440"/>
        <v>635.34995155659806</v>
      </c>
      <c r="R905">
        <f t="shared" ca="1" si="441"/>
        <v>3.8141460404132466E-3</v>
      </c>
      <c r="S905">
        <f t="shared" ca="1" si="442"/>
        <v>1.0000000000000004</v>
      </c>
      <c r="T905">
        <f t="shared" ca="1" si="443"/>
        <v>35.686426155594638</v>
      </c>
      <c r="U905">
        <f t="shared" ca="1" si="464"/>
        <v>-3.3215251324918427E-3</v>
      </c>
      <c r="V905">
        <f t="shared" ca="1" si="465"/>
        <v>1</v>
      </c>
      <c r="W905">
        <f t="shared" ca="1" si="444"/>
        <v>2.1389677043987478</v>
      </c>
      <c r="X905">
        <f t="shared" ca="1" si="445"/>
        <v>11.122632062873489</v>
      </c>
      <c r="Y905">
        <f t="shared" ca="1" si="446"/>
        <v>1.1735290000551568</v>
      </c>
      <c r="Z905">
        <f t="shared" ca="1" si="447"/>
        <v>4.5807502857230418</v>
      </c>
      <c r="AA905">
        <f t="shared" ca="1" si="448"/>
        <v>634.28046770439869</v>
      </c>
      <c r="AB905">
        <f t="shared" ca="1" si="449"/>
        <v>635.34995155659806</v>
      </c>
      <c r="AC905">
        <f t="shared" ca="1" si="450"/>
        <v>3.8141460404132466E-3</v>
      </c>
      <c r="AD905">
        <f t="shared" ca="1" si="451"/>
        <v>1.0000000000000004</v>
      </c>
      <c r="AE905">
        <f t="shared" ca="1" si="452"/>
        <v>35.686426155594638</v>
      </c>
      <c r="AF905">
        <f t="shared" ca="1" si="453"/>
        <v>3.4692882958324844E-3</v>
      </c>
      <c r="AG905">
        <f t="shared" ca="1" si="454"/>
        <v>1</v>
      </c>
      <c r="AH905">
        <f ca="1">IFERROR(IF(V32="Supercritical",MAX($D$16,IFERROR(L905,MAX($D$16,POWER((ABS(K905)^2)/($I$5*MAX(F905,0.1)^2),1/3)))),IF(V32="Subcritical",MAX($D$16,IFERROR(W905,MAX($D$16,POWER((ABS(K905)^2)/($I$5*MAX(F905,0.1)^2),1/3)))),IF(AND(IFERROR(V905,0)=1,IFERROR(AG905,0)=1),IF(IFERROR(T905,-1E+99)&gt;=IFERROR(AE905,-1E+99),MAX($D$16,IFERROR(L905,MAX($D$16,POWER((ABS(K905)^2)/($I$5*MAX(F905,0.1)^2),1/3)))),MAX($D$16,IFERROR(W905,MAX($D$16,POWER((ABS(K905)^2)/($I$5*MAX(F905,0.1)^2),1/3))))),IF(IFERROR(V905,0)=1,MAX($D$16,IFERROR(L905,MAX($D$16,POWER((ABS(K905)^2)/($I$5*MAX(F905,0.1)^2),1/3)))),IF(IFERROR(AG905,0)=1,MAX($D$16,IFERROR(W905,MAX($D$16,POWER((ABS(K905)^2)/($I$5*MAX(F905,0.1)^2),1/3)))),MAX($D$16,POWER((ABS(K905)^2)/($I$5*MAX(F905,0.1)^2),1/3))))))),MAX($D$16,POWER((ABS(K905)^2)/($I$5*MAX(F905,0.1)^2),1/3)))</f>
        <v>2.1389677043987478</v>
      </c>
      <c r="AI905">
        <f t="shared" ca="1" si="455"/>
        <v>634.28046770439869</v>
      </c>
      <c r="AJ905">
        <f t="shared" ca="1" si="456"/>
        <v>635.34995155659806</v>
      </c>
      <c r="AM905">
        <v>0</v>
      </c>
      <c r="AN905">
        <v>0</v>
      </c>
      <c r="AO905">
        <f t="shared" si="457"/>
        <v>0</v>
      </c>
      <c r="AP905">
        <f t="shared" si="466"/>
        <v>0</v>
      </c>
      <c r="AQ905">
        <f t="shared" ca="1" si="458"/>
        <v>1.0000000000000004</v>
      </c>
      <c r="AR905" t="str">
        <f t="shared" ca="1" si="459"/>
        <v>Supercritical</v>
      </c>
      <c r="AS905">
        <f t="shared" ca="1" si="460"/>
        <v>3.8141460404132466E-3</v>
      </c>
    </row>
    <row r="906" spans="1:45" x14ac:dyDescent="0.35">
      <c r="A906">
        <v>845</v>
      </c>
      <c r="B906">
        <v>843.99599999999998</v>
      </c>
      <c r="C906">
        <v>616087.88600000006</v>
      </c>
      <c r="D906">
        <v>3097162.9169999999</v>
      </c>
      <c r="E906">
        <v>632.14099999999996</v>
      </c>
      <c r="F906">
        <v>5.2</v>
      </c>
      <c r="G906">
        <v>0</v>
      </c>
      <c r="H906" t="s">
        <v>154</v>
      </c>
      <c r="I906">
        <v>5.7000000000000002E-2</v>
      </c>
      <c r="J906">
        <f t="shared" si="461"/>
        <v>1</v>
      </c>
      <c r="K906">
        <f t="shared" ca="1" si="462"/>
        <v>50.95</v>
      </c>
      <c r="L906">
        <f t="shared" ca="1" si="463"/>
        <v>2.1389677043987478</v>
      </c>
      <c r="M906">
        <f t="shared" ca="1" si="436"/>
        <v>11.122632062873489</v>
      </c>
      <c r="N906">
        <f t="shared" ca="1" si="437"/>
        <v>1.1735290000551568</v>
      </c>
      <c r="O906">
        <f t="shared" ca="1" si="438"/>
        <v>4.5807502857230418</v>
      </c>
      <c r="P906">
        <f t="shared" ca="1" si="439"/>
        <v>634.2799677043987</v>
      </c>
      <c r="Q906">
        <f t="shared" ca="1" si="440"/>
        <v>635.34945155659807</v>
      </c>
      <c r="R906">
        <f t="shared" ca="1" si="441"/>
        <v>3.8141460404132466E-3</v>
      </c>
      <c r="S906">
        <f t="shared" ca="1" si="442"/>
        <v>1.0000000000000004</v>
      </c>
      <c r="T906">
        <f t="shared" ca="1" si="443"/>
        <v>35.686426155594638</v>
      </c>
      <c r="U906">
        <f t="shared" ca="1" si="464"/>
        <v>-3.4157470064428708E-3</v>
      </c>
      <c r="V906">
        <f t="shared" ca="1" si="465"/>
        <v>1</v>
      </c>
      <c r="W906">
        <f t="shared" ca="1" si="444"/>
        <v>2.1389677043987478</v>
      </c>
      <c r="X906">
        <f t="shared" ca="1" si="445"/>
        <v>11.122632062873489</v>
      </c>
      <c r="Y906">
        <f t="shared" ca="1" si="446"/>
        <v>1.1735290000551568</v>
      </c>
      <c r="Z906">
        <f t="shared" ca="1" si="447"/>
        <v>4.5807502857230418</v>
      </c>
      <c r="AA906">
        <f t="shared" ca="1" si="448"/>
        <v>634.2799677043987</v>
      </c>
      <c r="AB906">
        <f t="shared" ca="1" si="449"/>
        <v>635.34945155659807</v>
      </c>
      <c r="AC906">
        <f t="shared" ca="1" si="450"/>
        <v>3.8141460404132466E-3</v>
      </c>
      <c r="AD906">
        <f t="shared" ca="1" si="451"/>
        <v>1.0000000000000004</v>
      </c>
      <c r="AE906">
        <f t="shared" ca="1" si="452"/>
        <v>35.686426155594638</v>
      </c>
      <c r="AF906">
        <f t="shared" ca="1" si="453"/>
        <v>3.4677132595106741E-3</v>
      </c>
      <c r="AG906">
        <f t="shared" ca="1" si="454"/>
        <v>1</v>
      </c>
      <c r="AH906">
        <f ca="1">IFERROR(IF(V32="Supercritical",MAX($D$16,IFERROR(L906,MAX($D$16,POWER((ABS(K906)^2)/($I$5*MAX(F906,0.1)^2),1/3)))),IF(V32="Subcritical",MAX($D$16,IFERROR(W906,MAX($D$16,POWER((ABS(K906)^2)/($I$5*MAX(F906,0.1)^2),1/3)))),IF(AND(IFERROR(V906,0)=1,IFERROR(AG906,0)=1),IF(IFERROR(T906,-1E+99)&gt;=IFERROR(AE906,-1E+99),MAX($D$16,IFERROR(L906,MAX($D$16,POWER((ABS(K906)^2)/($I$5*MAX(F906,0.1)^2),1/3)))),MAX($D$16,IFERROR(W906,MAX($D$16,POWER((ABS(K906)^2)/($I$5*MAX(F906,0.1)^2),1/3))))),IF(IFERROR(V906,0)=1,MAX($D$16,IFERROR(L906,MAX($D$16,POWER((ABS(K906)^2)/($I$5*MAX(F906,0.1)^2),1/3)))),IF(IFERROR(AG906,0)=1,MAX($D$16,IFERROR(W906,MAX($D$16,POWER((ABS(K906)^2)/($I$5*MAX(F906,0.1)^2),1/3)))),MAX($D$16,POWER((ABS(K906)^2)/($I$5*MAX(F906,0.1)^2),1/3))))))),MAX($D$16,POWER((ABS(K906)^2)/($I$5*MAX(F906,0.1)^2),1/3)))</f>
        <v>2.1389677043987478</v>
      </c>
      <c r="AI906">
        <f t="shared" ca="1" si="455"/>
        <v>634.2799677043987</v>
      </c>
      <c r="AJ906">
        <f t="shared" ca="1" si="456"/>
        <v>635.34945155659807</v>
      </c>
      <c r="AM906">
        <v>0</v>
      </c>
      <c r="AN906">
        <v>0</v>
      </c>
      <c r="AO906">
        <f t="shared" si="457"/>
        <v>0</v>
      </c>
      <c r="AP906">
        <f t="shared" si="466"/>
        <v>0</v>
      </c>
      <c r="AQ906">
        <f t="shared" ca="1" si="458"/>
        <v>1.0000000000000004</v>
      </c>
      <c r="AR906" t="str">
        <f t="shared" ca="1" si="459"/>
        <v>Supercritical</v>
      </c>
      <c r="AS906">
        <f t="shared" ca="1" si="460"/>
        <v>3.8141460404132466E-3</v>
      </c>
    </row>
    <row r="907" spans="1:45" x14ac:dyDescent="0.35">
      <c r="A907">
        <v>846</v>
      </c>
      <c r="B907">
        <v>844.99599999999998</v>
      </c>
      <c r="C907">
        <v>616087.84299999999</v>
      </c>
      <c r="D907">
        <v>3097161.9180000001</v>
      </c>
      <c r="E907">
        <v>632.14049999999997</v>
      </c>
      <c r="F907">
        <v>5.2</v>
      </c>
      <c r="G907">
        <v>0</v>
      </c>
      <c r="H907" t="s">
        <v>154</v>
      </c>
      <c r="I907">
        <v>5.7000000000000002E-2</v>
      </c>
      <c r="J907">
        <f t="shared" si="461"/>
        <v>1</v>
      </c>
      <c r="K907">
        <f t="shared" ca="1" si="462"/>
        <v>50.95</v>
      </c>
      <c r="L907">
        <f t="shared" ca="1" si="463"/>
        <v>2.1389677043987478</v>
      </c>
      <c r="M907">
        <f t="shared" ca="1" si="436"/>
        <v>11.122632062873489</v>
      </c>
      <c r="N907">
        <f t="shared" ca="1" si="437"/>
        <v>1.1735290000551568</v>
      </c>
      <c r="O907">
        <f t="shared" ca="1" si="438"/>
        <v>4.5807502857230418</v>
      </c>
      <c r="P907">
        <f t="shared" ca="1" si="439"/>
        <v>634.27946770439871</v>
      </c>
      <c r="Q907">
        <f t="shared" ca="1" si="440"/>
        <v>635.34895155659808</v>
      </c>
      <c r="R907">
        <f t="shared" ca="1" si="441"/>
        <v>3.8141460404132466E-3</v>
      </c>
      <c r="S907">
        <f t="shared" ca="1" si="442"/>
        <v>1.0000000000000004</v>
      </c>
      <c r="T907">
        <f t="shared" ca="1" si="443"/>
        <v>35.686426155594638</v>
      </c>
      <c r="U907">
        <f t="shared" ca="1" si="464"/>
        <v>-3.4157470064428708E-3</v>
      </c>
      <c r="V907">
        <f t="shared" ca="1" si="465"/>
        <v>1</v>
      </c>
      <c r="W907">
        <f t="shared" ca="1" si="444"/>
        <v>2.1389677043987478</v>
      </c>
      <c r="X907">
        <f t="shared" ca="1" si="445"/>
        <v>11.122632062873489</v>
      </c>
      <c r="Y907">
        <f t="shared" ca="1" si="446"/>
        <v>1.1735290000551568</v>
      </c>
      <c r="Z907">
        <f t="shared" ca="1" si="447"/>
        <v>4.5807502857230418</v>
      </c>
      <c r="AA907">
        <f t="shared" ca="1" si="448"/>
        <v>634.27946770439871</v>
      </c>
      <c r="AB907">
        <f t="shared" ca="1" si="449"/>
        <v>635.34895155659808</v>
      </c>
      <c r="AC907">
        <f t="shared" ca="1" si="450"/>
        <v>3.8141460404132466E-3</v>
      </c>
      <c r="AD907">
        <f t="shared" ca="1" si="451"/>
        <v>1.0000000000000004</v>
      </c>
      <c r="AE907">
        <f t="shared" ca="1" si="452"/>
        <v>35.686426155594638</v>
      </c>
      <c r="AF907">
        <f t="shared" ca="1" si="453"/>
        <v>3.366088659390698E-3</v>
      </c>
      <c r="AG907">
        <f t="shared" ca="1" si="454"/>
        <v>1</v>
      </c>
      <c r="AH907">
        <f ca="1">IFERROR(IF(V32="Supercritical",MAX($D$16,IFERROR(L907,MAX($D$16,POWER((ABS(K907)^2)/($I$5*MAX(F907,0.1)^2),1/3)))),IF(V32="Subcritical",MAX($D$16,IFERROR(W907,MAX($D$16,POWER((ABS(K907)^2)/($I$5*MAX(F907,0.1)^2),1/3)))),IF(AND(IFERROR(V907,0)=1,IFERROR(AG907,0)=1),IF(IFERROR(T907,-1E+99)&gt;=IFERROR(AE907,-1E+99),MAX($D$16,IFERROR(L907,MAX($D$16,POWER((ABS(K907)^2)/($I$5*MAX(F907,0.1)^2),1/3)))),MAX($D$16,IFERROR(W907,MAX($D$16,POWER((ABS(K907)^2)/($I$5*MAX(F907,0.1)^2),1/3))))),IF(IFERROR(V907,0)=1,MAX($D$16,IFERROR(L907,MAX($D$16,POWER((ABS(K907)^2)/($I$5*MAX(F907,0.1)^2),1/3)))),IF(IFERROR(AG907,0)=1,MAX($D$16,IFERROR(W907,MAX($D$16,POWER((ABS(K907)^2)/($I$5*MAX(F907,0.1)^2),1/3)))),MAX($D$16,POWER((ABS(K907)^2)/($I$5*MAX(F907,0.1)^2),1/3))))))),MAX($D$16,POWER((ABS(K907)^2)/($I$5*MAX(F907,0.1)^2),1/3)))</f>
        <v>2.1389677043987478</v>
      </c>
      <c r="AI907">
        <f t="shared" ca="1" si="455"/>
        <v>634.27946770439871</v>
      </c>
      <c r="AJ907">
        <f t="shared" ca="1" si="456"/>
        <v>635.34895155659808</v>
      </c>
      <c r="AM907">
        <v>0</v>
      </c>
      <c r="AN907">
        <v>0</v>
      </c>
      <c r="AO907">
        <f t="shared" si="457"/>
        <v>0</v>
      </c>
      <c r="AP907">
        <f t="shared" si="466"/>
        <v>0</v>
      </c>
      <c r="AQ907">
        <f t="shared" ca="1" si="458"/>
        <v>1.0000000000000004</v>
      </c>
      <c r="AR907" t="str">
        <f t="shared" ca="1" si="459"/>
        <v>Supercritical</v>
      </c>
      <c r="AS907">
        <f t="shared" ca="1" si="460"/>
        <v>3.8141460404132466E-3</v>
      </c>
    </row>
    <row r="908" spans="1:45" x14ac:dyDescent="0.35">
      <c r="A908">
        <v>847</v>
      </c>
      <c r="B908">
        <v>845.99599999999998</v>
      </c>
      <c r="C908">
        <v>616087.80099999998</v>
      </c>
      <c r="D908">
        <v>3097160.9190000002</v>
      </c>
      <c r="E908">
        <v>632.14</v>
      </c>
      <c r="F908">
        <v>5.2</v>
      </c>
      <c r="G908">
        <v>0</v>
      </c>
      <c r="H908" t="s">
        <v>154</v>
      </c>
      <c r="I908">
        <v>0</v>
      </c>
      <c r="J908">
        <f t="shared" si="461"/>
        <v>1</v>
      </c>
      <c r="K908">
        <f t="shared" ca="1" si="462"/>
        <v>50.95</v>
      </c>
      <c r="L908">
        <f t="shared" ca="1" si="463"/>
        <v>2.1389677043987478</v>
      </c>
      <c r="M908">
        <f t="shared" ca="1" si="436"/>
        <v>11.122632062873489</v>
      </c>
      <c r="N908">
        <f t="shared" ca="1" si="437"/>
        <v>1.1735290000551568</v>
      </c>
      <c r="O908">
        <f t="shared" ca="1" si="438"/>
        <v>4.5807502857230418</v>
      </c>
      <c r="P908">
        <f t="shared" ca="1" si="439"/>
        <v>634.27896770439872</v>
      </c>
      <c r="Q908">
        <f t="shared" ca="1" si="440"/>
        <v>635.34845155659809</v>
      </c>
      <c r="R908">
        <f t="shared" ca="1" si="441"/>
        <v>3.8141460404132466E-3</v>
      </c>
      <c r="S908">
        <f t="shared" ca="1" si="442"/>
        <v>1.0000000000000004</v>
      </c>
      <c r="T908">
        <f t="shared" ca="1" si="443"/>
        <v>35.686426155594638</v>
      </c>
      <c r="U908">
        <f t="shared" ca="1" si="464"/>
        <v>-3.3141460404522149E-3</v>
      </c>
      <c r="V908">
        <f t="shared" ca="1" si="465"/>
        <v>1</v>
      </c>
      <c r="W908">
        <f t="shared" ca="1" si="444"/>
        <v>2.1389677043987478</v>
      </c>
      <c r="X908">
        <f t="shared" ca="1" si="445"/>
        <v>11.122632062873489</v>
      </c>
      <c r="Y908">
        <f t="shared" ca="1" si="446"/>
        <v>1.1735290000551568</v>
      </c>
      <c r="Z908">
        <f t="shared" ca="1" si="447"/>
        <v>4.5807502857230418</v>
      </c>
      <c r="AA908">
        <f t="shared" ca="1" si="448"/>
        <v>634.27896770439872</v>
      </c>
      <c r="AB908">
        <f t="shared" ca="1" si="449"/>
        <v>635.34845155659809</v>
      </c>
      <c r="AC908">
        <f t="shared" ca="1" si="450"/>
        <v>3.8141460404132466E-3</v>
      </c>
      <c r="AD908">
        <f t="shared" ca="1" si="451"/>
        <v>1.0000000000000004</v>
      </c>
      <c r="AE908">
        <f t="shared" ca="1" si="452"/>
        <v>35.686426155594638</v>
      </c>
      <c r="AF908">
        <f t="shared" ca="1" si="453"/>
        <v>3.3676613725219795E-3</v>
      </c>
      <c r="AG908">
        <f t="shared" ca="1" si="454"/>
        <v>1</v>
      </c>
      <c r="AH908">
        <f ca="1">IFERROR(IF(V32="Supercritical",MAX($D$16,IFERROR(L908,MAX($D$16,POWER((ABS(K908)^2)/($I$5*MAX(F908,0.1)^2),1/3)))),IF(V32="Subcritical",MAX($D$16,IFERROR(W908,MAX($D$16,POWER((ABS(K908)^2)/($I$5*MAX(F908,0.1)^2),1/3)))),IF(AND(IFERROR(V908,0)=1,IFERROR(AG908,0)=1),IF(IFERROR(T908,-1E+99)&gt;=IFERROR(AE908,-1E+99),MAX($D$16,IFERROR(L908,MAX($D$16,POWER((ABS(K908)^2)/($I$5*MAX(F908,0.1)^2),1/3)))),MAX($D$16,IFERROR(W908,MAX($D$16,POWER((ABS(K908)^2)/($I$5*MAX(F908,0.1)^2),1/3))))),IF(IFERROR(V908,0)=1,MAX($D$16,IFERROR(L908,MAX($D$16,POWER((ABS(K908)^2)/($I$5*MAX(F908,0.1)^2),1/3)))),IF(IFERROR(AG908,0)=1,MAX($D$16,IFERROR(W908,MAX($D$16,POWER((ABS(K908)^2)/($I$5*MAX(F908,0.1)^2),1/3)))),MAX($D$16,POWER((ABS(K908)^2)/($I$5*MAX(F908,0.1)^2),1/3))))))),MAX($D$16,POWER((ABS(K908)^2)/($I$5*MAX(F908,0.1)^2),1/3)))</f>
        <v>2.1389677043987478</v>
      </c>
      <c r="AI908">
        <f t="shared" ca="1" si="455"/>
        <v>634.27896770439872</v>
      </c>
      <c r="AJ908">
        <f t="shared" ca="1" si="456"/>
        <v>635.34845155659809</v>
      </c>
      <c r="AM908">
        <v>0</v>
      </c>
      <c r="AN908">
        <v>0</v>
      </c>
      <c r="AO908">
        <f t="shared" si="457"/>
        <v>0</v>
      </c>
      <c r="AP908">
        <f t="shared" si="466"/>
        <v>0</v>
      </c>
      <c r="AQ908">
        <f t="shared" ca="1" si="458"/>
        <v>1.0000000000000004</v>
      </c>
      <c r="AR908" t="str">
        <f t="shared" ca="1" si="459"/>
        <v>Supercritical</v>
      </c>
      <c r="AS908">
        <f t="shared" ca="1" si="460"/>
        <v>3.8141460404132466E-3</v>
      </c>
    </row>
    <row r="909" spans="1:45" x14ac:dyDescent="0.35">
      <c r="A909">
        <v>848</v>
      </c>
      <c r="B909">
        <v>846.99599999999998</v>
      </c>
      <c r="C909">
        <v>616087.75899999996</v>
      </c>
      <c r="D909">
        <v>3097159.92</v>
      </c>
      <c r="E909">
        <v>632.1395</v>
      </c>
      <c r="F909">
        <v>5.2</v>
      </c>
      <c r="G909">
        <v>0</v>
      </c>
      <c r="H909" t="s">
        <v>154</v>
      </c>
      <c r="I909">
        <v>0</v>
      </c>
      <c r="J909">
        <f t="shared" si="461"/>
        <v>1</v>
      </c>
      <c r="K909">
        <f t="shared" ca="1" si="462"/>
        <v>50.95</v>
      </c>
      <c r="L909">
        <f t="shared" ca="1" si="463"/>
        <v>2.1389677043987478</v>
      </c>
      <c r="M909">
        <f t="shared" ca="1" si="436"/>
        <v>11.122632062873489</v>
      </c>
      <c r="N909">
        <f t="shared" ca="1" si="437"/>
        <v>1.1735290000551568</v>
      </c>
      <c r="O909">
        <f t="shared" ca="1" si="438"/>
        <v>4.5807502857230418</v>
      </c>
      <c r="P909">
        <f t="shared" ca="1" si="439"/>
        <v>634.27846770439874</v>
      </c>
      <c r="Q909">
        <f t="shared" ca="1" si="440"/>
        <v>635.3479515565981</v>
      </c>
      <c r="R909">
        <f t="shared" ca="1" si="441"/>
        <v>3.8141460404132466E-3</v>
      </c>
      <c r="S909">
        <f t="shared" ca="1" si="442"/>
        <v>1.0000000000000004</v>
      </c>
      <c r="T909">
        <f t="shared" ca="1" si="443"/>
        <v>35.686426155594638</v>
      </c>
      <c r="U909">
        <f t="shared" ca="1" si="464"/>
        <v>-3.3141460404522149E-3</v>
      </c>
      <c r="V909">
        <f t="shared" ca="1" si="465"/>
        <v>1</v>
      </c>
      <c r="W909">
        <f t="shared" ca="1" si="444"/>
        <v>2.1389677043987478</v>
      </c>
      <c r="X909">
        <f t="shared" ca="1" si="445"/>
        <v>11.122632062873489</v>
      </c>
      <c r="Y909">
        <f t="shared" ca="1" si="446"/>
        <v>1.1735290000551568</v>
      </c>
      <c r="Z909">
        <f t="shared" ca="1" si="447"/>
        <v>4.5807502857230418</v>
      </c>
      <c r="AA909">
        <f t="shared" ca="1" si="448"/>
        <v>634.27846770439874</v>
      </c>
      <c r="AB909">
        <f t="shared" ca="1" si="449"/>
        <v>635.3479515565981</v>
      </c>
      <c r="AC909">
        <f t="shared" ca="1" si="450"/>
        <v>3.8141460404132466E-3</v>
      </c>
      <c r="AD909">
        <f t="shared" ca="1" si="451"/>
        <v>1.0000000000000004</v>
      </c>
      <c r="AE909">
        <f t="shared" ca="1" si="452"/>
        <v>35.686426155594638</v>
      </c>
      <c r="AF909">
        <f t="shared" ca="1" si="453"/>
        <v>3.46922917037773E-3</v>
      </c>
      <c r="AG909">
        <f t="shared" ca="1" si="454"/>
        <v>1</v>
      </c>
      <c r="AH909">
        <f ca="1">IFERROR(IF(V32="Supercritical",MAX($D$16,IFERROR(L909,MAX($D$16,POWER((ABS(K909)^2)/($I$5*MAX(F909,0.1)^2),1/3)))),IF(V32="Subcritical",MAX($D$16,IFERROR(W909,MAX($D$16,POWER((ABS(K909)^2)/($I$5*MAX(F909,0.1)^2),1/3)))),IF(AND(IFERROR(V909,0)=1,IFERROR(AG909,0)=1),IF(IFERROR(T909,-1E+99)&gt;=IFERROR(AE909,-1E+99),MAX($D$16,IFERROR(L909,MAX($D$16,POWER((ABS(K909)^2)/($I$5*MAX(F909,0.1)^2),1/3)))),MAX($D$16,IFERROR(W909,MAX($D$16,POWER((ABS(K909)^2)/($I$5*MAX(F909,0.1)^2),1/3))))),IF(IFERROR(V909,0)=1,MAX($D$16,IFERROR(L909,MAX($D$16,POWER((ABS(K909)^2)/($I$5*MAX(F909,0.1)^2),1/3)))),IF(IFERROR(AG909,0)=1,MAX($D$16,IFERROR(W909,MAX($D$16,POWER((ABS(K909)^2)/($I$5*MAX(F909,0.1)^2),1/3)))),MAX($D$16,POWER((ABS(K909)^2)/($I$5*MAX(F909,0.1)^2),1/3))))))),MAX($D$16,POWER((ABS(K909)^2)/($I$5*MAX(F909,0.1)^2),1/3)))</f>
        <v>2.1389677043987478</v>
      </c>
      <c r="AI909">
        <f t="shared" ca="1" si="455"/>
        <v>634.27846770439874</v>
      </c>
      <c r="AJ909">
        <f t="shared" ca="1" si="456"/>
        <v>635.3479515565981</v>
      </c>
      <c r="AM909">
        <v>0</v>
      </c>
      <c r="AN909">
        <v>0</v>
      </c>
      <c r="AO909">
        <f t="shared" si="457"/>
        <v>0</v>
      </c>
      <c r="AP909">
        <f t="shared" si="466"/>
        <v>0</v>
      </c>
      <c r="AQ909">
        <f t="shared" ca="1" si="458"/>
        <v>1.0000000000000004</v>
      </c>
      <c r="AR909" t="str">
        <f t="shared" ca="1" si="459"/>
        <v>Supercritical</v>
      </c>
      <c r="AS909">
        <f t="shared" ca="1" si="460"/>
        <v>3.8141460404132466E-3</v>
      </c>
    </row>
    <row r="910" spans="1:45" x14ac:dyDescent="0.35">
      <c r="A910">
        <v>849</v>
      </c>
      <c r="B910">
        <v>847.99599999999998</v>
      </c>
      <c r="C910">
        <v>616087.71699999995</v>
      </c>
      <c r="D910">
        <v>3097158.9210000001</v>
      </c>
      <c r="E910">
        <v>632.13900000000001</v>
      </c>
      <c r="F910">
        <v>5.2</v>
      </c>
      <c r="G910">
        <v>0</v>
      </c>
      <c r="H910" t="s">
        <v>154</v>
      </c>
      <c r="I910">
        <v>5.7000000000000002E-2</v>
      </c>
      <c r="J910">
        <f t="shared" si="461"/>
        <v>1</v>
      </c>
      <c r="K910">
        <f t="shared" ca="1" si="462"/>
        <v>50.95</v>
      </c>
      <c r="L910">
        <f t="shared" ca="1" si="463"/>
        <v>2.1389677043987478</v>
      </c>
      <c r="M910">
        <f t="shared" ca="1" si="436"/>
        <v>11.122632062873489</v>
      </c>
      <c r="N910">
        <f t="shared" ca="1" si="437"/>
        <v>1.1735290000551568</v>
      </c>
      <c r="O910">
        <f t="shared" ca="1" si="438"/>
        <v>4.5807502857230418</v>
      </c>
      <c r="P910">
        <f t="shared" ca="1" si="439"/>
        <v>634.27796770439875</v>
      </c>
      <c r="Q910">
        <f t="shared" ca="1" si="440"/>
        <v>635.34745155659812</v>
      </c>
      <c r="R910">
        <f t="shared" ca="1" si="441"/>
        <v>3.8141460404132466E-3</v>
      </c>
      <c r="S910">
        <f t="shared" ca="1" si="442"/>
        <v>1.0000000000000004</v>
      </c>
      <c r="T910">
        <f t="shared" ca="1" si="443"/>
        <v>35.686426155594638</v>
      </c>
      <c r="U910">
        <f t="shared" ca="1" si="464"/>
        <v>-3.4157470064428708E-3</v>
      </c>
      <c r="V910">
        <f t="shared" ca="1" si="465"/>
        <v>1</v>
      </c>
      <c r="W910">
        <f t="shared" ca="1" si="444"/>
        <v>2.1389677043987478</v>
      </c>
      <c r="X910">
        <f t="shared" ca="1" si="445"/>
        <v>11.122632062873489</v>
      </c>
      <c r="Y910">
        <f t="shared" ca="1" si="446"/>
        <v>1.1735290000551568</v>
      </c>
      <c r="Z910">
        <f t="shared" ca="1" si="447"/>
        <v>4.5807502857230418</v>
      </c>
      <c r="AA910">
        <f t="shared" ca="1" si="448"/>
        <v>634.27796770439875</v>
      </c>
      <c r="AB910">
        <f t="shared" ca="1" si="449"/>
        <v>635.34745155659812</v>
      </c>
      <c r="AC910">
        <f t="shared" ca="1" si="450"/>
        <v>3.8141460404132466E-3</v>
      </c>
      <c r="AD910">
        <f t="shared" ca="1" si="451"/>
        <v>1.0000000000000004</v>
      </c>
      <c r="AE910">
        <f t="shared" ca="1" si="452"/>
        <v>35.686426155594638</v>
      </c>
      <c r="AF910">
        <f t="shared" ca="1" si="453"/>
        <v>3.4638987733615068E-3</v>
      </c>
      <c r="AG910">
        <f t="shared" ca="1" si="454"/>
        <v>1</v>
      </c>
      <c r="AH910">
        <f ca="1">IFERROR(IF(V32="Supercritical",MAX($D$16,IFERROR(L910,MAX($D$16,POWER((ABS(K910)^2)/($I$5*MAX(F910,0.1)^2),1/3)))),IF(V32="Subcritical",MAX($D$16,IFERROR(W910,MAX($D$16,POWER((ABS(K910)^2)/($I$5*MAX(F910,0.1)^2),1/3)))),IF(AND(IFERROR(V910,0)=1,IFERROR(AG910,0)=1),IF(IFERROR(T910,-1E+99)&gt;=IFERROR(AE910,-1E+99),MAX($D$16,IFERROR(L910,MAX($D$16,POWER((ABS(K910)^2)/($I$5*MAX(F910,0.1)^2),1/3)))),MAX($D$16,IFERROR(W910,MAX($D$16,POWER((ABS(K910)^2)/($I$5*MAX(F910,0.1)^2),1/3))))),IF(IFERROR(V910,0)=1,MAX($D$16,IFERROR(L910,MAX($D$16,POWER((ABS(K910)^2)/($I$5*MAX(F910,0.1)^2),1/3)))),IF(IFERROR(AG910,0)=1,MAX($D$16,IFERROR(W910,MAX($D$16,POWER((ABS(K910)^2)/($I$5*MAX(F910,0.1)^2),1/3)))),MAX($D$16,POWER((ABS(K910)^2)/($I$5*MAX(F910,0.1)^2),1/3))))))),MAX($D$16,POWER((ABS(K910)^2)/($I$5*MAX(F910,0.1)^2),1/3)))</f>
        <v>2.1389677043987478</v>
      </c>
      <c r="AI910">
        <f t="shared" ca="1" si="455"/>
        <v>634.27796770439875</v>
      </c>
      <c r="AJ910">
        <f t="shared" ca="1" si="456"/>
        <v>635.34745155659812</v>
      </c>
      <c r="AM910">
        <v>0</v>
      </c>
      <c r="AN910">
        <v>0</v>
      </c>
      <c r="AO910">
        <f t="shared" si="457"/>
        <v>0</v>
      </c>
      <c r="AP910">
        <f t="shared" si="466"/>
        <v>0</v>
      </c>
      <c r="AQ910">
        <f t="shared" ca="1" si="458"/>
        <v>1.0000000000000004</v>
      </c>
      <c r="AR910" t="str">
        <f t="shared" ca="1" si="459"/>
        <v>Supercritical</v>
      </c>
      <c r="AS910">
        <f t="shared" ca="1" si="460"/>
        <v>3.8141460404132466E-3</v>
      </c>
    </row>
    <row r="911" spans="1:45" x14ac:dyDescent="0.35">
      <c r="A911">
        <v>850</v>
      </c>
      <c r="B911">
        <v>848.995</v>
      </c>
      <c r="C911">
        <v>616087.674</v>
      </c>
      <c r="D911">
        <v>3097157.9219999998</v>
      </c>
      <c r="E911">
        <v>632.13850000000002</v>
      </c>
      <c r="F911">
        <v>5.2</v>
      </c>
      <c r="G911">
        <v>0</v>
      </c>
      <c r="H911" t="s">
        <v>154</v>
      </c>
      <c r="I911">
        <v>5.7000000000000002E-2</v>
      </c>
      <c r="J911">
        <f t="shared" si="461"/>
        <v>0.99900000000002365</v>
      </c>
      <c r="K911">
        <f t="shared" ca="1" si="462"/>
        <v>50.95</v>
      </c>
      <c r="L911">
        <f t="shared" ca="1" si="463"/>
        <v>2.1389677043987478</v>
      </c>
      <c r="M911">
        <f t="shared" ca="1" si="436"/>
        <v>11.122632062873489</v>
      </c>
      <c r="N911">
        <f t="shared" ca="1" si="437"/>
        <v>1.1735290000551568</v>
      </c>
      <c r="O911">
        <f t="shared" ca="1" si="438"/>
        <v>4.5807502857230418</v>
      </c>
      <c r="P911">
        <f t="shared" ca="1" si="439"/>
        <v>634.27746770439876</v>
      </c>
      <c r="Q911">
        <f t="shared" ca="1" si="440"/>
        <v>635.34695155659813</v>
      </c>
      <c r="R911">
        <f t="shared" ca="1" si="441"/>
        <v>3.8141460404132466E-3</v>
      </c>
      <c r="S911">
        <f t="shared" ca="1" si="442"/>
        <v>1.0000000000000004</v>
      </c>
      <c r="T911">
        <f t="shared" ca="1" si="443"/>
        <v>35.686426155594638</v>
      </c>
      <c r="U911">
        <f t="shared" ca="1" si="464"/>
        <v>-3.411932860331035E-3</v>
      </c>
      <c r="V911">
        <f t="shared" ca="1" si="465"/>
        <v>1</v>
      </c>
      <c r="W911">
        <f t="shared" ca="1" si="444"/>
        <v>2.1389677043987478</v>
      </c>
      <c r="X911">
        <f t="shared" ca="1" si="445"/>
        <v>11.122632062873489</v>
      </c>
      <c r="Y911">
        <f t="shared" ca="1" si="446"/>
        <v>1.1735290000551568</v>
      </c>
      <c r="Z911">
        <f t="shared" ca="1" si="447"/>
        <v>4.5807502857230418</v>
      </c>
      <c r="AA911">
        <f t="shared" ca="1" si="448"/>
        <v>634.27746770439876</v>
      </c>
      <c r="AB911">
        <f t="shared" ca="1" si="449"/>
        <v>635.34695155659813</v>
      </c>
      <c r="AC911">
        <f t="shared" ca="1" si="450"/>
        <v>3.8141460404132466E-3</v>
      </c>
      <c r="AD911">
        <f t="shared" ca="1" si="451"/>
        <v>1.0000000000000004</v>
      </c>
      <c r="AE911">
        <f t="shared" ca="1" si="452"/>
        <v>35.686426155594638</v>
      </c>
      <c r="AF911">
        <f t="shared" ca="1" si="453"/>
        <v>3.3661460930716203E-3</v>
      </c>
      <c r="AG911">
        <f t="shared" ca="1" si="454"/>
        <v>1</v>
      </c>
      <c r="AH911">
        <f ca="1">IFERROR(IF(V32="Supercritical",MAX($D$16,IFERROR(L911,MAX($D$16,POWER((ABS(K911)^2)/($I$5*MAX(F911,0.1)^2),1/3)))),IF(V32="Subcritical",MAX($D$16,IFERROR(W911,MAX($D$16,POWER((ABS(K911)^2)/($I$5*MAX(F911,0.1)^2),1/3)))),IF(AND(IFERROR(V911,0)=1,IFERROR(AG911,0)=1),IF(IFERROR(T911,-1E+99)&gt;=IFERROR(AE911,-1E+99),MAX($D$16,IFERROR(L911,MAX($D$16,POWER((ABS(K911)^2)/($I$5*MAX(F911,0.1)^2),1/3)))),MAX($D$16,IFERROR(W911,MAX($D$16,POWER((ABS(K911)^2)/($I$5*MAX(F911,0.1)^2),1/3))))),IF(IFERROR(V911,0)=1,MAX($D$16,IFERROR(L911,MAX($D$16,POWER((ABS(K911)^2)/($I$5*MAX(F911,0.1)^2),1/3)))),IF(IFERROR(AG911,0)=1,MAX($D$16,IFERROR(W911,MAX($D$16,POWER((ABS(K911)^2)/($I$5*MAX(F911,0.1)^2),1/3)))),MAX($D$16,POWER((ABS(K911)^2)/($I$5*MAX(F911,0.1)^2),1/3))))))),MAX($D$16,POWER((ABS(K911)^2)/($I$5*MAX(F911,0.1)^2),1/3)))</f>
        <v>2.1389677043987478</v>
      </c>
      <c r="AI911">
        <f t="shared" ca="1" si="455"/>
        <v>634.27746770439876</v>
      </c>
      <c r="AJ911">
        <f t="shared" ca="1" si="456"/>
        <v>635.34695155659813</v>
      </c>
      <c r="AM911">
        <v>0</v>
      </c>
      <c r="AN911">
        <v>0</v>
      </c>
      <c r="AO911">
        <f t="shared" si="457"/>
        <v>0</v>
      </c>
      <c r="AP911">
        <f t="shared" si="466"/>
        <v>0</v>
      </c>
      <c r="AQ911">
        <f t="shared" ca="1" si="458"/>
        <v>1.0000000000000004</v>
      </c>
      <c r="AR911" t="str">
        <f t="shared" ca="1" si="459"/>
        <v>Supercritical</v>
      </c>
      <c r="AS911">
        <f t="shared" ca="1" si="460"/>
        <v>3.8141460404132466E-3</v>
      </c>
    </row>
    <row r="912" spans="1:45" x14ac:dyDescent="0.35">
      <c r="A912">
        <v>851</v>
      </c>
      <c r="B912">
        <v>849.995</v>
      </c>
      <c r="C912">
        <v>616087.63199999998</v>
      </c>
      <c r="D912">
        <v>3097156.923</v>
      </c>
      <c r="E912">
        <v>632.13800000000003</v>
      </c>
      <c r="F912">
        <v>5.2</v>
      </c>
      <c r="G912">
        <v>0</v>
      </c>
      <c r="H912" t="s">
        <v>154</v>
      </c>
      <c r="I912">
        <v>0</v>
      </c>
      <c r="J912">
        <f t="shared" si="461"/>
        <v>1</v>
      </c>
      <c r="K912">
        <f t="shared" ca="1" si="462"/>
        <v>50.95</v>
      </c>
      <c r="L912">
        <f t="shared" ca="1" si="463"/>
        <v>2.1389677043987478</v>
      </c>
      <c r="M912">
        <f t="shared" ca="1" si="436"/>
        <v>11.122632062873489</v>
      </c>
      <c r="N912">
        <f t="shared" ca="1" si="437"/>
        <v>1.1735290000551568</v>
      </c>
      <c r="O912">
        <f t="shared" ca="1" si="438"/>
        <v>4.5807502857230418</v>
      </c>
      <c r="P912">
        <f t="shared" ca="1" si="439"/>
        <v>634.27696770439877</v>
      </c>
      <c r="Q912">
        <f t="shared" ca="1" si="440"/>
        <v>635.34645155659814</v>
      </c>
      <c r="R912">
        <f t="shared" ca="1" si="441"/>
        <v>3.8141460404132466E-3</v>
      </c>
      <c r="S912">
        <f t="shared" ca="1" si="442"/>
        <v>1.0000000000000004</v>
      </c>
      <c r="T912">
        <f t="shared" ca="1" si="443"/>
        <v>35.686426155594638</v>
      </c>
      <c r="U912">
        <f t="shared" ca="1" si="464"/>
        <v>-3.3141460404522149E-3</v>
      </c>
      <c r="V912">
        <f t="shared" ca="1" si="465"/>
        <v>1</v>
      </c>
      <c r="W912">
        <f t="shared" ca="1" si="444"/>
        <v>2.1389677043987478</v>
      </c>
      <c r="X912">
        <f t="shared" ca="1" si="445"/>
        <v>11.122632062873489</v>
      </c>
      <c r="Y912">
        <f t="shared" ca="1" si="446"/>
        <v>1.1735290000551568</v>
      </c>
      <c r="Z912">
        <f t="shared" ca="1" si="447"/>
        <v>4.5807502857230418</v>
      </c>
      <c r="AA912">
        <f t="shared" ca="1" si="448"/>
        <v>634.27696770439877</v>
      </c>
      <c r="AB912">
        <f t="shared" ca="1" si="449"/>
        <v>635.34645155659814</v>
      </c>
      <c r="AC912">
        <f t="shared" ca="1" si="450"/>
        <v>3.8141460404132466E-3</v>
      </c>
      <c r="AD912">
        <f t="shared" ca="1" si="451"/>
        <v>1.0000000000000004</v>
      </c>
      <c r="AE912">
        <f t="shared" ca="1" si="452"/>
        <v>35.686426155594638</v>
      </c>
      <c r="AF912">
        <f t="shared" ca="1" si="453"/>
        <v>3.3713709128733171E-3</v>
      </c>
      <c r="AG912">
        <f t="shared" ca="1" si="454"/>
        <v>1</v>
      </c>
      <c r="AH912">
        <f ca="1">IFERROR(IF(V32="Supercritical",MAX($D$16,IFERROR(L912,MAX($D$16,POWER((ABS(K912)^2)/($I$5*MAX(F912,0.1)^2),1/3)))),IF(V32="Subcritical",MAX($D$16,IFERROR(W912,MAX($D$16,POWER((ABS(K912)^2)/($I$5*MAX(F912,0.1)^2),1/3)))),IF(AND(IFERROR(V912,0)=1,IFERROR(AG912,0)=1),IF(IFERROR(T912,-1E+99)&gt;=IFERROR(AE912,-1E+99),MAX($D$16,IFERROR(L912,MAX($D$16,POWER((ABS(K912)^2)/($I$5*MAX(F912,0.1)^2),1/3)))),MAX($D$16,IFERROR(W912,MAX($D$16,POWER((ABS(K912)^2)/($I$5*MAX(F912,0.1)^2),1/3))))),IF(IFERROR(V912,0)=1,MAX($D$16,IFERROR(L912,MAX($D$16,POWER((ABS(K912)^2)/($I$5*MAX(F912,0.1)^2),1/3)))),IF(IFERROR(AG912,0)=1,MAX($D$16,IFERROR(W912,MAX($D$16,POWER((ABS(K912)^2)/($I$5*MAX(F912,0.1)^2),1/3)))),MAX($D$16,POWER((ABS(K912)^2)/($I$5*MAX(F912,0.1)^2),1/3))))))),MAX($D$16,POWER((ABS(K912)^2)/($I$5*MAX(F912,0.1)^2),1/3)))</f>
        <v>2.1389677043987478</v>
      </c>
      <c r="AI912">
        <f t="shared" ca="1" si="455"/>
        <v>634.27696770439877</v>
      </c>
      <c r="AJ912">
        <f t="shared" ca="1" si="456"/>
        <v>635.34645155659814</v>
      </c>
      <c r="AM912">
        <v>0</v>
      </c>
      <c r="AN912">
        <v>0</v>
      </c>
      <c r="AO912">
        <f t="shared" si="457"/>
        <v>0</v>
      </c>
      <c r="AP912">
        <f t="shared" si="466"/>
        <v>0</v>
      </c>
      <c r="AQ912">
        <f t="shared" ca="1" si="458"/>
        <v>1.0000000000000004</v>
      </c>
      <c r="AR912" t="str">
        <f t="shared" ca="1" si="459"/>
        <v>Supercritical</v>
      </c>
      <c r="AS912">
        <f t="shared" ca="1" si="460"/>
        <v>3.8141460404132466E-3</v>
      </c>
    </row>
    <row r="913" spans="1:45" x14ac:dyDescent="0.35">
      <c r="A913">
        <v>852</v>
      </c>
      <c r="B913">
        <v>850.995</v>
      </c>
      <c r="C913">
        <v>616087.59</v>
      </c>
      <c r="D913">
        <v>3097155.9240000001</v>
      </c>
      <c r="E913">
        <v>632.13750000000005</v>
      </c>
      <c r="F913">
        <v>5.2</v>
      </c>
      <c r="G913">
        <v>0</v>
      </c>
      <c r="H913" t="s">
        <v>154</v>
      </c>
      <c r="I913">
        <v>2E-3</v>
      </c>
      <c r="J913">
        <f t="shared" si="461"/>
        <v>1</v>
      </c>
      <c r="K913">
        <f t="shared" ca="1" si="462"/>
        <v>50.95</v>
      </c>
      <c r="L913">
        <f t="shared" ca="1" si="463"/>
        <v>2.1389677043987478</v>
      </c>
      <c r="M913">
        <f t="shared" ca="1" si="436"/>
        <v>11.122632062873489</v>
      </c>
      <c r="N913">
        <f t="shared" ca="1" si="437"/>
        <v>1.1735290000551568</v>
      </c>
      <c r="O913">
        <f t="shared" ca="1" si="438"/>
        <v>4.5807502857230418</v>
      </c>
      <c r="P913">
        <f t="shared" ca="1" si="439"/>
        <v>634.27646770439878</v>
      </c>
      <c r="Q913">
        <f t="shared" ca="1" si="440"/>
        <v>635.34595155659815</v>
      </c>
      <c r="R913">
        <f t="shared" ca="1" si="441"/>
        <v>3.8141460404132466E-3</v>
      </c>
      <c r="S913">
        <f t="shared" ca="1" si="442"/>
        <v>1.0000000000000004</v>
      </c>
      <c r="T913">
        <f t="shared" ca="1" si="443"/>
        <v>35.686426155594638</v>
      </c>
      <c r="U913">
        <f t="shared" ca="1" si="464"/>
        <v>-3.3177109866073806E-3</v>
      </c>
      <c r="V913">
        <f t="shared" ca="1" si="465"/>
        <v>1</v>
      </c>
      <c r="W913">
        <f t="shared" ca="1" si="444"/>
        <v>2.1389677043987478</v>
      </c>
      <c r="X913">
        <f t="shared" ca="1" si="445"/>
        <v>11.122632062873489</v>
      </c>
      <c r="Y913">
        <f t="shared" ca="1" si="446"/>
        <v>1.1735290000551568</v>
      </c>
      <c r="Z913">
        <f t="shared" ca="1" si="447"/>
        <v>4.5807502857230418</v>
      </c>
      <c r="AA913">
        <f t="shared" ca="1" si="448"/>
        <v>634.27646770439878</v>
      </c>
      <c r="AB913">
        <f t="shared" ca="1" si="449"/>
        <v>635.34595155659815</v>
      </c>
      <c r="AC913">
        <f t="shared" ca="1" si="450"/>
        <v>3.8141460404132466E-3</v>
      </c>
      <c r="AD913">
        <f t="shared" ca="1" si="451"/>
        <v>1.0000000000000004</v>
      </c>
      <c r="AE913">
        <f t="shared" ca="1" si="452"/>
        <v>35.686426155594638</v>
      </c>
      <c r="AF913">
        <f t="shared" ca="1" si="453"/>
        <v>3.47845373016753E-3</v>
      </c>
      <c r="AG913">
        <f t="shared" ca="1" si="454"/>
        <v>1</v>
      </c>
      <c r="AH913">
        <f ca="1">IFERROR(IF(V32="Supercritical",MAX($D$16,IFERROR(L913,MAX($D$16,POWER((ABS(K913)^2)/($I$5*MAX(F913,0.1)^2),1/3)))),IF(V32="Subcritical",MAX($D$16,IFERROR(W913,MAX($D$16,POWER((ABS(K913)^2)/($I$5*MAX(F913,0.1)^2),1/3)))),IF(AND(IFERROR(V913,0)=1,IFERROR(AG913,0)=1),IF(IFERROR(T913,-1E+99)&gt;=IFERROR(AE913,-1E+99),MAX($D$16,IFERROR(L913,MAX($D$16,POWER((ABS(K913)^2)/($I$5*MAX(F913,0.1)^2),1/3)))),MAX($D$16,IFERROR(W913,MAX($D$16,POWER((ABS(K913)^2)/($I$5*MAX(F913,0.1)^2),1/3))))),IF(IFERROR(V913,0)=1,MAX($D$16,IFERROR(L913,MAX($D$16,POWER((ABS(K913)^2)/($I$5*MAX(F913,0.1)^2),1/3)))),IF(IFERROR(AG913,0)=1,MAX($D$16,IFERROR(W913,MAX($D$16,POWER((ABS(K913)^2)/($I$5*MAX(F913,0.1)^2),1/3)))),MAX($D$16,POWER((ABS(K913)^2)/($I$5*MAX(F913,0.1)^2),1/3))))))),MAX($D$16,POWER((ABS(K913)^2)/($I$5*MAX(F913,0.1)^2),1/3)))</f>
        <v>2.1389677043987478</v>
      </c>
      <c r="AI913">
        <f t="shared" ca="1" si="455"/>
        <v>634.27646770439878</v>
      </c>
      <c r="AJ913">
        <f t="shared" ca="1" si="456"/>
        <v>635.34595155659815</v>
      </c>
      <c r="AM913">
        <v>0</v>
      </c>
      <c r="AN913">
        <v>0</v>
      </c>
      <c r="AO913">
        <f t="shared" si="457"/>
        <v>0</v>
      </c>
      <c r="AP913">
        <f t="shared" si="466"/>
        <v>0</v>
      </c>
      <c r="AQ913">
        <f t="shared" ca="1" si="458"/>
        <v>1.0000000000000004</v>
      </c>
      <c r="AR913" t="str">
        <f t="shared" ca="1" si="459"/>
        <v>Supercritical</v>
      </c>
      <c r="AS913">
        <f t="shared" ca="1" si="460"/>
        <v>3.8141460404132466E-3</v>
      </c>
    </row>
    <row r="914" spans="1:45" x14ac:dyDescent="0.35">
      <c r="A914">
        <v>853</v>
      </c>
      <c r="B914">
        <v>851.99599999999998</v>
      </c>
      <c r="C914">
        <v>616087.54799999995</v>
      </c>
      <c r="D914">
        <v>3097154.9240000001</v>
      </c>
      <c r="E914">
        <v>632.13699999999994</v>
      </c>
      <c r="F914">
        <v>5.2</v>
      </c>
      <c r="G914">
        <v>0</v>
      </c>
      <c r="H914" t="s">
        <v>154</v>
      </c>
      <c r="I914">
        <v>0.06</v>
      </c>
      <c r="J914">
        <f t="shared" si="461"/>
        <v>1.0009999999999764</v>
      </c>
      <c r="K914">
        <f t="shared" ca="1" si="462"/>
        <v>50.95</v>
      </c>
      <c r="L914">
        <f t="shared" ca="1" si="463"/>
        <v>2.1389677043987478</v>
      </c>
      <c r="M914">
        <f t="shared" ca="1" si="436"/>
        <v>11.122632062873489</v>
      </c>
      <c r="N914">
        <f t="shared" ca="1" si="437"/>
        <v>1.1735290000551568</v>
      </c>
      <c r="O914">
        <f t="shared" ca="1" si="438"/>
        <v>4.5807502857230418</v>
      </c>
      <c r="P914">
        <f t="shared" ca="1" si="439"/>
        <v>634.27596770439868</v>
      </c>
      <c r="Q914">
        <f t="shared" ca="1" si="440"/>
        <v>635.34545155659805</v>
      </c>
      <c r="R914">
        <f t="shared" ca="1" si="441"/>
        <v>3.8141460404132466E-3</v>
      </c>
      <c r="S914">
        <f t="shared" ca="1" si="442"/>
        <v>1.0000000000000004</v>
      </c>
      <c r="T914">
        <f t="shared" ca="1" si="443"/>
        <v>35.686426155594638</v>
      </c>
      <c r="U914">
        <f t="shared" ca="1" si="464"/>
        <v>-3.4249085715600813E-3</v>
      </c>
      <c r="V914">
        <f t="shared" ca="1" si="465"/>
        <v>1</v>
      </c>
      <c r="W914">
        <f t="shared" ca="1" si="444"/>
        <v>2.1389677043987478</v>
      </c>
      <c r="X914">
        <f t="shared" ca="1" si="445"/>
        <v>11.122632062873489</v>
      </c>
      <c r="Y914">
        <f t="shared" ca="1" si="446"/>
        <v>1.1735290000551568</v>
      </c>
      <c r="Z914">
        <f t="shared" ca="1" si="447"/>
        <v>4.5807502857230418</v>
      </c>
      <c r="AA914">
        <f t="shared" ca="1" si="448"/>
        <v>634.27596770439868</v>
      </c>
      <c r="AB914">
        <f t="shared" ca="1" si="449"/>
        <v>635.34545155659805</v>
      </c>
      <c r="AC914">
        <f t="shared" ca="1" si="450"/>
        <v>3.8141460404132466E-3</v>
      </c>
      <c r="AD914">
        <f t="shared" ca="1" si="451"/>
        <v>1.0000000000000004</v>
      </c>
      <c r="AE914">
        <f t="shared" ca="1" si="452"/>
        <v>35.686426155594638</v>
      </c>
      <c r="AF914">
        <f t="shared" ca="1" si="453"/>
        <v>3.4677132597380478E-3</v>
      </c>
      <c r="AG914">
        <f t="shared" ca="1" si="454"/>
        <v>1</v>
      </c>
      <c r="AH914">
        <f ca="1">IFERROR(IF(V32="Supercritical",MAX($D$16,IFERROR(L914,MAX($D$16,POWER((ABS(K914)^2)/($I$5*MAX(F914,0.1)^2),1/3)))),IF(V32="Subcritical",MAX($D$16,IFERROR(W914,MAX($D$16,POWER((ABS(K914)^2)/($I$5*MAX(F914,0.1)^2),1/3)))),IF(AND(IFERROR(V914,0)=1,IFERROR(AG914,0)=1),IF(IFERROR(T914,-1E+99)&gt;=IFERROR(AE914,-1E+99),MAX($D$16,IFERROR(L914,MAX($D$16,POWER((ABS(K914)^2)/($I$5*MAX(F914,0.1)^2),1/3)))),MAX($D$16,IFERROR(W914,MAX($D$16,POWER((ABS(K914)^2)/($I$5*MAX(F914,0.1)^2),1/3))))),IF(IFERROR(V914,0)=1,MAX($D$16,IFERROR(L914,MAX($D$16,POWER((ABS(K914)^2)/($I$5*MAX(F914,0.1)^2),1/3)))),IF(IFERROR(AG914,0)=1,MAX($D$16,IFERROR(W914,MAX($D$16,POWER((ABS(K914)^2)/($I$5*MAX(F914,0.1)^2),1/3)))),MAX($D$16,POWER((ABS(K914)^2)/($I$5*MAX(F914,0.1)^2),1/3))))))),MAX($D$16,POWER((ABS(K914)^2)/($I$5*MAX(F914,0.1)^2),1/3)))</f>
        <v>2.1389677043987478</v>
      </c>
      <c r="AI914">
        <f t="shared" ca="1" si="455"/>
        <v>634.27596770439868</v>
      </c>
      <c r="AJ914">
        <f t="shared" ca="1" si="456"/>
        <v>635.34545155659805</v>
      </c>
      <c r="AM914">
        <v>0</v>
      </c>
      <c r="AN914">
        <v>0</v>
      </c>
      <c r="AO914">
        <f t="shared" si="457"/>
        <v>0</v>
      </c>
      <c r="AP914">
        <f t="shared" si="466"/>
        <v>0</v>
      </c>
      <c r="AQ914">
        <f t="shared" ca="1" si="458"/>
        <v>1.0000000000000004</v>
      </c>
      <c r="AR914" t="str">
        <f t="shared" ca="1" si="459"/>
        <v>Supercritical</v>
      </c>
      <c r="AS914">
        <f t="shared" ca="1" si="460"/>
        <v>3.8141460404132466E-3</v>
      </c>
    </row>
    <row r="915" spans="1:45" x14ac:dyDescent="0.35">
      <c r="A915">
        <v>854</v>
      </c>
      <c r="B915">
        <v>852.99599999999998</v>
      </c>
      <c r="C915">
        <v>616087.505</v>
      </c>
      <c r="D915">
        <v>3097153.9249999998</v>
      </c>
      <c r="E915">
        <v>632.13649999999996</v>
      </c>
      <c r="F915">
        <v>5.2</v>
      </c>
      <c r="G915">
        <v>0</v>
      </c>
      <c r="H915" t="s">
        <v>154</v>
      </c>
      <c r="I915">
        <v>5.7000000000000002E-2</v>
      </c>
      <c r="J915">
        <f t="shared" si="461"/>
        <v>1</v>
      </c>
      <c r="K915">
        <f t="shared" ca="1" si="462"/>
        <v>50.95</v>
      </c>
      <c r="L915">
        <f t="shared" ca="1" si="463"/>
        <v>2.1389677043987478</v>
      </c>
      <c r="M915">
        <f t="shared" ca="1" si="436"/>
        <v>11.122632062873489</v>
      </c>
      <c r="N915">
        <f t="shared" ca="1" si="437"/>
        <v>1.1735290000551568</v>
      </c>
      <c r="O915">
        <f t="shared" ca="1" si="438"/>
        <v>4.5807502857230418</v>
      </c>
      <c r="P915">
        <f t="shared" ca="1" si="439"/>
        <v>634.27546770439869</v>
      </c>
      <c r="Q915">
        <f t="shared" ca="1" si="440"/>
        <v>635.34495155659806</v>
      </c>
      <c r="R915">
        <f t="shared" ca="1" si="441"/>
        <v>3.8141460404132466E-3</v>
      </c>
      <c r="S915">
        <f t="shared" ca="1" si="442"/>
        <v>1.0000000000000004</v>
      </c>
      <c r="T915">
        <f t="shared" ca="1" si="443"/>
        <v>35.686426155594638</v>
      </c>
      <c r="U915">
        <f t="shared" ca="1" si="464"/>
        <v>-3.4157470064428708E-3</v>
      </c>
      <c r="V915">
        <f t="shared" ca="1" si="465"/>
        <v>1</v>
      </c>
      <c r="W915">
        <f t="shared" ca="1" si="444"/>
        <v>2.1389677043987478</v>
      </c>
      <c r="X915">
        <f t="shared" ca="1" si="445"/>
        <v>11.122632062873489</v>
      </c>
      <c r="Y915">
        <f t="shared" ca="1" si="446"/>
        <v>1.1735290000551568</v>
      </c>
      <c r="Z915">
        <f t="shared" ca="1" si="447"/>
        <v>4.5807502857230418</v>
      </c>
      <c r="AA915">
        <f t="shared" ca="1" si="448"/>
        <v>634.27546770439869</v>
      </c>
      <c r="AB915">
        <f t="shared" ca="1" si="449"/>
        <v>635.34495155659806</v>
      </c>
      <c r="AC915">
        <f t="shared" ca="1" si="450"/>
        <v>3.8141460404132466E-3</v>
      </c>
      <c r="AD915">
        <f t="shared" ca="1" si="451"/>
        <v>1.0000000000000004</v>
      </c>
      <c r="AE915">
        <f t="shared" ca="1" si="452"/>
        <v>35.686426155594638</v>
      </c>
      <c r="AF915">
        <f t="shared" ca="1" si="453"/>
        <v>3.3660886734878659E-3</v>
      </c>
      <c r="AG915">
        <f t="shared" ca="1" si="454"/>
        <v>1</v>
      </c>
      <c r="AH915">
        <f ca="1">IFERROR(IF(V32="Supercritical",MAX($D$16,IFERROR(L915,MAX($D$16,POWER((ABS(K915)^2)/($I$5*MAX(F915,0.1)^2),1/3)))),IF(V32="Subcritical",MAX($D$16,IFERROR(W915,MAX($D$16,POWER((ABS(K915)^2)/($I$5*MAX(F915,0.1)^2),1/3)))),IF(AND(IFERROR(V915,0)=1,IFERROR(AG915,0)=1),IF(IFERROR(T915,-1E+99)&gt;=IFERROR(AE915,-1E+99),MAX($D$16,IFERROR(L915,MAX($D$16,POWER((ABS(K915)^2)/($I$5*MAX(F915,0.1)^2),1/3)))),MAX($D$16,IFERROR(W915,MAX($D$16,POWER((ABS(K915)^2)/($I$5*MAX(F915,0.1)^2),1/3))))),IF(IFERROR(V915,0)=1,MAX($D$16,IFERROR(L915,MAX($D$16,POWER((ABS(K915)^2)/($I$5*MAX(F915,0.1)^2),1/3)))),IF(IFERROR(AG915,0)=1,MAX($D$16,IFERROR(W915,MAX($D$16,POWER((ABS(K915)^2)/($I$5*MAX(F915,0.1)^2),1/3)))),MAX($D$16,POWER((ABS(K915)^2)/($I$5*MAX(F915,0.1)^2),1/3))))))),MAX($D$16,POWER((ABS(K915)^2)/($I$5*MAX(F915,0.1)^2),1/3)))</f>
        <v>2.1389677043987478</v>
      </c>
      <c r="AI915">
        <f t="shared" ca="1" si="455"/>
        <v>634.27546770439869</v>
      </c>
      <c r="AJ915">
        <f t="shared" ca="1" si="456"/>
        <v>635.34495155659806</v>
      </c>
      <c r="AM915">
        <v>0</v>
      </c>
      <c r="AN915">
        <v>0</v>
      </c>
      <c r="AO915">
        <f t="shared" si="457"/>
        <v>0</v>
      </c>
      <c r="AP915">
        <f t="shared" si="466"/>
        <v>0</v>
      </c>
      <c r="AQ915">
        <f t="shared" ca="1" si="458"/>
        <v>1.0000000000000004</v>
      </c>
      <c r="AR915" t="str">
        <f t="shared" ca="1" si="459"/>
        <v>Supercritical</v>
      </c>
      <c r="AS915">
        <f t="shared" ca="1" si="460"/>
        <v>3.8141460404132466E-3</v>
      </c>
    </row>
    <row r="916" spans="1:45" x14ac:dyDescent="0.35">
      <c r="A916">
        <v>855</v>
      </c>
      <c r="B916">
        <v>853.99599999999998</v>
      </c>
      <c r="C916">
        <v>616087.46299999999</v>
      </c>
      <c r="D916">
        <v>3097152.926</v>
      </c>
      <c r="E916">
        <v>632.13599999999997</v>
      </c>
      <c r="F916">
        <v>5.2</v>
      </c>
      <c r="G916">
        <v>0</v>
      </c>
      <c r="H916" t="s">
        <v>154</v>
      </c>
      <c r="I916">
        <v>0</v>
      </c>
      <c r="J916">
        <f t="shared" si="461"/>
        <v>1</v>
      </c>
      <c r="K916">
        <f t="shared" ca="1" si="462"/>
        <v>50.95</v>
      </c>
      <c r="L916">
        <f t="shared" ca="1" si="463"/>
        <v>2.1389677043987478</v>
      </c>
      <c r="M916">
        <f t="shared" ca="1" si="436"/>
        <v>11.122632062873489</v>
      </c>
      <c r="N916">
        <f t="shared" ca="1" si="437"/>
        <v>1.1735290000551568</v>
      </c>
      <c r="O916">
        <f t="shared" ca="1" si="438"/>
        <v>4.5807502857230418</v>
      </c>
      <c r="P916">
        <f t="shared" ca="1" si="439"/>
        <v>634.2749677043987</v>
      </c>
      <c r="Q916">
        <f t="shared" ca="1" si="440"/>
        <v>635.34445155659807</v>
      </c>
      <c r="R916">
        <f t="shared" ca="1" si="441"/>
        <v>3.8141460404132466E-3</v>
      </c>
      <c r="S916">
        <f t="shared" ca="1" si="442"/>
        <v>1.0000000000000004</v>
      </c>
      <c r="T916">
        <f t="shared" ca="1" si="443"/>
        <v>35.686426155594638</v>
      </c>
      <c r="U916">
        <f t="shared" ca="1" si="464"/>
        <v>-3.3141460404522149E-3</v>
      </c>
      <c r="V916">
        <f t="shared" ca="1" si="465"/>
        <v>1</v>
      </c>
      <c r="W916">
        <f t="shared" ca="1" si="444"/>
        <v>2.1389677043987478</v>
      </c>
      <c r="X916">
        <f t="shared" ca="1" si="445"/>
        <v>11.122632062873489</v>
      </c>
      <c r="Y916">
        <f t="shared" ca="1" si="446"/>
        <v>1.1735290000551568</v>
      </c>
      <c r="Z916">
        <f t="shared" ca="1" si="447"/>
        <v>4.5807502857230418</v>
      </c>
      <c r="AA916">
        <f t="shared" ca="1" si="448"/>
        <v>634.2749677043987</v>
      </c>
      <c r="AB916">
        <f t="shared" ca="1" si="449"/>
        <v>635.34445155659807</v>
      </c>
      <c r="AC916">
        <f t="shared" ca="1" si="450"/>
        <v>3.8141460404132466E-3</v>
      </c>
      <c r="AD916">
        <f t="shared" ca="1" si="451"/>
        <v>1.0000000000000004</v>
      </c>
      <c r="AE916">
        <f t="shared" ca="1" si="452"/>
        <v>35.686426155594638</v>
      </c>
      <c r="AF916">
        <f t="shared" ca="1" si="453"/>
        <v>3.3676622739449158E-3</v>
      </c>
      <c r="AG916">
        <f t="shared" ca="1" si="454"/>
        <v>1</v>
      </c>
      <c r="AH916">
        <f ca="1">IFERROR(IF(V32="Supercritical",MAX($D$16,IFERROR(L916,MAX($D$16,POWER((ABS(K916)^2)/($I$5*MAX(F916,0.1)^2),1/3)))),IF(V32="Subcritical",MAX($D$16,IFERROR(W916,MAX($D$16,POWER((ABS(K916)^2)/($I$5*MAX(F916,0.1)^2),1/3)))),IF(AND(IFERROR(V916,0)=1,IFERROR(AG916,0)=1),IF(IFERROR(T916,-1E+99)&gt;=IFERROR(AE916,-1E+99),MAX($D$16,IFERROR(L916,MAX($D$16,POWER((ABS(K916)^2)/($I$5*MAX(F916,0.1)^2),1/3)))),MAX($D$16,IFERROR(W916,MAX($D$16,POWER((ABS(K916)^2)/($I$5*MAX(F916,0.1)^2),1/3))))),IF(IFERROR(V916,0)=1,MAX($D$16,IFERROR(L916,MAX($D$16,POWER((ABS(K916)^2)/($I$5*MAX(F916,0.1)^2),1/3)))),IF(IFERROR(AG916,0)=1,MAX($D$16,IFERROR(W916,MAX($D$16,POWER((ABS(K916)^2)/($I$5*MAX(F916,0.1)^2),1/3)))),MAX($D$16,POWER((ABS(K916)^2)/($I$5*MAX(F916,0.1)^2),1/3))))))),MAX($D$16,POWER((ABS(K916)^2)/($I$5*MAX(F916,0.1)^2),1/3)))</f>
        <v>2.1389677043987478</v>
      </c>
      <c r="AI916">
        <f t="shared" ca="1" si="455"/>
        <v>634.2749677043987</v>
      </c>
      <c r="AJ916">
        <f t="shared" ca="1" si="456"/>
        <v>635.34445155659807</v>
      </c>
      <c r="AM916">
        <v>0</v>
      </c>
      <c r="AN916">
        <v>0</v>
      </c>
      <c r="AO916">
        <f t="shared" si="457"/>
        <v>0</v>
      </c>
      <c r="AP916">
        <f t="shared" si="466"/>
        <v>0</v>
      </c>
      <c r="AQ916">
        <f t="shared" ca="1" si="458"/>
        <v>1.0000000000000004</v>
      </c>
      <c r="AR916" t="str">
        <f t="shared" ca="1" si="459"/>
        <v>Supercritical</v>
      </c>
      <c r="AS916">
        <f t="shared" ca="1" si="460"/>
        <v>3.8141460404132466E-3</v>
      </c>
    </row>
    <row r="917" spans="1:45" x14ac:dyDescent="0.35">
      <c r="A917">
        <v>856</v>
      </c>
      <c r="B917">
        <v>854.99599999999998</v>
      </c>
      <c r="C917">
        <v>616087.42099999997</v>
      </c>
      <c r="D917">
        <v>3097151.9270000001</v>
      </c>
      <c r="E917">
        <v>632.13549999999998</v>
      </c>
      <c r="F917">
        <v>5.2</v>
      </c>
      <c r="G917">
        <v>0</v>
      </c>
      <c r="H917" t="s">
        <v>154</v>
      </c>
      <c r="I917">
        <v>0</v>
      </c>
      <c r="J917">
        <f t="shared" si="461"/>
        <v>1</v>
      </c>
      <c r="K917">
        <f t="shared" ca="1" si="462"/>
        <v>50.95</v>
      </c>
      <c r="L917">
        <f t="shared" ca="1" si="463"/>
        <v>2.1389677043987478</v>
      </c>
      <c r="M917">
        <f t="shared" ca="1" si="436"/>
        <v>11.122632062873489</v>
      </c>
      <c r="N917">
        <f t="shared" ca="1" si="437"/>
        <v>1.1735290000551568</v>
      </c>
      <c r="O917">
        <f t="shared" ca="1" si="438"/>
        <v>4.5807502857230418</v>
      </c>
      <c r="P917">
        <f t="shared" ca="1" si="439"/>
        <v>634.27446770439872</v>
      </c>
      <c r="Q917">
        <f t="shared" ca="1" si="440"/>
        <v>635.34395155659809</v>
      </c>
      <c r="R917">
        <f t="shared" ca="1" si="441"/>
        <v>3.8141460404132466E-3</v>
      </c>
      <c r="S917">
        <f t="shared" ca="1" si="442"/>
        <v>1.0000000000000004</v>
      </c>
      <c r="T917">
        <f t="shared" ca="1" si="443"/>
        <v>35.686426155594638</v>
      </c>
      <c r="U917">
        <f t="shared" ca="1" si="464"/>
        <v>-3.3141460404522149E-3</v>
      </c>
      <c r="V917">
        <f t="shared" ca="1" si="465"/>
        <v>1</v>
      </c>
      <c r="W917">
        <f t="shared" ca="1" si="444"/>
        <v>2.1389677043987478</v>
      </c>
      <c r="X917">
        <f t="shared" ca="1" si="445"/>
        <v>11.122632062873489</v>
      </c>
      <c r="Y917">
        <f t="shared" ca="1" si="446"/>
        <v>1.1735290000551568</v>
      </c>
      <c r="Z917">
        <f t="shared" ca="1" si="447"/>
        <v>4.5807502857230418</v>
      </c>
      <c r="AA917">
        <f t="shared" ca="1" si="448"/>
        <v>634.27446770439872</v>
      </c>
      <c r="AB917">
        <f t="shared" ca="1" si="449"/>
        <v>635.34395155659809</v>
      </c>
      <c r="AC917">
        <f t="shared" ca="1" si="450"/>
        <v>3.8141460404132466E-3</v>
      </c>
      <c r="AD917">
        <f t="shared" ca="1" si="451"/>
        <v>1.0000000000000004</v>
      </c>
      <c r="AE917">
        <f t="shared" ca="1" si="452"/>
        <v>35.686426155594638</v>
      </c>
      <c r="AF917">
        <f t="shared" ca="1" si="453"/>
        <v>3.4692873794028856E-3</v>
      </c>
      <c r="AG917">
        <f t="shared" ca="1" si="454"/>
        <v>1</v>
      </c>
      <c r="AH917">
        <f ca="1">IFERROR(IF(V32="Supercritical",MAX($D$16,IFERROR(L917,MAX($D$16,POWER((ABS(K917)^2)/($I$5*MAX(F917,0.1)^2),1/3)))),IF(V32="Subcritical",MAX($D$16,IFERROR(W917,MAX($D$16,POWER((ABS(K917)^2)/($I$5*MAX(F917,0.1)^2),1/3)))),IF(AND(IFERROR(V917,0)=1,IFERROR(AG917,0)=1),IF(IFERROR(T917,-1E+99)&gt;=IFERROR(AE917,-1E+99),MAX($D$16,IFERROR(L917,MAX($D$16,POWER((ABS(K917)^2)/($I$5*MAX(F917,0.1)^2),1/3)))),MAX($D$16,IFERROR(W917,MAX($D$16,POWER((ABS(K917)^2)/($I$5*MAX(F917,0.1)^2),1/3))))),IF(IFERROR(V917,0)=1,MAX($D$16,IFERROR(L917,MAX($D$16,POWER((ABS(K917)^2)/($I$5*MAX(F917,0.1)^2),1/3)))),IF(IFERROR(AG917,0)=1,MAX($D$16,IFERROR(W917,MAX($D$16,POWER((ABS(K917)^2)/($I$5*MAX(F917,0.1)^2),1/3)))),MAX($D$16,POWER((ABS(K917)^2)/($I$5*MAX(F917,0.1)^2),1/3))))))),MAX($D$16,POWER((ABS(K917)^2)/($I$5*MAX(F917,0.1)^2),1/3)))</f>
        <v>2.1389677043987478</v>
      </c>
      <c r="AI917">
        <f t="shared" ca="1" si="455"/>
        <v>634.27446770439872</v>
      </c>
      <c r="AJ917">
        <f t="shared" ca="1" si="456"/>
        <v>635.34395155659809</v>
      </c>
      <c r="AM917">
        <v>0</v>
      </c>
      <c r="AN917">
        <v>0</v>
      </c>
      <c r="AO917">
        <f t="shared" si="457"/>
        <v>0</v>
      </c>
      <c r="AP917">
        <f t="shared" si="466"/>
        <v>0</v>
      </c>
      <c r="AQ917">
        <f t="shared" ca="1" si="458"/>
        <v>1.0000000000000004</v>
      </c>
      <c r="AR917" t="str">
        <f t="shared" ca="1" si="459"/>
        <v>Supercritical</v>
      </c>
      <c r="AS917">
        <f t="shared" ca="1" si="460"/>
        <v>3.8141460404132466E-3</v>
      </c>
    </row>
    <row r="918" spans="1:45" x14ac:dyDescent="0.35">
      <c r="A918">
        <v>857</v>
      </c>
      <c r="B918">
        <v>855.99599999999998</v>
      </c>
      <c r="C918">
        <v>616087.37899999996</v>
      </c>
      <c r="D918">
        <v>3097150.9279999998</v>
      </c>
      <c r="E918">
        <v>632.13499999999999</v>
      </c>
      <c r="F918">
        <v>5.2</v>
      </c>
      <c r="G918">
        <v>0</v>
      </c>
      <c r="H918" t="s">
        <v>154</v>
      </c>
      <c r="I918">
        <v>5.7000000000000002E-2</v>
      </c>
      <c r="J918">
        <f t="shared" si="461"/>
        <v>1</v>
      </c>
      <c r="K918">
        <f t="shared" ca="1" si="462"/>
        <v>50.95</v>
      </c>
      <c r="L918">
        <f t="shared" ca="1" si="463"/>
        <v>2.1389677043987478</v>
      </c>
      <c r="M918">
        <f t="shared" ca="1" si="436"/>
        <v>11.122632062873489</v>
      </c>
      <c r="N918">
        <f t="shared" ca="1" si="437"/>
        <v>1.1735290000551568</v>
      </c>
      <c r="O918">
        <f t="shared" ca="1" si="438"/>
        <v>4.5807502857230418</v>
      </c>
      <c r="P918">
        <f t="shared" ca="1" si="439"/>
        <v>634.27396770439873</v>
      </c>
      <c r="Q918">
        <f t="shared" ca="1" si="440"/>
        <v>635.3434515565981</v>
      </c>
      <c r="R918">
        <f t="shared" ca="1" si="441"/>
        <v>3.8141460404132466E-3</v>
      </c>
      <c r="S918">
        <f t="shared" ca="1" si="442"/>
        <v>1.0000000000000004</v>
      </c>
      <c r="T918">
        <f t="shared" ca="1" si="443"/>
        <v>35.686426155594638</v>
      </c>
      <c r="U918">
        <f t="shared" ca="1" si="464"/>
        <v>-3.4157470064428708E-3</v>
      </c>
      <c r="V918">
        <f t="shared" ca="1" si="465"/>
        <v>1</v>
      </c>
      <c r="W918">
        <f t="shared" ca="1" si="444"/>
        <v>2.1389677043987478</v>
      </c>
      <c r="X918">
        <f t="shared" ca="1" si="445"/>
        <v>11.122632062873489</v>
      </c>
      <c r="Y918">
        <f t="shared" ca="1" si="446"/>
        <v>1.1735290000551568</v>
      </c>
      <c r="Z918">
        <f t="shared" ca="1" si="447"/>
        <v>4.5807502857230418</v>
      </c>
      <c r="AA918">
        <f t="shared" ca="1" si="448"/>
        <v>634.27396770439873</v>
      </c>
      <c r="AB918">
        <f t="shared" ca="1" si="449"/>
        <v>635.3434515565981</v>
      </c>
      <c r="AC918">
        <f t="shared" ca="1" si="450"/>
        <v>3.8141460404132466E-3</v>
      </c>
      <c r="AD918">
        <f t="shared" ca="1" si="451"/>
        <v>1.0000000000000004</v>
      </c>
      <c r="AE918">
        <f t="shared" ca="1" si="452"/>
        <v>35.686426155594638</v>
      </c>
      <c r="AF918">
        <f t="shared" ca="1" si="453"/>
        <v>3.4676541341696066E-3</v>
      </c>
      <c r="AG918">
        <f t="shared" ca="1" si="454"/>
        <v>1</v>
      </c>
      <c r="AH918">
        <f ca="1">IFERROR(IF(V32="Supercritical",MAX($D$16,IFERROR(L918,MAX($D$16,POWER((ABS(K918)^2)/($I$5*MAX(F918,0.1)^2),1/3)))),IF(V32="Subcritical",MAX($D$16,IFERROR(W918,MAX($D$16,POWER((ABS(K918)^2)/($I$5*MAX(F918,0.1)^2),1/3)))),IF(AND(IFERROR(V918,0)=1,IFERROR(AG918,0)=1),IF(IFERROR(T918,-1E+99)&gt;=IFERROR(AE918,-1E+99),MAX($D$16,IFERROR(L918,MAX($D$16,POWER((ABS(K918)^2)/($I$5*MAX(F918,0.1)^2),1/3)))),MAX($D$16,IFERROR(W918,MAX($D$16,POWER((ABS(K918)^2)/($I$5*MAX(F918,0.1)^2),1/3))))),IF(IFERROR(V918,0)=1,MAX($D$16,IFERROR(L918,MAX($D$16,POWER((ABS(K918)^2)/($I$5*MAX(F918,0.1)^2),1/3)))),IF(IFERROR(AG918,0)=1,MAX($D$16,IFERROR(W918,MAX($D$16,POWER((ABS(K918)^2)/($I$5*MAX(F918,0.1)^2),1/3)))),MAX($D$16,POWER((ABS(K918)^2)/($I$5*MAX(F918,0.1)^2),1/3))))))),MAX($D$16,POWER((ABS(K918)^2)/($I$5*MAX(F918,0.1)^2),1/3)))</f>
        <v>2.1389677043987478</v>
      </c>
      <c r="AI918">
        <f t="shared" ca="1" si="455"/>
        <v>634.27396770439873</v>
      </c>
      <c r="AJ918">
        <f t="shared" ca="1" si="456"/>
        <v>635.3434515565981</v>
      </c>
      <c r="AM918">
        <v>0</v>
      </c>
      <c r="AN918">
        <v>0</v>
      </c>
      <c r="AO918">
        <f t="shared" si="457"/>
        <v>0</v>
      </c>
      <c r="AP918">
        <f t="shared" si="466"/>
        <v>0</v>
      </c>
      <c r="AQ918">
        <f t="shared" ca="1" si="458"/>
        <v>1.0000000000000004</v>
      </c>
      <c r="AR918" t="str">
        <f t="shared" ca="1" si="459"/>
        <v>Supercritical</v>
      </c>
      <c r="AS918">
        <f t="shared" ca="1" si="460"/>
        <v>3.8141460404132466E-3</v>
      </c>
    </row>
    <row r="919" spans="1:45" x14ac:dyDescent="0.35">
      <c r="A919">
        <v>858</v>
      </c>
      <c r="B919">
        <v>856.99599999999998</v>
      </c>
      <c r="C919">
        <v>616087.33600000001</v>
      </c>
      <c r="D919">
        <v>3097149.929</v>
      </c>
      <c r="E919">
        <v>632.1345</v>
      </c>
      <c r="F919">
        <v>5.2</v>
      </c>
      <c r="G919">
        <v>0</v>
      </c>
      <c r="H919" t="s">
        <v>154</v>
      </c>
      <c r="I919">
        <v>5.7000000000000002E-2</v>
      </c>
      <c r="J919">
        <f t="shared" si="461"/>
        <v>1</v>
      </c>
      <c r="K919">
        <f t="shared" ca="1" si="462"/>
        <v>50.95</v>
      </c>
      <c r="L919">
        <f t="shared" ca="1" si="463"/>
        <v>2.1389677043987478</v>
      </c>
      <c r="M919">
        <f t="shared" ca="1" si="436"/>
        <v>11.122632062873489</v>
      </c>
      <c r="N919">
        <f t="shared" ca="1" si="437"/>
        <v>1.1735290000551568</v>
      </c>
      <c r="O919">
        <f t="shared" ca="1" si="438"/>
        <v>4.5807502857230418</v>
      </c>
      <c r="P919">
        <f t="shared" ca="1" si="439"/>
        <v>634.27346770439874</v>
      </c>
      <c r="Q919">
        <f t="shared" ca="1" si="440"/>
        <v>635.34295155659811</v>
      </c>
      <c r="R919">
        <f t="shared" ca="1" si="441"/>
        <v>3.8141460404132466E-3</v>
      </c>
      <c r="S919">
        <f t="shared" ca="1" si="442"/>
        <v>1.0000000000000004</v>
      </c>
      <c r="T919">
        <f t="shared" ca="1" si="443"/>
        <v>35.686426155594638</v>
      </c>
      <c r="U919">
        <f t="shared" ca="1" si="464"/>
        <v>-3.4157470064428708E-3</v>
      </c>
      <c r="V919">
        <f t="shared" ca="1" si="465"/>
        <v>1</v>
      </c>
      <c r="W919">
        <f t="shared" ca="1" si="444"/>
        <v>2.1389677043987478</v>
      </c>
      <c r="X919">
        <f t="shared" ca="1" si="445"/>
        <v>11.122632062873489</v>
      </c>
      <c r="Y919">
        <f t="shared" ca="1" si="446"/>
        <v>1.1735290000551568</v>
      </c>
      <c r="Z919">
        <f t="shared" ca="1" si="447"/>
        <v>4.5807502857230418</v>
      </c>
      <c r="AA919">
        <f t="shared" ca="1" si="448"/>
        <v>634.27346770439874</v>
      </c>
      <c r="AB919">
        <f t="shared" ca="1" si="449"/>
        <v>635.34295155659811</v>
      </c>
      <c r="AC919">
        <f t="shared" ca="1" si="450"/>
        <v>3.8141460404132466E-3</v>
      </c>
      <c r="AD919">
        <f t="shared" ca="1" si="451"/>
        <v>1.0000000000000004</v>
      </c>
      <c r="AE919">
        <f t="shared" ca="1" si="452"/>
        <v>35.686426155594638</v>
      </c>
      <c r="AF919">
        <f t="shared" ca="1" si="453"/>
        <v>3.3622733172933295E-3</v>
      </c>
      <c r="AG919">
        <f t="shared" ca="1" si="454"/>
        <v>1</v>
      </c>
      <c r="AH919">
        <f ca="1">IFERROR(IF(V32="Supercritical",MAX($D$16,IFERROR(L919,MAX($D$16,POWER((ABS(K919)^2)/($I$5*MAX(F919,0.1)^2),1/3)))),IF(V32="Subcritical",MAX($D$16,IFERROR(W919,MAX($D$16,POWER((ABS(K919)^2)/($I$5*MAX(F919,0.1)^2),1/3)))),IF(AND(IFERROR(V919,0)=1,IFERROR(AG919,0)=1),IF(IFERROR(T919,-1E+99)&gt;=IFERROR(AE919,-1E+99),MAX($D$16,IFERROR(L919,MAX($D$16,POWER((ABS(K919)^2)/($I$5*MAX(F919,0.1)^2),1/3)))),MAX($D$16,IFERROR(W919,MAX($D$16,POWER((ABS(K919)^2)/($I$5*MAX(F919,0.1)^2),1/3))))),IF(IFERROR(V919,0)=1,MAX($D$16,IFERROR(L919,MAX($D$16,POWER((ABS(K919)^2)/($I$5*MAX(F919,0.1)^2),1/3)))),IF(IFERROR(AG919,0)=1,MAX($D$16,IFERROR(W919,MAX($D$16,POWER((ABS(K919)^2)/($I$5*MAX(F919,0.1)^2),1/3)))),MAX($D$16,POWER((ABS(K919)^2)/($I$5*MAX(F919,0.1)^2),1/3))))))),MAX($D$16,POWER((ABS(K919)^2)/($I$5*MAX(F919,0.1)^2),1/3)))</f>
        <v>2.1389677043987478</v>
      </c>
      <c r="AI919">
        <f t="shared" ca="1" si="455"/>
        <v>634.27346770439874</v>
      </c>
      <c r="AJ919">
        <f t="shared" ca="1" si="456"/>
        <v>635.34295155659811</v>
      </c>
      <c r="AM919">
        <v>0</v>
      </c>
      <c r="AN919">
        <v>0</v>
      </c>
      <c r="AO919">
        <f t="shared" si="457"/>
        <v>0</v>
      </c>
      <c r="AP919">
        <f t="shared" si="466"/>
        <v>0</v>
      </c>
      <c r="AQ919">
        <f t="shared" ca="1" si="458"/>
        <v>1.0000000000000004</v>
      </c>
      <c r="AR919" t="str">
        <f t="shared" ca="1" si="459"/>
        <v>Supercritical</v>
      </c>
      <c r="AS919">
        <f t="shared" ca="1" si="460"/>
        <v>3.8141460404132466E-3</v>
      </c>
    </row>
    <row r="920" spans="1:45" x14ac:dyDescent="0.35">
      <c r="A920">
        <v>859</v>
      </c>
      <c r="B920">
        <v>857.995</v>
      </c>
      <c r="C920">
        <v>616087.29399999999</v>
      </c>
      <c r="D920">
        <v>3097148.93</v>
      </c>
      <c r="E920">
        <v>632.13400000000001</v>
      </c>
      <c r="F920">
        <v>5.2</v>
      </c>
      <c r="G920">
        <v>0</v>
      </c>
      <c r="H920" t="s">
        <v>154</v>
      </c>
      <c r="I920">
        <v>0</v>
      </c>
      <c r="J920">
        <f t="shared" si="461"/>
        <v>0.99900000000002365</v>
      </c>
      <c r="K920">
        <f t="shared" ca="1" si="462"/>
        <v>50.95</v>
      </c>
      <c r="L920">
        <f t="shared" ca="1" si="463"/>
        <v>2.1389677043987478</v>
      </c>
      <c r="M920">
        <f t="shared" ca="1" si="436"/>
        <v>11.122632062873489</v>
      </c>
      <c r="N920">
        <f t="shared" ca="1" si="437"/>
        <v>1.1735290000551568</v>
      </c>
      <c r="O920">
        <f t="shared" ca="1" si="438"/>
        <v>4.5807502857230418</v>
      </c>
      <c r="P920">
        <f t="shared" ca="1" si="439"/>
        <v>634.27296770439875</v>
      </c>
      <c r="Q920">
        <f t="shared" ca="1" si="440"/>
        <v>635.34245155659812</v>
      </c>
      <c r="R920">
        <f t="shared" ca="1" si="441"/>
        <v>3.8141460404132466E-3</v>
      </c>
      <c r="S920">
        <f t="shared" ca="1" si="442"/>
        <v>1.0000000000000004</v>
      </c>
      <c r="T920">
        <f t="shared" ca="1" si="443"/>
        <v>35.686426155594638</v>
      </c>
      <c r="U920">
        <f t="shared" ca="1" si="464"/>
        <v>-3.3103318943403792E-3</v>
      </c>
      <c r="V920">
        <f t="shared" ca="1" si="465"/>
        <v>1</v>
      </c>
      <c r="W920">
        <f t="shared" ca="1" si="444"/>
        <v>2.1389677043987478</v>
      </c>
      <c r="X920">
        <f t="shared" ca="1" si="445"/>
        <v>11.122632062873489</v>
      </c>
      <c r="Y920">
        <f t="shared" ca="1" si="446"/>
        <v>1.1735290000551568</v>
      </c>
      <c r="Z920">
        <f t="shared" ca="1" si="447"/>
        <v>4.5807502857230418</v>
      </c>
      <c r="AA920">
        <f t="shared" ca="1" si="448"/>
        <v>634.27296770439875</v>
      </c>
      <c r="AB920">
        <f t="shared" ca="1" si="449"/>
        <v>635.34245155659812</v>
      </c>
      <c r="AC920">
        <f t="shared" ca="1" si="450"/>
        <v>3.8141460404132466E-3</v>
      </c>
      <c r="AD920">
        <f t="shared" ca="1" si="451"/>
        <v>1.0000000000000004</v>
      </c>
      <c r="AE920">
        <f t="shared" ca="1" si="452"/>
        <v>35.686426155594638</v>
      </c>
      <c r="AF920">
        <f t="shared" ca="1" si="453"/>
        <v>3.3676636056725329E-3</v>
      </c>
      <c r="AG920">
        <f t="shared" ca="1" si="454"/>
        <v>1</v>
      </c>
      <c r="AH920">
        <f ca="1">IFERROR(IF(V32="Supercritical",MAX($D$16,IFERROR(L920,MAX($D$16,POWER((ABS(K920)^2)/($I$5*MAX(F920,0.1)^2),1/3)))),IF(V32="Subcritical",MAX($D$16,IFERROR(W920,MAX($D$16,POWER((ABS(K920)^2)/($I$5*MAX(F920,0.1)^2),1/3)))),IF(AND(IFERROR(V920,0)=1,IFERROR(AG920,0)=1),IF(IFERROR(T920,-1E+99)&gt;=IFERROR(AE920,-1E+99),MAX($D$16,IFERROR(L920,MAX($D$16,POWER((ABS(K920)^2)/($I$5*MAX(F920,0.1)^2),1/3)))),MAX($D$16,IFERROR(W920,MAX($D$16,POWER((ABS(K920)^2)/($I$5*MAX(F920,0.1)^2),1/3))))),IF(IFERROR(V920,0)=1,MAX($D$16,IFERROR(L920,MAX($D$16,POWER((ABS(K920)^2)/($I$5*MAX(F920,0.1)^2),1/3)))),IF(IFERROR(AG920,0)=1,MAX($D$16,IFERROR(W920,MAX($D$16,POWER((ABS(K920)^2)/($I$5*MAX(F920,0.1)^2),1/3)))),MAX($D$16,POWER((ABS(K920)^2)/($I$5*MAX(F920,0.1)^2),1/3))))))),MAX($D$16,POWER((ABS(K920)^2)/($I$5*MAX(F920,0.1)^2),1/3)))</f>
        <v>2.1389677043987478</v>
      </c>
      <c r="AI920">
        <f t="shared" ca="1" si="455"/>
        <v>634.27296770439875</v>
      </c>
      <c r="AJ920">
        <f t="shared" ca="1" si="456"/>
        <v>635.34245155659812</v>
      </c>
      <c r="AM920">
        <v>0</v>
      </c>
      <c r="AN920">
        <v>0</v>
      </c>
      <c r="AO920">
        <f t="shared" si="457"/>
        <v>0</v>
      </c>
      <c r="AP920">
        <f t="shared" si="466"/>
        <v>0</v>
      </c>
      <c r="AQ920">
        <f t="shared" ca="1" si="458"/>
        <v>1.0000000000000004</v>
      </c>
      <c r="AR920" t="str">
        <f t="shared" ca="1" si="459"/>
        <v>Supercritical</v>
      </c>
      <c r="AS920">
        <f t="shared" ca="1" si="460"/>
        <v>3.8141460404132466E-3</v>
      </c>
    </row>
    <row r="921" spans="1:45" x14ac:dyDescent="0.35">
      <c r="A921">
        <v>860</v>
      </c>
      <c r="B921">
        <v>858.995</v>
      </c>
      <c r="C921">
        <v>616087.25199999998</v>
      </c>
      <c r="D921">
        <v>3097147.9309999999</v>
      </c>
      <c r="E921">
        <v>632.13350000000003</v>
      </c>
      <c r="F921">
        <v>5.2</v>
      </c>
      <c r="G921">
        <v>0</v>
      </c>
      <c r="H921" t="s">
        <v>154</v>
      </c>
      <c r="I921">
        <v>0</v>
      </c>
      <c r="J921">
        <f t="shared" si="461"/>
        <v>1</v>
      </c>
      <c r="K921">
        <f t="shared" ca="1" si="462"/>
        <v>50.95</v>
      </c>
      <c r="L921">
        <f t="shared" ca="1" si="463"/>
        <v>2.1389677043987478</v>
      </c>
      <c r="M921">
        <f t="shared" ca="1" si="436"/>
        <v>11.122632062873489</v>
      </c>
      <c r="N921">
        <f t="shared" ca="1" si="437"/>
        <v>1.1735290000551568</v>
      </c>
      <c r="O921">
        <f t="shared" ca="1" si="438"/>
        <v>4.5807502857230418</v>
      </c>
      <c r="P921">
        <f t="shared" ca="1" si="439"/>
        <v>634.27246770439876</v>
      </c>
      <c r="Q921">
        <f t="shared" ca="1" si="440"/>
        <v>635.34195155659813</v>
      </c>
      <c r="R921">
        <f t="shared" ca="1" si="441"/>
        <v>3.8141460404132466E-3</v>
      </c>
      <c r="S921">
        <f t="shared" ca="1" si="442"/>
        <v>1.0000000000000004</v>
      </c>
      <c r="T921">
        <f t="shared" ca="1" si="443"/>
        <v>35.686426155594638</v>
      </c>
      <c r="U921">
        <f t="shared" ca="1" si="464"/>
        <v>-3.3141460404522149E-3</v>
      </c>
      <c r="V921">
        <f t="shared" ca="1" si="465"/>
        <v>1</v>
      </c>
      <c r="W921">
        <f t="shared" ca="1" si="444"/>
        <v>2.1389677043987478</v>
      </c>
      <c r="X921">
        <f t="shared" ca="1" si="445"/>
        <v>11.122632062873489</v>
      </c>
      <c r="Y921">
        <f t="shared" ca="1" si="446"/>
        <v>1.1735290000551568</v>
      </c>
      <c r="Z921">
        <f t="shared" ca="1" si="447"/>
        <v>4.5807502857230418</v>
      </c>
      <c r="AA921">
        <f t="shared" ca="1" si="448"/>
        <v>634.27246770439876</v>
      </c>
      <c r="AB921">
        <f t="shared" ca="1" si="449"/>
        <v>635.34195155659813</v>
      </c>
      <c r="AC921">
        <f t="shared" ca="1" si="450"/>
        <v>3.8141460404132466E-3</v>
      </c>
      <c r="AD921">
        <f t="shared" ca="1" si="451"/>
        <v>1.0000000000000004</v>
      </c>
      <c r="AE921">
        <f t="shared" ca="1" si="452"/>
        <v>35.686426155594638</v>
      </c>
      <c r="AF921">
        <f t="shared" ca="1" si="453"/>
        <v>3.4693733738322408E-3</v>
      </c>
      <c r="AG921">
        <f t="shared" ca="1" si="454"/>
        <v>1</v>
      </c>
      <c r="AH921">
        <f ca="1">IFERROR(IF(V32="Supercritical",MAX($D$16,IFERROR(L921,MAX($D$16,POWER((ABS(K921)^2)/($I$5*MAX(F921,0.1)^2),1/3)))),IF(V32="Subcritical",MAX($D$16,IFERROR(W921,MAX($D$16,POWER((ABS(K921)^2)/($I$5*MAX(F921,0.1)^2),1/3)))),IF(AND(IFERROR(V921,0)=1,IFERROR(AG921,0)=1),IF(IFERROR(T921,-1E+99)&gt;=IFERROR(AE921,-1E+99),MAX($D$16,IFERROR(L921,MAX($D$16,POWER((ABS(K921)^2)/($I$5*MAX(F921,0.1)^2),1/3)))),MAX($D$16,IFERROR(W921,MAX($D$16,POWER((ABS(K921)^2)/($I$5*MAX(F921,0.1)^2),1/3))))),IF(IFERROR(V921,0)=1,MAX($D$16,IFERROR(L921,MAX($D$16,POWER((ABS(K921)^2)/($I$5*MAX(F921,0.1)^2),1/3)))),IF(IFERROR(AG921,0)=1,MAX($D$16,IFERROR(W921,MAX($D$16,POWER((ABS(K921)^2)/($I$5*MAX(F921,0.1)^2),1/3)))),MAX($D$16,POWER((ABS(K921)^2)/($I$5*MAX(F921,0.1)^2),1/3))))))),MAX($D$16,POWER((ABS(K921)^2)/($I$5*MAX(F921,0.1)^2),1/3)))</f>
        <v>2.1389677043987478</v>
      </c>
      <c r="AI921">
        <f t="shared" ca="1" si="455"/>
        <v>634.27246770439876</v>
      </c>
      <c r="AJ921">
        <f t="shared" ca="1" si="456"/>
        <v>635.34195155659813</v>
      </c>
      <c r="AM921">
        <v>0</v>
      </c>
      <c r="AN921">
        <v>0</v>
      </c>
      <c r="AO921">
        <f t="shared" si="457"/>
        <v>0</v>
      </c>
      <c r="AP921">
        <f t="shared" si="466"/>
        <v>0</v>
      </c>
      <c r="AQ921">
        <f t="shared" ca="1" si="458"/>
        <v>1.0000000000000004</v>
      </c>
      <c r="AR921" t="str">
        <f t="shared" ca="1" si="459"/>
        <v>Supercritical</v>
      </c>
      <c r="AS921">
        <f t="shared" ca="1" si="460"/>
        <v>3.8141460404132466E-3</v>
      </c>
    </row>
    <row r="922" spans="1:45" x14ac:dyDescent="0.35">
      <c r="A922">
        <v>861</v>
      </c>
      <c r="B922">
        <v>859.995</v>
      </c>
      <c r="C922">
        <v>616087.21</v>
      </c>
      <c r="D922">
        <v>3097146.932</v>
      </c>
      <c r="E922">
        <v>632.13300000000004</v>
      </c>
      <c r="F922">
        <v>5.2</v>
      </c>
      <c r="G922">
        <v>0</v>
      </c>
      <c r="H922" t="s">
        <v>154</v>
      </c>
      <c r="I922">
        <v>5.7000000000000002E-2</v>
      </c>
      <c r="J922">
        <f t="shared" si="461"/>
        <v>1</v>
      </c>
      <c r="K922">
        <f t="shared" ca="1" si="462"/>
        <v>50.95</v>
      </c>
      <c r="L922">
        <f t="shared" ca="1" si="463"/>
        <v>2.1389677043987478</v>
      </c>
      <c r="M922">
        <f t="shared" ca="1" si="436"/>
        <v>11.122632062873489</v>
      </c>
      <c r="N922">
        <f t="shared" ca="1" si="437"/>
        <v>1.1735290000551568</v>
      </c>
      <c r="O922">
        <f t="shared" ca="1" si="438"/>
        <v>4.5807502857230418</v>
      </c>
      <c r="P922">
        <f t="shared" ca="1" si="439"/>
        <v>634.27196770439878</v>
      </c>
      <c r="Q922">
        <f t="shared" ca="1" si="440"/>
        <v>635.34145155659814</v>
      </c>
      <c r="R922">
        <f t="shared" ca="1" si="441"/>
        <v>3.8141460404132466E-3</v>
      </c>
      <c r="S922">
        <f t="shared" ca="1" si="442"/>
        <v>1.0000000000000004</v>
      </c>
      <c r="T922">
        <f t="shared" ca="1" si="443"/>
        <v>35.686426155594638</v>
      </c>
      <c r="U922">
        <f t="shared" ca="1" si="464"/>
        <v>-3.4157470064428708E-3</v>
      </c>
      <c r="V922">
        <f t="shared" ca="1" si="465"/>
        <v>1</v>
      </c>
      <c r="W922">
        <f t="shared" ca="1" si="444"/>
        <v>2.1389677043987478</v>
      </c>
      <c r="X922">
        <f t="shared" ca="1" si="445"/>
        <v>11.122632062873489</v>
      </c>
      <c r="Y922">
        <f t="shared" ca="1" si="446"/>
        <v>1.1735290000551568</v>
      </c>
      <c r="Z922">
        <f t="shared" ca="1" si="447"/>
        <v>4.5807502857230418</v>
      </c>
      <c r="AA922">
        <f t="shared" ca="1" si="448"/>
        <v>634.27196770439878</v>
      </c>
      <c r="AB922">
        <f t="shared" ca="1" si="449"/>
        <v>635.34145155659814</v>
      </c>
      <c r="AC922">
        <f t="shared" ca="1" si="450"/>
        <v>3.8141460404132466E-3</v>
      </c>
      <c r="AD922">
        <f t="shared" ca="1" si="451"/>
        <v>1.0000000000000004</v>
      </c>
      <c r="AE922">
        <f t="shared" ca="1" si="452"/>
        <v>35.686426155594638</v>
      </c>
      <c r="AF922">
        <f t="shared" ca="1" si="453"/>
        <v>3.4732019973944261E-3</v>
      </c>
      <c r="AG922">
        <f t="shared" ca="1" si="454"/>
        <v>1</v>
      </c>
      <c r="AH922">
        <f ca="1">IFERROR(IF(V32="Supercritical",MAX($D$16,IFERROR(L922,MAX($D$16,POWER((ABS(K922)^2)/($I$5*MAX(F922,0.1)^2),1/3)))),IF(V32="Subcritical",MAX($D$16,IFERROR(W922,MAX($D$16,POWER((ABS(K922)^2)/($I$5*MAX(F922,0.1)^2),1/3)))),IF(AND(IFERROR(V922,0)=1,IFERROR(AG922,0)=1),IF(IFERROR(T922,-1E+99)&gt;=IFERROR(AE922,-1E+99),MAX($D$16,IFERROR(L922,MAX($D$16,POWER((ABS(K922)^2)/($I$5*MAX(F922,0.1)^2),1/3)))),MAX($D$16,IFERROR(W922,MAX($D$16,POWER((ABS(K922)^2)/($I$5*MAX(F922,0.1)^2),1/3))))),IF(IFERROR(V922,0)=1,MAX($D$16,IFERROR(L922,MAX($D$16,POWER((ABS(K922)^2)/($I$5*MAX(F922,0.1)^2),1/3)))),IF(IFERROR(AG922,0)=1,MAX($D$16,IFERROR(W922,MAX($D$16,POWER((ABS(K922)^2)/($I$5*MAX(F922,0.1)^2),1/3)))),MAX($D$16,POWER((ABS(K922)^2)/($I$5*MAX(F922,0.1)^2),1/3))))))),MAX($D$16,POWER((ABS(K922)^2)/($I$5*MAX(F922,0.1)^2),1/3)))</f>
        <v>2.1389677043987478</v>
      </c>
      <c r="AI922">
        <f t="shared" ca="1" si="455"/>
        <v>634.27196770439878</v>
      </c>
      <c r="AJ922">
        <f t="shared" ca="1" si="456"/>
        <v>635.34145155659814</v>
      </c>
      <c r="AM922">
        <v>0</v>
      </c>
      <c r="AN922">
        <v>0</v>
      </c>
      <c r="AO922">
        <f t="shared" si="457"/>
        <v>0</v>
      </c>
      <c r="AP922">
        <f t="shared" si="466"/>
        <v>0</v>
      </c>
      <c r="AQ922">
        <f t="shared" ca="1" si="458"/>
        <v>1.0000000000000004</v>
      </c>
      <c r="AR922" t="str">
        <f t="shared" ca="1" si="459"/>
        <v>Supercritical</v>
      </c>
      <c r="AS922">
        <f t="shared" ca="1" si="460"/>
        <v>3.8141460404132466E-3</v>
      </c>
    </row>
    <row r="923" spans="1:45" x14ac:dyDescent="0.35">
      <c r="A923">
        <v>862</v>
      </c>
      <c r="B923">
        <v>860.995</v>
      </c>
      <c r="C923">
        <v>616087.16700000002</v>
      </c>
      <c r="D923">
        <v>3097145.9330000002</v>
      </c>
      <c r="E923">
        <v>632.13250000000005</v>
      </c>
      <c r="F923">
        <v>5.2</v>
      </c>
      <c r="G923">
        <v>0</v>
      </c>
      <c r="H923" t="s">
        <v>154</v>
      </c>
      <c r="I923">
        <v>0.06</v>
      </c>
      <c r="J923">
        <f t="shared" si="461"/>
        <v>1</v>
      </c>
      <c r="K923">
        <f t="shared" ca="1" si="462"/>
        <v>50.95</v>
      </c>
      <c r="L923">
        <f t="shared" ca="1" si="463"/>
        <v>2.1389677043987478</v>
      </c>
      <c r="M923">
        <f t="shared" ca="1" si="436"/>
        <v>11.122632062873489</v>
      </c>
      <c r="N923">
        <f t="shared" ca="1" si="437"/>
        <v>1.1735290000551568</v>
      </c>
      <c r="O923">
        <f t="shared" ca="1" si="438"/>
        <v>4.5807502857230418</v>
      </c>
      <c r="P923">
        <f t="shared" ca="1" si="439"/>
        <v>634.27146770439879</v>
      </c>
      <c r="Q923">
        <f t="shared" ca="1" si="440"/>
        <v>635.34095155659816</v>
      </c>
      <c r="R923">
        <f t="shared" ca="1" si="441"/>
        <v>3.8141460404132466E-3</v>
      </c>
      <c r="S923">
        <f t="shared" ca="1" si="442"/>
        <v>1.0000000000000004</v>
      </c>
      <c r="T923">
        <f t="shared" ca="1" si="443"/>
        <v>35.686426155594638</v>
      </c>
      <c r="U923">
        <f t="shared" ca="1" si="464"/>
        <v>-3.4210944256756193E-3</v>
      </c>
      <c r="V923">
        <f t="shared" ca="1" si="465"/>
        <v>1</v>
      </c>
      <c r="W923">
        <f t="shared" ca="1" si="444"/>
        <v>2.1389677043987478</v>
      </c>
      <c r="X923">
        <f t="shared" ca="1" si="445"/>
        <v>11.122632062873489</v>
      </c>
      <c r="Y923">
        <f t="shared" ca="1" si="446"/>
        <v>1.1735290000551568</v>
      </c>
      <c r="Z923">
        <f t="shared" ca="1" si="447"/>
        <v>4.5807502857230418</v>
      </c>
      <c r="AA923">
        <f t="shared" ca="1" si="448"/>
        <v>634.27146770439879</v>
      </c>
      <c r="AB923">
        <f t="shared" ca="1" si="449"/>
        <v>635.34095155659816</v>
      </c>
      <c r="AC923">
        <f t="shared" ca="1" si="450"/>
        <v>3.8141460404132466E-3</v>
      </c>
      <c r="AD923">
        <f t="shared" ca="1" si="451"/>
        <v>1.0000000000000004</v>
      </c>
      <c r="AE923">
        <f t="shared" ca="1" si="452"/>
        <v>35.686426155594638</v>
      </c>
      <c r="AF923">
        <f t="shared" ca="1" si="453"/>
        <v>3.3750443834605903E-3</v>
      </c>
      <c r="AG923">
        <f t="shared" ca="1" si="454"/>
        <v>1</v>
      </c>
      <c r="AH923">
        <f ca="1">IFERROR(IF(V32="Supercritical",MAX($D$16,IFERROR(L923,MAX($D$16,POWER((ABS(K923)^2)/($I$5*MAX(F923,0.1)^2),1/3)))),IF(V32="Subcritical",MAX($D$16,IFERROR(W923,MAX($D$16,POWER((ABS(K923)^2)/($I$5*MAX(F923,0.1)^2),1/3)))),IF(AND(IFERROR(V923,0)=1,IFERROR(AG923,0)=1),IF(IFERROR(T923,-1E+99)&gt;=IFERROR(AE923,-1E+99),MAX($D$16,IFERROR(L923,MAX($D$16,POWER((ABS(K923)^2)/($I$5*MAX(F923,0.1)^2),1/3)))),MAX($D$16,IFERROR(W923,MAX($D$16,POWER((ABS(K923)^2)/($I$5*MAX(F923,0.1)^2),1/3))))),IF(IFERROR(V923,0)=1,MAX($D$16,IFERROR(L923,MAX($D$16,POWER((ABS(K923)^2)/($I$5*MAX(F923,0.1)^2),1/3)))),IF(IFERROR(AG923,0)=1,MAX($D$16,IFERROR(W923,MAX($D$16,POWER((ABS(K923)^2)/($I$5*MAX(F923,0.1)^2),1/3)))),MAX($D$16,POWER((ABS(K923)^2)/($I$5*MAX(F923,0.1)^2),1/3))))))),MAX($D$16,POWER((ABS(K923)^2)/($I$5*MAX(F923,0.1)^2),1/3)))</f>
        <v>2.1389677043987478</v>
      </c>
      <c r="AI923">
        <f t="shared" ca="1" si="455"/>
        <v>634.27146770439879</v>
      </c>
      <c r="AJ923">
        <f t="shared" ca="1" si="456"/>
        <v>635.34095155659816</v>
      </c>
      <c r="AM923">
        <v>0</v>
      </c>
      <c r="AN923">
        <v>0</v>
      </c>
      <c r="AO923">
        <f t="shared" si="457"/>
        <v>0</v>
      </c>
      <c r="AP923">
        <f t="shared" si="466"/>
        <v>0</v>
      </c>
      <c r="AQ923">
        <f t="shared" ca="1" si="458"/>
        <v>1.0000000000000004</v>
      </c>
      <c r="AR923" t="str">
        <f t="shared" ca="1" si="459"/>
        <v>Supercritical</v>
      </c>
      <c r="AS923">
        <f t="shared" ca="1" si="460"/>
        <v>3.8141460404132466E-3</v>
      </c>
    </row>
    <row r="924" spans="1:45" x14ac:dyDescent="0.35">
      <c r="A924">
        <v>863</v>
      </c>
      <c r="B924">
        <v>861.99599999999998</v>
      </c>
      <c r="C924">
        <v>616087.125</v>
      </c>
      <c r="D924">
        <v>3097144.9330000002</v>
      </c>
      <c r="E924">
        <v>632.13199999999995</v>
      </c>
      <c r="F924">
        <v>5.2</v>
      </c>
      <c r="G924">
        <v>0</v>
      </c>
      <c r="H924" t="s">
        <v>154</v>
      </c>
      <c r="I924">
        <v>2E-3</v>
      </c>
      <c r="J924">
        <f t="shared" si="461"/>
        <v>1.0009999999999764</v>
      </c>
      <c r="K924">
        <f t="shared" ca="1" si="462"/>
        <v>50.95</v>
      </c>
      <c r="L924">
        <f t="shared" ca="1" si="463"/>
        <v>2.1389677043987478</v>
      </c>
      <c r="M924">
        <f t="shared" ca="1" si="436"/>
        <v>11.122632062873489</v>
      </c>
      <c r="N924">
        <f t="shared" ca="1" si="437"/>
        <v>1.1735290000551568</v>
      </c>
      <c r="O924">
        <f t="shared" ca="1" si="438"/>
        <v>4.5807502857230418</v>
      </c>
      <c r="P924">
        <f t="shared" ca="1" si="439"/>
        <v>634.27096770439869</v>
      </c>
      <c r="Q924">
        <f t="shared" ca="1" si="440"/>
        <v>635.34045155659805</v>
      </c>
      <c r="R924">
        <f t="shared" ca="1" si="441"/>
        <v>3.8141460404132466E-3</v>
      </c>
      <c r="S924">
        <f t="shared" ca="1" si="442"/>
        <v>1.0000000000000004</v>
      </c>
      <c r="T924">
        <f t="shared" ca="1" si="443"/>
        <v>35.686426155594638</v>
      </c>
      <c r="U924">
        <f t="shared" ca="1" si="464"/>
        <v>-3.3215251324918427E-3</v>
      </c>
      <c r="V924">
        <f t="shared" ca="1" si="465"/>
        <v>1</v>
      </c>
      <c r="W924">
        <f t="shared" ca="1" si="444"/>
        <v>2.1389677043987478</v>
      </c>
      <c r="X924">
        <f t="shared" ca="1" si="445"/>
        <v>11.122632062873489</v>
      </c>
      <c r="Y924">
        <f t="shared" ca="1" si="446"/>
        <v>1.1735290000551568</v>
      </c>
      <c r="Z924">
        <f t="shared" ca="1" si="447"/>
        <v>4.5807502857230418</v>
      </c>
      <c r="AA924">
        <f t="shared" ca="1" si="448"/>
        <v>634.27096770439869</v>
      </c>
      <c r="AB924">
        <f t="shared" ca="1" si="449"/>
        <v>635.34045155659805</v>
      </c>
      <c r="AC924">
        <f t="shared" ca="1" si="450"/>
        <v>3.8141460404132466E-3</v>
      </c>
      <c r="AD924">
        <f t="shared" ca="1" si="451"/>
        <v>1.0000000000000004</v>
      </c>
      <c r="AE924">
        <f t="shared" ca="1" si="452"/>
        <v>35.686426155594638</v>
      </c>
      <c r="AF924">
        <f t="shared" ca="1" si="453"/>
        <v>3.4692882957187976E-3</v>
      </c>
      <c r="AG924">
        <f t="shared" ca="1" si="454"/>
        <v>1</v>
      </c>
      <c r="AH924">
        <f ca="1">IFERROR(IF(V32="Supercritical",MAX($D$16,IFERROR(L924,MAX($D$16,POWER((ABS(K924)^2)/($I$5*MAX(F924,0.1)^2),1/3)))),IF(V32="Subcritical",MAX($D$16,IFERROR(W924,MAX($D$16,POWER((ABS(K924)^2)/($I$5*MAX(F924,0.1)^2),1/3)))),IF(AND(IFERROR(V924,0)=1,IFERROR(AG924,0)=1),IF(IFERROR(T924,-1E+99)&gt;=IFERROR(AE924,-1E+99),MAX($D$16,IFERROR(L924,MAX($D$16,POWER((ABS(K924)^2)/($I$5*MAX(F924,0.1)^2),1/3)))),MAX($D$16,IFERROR(W924,MAX($D$16,POWER((ABS(K924)^2)/($I$5*MAX(F924,0.1)^2),1/3))))),IF(IFERROR(V924,0)=1,MAX($D$16,IFERROR(L924,MAX($D$16,POWER((ABS(K924)^2)/($I$5*MAX(F924,0.1)^2),1/3)))),IF(IFERROR(AG924,0)=1,MAX($D$16,IFERROR(W924,MAX($D$16,POWER((ABS(K924)^2)/($I$5*MAX(F924,0.1)^2),1/3)))),MAX($D$16,POWER((ABS(K924)^2)/($I$5*MAX(F924,0.1)^2),1/3))))))),MAX($D$16,POWER((ABS(K924)^2)/($I$5*MAX(F924,0.1)^2),1/3)))</f>
        <v>2.1389677043987478</v>
      </c>
      <c r="AI924">
        <f t="shared" ca="1" si="455"/>
        <v>634.27096770439869</v>
      </c>
      <c r="AJ924">
        <f t="shared" ca="1" si="456"/>
        <v>635.34045155659805</v>
      </c>
      <c r="AM924">
        <v>0</v>
      </c>
      <c r="AN924">
        <v>0</v>
      </c>
      <c r="AO924">
        <f t="shared" si="457"/>
        <v>0</v>
      </c>
      <c r="AP924">
        <f t="shared" si="466"/>
        <v>0</v>
      </c>
      <c r="AQ924">
        <f t="shared" ca="1" si="458"/>
        <v>1.0000000000000004</v>
      </c>
      <c r="AR924" t="str">
        <f t="shared" ca="1" si="459"/>
        <v>Supercritical</v>
      </c>
      <c r="AS924">
        <f t="shared" ca="1" si="460"/>
        <v>3.8141460404132466E-3</v>
      </c>
    </row>
    <row r="925" spans="1:45" x14ac:dyDescent="0.35">
      <c r="A925">
        <v>864</v>
      </c>
      <c r="B925">
        <v>862.99599999999998</v>
      </c>
      <c r="C925">
        <v>616087.08299999998</v>
      </c>
      <c r="D925">
        <v>3097143.9339999999</v>
      </c>
      <c r="E925">
        <v>632.13149999999996</v>
      </c>
      <c r="F925">
        <v>5.2</v>
      </c>
      <c r="G925">
        <v>0</v>
      </c>
      <c r="H925" t="s">
        <v>154</v>
      </c>
      <c r="I925">
        <v>5.7000000000000002E-2</v>
      </c>
      <c r="J925">
        <f t="shared" si="461"/>
        <v>1</v>
      </c>
      <c r="K925">
        <f t="shared" ca="1" si="462"/>
        <v>50.95</v>
      </c>
      <c r="L925">
        <f t="shared" ca="1" si="463"/>
        <v>2.1389677043987478</v>
      </c>
      <c r="M925">
        <f t="shared" ca="1" si="436"/>
        <v>11.122632062873489</v>
      </c>
      <c r="N925">
        <f t="shared" ca="1" si="437"/>
        <v>1.1735290000551568</v>
      </c>
      <c r="O925">
        <f t="shared" ca="1" si="438"/>
        <v>4.5807502857230418</v>
      </c>
      <c r="P925">
        <f t="shared" ca="1" si="439"/>
        <v>634.2704677043987</v>
      </c>
      <c r="Q925">
        <f t="shared" ca="1" si="440"/>
        <v>635.33995155659807</v>
      </c>
      <c r="R925">
        <f t="shared" ca="1" si="441"/>
        <v>3.8141460404132466E-3</v>
      </c>
      <c r="S925">
        <f t="shared" ca="1" si="442"/>
        <v>1.0000000000000004</v>
      </c>
      <c r="T925">
        <f t="shared" ca="1" si="443"/>
        <v>35.686426155594638</v>
      </c>
      <c r="U925">
        <f t="shared" ca="1" si="464"/>
        <v>-3.4157470064428708E-3</v>
      </c>
      <c r="V925">
        <f t="shared" ca="1" si="465"/>
        <v>1</v>
      </c>
      <c r="W925">
        <f t="shared" ca="1" si="444"/>
        <v>2.1389677043987478</v>
      </c>
      <c r="X925">
        <f t="shared" ca="1" si="445"/>
        <v>11.122632062873489</v>
      </c>
      <c r="Y925">
        <f t="shared" ca="1" si="446"/>
        <v>1.1735290000551568</v>
      </c>
      <c r="Z925">
        <f t="shared" ca="1" si="447"/>
        <v>4.5807502857230418</v>
      </c>
      <c r="AA925">
        <f t="shared" ca="1" si="448"/>
        <v>634.2704677043987</v>
      </c>
      <c r="AB925">
        <f t="shared" ca="1" si="449"/>
        <v>635.33995155659807</v>
      </c>
      <c r="AC925">
        <f t="shared" ca="1" si="450"/>
        <v>3.8141460404132466E-3</v>
      </c>
      <c r="AD925">
        <f t="shared" ca="1" si="451"/>
        <v>1.0000000000000004</v>
      </c>
      <c r="AE925">
        <f t="shared" ca="1" si="452"/>
        <v>35.686426155594638</v>
      </c>
      <c r="AF925">
        <f t="shared" ca="1" si="453"/>
        <v>3.4677132455271931E-3</v>
      </c>
      <c r="AG925">
        <f t="shared" ca="1" si="454"/>
        <v>1</v>
      </c>
      <c r="AH925">
        <f ca="1">IFERROR(IF(V32="Supercritical",MAX($D$16,IFERROR(L925,MAX($D$16,POWER((ABS(K925)^2)/($I$5*MAX(F925,0.1)^2),1/3)))),IF(V32="Subcritical",MAX($D$16,IFERROR(W925,MAX($D$16,POWER((ABS(K925)^2)/($I$5*MAX(F925,0.1)^2),1/3)))),IF(AND(IFERROR(V925,0)=1,IFERROR(AG925,0)=1),IF(IFERROR(T925,-1E+99)&gt;=IFERROR(AE925,-1E+99),MAX($D$16,IFERROR(L925,MAX($D$16,POWER((ABS(K925)^2)/($I$5*MAX(F925,0.1)^2),1/3)))),MAX($D$16,IFERROR(W925,MAX($D$16,POWER((ABS(K925)^2)/($I$5*MAX(F925,0.1)^2),1/3))))),IF(IFERROR(V925,0)=1,MAX($D$16,IFERROR(L925,MAX($D$16,POWER((ABS(K925)^2)/($I$5*MAX(F925,0.1)^2),1/3)))),IF(IFERROR(AG925,0)=1,MAX($D$16,IFERROR(W925,MAX($D$16,POWER((ABS(K925)^2)/($I$5*MAX(F925,0.1)^2),1/3)))),MAX($D$16,POWER((ABS(K925)^2)/($I$5*MAX(F925,0.1)^2),1/3))))))),MAX($D$16,POWER((ABS(K925)^2)/($I$5*MAX(F925,0.1)^2),1/3)))</f>
        <v>2.1389677043987478</v>
      </c>
      <c r="AI925">
        <f t="shared" ca="1" si="455"/>
        <v>634.2704677043987</v>
      </c>
      <c r="AJ925">
        <f t="shared" ca="1" si="456"/>
        <v>635.33995155659807</v>
      </c>
      <c r="AM925">
        <v>0</v>
      </c>
      <c r="AN925">
        <v>0</v>
      </c>
      <c r="AO925">
        <f t="shared" si="457"/>
        <v>0</v>
      </c>
      <c r="AP925">
        <f t="shared" si="466"/>
        <v>0</v>
      </c>
      <c r="AQ925">
        <f t="shared" ca="1" si="458"/>
        <v>1.0000000000000004</v>
      </c>
      <c r="AR925" t="str">
        <f t="shared" ca="1" si="459"/>
        <v>Supercritical</v>
      </c>
      <c r="AS925">
        <f t="shared" ca="1" si="460"/>
        <v>3.8141460404132466E-3</v>
      </c>
    </row>
    <row r="926" spans="1:45" x14ac:dyDescent="0.35">
      <c r="A926">
        <v>865</v>
      </c>
      <c r="B926">
        <v>863.99599999999998</v>
      </c>
      <c r="C926">
        <v>616087.04000000004</v>
      </c>
      <c r="D926">
        <v>3097142.9350000001</v>
      </c>
      <c r="E926">
        <v>632.13099999999997</v>
      </c>
      <c r="F926">
        <v>5.2</v>
      </c>
      <c r="G926">
        <v>0</v>
      </c>
      <c r="H926" t="s">
        <v>154</v>
      </c>
      <c r="I926">
        <v>5.7000000000000002E-2</v>
      </c>
      <c r="J926">
        <f t="shared" si="461"/>
        <v>1</v>
      </c>
      <c r="K926">
        <f t="shared" ca="1" si="462"/>
        <v>50.95</v>
      </c>
      <c r="L926">
        <f t="shared" ca="1" si="463"/>
        <v>2.1389677043987478</v>
      </c>
      <c r="M926">
        <f t="shared" ca="1" si="436"/>
        <v>11.122632062873489</v>
      </c>
      <c r="N926">
        <f t="shared" ca="1" si="437"/>
        <v>1.1735290000551568</v>
      </c>
      <c r="O926">
        <f t="shared" ca="1" si="438"/>
        <v>4.5807502857230418</v>
      </c>
      <c r="P926">
        <f t="shared" ca="1" si="439"/>
        <v>634.26996770439871</v>
      </c>
      <c r="Q926">
        <f t="shared" ca="1" si="440"/>
        <v>635.33945155659808</v>
      </c>
      <c r="R926">
        <f t="shared" ca="1" si="441"/>
        <v>3.8141460404132466E-3</v>
      </c>
      <c r="S926">
        <f t="shared" ca="1" si="442"/>
        <v>1.0000000000000004</v>
      </c>
      <c r="T926">
        <f t="shared" ca="1" si="443"/>
        <v>35.686426155594638</v>
      </c>
      <c r="U926">
        <f t="shared" ca="1" si="464"/>
        <v>-3.4157470064428708E-3</v>
      </c>
      <c r="V926">
        <f t="shared" ca="1" si="465"/>
        <v>1</v>
      </c>
      <c r="W926">
        <f t="shared" ca="1" si="444"/>
        <v>2.1389677043987478</v>
      </c>
      <c r="X926">
        <f t="shared" ca="1" si="445"/>
        <v>11.122632062873489</v>
      </c>
      <c r="Y926">
        <f t="shared" ca="1" si="446"/>
        <v>1.1735290000551568</v>
      </c>
      <c r="Z926">
        <f t="shared" ca="1" si="447"/>
        <v>4.5807502857230418</v>
      </c>
      <c r="AA926">
        <f t="shared" ca="1" si="448"/>
        <v>634.26996770439871</v>
      </c>
      <c r="AB926">
        <f t="shared" ca="1" si="449"/>
        <v>635.33945155659808</v>
      </c>
      <c r="AC926">
        <f t="shared" ca="1" si="450"/>
        <v>3.8141460404132466E-3</v>
      </c>
      <c r="AD926">
        <f t="shared" ca="1" si="451"/>
        <v>1.0000000000000004</v>
      </c>
      <c r="AE926">
        <f t="shared" ca="1" si="452"/>
        <v>35.686426155594638</v>
      </c>
      <c r="AF926">
        <f t="shared" ca="1" si="453"/>
        <v>3.3660877588772564E-3</v>
      </c>
      <c r="AG926">
        <f t="shared" ca="1" si="454"/>
        <v>1</v>
      </c>
      <c r="AH926">
        <f ca="1">IFERROR(IF(V32="Supercritical",MAX($D$16,IFERROR(L926,MAX($D$16,POWER((ABS(K926)^2)/($I$5*MAX(F926,0.1)^2),1/3)))),IF(V32="Subcritical",MAX($D$16,IFERROR(W926,MAX($D$16,POWER((ABS(K926)^2)/($I$5*MAX(F926,0.1)^2),1/3)))),IF(AND(IFERROR(V926,0)=1,IFERROR(AG926,0)=1),IF(IFERROR(T926,-1E+99)&gt;=IFERROR(AE926,-1E+99),MAX($D$16,IFERROR(L926,MAX($D$16,POWER((ABS(K926)^2)/($I$5*MAX(F926,0.1)^2),1/3)))),MAX($D$16,IFERROR(W926,MAX($D$16,POWER((ABS(K926)^2)/($I$5*MAX(F926,0.1)^2),1/3))))),IF(IFERROR(V926,0)=1,MAX($D$16,IFERROR(L926,MAX($D$16,POWER((ABS(K926)^2)/($I$5*MAX(F926,0.1)^2),1/3)))),IF(IFERROR(AG926,0)=1,MAX($D$16,IFERROR(W926,MAX($D$16,POWER((ABS(K926)^2)/($I$5*MAX(F926,0.1)^2),1/3)))),MAX($D$16,POWER((ABS(K926)^2)/($I$5*MAX(F926,0.1)^2),1/3))))))),MAX($D$16,POWER((ABS(K926)^2)/($I$5*MAX(F926,0.1)^2),1/3)))</f>
        <v>2.1389677043987478</v>
      </c>
      <c r="AI926">
        <f t="shared" ca="1" si="455"/>
        <v>634.26996770439871</v>
      </c>
      <c r="AJ926">
        <f t="shared" ca="1" si="456"/>
        <v>635.33945155659808</v>
      </c>
      <c r="AM926">
        <v>0</v>
      </c>
      <c r="AN926">
        <v>0</v>
      </c>
      <c r="AO926">
        <f t="shared" si="457"/>
        <v>0</v>
      </c>
      <c r="AP926">
        <f t="shared" si="466"/>
        <v>0</v>
      </c>
      <c r="AQ926">
        <f t="shared" ca="1" si="458"/>
        <v>1.0000000000000004</v>
      </c>
      <c r="AR926" t="str">
        <f t="shared" ca="1" si="459"/>
        <v>Supercritical</v>
      </c>
      <c r="AS926">
        <f t="shared" ca="1" si="460"/>
        <v>3.8141460404132466E-3</v>
      </c>
    </row>
    <row r="927" spans="1:45" x14ac:dyDescent="0.35">
      <c r="A927">
        <v>866</v>
      </c>
      <c r="B927">
        <v>864.99599999999998</v>
      </c>
      <c r="C927">
        <v>616086.99800000002</v>
      </c>
      <c r="D927">
        <v>3097141.9360000002</v>
      </c>
      <c r="E927">
        <v>632.13049999999998</v>
      </c>
      <c r="F927">
        <v>5.2</v>
      </c>
      <c r="G927">
        <v>0</v>
      </c>
      <c r="H927" t="s">
        <v>154</v>
      </c>
      <c r="I927">
        <v>0</v>
      </c>
      <c r="J927">
        <f t="shared" si="461"/>
        <v>1</v>
      </c>
      <c r="K927">
        <f t="shared" ca="1" si="462"/>
        <v>50.95</v>
      </c>
      <c r="L927">
        <f t="shared" ca="1" si="463"/>
        <v>2.1389677043987478</v>
      </c>
      <c r="M927">
        <f t="shared" ca="1" si="436"/>
        <v>11.122632062873489</v>
      </c>
      <c r="N927">
        <f t="shared" ca="1" si="437"/>
        <v>1.1735290000551568</v>
      </c>
      <c r="O927">
        <f t="shared" ca="1" si="438"/>
        <v>4.5807502857230418</v>
      </c>
      <c r="P927">
        <f t="shared" ca="1" si="439"/>
        <v>634.26946770439872</v>
      </c>
      <c r="Q927">
        <f t="shared" ca="1" si="440"/>
        <v>635.33895155659809</v>
      </c>
      <c r="R927">
        <f t="shared" ca="1" si="441"/>
        <v>3.8141460404132466E-3</v>
      </c>
      <c r="S927">
        <f t="shared" ca="1" si="442"/>
        <v>1.0000000000000004</v>
      </c>
      <c r="T927">
        <f t="shared" ca="1" si="443"/>
        <v>35.686426155594638</v>
      </c>
      <c r="U927">
        <f t="shared" ca="1" si="464"/>
        <v>-3.3141460404522149E-3</v>
      </c>
      <c r="V927">
        <f t="shared" ca="1" si="465"/>
        <v>1</v>
      </c>
      <c r="W927">
        <f t="shared" ca="1" si="444"/>
        <v>2.1389677043987478</v>
      </c>
      <c r="X927">
        <f t="shared" ca="1" si="445"/>
        <v>11.122632062873489</v>
      </c>
      <c r="Y927">
        <f t="shared" ca="1" si="446"/>
        <v>1.1735290000551568</v>
      </c>
      <c r="Z927">
        <f t="shared" ca="1" si="447"/>
        <v>4.5807502857230418</v>
      </c>
      <c r="AA927">
        <f t="shared" ca="1" si="448"/>
        <v>634.26946770439872</v>
      </c>
      <c r="AB927">
        <f t="shared" ca="1" si="449"/>
        <v>635.33895155659809</v>
      </c>
      <c r="AC927">
        <f t="shared" ca="1" si="450"/>
        <v>3.8141460404132466E-3</v>
      </c>
      <c r="AD927">
        <f t="shared" ca="1" si="451"/>
        <v>1.0000000000000004</v>
      </c>
      <c r="AE927">
        <f t="shared" ca="1" si="452"/>
        <v>35.686426155594638</v>
      </c>
      <c r="AF927">
        <f t="shared" ca="1" si="453"/>
        <v>3.3676032026050962E-3</v>
      </c>
      <c r="AG927">
        <f t="shared" ca="1" si="454"/>
        <v>1</v>
      </c>
      <c r="AH927">
        <f ca="1">IFERROR(IF(V32="Supercritical",MAX($D$16,IFERROR(L927,MAX($D$16,POWER((ABS(K927)^2)/($I$5*MAX(F927,0.1)^2),1/3)))),IF(V32="Subcritical",MAX($D$16,IFERROR(W927,MAX($D$16,POWER((ABS(K927)^2)/($I$5*MAX(F927,0.1)^2),1/3)))),IF(AND(IFERROR(V927,0)=1,IFERROR(AG927,0)=1),IF(IFERROR(T927,-1E+99)&gt;=IFERROR(AE927,-1E+99),MAX($D$16,IFERROR(L927,MAX($D$16,POWER((ABS(K927)^2)/($I$5*MAX(F927,0.1)^2),1/3)))),MAX($D$16,IFERROR(W927,MAX($D$16,POWER((ABS(K927)^2)/($I$5*MAX(F927,0.1)^2),1/3))))),IF(IFERROR(V927,0)=1,MAX($D$16,IFERROR(L927,MAX($D$16,POWER((ABS(K927)^2)/($I$5*MAX(F927,0.1)^2),1/3)))),IF(IFERROR(AG927,0)=1,MAX($D$16,IFERROR(W927,MAX($D$16,POWER((ABS(K927)^2)/($I$5*MAX(F927,0.1)^2),1/3)))),MAX($D$16,POWER((ABS(K927)^2)/($I$5*MAX(F927,0.1)^2),1/3))))))),MAX($D$16,POWER((ABS(K927)^2)/($I$5*MAX(F927,0.1)^2),1/3)))</f>
        <v>2.1389677043987478</v>
      </c>
      <c r="AI927">
        <f t="shared" ca="1" si="455"/>
        <v>634.26946770439872</v>
      </c>
      <c r="AJ927">
        <f t="shared" ca="1" si="456"/>
        <v>635.33895155659809</v>
      </c>
      <c r="AM927">
        <v>0</v>
      </c>
      <c r="AN927">
        <v>0</v>
      </c>
      <c r="AO927">
        <f t="shared" si="457"/>
        <v>0</v>
      </c>
      <c r="AP927">
        <f t="shared" si="466"/>
        <v>0</v>
      </c>
      <c r="AQ927">
        <f t="shared" ca="1" si="458"/>
        <v>1.0000000000000004</v>
      </c>
      <c r="AR927" t="str">
        <f t="shared" ca="1" si="459"/>
        <v>Supercritical</v>
      </c>
      <c r="AS927">
        <f t="shared" ca="1" si="460"/>
        <v>3.8141460404132466E-3</v>
      </c>
    </row>
    <row r="928" spans="1:45" x14ac:dyDescent="0.35">
      <c r="A928">
        <v>867</v>
      </c>
      <c r="B928">
        <v>865.99599999999998</v>
      </c>
      <c r="C928">
        <v>616086.95600000001</v>
      </c>
      <c r="D928">
        <v>3097140.9369999999</v>
      </c>
      <c r="E928">
        <v>632.13</v>
      </c>
      <c r="F928">
        <v>5.2</v>
      </c>
      <c r="G928">
        <v>0</v>
      </c>
      <c r="H928" t="s">
        <v>154</v>
      </c>
      <c r="I928">
        <v>0</v>
      </c>
      <c r="J928">
        <f t="shared" si="461"/>
        <v>1</v>
      </c>
      <c r="K928">
        <f t="shared" ca="1" si="462"/>
        <v>50.95</v>
      </c>
      <c r="L928">
        <f t="shared" ca="1" si="463"/>
        <v>2.1389677043987478</v>
      </c>
      <c r="M928">
        <f t="shared" ca="1" si="436"/>
        <v>11.122632062873489</v>
      </c>
      <c r="N928">
        <f t="shared" ca="1" si="437"/>
        <v>1.1735290000551568</v>
      </c>
      <c r="O928">
        <f t="shared" ca="1" si="438"/>
        <v>4.5807502857230418</v>
      </c>
      <c r="P928">
        <f t="shared" ca="1" si="439"/>
        <v>634.26896770439873</v>
      </c>
      <c r="Q928">
        <f t="shared" ca="1" si="440"/>
        <v>635.3384515565981</v>
      </c>
      <c r="R928">
        <f t="shared" ca="1" si="441"/>
        <v>3.8141460404132466E-3</v>
      </c>
      <c r="S928">
        <f t="shared" ca="1" si="442"/>
        <v>1.0000000000000004</v>
      </c>
      <c r="T928">
        <f t="shared" ca="1" si="443"/>
        <v>35.686426155594638</v>
      </c>
      <c r="U928">
        <f t="shared" ca="1" si="464"/>
        <v>-3.3141460404522149E-3</v>
      </c>
      <c r="V928">
        <f t="shared" ca="1" si="465"/>
        <v>1</v>
      </c>
      <c r="W928">
        <f t="shared" ca="1" si="444"/>
        <v>2.1389677043987478</v>
      </c>
      <c r="X928">
        <f t="shared" ca="1" si="445"/>
        <v>11.122632062873489</v>
      </c>
      <c r="Y928">
        <f t="shared" ca="1" si="446"/>
        <v>1.1735290000551568</v>
      </c>
      <c r="Z928">
        <f t="shared" ca="1" si="447"/>
        <v>4.5807502857230418</v>
      </c>
      <c r="AA928">
        <f t="shared" ca="1" si="448"/>
        <v>634.26896770439873</v>
      </c>
      <c r="AB928">
        <f t="shared" ca="1" si="449"/>
        <v>635.3384515565981</v>
      </c>
      <c r="AC928">
        <f t="shared" ca="1" si="450"/>
        <v>3.8141460404132466E-3</v>
      </c>
      <c r="AD928">
        <f t="shared" ca="1" si="451"/>
        <v>1.0000000000000004</v>
      </c>
      <c r="AE928">
        <f t="shared" ca="1" si="452"/>
        <v>35.686426155594638</v>
      </c>
      <c r="AF928">
        <f t="shared" ca="1" si="453"/>
        <v>3.4654728963232628E-3</v>
      </c>
      <c r="AG928">
        <f t="shared" ca="1" si="454"/>
        <v>1</v>
      </c>
      <c r="AH928">
        <f ca="1">IFERROR(IF(V32="Supercritical",MAX($D$16,IFERROR(L928,MAX($D$16,POWER((ABS(K928)^2)/($I$5*MAX(F928,0.1)^2),1/3)))),IF(V32="Subcritical",MAX($D$16,IFERROR(W928,MAX($D$16,POWER((ABS(K928)^2)/($I$5*MAX(F928,0.1)^2),1/3)))),IF(AND(IFERROR(V928,0)=1,IFERROR(AG928,0)=1),IF(IFERROR(T928,-1E+99)&gt;=IFERROR(AE928,-1E+99),MAX($D$16,IFERROR(L928,MAX($D$16,POWER((ABS(K928)^2)/($I$5*MAX(F928,0.1)^2),1/3)))),MAX($D$16,IFERROR(W928,MAX($D$16,POWER((ABS(K928)^2)/($I$5*MAX(F928,0.1)^2),1/3))))),IF(IFERROR(V928,0)=1,MAX($D$16,IFERROR(L928,MAX($D$16,POWER((ABS(K928)^2)/($I$5*MAX(F928,0.1)^2),1/3)))),IF(IFERROR(AG928,0)=1,MAX($D$16,IFERROR(W928,MAX($D$16,POWER((ABS(K928)^2)/($I$5*MAX(F928,0.1)^2),1/3)))),MAX($D$16,POWER((ABS(K928)^2)/($I$5*MAX(F928,0.1)^2),1/3))))))),MAX($D$16,POWER((ABS(K928)^2)/($I$5*MAX(F928,0.1)^2),1/3)))</f>
        <v>2.1389677043987478</v>
      </c>
      <c r="AI928">
        <f t="shared" ca="1" si="455"/>
        <v>634.26896770439873</v>
      </c>
      <c r="AJ928">
        <f t="shared" ca="1" si="456"/>
        <v>635.3384515565981</v>
      </c>
      <c r="AM928">
        <v>0</v>
      </c>
      <c r="AN928">
        <v>0</v>
      </c>
      <c r="AO928">
        <f t="shared" si="457"/>
        <v>0</v>
      </c>
      <c r="AP928">
        <f t="shared" si="466"/>
        <v>0</v>
      </c>
      <c r="AQ928">
        <f t="shared" ca="1" si="458"/>
        <v>1.0000000000000004</v>
      </c>
      <c r="AR928" t="str">
        <f t="shared" ca="1" si="459"/>
        <v>Supercritical</v>
      </c>
      <c r="AS928">
        <f t="shared" ca="1" si="460"/>
        <v>3.8141460404132466E-3</v>
      </c>
    </row>
    <row r="929" spans="1:45" x14ac:dyDescent="0.35">
      <c r="A929">
        <v>868</v>
      </c>
      <c r="B929">
        <v>866.995</v>
      </c>
      <c r="C929">
        <v>616086.91399999999</v>
      </c>
      <c r="D929">
        <v>3097139.9380000001</v>
      </c>
      <c r="E929">
        <v>632.12950000000001</v>
      </c>
      <c r="F929">
        <v>5.2</v>
      </c>
      <c r="G929">
        <v>0</v>
      </c>
      <c r="H929" t="s">
        <v>154</v>
      </c>
      <c r="I929">
        <v>5.7000000000000002E-2</v>
      </c>
      <c r="J929">
        <f t="shared" si="461"/>
        <v>0.99900000000002365</v>
      </c>
      <c r="K929">
        <f t="shared" ca="1" si="462"/>
        <v>50.95</v>
      </c>
      <c r="L929">
        <f t="shared" ca="1" si="463"/>
        <v>2.1389677043987478</v>
      </c>
      <c r="M929">
        <f t="shared" ca="1" si="436"/>
        <v>11.122632062873489</v>
      </c>
      <c r="N929">
        <f t="shared" ca="1" si="437"/>
        <v>1.1735290000551568</v>
      </c>
      <c r="O929">
        <f t="shared" ca="1" si="438"/>
        <v>4.5807502857230418</v>
      </c>
      <c r="P929">
        <f t="shared" ca="1" si="439"/>
        <v>634.26846770439874</v>
      </c>
      <c r="Q929">
        <f t="shared" ca="1" si="440"/>
        <v>635.33795155659811</v>
      </c>
      <c r="R929">
        <f t="shared" ca="1" si="441"/>
        <v>3.8141460404132466E-3</v>
      </c>
      <c r="S929">
        <f t="shared" ca="1" si="442"/>
        <v>1.0000000000000004</v>
      </c>
      <c r="T929">
        <f t="shared" ca="1" si="443"/>
        <v>35.686426155594638</v>
      </c>
      <c r="U929">
        <f t="shared" ca="1" si="464"/>
        <v>-3.411932860331035E-3</v>
      </c>
      <c r="V929">
        <f t="shared" ca="1" si="465"/>
        <v>1</v>
      </c>
      <c r="W929">
        <f t="shared" ca="1" si="444"/>
        <v>2.1389677043987478</v>
      </c>
      <c r="X929">
        <f t="shared" ca="1" si="445"/>
        <v>11.122632062873489</v>
      </c>
      <c r="Y929">
        <f t="shared" ca="1" si="446"/>
        <v>1.1735290000551568</v>
      </c>
      <c r="Z929">
        <f t="shared" ca="1" si="447"/>
        <v>4.5807502857230418</v>
      </c>
      <c r="AA929">
        <f t="shared" ca="1" si="448"/>
        <v>634.26846770439874</v>
      </c>
      <c r="AB929">
        <f t="shared" ca="1" si="449"/>
        <v>635.33795155659811</v>
      </c>
      <c r="AC929">
        <f t="shared" ca="1" si="450"/>
        <v>3.8141460404132466E-3</v>
      </c>
      <c r="AD929">
        <f t="shared" ca="1" si="451"/>
        <v>1.0000000000000004</v>
      </c>
      <c r="AE929">
        <f t="shared" ca="1" si="452"/>
        <v>35.686426155594638</v>
      </c>
      <c r="AF929">
        <f t="shared" ca="1" si="453"/>
        <v>3.4677141496786135E-3</v>
      </c>
      <c r="AG929">
        <f t="shared" ca="1" si="454"/>
        <v>1</v>
      </c>
      <c r="AH929">
        <f ca="1">IFERROR(IF(V32="Supercritical",MAX($D$16,IFERROR(L929,MAX($D$16,POWER((ABS(K929)^2)/($I$5*MAX(F929,0.1)^2),1/3)))),IF(V32="Subcritical",MAX($D$16,IFERROR(W929,MAX($D$16,POWER((ABS(K929)^2)/($I$5*MAX(F929,0.1)^2),1/3)))),IF(AND(IFERROR(V929,0)=1,IFERROR(AG929,0)=1),IF(IFERROR(T929,-1E+99)&gt;=IFERROR(AE929,-1E+99),MAX($D$16,IFERROR(L929,MAX($D$16,POWER((ABS(K929)^2)/($I$5*MAX(F929,0.1)^2),1/3)))),MAX($D$16,IFERROR(W929,MAX($D$16,POWER((ABS(K929)^2)/($I$5*MAX(F929,0.1)^2),1/3))))),IF(IFERROR(V929,0)=1,MAX($D$16,IFERROR(L929,MAX($D$16,POWER((ABS(K929)^2)/($I$5*MAX(F929,0.1)^2),1/3)))),IF(IFERROR(AG929,0)=1,MAX($D$16,IFERROR(W929,MAX($D$16,POWER((ABS(K929)^2)/($I$5*MAX(F929,0.1)^2),1/3)))),MAX($D$16,POWER((ABS(K929)^2)/($I$5*MAX(F929,0.1)^2),1/3))))))),MAX($D$16,POWER((ABS(K929)^2)/($I$5*MAX(F929,0.1)^2),1/3)))</f>
        <v>2.1389677043987478</v>
      </c>
      <c r="AI929">
        <f t="shared" ca="1" si="455"/>
        <v>634.26846770439874</v>
      </c>
      <c r="AJ929">
        <f t="shared" ca="1" si="456"/>
        <v>635.33795155659811</v>
      </c>
      <c r="AM929">
        <v>0</v>
      </c>
      <c r="AN929">
        <v>0</v>
      </c>
      <c r="AO929">
        <f t="shared" si="457"/>
        <v>0</v>
      </c>
      <c r="AP929">
        <f t="shared" si="466"/>
        <v>0</v>
      </c>
      <c r="AQ929">
        <f t="shared" ca="1" si="458"/>
        <v>1.0000000000000004</v>
      </c>
      <c r="AR929" t="str">
        <f t="shared" ca="1" si="459"/>
        <v>Supercritical</v>
      </c>
      <c r="AS929">
        <f t="shared" ca="1" si="460"/>
        <v>3.8141460404132466E-3</v>
      </c>
    </row>
    <row r="930" spans="1:45" x14ac:dyDescent="0.35">
      <c r="A930">
        <v>869</v>
      </c>
      <c r="B930">
        <v>867.995</v>
      </c>
      <c r="C930">
        <v>616086.87100000004</v>
      </c>
      <c r="D930">
        <v>3097138.9389999998</v>
      </c>
      <c r="E930">
        <v>632.12900000000002</v>
      </c>
      <c r="F930">
        <v>5.2</v>
      </c>
      <c r="G930">
        <v>0</v>
      </c>
      <c r="H930" t="s">
        <v>154</v>
      </c>
      <c r="I930">
        <v>5.7000000000000002E-2</v>
      </c>
      <c r="J930">
        <f t="shared" si="461"/>
        <v>1</v>
      </c>
      <c r="K930">
        <f t="shared" ca="1" si="462"/>
        <v>50.95</v>
      </c>
      <c r="L930">
        <f t="shared" ca="1" si="463"/>
        <v>2.1389677043987478</v>
      </c>
      <c r="M930">
        <f t="shared" ca="1" si="436"/>
        <v>11.122632062873489</v>
      </c>
      <c r="N930">
        <f t="shared" ca="1" si="437"/>
        <v>1.1735290000551568</v>
      </c>
      <c r="O930">
        <f t="shared" ca="1" si="438"/>
        <v>4.5807502857230418</v>
      </c>
      <c r="P930">
        <f t="shared" ca="1" si="439"/>
        <v>634.26796770439876</v>
      </c>
      <c r="Q930">
        <f t="shared" ca="1" si="440"/>
        <v>635.33745155659813</v>
      </c>
      <c r="R930">
        <f t="shared" ca="1" si="441"/>
        <v>3.8141460404132466E-3</v>
      </c>
      <c r="S930">
        <f t="shared" ca="1" si="442"/>
        <v>1.0000000000000004</v>
      </c>
      <c r="T930">
        <f t="shared" ca="1" si="443"/>
        <v>35.686426155594638</v>
      </c>
      <c r="U930">
        <f t="shared" ca="1" si="464"/>
        <v>-3.4157470064428708E-3</v>
      </c>
      <c r="V930">
        <f t="shared" ca="1" si="465"/>
        <v>1</v>
      </c>
      <c r="W930">
        <f t="shared" ca="1" si="444"/>
        <v>2.1389677043987478</v>
      </c>
      <c r="X930">
        <f t="shared" ca="1" si="445"/>
        <v>11.122632062873489</v>
      </c>
      <c r="Y930">
        <f t="shared" ca="1" si="446"/>
        <v>1.1735290000551568</v>
      </c>
      <c r="Z930">
        <f t="shared" ca="1" si="447"/>
        <v>4.5807502857230418</v>
      </c>
      <c r="AA930">
        <f t="shared" ca="1" si="448"/>
        <v>634.26796770439876</v>
      </c>
      <c r="AB930">
        <f t="shared" ca="1" si="449"/>
        <v>635.33745155659813</v>
      </c>
      <c r="AC930">
        <f t="shared" ca="1" si="450"/>
        <v>3.8141460404132466E-3</v>
      </c>
      <c r="AD930">
        <f t="shared" ca="1" si="451"/>
        <v>1.0000000000000004</v>
      </c>
      <c r="AE930">
        <f t="shared" ca="1" si="452"/>
        <v>35.686426155594638</v>
      </c>
      <c r="AF930">
        <f t="shared" ca="1" si="453"/>
        <v>3.3661460930716203E-3</v>
      </c>
      <c r="AG930">
        <f t="shared" ca="1" si="454"/>
        <v>1</v>
      </c>
      <c r="AH930">
        <f ca="1">IFERROR(IF(V32="Supercritical",MAX($D$16,IFERROR(L930,MAX($D$16,POWER((ABS(K930)^2)/($I$5*MAX(F930,0.1)^2),1/3)))),IF(V32="Subcritical",MAX($D$16,IFERROR(W930,MAX($D$16,POWER((ABS(K930)^2)/($I$5*MAX(F930,0.1)^2),1/3)))),IF(AND(IFERROR(V930,0)=1,IFERROR(AG930,0)=1),IF(IFERROR(T930,-1E+99)&gt;=IFERROR(AE930,-1E+99),MAX($D$16,IFERROR(L930,MAX($D$16,POWER((ABS(K930)^2)/($I$5*MAX(F930,0.1)^2),1/3)))),MAX($D$16,IFERROR(W930,MAX($D$16,POWER((ABS(K930)^2)/($I$5*MAX(F930,0.1)^2),1/3))))),IF(IFERROR(V930,0)=1,MAX($D$16,IFERROR(L930,MAX($D$16,POWER((ABS(K930)^2)/($I$5*MAX(F930,0.1)^2),1/3)))),IF(IFERROR(AG930,0)=1,MAX($D$16,IFERROR(W930,MAX($D$16,POWER((ABS(K930)^2)/($I$5*MAX(F930,0.1)^2),1/3)))),MAX($D$16,POWER((ABS(K930)^2)/($I$5*MAX(F930,0.1)^2),1/3))))))),MAX($D$16,POWER((ABS(K930)^2)/($I$5*MAX(F930,0.1)^2),1/3)))</f>
        <v>2.1389677043987478</v>
      </c>
      <c r="AI930">
        <f t="shared" ca="1" si="455"/>
        <v>634.26796770439876</v>
      </c>
      <c r="AJ930">
        <f t="shared" ca="1" si="456"/>
        <v>635.33745155659813</v>
      </c>
      <c r="AM930">
        <v>0</v>
      </c>
      <c r="AN930">
        <v>0</v>
      </c>
      <c r="AO930">
        <f t="shared" si="457"/>
        <v>0</v>
      </c>
      <c r="AP930">
        <f t="shared" si="466"/>
        <v>0</v>
      </c>
      <c r="AQ930">
        <f t="shared" ca="1" si="458"/>
        <v>1.0000000000000004</v>
      </c>
      <c r="AR930" t="str">
        <f t="shared" ca="1" si="459"/>
        <v>Supercritical</v>
      </c>
      <c r="AS930">
        <f t="shared" ca="1" si="460"/>
        <v>3.8141460404132466E-3</v>
      </c>
    </row>
    <row r="931" spans="1:45" x14ac:dyDescent="0.35">
      <c r="A931">
        <v>870</v>
      </c>
      <c r="B931">
        <v>868.995</v>
      </c>
      <c r="C931">
        <v>616086.82900000003</v>
      </c>
      <c r="D931">
        <v>3097137.94</v>
      </c>
      <c r="E931">
        <v>632.12850000000003</v>
      </c>
      <c r="F931">
        <v>5.2</v>
      </c>
      <c r="G931">
        <v>0</v>
      </c>
      <c r="H931" t="s">
        <v>154</v>
      </c>
      <c r="I931">
        <v>0</v>
      </c>
      <c r="J931">
        <f t="shared" si="461"/>
        <v>1</v>
      </c>
      <c r="K931">
        <f t="shared" ca="1" si="462"/>
        <v>50.95</v>
      </c>
      <c r="L931">
        <f t="shared" ca="1" si="463"/>
        <v>2.1389677043987478</v>
      </c>
      <c r="M931">
        <f t="shared" ca="1" si="436"/>
        <v>11.122632062873489</v>
      </c>
      <c r="N931">
        <f t="shared" ca="1" si="437"/>
        <v>1.1735290000551568</v>
      </c>
      <c r="O931">
        <f t="shared" ca="1" si="438"/>
        <v>4.5807502857230418</v>
      </c>
      <c r="P931">
        <f t="shared" ca="1" si="439"/>
        <v>634.26746770439877</v>
      </c>
      <c r="Q931">
        <f t="shared" ca="1" si="440"/>
        <v>635.33695155659814</v>
      </c>
      <c r="R931">
        <f t="shared" ca="1" si="441"/>
        <v>3.8141460404132466E-3</v>
      </c>
      <c r="S931">
        <f t="shared" ca="1" si="442"/>
        <v>1.0000000000000004</v>
      </c>
      <c r="T931">
        <f t="shared" ca="1" si="443"/>
        <v>35.686426155594638</v>
      </c>
      <c r="U931">
        <f t="shared" ca="1" si="464"/>
        <v>-3.3141460404522149E-3</v>
      </c>
      <c r="V931">
        <f t="shared" ca="1" si="465"/>
        <v>1</v>
      </c>
      <c r="W931">
        <f t="shared" ca="1" si="444"/>
        <v>2.1389677043987478</v>
      </c>
      <c r="X931">
        <f t="shared" ca="1" si="445"/>
        <v>11.122632062873489</v>
      </c>
      <c r="Y931">
        <f t="shared" ca="1" si="446"/>
        <v>1.1735290000551568</v>
      </c>
      <c r="Z931">
        <f t="shared" ca="1" si="447"/>
        <v>4.5807502857230418</v>
      </c>
      <c r="AA931">
        <f t="shared" ca="1" si="448"/>
        <v>634.26746770439877</v>
      </c>
      <c r="AB931">
        <f t="shared" ca="1" si="449"/>
        <v>635.33695155659814</v>
      </c>
      <c r="AC931">
        <f t="shared" ca="1" si="450"/>
        <v>3.8141460404132466E-3</v>
      </c>
      <c r="AD931">
        <f t="shared" ca="1" si="451"/>
        <v>1.0000000000000004</v>
      </c>
      <c r="AE931">
        <f t="shared" ca="1" si="452"/>
        <v>35.686426155594638</v>
      </c>
      <c r="AF931">
        <f t="shared" ca="1" si="453"/>
        <v>3.3713709128733171E-3</v>
      </c>
      <c r="AG931">
        <f t="shared" ca="1" si="454"/>
        <v>1</v>
      </c>
      <c r="AH931">
        <f ca="1">IFERROR(IF(V32="Supercritical",MAX($D$16,IFERROR(L931,MAX($D$16,POWER((ABS(K931)^2)/($I$5*MAX(F931,0.1)^2),1/3)))),IF(V32="Subcritical",MAX($D$16,IFERROR(W931,MAX($D$16,POWER((ABS(K931)^2)/($I$5*MAX(F931,0.1)^2),1/3)))),IF(AND(IFERROR(V931,0)=1,IFERROR(AG931,0)=1),IF(IFERROR(T931,-1E+99)&gt;=IFERROR(AE931,-1E+99),MAX($D$16,IFERROR(L931,MAX($D$16,POWER((ABS(K931)^2)/($I$5*MAX(F931,0.1)^2),1/3)))),MAX($D$16,IFERROR(W931,MAX($D$16,POWER((ABS(K931)^2)/($I$5*MAX(F931,0.1)^2),1/3))))),IF(IFERROR(V931,0)=1,MAX($D$16,IFERROR(L931,MAX($D$16,POWER((ABS(K931)^2)/($I$5*MAX(F931,0.1)^2),1/3)))),IF(IFERROR(AG931,0)=1,MAX($D$16,IFERROR(W931,MAX($D$16,POWER((ABS(K931)^2)/($I$5*MAX(F931,0.1)^2),1/3)))),MAX($D$16,POWER((ABS(K931)^2)/($I$5*MAX(F931,0.1)^2),1/3))))))),MAX($D$16,POWER((ABS(K931)^2)/($I$5*MAX(F931,0.1)^2),1/3)))</f>
        <v>2.1389677043987478</v>
      </c>
      <c r="AI931">
        <f t="shared" ca="1" si="455"/>
        <v>634.26746770439877</v>
      </c>
      <c r="AJ931">
        <f t="shared" ca="1" si="456"/>
        <v>635.33695155659814</v>
      </c>
      <c r="AM931">
        <v>0</v>
      </c>
      <c r="AN931">
        <v>0</v>
      </c>
      <c r="AO931">
        <f t="shared" si="457"/>
        <v>0</v>
      </c>
      <c r="AP931">
        <f t="shared" si="466"/>
        <v>0</v>
      </c>
      <c r="AQ931">
        <f t="shared" ca="1" si="458"/>
        <v>1.0000000000000004</v>
      </c>
      <c r="AR931" t="str">
        <f t="shared" ca="1" si="459"/>
        <v>Supercritical</v>
      </c>
      <c r="AS931">
        <f t="shared" ca="1" si="460"/>
        <v>3.8141460404132466E-3</v>
      </c>
    </row>
    <row r="932" spans="1:45" x14ac:dyDescent="0.35">
      <c r="A932">
        <v>871</v>
      </c>
      <c r="B932">
        <v>869.995</v>
      </c>
      <c r="C932">
        <v>616086.78700000001</v>
      </c>
      <c r="D932">
        <v>3097136.9410000001</v>
      </c>
      <c r="E932">
        <v>632.12800000000004</v>
      </c>
      <c r="F932">
        <v>5.2</v>
      </c>
      <c r="G932">
        <v>0</v>
      </c>
      <c r="H932" t="s">
        <v>154</v>
      </c>
      <c r="I932">
        <v>2E-3</v>
      </c>
      <c r="J932">
        <f t="shared" si="461"/>
        <v>1</v>
      </c>
      <c r="K932">
        <f t="shared" ca="1" si="462"/>
        <v>50.95</v>
      </c>
      <c r="L932">
        <f t="shared" ca="1" si="463"/>
        <v>2.1389677043987478</v>
      </c>
      <c r="M932">
        <f t="shared" ca="1" si="436"/>
        <v>11.122632062873489</v>
      </c>
      <c r="N932">
        <f t="shared" ca="1" si="437"/>
        <v>1.1735290000551568</v>
      </c>
      <c r="O932">
        <f t="shared" ca="1" si="438"/>
        <v>4.5807502857230418</v>
      </c>
      <c r="P932">
        <f t="shared" ca="1" si="439"/>
        <v>634.26696770439878</v>
      </c>
      <c r="Q932">
        <f t="shared" ca="1" si="440"/>
        <v>635.33645155659815</v>
      </c>
      <c r="R932">
        <f t="shared" ca="1" si="441"/>
        <v>3.8141460404132466E-3</v>
      </c>
      <c r="S932">
        <f t="shared" ca="1" si="442"/>
        <v>1.0000000000000004</v>
      </c>
      <c r="T932">
        <f t="shared" ca="1" si="443"/>
        <v>35.686426155594638</v>
      </c>
      <c r="U932">
        <f t="shared" ca="1" si="464"/>
        <v>-3.3177109866073806E-3</v>
      </c>
      <c r="V932">
        <f t="shared" ca="1" si="465"/>
        <v>1</v>
      </c>
      <c r="W932">
        <f t="shared" ca="1" si="444"/>
        <v>2.1389677043987478</v>
      </c>
      <c r="X932">
        <f t="shared" ca="1" si="445"/>
        <v>11.122632062873489</v>
      </c>
      <c r="Y932">
        <f t="shared" ca="1" si="446"/>
        <v>1.1735290000551568</v>
      </c>
      <c r="Z932">
        <f t="shared" ca="1" si="447"/>
        <v>4.5807502857230418</v>
      </c>
      <c r="AA932">
        <f t="shared" ca="1" si="448"/>
        <v>634.26696770439878</v>
      </c>
      <c r="AB932">
        <f t="shared" ca="1" si="449"/>
        <v>635.33645155659815</v>
      </c>
      <c r="AC932">
        <f t="shared" ca="1" si="450"/>
        <v>3.8141460404132466E-3</v>
      </c>
      <c r="AD932">
        <f t="shared" ca="1" si="451"/>
        <v>1.0000000000000004</v>
      </c>
      <c r="AE932">
        <f t="shared" ca="1" si="452"/>
        <v>35.686426155594638</v>
      </c>
      <c r="AF932">
        <f t="shared" ca="1" si="453"/>
        <v>3.47845373016753E-3</v>
      </c>
      <c r="AG932">
        <f t="shared" ca="1" si="454"/>
        <v>1</v>
      </c>
      <c r="AH932">
        <f ca="1">IFERROR(IF(V32="Supercritical",MAX($D$16,IFERROR(L932,MAX($D$16,POWER((ABS(K932)^2)/($I$5*MAX(F932,0.1)^2),1/3)))),IF(V32="Subcritical",MAX($D$16,IFERROR(W932,MAX($D$16,POWER((ABS(K932)^2)/($I$5*MAX(F932,0.1)^2),1/3)))),IF(AND(IFERROR(V932,0)=1,IFERROR(AG932,0)=1),IF(IFERROR(T932,-1E+99)&gt;=IFERROR(AE932,-1E+99),MAX($D$16,IFERROR(L932,MAX($D$16,POWER((ABS(K932)^2)/($I$5*MAX(F932,0.1)^2),1/3)))),MAX($D$16,IFERROR(W932,MAX($D$16,POWER((ABS(K932)^2)/($I$5*MAX(F932,0.1)^2),1/3))))),IF(IFERROR(V932,0)=1,MAX($D$16,IFERROR(L932,MAX($D$16,POWER((ABS(K932)^2)/($I$5*MAX(F932,0.1)^2),1/3)))),IF(IFERROR(AG932,0)=1,MAX($D$16,IFERROR(W932,MAX($D$16,POWER((ABS(K932)^2)/($I$5*MAX(F932,0.1)^2),1/3)))),MAX($D$16,POWER((ABS(K932)^2)/($I$5*MAX(F932,0.1)^2),1/3))))))),MAX($D$16,POWER((ABS(K932)^2)/($I$5*MAX(F932,0.1)^2),1/3)))</f>
        <v>2.1389677043987478</v>
      </c>
      <c r="AI932">
        <f t="shared" ca="1" si="455"/>
        <v>634.26696770439878</v>
      </c>
      <c r="AJ932">
        <f t="shared" ca="1" si="456"/>
        <v>635.33645155659815</v>
      </c>
      <c r="AM932">
        <v>0</v>
      </c>
      <c r="AN932">
        <v>0</v>
      </c>
      <c r="AO932">
        <f t="shared" si="457"/>
        <v>0</v>
      </c>
      <c r="AP932">
        <f t="shared" si="466"/>
        <v>0</v>
      </c>
      <c r="AQ932">
        <f t="shared" ca="1" si="458"/>
        <v>1.0000000000000004</v>
      </c>
      <c r="AR932" t="str">
        <f t="shared" ca="1" si="459"/>
        <v>Supercritical</v>
      </c>
      <c r="AS932">
        <f t="shared" ca="1" si="460"/>
        <v>3.8141460404132466E-3</v>
      </c>
    </row>
    <row r="933" spans="1:45" x14ac:dyDescent="0.35">
      <c r="A933">
        <v>872</v>
      </c>
      <c r="B933">
        <v>870.99599999999998</v>
      </c>
      <c r="C933">
        <v>616086.745</v>
      </c>
      <c r="D933">
        <v>3097135.9410000001</v>
      </c>
      <c r="E933">
        <v>632.12750000000005</v>
      </c>
      <c r="F933">
        <v>5.2</v>
      </c>
      <c r="G933">
        <v>0</v>
      </c>
      <c r="H933" t="s">
        <v>154</v>
      </c>
      <c r="I933">
        <v>0.06</v>
      </c>
      <c r="J933">
        <f t="shared" si="461"/>
        <v>1.0009999999999764</v>
      </c>
      <c r="K933">
        <f t="shared" ca="1" si="462"/>
        <v>50.95</v>
      </c>
      <c r="L933">
        <f t="shared" ca="1" si="463"/>
        <v>2.1389677043987478</v>
      </c>
      <c r="M933">
        <f t="shared" ca="1" si="436"/>
        <v>11.122632062873489</v>
      </c>
      <c r="N933">
        <f t="shared" ca="1" si="437"/>
        <v>1.1735290000551568</v>
      </c>
      <c r="O933">
        <f t="shared" ca="1" si="438"/>
        <v>4.5807502857230418</v>
      </c>
      <c r="P933">
        <f t="shared" ca="1" si="439"/>
        <v>634.26646770439879</v>
      </c>
      <c r="Q933">
        <f t="shared" ca="1" si="440"/>
        <v>635.33595155659816</v>
      </c>
      <c r="R933">
        <f t="shared" ca="1" si="441"/>
        <v>3.8141460404132466E-3</v>
      </c>
      <c r="S933">
        <f t="shared" ca="1" si="442"/>
        <v>1.0000000000000004</v>
      </c>
      <c r="T933">
        <f t="shared" ca="1" si="443"/>
        <v>35.686426155594638</v>
      </c>
      <c r="U933">
        <f t="shared" ca="1" si="464"/>
        <v>-3.4249085716737682E-3</v>
      </c>
      <c r="V933">
        <f t="shared" ca="1" si="465"/>
        <v>1</v>
      </c>
      <c r="W933">
        <f t="shared" ca="1" si="444"/>
        <v>2.1389677043987478</v>
      </c>
      <c r="X933">
        <f t="shared" ca="1" si="445"/>
        <v>11.122632062873489</v>
      </c>
      <c r="Y933">
        <f t="shared" ca="1" si="446"/>
        <v>1.1735290000551568</v>
      </c>
      <c r="Z933">
        <f t="shared" ca="1" si="447"/>
        <v>4.5807502857230418</v>
      </c>
      <c r="AA933">
        <f t="shared" ca="1" si="448"/>
        <v>634.26646770439879</v>
      </c>
      <c r="AB933">
        <f t="shared" ca="1" si="449"/>
        <v>635.33595155659816</v>
      </c>
      <c r="AC933">
        <f t="shared" ca="1" si="450"/>
        <v>3.8141460404132466E-3</v>
      </c>
      <c r="AD933">
        <f t="shared" ca="1" si="451"/>
        <v>1.0000000000000004</v>
      </c>
      <c r="AE933">
        <f t="shared" ca="1" si="452"/>
        <v>35.686426155594638</v>
      </c>
      <c r="AF933">
        <f t="shared" ca="1" si="453"/>
        <v>3.4677132596243609E-3</v>
      </c>
      <c r="AG933">
        <f t="shared" ca="1" si="454"/>
        <v>1</v>
      </c>
      <c r="AH933">
        <f ca="1">IFERROR(IF(V32="Supercritical",MAX($D$16,IFERROR(L933,MAX($D$16,POWER((ABS(K933)^2)/($I$5*MAX(F933,0.1)^2),1/3)))),IF(V32="Subcritical",MAX($D$16,IFERROR(W933,MAX($D$16,POWER((ABS(K933)^2)/($I$5*MAX(F933,0.1)^2),1/3)))),IF(AND(IFERROR(V933,0)=1,IFERROR(AG933,0)=1),IF(IFERROR(T933,-1E+99)&gt;=IFERROR(AE933,-1E+99),MAX($D$16,IFERROR(L933,MAX($D$16,POWER((ABS(K933)^2)/($I$5*MAX(F933,0.1)^2),1/3)))),MAX($D$16,IFERROR(W933,MAX($D$16,POWER((ABS(K933)^2)/($I$5*MAX(F933,0.1)^2),1/3))))),IF(IFERROR(V933,0)=1,MAX($D$16,IFERROR(L933,MAX($D$16,POWER((ABS(K933)^2)/($I$5*MAX(F933,0.1)^2),1/3)))),IF(IFERROR(AG933,0)=1,MAX($D$16,IFERROR(W933,MAX($D$16,POWER((ABS(K933)^2)/($I$5*MAX(F933,0.1)^2),1/3)))),MAX($D$16,POWER((ABS(K933)^2)/($I$5*MAX(F933,0.1)^2),1/3))))))),MAX($D$16,POWER((ABS(K933)^2)/($I$5*MAX(F933,0.1)^2),1/3)))</f>
        <v>2.1389677043987478</v>
      </c>
      <c r="AI933">
        <f t="shared" ca="1" si="455"/>
        <v>634.26646770439879</v>
      </c>
      <c r="AJ933">
        <f t="shared" ca="1" si="456"/>
        <v>635.33595155659816</v>
      </c>
      <c r="AM933">
        <v>0</v>
      </c>
      <c r="AN933">
        <v>0</v>
      </c>
      <c r="AO933">
        <f t="shared" si="457"/>
        <v>0</v>
      </c>
      <c r="AP933">
        <f t="shared" si="466"/>
        <v>0</v>
      </c>
      <c r="AQ933">
        <f t="shared" ca="1" si="458"/>
        <v>1.0000000000000004</v>
      </c>
      <c r="AR933" t="str">
        <f t="shared" ca="1" si="459"/>
        <v>Supercritical</v>
      </c>
      <c r="AS933">
        <f t="shared" ca="1" si="460"/>
        <v>3.8141460404132466E-3</v>
      </c>
    </row>
    <row r="934" spans="1:45" x14ac:dyDescent="0.35">
      <c r="A934">
        <v>873</v>
      </c>
      <c r="B934">
        <v>871.99599999999998</v>
      </c>
      <c r="C934">
        <v>616086.70200000005</v>
      </c>
      <c r="D934">
        <v>3097134.9419999998</v>
      </c>
      <c r="E934">
        <v>632.12699999999995</v>
      </c>
      <c r="F934">
        <v>5.2</v>
      </c>
      <c r="G934">
        <v>0</v>
      </c>
      <c r="H934" t="s">
        <v>154</v>
      </c>
      <c r="I934">
        <v>5.7000000000000002E-2</v>
      </c>
      <c r="J934">
        <f t="shared" si="461"/>
        <v>1</v>
      </c>
      <c r="K934">
        <f t="shared" ca="1" si="462"/>
        <v>50.95</v>
      </c>
      <c r="L934">
        <f t="shared" ca="1" si="463"/>
        <v>2.1389677043987478</v>
      </c>
      <c r="M934">
        <f t="shared" ca="1" si="436"/>
        <v>11.122632062873489</v>
      </c>
      <c r="N934">
        <f t="shared" ca="1" si="437"/>
        <v>1.1735290000551568</v>
      </c>
      <c r="O934">
        <f t="shared" ca="1" si="438"/>
        <v>4.5807502857230418</v>
      </c>
      <c r="P934">
        <f t="shared" ca="1" si="439"/>
        <v>634.26596770439869</v>
      </c>
      <c r="Q934">
        <f t="shared" ca="1" si="440"/>
        <v>635.33545155659806</v>
      </c>
      <c r="R934">
        <f t="shared" ca="1" si="441"/>
        <v>3.8141460404132466E-3</v>
      </c>
      <c r="S934">
        <f t="shared" ca="1" si="442"/>
        <v>1.0000000000000004</v>
      </c>
      <c r="T934">
        <f t="shared" ca="1" si="443"/>
        <v>35.686426155594638</v>
      </c>
      <c r="U934">
        <f t="shared" ca="1" si="464"/>
        <v>-3.4157470063291839E-3</v>
      </c>
      <c r="V934">
        <f t="shared" ca="1" si="465"/>
        <v>1</v>
      </c>
      <c r="W934">
        <f t="shared" ca="1" si="444"/>
        <v>2.1378088534851245</v>
      </c>
      <c r="X934">
        <f t="shared" ca="1" si="445"/>
        <v>11.116606038122647</v>
      </c>
      <c r="Y934">
        <f t="shared" ca="1" si="446"/>
        <v>1.173180090406696</v>
      </c>
      <c r="Z934">
        <f t="shared" ca="1" si="447"/>
        <v>4.5832333920330548</v>
      </c>
      <c r="AA934">
        <f t="shared" ca="1" si="448"/>
        <v>634.26480885348508</v>
      </c>
      <c r="AB934">
        <f t="shared" ca="1" si="449"/>
        <v>635.33545249904307</v>
      </c>
      <c r="AC934">
        <f t="shared" ca="1" si="450"/>
        <v>3.819796437907674E-3</v>
      </c>
      <c r="AD934">
        <f t="shared" ca="1" si="451"/>
        <v>1.0008132214042402</v>
      </c>
      <c r="AE934">
        <f t="shared" ca="1" si="452"/>
        <v>35.686436634276518</v>
      </c>
      <c r="AF934">
        <f t="shared" ca="1" si="453"/>
        <v>3.3197964379496625E-3</v>
      </c>
      <c r="AG934">
        <f t="shared" ca="1" si="454"/>
        <v>0</v>
      </c>
      <c r="AH934">
        <f ca="1">IFERROR(IF(V32="Supercritical",MAX($D$16,IFERROR(L934,MAX($D$16,POWER((ABS(K934)^2)/($I$5*MAX(F934,0.1)^2),1/3)))),IF(V32="Subcritical",MAX($D$16,IFERROR(W934,MAX($D$16,POWER((ABS(K934)^2)/($I$5*MAX(F934,0.1)^2),1/3)))),IF(AND(IFERROR(V934,0)=1,IFERROR(AG934,0)=1),IF(IFERROR(T934,-1E+99)&gt;=IFERROR(AE934,-1E+99),MAX($D$16,IFERROR(L934,MAX($D$16,POWER((ABS(K934)^2)/($I$5*MAX(F934,0.1)^2),1/3)))),MAX($D$16,IFERROR(W934,MAX($D$16,POWER((ABS(K934)^2)/($I$5*MAX(F934,0.1)^2),1/3))))),IF(IFERROR(V934,0)=1,MAX($D$16,IFERROR(L934,MAX($D$16,POWER((ABS(K934)^2)/($I$5*MAX(F934,0.1)^2),1/3)))),IF(IFERROR(AG934,0)=1,MAX($D$16,IFERROR(W934,MAX($D$16,POWER((ABS(K934)^2)/($I$5*MAX(F934,0.1)^2),1/3)))),MAX($D$16,POWER((ABS(K934)^2)/($I$5*MAX(F934,0.1)^2),1/3))))))),MAX($D$16,POWER((ABS(K934)^2)/($I$5*MAX(F934,0.1)^2),1/3)))</f>
        <v>2.1389677043987478</v>
      </c>
      <c r="AI934">
        <f t="shared" ca="1" si="455"/>
        <v>634.26596770439869</v>
      </c>
      <c r="AJ934">
        <f t="shared" ca="1" si="456"/>
        <v>635.33545155659806</v>
      </c>
      <c r="AM934">
        <v>0</v>
      </c>
      <c r="AN934">
        <v>0</v>
      </c>
      <c r="AO934">
        <f t="shared" si="457"/>
        <v>0</v>
      </c>
      <c r="AP934">
        <f t="shared" si="466"/>
        <v>0</v>
      </c>
      <c r="AQ934">
        <f t="shared" ca="1" si="458"/>
        <v>1.0000000000000004</v>
      </c>
      <c r="AR934" t="str">
        <f t="shared" ca="1" si="459"/>
        <v>Supercritical</v>
      </c>
      <c r="AS934">
        <f t="shared" ca="1" si="460"/>
        <v>3.8141460404132466E-3</v>
      </c>
    </row>
    <row r="935" spans="1:45" x14ac:dyDescent="0.35">
      <c r="A935">
        <v>874</v>
      </c>
      <c r="B935">
        <v>872.99599999999998</v>
      </c>
      <c r="C935">
        <v>616086.66</v>
      </c>
      <c r="D935">
        <v>3097133.943</v>
      </c>
      <c r="E935">
        <v>632.12649999999996</v>
      </c>
      <c r="F935">
        <v>5.2</v>
      </c>
      <c r="G935">
        <v>0</v>
      </c>
      <c r="H935" t="s">
        <v>154</v>
      </c>
      <c r="I935">
        <v>0</v>
      </c>
      <c r="J935">
        <f t="shared" si="461"/>
        <v>1</v>
      </c>
      <c r="K935">
        <f t="shared" ca="1" si="462"/>
        <v>50.95</v>
      </c>
      <c r="L935">
        <f t="shared" ca="1" si="463"/>
        <v>2.1389677043987478</v>
      </c>
      <c r="M935">
        <f t="shared" ca="1" si="436"/>
        <v>11.122632062873489</v>
      </c>
      <c r="N935">
        <f t="shared" ca="1" si="437"/>
        <v>1.1735290000551568</v>
      </c>
      <c r="O935">
        <f t="shared" ca="1" si="438"/>
        <v>4.5807502857230418</v>
      </c>
      <c r="P935">
        <f t="shared" ca="1" si="439"/>
        <v>634.2654677043987</v>
      </c>
      <c r="Q935">
        <f t="shared" ca="1" si="440"/>
        <v>635.33495155659807</v>
      </c>
      <c r="R935">
        <f t="shared" ca="1" si="441"/>
        <v>3.8141460404132466E-3</v>
      </c>
      <c r="S935">
        <f t="shared" ca="1" si="442"/>
        <v>1.0000000000000004</v>
      </c>
      <c r="T935">
        <f t="shared" ca="1" si="443"/>
        <v>35.686426155594638</v>
      </c>
      <c r="U935">
        <f t="shared" ca="1" si="464"/>
        <v>-3.3141460404522149E-3</v>
      </c>
      <c r="V935">
        <f t="shared" ca="1" si="465"/>
        <v>1</v>
      </c>
      <c r="W935">
        <f t="shared" ca="1" si="444"/>
        <v>2.1371730386500687</v>
      </c>
      <c r="X935">
        <f t="shared" ca="1" si="445"/>
        <v>11.113299800980357</v>
      </c>
      <c r="Y935">
        <f t="shared" ca="1" si="446"/>
        <v>1.1729885852076944</v>
      </c>
      <c r="Z935">
        <f t="shared" ca="1" si="447"/>
        <v>4.5845969165256806</v>
      </c>
      <c r="AA935">
        <f t="shared" ca="1" si="448"/>
        <v>634.26367303865004</v>
      </c>
      <c r="AB935">
        <f t="shared" ca="1" si="449"/>
        <v>635.33495381780483</v>
      </c>
      <c r="AC935">
        <f t="shared" ca="1" si="450"/>
        <v>3.8229015999394797E-3</v>
      </c>
      <c r="AD935">
        <f t="shared" ca="1" si="451"/>
        <v>1.0012598716335763</v>
      </c>
      <c r="AE935">
        <f t="shared" ca="1" si="452"/>
        <v>35.686451292094986</v>
      </c>
      <c r="AF935">
        <f t="shared" ca="1" si="453"/>
        <v>3.3229015999722833E-3</v>
      </c>
      <c r="AG935">
        <f t="shared" ca="1" si="454"/>
        <v>0</v>
      </c>
      <c r="AH935">
        <f ca="1">IFERROR(IF(V32="Supercritical",MAX($D$16,IFERROR(L935,MAX($D$16,POWER((ABS(K935)^2)/($I$5*MAX(F935,0.1)^2),1/3)))),IF(V32="Subcritical",MAX($D$16,IFERROR(W935,MAX($D$16,POWER((ABS(K935)^2)/($I$5*MAX(F935,0.1)^2),1/3)))),IF(AND(IFERROR(V935,0)=1,IFERROR(AG935,0)=1),IF(IFERROR(T935,-1E+99)&gt;=IFERROR(AE935,-1E+99),MAX($D$16,IFERROR(L935,MAX($D$16,POWER((ABS(K935)^2)/($I$5*MAX(F935,0.1)^2),1/3)))),MAX($D$16,IFERROR(W935,MAX($D$16,POWER((ABS(K935)^2)/($I$5*MAX(F935,0.1)^2),1/3))))),IF(IFERROR(V935,0)=1,MAX($D$16,IFERROR(L935,MAX($D$16,POWER((ABS(K935)^2)/($I$5*MAX(F935,0.1)^2),1/3)))),IF(IFERROR(AG935,0)=1,MAX($D$16,IFERROR(W935,MAX($D$16,POWER((ABS(K935)^2)/($I$5*MAX(F935,0.1)^2),1/3)))),MAX($D$16,POWER((ABS(K935)^2)/($I$5*MAX(F935,0.1)^2),1/3))))))),MAX($D$16,POWER((ABS(K935)^2)/($I$5*MAX(F935,0.1)^2),1/3)))</f>
        <v>2.1389677043987478</v>
      </c>
      <c r="AI935">
        <f t="shared" ca="1" si="455"/>
        <v>634.2654677043987</v>
      </c>
      <c r="AJ935">
        <f t="shared" ca="1" si="456"/>
        <v>635.33495155659807</v>
      </c>
      <c r="AM935">
        <v>0</v>
      </c>
      <c r="AN935">
        <v>0</v>
      </c>
      <c r="AO935">
        <f t="shared" si="457"/>
        <v>0</v>
      </c>
      <c r="AP935">
        <f t="shared" si="466"/>
        <v>0</v>
      </c>
      <c r="AQ935">
        <f t="shared" ca="1" si="458"/>
        <v>1.0000000000000004</v>
      </c>
      <c r="AR935" t="str">
        <f t="shared" ca="1" si="459"/>
        <v>Supercritical</v>
      </c>
      <c r="AS935">
        <f t="shared" ca="1" si="460"/>
        <v>3.8141460404132466E-3</v>
      </c>
    </row>
    <row r="936" spans="1:45" x14ac:dyDescent="0.35">
      <c r="A936">
        <v>875</v>
      </c>
      <c r="B936">
        <v>873.99599999999998</v>
      </c>
      <c r="C936">
        <v>616086.61800000002</v>
      </c>
      <c r="D936">
        <v>3097132.9440000001</v>
      </c>
      <c r="E936">
        <v>632.12599999999998</v>
      </c>
      <c r="F936">
        <v>5.2</v>
      </c>
      <c r="G936">
        <v>0</v>
      </c>
      <c r="H936" t="s">
        <v>154</v>
      </c>
      <c r="I936">
        <v>0</v>
      </c>
      <c r="J936">
        <f t="shared" si="461"/>
        <v>1</v>
      </c>
      <c r="K936">
        <f t="shared" ca="1" si="462"/>
        <v>50.95</v>
      </c>
      <c r="L936">
        <f t="shared" ca="1" si="463"/>
        <v>2.1389677043987478</v>
      </c>
      <c r="M936">
        <f t="shared" ca="1" si="436"/>
        <v>11.122632062873489</v>
      </c>
      <c r="N936">
        <f t="shared" ca="1" si="437"/>
        <v>1.1735290000551568</v>
      </c>
      <c r="O936">
        <f t="shared" ca="1" si="438"/>
        <v>4.5807502857230418</v>
      </c>
      <c r="P936">
        <f t="shared" ca="1" si="439"/>
        <v>634.26496770439871</v>
      </c>
      <c r="Q936">
        <f t="shared" ca="1" si="440"/>
        <v>635.33445155659808</v>
      </c>
      <c r="R936">
        <f t="shared" ca="1" si="441"/>
        <v>3.8141460404132466E-3</v>
      </c>
      <c r="S936">
        <f t="shared" ca="1" si="442"/>
        <v>1.0000000000000004</v>
      </c>
      <c r="T936">
        <f t="shared" ca="1" si="443"/>
        <v>35.686426155594638</v>
      </c>
      <c r="U936">
        <f t="shared" ca="1" si="464"/>
        <v>-3.3141460404522149E-3</v>
      </c>
      <c r="V936">
        <f t="shared" ca="1" si="465"/>
        <v>1</v>
      </c>
      <c r="W936">
        <f t="shared" ca="1" si="444"/>
        <v>2.1378006624963906</v>
      </c>
      <c r="X936">
        <f t="shared" ca="1" si="445"/>
        <v>11.116563444981232</v>
      </c>
      <c r="Y936">
        <f t="shared" ca="1" si="446"/>
        <v>1.1731776236364293</v>
      </c>
      <c r="Z936">
        <f t="shared" ca="1" si="447"/>
        <v>4.5832509527035787</v>
      </c>
      <c r="AA936">
        <f t="shared" ca="1" si="448"/>
        <v>634.26380066249635</v>
      </c>
      <c r="AB936">
        <f t="shared" ca="1" si="449"/>
        <v>635.33445251241778</v>
      </c>
      <c r="AC936">
        <f t="shared" ca="1" si="450"/>
        <v>3.8198364180453133E-3</v>
      </c>
      <c r="AD936">
        <f t="shared" ca="1" si="451"/>
        <v>1.0008189733373958</v>
      </c>
      <c r="AE936">
        <f t="shared" ca="1" si="452"/>
        <v>35.68643678295799</v>
      </c>
      <c r="AF936">
        <f t="shared" ca="1" si="453"/>
        <v>3.4215483437947114E-3</v>
      </c>
      <c r="AG936">
        <f t="shared" ca="1" si="454"/>
        <v>0</v>
      </c>
      <c r="AH936">
        <f ca="1">IFERROR(IF(V32="Supercritical",MAX($D$16,IFERROR(L936,MAX($D$16,POWER((ABS(K936)^2)/($I$5*MAX(F936,0.1)^2),1/3)))),IF(V32="Subcritical",MAX($D$16,IFERROR(W936,MAX($D$16,POWER((ABS(K936)^2)/($I$5*MAX(F936,0.1)^2),1/3)))),IF(AND(IFERROR(V936,0)=1,IFERROR(AG936,0)=1),IF(IFERROR(T936,-1E+99)&gt;=IFERROR(AE936,-1E+99),MAX($D$16,IFERROR(L936,MAX($D$16,POWER((ABS(K936)^2)/($I$5*MAX(F936,0.1)^2),1/3)))),MAX($D$16,IFERROR(W936,MAX($D$16,POWER((ABS(K936)^2)/($I$5*MAX(F936,0.1)^2),1/3))))),IF(IFERROR(V936,0)=1,MAX($D$16,IFERROR(L936,MAX($D$16,POWER((ABS(K936)^2)/($I$5*MAX(F936,0.1)^2),1/3)))),IF(IFERROR(AG936,0)=1,MAX($D$16,IFERROR(W936,MAX($D$16,POWER((ABS(K936)^2)/($I$5*MAX(F936,0.1)^2),1/3)))),MAX($D$16,POWER((ABS(K936)^2)/($I$5*MAX(F936,0.1)^2),1/3))))))),MAX($D$16,POWER((ABS(K936)^2)/($I$5*MAX(F936,0.1)^2),1/3)))</f>
        <v>2.1389677043987478</v>
      </c>
      <c r="AI936">
        <f t="shared" ca="1" si="455"/>
        <v>634.26496770439871</v>
      </c>
      <c r="AJ936">
        <f t="shared" ca="1" si="456"/>
        <v>635.33445155659808</v>
      </c>
      <c r="AM936">
        <v>0</v>
      </c>
      <c r="AN936">
        <v>0</v>
      </c>
      <c r="AO936">
        <f t="shared" si="457"/>
        <v>0</v>
      </c>
      <c r="AP936">
        <f t="shared" si="466"/>
        <v>0</v>
      </c>
      <c r="AQ936">
        <f t="shared" ca="1" si="458"/>
        <v>1.0000000000000004</v>
      </c>
      <c r="AR936" t="str">
        <f t="shared" ca="1" si="459"/>
        <v>Supercritical</v>
      </c>
      <c r="AS936">
        <f t="shared" ca="1" si="460"/>
        <v>3.8141460404132466E-3</v>
      </c>
    </row>
    <row r="937" spans="1:45" x14ac:dyDescent="0.35">
      <c r="A937">
        <v>876</v>
      </c>
      <c r="B937">
        <v>874.99599999999998</v>
      </c>
      <c r="C937">
        <v>616086.576</v>
      </c>
      <c r="D937">
        <v>3097131.9449999998</v>
      </c>
      <c r="E937">
        <v>632.12549999999999</v>
      </c>
      <c r="F937">
        <v>5.2</v>
      </c>
      <c r="G937">
        <v>0</v>
      </c>
      <c r="H937" t="s">
        <v>154</v>
      </c>
      <c r="I937">
        <v>5.7000000000000002E-2</v>
      </c>
      <c r="J937">
        <f t="shared" si="461"/>
        <v>1</v>
      </c>
      <c r="K937">
        <f t="shared" ca="1" si="462"/>
        <v>50.95</v>
      </c>
      <c r="L937">
        <f t="shared" ca="1" si="463"/>
        <v>2.1389677043987478</v>
      </c>
      <c r="M937">
        <f t="shared" ca="1" si="436"/>
        <v>11.122632062873489</v>
      </c>
      <c r="N937">
        <f t="shared" ca="1" si="437"/>
        <v>1.1735290000551568</v>
      </c>
      <c r="O937">
        <f t="shared" ca="1" si="438"/>
        <v>4.5807502857230418</v>
      </c>
      <c r="P937">
        <f t="shared" ca="1" si="439"/>
        <v>634.26446770439873</v>
      </c>
      <c r="Q937">
        <f t="shared" ca="1" si="440"/>
        <v>635.33395155659809</v>
      </c>
      <c r="R937">
        <f t="shared" ca="1" si="441"/>
        <v>3.8141460404132466E-3</v>
      </c>
      <c r="S937">
        <f t="shared" ca="1" si="442"/>
        <v>1.0000000000000004</v>
      </c>
      <c r="T937">
        <f t="shared" ca="1" si="443"/>
        <v>35.686426155594638</v>
      </c>
      <c r="U937">
        <f t="shared" ca="1" si="464"/>
        <v>-3.4157470064428708E-3</v>
      </c>
      <c r="V937">
        <f t="shared" ca="1" si="465"/>
        <v>1</v>
      </c>
      <c r="W937">
        <f t="shared" ca="1" si="444"/>
        <v>2.1371648406079986</v>
      </c>
      <c r="X937">
        <f t="shared" ca="1" si="445"/>
        <v>11.113257171161592</v>
      </c>
      <c r="Y937">
        <f t="shared" ca="1" si="446"/>
        <v>1.1729861156504788</v>
      </c>
      <c r="Z937">
        <f t="shared" ca="1" si="447"/>
        <v>4.5846145027771863</v>
      </c>
      <c r="AA937">
        <f t="shared" ca="1" si="448"/>
        <v>634.26266484060795</v>
      </c>
      <c r="AB937">
        <f t="shared" ca="1" si="449"/>
        <v>635.33395383852212</v>
      </c>
      <c r="AC937">
        <f t="shared" ca="1" si="450"/>
        <v>3.8229416603873809E-3</v>
      </c>
      <c r="AD937">
        <f t="shared" ca="1" si="451"/>
        <v>1.0012656328024858</v>
      </c>
      <c r="AE937">
        <f t="shared" ca="1" si="452"/>
        <v>35.686451522331708</v>
      </c>
      <c r="AF937">
        <f t="shared" ca="1" si="453"/>
        <v>3.4247141152263794E-3</v>
      </c>
      <c r="AG937">
        <f t="shared" ca="1" si="454"/>
        <v>0</v>
      </c>
      <c r="AH937">
        <f ca="1">IFERROR(IF(V32="Supercritical",MAX($D$16,IFERROR(L937,MAX($D$16,POWER((ABS(K937)^2)/($I$5*MAX(F937,0.1)^2),1/3)))),IF(V32="Subcritical",MAX($D$16,IFERROR(W937,MAX($D$16,POWER((ABS(K937)^2)/($I$5*MAX(F937,0.1)^2),1/3)))),IF(AND(IFERROR(V937,0)=1,IFERROR(AG937,0)=1),IF(IFERROR(T937,-1E+99)&gt;=IFERROR(AE937,-1E+99),MAX($D$16,IFERROR(L937,MAX($D$16,POWER((ABS(K937)^2)/($I$5*MAX(F937,0.1)^2),1/3)))),MAX($D$16,IFERROR(W937,MAX($D$16,POWER((ABS(K937)^2)/($I$5*MAX(F937,0.1)^2),1/3))))),IF(IFERROR(V937,0)=1,MAX($D$16,IFERROR(L937,MAX($D$16,POWER((ABS(K937)^2)/($I$5*MAX(F937,0.1)^2),1/3)))),IF(IFERROR(AG937,0)=1,MAX($D$16,IFERROR(W937,MAX($D$16,POWER((ABS(K937)^2)/($I$5*MAX(F937,0.1)^2),1/3)))),MAX($D$16,POWER((ABS(K937)^2)/($I$5*MAX(F937,0.1)^2),1/3))))))),MAX($D$16,POWER((ABS(K937)^2)/($I$5*MAX(F937,0.1)^2),1/3)))</f>
        <v>2.1389677043987478</v>
      </c>
      <c r="AI937">
        <f t="shared" ca="1" si="455"/>
        <v>634.26446770439873</v>
      </c>
      <c r="AJ937">
        <f t="shared" ca="1" si="456"/>
        <v>635.33395155659809</v>
      </c>
      <c r="AM937">
        <v>0</v>
      </c>
      <c r="AN937">
        <v>0</v>
      </c>
      <c r="AO937">
        <f t="shared" si="457"/>
        <v>0</v>
      </c>
      <c r="AP937">
        <f t="shared" si="466"/>
        <v>0</v>
      </c>
      <c r="AQ937">
        <f t="shared" ca="1" si="458"/>
        <v>1.0000000000000004</v>
      </c>
      <c r="AR937" t="str">
        <f t="shared" ca="1" si="459"/>
        <v>Supercritical</v>
      </c>
      <c r="AS937">
        <f t="shared" ca="1" si="460"/>
        <v>3.8141460404132466E-3</v>
      </c>
    </row>
    <row r="938" spans="1:45" x14ac:dyDescent="0.35">
      <c r="A938">
        <v>877</v>
      </c>
      <c r="B938">
        <v>875.99599999999998</v>
      </c>
      <c r="C938">
        <v>616086.53300000005</v>
      </c>
      <c r="D938">
        <v>3097130.946</v>
      </c>
      <c r="E938">
        <v>632.125</v>
      </c>
      <c r="F938">
        <v>5.2</v>
      </c>
      <c r="G938">
        <v>0</v>
      </c>
      <c r="H938" t="s">
        <v>154</v>
      </c>
      <c r="I938">
        <v>5.7000000000000002E-2</v>
      </c>
      <c r="J938">
        <f t="shared" si="461"/>
        <v>1</v>
      </c>
      <c r="K938">
        <f t="shared" ca="1" si="462"/>
        <v>50.95</v>
      </c>
      <c r="L938">
        <f t="shared" ca="1" si="463"/>
        <v>2.1389677043987478</v>
      </c>
      <c r="M938">
        <f t="shared" ca="1" si="436"/>
        <v>11.122632062873489</v>
      </c>
      <c r="N938">
        <f t="shared" ca="1" si="437"/>
        <v>1.1735290000551568</v>
      </c>
      <c r="O938">
        <f t="shared" ca="1" si="438"/>
        <v>4.5807502857230418</v>
      </c>
      <c r="P938">
        <f t="shared" ca="1" si="439"/>
        <v>634.26396770439874</v>
      </c>
      <c r="Q938">
        <f t="shared" ca="1" si="440"/>
        <v>635.33345155659811</v>
      </c>
      <c r="R938">
        <f t="shared" ca="1" si="441"/>
        <v>3.8141460404132466E-3</v>
      </c>
      <c r="S938">
        <f t="shared" ca="1" si="442"/>
        <v>1.0000000000000004</v>
      </c>
      <c r="T938">
        <f t="shared" ca="1" si="443"/>
        <v>35.686426155594638</v>
      </c>
      <c r="U938">
        <f t="shared" ca="1" si="464"/>
        <v>-3.4157470064428708E-3</v>
      </c>
      <c r="V938">
        <f t="shared" ca="1" si="465"/>
        <v>1</v>
      </c>
      <c r="W938">
        <f t="shared" ca="1" si="444"/>
        <v>2.1378005243613574</v>
      </c>
      <c r="X938">
        <f t="shared" ca="1" si="445"/>
        <v>11.116562726679058</v>
      </c>
      <c r="Y938">
        <f t="shared" ca="1" si="446"/>
        <v>1.1731775820360799</v>
      </c>
      <c r="Z938">
        <f t="shared" ca="1" si="447"/>
        <v>4.5832512488525952</v>
      </c>
      <c r="AA938">
        <f t="shared" ca="1" si="448"/>
        <v>634.26280052436141</v>
      </c>
      <c r="AB938">
        <f t="shared" ca="1" si="449"/>
        <v>635.33345251264427</v>
      </c>
      <c r="AC938">
        <f t="shared" ca="1" si="450"/>
        <v>3.8198370922861513E-3</v>
      </c>
      <c r="AD938">
        <f t="shared" ca="1" si="451"/>
        <v>1.0008190703400133</v>
      </c>
      <c r="AE938">
        <f t="shared" ca="1" si="452"/>
        <v>35.686436785474385</v>
      </c>
      <c r="AF938">
        <f t="shared" ca="1" si="453"/>
        <v>3.3160172552015865E-3</v>
      </c>
      <c r="AG938">
        <f t="shared" ca="1" si="454"/>
        <v>0</v>
      </c>
      <c r="AH938">
        <f ca="1">IFERROR(IF(V32="Supercritical",MAX($D$16,IFERROR(L938,MAX($D$16,POWER((ABS(K938)^2)/($I$5*MAX(F938,0.1)^2),1/3)))),IF(V32="Subcritical",MAX($D$16,IFERROR(W938,MAX($D$16,POWER((ABS(K938)^2)/($I$5*MAX(F938,0.1)^2),1/3)))),IF(AND(IFERROR(V938,0)=1,IFERROR(AG938,0)=1),IF(IFERROR(T938,-1E+99)&gt;=IFERROR(AE938,-1E+99),MAX($D$16,IFERROR(L938,MAX($D$16,POWER((ABS(K938)^2)/($I$5*MAX(F938,0.1)^2),1/3)))),MAX($D$16,IFERROR(W938,MAX($D$16,POWER((ABS(K938)^2)/($I$5*MAX(F938,0.1)^2),1/3))))),IF(IFERROR(V938,0)=1,MAX($D$16,IFERROR(L938,MAX($D$16,POWER((ABS(K938)^2)/($I$5*MAX(F938,0.1)^2),1/3)))),IF(IFERROR(AG938,0)=1,MAX($D$16,IFERROR(W938,MAX($D$16,POWER((ABS(K938)^2)/($I$5*MAX(F938,0.1)^2),1/3)))),MAX($D$16,POWER((ABS(K938)^2)/($I$5*MAX(F938,0.1)^2),1/3))))))),MAX($D$16,POWER((ABS(K938)^2)/($I$5*MAX(F938,0.1)^2),1/3)))</f>
        <v>2.1389677043987478</v>
      </c>
      <c r="AI938">
        <f t="shared" ca="1" si="455"/>
        <v>634.26396770439874</v>
      </c>
      <c r="AJ938">
        <f t="shared" ca="1" si="456"/>
        <v>635.33345155659811</v>
      </c>
      <c r="AM938">
        <v>0</v>
      </c>
      <c r="AN938">
        <v>0</v>
      </c>
      <c r="AO938">
        <f t="shared" si="457"/>
        <v>0</v>
      </c>
      <c r="AP938">
        <f t="shared" si="466"/>
        <v>0</v>
      </c>
      <c r="AQ938">
        <f t="shared" ca="1" si="458"/>
        <v>1.0000000000000004</v>
      </c>
      <c r="AR938" t="str">
        <f t="shared" ca="1" si="459"/>
        <v>Supercritical</v>
      </c>
      <c r="AS938">
        <f t="shared" ca="1" si="460"/>
        <v>3.8141460404132466E-3</v>
      </c>
    </row>
    <row r="939" spans="1:45" x14ac:dyDescent="0.35">
      <c r="A939">
        <v>878</v>
      </c>
      <c r="B939">
        <v>876.995</v>
      </c>
      <c r="C939">
        <v>616086.49100000004</v>
      </c>
      <c r="D939">
        <v>3097129.9470000002</v>
      </c>
      <c r="E939">
        <v>632.12450000000001</v>
      </c>
      <c r="F939">
        <v>5.2</v>
      </c>
      <c r="G939">
        <v>0</v>
      </c>
      <c r="H939" t="s">
        <v>154</v>
      </c>
      <c r="I939">
        <v>0</v>
      </c>
      <c r="J939">
        <f t="shared" si="461"/>
        <v>0.99900000000002365</v>
      </c>
      <c r="K939">
        <f t="shared" ca="1" si="462"/>
        <v>50.95</v>
      </c>
      <c r="L939">
        <f t="shared" ca="1" si="463"/>
        <v>2.1389677043987478</v>
      </c>
      <c r="M939">
        <f t="shared" ca="1" si="436"/>
        <v>11.122632062873489</v>
      </c>
      <c r="N939">
        <f t="shared" ca="1" si="437"/>
        <v>1.1735290000551568</v>
      </c>
      <c r="O939">
        <f t="shared" ca="1" si="438"/>
        <v>4.5807502857230418</v>
      </c>
      <c r="P939">
        <f t="shared" ca="1" si="439"/>
        <v>634.26346770439875</v>
      </c>
      <c r="Q939">
        <f t="shared" ca="1" si="440"/>
        <v>635.33295155659812</v>
      </c>
      <c r="R939">
        <f t="shared" ca="1" si="441"/>
        <v>3.8141460404132466E-3</v>
      </c>
      <c r="S939">
        <f t="shared" ca="1" si="442"/>
        <v>1.0000000000000004</v>
      </c>
      <c r="T939">
        <f t="shared" ca="1" si="443"/>
        <v>35.686426155594638</v>
      </c>
      <c r="U939">
        <f t="shared" ca="1" si="464"/>
        <v>-3.3103318943403792E-3</v>
      </c>
      <c r="V939">
        <f t="shared" ca="1" si="465"/>
        <v>1</v>
      </c>
      <c r="W939">
        <f t="shared" ca="1" si="444"/>
        <v>2.1371647023540206</v>
      </c>
      <c r="X939">
        <f t="shared" ca="1" si="445"/>
        <v>11.113256452240908</v>
      </c>
      <c r="Y939">
        <f t="shared" ca="1" si="446"/>
        <v>1.1729860740031313</v>
      </c>
      <c r="Z939">
        <f t="shared" ca="1" si="447"/>
        <v>4.5846147993575999</v>
      </c>
      <c r="AA939">
        <f t="shared" ca="1" si="448"/>
        <v>634.26166470235398</v>
      </c>
      <c r="AB939">
        <f t="shared" ca="1" si="449"/>
        <v>635.3329538388723</v>
      </c>
      <c r="AC939">
        <f t="shared" ca="1" si="450"/>
        <v>3.8229423359825831E-3</v>
      </c>
      <c r="AD939">
        <f t="shared" ca="1" si="451"/>
        <v>1.0012657299608554</v>
      </c>
      <c r="AE939">
        <f t="shared" ca="1" si="452"/>
        <v>35.686451526223479</v>
      </c>
      <c r="AF939">
        <f t="shared" ca="1" si="453"/>
        <v>3.322942336012602E-3</v>
      </c>
      <c r="AG939">
        <f t="shared" ca="1" si="454"/>
        <v>0</v>
      </c>
      <c r="AH939">
        <f ca="1">IFERROR(IF(V32="Supercritical",MAX($D$16,IFERROR(L939,MAX($D$16,POWER((ABS(K939)^2)/($I$5*MAX(F939,0.1)^2),1/3)))),IF(V32="Subcritical",MAX($D$16,IFERROR(W939,MAX($D$16,POWER((ABS(K939)^2)/($I$5*MAX(F939,0.1)^2),1/3)))),IF(AND(IFERROR(V939,0)=1,IFERROR(AG939,0)=1),IF(IFERROR(T939,-1E+99)&gt;=IFERROR(AE939,-1E+99),MAX($D$16,IFERROR(L939,MAX($D$16,POWER((ABS(K939)^2)/($I$5*MAX(F939,0.1)^2),1/3)))),MAX($D$16,IFERROR(W939,MAX($D$16,POWER((ABS(K939)^2)/($I$5*MAX(F939,0.1)^2),1/3))))),IF(IFERROR(V939,0)=1,MAX($D$16,IFERROR(L939,MAX($D$16,POWER((ABS(K939)^2)/($I$5*MAX(F939,0.1)^2),1/3)))),IF(IFERROR(AG939,0)=1,MAX($D$16,IFERROR(W939,MAX($D$16,POWER((ABS(K939)^2)/($I$5*MAX(F939,0.1)^2),1/3)))),MAX($D$16,POWER((ABS(K939)^2)/($I$5*MAX(F939,0.1)^2),1/3))))))),MAX($D$16,POWER((ABS(K939)^2)/($I$5*MAX(F939,0.1)^2),1/3)))</f>
        <v>2.1389677043987478</v>
      </c>
      <c r="AI939">
        <f t="shared" ca="1" si="455"/>
        <v>634.26346770439875</v>
      </c>
      <c r="AJ939">
        <f t="shared" ca="1" si="456"/>
        <v>635.33295155659812</v>
      </c>
      <c r="AM939">
        <v>0</v>
      </c>
      <c r="AN939">
        <v>0</v>
      </c>
      <c r="AO939">
        <f t="shared" si="457"/>
        <v>0</v>
      </c>
      <c r="AP939">
        <f t="shared" si="466"/>
        <v>0</v>
      </c>
      <c r="AQ939">
        <f t="shared" ca="1" si="458"/>
        <v>1.0000000000000004</v>
      </c>
      <c r="AR939" t="str">
        <f t="shared" ca="1" si="459"/>
        <v>Supercritical</v>
      </c>
      <c r="AS939">
        <f t="shared" ca="1" si="460"/>
        <v>3.8141460404132466E-3</v>
      </c>
    </row>
    <row r="940" spans="1:45" x14ac:dyDescent="0.35">
      <c r="A940">
        <v>879</v>
      </c>
      <c r="B940">
        <v>877.995</v>
      </c>
      <c r="C940">
        <v>616086.44900000002</v>
      </c>
      <c r="D940">
        <v>3097128.9479999999</v>
      </c>
      <c r="E940">
        <v>632.12400000000002</v>
      </c>
      <c r="F940">
        <v>5.2</v>
      </c>
      <c r="G940">
        <v>0</v>
      </c>
      <c r="H940" t="s">
        <v>154</v>
      </c>
      <c r="I940">
        <v>0</v>
      </c>
      <c r="J940">
        <f t="shared" si="461"/>
        <v>1</v>
      </c>
      <c r="K940">
        <f t="shared" ca="1" si="462"/>
        <v>50.95</v>
      </c>
      <c r="L940">
        <f t="shared" ca="1" si="463"/>
        <v>2.1389677043987478</v>
      </c>
      <c r="M940">
        <f t="shared" ca="1" si="436"/>
        <v>11.122632062873489</v>
      </c>
      <c r="N940">
        <f t="shared" ca="1" si="437"/>
        <v>1.1735290000551568</v>
      </c>
      <c r="O940">
        <f t="shared" ca="1" si="438"/>
        <v>4.5807502857230418</v>
      </c>
      <c r="P940">
        <f t="shared" ca="1" si="439"/>
        <v>634.26296770439876</v>
      </c>
      <c r="Q940">
        <f t="shared" ca="1" si="440"/>
        <v>635.33245155659813</v>
      </c>
      <c r="R940">
        <f t="shared" ca="1" si="441"/>
        <v>3.8141460404132466E-3</v>
      </c>
      <c r="S940">
        <f t="shared" ca="1" si="442"/>
        <v>1.0000000000000004</v>
      </c>
      <c r="T940">
        <f t="shared" ca="1" si="443"/>
        <v>35.686426155594638</v>
      </c>
      <c r="U940">
        <f t="shared" ca="1" si="464"/>
        <v>-3.3141460404522149E-3</v>
      </c>
      <c r="V940">
        <f t="shared" ca="1" si="465"/>
        <v>1</v>
      </c>
      <c r="W940">
        <f t="shared" ca="1" si="444"/>
        <v>2.1378005222775802</v>
      </c>
      <c r="X940">
        <f t="shared" ca="1" si="445"/>
        <v>11.116562715843418</v>
      </c>
      <c r="Y940">
        <f t="shared" ca="1" si="446"/>
        <v>1.1731775814085357</v>
      </c>
      <c r="Z940">
        <f t="shared" ca="1" si="447"/>
        <v>4.5832512533200243</v>
      </c>
      <c r="AA940">
        <f t="shared" ca="1" si="448"/>
        <v>634.26180052227755</v>
      </c>
      <c r="AB940">
        <f t="shared" ca="1" si="449"/>
        <v>635.33245251264759</v>
      </c>
      <c r="AC940">
        <f t="shared" ca="1" si="450"/>
        <v>3.8198371024571239E-3</v>
      </c>
      <c r="AD940">
        <f t="shared" ca="1" si="451"/>
        <v>1.0008190718033048</v>
      </c>
      <c r="AE940">
        <f t="shared" ca="1" si="452"/>
        <v>35.686436785512342</v>
      </c>
      <c r="AF940">
        <f t="shared" ca="1" si="453"/>
        <v>3.4179802015614769E-3</v>
      </c>
      <c r="AG940">
        <f t="shared" ca="1" si="454"/>
        <v>0</v>
      </c>
      <c r="AH940">
        <f ca="1">IFERROR(IF(V32="Supercritical",MAX($D$16,IFERROR(L940,MAX($D$16,POWER((ABS(K940)^2)/($I$5*MAX(F940,0.1)^2),1/3)))),IF(V32="Subcritical",MAX($D$16,IFERROR(W940,MAX($D$16,POWER((ABS(K940)^2)/($I$5*MAX(F940,0.1)^2),1/3)))),IF(AND(IFERROR(V940,0)=1,IFERROR(AG940,0)=1),IF(IFERROR(T940,-1E+99)&gt;=IFERROR(AE940,-1E+99),MAX($D$16,IFERROR(L940,MAX($D$16,POWER((ABS(K940)^2)/($I$5*MAX(F940,0.1)^2),1/3)))),MAX($D$16,IFERROR(W940,MAX($D$16,POWER((ABS(K940)^2)/($I$5*MAX(F940,0.1)^2),1/3))))),IF(IFERROR(V940,0)=1,MAX($D$16,IFERROR(L940,MAX($D$16,POWER((ABS(K940)^2)/($I$5*MAX(F940,0.1)^2),1/3)))),IF(IFERROR(AG940,0)=1,MAX($D$16,IFERROR(W940,MAX($D$16,POWER((ABS(K940)^2)/($I$5*MAX(F940,0.1)^2),1/3)))),MAX($D$16,POWER((ABS(K940)^2)/($I$5*MAX(F940,0.1)^2),1/3))))))),MAX($D$16,POWER((ABS(K940)^2)/($I$5*MAX(F940,0.1)^2),1/3)))</f>
        <v>2.1389677043987478</v>
      </c>
      <c r="AI940">
        <f t="shared" ca="1" si="455"/>
        <v>634.26296770439876</v>
      </c>
      <c r="AJ940">
        <f t="shared" ca="1" si="456"/>
        <v>635.33245155659813</v>
      </c>
      <c r="AM940">
        <v>0</v>
      </c>
      <c r="AN940">
        <v>0</v>
      </c>
      <c r="AO940">
        <f t="shared" si="457"/>
        <v>0</v>
      </c>
      <c r="AP940">
        <f t="shared" si="466"/>
        <v>0</v>
      </c>
      <c r="AQ940">
        <f t="shared" ca="1" si="458"/>
        <v>1.0000000000000004</v>
      </c>
      <c r="AR940" t="str">
        <f t="shared" ca="1" si="459"/>
        <v>Supercritical</v>
      </c>
      <c r="AS940">
        <f t="shared" ca="1" si="460"/>
        <v>3.8141460404132466E-3</v>
      </c>
    </row>
    <row r="941" spans="1:45" x14ac:dyDescent="0.35">
      <c r="A941">
        <v>880</v>
      </c>
      <c r="B941">
        <v>878.995</v>
      </c>
      <c r="C941">
        <v>616086.40700000001</v>
      </c>
      <c r="D941">
        <v>3097127.949</v>
      </c>
      <c r="E941">
        <v>632.12350000000004</v>
      </c>
      <c r="F941">
        <v>5.2</v>
      </c>
      <c r="G941">
        <v>0</v>
      </c>
      <c r="H941" t="s">
        <v>154</v>
      </c>
      <c r="I941">
        <v>5.5E-2</v>
      </c>
      <c r="J941">
        <f t="shared" si="461"/>
        <v>1</v>
      </c>
      <c r="K941">
        <f t="shared" ca="1" si="462"/>
        <v>50.95</v>
      </c>
      <c r="L941">
        <f t="shared" ca="1" si="463"/>
        <v>2.1389677043987478</v>
      </c>
      <c r="M941">
        <f t="shared" ca="1" si="436"/>
        <v>11.122632062873489</v>
      </c>
      <c r="N941">
        <f t="shared" ca="1" si="437"/>
        <v>1.1735290000551568</v>
      </c>
      <c r="O941">
        <f t="shared" ca="1" si="438"/>
        <v>4.5807502857230418</v>
      </c>
      <c r="P941">
        <f t="shared" ca="1" si="439"/>
        <v>634.26246770439877</v>
      </c>
      <c r="Q941">
        <f t="shared" ca="1" si="440"/>
        <v>635.33195155659814</v>
      </c>
      <c r="R941">
        <f t="shared" ca="1" si="441"/>
        <v>3.8141460404132466E-3</v>
      </c>
      <c r="S941">
        <f t="shared" ca="1" si="442"/>
        <v>1.0000000000000004</v>
      </c>
      <c r="T941">
        <f t="shared" ca="1" si="443"/>
        <v>35.686426155594638</v>
      </c>
      <c r="U941">
        <f t="shared" ca="1" si="464"/>
        <v>-3.4121820602877051E-3</v>
      </c>
      <c r="V941">
        <f t="shared" ca="1" si="465"/>
        <v>1</v>
      </c>
      <c r="W941">
        <f t="shared" ca="1" si="444"/>
        <v>2.1371647002684528</v>
      </c>
      <c r="X941">
        <f t="shared" ca="1" si="445"/>
        <v>11.113256441395956</v>
      </c>
      <c r="Y941">
        <f t="shared" ca="1" si="446"/>
        <v>1.1729860733748789</v>
      </c>
      <c r="Z941">
        <f t="shared" ca="1" si="447"/>
        <v>4.5846148038315295</v>
      </c>
      <c r="AA941">
        <f t="shared" ca="1" si="448"/>
        <v>634.26066470026853</v>
      </c>
      <c r="AB941">
        <f t="shared" ca="1" si="449"/>
        <v>635.33195383887767</v>
      </c>
      <c r="AC941">
        <f t="shared" ca="1" si="450"/>
        <v>3.8229423461739699E-3</v>
      </c>
      <c r="AD941">
        <f t="shared" ca="1" si="451"/>
        <v>1.0012657314264941</v>
      </c>
      <c r="AE941">
        <f t="shared" ca="1" si="452"/>
        <v>35.686451526282191</v>
      </c>
      <c r="AF941">
        <f t="shared" ca="1" si="453"/>
        <v>3.4249667928634153E-3</v>
      </c>
      <c r="AG941">
        <f t="shared" ca="1" si="454"/>
        <v>0</v>
      </c>
      <c r="AH941">
        <f ca="1">IFERROR(IF(V32="Supercritical",MAX($D$16,IFERROR(L941,MAX($D$16,POWER((ABS(K941)^2)/($I$5*MAX(F941,0.1)^2),1/3)))),IF(V32="Subcritical",MAX($D$16,IFERROR(W941,MAX($D$16,POWER((ABS(K941)^2)/($I$5*MAX(F941,0.1)^2),1/3)))),IF(AND(IFERROR(V941,0)=1,IFERROR(AG941,0)=1),IF(IFERROR(T941,-1E+99)&gt;=IFERROR(AE941,-1E+99),MAX($D$16,IFERROR(L941,MAX($D$16,POWER((ABS(K941)^2)/($I$5*MAX(F941,0.1)^2),1/3)))),MAX($D$16,IFERROR(W941,MAX($D$16,POWER((ABS(K941)^2)/($I$5*MAX(F941,0.1)^2),1/3))))),IF(IFERROR(V941,0)=1,MAX($D$16,IFERROR(L941,MAX($D$16,POWER((ABS(K941)^2)/($I$5*MAX(F941,0.1)^2),1/3)))),IF(IFERROR(AG941,0)=1,MAX($D$16,IFERROR(W941,MAX($D$16,POWER((ABS(K941)^2)/($I$5*MAX(F941,0.1)^2),1/3)))),MAX($D$16,POWER((ABS(K941)^2)/($I$5*MAX(F941,0.1)^2),1/3))))))),MAX($D$16,POWER((ABS(K941)^2)/($I$5*MAX(F941,0.1)^2),1/3)))</f>
        <v>2.1389677043987478</v>
      </c>
      <c r="AI941">
        <f t="shared" ca="1" si="455"/>
        <v>634.26246770439877</v>
      </c>
      <c r="AJ941">
        <f t="shared" ca="1" si="456"/>
        <v>635.33195155659814</v>
      </c>
      <c r="AM941">
        <v>0</v>
      </c>
      <c r="AN941">
        <v>0</v>
      </c>
      <c r="AO941">
        <f t="shared" si="457"/>
        <v>0</v>
      </c>
      <c r="AP941">
        <f t="shared" si="466"/>
        <v>0</v>
      </c>
      <c r="AQ941">
        <f t="shared" ca="1" si="458"/>
        <v>1.0000000000000004</v>
      </c>
      <c r="AR941" t="str">
        <f t="shared" ca="1" si="459"/>
        <v>Supercritical</v>
      </c>
      <c r="AS941">
        <f t="shared" ca="1" si="460"/>
        <v>3.8141460404132466E-3</v>
      </c>
    </row>
    <row r="942" spans="1:45" x14ac:dyDescent="0.35">
      <c r="A942">
        <v>881</v>
      </c>
      <c r="B942">
        <v>879.99599999999998</v>
      </c>
      <c r="C942">
        <v>616086.36399999994</v>
      </c>
      <c r="D942">
        <v>3097126.949</v>
      </c>
      <c r="E942">
        <v>632.12300000000005</v>
      </c>
      <c r="F942">
        <v>5.2</v>
      </c>
      <c r="G942">
        <v>0</v>
      </c>
      <c r="H942" t="s">
        <v>154</v>
      </c>
      <c r="I942">
        <v>5.5E-2</v>
      </c>
      <c r="J942">
        <f t="shared" si="461"/>
        <v>1.0009999999999764</v>
      </c>
      <c r="K942">
        <f t="shared" ca="1" si="462"/>
        <v>50.95</v>
      </c>
      <c r="L942">
        <f t="shared" ca="1" si="463"/>
        <v>2.1389677043987478</v>
      </c>
      <c r="M942">
        <f t="shared" ca="1" si="436"/>
        <v>11.122632062873489</v>
      </c>
      <c r="N942">
        <f t="shared" ca="1" si="437"/>
        <v>1.1735290000551568</v>
      </c>
      <c r="O942">
        <f t="shared" ca="1" si="438"/>
        <v>4.5807502857230418</v>
      </c>
      <c r="P942">
        <f t="shared" ca="1" si="439"/>
        <v>634.26196770439878</v>
      </c>
      <c r="Q942">
        <f t="shared" ca="1" si="440"/>
        <v>635.33145155659815</v>
      </c>
      <c r="R942">
        <f t="shared" ca="1" si="441"/>
        <v>3.8141460404132466E-3</v>
      </c>
      <c r="S942">
        <f t="shared" ca="1" si="442"/>
        <v>1.0000000000000004</v>
      </c>
      <c r="T942">
        <f t="shared" ca="1" si="443"/>
        <v>35.686426155594638</v>
      </c>
      <c r="U942">
        <f t="shared" ca="1" si="464"/>
        <v>-3.415996206285854E-3</v>
      </c>
      <c r="V942">
        <f t="shared" ca="1" si="465"/>
        <v>1</v>
      </c>
      <c r="W942">
        <f t="shared" ca="1" si="444"/>
        <v>2.1378005222452985</v>
      </c>
      <c r="X942">
        <f t="shared" ca="1" si="445"/>
        <v>11.116562715675553</v>
      </c>
      <c r="Y942">
        <f t="shared" ca="1" si="446"/>
        <v>1.1731775813988139</v>
      </c>
      <c r="Z942">
        <f t="shared" ca="1" si="447"/>
        <v>4.5832512533892338</v>
      </c>
      <c r="AA942">
        <f t="shared" ca="1" si="448"/>
        <v>634.26080052224529</v>
      </c>
      <c r="AB942">
        <f t="shared" ca="1" si="449"/>
        <v>635.33145251264762</v>
      </c>
      <c r="AC942">
        <f t="shared" ca="1" si="450"/>
        <v>3.8198371026146915E-3</v>
      </c>
      <c r="AD942">
        <f t="shared" ca="1" si="451"/>
        <v>1.000819071825974</v>
      </c>
      <c r="AE942">
        <f t="shared" ca="1" si="452"/>
        <v>35.686436785512932</v>
      </c>
      <c r="AF942">
        <f t="shared" ca="1" si="453"/>
        <v>3.3198371024809603E-3</v>
      </c>
      <c r="AG942">
        <f t="shared" ca="1" si="454"/>
        <v>0</v>
      </c>
      <c r="AH942">
        <f ca="1">IFERROR(IF(V32="Supercritical",MAX($D$16,IFERROR(L942,MAX($D$16,POWER((ABS(K942)^2)/($I$5*MAX(F942,0.1)^2),1/3)))),IF(V32="Subcritical",MAX($D$16,IFERROR(W942,MAX($D$16,POWER((ABS(K942)^2)/($I$5*MAX(F942,0.1)^2),1/3)))),IF(AND(IFERROR(V942,0)=1,IFERROR(AG942,0)=1),IF(IFERROR(T942,-1E+99)&gt;=IFERROR(AE942,-1E+99),MAX($D$16,IFERROR(L942,MAX($D$16,POWER((ABS(K942)^2)/($I$5*MAX(F942,0.1)^2),1/3)))),MAX($D$16,IFERROR(W942,MAX($D$16,POWER((ABS(K942)^2)/($I$5*MAX(F942,0.1)^2),1/3))))),IF(IFERROR(V942,0)=1,MAX($D$16,IFERROR(L942,MAX($D$16,POWER((ABS(K942)^2)/($I$5*MAX(F942,0.1)^2),1/3)))),IF(IFERROR(AG942,0)=1,MAX($D$16,IFERROR(W942,MAX($D$16,POWER((ABS(K942)^2)/($I$5*MAX(F942,0.1)^2),1/3)))),MAX($D$16,POWER((ABS(K942)^2)/($I$5*MAX(F942,0.1)^2),1/3))))))),MAX($D$16,POWER((ABS(K942)^2)/($I$5*MAX(F942,0.1)^2),1/3)))</f>
        <v>2.1389677043987478</v>
      </c>
      <c r="AI942">
        <f t="shared" ca="1" si="455"/>
        <v>634.26196770439878</v>
      </c>
      <c r="AJ942">
        <f t="shared" ca="1" si="456"/>
        <v>635.33145155659815</v>
      </c>
      <c r="AM942">
        <v>0</v>
      </c>
      <c r="AN942">
        <v>0</v>
      </c>
      <c r="AO942">
        <f t="shared" si="457"/>
        <v>0</v>
      </c>
      <c r="AP942">
        <f t="shared" si="466"/>
        <v>0</v>
      </c>
      <c r="AQ942">
        <f t="shared" ca="1" si="458"/>
        <v>1.0000000000000004</v>
      </c>
      <c r="AR942" t="str">
        <f t="shared" ca="1" si="459"/>
        <v>Supercritical</v>
      </c>
      <c r="AS942">
        <f t="shared" ca="1" si="460"/>
        <v>3.8141460404132466E-3</v>
      </c>
    </row>
    <row r="943" spans="1:45" x14ac:dyDescent="0.35">
      <c r="A943">
        <v>882</v>
      </c>
      <c r="B943">
        <v>880.99599999999998</v>
      </c>
      <c r="C943">
        <v>616086.32200000004</v>
      </c>
      <c r="D943">
        <v>3097125.95</v>
      </c>
      <c r="E943">
        <v>632.12249999999995</v>
      </c>
      <c r="F943">
        <v>5.2</v>
      </c>
      <c r="G943">
        <v>0</v>
      </c>
      <c r="H943" t="s">
        <v>154</v>
      </c>
      <c r="I943">
        <v>0</v>
      </c>
      <c r="J943">
        <f t="shared" si="461"/>
        <v>1</v>
      </c>
      <c r="K943">
        <f t="shared" ca="1" si="462"/>
        <v>50.95</v>
      </c>
      <c r="L943">
        <f t="shared" ca="1" si="463"/>
        <v>2.1389677043987478</v>
      </c>
      <c r="M943">
        <f t="shared" ca="1" si="436"/>
        <v>11.122632062873489</v>
      </c>
      <c r="N943">
        <f t="shared" ca="1" si="437"/>
        <v>1.1735290000551568</v>
      </c>
      <c r="O943">
        <f t="shared" ca="1" si="438"/>
        <v>4.5807502857230418</v>
      </c>
      <c r="P943">
        <f t="shared" ca="1" si="439"/>
        <v>634.26146770439868</v>
      </c>
      <c r="Q943">
        <f t="shared" ca="1" si="440"/>
        <v>635.33095155659805</v>
      </c>
      <c r="R943">
        <f t="shared" ca="1" si="441"/>
        <v>3.8141460404132466E-3</v>
      </c>
      <c r="S943">
        <f t="shared" ca="1" si="442"/>
        <v>1.0000000000000004</v>
      </c>
      <c r="T943">
        <f t="shared" ca="1" si="443"/>
        <v>35.686426155594638</v>
      </c>
      <c r="U943">
        <f t="shared" ca="1" si="464"/>
        <v>-3.3141460403385281E-3</v>
      </c>
      <c r="V943">
        <f t="shared" ca="1" si="465"/>
        <v>1</v>
      </c>
      <c r="W943">
        <f t="shared" ca="1" si="444"/>
        <v>2.1371647002361374</v>
      </c>
      <c r="X943">
        <f t="shared" ca="1" si="445"/>
        <v>11.113256441227914</v>
      </c>
      <c r="Y943">
        <f t="shared" ca="1" si="446"/>
        <v>1.1729860733651443</v>
      </c>
      <c r="Z943">
        <f t="shared" ca="1" si="447"/>
        <v>4.5846148039008527</v>
      </c>
      <c r="AA943">
        <f t="shared" ca="1" si="448"/>
        <v>634.25966470023604</v>
      </c>
      <c r="AB943">
        <f t="shared" ca="1" si="449"/>
        <v>635.33095383887758</v>
      </c>
      <c r="AC943">
        <f t="shared" ca="1" si="450"/>
        <v>3.8229423463318826E-3</v>
      </c>
      <c r="AD943">
        <f t="shared" ca="1" si="451"/>
        <v>1.0012657314492039</v>
      </c>
      <c r="AE943">
        <f t="shared" ca="1" si="452"/>
        <v>35.686451526283101</v>
      </c>
      <c r="AF943">
        <f t="shared" ca="1" si="453"/>
        <v>3.3229423463581043E-3</v>
      </c>
      <c r="AG943">
        <f t="shared" ca="1" si="454"/>
        <v>0</v>
      </c>
      <c r="AH943">
        <f ca="1">IFERROR(IF(V32="Supercritical",MAX($D$16,IFERROR(L943,MAX($D$16,POWER((ABS(K943)^2)/($I$5*MAX(F943,0.1)^2),1/3)))),IF(V32="Subcritical",MAX($D$16,IFERROR(W943,MAX($D$16,POWER((ABS(K943)^2)/($I$5*MAX(F943,0.1)^2),1/3)))),IF(AND(IFERROR(V943,0)=1,IFERROR(AG943,0)=1),IF(IFERROR(T943,-1E+99)&gt;=IFERROR(AE943,-1E+99),MAX($D$16,IFERROR(L943,MAX($D$16,POWER((ABS(K943)^2)/($I$5*MAX(F943,0.1)^2),1/3)))),MAX($D$16,IFERROR(W943,MAX($D$16,POWER((ABS(K943)^2)/($I$5*MAX(F943,0.1)^2),1/3))))),IF(IFERROR(V943,0)=1,MAX($D$16,IFERROR(L943,MAX($D$16,POWER((ABS(K943)^2)/($I$5*MAX(F943,0.1)^2),1/3)))),IF(IFERROR(AG943,0)=1,MAX($D$16,IFERROR(W943,MAX($D$16,POWER((ABS(K943)^2)/($I$5*MAX(F943,0.1)^2),1/3)))),MAX($D$16,POWER((ABS(K943)^2)/($I$5*MAX(F943,0.1)^2),1/3))))))),MAX($D$16,POWER((ABS(K943)^2)/($I$5*MAX(F943,0.1)^2),1/3)))</f>
        <v>2.1389677043987478</v>
      </c>
      <c r="AI943">
        <f t="shared" ca="1" si="455"/>
        <v>634.26146770439868</v>
      </c>
      <c r="AJ943">
        <f t="shared" ca="1" si="456"/>
        <v>635.33095155659805</v>
      </c>
      <c r="AM943">
        <v>0</v>
      </c>
      <c r="AN943">
        <v>0</v>
      </c>
      <c r="AO943">
        <f t="shared" si="457"/>
        <v>0</v>
      </c>
      <c r="AP943">
        <f t="shared" si="466"/>
        <v>0</v>
      </c>
      <c r="AQ943">
        <f t="shared" ca="1" si="458"/>
        <v>1.0000000000000004</v>
      </c>
      <c r="AR943" t="str">
        <f t="shared" ca="1" si="459"/>
        <v>Supercritical</v>
      </c>
      <c r="AS943">
        <f t="shared" ca="1" si="460"/>
        <v>3.8141460404132466E-3</v>
      </c>
    </row>
    <row r="944" spans="1:45" x14ac:dyDescent="0.35">
      <c r="A944">
        <v>883</v>
      </c>
      <c r="B944">
        <v>881.99599999999998</v>
      </c>
      <c r="C944">
        <v>616086.28</v>
      </c>
      <c r="D944">
        <v>3097124.9509999999</v>
      </c>
      <c r="E944">
        <v>632.12199999999996</v>
      </c>
      <c r="F944">
        <v>5.2</v>
      </c>
      <c r="G944">
        <v>0</v>
      </c>
      <c r="H944" t="s">
        <v>154</v>
      </c>
      <c r="I944">
        <v>0</v>
      </c>
      <c r="J944">
        <f t="shared" si="461"/>
        <v>1</v>
      </c>
      <c r="K944">
        <f t="shared" ca="1" si="462"/>
        <v>50.95</v>
      </c>
      <c r="L944">
        <f t="shared" ca="1" si="463"/>
        <v>2.1389677043987478</v>
      </c>
      <c r="M944">
        <f t="shared" ca="1" si="436"/>
        <v>11.122632062873489</v>
      </c>
      <c r="N944">
        <f t="shared" ca="1" si="437"/>
        <v>1.1735290000551568</v>
      </c>
      <c r="O944">
        <f t="shared" ca="1" si="438"/>
        <v>4.5807502857230418</v>
      </c>
      <c r="P944">
        <f t="shared" ca="1" si="439"/>
        <v>634.26096770439869</v>
      </c>
      <c r="Q944">
        <f t="shared" ca="1" si="440"/>
        <v>635.33045155659806</v>
      </c>
      <c r="R944">
        <f t="shared" ca="1" si="441"/>
        <v>3.8141460404132466E-3</v>
      </c>
      <c r="S944">
        <f t="shared" ca="1" si="442"/>
        <v>1.0000000000000004</v>
      </c>
      <c r="T944">
        <f t="shared" ca="1" si="443"/>
        <v>35.686426155594638</v>
      </c>
      <c r="U944">
        <f t="shared" ca="1" si="464"/>
        <v>-3.3141460404522149E-3</v>
      </c>
      <c r="V944">
        <f t="shared" ca="1" si="465"/>
        <v>1</v>
      </c>
      <c r="W944">
        <f t="shared" ca="1" si="444"/>
        <v>2.1378005222448384</v>
      </c>
      <c r="X944">
        <f t="shared" ca="1" si="445"/>
        <v>11.11656271567316</v>
      </c>
      <c r="Y944">
        <f t="shared" ca="1" si="446"/>
        <v>1.1731775813986751</v>
      </c>
      <c r="Z944">
        <f t="shared" ca="1" si="447"/>
        <v>4.5832512533902205</v>
      </c>
      <c r="AA944">
        <f t="shared" ca="1" si="448"/>
        <v>634.25980052224475</v>
      </c>
      <c r="AB944">
        <f t="shared" ca="1" si="449"/>
        <v>635.33045251264753</v>
      </c>
      <c r="AC944">
        <f t="shared" ca="1" si="450"/>
        <v>3.8198371026169375E-3</v>
      </c>
      <c r="AD944">
        <f t="shared" ca="1" si="451"/>
        <v>1.000819071826297</v>
      </c>
      <c r="AE944">
        <f t="shared" ca="1" si="452"/>
        <v>35.686436785512939</v>
      </c>
      <c r="AF944">
        <f t="shared" ca="1" si="453"/>
        <v>3.4215490417182082E-3</v>
      </c>
      <c r="AG944">
        <f t="shared" ca="1" si="454"/>
        <v>0</v>
      </c>
      <c r="AH944">
        <f ca="1">IFERROR(IF(V32="Supercritical",MAX($D$16,IFERROR(L944,MAX($D$16,POWER((ABS(K944)^2)/($I$5*MAX(F944,0.1)^2),1/3)))),IF(V32="Subcritical",MAX($D$16,IFERROR(W944,MAX($D$16,POWER((ABS(K944)^2)/($I$5*MAX(F944,0.1)^2),1/3)))),IF(AND(IFERROR(V944,0)=1,IFERROR(AG944,0)=1),IF(IFERROR(T944,-1E+99)&gt;=IFERROR(AE944,-1E+99),MAX($D$16,IFERROR(L944,MAX($D$16,POWER((ABS(K944)^2)/($I$5*MAX(F944,0.1)^2),1/3)))),MAX($D$16,IFERROR(W944,MAX($D$16,POWER((ABS(K944)^2)/($I$5*MAX(F944,0.1)^2),1/3))))),IF(IFERROR(V944,0)=1,MAX($D$16,IFERROR(L944,MAX($D$16,POWER((ABS(K944)^2)/($I$5*MAX(F944,0.1)^2),1/3)))),IF(IFERROR(AG944,0)=1,MAX($D$16,IFERROR(W944,MAX($D$16,POWER((ABS(K944)^2)/($I$5*MAX(F944,0.1)^2),1/3)))),MAX($D$16,POWER((ABS(K944)^2)/($I$5*MAX(F944,0.1)^2),1/3))))))),MAX($D$16,POWER((ABS(K944)^2)/($I$5*MAX(F944,0.1)^2),1/3)))</f>
        <v>2.1389677043987478</v>
      </c>
      <c r="AI944">
        <f t="shared" ca="1" si="455"/>
        <v>634.26096770439869</v>
      </c>
      <c r="AJ944">
        <f t="shared" ca="1" si="456"/>
        <v>635.33045155659806</v>
      </c>
      <c r="AM944">
        <v>0</v>
      </c>
      <c r="AN944">
        <v>0</v>
      </c>
      <c r="AO944">
        <f t="shared" si="457"/>
        <v>0</v>
      </c>
      <c r="AP944">
        <f t="shared" si="466"/>
        <v>0</v>
      </c>
      <c r="AQ944">
        <f t="shared" ca="1" si="458"/>
        <v>1.0000000000000004</v>
      </c>
      <c r="AR944" t="str">
        <f t="shared" ca="1" si="459"/>
        <v>Supercritical</v>
      </c>
      <c r="AS944">
        <f t="shared" ca="1" si="460"/>
        <v>3.8141460404132466E-3</v>
      </c>
    </row>
    <row r="945" spans="1:45" x14ac:dyDescent="0.35">
      <c r="A945">
        <v>884</v>
      </c>
      <c r="B945">
        <v>882.99599999999998</v>
      </c>
      <c r="C945">
        <v>616086.23800000001</v>
      </c>
      <c r="D945">
        <v>3097123.952</v>
      </c>
      <c r="E945">
        <v>632.12149999999997</v>
      </c>
      <c r="F945">
        <v>5.2</v>
      </c>
      <c r="G945">
        <v>0</v>
      </c>
      <c r="H945" t="s">
        <v>154</v>
      </c>
      <c r="I945">
        <v>5.7000000000000002E-2</v>
      </c>
      <c r="J945">
        <f t="shared" si="461"/>
        <v>1</v>
      </c>
      <c r="K945">
        <f t="shared" ca="1" si="462"/>
        <v>50.95</v>
      </c>
      <c r="L945">
        <f t="shared" ca="1" si="463"/>
        <v>2.1389677043987478</v>
      </c>
      <c r="M945">
        <f t="shared" ca="1" si="436"/>
        <v>11.122632062873489</v>
      </c>
      <c r="N945">
        <f t="shared" ca="1" si="437"/>
        <v>1.1735290000551568</v>
      </c>
      <c r="O945">
        <f t="shared" ca="1" si="438"/>
        <v>4.5807502857230418</v>
      </c>
      <c r="P945">
        <f t="shared" ca="1" si="439"/>
        <v>634.26046770439871</v>
      </c>
      <c r="Q945">
        <f t="shared" ca="1" si="440"/>
        <v>635.32995155659808</v>
      </c>
      <c r="R945">
        <f t="shared" ca="1" si="441"/>
        <v>3.8141460404132466E-3</v>
      </c>
      <c r="S945">
        <f t="shared" ca="1" si="442"/>
        <v>1.0000000000000004</v>
      </c>
      <c r="T945">
        <f t="shared" ca="1" si="443"/>
        <v>35.686426155594638</v>
      </c>
      <c r="U945">
        <f t="shared" ca="1" si="464"/>
        <v>-3.4157470064428708E-3</v>
      </c>
      <c r="V945">
        <f t="shared" ca="1" si="465"/>
        <v>1</v>
      </c>
      <c r="W945">
        <f t="shared" ca="1" si="444"/>
        <v>2.1371647002356773</v>
      </c>
      <c r="X945">
        <f t="shared" ca="1" si="445"/>
        <v>11.113256441225522</v>
      </c>
      <c r="Y945">
        <f t="shared" ca="1" si="446"/>
        <v>1.1729860733650055</v>
      </c>
      <c r="Z945">
        <f t="shared" ca="1" si="447"/>
        <v>4.5846148039018395</v>
      </c>
      <c r="AA945">
        <f t="shared" ca="1" si="448"/>
        <v>634.25866470023561</v>
      </c>
      <c r="AB945">
        <f t="shared" ca="1" si="449"/>
        <v>635.3299538388776</v>
      </c>
      <c r="AC945">
        <f t="shared" ca="1" si="450"/>
        <v>3.8229423463341317E-3</v>
      </c>
      <c r="AD945">
        <f t="shared" ca="1" si="451"/>
        <v>1.0012657314495272</v>
      </c>
      <c r="AE945">
        <f t="shared" ca="1" si="452"/>
        <v>35.686451526283115</v>
      </c>
      <c r="AF945">
        <f t="shared" ca="1" si="453"/>
        <v>3.4247148145141182E-3</v>
      </c>
      <c r="AG945">
        <f t="shared" ca="1" si="454"/>
        <v>0</v>
      </c>
      <c r="AH945">
        <f ca="1">IFERROR(IF(V32="Supercritical",MAX($D$16,IFERROR(L945,MAX($D$16,POWER((ABS(K945)^2)/($I$5*MAX(F945,0.1)^2),1/3)))),IF(V32="Subcritical",MAX($D$16,IFERROR(W945,MAX($D$16,POWER((ABS(K945)^2)/($I$5*MAX(F945,0.1)^2),1/3)))),IF(AND(IFERROR(V945,0)=1,IFERROR(AG945,0)=1),IF(IFERROR(T945,-1E+99)&gt;=IFERROR(AE945,-1E+99),MAX($D$16,IFERROR(L945,MAX($D$16,POWER((ABS(K945)^2)/($I$5*MAX(F945,0.1)^2),1/3)))),MAX($D$16,IFERROR(W945,MAX($D$16,POWER((ABS(K945)^2)/($I$5*MAX(F945,0.1)^2),1/3))))),IF(IFERROR(V945,0)=1,MAX($D$16,IFERROR(L945,MAX($D$16,POWER((ABS(K945)^2)/($I$5*MAX(F945,0.1)^2),1/3)))),IF(IFERROR(AG945,0)=1,MAX($D$16,IFERROR(W945,MAX($D$16,POWER((ABS(K945)^2)/($I$5*MAX(F945,0.1)^2),1/3)))),MAX($D$16,POWER((ABS(K945)^2)/($I$5*MAX(F945,0.1)^2),1/3))))))),MAX($D$16,POWER((ABS(K945)^2)/($I$5*MAX(F945,0.1)^2),1/3)))</f>
        <v>2.1389677043987478</v>
      </c>
      <c r="AI945">
        <f t="shared" ca="1" si="455"/>
        <v>634.26046770439871</v>
      </c>
      <c r="AJ945">
        <f t="shared" ca="1" si="456"/>
        <v>635.32995155659808</v>
      </c>
      <c r="AM945">
        <v>0</v>
      </c>
      <c r="AN945">
        <v>0</v>
      </c>
      <c r="AO945">
        <f t="shared" si="457"/>
        <v>0</v>
      </c>
      <c r="AP945">
        <f t="shared" si="466"/>
        <v>0</v>
      </c>
      <c r="AQ945">
        <f t="shared" ca="1" si="458"/>
        <v>1.0000000000000004</v>
      </c>
      <c r="AR945" t="str">
        <f t="shared" ca="1" si="459"/>
        <v>Supercritical</v>
      </c>
      <c r="AS945">
        <f t="shared" ca="1" si="460"/>
        <v>3.8141460404132466E-3</v>
      </c>
    </row>
    <row r="946" spans="1:45" x14ac:dyDescent="0.35">
      <c r="A946">
        <v>885</v>
      </c>
      <c r="B946">
        <v>883.99599999999998</v>
      </c>
      <c r="C946">
        <v>616086.19499999995</v>
      </c>
      <c r="D946">
        <v>3097122.9530000002</v>
      </c>
      <c r="E946">
        <v>632.12099999999998</v>
      </c>
      <c r="F946">
        <v>5.2</v>
      </c>
      <c r="G946">
        <v>0</v>
      </c>
      <c r="H946" t="s">
        <v>154</v>
      </c>
      <c r="I946">
        <v>5.7000000000000002E-2</v>
      </c>
      <c r="J946">
        <f t="shared" si="461"/>
        <v>1</v>
      </c>
      <c r="K946">
        <f t="shared" ca="1" si="462"/>
        <v>50.95</v>
      </c>
      <c r="L946">
        <f t="shared" ca="1" si="463"/>
        <v>2.1389677043987478</v>
      </c>
      <c r="M946">
        <f t="shared" ca="1" si="436"/>
        <v>11.122632062873489</v>
      </c>
      <c r="N946">
        <f t="shared" ca="1" si="437"/>
        <v>1.1735290000551568</v>
      </c>
      <c r="O946">
        <f t="shared" ca="1" si="438"/>
        <v>4.5807502857230418</v>
      </c>
      <c r="P946">
        <f t="shared" ca="1" si="439"/>
        <v>634.25996770439872</v>
      </c>
      <c r="Q946">
        <f t="shared" ca="1" si="440"/>
        <v>635.32945155659809</v>
      </c>
      <c r="R946">
        <f t="shared" ca="1" si="441"/>
        <v>3.8141460404132466E-3</v>
      </c>
      <c r="S946">
        <f t="shared" ca="1" si="442"/>
        <v>1.0000000000000004</v>
      </c>
      <c r="T946">
        <f t="shared" ca="1" si="443"/>
        <v>35.686426155594638</v>
      </c>
      <c r="U946">
        <f t="shared" ca="1" si="464"/>
        <v>-3.4157470064428708E-3</v>
      </c>
      <c r="V946">
        <f t="shared" ca="1" si="465"/>
        <v>1</v>
      </c>
      <c r="W946">
        <f t="shared" ca="1" si="444"/>
        <v>2.1378005222448384</v>
      </c>
      <c r="X946">
        <f t="shared" ca="1" si="445"/>
        <v>11.11656271567316</v>
      </c>
      <c r="Y946">
        <f t="shared" ca="1" si="446"/>
        <v>1.1731775813986751</v>
      </c>
      <c r="Z946">
        <f t="shared" ca="1" si="447"/>
        <v>4.5832512533902205</v>
      </c>
      <c r="AA946">
        <f t="shared" ca="1" si="448"/>
        <v>634.25880052224477</v>
      </c>
      <c r="AB946">
        <f t="shared" ca="1" si="449"/>
        <v>635.32945251264755</v>
      </c>
      <c r="AC946">
        <f t="shared" ca="1" si="450"/>
        <v>3.8198371026169375E-3</v>
      </c>
      <c r="AD946">
        <f t="shared" ca="1" si="451"/>
        <v>1.000819071826297</v>
      </c>
      <c r="AE946">
        <f t="shared" ca="1" si="452"/>
        <v>35.686436785512939</v>
      </c>
      <c r="AF946">
        <f t="shared" ca="1" si="453"/>
        <v>3.3198371025946471E-3</v>
      </c>
      <c r="AG946">
        <f t="shared" ca="1" si="454"/>
        <v>0</v>
      </c>
      <c r="AH946">
        <f ca="1">IFERROR(IF(V32="Supercritical",MAX($D$16,IFERROR(L946,MAX($D$16,POWER((ABS(K946)^2)/($I$5*MAX(F946,0.1)^2),1/3)))),IF(V32="Subcritical",MAX($D$16,IFERROR(W946,MAX($D$16,POWER((ABS(K946)^2)/($I$5*MAX(F946,0.1)^2),1/3)))),IF(AND(IFERROR(V946,0)=1,IFERROR(AG946,0)=1),IF(IFERROR(T946,-1E+99)&gt;=IFERROR(AE946,-1E+99),MAX($D$16,IFERROR(L946,MAX($D$16,POWER((ABS(K946)^2)/($I$5*MAX(F946,0.1)^2),1/3)))),MAX($D$16,IFERROR(W946,MAX($D$16,POWER((ABS(K946)^2)/($I$5*MAX(F946,0.1)^2),1/3))))),IF(IFERROR(V946,0)=1,MAX($D$16,IFERROR(L946,MAX($D$16,POWER((ABS(K946)^2)/($I$5*MAX(F946,0.1)^2),1/3)))),IF(IFERROR(AG946,0)=1,MAX($D$16,IFERROR(W946,MAX($D$16,POWER((ABS(K946)^2)/($I$5*MAX(F946,0.1)^2),1/3)))),MAX($D$16,POWER((ABS(K946)^2)/($I$5*MAX(F946,0.1)^2),1/3))))))),MAX($D$16,POWER((ABS(K946)^2)/($I$5*MAX(F946,0.1)^2),1/3)))</f>
        <v>2.1389677043987478</v>
      </c>
      <c r="AI946">
        <f t="shared" ca="1" si="455"/>
        <v>634.25996770439872</v>
      </c>
      <c r="AJ946">
        <f t="shared" ca="1" si="456"/>
        <v>635.32945155659809</v>
      </c>
      <c r="AM946">
        <v>0</v>
      </c>
      <c r="AN946">
        <v>0</v>
      </c>
      <c r="AO946">
        <f t="shared" si="457"/>
        <v>0</v>
      </c>
      <c r="AP946">
        <f t="shared" si="466"/>
        <v>0</v>
      </c>
      <c r="AQ946">
        <f t="shared" ca="1" si="458"/>
        <v>1.0000000000000004</v>
      </c>
      <c r="AR946" t="str">
        <f t="shared" ca="1" si="459"/>
        <v>Supercritical</v>
      </c>
      <c r="AS946">
        <f t="shared" ca="1" si="460"/>
        <v>3.8141460404132466E-3</v>
      </c>
    </row>
    <row r="947" spans="1:45" x14ac:dyDescent="0.35">
      <c r="A947">
        <v>886</v>
      </c>
      <c r="B947">
        <v>884.99599999999998</v>
      </c>
      <c r="C947">
        <v>616086.15300000005</v>
      </c>
      <c r="D947">
        <v>3097121.9539999999</v>
      </c>
      <c r="E947">
        <v>632.12049999999999</v>
      </c>
      <c r="F947">
        <v>5.2</v>
      </c>
      <c r="G947">
        <v>0</v>
      </c>
      <c r="H947" t="s">
        <v>154</v>
      </c>
      <c r="I947">
        <v>0</v>
      </c>
      <c r="J947">
        <f t="shared" si="461"/>
        <v>1</v>
      </c>
      <c r="K947">
        <f t="shared" ca="1" si="462"/>
        <v>50.95</v>
      </c>
      <c r="L947">
        <f t="shared" ca="1" si="463"/>
        <v>2.1389677043987478</v>
      </c>
      <c r="M947">
        <f t="shared" ca="1" si="436"/>
        <v>11.122632062873489</v>
      </c>
      <c r="N947">
        <f t="shared" ca="1" si="437"/>
        <v>1.1735290000551568</v>
      </c>
      <c r="O947">
        <f t="shared" ca="1" si="438"/>
        <v>4.5807502857230418</v>
      </c>
      <c r="P947">
        <f t="shared" ca="1" si="439"/>
        <v>634.25946770439873</v>
      </c>
      <c r="Q947">
        <f t="shared" ca="1" si="440"/>
        <v>635.3289515565981</v>
      </c>
      <c r="R947">
        <f t="shared" ca="1" si="441"/>
        <v>3.8141460404132466E-3</v>
      </c>
      <c r="S947">
        <f t="shared" ca="1" si="442"/>
        <v>1.0000000000000004</v>
      </c>
      <c r="T947">
        <f t="shared" ca="1" si="443"/>
        <v>35.686426155594638</v>
      </c>
      <c r="U947">
        <f t="shared" ca="1" si="464"/>
        <v>-3.3141460404522149E-3</v>
      </c>
      <c r="V947">
        <f t="shared" ca="1" si="465"/>
        <v>1</v>
      </c>
      <c r="W947">
        <f t="shared" ca="1" si="444"/>
        <v>2.137858888610531</v>
      </c>
      <c r="X947">
        <f t="shared" ca="1" si="445"/>
        <v>11.116866220774762</v>
      </c>
      <c r="Y947">
        <f t="shared" ca="1" si="446"/>
        <v>1.1731951586294498</v>
      </c>
      <c r="Z947">
        <f t="shared" ca="1" si="447"/>
        <v>4.5831261245895583</v>
      </c>
      <c r="AA947">
        <f t="shared" ca="1" si="448"/>
        <v>634.25835888861047</v>
      </c>
      <c r="AB947">
        <f t="shared" ca="1" si="449"/>
        <v>635.32895241939002</v>
      </c>
      <c r="AC947">
        <f t="shared" ca="1" si="450"/>
        <v>3.8195522297518182E-3</v>
      </c>
      <c r="AD947">
        <f t="shared" ca="1" si="451"/>
        <v>1.0007780865861919</v>
      </c>
      <c r="AE947">
        <f t="shared" ca="1" si="452"/>
        <v>35.686435748795674</v>
      </c>
      <c r="AF947">
        <f t="shared" ca="1" si="453"/>
        <v>3.3157326774926332E-3</v>
      </c>
      <c r="AG947">
        <f t="shared" ca="1" si="454"/>
        <v>0</v>
      </c>
      <c r="AH947">
        <f ca="1">IFERROR(IF(V32="Supercritical",MAX($D$16,IFERROR(L947,MAX($D$16,POWER((ABS(K947)^2)/($I$5*MAX(F947,0.1)^2),1/3)))),IF(V32="Subcritical",MAX($D$16,IFERROR(W947,MAX($D$16,POWER((ABS(K947)^2)/($I$5*MAX(F947,0.1)^2),1/3)))),IF(AND(IFERROR(V947,0)=1,IFERROR(AG947,0)=1),IF(IFERROR(T947,-1E+99)&gt;=IFERROR(AE947,-1E+99),MAX($D$16,IFERROR(L947,MAX($D$16,POWER((ABS(K947)^2)/($I$5*MAX(F947,0.1)^2),1/3)))),MAX($D$16,IFERROR(W947,MAX($D$16,POWER((ABS(K947)^2)/($I$5*MAX(F947,0.1)^2),1/3))))),IF(IFERROR(V947,0)=1,MAX($D$16,IFERROR(L947,MAX($D$16,POWER((ABS(K947)^2)/($I$5*MAX(F947,0.1)^2),1/3)))),IF(IFERROR(AG947,0)=1,MAX($D$16,IFERROR(W947,MAX($D$16,POWER((ABS(K947)^2)/($I$5*MAX(F947,0.1)^2),1/3)))),MAX($D$16,POWER((ABS(K947)^2)/($I$5*MAX(F947,0.1)^2),1/3))))))),MAX($D$16,POWER((ABS(K947)^2)/($I$5*MAX(F947,0.1)^2),1/3)))</f>
        <v>2.1389677043987478</v>
      </c>
      <c r="AI947">
        <f t="shared" ca="1" si="455"/>
        <v>634.25946770439873</v>
      </c>
      <c r="AJ947">
        <f t="shared" ca="1" si="456"/>
        <v>635.3289515565981</v>
      </c>
      <c r="AM947">
        <v>0</v>
      </c>
      <c r="AN947">
        <v>0</v>
      </c>
      <c r="AO947">
        <f t="shared" si="457"/>
        <v>0</v>
      </c>
      <c r="AP947">
        <f t="shared" si="466"/>
        <v>0</v>
      </c>
      <c r="AQ947">
        <f t="shared" ca="1" si="458"/>
        <v>1.0000000000000004</v>
      </c>
      <c r="AR947" t="str">
        <f t="shared" ca="1" si="459"/>
        <v>Supercritical</v>
      </c>
      <c r="AS947">
        <f t="shared" ca="1" si="460"/>
        <v>3.8141460404132466E-3</v>
      </c>
    </row>
    <row r="948" spans="1:45" x14ac:dyDescent="0.35">
      <c r="A948">
        <v>887</v>
      </c>
      <c r="B948">
        <v>885.995</v>
      </c>
      <c r="C948">
        <v>616086.11100000003</v>
      </c>
      <c r="D948">
        <v>3097120.9550000001</v>
      </c>
      <c r="E948">
        <v>632.12</v>
      </c>
      <c r="F948">
        <v>5.2</v>
      </c>
      <c r="G948">
        <v>0</v>
      </c>
      <c r="H948" t="s">
        <v>154</v>
      </c>
      <c r="I948">
        <v>0</v>
      </c>
      <c r="J948">
        <f t="shared" si="461"/>
        <v>0.99900000000002365</v>
      </c>
      <c r="K948">
        <f t="shared" ca="1" si="462"/>
        <v>50.95</v>
      </c>
      <c r="L948">
        <f t="shared" ca="1" si="463"/>
        <v>2.1389677043987478</v>
      </c>
      <c r="M948">
        <f t="shared" ca="1" si="436"/>
        <v>11.122632062873489</v>
      </c>
      <c r="N948">
        <f t="shared" ca="1" si="437"/>
        <v>1.1735290000551568</v>
      </c>
      <c r="O948">
        <f t="shared" ca="1" si="438"/>
        <v>4.5807502857230418</v>
      </c>
      <c r="P948">
        <f t="shared" ca="1" si="439"/>
        <v>634.25896770439874</v>
      </c>
      <c r="Q948">
        <f t="shared" ca="1" si="440"/>
        <v>635.32845155659811</v>
      </c>
      <c r="R948">
        <f t="shared" ca="1" si="441"/>
        <v>3.8141460404132466E-3</v>
      </c>
      <c r="S948">
        <f t="shared" ca="1" si="442"/>
        <v>1.0000000000000004</v>
      </c>
      <c r="T948">
        <f t="shared" ca="1" si="443"/>
        <v>35.686426155594638</v>
      </c>
      <c r="U948">
        <f t="shared" ca="1" si="464"/>
        <v>-3.3103318943403792E-3</v>
      </c>
      <c r="V948">
        <f t="shared" ca="1" si="465"/>
        <v>1</v>
      </c>
      <c r="W948">
        <f t="shared" ca="1" si="444"/>
        <v>2.1372665551229364</v>
      </c>
      <c r="X948">
        <f t="shared" ca="1" si="445"/>
        <v>11.113786086639269</v>
      </c>
      <c r="Y948">
        <f t="shared" ca="1" si="446"/>
        <v>1.1730167552658284</v>
      </c>
      <c r="Z948">
        <f t="shared" ca="1" si="447"/>
        <v>4.5843963166837343</v>
      </c>
      <c r="AA948">
        <f t="shared" ca="1" si="448"/>
        <v>634.2572665551229</v>
      </c>
      <c r="AB948">
        <f t="shared" ca="1" si="449"/>
        <v>635.32845358817201</v>
      </c>
      <c r="AC948">
        <f t="shared" ca="1" si="450"/>
        <v>3.8224446654273924E-3</v>
      </c>
      <c r="AD948">
        <f t="shared" ca="1" si="451"/>
        <v>1.0011941569005629</v>
      </c>
      <c r="AE948">
        <f t="shared" ca="1" si="452"/>
        <v>35.686448740061394</v>
      </c>
      <c r="AF948">
        <f t="shared" ca="1" si="453"/>
        <v>3.4242074335679717E-3</v>
      </c>
      <c r="AG948">
        <f t="shared" ca="1" si="454"/>
        <v>0</v>
      </c>
      <c r="AH948">
        <f ca="1">IFERROR(IF(V32="Supercritical",MAX($D$16,IFERROR(L948,MAX($D$16,POWER((ABS(K948)^2)/($I$5*MAX(F948,0.1)^2),1/3)))),IF(V32="Subcritical",MAX($D$16,IFERROR(W948,MAX($D$16,POWER((ABS(K948)^2)/($I$5*MAX(F948,0.1)^2),1/3)))),IF(AND(IFERROR(V948,0)=1,IFERROR(AG948,0)=1),IF(IFERROR(T948,-1E+99)&gt;=IFERROR(AE948,-1E+99),MAX($D$16,IFERROR(L948,MAX($D$16,POWER((ABS(K948)^2)/($I$5*MAX(F948,0.1)^2),1/3)))),MAX($D$16,IFERROR(W948,MAX($D$16,POWER((ABS(K948)^2)/($I$5*MAX(F948,0.1)^2),1/3))))),IF(IFERROR(V948,0)=1,MAX($D$16,IFERROR(L948,MAX($D$16,POWER((ABS(K948)^2)/($I$5*MAX(F948,0.1)^2),1/3)))),IF(IFERROR(AG948,0)=1,MAX($D$16,IFERROR(W948,MAX($D$16,POWER((ABS(K948)^2)/($I$5*MAX(F948,0.1)^2),1/3)))),MAX($D$16,POWER((ABS(K948)^2)/($I$5*MAX(F948,0.1)^2),1/3))))))),MAX($D$16,POWER((ABS(K948)^2)/($I$5*MAX(F948,0.1)^2),1/3)))</f>
        <v>2.1389677043987478</v>
      </c>
      <c r="AI948">
        <f t="shared" ca="1" si="455"/>
        <v>634.25896770439874</v>
      </c>
      <c r="AJ948">
        <f t="shared" ca="1" si="456"/>
        <v>635.32845155659811</v>
      </c>
      <c r="AM948">
        <v>0</v>
      </c>
      <c r="AN948">
        <v>0</v>
      </c>
      <c r="AO948">
        <f t="shared" si="457"/>
        <v>0</v>
      </c>
      <c r="AP948">
        <f t="shared" si="466"/>
        <v>0</v>
      </c>
      <c r="AQ948">
        <f t="shared" ca="1" si="458"/>
        <v>1.0000000000000004</v>
      </c>
      <c r="AR948" t="str">
        <f t="shared" ca="1" si="459"/>
        <v>Supercritical</v>
      </c>
      <c r="AS948">
        <f t="shared" ca="1" si="460"/>
        <v>3.8141460404132466E-3</v>
      </c>
    </row>
    <row r="949" spans="1:45" x14ac:dyDescent="0.35">
      <c r="A949">
        <v>888</v>
      </c>
      <c r="B949">
        <v>886.995</v>
      </c>
      <c r="C949">
        <v>616086.06900000002</v>
      </c>
      <c r="D949">
        <v>3097119.9559999998</v>
      </c>
      <c r="E949">
        <v>632.11950000000002</v>
      </c>
      <c r="F949">
        <v>5.2</v>
      </c>
      <c r="G949">
        <v>0</v>
      </c>
      <c r="H949" t="s">
        <v>154</v>
      </c>
      <c r="I949">
        <v>5.7000000000000002E-2</v>
      </c>
      <c r="J949">
        <f t="shared" si="461"/>
        <v>1</v>
      </c>
      <c r="K949">
        <f t="shared" ca="1" si="462"/>
        <v>50.95</v>
      </c>
      <c r="L949">
        <f t="shared" ca="1" si="463"/>
        <v>2.1389677043987478</v>
      </c>
      <c r="M949">
        <f t="shared" ca="1" si="436"/>
        <v>11.122632062873489</v>
      </c>
      <c r="N949">
        <f t="shared" ca="1" si="437"/>
        <v>1.1735290000551568</v>
      </c>
      <c r="O949">
        <f t="shared" ca="1" si="438"/>
        <v>4.5807502857230418</v>
      </c>
      <c r="P949">
        <f t="shared" ca="1" si="439"/>
        <v>634.25846770439875</v>
      </c>
      <c r="Q949">
        <f t="shared" ca="1" si="440"/>
        <v>635.32795155659812</v>
      </c>
      <c r="R949">
        <f t="shared" ca="1" si="441"/>
        <v>3.8141460404132466E-3</v>
      </c>
      <c r="S949">
        <f t="shared" ca="1" si="442"/>
        <v>1.0000000000000004</v>
      </c>
      <c r="T949">
        <f t="shared" ca="1" si="443"/>
        <v>35.686426155594638</v>
      </c>
      <c r="U949">
        <f t="shared" ca="1" si="464"/>
        <v>-3.4157470064428708E-3</v>
      </c>
      <c r="V949">
        <f t="shared" ca="1" si="465"/>
        <v>1</v>
      </c>
      <c r="W949">
        <f t="shared" ca="1" si="444"/>
        <v>2.1366474724178364</v>
      </c>
      <c r="X949">
        <f t="shared" ca="1" si="445"/>
        <v>11.110566856572749</v>
      </c>
      <c r="Y949">
        <f t="shared" ca="1" si="446"/>
        <v>1.1728302476879631</v>
      </c>
      <c r="Z949">
        <f t="shared" ca="1" si="447"/>
        <v>4.5857246221293551</v>
      </c>
      <c r="AA949">
        <f t="shared" ca="1" si="448"/>
        <v>634.25614747241787</v>
      </c>
      <c r="AB949">
        <f t="shared" ca="1" si="449"/>
        <v>635.3279553373518</v>
      </c>
      <c r="AC949">
        <f t="shared" ca="1" si="450"/>
        <v>3.8254710233067988E-3</v>
      </c>
      <c r="AD949">
        <f t="shared" ca="1" si="451"/>
        <v>1.0016293247677825</v>
      </c>
      <c r="AE949">
        <f t="shared" ca="1" si="452"/>
        <v>35.686468177110285</v>
      </c>
      <c r="AF949">
        <f t="shared" ca="1" si="453"/>
        <v>3.4272927705387701E-3</v>
      </c>
      <c r="AG949">
        <f t="shared" ca="1" si="454"/>
        <v>0</v>
      </c>
      <c r="AH949">
        <f ca="1">IFERROR(IF(V32="Supercritical",MAX($D$16,IFERROR(L949,MAX($D$16,POWER((ABS(K949)^2)/($I$5*MAX(F949,0.1)^2),1/3)))),IF(V32="Subcritical",MAX($D$16,IFERROR(W949,MAX($D$16,POWER((ABS(K949)^2)/($I$5*MAX(F949,0.1)^2),1/3)))),IF(AND(IFERROR(V949,0)=1,IFERROR(AG949,0)=1),IF(IFERROR(T949,-1E+99)&gt;=IFERROR(AE949,-1E+99),MAX($D$16,IFERROR(L949,MAX($D$16,POWER((ABS(K949)^2)/($I$5*MAX(F949,0.1)^2),1/3)))),MAX($D$16,IFERROR(W949,MAX($D$16,POWER((ABS(K949)^2)/($I$5*MAX(F949,0.1)^2),1/3))))),IF(IFERROR(V949,0)=1,MAX($D$16,IFERROR(L949,MAX($D$16,POWER((ABS(K949)^2)/($I$5*MAX(F949,0.1)^2),1/3)))),IF(IFERROR(AG949,0)=1,MAX($D$16,IFERROR(W949,MAX($D$16,POWER((ABS(K949)^2)/($I$5*MAX(F949,0.1)^2),1/3)))),MAX($D$16,POWER((ABS(K949)^2)/($I$5*MAX(F949,0.1)^2),1/3))))))),MAX($D$16,POWER((ABS(K949)^2)/($I$5*MAX(F949,0.1)^2),1/3)))</f>
        <v>2.1389677043987478</v>
      </c>
      <c r="AI949">
        <f t="shared" ca="1" si="455"/>
        <v>634.25846770439875</v>
      </c>
      <c r="AJ949">
        <f t="shared" ca="1" si="456"/>
        <v>635.32795155659812</v>
      </c>
      <c r="AM949">
        <v>0</v>
      </c>
      <c r="AN949">
        <v>0</v>
      </c>
      <c r="AO949">
        <f t="shared" si="457"/>
        <v>0</v>
      </c>
      <c r="AP949">
        <f t="shared" si="466"/>
        <v>0</v>
      </c>
      <c r="AQ949">
        <f t="shared" ca="1" si="458"/>
        <v>1.0000000000000004</v>
      </c>
      <c r="AR949" t="str">
        <f t="shared" ca="1" si="459"/>
        <v>Supercritical</v>
      </c>
      <c r="AS949">
        <f t="shared" ca="1" si="460"/>
        <v>3.8141460404132466E-3</v>
      </c>
    </row>
    <row r="950" spans="1:45" x14ac:dyDescent="0.35">
      <c r="A950">
        <v>889</v>
      </c>
      <c r="B950">
        <v>887.995</v>
      </c>
      <c r="C950">
        <v>616086.02599999995</v>
      </c>
      <c r="D950">
        <v>3097118.9569999999</v>
      </c>
      <c r="E950">
        <v>632.11900000000003</v>
      </c>
      <c r="F950">
        <v>5.2</v>
      </c>
      <c r="G950">
        <v>0</v>
      </c>
      <c r="H950" t="s">
        <v>154</v>
      </c>
      <c r="I950">
        <v>5.7000000000000002E-2</v>
      </c>
      <c r="J950">
        <f t="shared" si="461"/>
        <v>1</v>
      </c>
      <c r="K950">
        <f t="shared" ca="1" si="462"/>
        <v>50.95</v>
      </c>
      <c r="L950">
        <f t="shared" ca="1" si="463"/>
        <v>2.1389677043987478</v>
      </c>
      <c r="M950">
        <f t="shared" ca="1" si="436"/>
        <v>11.122632062873489</v>
      </c>
      <c r="N950">
        <f t="shared" ca="1" si="437"/>
        <v>1.1735290000551568</v>
      </c>
      <c r="O950">
        <f t="shared" ca="1" si="438"/>
        <v>4.5807502857230418</v>
      </c>
      <c r="P950">
        <f t="shared" ca="1" si="439"/>
        <v>634.25796770439877</v>
      </c>
      <c r="Q950">
        <f t="shared" ca="1" si="440"/>
        <v>635.32745155659813</v>
      </c>
      <c r="R950">
        <f t="shared" ca="1" si="441"/>
        <v>3.8141460404132466E-3</v>
      </c>
      <c r="S950">
        <f t="shared" ca="1" si="442"/>
        <v>1.0000000000000004</v>
      </c>
      <c r="T950">
        <f t="shared" ca="1" si="443"/>
        <v>35.686426155594638</v>
      </c>
      <c r="U950">
        <f t="shared" ca="1" si="464"/>
        <v>-3.4157470064428708E-3</v>
      </c>
      <c r="V950">
        <f t="shared" ca="1" si="465"/>
        <v>1</v>
      </c>
      <c r="W950">
        <f t="shared" ca="1" si="444"/>
        <v>2.1360004876780567</v>
      </c>
      <c r="X950">
        <f t="shared" ca="1" si="445"/>
        <v>11.107202535925895</v>
      </c>
      <c r="Y950">
        <f t="shared" ca="1" si="446"/>
        <v>1.172635282114538</v>
      </c>
      <c r="Z950">
        <f t="shared" ca="1" si="447"/>
        <v>4.5871136170609876</v>
      </c>
      <c r="AA950">
        <f t="shared" ca="1" si="448"/>
        <v>634.2550004876781</v>
      </c>
      <c r="AB950">
        <f t="shared" ca="1" si="449"/>
        <v>635.32745774230739</v>
      </c>
      <c r="AC950">
        <f t="shared" ca="1" si="450"/>
        <v>3.8286373912925315E-3</v>
      </c>
      <c r="AD950">
        <f t="shared" ca="1" si="451"/>
        <v>1.0020844426116007</v>
      </c>
      <c r="AE950">
        <f t="shared" ca="1" si="452"/>
        <v>35.686494893319093</v>
      </c>
      <c r="AF950">
        <f t="shared" ca="1" si="453"/>
        <v>3.3322122487788874E-3</v>
      </c>
      <c r="AG950">
        <f t="shared" ca="1" si="454"/>
        <v>0</v>
      </c>
      <c r="AH950">
        <f ca="1">IFERROR(IF(V32="Supercritical",MAX($D$16,IFERROR(L950,MAX($D$16,POWER((ABS(K950)^2)/($I$5*MAX(F950,0.1)^2),1/3)))),IF(V32="Subcritical",MAX($D$16,IFERROR(W950,MAX($D$16,POWER((ABS(K950)^2)/($I$5*MAX(F950,0.1)^2),1/3)))),IF(AND(IFERROR(V950,0)=1,IFERROR(AG950,0)=1),IF(IFERROR(T950,-1E+99)&gt;=IFERROR(AE950,-1E+99),MAX($D$16,IFERROR(L950,MAX($D$16,POWER((ABS(K950)^2)/($I$5*MAX(F950,0.1)^2),1/3)))),MAX($D$16,IFERROR(W950,MAX($D$16,POWER((ABS(K950)^2)/($I$5*MAX(F950,0.1)^2),1/3))))),IF(IFERROR(V950,0)=1,MAX($D$16,IFERROR(L950,MAX($D$16,POWER((ABS(K950)^2)/($I$5*MAX(F950,0.1)^2),1/3)))),IF(IFERROR(AG950,0)=1,MAX($D$16,IFERROR(W950,MAX($D$16,POWER((ABS(K950)^2)/($I$5*MAX(F950,0.1)^2),1/3)))),MAX($D$16,POWER((ABS(K950)^2)/($I$5*MAX(F950,0.1)^2),1/3))))))),MAX($D$16,POWER((ABS(K950)^2)/($I$5*MAX(F950,0.1)^2),1/3)))</f>
        <v>2.1389677043987478</v>
      </c>
      <c r="AI950">
        <f t="shared" ca="1" si="455"/>
        <v>634.25796770439877</v>
      </c>
      <c r="AJ950">
        <f t="shared" ca="1" si="456"/>
        <v>635.32745155659813</v>
      </c>
      <c r="AM950">
        <v>0</v>
      </c>
      <c r="AN950">
        <v>0</v>
      </c>
      <c r="AO950">
        <f t="shared" si="457"/>
        <v>0</v>
      </c>
      <c r="AP950">
        <f t="shared" si="466"/>
        <v>0</v>
      </c>
      <c r="AQ950">
        <f t="shared" ca="1" si="458"/>
        <v>1.0000000000000004</v>
      </c>
      <c r="AR950" t="str">
        <f t="shared" ca="1" si="459"/>
        <v>Supercritical</v>
      </c>
      <c r="AS950">
        <f t="shared" ca="1" si="460"/>
        <v>3.8141460404132466E-3</v>
      </c>
    </row>
    <row r="951" spans="1:45" x14ac:dyDescent="0.35">
      <c r="A951">
        <v>890</v>
      </c>
      <c r="B951">
        <v>888.995</v>
      </c>
      <c r="C951">
        <v>616085.98400000005</v>
      </c>
      <c r="D951">
        <v>3097117.9580000001</v>
      </c>
      <c r="E951">
        <v>632.11850000000004</v>
      </c>
      <c r="F951">
        <v>5.2</v>
      </c>
      <c r="G951">
        <v>0</v>
      </c>
      <c r="H951" t="s">
        <v>154</v>
      </c>
      <c r="I951">
        <v>2E-3</v>
      </c>
      <c r="J951">
        <f t="shared" si="461"/>
        <v>1</v>
      </c>
      <c r="K951">
        <f t="shared" ca="1" si="462"/>
        <v>50.95</v>
      </c>
      <c r="L951">
        <f t="shared" ca="1" si="463"/>
        <v>2.1389677043987478</v>
      </c>
      <c r="M951">
        <f t="shared" ca="1" si="436"/>
        <v>11.122632062873489</v>
      </c>
      <c r="N951">
        <f t="shared" ca="1" si="437"/>
        <v>1.1735290000551568</v>
      </c>
      <c r="O951">
        <f t="shared" ca="1" si="438"/>
        <v>4.5807502857230418</v>
      </c>
      <c r="P951">
        <f t="shared" ca="1" si="439"/>
        <v>634.25746770439878</v>
      </c>
      <c r="Q951">
        <f t="shared" ca="1" si="440"/>
        <v>635.32695155659815</v>
      </c>
      <c r="R951">
        <f t="shared" ca="1" si="441"/>
        <v>3.8141460404132466E-3</v>
      </c>
      <c r="S951">
        <f t="shared" ca="1" si="442"/>
        <v>1.0000000000000004</v>
      </c>
      <c r="T951">
        <f t="shared" ca="1" si="443"/>
        <v>35.686426155594638</v>
      </c>
      <c r="U951">
        <f t="shared" ca="1" si="464"/>
        <v>-3.3177109866073806E-3</v>
      </c>
      <c r="V951">
        <f t="shared" ca="1" si="465"/>
        <v>1</v>
      </c>
      <c r="W951">
        <f t="shared" ca="1" si="444"/>
        <v>2.1353244036677084</v>
      </c>
      <c r="X951">
        <f t="shared" ca="1" si="445"/>
        <v>11.103686899072084</v>
      </c>
      <c r="Y951">
        <f t="shared" ca="1" si="446"/>
        <v>1.1724314906991178</v>
      </c>
      <c r="Z951">
        <f t="shared" ca="1" si="447"/>
        <v>4.5885659838137016</v>
      </c>
      <c r="AA951">
        <f t="shared" ca="1" si="448"/>
        <v>634.25382440366775</v>
      </c>
      <c r="AB951">
        <f t="shared" ca="1" si="449"/>
        <v>635.32696088622697</v>
      </c>
      <c r="AC951">
        <f t="shared" ca="1" si="450"/>
        <v>3.8319501228014979E-3</v>
      </c>
      <c r="AD951">
        <f t="shared" ca="1" si="451"/>
        <v>1.0025603985540312</v>
      </c>
      <c r="AE951">
        <f t="shared" ca="1" si="452"/>
        <v>35.686529807755583</v>
      </c>
      <c r="AF951">
        <f t="shared" ca="1" si="453"/>
        <v>3.4430957211952773E-3</v>
      </c>
      <c r="AG951">
        <f t="shared" ca="1" si="454"/>
        <v>0</v>
      </c>
      <c r="AH951">
        <f ca="1">IFERROR(IF(V32="Supercritical",MAX($D$16,IFERROR(L951,MAX($D$16,POWER((ABS(K951)^2)/($I$5*MAX(F951,0.1)^2),1/3)))),IF(V32="Subcritical",MAX($D$16,IFERROR(W951,MAX($D$16,POWER((ABS(K951)^2)/($I$5*MAX(F951,0.1)^2),1/3)))),IF(AND(IFERROR(V951,0)=1,IFERROR(AG951,0)=1),IF(IFERROR(T951,-1E+99)&gt;=IFERROR(AE951,-1E+99),MAX($D$16,IFERROR(L951,MAX($D$16,POWER((ABS(K951)^2)/($I$5*MAX(F951,0.1)^2),1/3)))),MAX($D$16,IFERROR(W951,MAX($D$16,POWER((ABS(K951)^2)/($I$5*MAX(F951,0.1)^2),1/3))))),IF(IFERROR(V951,0)=1,MAX($D$16,IFERROR(L951,MAX($D$16,POWER((ABS(K951)^2)/($I$5*MAX(F951,0.1)^2),1/3)))),IF(IFERROR(AG951,0)=1,MAX($D$16,IFERROR(W951,MAX($D$16,POWER((ABS(K951)^2)/($I$5*MAX(F951,0.1)^2),1/3)))),MAX($D$16,POWER((ABS(K951)^2)/($I$5*MAX(F951,0.1)^2),1/3))))))),MAX($D$16,POWER((ABS(K951)^2)/($I$5*MAX(F951,0.1)^2),1/3)))</f>
        <v>2.1389677043987478</v>
      </c>
      <c r="AI951">
        <f t="shared" ca="1" si="455"/>
        <v>634.25746770439878</v>
      </c>
      <c r="AJ951">
        <f t="shared" ca="1" si="456"/>
        <v>635.32695155659815</v>
      </c>
      <c r="AM951">
        <v>0</v>
      </c>
      <c r="AN951">
        <v>0</v>
      </c>
      <c r="AO951">
        <f t="shared" si="457"/>
        <v>0</v>
      </c>
      <c r="AP951">
        <f t="shared" si="466"/>
        <v>0</v>
      </c>
      <c r="AQ951">
        <f t="shared" ca="1" si="458"/>
        <v>1.0000000000000004</v>
      </c>
      <c r="AR951" t="str">
        <f t="shared" ca="1" si="459"/>
        <v>Supercritical</v>
      </c>
      <c r="AS951">
        <f t="shared" ca="1" si="460"/>
        <v>3.8141460404132466E-3</v>
      </c>
    </row>
    <row r="952" spans="1:45" x14ac:dyDescent="0.35">
      <c r="A952">
        <v>891</v>
      </c>
      <c r="B952">
        <v>889.99599999999998</v>
      </c>
      <c r="C952">
        <v>616085.94200000004</v>
      </c>
      <c r="D952">
        <v>3097116.9580000001</v>
      </c>
      <c r="E952">
        <v>632.11800000000005</v>
      </c>
      <c r="F952">
        <v>5.2</v>
      </c>
      <c r="G952">
        <v>0</v>
      </c>
      <c r="H952" t="s">
        <v>154</v>
      </c>
      <c r="I952">
        <v>0.06</v>
      </c>
      <c r="J952">
        <f t="shared" si="461"/>
        <v>1.0009999999999764</v>
      </c>
      <c r="K952">
        <f t="shared" ca="1" si="462"/>
        <v>50.95</v>
      </c>
      <c r="L952">
        <f t="shared" ca="1" si="463"/>
        <v>2.1389677043987478</v>
      </c>
      <c r="M952">
        <f t="shared" ca="1" si="436"/>
        <v>11.122632062873489</v>
      </c>
      <c r="N952">
        <f t="shared" ca="1" si="437"/>
        <v>1.1735290000551568</v>
      </c>
      <c r="O952">
        <f t="shared" ca="1" si="438"/>
        <v>4.5807502857230418</v>
      </c>
      <c r="P952">
        <f t="shared" ca="1" si="439"/>
        <v>634.25696770439879</v>
      </c>
      <c r="Q952">
        <f t="shared" ca="1" si="440"/>
        <v>635.32645155659816</v>
      </c>
      <c r="R952">
        <f t="shared" ca="1" si="441"/>
        <v>3.8141460404132466E-3</v>
      </c>
      <c r="S952">
        <f t="shared" ca="1" si="442"/>
        <v>1.0000000000000004</v>
      </c>
      <c r="T952">
        <f t="shared" ca="1" si="443"/>
        <v>35.686426155594638</v>
      </c>
      <c r="U952">
        <f t="shared" ca="1" si="464"/>
        <v>-3.4249085716737682E-3</v>
      </c>
      <c r="V952">
        <f t="shared" ca="1" si="465"/>
        <v>1</v>
      </c>
      <c r="W952">
        <f t="shared" ca="1" si="444"/>
        <v>2.1346179775335985</v>
      </c>
      <c r="X952">
        <f t="shared" ca="1" si="445"/>
        <v>11.100013483174713</v>
      </c>
      <c r="Y952">
        <f t="shared" ca="1" si="446"/>
        <v>1.1722184911059113</v>
      </c>
      <c r="Z952">
        <f t="shared" ca="1" si="447"/>
        <v>4.5900845145124816</v>
      </c>
      <c r="AA952">
        <f t="shared" ca="1" si="448"/>
        <v>634.25261797753365</v>
      </c>
      <c r="AB952">
        <f t="shared" ca="1" si="449"/>
        <v>635.32646486083468</v>
      </c>
      <c r="AC952">
        <f t="shared" ca="1" si="450"/>
        <v>3.8354158471994425E-3</v>
      </c>
      <c r="AD952">
        <f t="shared" ca="1" si="451"/>
        <v>1.0030581176772444</v>
      </c>
      <c r="AE952">
        <f t="shared" ca="1" si="452"/>
        <v>35.686573933039405</v>
      </c>
      <c r="AF952">
        <f t="shared" ca="1" si="453"/>
        <v>3.437431300994831E-3</v>
      </c>
      <c r="AG952">
        <f t="shared" ca="1" si="454"/>
        <v>0</v>
      </c>
      <c r="AH952">
        <f ca="1">IFERROR(IF(V32="Supercritical",MAX($D$16,IFERROR(L952,MAX($D$16,POWER((ABS(K952)^2)/($I$5*MAX(F952,0.1)^2),1/3)))),IF(V32="Subcritical",MAX($D$16,IFERROR(W952,MAX($D$16,POWER((ABS(K952)^2)/($I$5*MAX(F952,0.1)^2),1/3)))),IF(AND(IFERROR(V952,0)=1,IFERROR(AG952,0)=1),IF(IFERROR(T952,-1E+99)&gt;=IFERROR(AE952,-1E+99),MAX($D$16,IFERROR(L952,MAX($D$16,POWER((ABS(K952)^2)/($I$5*MAX(F952,0.1)^2),1/3)))),MAX($D$16,IFERROR(W952,MAX($D$16,POWER((ABS(K952)^2)/($I$5*MAX(F952,0.1)^2),1/3))))),IF(IFERROR(V952,0)=1,MAX($D$16,IFERROR(L952,MAX($D$16,POWER((ABS(K952)^2)/($I$5*MAX(F952,0.1)^2),1/3)))),IF(IFERROR(AG952,0)=1,MAX($D$16,IFERROR(W952,MAX($D$16,POWER((ABS(K952)^2)/($I$5*MAX(F952,0.1)^2),1/3)))),MAX($D$16,POWER((ABS(K952)^2)/($I$5*MAX(F952,0.1)^2),1/3))))))),MAX($D$16,POWER((ABS(K952)^2)/($I$5*MAX(F952,0.1)^2),1/3)))</f>
        <v>2.1389677043987478</v>
      </c>
      <c r="AI952">
        <f t="shared" ca="1" si="455"/>
        <v>634.25696770439879</v>
      </c>
      <c r="AJ952">
        <f t="shared" ca="1" si="456"/>
        <v>635.32645155659816</v>
      </c>
      <c r="AM952">
        <v>0</v>
      </c>
      <c r="AN952">
        <v>0</v>
      </c>
      <c r="AO952">
        <f t="shared" si="457"/>
        <v>0</v>
      </c>
      <c r="AP952">
        <f t="shared" si="466"/>
        <v>0</v>
      </c>
      <c r="AQ952">
        <f t="shared" ca="1" si="458"/>
        <v>1.0000000000000004</v>
      </c>
      <c r="AR952" t="str">
        <f t="shared" ca="1" si="459"/>
        <v>Supercritical</v>
      </c>
      <c r="AS952">
        <f t="shared" ca="1" si="460"/>
        <v>3.8141460404132466E-3</v>
      </c>
    </row>
    <row r="953" spans="1:45" x14ac:dyDescent="0.35">
      <c r="A953">
        <v>892</v>
      </c>
      <c r="B953">
        <v>890.99599999999998</v>
      </c>
      <c r="C953">
        <v>616085.89899999998</v>
      </c>
      <c r="D953">
        <v>3097115.9589999998</v>
      </c>
      <c r="E953">
        <v>632.11749999999995</v>
      </c>
      <c r="F953">
        <v>5.2</v>
      </c>
      <c r="G953">
        <v>0</v>
      </c>
      <c r="H953" t="s">
        <v>154</v>
      </c>
      <c r="I953">
        <v>5.7000000000000002E-2</v>
      </c>
      <c r="J953">
        <f t="shared" si="461"/>
        <v>1</v>
      </c>
      <c r="K953">
        <f t="shared" ca="1" si="462"/>
        <v>50.95</v>
      </c>
      <c r="L953">
        <f t="shared" ca="1" si="463"/>
        <v>2.1389677043987478</v>
      </c>
      <c r="M953">
        <f t="shared" ca="1" si="436"/>
        <v>11.122632062873489</v>
      </c>
      <c r="N953">
        <f t="shared" ca="1" si="437"/>
        <v>1.1735290000551568</v>
      </c>
      <c r="O953">
        <f t="shared" ca="1" si="438"/>
        <v>4.5807502857230418</v>
      </c>
      <c r="P953">
        <f t="shared" ca="1" si="439"/>
        <v>634.25646770439869</v>
      </c>
      <c r="Q953">
        <f t="shared" ca="1" si="440"/>
        <v>635.32595155659806</v>
      </c>
      <c r="R953">
        <f t="shared" ca="1" si="441"/>
        <v>3.8141460404132466E-3</v>
      </c>
      <c r="S953">
        <f t="shared" ca="1" si="442"/>
        <v>1.0000000000000004</v>
      </c>
      <c r="T953">
        <f t="shared" ca="1" si="443"/>
        <v>35.686426155594638</v>
      </c>
      <c r="U953">
        <f t="shared" ca="1" si="464"/>
        <v>-3.4157470063291839E-3</v>
      </c>
      <c r="V953">
        <f t="shared" ca="1" si="465"/>
        <v>1</v>
      </c>
      <c r="W953">
        <f t="shared" ca="1" si="444"/>
        <v>2.1338799196279226</v>
      </c>
      <c r="X953">
        <f t="shared" ca="1" si="445"/>
        <v>11.096175582065198</v>
      </c>
      <c r="Y953">
        <f t="shared" ca="1" si="446"/>
        <v>1.1719958860867499</v>
      </c>
      <c r="Z953">
        <f t="shared" ca="1" si="447"/>
        <v>4.591672114701459</v>
      </c>
      <c r="AA953">
        <f t="shared" ca="1" si="448"/>
        <v>634.25137991962788</v>
      </c>
      <c r="AB953">
        <f t="shared" ca="1" si="449"/>
        <v>635.32596976717764</v>
      </c>
      <c r="AC953">
        <f t="shared" ca="1" si="450"/>
        <v>3.8390414805242741E-3</v>
      </c>
      <c r="AD953">
        <f t="shared" ca="1" si="451"/>
        <v>1.0035785633059355</v>
      </c>
      <c r="AE953">
        <f t="shared" ca="1" si="452"/>
        <v>35.686628383851691</v>
      </c>
      <c r="AF953">
        <f t="shared" ca="1" si="453"/>
        <v>3.3390414805580804E-3</v>
      </c>
      <c r="AG953">
        <f t="shared" ca="1" si="454"/>
        <v>0</v>
      </c>
      <c r="AH953">
        <f ca="1">IFERROR(IF(V32="Supercritical",MAX($D$16,IFERROR(L953,MAX($D$16,POWER((ABS(K953)^2)/($I$5*MAX(F953,0.1)^2),1/3)))),IF(V32="Subcritical",MAX($D$16,IFERROR(W953,MAX($D$16,POWER((ABS(K953)^2)/($I$5*MAX(F953,0.1)^2),1/3)))),IF(AND(IFERROR(V953,0)=1,IFERROR(AG953,0)=1),IF(IFERROR(T953,-1E+99)&gt;=IFERROR(AE953,-1E+99),MAX($D$16,IFERROR(L953,MAX($D$16,POWER((ABS(K953)^2)/($I$5*MAX(F953,0.1)^2),1/3)))),MAX($D$16,IFERROR(W953,MAX($D$16,POWER((ABS(K953)^2)/($I$5*MAX(F953,0.1)^2),1/3))))),IF(IFERROR(V953,0)=1,MAX($D$16,IFERROR(L953,MAX($D$16,POWER((ABS(K953)^2)/($I$5*MAX(F953,0.1)^2),1/3)))),IF(IFERROR(AG953,0)=1,MAX($D$16,IFERROR(W953,MAX($D$16,POWER((ABS(K953)^2)/($I$5*MAX(F953,0.1)^2),1/3)))),MAX($D$16,POWER((ABS(K953)^2)/($I$5*MAX(F953,0.1)^2),1/3))))))),MAX($D$16,POWER((ABS(K953)^2)/($I$5*MAX(F953,0.1)^2),1/3)))</f>
        <v>2.1389677043987478</v>
      </c>
      <c r="AI953">
        <f t="shared" ca="1" si="455"/>
        <v>634.25646770439869</v>
      </c>
      <c r="AJ953">
        <f t="shared" ca="1" si="456"/>
        <v>635.32595155659806</v>
      </c>
      <c r="AM953">
        <v>0</v>
      </c>
      <c r="AN953">
        <v>0</v>
      </c>
      <c r="AO953">
        <f t="shared" si="457"/>
        <v>0</v>
      </c>
      <c r="AP953">
        <f t="shared" si="466"/>
        <v>0</v>
      </c>
      <c r="AQ953">
        <f t="shared" ca="1" si="458"/>
        <v>1.0000000000000004</v>
      </c>
      <c r="AR953" t="str">
        <f t="shared" ca="1" si="459"/>
        <v>Supercritical</v>
      </c>
      <c r="AS953">
        <f t="shared" ca="1" si="460"/>
        <v>3.8141460404132466E-3</v>
      </c>
    </row>
    <row r="954" spans="1:45" x14ac:dyDescent="0.35">
      <c r="A954">
        <v>893</v>
      </c>
      <c r="B954">
        <v>891.99599999999998</v>
      </c>
      <c r="C954">
        <v>616085.85699999996</v>
      </c>
      <c r="D954">
        <v>3097114.96</v>
      </c>
      <c r="E954">
        <v>632.11699999999996</v>
      </c>
      <c r="F954">
        <v>5.2</v>
      </c>
      <c r="G954">
        <v>0</v>
      </c>
      <c r="H954" t="s">
        <v>154</v>
      </c>
      <c r="I954">
        <v>0</v>
      </c>
      <c r="J954">
        <f t="shared" si="461"/>
        <v>1</v>
      </c>
      <c r="K954">
        <f t="shared" ca="1" si="462"/>
        <v>50.95</v>
      </c>
      <c r="L954">
        <f t="shared" ca="1" si="463"/>
        <v>2.1389677043987478</v>
      </c>
      <c r="M954">
        <f t="shared" ca="1" si="436"/>
        <v>11.122632062873489</v>
      </c>
      <c r="N954">
        <f t="shared" ca="1" si="437"/>
        <v>1.1735290000551568</v>
      </c>
      <c r="O954">
        <f t="shared" ca="1" si="438"/>
        <v>4.5807502857230418</v>
      </c>
      <c r="P954">
        <f t="shared" ca="1" si="439"/>
        <v>634.2559677043987</v>
      </c>
      <c r="Q954">
        <f t="shared" ca="1" si="440"/>
        <v>635.32545155659807</v>
      </c>
      <c r="R954">
        <f t="shared" ca="1" si="441"/>
        <v>3.8141460404132466E-3</v>
      </c>
      <c r="S954">
        <f t="shared" ca="1" si="442"/>
        <v>1.0000000000000004</v>
      </c>
      <c r="T954">
        <f t="shared" ca="1" si="443"/>
        <v>35.686426155594638</v>
      </c>
      <c r="U954">
        <f t="shared" ca="1" si="464"/>
        <v>-3.3141460404522149E-3</v>
      </c>
      <c r="V954">
        <f t="shared" ca="1" si="465"/>
        <v>1</v>
      </c>
      <c r="W954">
        <f t="shared" ca="1" si="444"/>
        <v>2.1331088923600179</v>
      </c>
      <c r="X954">
        <f t="shared" ca="1" si="445"/>
        <v>11.092166240272093</v>
      </c>
      <c r="Y954">
        <f t="shared" ca="1" si="446"/>
        <v>1.1717632630612611</v>
      </c>
      <c r="Z954">
        <f t="shared" ca="1" si="447"/>
        <v>4.5933318070023974</v>
      </c>
      <c r="AA954">
        <f t="shared" ca="1" si="448"/>
        <v>634.25010889236</v>
      </c>
      <c r="AB954">
        <f t="shared" ca="1" si="449"/>
        <v>635.32547571647922</v>
      </c>
      <c r="AC954">
        <f t="shared" ca="1" si="450"/>
        <v>3.8428342364898406E-3</v>
      </c>
      <c r="AD954">
        <f t="shared" ca="1" si="451"/>
        <v>1.0041227383072653</v>
      </c>
      <c r="AE954">
        <f t="shared" ca="1" si="452"/>
        <v>35.686694386138569</v>
      </c>
      <c r="AF954">
        <f t="shared" ca="1" si="453"/>
        <v>3.3428342364913988E-3</v>
      </c>
      <c r="AG954">
        <f t="shared" ca="1" si="454"/>
        <v>0</v>
      </c>
      <c r="AH954">
        <f ca="1">IFERROR(IF(V32="Supercritical",MAX($D$16,IFERROR(L954,MAX($D$16,POWER((ABS(K954)^2)/($I$5*MAX(F954,0.1)^2),1/3)))),IF(V32="Subcritical",MAX($D$16,IFERROR(W954,MAX($D$16,POWER((ABS(K954)^2)/($I$5*MAX(F954,0.1)^2),1/3)))),IF(AND(IFERROR(V954,0)=1,IFERROR(AG954,0)=1),IF(IFERROR(T954,-1E+99)&gt;=IFERROR(AE954,-1E+99),MAX($D$16,IFERROR(L954,MAX($D$16,POWER((ABS(K954)^2)/($I$5*MAX(F954,0.1)^2),1/3)))),MAX($D$16,IFERROR(W954,MAX($D$16,POWER((ABS(K954)^2)/($I$5*MAX(F954,0.1)^2),1/3))))),IF(IFERROR(V954,0)=1,MAX($D$16,IFERROR(L954,MAX($D$16,POWER((ABS(K954)^2)/($I$5*MAX(F954,0.1)^2),1/3)))),IF(IFERROR(AG954,0)=1,MAX($D$16,IFERROR(W954,MAX($D$16,POWER((ABS(K954)^2)/($I$5*MAX(F954,0.1)^2),1/3)))),MAX($D$16,POWER((ABS(K954)^2)/($I$5*MAX(F954,0.1)^2),1/3))))))),MAX($D$16,POWER((ABS(K954)^2)/($I$5*MAX(F954,0.1)^2),1/3)))</f>
        <v>2.1389677043987478</v>
      </c>
      <c r="AI954">
        <f t="shared" ca="1" si="455"/>
        <v>634.2559677043987</v>
      </c>
      <c r="AJ954">
        <f t="shared" ca="1" si="456"/>
        <v>635.32545155659807</v>
      </c>
      <c r="AM954">
        <v>0</v>
      </c>
      <c r="AN954">
        <v>0</v>
      </c>
      <c r="AO954">
        <f t="shared" si="457"/>
        <v>0</v>
      </c>
      <c r="AP954">
        <f t="shared" si="466"/>
        <v>0</v>
      </c>
      <c r="AQ954">
        <f t="shared" ca="1" si="458"/>
        <v>1.0000000000000004</v>
      </c>
      <c r="AR954" t="str">
        <f t="shared" ca="1" si="459"/>
        <v>Supercritical</v>
      </c>
      <c r="AS954">
        <f t="shared" ca="1" si="460"/>
        <v>3.8141460404132466E-3</v>
      </c>
    </row>
    <row r="955" spans="1:45" x14ac:dyDescent="0.35">
      <c r="A955">
        <v>894</v>
      </c>
      <c r="B955">
        <v>892.99599999999998</v>
      </c>
      <c r="C955">
        <v>616085.81499999994</v>
      </c>
      <c r="D955">
        <v>3097113.9610000001</v>
      </c>
      <c r="E955">
        <v>632.11649999999997</v>
      </c>
      <c r="F955">
        <v>5.2</v>
      </c>
      <c r="G955">
        <v>0</v>
      </c>
      <c r="H955" t="s">
        <v>154</v>
      </c>
      <c r="I955">
        <v>0</v>
      </c>
      <c r="J955">
        <f t="shared" si="461"/>
        <v>1</v>
      </c>
      <c r="K955">
        <f t="shared" ca="1" si="462"/>
        <v>50.95</v>
      </c>
      <c r="L955">
        <f t="shared" ca="1" si="463"/>
        <v>2.1389677043987478</v>
      </c>
      <c r="M955">
        <f t="shared" ca="1" si="436"/>
        <v>11.122632062873489</v>
      </c>
      <c r="N955">
        <f t="shared" ca="1" si="437"/>
        <v>1.1735290000551568</v>
      </c>
      <c r="O955">
        <f t="shared" ca="1" si="438"/>
        <v>4.5807502857230418</v>
      </c>
      <c r="P955">
        <f t="shared" ca="1" si="439"/>
        <v>634.25546770439871</v>
      </c>
      <c r="Q955">
        <f t="shared" ca="1" si="440"/>
        <v>635.32495155659808</v>
      </c>
      <c r="R955">
        <f t="shared" ca="1" si="441"/>
        <v>3.8141460404132466E-3</v>
      </c>
      <c r="S955">
        <f t="shared" ca="1" si="442"/>
        <v>1.0000000000000004</v>
      </c>
      <c r="T955">
        <f t="shared" ca="1" si="443"/>
        <v>35.686426155594638</v>
      </c>
      <c r="U955">
        <f t="shared" ca="1" si="464"/>
        <v>-3.3141460404522149E-3</v>
      </c>
      <c r="V955">
        <f t="shared" ca="1" si="465"/>
        <v>1</v>
      </c>
      <c r="W955">
        <f t="shared" ca="1" si="444"/>
        <v>2.1323035090850326</v>
      </c>
      <c r="X955">
        <f t="shared" ca="1" si="445"/>
        <v>11.08797824724217</v>
      </c>
      <c r="Y955">
        <f t="shared" ca="1" si="446"/>
        <v>1.1715201937022395</v>
      </c>
      <c r="Z955">
        <f t="shared" ca="1" si="447"/>
        <v>4.5950667347920184</v>
      </c>
      <c r="AA955">
        <f t="shared" ca="1" si="448"/>
        <v>634.24880350908495</v>
      </c>
      <c r="AB955">
        <f t="shared" ca="1" si="449"/>
        <v>635.32498283106213</v>
      </c>
      <c r="AC955">
        <f t="shared" ca="1" si="450"/>
        <v>3.8468016377629492E-3</v>
      </c>
      <c r="AD955">
        <f t="shared" ca="1" si="451"/>
        <v>1.0046916864055657</v>
      </c>
      <c r="AE955">
        <f t="shared" ca="1" si="452"/>
        <v>35.686773287055985</v>
      </c>
      <c r="AF955">
        <f t="shared" ca="1" si="453"/>
        <v>3.4490386733523337E-3</v>
      </c>
      <c r="AG955">
        <f t="shared" ca="1" si="454"/>
        <v>0</v>
      </c>
      <c r="AH955">
        <f ca="1">IFERROR(IF(V32="Supercritical",MAX($D$16,IFERROR(L955,MAX($D$16,POWER((ABS(K955)^2)/($I$5*MAX(F955,0.1)^2),1/3)))),IF(V32="Subcritical",MAX($D$16,IFERROR(W955,MAX($D$16,POWER((ABS(K955)^2)/($I$5*MAX(F955,0.1)^2),1/3)))),IF(AND(IFERROR(V955,0)=1,IFERROR(AG955,0)=1),IF(IFERROR(T955,-1E+99)&gt;=IFERROR(AE955,-1E+99),MAX($D$16,IFERROR(L955,MAX($D$16,POWER((ABS(K955)^2)/($I$5*MAX(F955,0.1)^2),1/3)))),MAX($D$16,IFERROR(W955,MAX($D$16,POWER((ABS(K955)^2)/($I$5*MAX(F955,0.1)^2),1/3))))),IF(IFERROR(V955,0)=1,MAX($D$16,IFERROR(L955,MAX($D$16,POWER((ABS(K955)^2)/($I$5*MAX(F955,0.1)^2),1/3)))),IF(IFERROR(AG955,0)=1,MAX($D$16,IFERROR(W955,MAX($D$16,POWER((ABS(K955)^2)/($I$5*MAX(F955,0.1)^2),1/3)))),MAX($D$16,POWER((ABS(K955)^2)/($I$5*MAX(F955,0.1)^2),1/3))))))),MAX($D$16,POWER((ABS(K955)^2)/($I$5*MAX(F955,0.1)^2),1/3)))</f>
        <v>2.1389677043987478</v>
      </c>
      <c r="AI955">
        <f t="shared" ca="1" si="455"/>
        <v>634.25546770439871</v>
      </c>
      <c r="AJ955">
        <f t="shared" ca="1" si="456"/>
        <v>635.32495155659808</v>
      </c>
      <c r="AM955">
        <v>0</v>
      </c>
      <c r="AN955">
        <v>0</v>
      </c>
      <c r="AO955">
        <f t="shared" si="457"/>
        <v>0</v>
      </c>
      <c r="AP955">
        <f t="shared" si="466"/>
        <v>0</v>
      </c>
      <c r="AQ955">
        <f t="shared" ca="1" si="458"/>
        <v>1.0000000000000004</v>
      </c>
      <c r="AR955" t="str">
        <f t="shared" ca="1" si="459"/>
        <v>Supercritical</v>
      </c>
      <c r="AS955">
        <f t="shared" ca="1" si="460"/>
        <v>3.8141460404132466E-3</v>
      </c>
    </row>
    <row r="956" spans="1:45" x14ac:dyDescent="0.35">
      <c r="A956">
        <v>895</v>
      </c>
      <c r="B956">
        <v>893.99599999999998</v>
      </c>
      <c r="C956">
        <v>616085.77300000004</v>
      </c>
      <c r="D956">
        <v>3097112.9619999998</v>
      </c>
      <c r="E956">
        <v>632.11599999999999</v>
      </c>
      <c r="F956">
        <v>5.2</v>
      </c>
      <c r="G956">
        <v>0</v>
      </c>
      <c r="H956" t="s">
        <v>154</v>
      </c>
      <c r="I956">
        <v>5.7000000000000002E-2</v>
      </c>
      <c r="J956">
        <f t="shared" si="461"/>
        <v>1</v>
      </c>
      <c r="K956">
        <f t="shared" ca="1" si="462"/>
        <v>50.95</v>
      </c>
      <c r="L956">
        <f t="shared" ca="1" si="463"/>
        <v>2.1389677043987478</v>
      </c>
      <c r="M956">
        <f t="shared" ca="1" si="436"/>
        <v>11.122632062873489</v>
      </c>
      <c r="N956">
        <f t="shared" ca="1" si="437"/>
        <v>1.1735290000551568</v>
      </c>
      <c r="O956">
        <f t="shared" ca="1" si="438"/>
        <v>4.5807502857230418</v>
      </c>
      <c r="P956">
        <f t="shared" ca="1" si="439"/>
        <v>634.25496770439872</v>
      </c>
      <c r="Q956">
        <f t="shared" ca="1" si="440"/>
        <v>635.32445155659809</v>
      </c>
      <c r="R956">
        <f t="shared" ca="1" si="441"/>
        <v>3.8141460404132466E-3</v>
      </c>
      <c r="S956">
        <f t="shared" ca="1" si="442"/>
        <v>1.0000000000000004</v>
      </c>
      <c r="T956">
        <f t="shared" ca="1" si="443"/>
        <v>35.686426155594638</v>
      </c>
      <c r="U956">
        <f t="shared" ca="1" si="464"/>
        <v>-3.4157470064428708E-3</v>
      </c>
      <c r="V956">
        <f t="shared" ca="1" si="465"/>
        <v>1</v>
      </c>
      <c r="W956">
        <f t="shared" ca="1" si="444"/>
        <v>2.1314623330387619</v>
      </c>
      <c r="X956">
        <f t="shared" ca="1" si="445"/>
        <v>11.083604131801563</v>
      </c>
      <c r="Y956">
        <f t="shared" ca="1" si="446"/>
        <v>1.1712662335286061</v>
      </c>
      <c r="Z956">
        <f t="shared" ca="1" si="447"/>
        <v>4.5968801658850325</v>
      </c>
      <c r="AA956">
        <f t="shared" ca="1" si="448"/>
        <v>634.2474623330387</v>
      </c>
      <c r="AB956">
        <f t="shared" ca="1" si="449"/>
        <v>635.32449124534799</v>
      </c>
      <c r="AC956">
        <f t="shared" ca="1" si="450"/>
        <v>3.8509515275012957E-3</v>
      </c>
      <c r="AD956">
        <f t="shared" ca="1" si="451"/>
        <v>1.0052864935081323</v>
      </c>
      <c r="AE956">
        <f t="shared" ca="1" si="452"/>
        <v>35.686866565704683</v>
      </c>
      <c r="AF956">
        <f t="shared" ca="1" si="453"/>
        <v>3.4532692742459403E-3</v>
      </c>
      <c r="AG956">
        <f t="shared" ca="1" si="454"/>
        <v>0</v>
      </c>
      <c r="AH956">
        <f ca="1">IFERROR(IF(V32="Supercritical",MAX($D$16,IFERROR(L956,MAX($D$16,POWER((ABS(K956)^2)/($I$5*MAX(F956,0.1)^2),1/3)))),IF(V32="Subcritical",MAX($D$16,IFERROR(W956,MAX($D$16,POWER((ABS(K956)^2)/($I$5*MAX(F956,0.1)^2),1/3)))),IF(AND(IFERROR(V956,0)=1,IFERROR(AG956,0)=1),IF(IFERROR(T956,-1E+99)&gt;=IFERROR(AE956,-1E+99),MAX($D$16,IFERROR(L956,MAX($D$16,POWER((ABS(K956)^2)/($I$5*MAX(F956,0.1)^2),1/3)))),MAX($D$16,IFERROR(W956,MAX($D$16,POWER((ABS(K956)^2)/($I$5*MAX(F956,0.1)^2),1/3))))),IF(IFERROR(V956,0)=1,MAX($D$16,IFERROR(L956,MAX($D$16,POWER((ABS(K956)^2)/($I$5*MAX(F956,0.1)^2),1/3)))),IF(IFERROR(AG956,0)=1,MAX($D$16,IFERROR(W956,MAX($D$16,POWER((ABS(K956)^2)/($I$5*MAX(F956,0.1)^2),1/3)))),MAX($D$16,POWER((ABS(K956)^2)/($I$5*MAX(F956,0.1)^2),1/3))))))),MAX($D$16,POWER((ABS(K956)^2)/($I$5*MAX(F956,0.1)^2),1/3)))</f>
        <v>2.1389677043987478</v>
      </c>
      <c r="AI956">
        <f t="shared" ca="1" si="455"/>
        <v>634.25496770439872</v>
      </c>
      <c r="AJ956">
        <f t="shared" ca="1" si="456"/>
        <v>635.32445155659809</v>
      </c>
      <c r="AM956">
        <v>0</v>
      </c>
      <c r="AN956">
        <v>0</v>
      </c>
      <c r="AO956">
        <f t="shared" si="457"/>
        <v>0</v>
      </c>
      <c r="AP956">
        <f t="shared" si="466"/>
        <v>0</v>
      </c>
      <c r="AQ956">
        <f t="shared" ca="1" si="458"/>
        <v>1.0000000000000004</v>
      </c>
      <c r="AR956" t="str">
        <f t="shared" ca="1" si="459"/>
        <v>Supercritical</v>
      </c>
      <c r="AS956">
        <f t="shared" ca="1" si="460"/>
        <v>3.8141460404132466E-3</v>
      </c>
    </row>
    <row r="957" spans="1:45" x14ac:dyDescent="0.35">
      <c r="A957">
        <v>896</v>
      </c>
      <c r="B957">
        <v>894.99599999999998</v>
      </c>
      <c r="C957">
        <v>616085.73</v>
      </c>
      <c r="D957">
        <v>3097111.963</v>
      </c>
      <c r="E957">
        <v>632.1155</v>
      </c>
      <c r="F957">
        <v>5.2</v>
      </c>
      <c r="G957">
        <v>0</v>
      </c>
      <c r="H957" t="s">
        <v>154</v>
      </c>
      <c r="I957">
        <v>5.7000000000000002E-2</v>
      </c>
      <c r="J957">
        <f t="shared" si="461"/>
        <v>1</v>
      </c>
      <c r="K957">
        <f t="shared" ca="1" si="462"/>
        <v>50.95</v>
      </c>
      <c r="L957">
        <f t="shared" ca="1" si="463"/>
        <v>2.1389677043987478</v>
      </c>
      <c r="M957">
        <f t="shared" ca="1" si="436"/>
        <v>11.122632062873489</v>
      </c>
      <c r="N957">
        <f t="shared" ca="1" si="437"/>
        <v>1.1735290000551568</v>
      </c>
      <c r="O957">
        <f t="shared" ca="1" si="438"/>
        <v>4.5807502857230418</v>
      </c>
      <c r="P957">
        <f t="shared" ca="1" si="439"/>
        <v>634.25446770439873</v>
      </c>
      <c r="Q957">
        <f t="shared" ca="1" si="440"/>
        <v>635.3239515565981</v>
      </c>
      <c r="R957">
        <f t="shared" ca="1" si="441"/>
        <v>3.8141460404132466E-3</v>
      </c>
      <c r="S957">
        <f t="shared" ca="1" si="442"/>
        <v>1.0000000000000004</v>
      </c>
      <c r="T957">
        <f t="shared" ca="1" si="443"/>
        <v>35.686426155594638</v>
      </c>
      <c r="U957">
        <f t="shared" ca="1" si="464"/>
        <v>-3.4157470064428708E-3</v>
      </c>
      <c r="V957">
        <f t="shared" ca="1" si="465"/>
        <v>1</v>
      </c>
      <c r="W957">
        <f t="shared" ca="1" si="444"/>
        <v>2.1305838763287044</v>
      </c>
      <c r="X957">
        <f t="shared" ca="1" si="445"/>
        <v>11.079036156909263</v>
      </c>
      <c r="Y957">
        <f t="shared" ca="1" si="446"/>
        <v>1.1710009215085986</v>
      </c>
      <c r="Z957">
        <f t="shared" ca="1" si="447"/>
        <v>4.5987754962082921</v>
      </c>
      <c r="AA957">
        <f t="shared" ca="1" si="448"/>
        <v>634.24608387632873</v>
      </c>
      <c r="AB957">
        <f t="shared" ca="1" si="449"/>
        <v>635.32400110693652</v>
      </c>
      <c r="AC957">
        <f t="shared" ca="1" si="450"/>
        <v>3.8552920811375452E-3</v>
      </c>
      <c r="AD957">
        <f t="shared" ca="1" si="451"/>
        <v>1.00590828903799</v>
      </c>
      <c r="AE957">
        <f t="shared" ca="1" si="452"/>
        <v>35.686975844706325</v>
      </c>
      <c r="AF957">
        <f t="shared" ca="1" si="453"/>
        <v>3.3514367891029906E-3</v>
      </c>
      <c r="AG957">
        <f t="shared" ca="1" si="454"/>
        <v>0</v>
      </c>
      <c r="AH957">
        <f ca="1">IFERROR(IF(V32="Supercritical",MAX($D$16,IFERROR(L957,MAX($D$16,POWER((ABS(K957)^2)/($I$5*MAX(F957,0.1)^2),1/3)))),IF(V32="Subcritical",MAX($D$16,IFERROR(W957,MAX($D$16,POWER((ABS(K957)^2)/($I$5*MAX(F957,0.1)^2),1/3)))),IF(AND(IFERROR(V957,0)=1,IFERROR(AG957,0)=1),IF(IFERROR(T957,-1E+99)&gt;=IFERROR(AE957,-1E+99),MAX($D$16,IFERROR(L957,MAX($D$16,POWER((ABS(K957)^2)/($I$5*MAX(F957,0.1)^2),1/3)))),MAX($D$16,IFERROR(W957,MAX($D$16,POWER((ABS(K957)^2)/($I$5*MAX(F957,0.1)^2),1/3))))),IF(IFERROR(V957,0)=1,MAX($D$16,IFERROR(L957,MAX($D$16,POWER((ABS(K957)^2)/($I$5*MAX(F957,0.1)^2),1/3)))),IF(IFERROR(AG957,0)=1,MAX($D$16,IFERROR(W957,MAX($D$16,POWER((ABS(K957)^2)/($I$5*MAX(F957,0.1)^2),1/3)))),MAX($D$16,POWER((ABS(K957)^2)/($I$5*MAX(F957,0.1)^2),1/3))))))),MAX($D$16,POWER((ABS(K957)^2)/($I$5*MAX(F957,0.1)^2),1/3)))</f>
        <v>2.1389677043987478</v>
      </c>
      <c r="AI957">
        <f t="shared" ca="1" si="455"/>
        <v>634.25446770439873</v>
      </c>
      <c r="AJ957">
        <f t="shared" ca="1" si="456"/>
        <v>635.3239515565981</v>
      </c>
      <c r="AM957">
        <v>0</v>
      </c>
      <c r="AN957">
        <v>0</v>
      </c>
      <c r="AO957">
        <f t="shared" si="457"/>
        <v>0</v>
      </c>
      <c r="AP957">
        <f t="shared" si="466"/>
        <v>0</v>
      </c>
      <c r="AQ957">
        <f t="shared" ca="1" si="458"/>
        <v>1.0000000000000004</v>
      </c>
      <c r="AR957" t="str">
        <f t="shared" ca="1" si="459"/>
        <v>Supercritical</v>
      </c>
      <c r="AS957">
        <f t="shared" ca="1" si="460"/>
        <v>3.8141460404132466E-3</v>
      </c>
    </row>
    <row r="958" spans="1:45" x14ac:dyDescent="0.35">
      <c r="A958">
        <v>897</v>
      </c>
      <c r="B958">
        <v>895.995</v>
      </c>
      <c r="C958">
        <v>616085.68799999997</v>
      </c>
      <c r="D958">
        <v>3097110.9640000002</v>
      </c>
      <c r="E958">
        <v>632.11500000000001</v>
      </c>
      <c r="F958">
        <v>5.2</v>
      </c>
      <c r="G958">
        <v>0</v>
      </c>
      <c r="H958" t="s">
        <v>154</v>
      </c>
      <c r="I958">
        <v>0</v>
      </c>
      <c r="J958">
        <f t="shared" si="461"/>
        <v>0.99900000000002365</v>
      </c>
      <c r="K958">
        <f t="shared" ca="1" si="462"/>
        <v>50.95</v>
      </c>
      <c r="L958">
        <f t="shared" ca="1" si="463"/>
        <v>2.1389677043987478</v>
      </c>
      <c r="M958">
        <f t="shared" ref="M958:M1021" ca="1" si="467">((F958)+(G958)*(L958))*(L958)</f>
        <v>11.122632062873489</v>
      </c>
      <c r="N958">
        <f t="shared" ref="N958:N1021" ca="1" si="468">(((F958)+(G958)*(L958))*(L958))/MAX((F958)+2*(L958)*SQRT(1+(G958)^2),0.000001)</f>
        <v>1.1735290000551568</v>
      </c>
      <c r="O958">
        <f t="shared" ref="O958:O1021" ca="1" si="469">ABS(K958)/MAX(((F958)+(G958)*(L958))*(L958),0.000001)</f>
        <v>4.5807502857230418</v>
      </c>
      <c r="P958">
        <f t="shared" ref="P958:P1021" ca="1" si="470">E958+L958</f>
        <v>634.25396770439875</v>
      </c>
      <c r="Q958">
        <f t="shared" ref="Q958:Q1021" ca="1" si="471">P958+((ABS(K958)/MAX(((F958)+(G958)*(L958))*(L958),0.000001))^2)/(2*$I$5)</f>
        <v>635.32345155659812</v>
      </c>
      <c r="R958">
        <f t="shared" ref="R958:R1021" ca="1" si="472">((ABS(K958)*$D$6)/(MAX(((F958)+(G958)*(L958))*(L958),0.000001)*MAX(((((F958)+(G958)*(L958))*(L958))/MAX((F958)+2*(L958)*SQRT(1+(G958)^2),0.000001))^(2/3),0.000001)))^2</f>
        <v>3.8141460404132466E-3</v>
      </c>
      <c r="S958">
        <f t="shared" ref="S958:S1021" ca="1" si="473">ABS(ABS(K958)/MAX(((F958)+(G958)*(L958))*(L958),0.000001))/SQRT($I$5*MAX((((F958)+(G958)*(L958))*(L958))/MAX((F958)+2*(G958)*(L958),0.000001),0.000001))</f>
        <v>1.0000000000000004</v>
      </c>
      <c r="T958">
        <f t="shared" ref="T958:T1021" ca="1" si="474">((F958)*(L958)^2)/2+(G958)*(L958)^3/3+(ABS(K958)^2)/($I$5*MAX(((F958)+(G958)*(L958))*(L958),0.000001))</f>
        <v>35.686426155594638</v>
      </c>
      <c r="U958">
        <f t="shared" ca="1" si="464"/>
        <v>-3.3103318943403792E-3</v>
      </c>
      <c r="V958">
        <f t="shared" ca="1" si="465"/>
        <v>1</v>
      </c>
      <c r="W958">
        <f t="shared" ref="W958:W1021" ca="1" si="475">IF($D$20=0,IFERROR(W959,MAX($D$16,POWER((ABS(K958)^2)/($I$5*MAX(F958,0.1)^2),1/3))),IF(IFERROR(AG959,0)=0,IFERROR(W959,MAX($D$16,POWER((ABS(K958)^2)/($I$5*MAX(F958,0.1)^2),1/3))),IF(OR(IFERROR(W958,0)=0,IFERROR(AD959,0)&gt;1),MAX($D$16,POWER((ABS(K958)^2)/($I$5*MAX(F958,0.1)^2),1/3)),IF(IFERROR(AF958,0)&gt;0,MAX($D$16,IFERROR(W958,0)+((IFERROR(AF958,0))*$D$18*IF((IFERROR(AD958,0))&lt;1,1,-1))),IF(IFERROR(AF958,0)&lt;0,IF(ABS((MAX($D$16,POWER((ABS(K958)^2)/($I$5*MAX(F958,0.1)^2),1/3)))-IFERROR(W958,0))&gt;$D$19,MAX($D$16,IF((MAX($D$16,POWER((ABS(K958)^2)/($I$5*MAX(F958,0.1)^2),1/3)))&gt;IFERROR(W958,0),MIN((MAX($D$16,POWER((ABS(K958)^2)/($I$5*MAX(F958,0.1)^2),1/3))),IFERROR(W958,0)+(MIN(ABS(IFERROR(AF958,0))*$D$18,ABS((MAX($D$16,POWER((ABS(K958)^2)/($I$5*MAX(F958,0.1)^2),1/3)))-IFERROR(W958,0))))),MAX((MAX($D$16,POWER((ABS(K958)^2)/($I$5*MAX(F958,0.1)^2),1/3))),IFERROR(W958,0)-(MIN(ABS(IFERROR(AF958,0))*$D$18,ABS((MAX($D$16,POWER((ABS(K958)^2)/($I$5*MAX(F958,0.1)^2),1/3)))-IFERROR(W958,0))))))),MAX($D$16,POWER((ABS(K958)^2)/($I$5*MAX(F958,0.1)^2),1/3))),MAX($D$16,IFERROR(W958,0)))))))</f>
        <v>2.1296665989919505</v>
      </c>
      <c r="X958">
        <f t="shared" ref="X958:X1021" ca="1" si="476">((F958)+(G958)*(W958))*(W958)</f>
        <v>11.074266314758143</v>
      </c>
      <c r="Y958">
        <f t="shared" ref="Y958:Y1021" ca="1" si="477">(((F958)+(G958)*(W958))*(W958))/MAX((F958)+2*(W958)*SQRT(1+(G958)^2),0.000001)</f>
        <v>1.1707237796759751</v>
      </c>
      <c r="Z958">
        <f t="shared" ref="Z958:Z1021" ca="1" si="478">ABS(K958)/MAX(((F958)+(G958)*(W958))*(W958),0.000001)</f>
        <v>4.6007562534505233</v>
      </c>
      <c r="AA958">
        <f t="shared" ref="AA958:AA1021" ca="1" si="479">E958+W958</f>
        <v>634.24466659899201</v>
      </c>
      <c r="AB958">
        <f t="shared" ref="AB958:AB1021" ca="1" si="480">AA958+((ABS(K958)/MAX(((F958)+(G958)*(W958))*(W958),0.000001))^2)/(2*$I$5)</f>
        <v>635.32351257777202</v>
      </c>
      <c r="AC958">
        <f t="shared" ref="AC958:AC1021" ca="1" si="481">((ABS(K958)*$D$6)/(MAX(((F958)+(G958)*(W958))*(W958),0.000001)*MAX(((((F958)+(G958)*(W958))*(W958))/MAX((F958)+2*(W958)*SQRT(1+(G958)^2),0.000001))^(2/3),0.000001)))^2</f>
        <v>3.859831818393823E-3</v>
      </c>
      <c r="AD958">
        <f t="shared" ref="AD958:AD1021" ca="1" si="482">ABS(ABS(K958)/MAX(((F958)+(G958)*(W958))*(W958),0.000001))/SQRT($I$5*MAX((((F958)+(G958)*(W958))*(W958))/MAX((F958)+2*(G958)*(W958),0.000001),0.000001))</f>
        <v>1.0065582472692371</v>
      </c>
      <c r="AE958">
        <f t="shared" ref="AE958:AE1021" ca="1" si="483">((F958)*(W958)^2)/2+(G958)*(W958)^3/3+(ABS(K958)^2)/($I$5*MAX(((F958)+(G958)*(W958))*(W958),0.000001))</f>
        <v>35.687102902672869</v>
      </c>
      <c r="AF958">
        <f t="shared" ref="AF958:AF1021" ca="1" si="484">IF($D$20=0,0,IFERROR(AB959+(((AC958+AC959)/2)*J959)+(IF(Z958&gt;Z959,$D$8*((Z958^2-Z959^2)/(2*$I$5)),$D$9*((Z959^2-Z958^2)/(2*$I$5)))+($D$10*(ABS(I959)/90)*(MAX(Z958^2,Z959^2)/(2*$I$5))))-AB958,0))</f>
        <v>3.3598318184431264E-3</v>
      </c>
      <c r="AG958">
        <f t="shared" ref="AG958:AG1021" ca="1" si="485">IF($D$20=0,1,IFERROR(IF(ROUND(AD958,3)=1,1,IF(AND(ABS(AF958)&lt;$D$19,AD958&lt;1),1,0)),0))</f>
        <v>0</v>
      </c>
      <c r="AH958">
        <f ca="1">IFERROR(IF(V32="Supercritical",MAX($D$16,IFERROR(L958,MAX($D$16,POWER((ABS(K958)^2)/($I$5*MAX(F958,0.1)^2),1/3)))),IF(V32="Subcritical",MAX($D$16,IFERROR(W958,MAX($D$16,POWER((ABS(K958)^2)/($I$5*MAX(F958,0.1)^2),1/3)))),IF(AND(IFERROR(V958,0)=1,IFERROR(AG958,0)=1),IF(IFERROR(T958,-1E+99)&gt;=IFERROR(AE958,-1E+99),MAX($D$16,IFERROR(L958,MAX($D$16,POWER((ABS(K958)^2)/($I$5*MAX(F958,0.1)^2),1/3)))),MAX($D$16,IFERROR(W958,MAX($D$16,POWER((ABS(K958)^2)/($I$5*MAX(F958,0.1)^2),1/3))))),IF(IFERROR(V958,0)=1,MAX($D$16,IFERROR(L958,MAX($D$16,POWER((ABS(K958)^2)/($I$5*MAX(F958,0.1)^2),1/3)))),IF(IFERROR(AG958,0)=1,MAX($D$16,IFERROR(W958,MAX($D$16,POWER((ABS(K958)^2)/($I$5*MAX(F958,0.1)^2),1/3)))),MAX($D$16,POWER((ABS(K958)^2)/($I$5*MAX(F958,0.1)^2),1/3))))))),MAX($D$16,POWER((ABS(K958)^2)/($I$5*MAX(F958,0.1)^2),1/3)))</f>
        <v>2.1389677043987478</v>
      </c>
      <c r="AI958">
        <f t="shared" ref="AI958:AI1021" ca="1" si="486">E958+AH958</f>
        <v>634.25396770439875</v>
      </c>
      <c r="AJ958">
        <f t="shared" ref="AJ958:AJ1021" ca="1" si="487">AI958+((ABS(K958)/MAX(((F958)+(G958)*(AH958))*(AH958),0.000001))^2)/(2*$I$5)</f>
        <v>635.32345155659812</v>
      </c>
      <c r="AM958">
        <v>0</v>
      </c>
      <c r="AN958">
        <v>0</v>
      </c>
      <c r="AO958">
        <f t="shared" ref="AO958:AO1021" si="488">AM958+AN958</f>
        <v>0</v>
      </c>
      <c r="AP958">
        <f t="shared" si="466"/>
        <v>0</v>
      </c>
      <c r="AQ958">
        <f t="shared" ref="AQ958:AQ1021" ca="1" si="489">ABS(ABS(K958)/MAX(((F958)+(G958)*(AH958))*(AH958),0.000001))/SQRT($I$5*MAX((((F958)+(G958)*(AH958))*(AH958))/MAX((F958)+2*(G958)*(AH958),0.000001),0.000001))</f>
        <v>1.0000000000000004</v>
      </c>
      <c r="AR958" t="str">
        <f t="shared" ref="AR958:AR1021" ca="1" si="490">IF(AQ958&lt;1,"Subcritical","Supercritical")</f>
        <v>Supercritical</v>
      </c>
      <c r="AS958">
        <f t="shared" ref="AS958:AS1021" ca="1" si="491">((ABS(K958)*$D$6)/(MAX(((F958)+(G958)*(AH958))*(AH958),0.000001)*MAX(((((F958)+(G958)*(AH958))*(AH958))/MAX((F958)+2*(AH958)*SQRT(1+(G958)^2),0.000001))^(2/3),0.000001)))^2</f>
        <v>3.8141460404132466E-3</v>
      </c>
    </row>
    <row r="959" spans="1:45" x14ac:dyDescent="0.35">
      <c r="A959">
        <v>898</v>
      </c>
      <c r="B959">
        <v>896.995</v>
      </c>
      <c r="C959">
        <v>616085.64599999995</v>
      </c>
      <c r="D959">
        <v>3097109.9649999999</v>
      </c>
      <c r="E959">
        <v>632.11450000000002</v>
      </c>
      <c r="F959">
        <v>5.2</v>
      </c>
      <c r="G959">
        <v>0</v>
      </c>
      <c r="H959" t="s">
        <v>154</v>
      </c>
      <c r="I959">
        <v>0</v>
      </c>
      <c r="J959">
        <f t="shared" ref="J959:J1022" si="492">B959-B958</f>
        <v>1</v>
      </c>
      <c r="K959">
        <f t="shared" ref="K959:K1022" ca="1" si="493">MAX(0,K958-AO958)</f>
        <v>50.95</v>
      </c>
      <c r="L959">
        <f t="shared" ref="L959:L1022" ca="1" si="494">IF($D$20=0,IFERROR(L958,MAX($D$16,POWER((ABS(K959)^2)/($I$5*MAX(F959,0.1)^2),1/3))),IF(IFERROR(V958,0)=0,IFERROR(L958,MAX($D$16,POWER((ABS(K959)^2)/($I$5*MAX(F959,0.1)^2),1/3))),IF(OR(IFERROR(L959,0)=0,IFERROR(S958,0)&lt;1,IFERROR(S959,0)&lt;1),MAX($D$16,POWER((ABS(K959)^2)/($I$5*MAX(F959,0.1)^2),1/3)),IF(IFERROR(U959,0)&gt;0,MAX($D$16,IFERROR(L959,0)+((IFERROR(U959,0))*$D$18*IF((IFERROR(S959,0))&lt;1,1,-1))),IF(IFERROR(U959,0)&lt;0,IF(ABS((MAX($D$16,POWER((ABS(K959)^2)/($I$5*MAX(F959,0.1)^2),1/3)))-IFERROR(L959,0))&gt;$D$19,MAX($D$16,IF((MAX($D$16,POWER((ABS(K959)^2)/($I$5*MAX(F959,0.1)^2),1/3)))&gt;IFERROR(L959,0),MIN((MAX($D$16,POWER((ABS(K959)^2)/($I$5*MAX(F959,0.1)^2),1/3))),IFERROR(L959,0)+(MIN(ABS(IFERROR(U959,0))*$D$18,ABS((MAX($D$16,POWER((ABS(K959)^2)/($I$5*MAX(F959,0.1)^2),1/3)))-IFERROR(L959,0))))),MAX((MAX($D$16,POWER((ABS(K959)^2)/($I$5*MAX(F959,0.1)^2),1/3))),IFERROR(L959,0)-(MIN(ABS(IFERROR(U959,0))*$D$18,ABS((MAX($D$16,POWER((ABS(K959)^2)/($I$5*MAX(F959,0.1)^2),1/3)))-IFERROR(L959,0))))))),MAX($D$16,POWER((ABS(K959)^2)/($I$5*MAX(F959,0.1)^2),1/3))),MAX($D$16,IFERROR(L959,0)))))))</f>
        <v>2.1389677043987478</v>
      </c>
      <c r="M959">
        <f t="shared" ca="1" si="467"/>
        <v>11.122632062873489</v>
      </c>
      <c r="N959">
        <f t="shared" ca="1" si="468"/>
        <v>1.1735290000551568</v>
      </c>
      <c r="O959">
        <f t="shared" ca="1" si="469"/>
        <v>4.5807502857230418</v>
      </c>
      <c r="P959">
        <f t="shared" ca="1" si="470"/>
        <v>634.25346770439876</v>
      </c>
      <c r="Q959">
        <f t="shared" ca="1" si="471"/>
        <v>635.32295155659813</v>
      </c>
      <c r="R959">
        <f t="shared" ca="1" si="472"/>
        <v>3.8141460404132466E-3</v>
      </c>
      <c r="S959">
        <f t="shared" ca="1" si="473"/>
        <v>1.0000000000000004</v>
      </c>
      <c r="T959">
        <f t="shared" ca="1" si="474"/>
        <v>35.686426155594638</v>
      </c>
      <c r="U959">
        <f t="shared" ref="U959:U1022" ca="1" si="495">IF($D$20=0,0,IFERROR(Q958-(((R958+R959)/2)*J959)-(IF(O958&gt;O959,$D$8*((O958^2-O959^2)/(2*$I$5)),$D$9*((O959^2-O958^2)/(2*$I$5)))+($D$10*(ABS(I959)/90)*(MAX(O958^2,O959^2)/(2*$I$5))))-Q959,0))</f>
        <v>-3.3141460404522149E-3</v>
      </c>
      <c r="V959">
        <f t="shared" ref="V959:V1022" ca="1" si="496">IF($D$20=0,1,IFERROR(IF(ROUND(S959,3)=1,1,IF(AND(ABS(U959)&lt;$D$19,S959&gt;1),1,0)),0))</f>
        <v>1</v>
      </c>
      <c r="W959">
        <f t="shared" ca="1" si="475"/>
        <v>2.1287089081324879</v>
      </c>
      <c r="X959">
        <f t="shared" ca="1" si="476"/>
        <v>11.069286322288937</v>
      </c>
      <c r="Y959">
        <f t="shared" ca="1" si="477"/>
        <v>1.1704343127626076</v>
      </c>
      <c r="Z959">
        <f t="shared" ca="1" si="478"/>
        <v>4.602826100668107</v>
      </c>
      <c r="AA959">
        <f t="shared" ca="1" si="479"/>
        <v>634.24320890813249</v>
      </c>
      <c r="AB959">
        <f t="shared" ca="1" si="480"/>
        <v>635.32302583540013</v>
      </c>
      <c r="AC959">
        <f t="shared" ca="1" si="481"/>
        <v>3.8645796155026093E-3</v>
      </c>
      <c r="AD959">
        <f t="shared" ca="1" si="482"/>
        <v>1.007237588659289</v>
      </c>
      <c r="AE959">
        <f t="shared" ca="1" si="483"/>
        <v>35.687249687622824</v>
      </c>
      <c r="AF959">
        <f t="shared" ca="1" si="484"/>
        <v>3.4635628338719471E-3</v>
      </c>
      <c r="AG959">
        <f t="shared" ca="1" si="485"/>
        <v>0</v>
      </c>
      <c r="AH959">
        <f ca="1">IFERROR(IF(V32="Supercritical",MAX($D$16,IFERROR(L959,MAX($D$16,POWER((ABS(K959)^2)/($I$5*MAX(F959,0.1)^2),1/3)))),IF(V32="Subcritical",MAX($D$16,IFERROR(W959,MAX($D$16,POWER((ABS(K959)^2)/($I$5*MAX(F959,0.1)^2),1/3)))),IF(AND(IFERROR(V959,0)=1,IFERROR(AG959,0)=1),IF(IFERROR(T959,-1E+99)&gt;=IFERROR(AE959,-1E+99),MAX($D$16,IFERROR(L959,MAX($D$16,POWER((ABS(K959)^2)/($I$5*MAX(F959,0.1)^2),1/3)))),MAX($D$16,IFERROR(W959,MAX($D$16,POWER((ABS(K959)^2)/($I$5*MAX(F959,0.1)^2),1/3))))),IF(IFERROR(V959,0)=1,MAX($D$16,IFERROR(L959,MAX($D$16,POWER((ABS(K959)^2)/($I$5*MAX(F959,0.1)^2),1/3)))),IF(IFERROR(AG959,0)=1,MAX($D$16,IFERROR(W959,MAX($D$16,POWER((ABS(K959)^2)/($I$5*MAX(F959,0.1)^2),1/3)))),MAX($D$16,POWER((ABS(K959)^2)/($I$5*MAX(F959,0.1)^2),1/3))))))),MAX($D$16,POWER((ABS(K959)^2)/($I$5*MAX(F959,0.1)^2),1/3)))</f>
        <v>2.1389677043987478</v>
      </c>
      <c r="AI959">
        <f t="shared" ca="1" si="486"/>
        <v>634.25346770439876</v>
      </c>
      <c r="AJ959">
        <f t="shared" ca="1" si="487"/>
        <v>635.32295155659813</v>
      </c>
      <c r="AM959">
        <v>0</v>
      </c>
      <c r="AN959">
        <v>0</v>
      </c>
      <c r="AO959">
        <f t="shared" si="488"/>
        <v>0</v>
      </c>
      <c r="AP959">
        <f t="shared" ref="AP959:AP1022" si="497">AP958+AO959</f>
        <v>0</v>
      </c>
      <c r="AQ959">
        <f t="shared" ca="1" si="489"/>
        <v>1.0000000000000004</v>
      </c>
      <c r="AR959" t="str">
        <f t="shared" ca="1" si="490"/>
        <v>Supercritical</v>
      </c>
      <c r="AS959">
        <f t="shared" ca="1" si="491"/>
        <v>3.8141460404132466E-3</v>
      </c>
    </row>
    <row r="960" spans="1:45" x14ac:dyDescent="0.35">
      <c r="A960">
        <v>899</v>
      </c>
      <c r="B960">
        <v>897.995</v>
      </c>
      <c r="C960">
        <v>616085.60400000005</v>
      </c>
      <c r="D960">
        <v>3097108.966</v>
      </c>
      <c r="E960">
        <v>632.11400000000003</v>
      </c>
      <c r="F960">
        <v>5.2</v>
      </c>
      <c r="G960">
        <v>0</v>
      </c>
      <c r="H960" t="s">
        <v>154</v>
      </c>
      <c r="I960">
        <v>5.5E-2</v>
      </c>
      <c r="J960">
        <f t="shared" si="492"/>
        <v>1</v>
      </c>
      <c r="K960">
        <f t="shared" ca="1" si="493"/>
        <v>50.95</v>
      </c>
      <c r="L960">
        <f t="shared" ca="1" si="494"/>
        <v>2.1389677043987478</v>
      </c>
      <c r="M960">
        <f t="shared" ca="1" si="467"/>
        <v>11.122632062873489</v>
      </c>
      <c r="N960">
        <f t="shared" ca="1" si="468"/>
        <v>1.1735290000551568</v>
      </c>
      <c r="O960">
        <f t="shared" ca="1" si="469"/>
        <v>4.5807502857230418</v>
      </c>
      <c r="P960">
        <f t="shared" ca="1" si="470"/>
        <v>634.25296770439877</v>
      </c>
      <c r="Q960">
        <f t="shared" ca="1" si="471"/>
        <v>635.32245155659814</v>
      </c>
      <c r="R960">
        <f t="shared" ca="1" si="472"/>
        <v>3.8141460404132466E-3</v>
      </c>
      <c r="S960">
        <f t="shared" ca="1" si="473"/>
        <v>1.0000000000000004</v>
      </c>
      <c r="T960">
        <f t="shared" ca="1" si="474"/>
        <v>35.686426155594638</v>
      </c>
      <c r="U960">
        <f t="shared" ca="1" si="495"/>
        <v>-3.4121820602877051E-3</v>
      </c>
      <c r="V960">
        <f t="shared" ca="1" si="496"/>
        <v>1</v>
      </c>
      <c r="W960">
        <f t="shared" ca="1" si="475"/>
        <v>2.1277091571505067</v>
      </c>
      <c r="X960">
        <f t="shared" ca="1" si="476"/>
        <v>11.064087617182635</v>
      </c>
      <c r="Y960">
        <f t="shared" ca="1" si="477"/>
        <v>1.1701320078508384</v>
      </c>
      <c r="Z960">
        <f t="shared" ca="1" si="478"/>
        <v>4.6049888398275298</v>
      </c>
      <c r="AA960">
        <f t="shared" ca="1" si="479"/>
        <v>634.24170915715058</v>
      </c>
      <c r="AB960">
        <f t="shared" ca="1" si="480"/>
        <v>635.32254107432368</v>
      </c>
      <c r="AC960">
        <f t="shared" ca="1" si="481"/>
        <v>3.8695447176114988E-3</v>
      </c>
      <c r="AD960">
        <f t="shared" ca="1" si="482"/>
        <v>1.0079475811724308</v>
      </c>
      <c r="AE960">
        <f t="shared" ca="1" si="483"/>
        <v>35.687418331398703</v>
      </c>
      <c r="AF960">
        <f t="shared" ca="1" si="484"/>
        <v>3.4724905214034152E-3</v>
      </c>
      <c r="AG960">
        <f t="shared" ca="1" si="485"/>
        <v>0</v>
      </c>
      <c r="AH960">
        <f ca="1">IFERROR(IF(V32="Supercritical",MAX($D$16,IFERROR(L960,MAX($D$16,POWER((ABS(K960)^2)/($I$5*MAX(F960,0.1)^2),1/3)))),IF(V32="Subcritical",MAX($D$16,IFERROR(W960,MAX($D$16,POWER((ABS(K960)^2)/($I$5*MAX(F960,0.1)^2),1/3)))),IF(AND(IFERROR(V960,0)=1,IFERROR(AG960,0)=1),IF(IFERROR(T960,-1E+99)&gt;=IFERROR(AE960,-1E+99),MAX($D$16,IFERROR(L960,MAX($D$16,POWER((ABS(K960)^2)/($I$5*MAX(F960,0.1)^2),1/3)))),MAX($D$16,IFERROR(W960,MAX($D$16,POWER((ABS(K960)^2)/($I$5*MAX(F960,0.1)^2),1/3))))),IF(IFERROR(V960,0)=1,MAX($D$16,IFERROR(L960,MAX($D$16,POWER((ABS(K960)^2)/($I$5*MAX(F960,0.1)^2),1/3)))),IF(IFERROR(AG960,0)=1,MAX($D$16,IFERROR(W960,MAX($D$16,POWER((ABS(K960)^2)/($I$5*MAX(F960,0.1)^2),1/3)))),MAX($D$16,POWER((ABS(K960)^2)/($I$5*MAX(F960,0.1)^2),1/3))))))),MAX($D$16,POWER((ABS(K960)^2)/($I$5*MAX(F960,0.1)^2),1/3)))</f>
        <v>2.1389677043987478</v>
      </c>
      <c r="AI960">
        <f t="shared" ca="1" si="486"/>
        <v>634.25296770439877</v>
      </c>
      <c r="AJ960">
        <f t="shared" ca="1" si="487"/>
        <v>635.32245155659814</v>
      </c>
      <c r="AM960">
        <v>0</v>
      </c>
      <c r="AN960">
        <v>0</v>
      </c>
      <c r="AO960">
        <f t="shared" si="488"/>
        <v>0</v>
      </c>
      <c r="AP960">
        <f t="shared" si="497"/>
        <v>0</v>
      </c>
      <c r="AQ960">
        <f t="shared" ca="1" si="489"/>
        <v>1.0000000000000004</v>
      </c>
      <c r="AR960" t="str">
        <f t="shared" ca="1" si="490"/>
        <v>Supercritical</v>
      </c>
      <c r="AS960">
        <f t="shared" ca="1" si="491"/>
        <v>3.8141460404132466E-3</v>
      </c>
    </row>
    <row r="961" spans="1:45" x14ac:dyDescent="0.35">
      <c r="A961">
        <v>900</v>
      </c>
      <c r="B961">
        <v>898.99599999999998</v>
      </c>
      <c r="C961">
        <v>616085.56099999999</v>
      </c>
      <c r="D961">
        <v>3097107.966</v>
      </c>
      <c r="E961">
        <v>632.11350000000004</v>
      </c>
      <c r="F961">
        <v>5.2</v>
      </c>
      <c r="G961">
        <v>0</v>
      </c>
      <c r="H961" t="s">
        <v>154</v>
      </c>
      <c r="I961">
        <v>5.5E-2</v>
      </c>
      <c r="J961">
        <f t="shared" si="492"/>
        <v>1.0009999999999764</v>
      </c>
      <c r="K961">
        <f t="shared" ca="1" si="493"/>
        <v>50.95</v>
      </c>
      <c r="L961">
        <f t="shared" ca="1" si="494"/>
        <v>2.1389677043987478</v>
      </c>
      <c r="M961">
        <f t="shared" ca="1" si="467"/>
        <v>11.122632062873489</v>
      </c>
      <c r="N961">
        <f t="shared" ca="1" si="468"/>
        <v>1.1735290000551568</v>
      </c>
      <c r="O961">
        <f t="shared" ca="1" si="469"/>
        <v>4.5807502857230418</v>
      </c>
      <c r="P961">
        <f t="shared" ca="1" si="470"/>
        <v>634.25246770439878</v>
      </c>
      <c r="Q961">
        <f t="shared" ca="1" si="471"/>
        <v>635.32195155659815</v>
      </c>
      <c r="R961">
        <f t="shared" ca="1" si="472"/>
        <v>3.8141460404132466E-3</v>
      </c>
      <c r="S961">
        <f t="shared" ca="1" si="473"/>
        <v>1.0000000000000004</v>
      </c>
      <c r="T961">
        <f t="shared" ca="1" si="474"/>
        <v>35.686426155594638</v>
      </c>
      <c r="U961">
        <f t="shared" ca="1" si="495"/>
        <v>-3.415996206285854E-3</v>
      </c>
      <c r="V961">
        <f t="shared" ca="1" si="496"/>
        <v>1</v>
      </c>
      <c r="W961">
        <f t="shared" ca="1" si="475"/>
        <v>2.1266656450786612</v>
      </c>
      <c r="X961">
        <f t="shared" ca="1" si="476"/>
        <v>11.058661354409038</v>
      </c>
      <c r="Y961">
        <f t="shared" ca="1" si="477"/>
        <v>1.1698163340496872</v>
      </c>
      <c r="Z961">
        <f t="shared" ca="1" si="478"/>
        <v>4.6072484152601767</v>
      </c>
      <c r="AA961">
        <f t="shared" ca="1" si="479"/>
        <v>634.24016564507872</v>
      </c>
      <c r="AB961">
        <f t="shared" ca="1" si="480"/>
        <v>635.32205850745981</v>
      </c>
      <c r="AC961">
        <f t="shared" ca="1" si="481"/>
        <v>3.8747367513388676E-3</v>
      </c>
      <c r="AD961">
        <f t="shared" ca="1" si="482"/>
        <v>1.0086895415874879</v>
      </c>
      <c r="AE961">
        <f t="shared" ca="1" si="483"/>
        <v>35.687611165140325</v>
      </c>
      <c r="AF961">
        <f t="shared" ca="1" si="484"/>
        <v>3.3747367513115023E-3</v>
      </c>
      <c r="AG961">
        <f t="shared" ca="1" si="485"/>
        <v>0</v>
      </c>
      <c r="AH961">
        <f ca="1">IFERROR(IF(V32="Supercritical",MAX($D$16,IFERROR(L961,MAX($D$16,POWER((ABS(K961)^2)/($I$5*MAX(F961,0.1)^2),1/3)))),IF(V32="Subcritical",MAX($D$16,IFERROR(W961,MAX($D$16,POWER((ABS(K961)^2)/($I$5*MAX(F961,0.1)^2),1/3)))),IF(AND(IFERROR(V961,0)=1,IFERROR(AG961,0)=1),IF(IFERROR(T961,-1E+99)&gt;=IFERROR(AE961,-1E+99),MAX($D$16,IFERROR(L961,MAX($D$16,POWER((ABS(K961)^2)/($I$5*MAX(F961,0.1)^2),1/3)))),MAX($D$16,IFERROR(W961,MAX($D$16,POWER((ABS(K961)^2)/($I$5*MAX(F961,0.1)^2),1/3))))),IF(IFERROR(V961,0)=1,MAX($D$16,IFERROR(L961,MAX($D$16,POWER((ABS(K961)^2)/($I$5*MAX(F961,0.1)^2),1/3)))),IF(IFERROR(AG961,0)=1,MAX($D$16,IFERROR(W961,MAX($D$16,POWER((ABS(K961)^2)/($I$5*MAX(F961,0.1)^2),1/3)))),MAX($D$16,POWER((ABS(K961)^2)/($I$5*MAX(F961,0.1)^2),1/3))))))),MAX($D$16,POWER((ABS(K961)^2)/($I$5*MAX(F961,0.1)^2),1/3)))</f>
        <v>2.1389677043987478</v>
      </c>
      <c r="AI961">
        <f t="shared" ca="1" si="486"/>
        <v>634.25246770439878</v>
      </c>
      <c r="AJ961">
        <f t="shared" ca="1" si="487"/>
        <v>635.32195155659815</v>
      </c>
      <c r="AM961">
        <v>0</v>
      </c>
      <c r="AN961">
        <v>0</v>
      </c>
      <c r="AO961">
        <f t="shared" si="488"/>
        <v>0</v>
      </c>
      <c r="AP961">
        <f t="shared" si="497"/>
        <v>0</v>
      </c>
      <c r="AQ961">
        <f t="shared" ca="1" si="489"/>
        <v>1.0000000000000004</v>
      </c>
      <c r="AR961" t="str">
        <f t="shared" ca="1" si="490"/>
        <v>Supercritical</v>
      </c>
      <c r="AS961">
        <f t="shared" ca="1" si="491"/>
        <v>3.8141460404132466E-3</v>
      </c>
    </row>
    <row r="962" spans="1:45" x14ac:dyDescent="0.35">
      <c r="A962">
        <v>901</v>
      </c>
      <c r="B962">
        <v>899.99599999999998</v>
      </c>
      <c r="C962">
        <v>616085.51899999997</v>
      </c>
      <c r="D962">
        <v>3097106.9670000002</v>
      </c>
      <c r="E962">
        <v>632.11300000000006</v>
      </c>
      <c r="F962">
        <v>5.2</v>
      </c>
      <c r="G962">
        <v>0</v>
      </c>
      <c r="H962" t="s">
        <v>154</v>
      </c>
      <c r="I962">
        <v>0</v>
      </c>
      <c r="J962">
        <f t="shared" si="492"/>
        <v>1</v>
      </c>
      <c r="K962">
        <f t="shared" ca="1" si="493"/>
        <v>50.95</v>
      </c>
      <c r="L962">
        <f t="shared" ca="1" si="494"/>
        <v>2.1389677043987478</v>
      </c>
      <c r="M962">
        <f t="shared" ca="1" si="467"/>
        <v>11.122632062873489</v>
      </c>
      <c r="N962">
        <f t="shared" ca="1" si="468"/>
        <v>1.1735290000551568</v>
      </c>
      <c r="O962">
        <f t="shared" ca="1" si="469"/>
        <v>4.5807502857230418</v>
      </c>
      <c r="P962">
        <f t="shared" ca="1" si="470"/>
        <v>634.25196770439879</v>
      </c>
      <c r="Q962">
        <f t="shared" ca="1" si="471"/>
        <v>635.32145155659816</v>
      </c>
      <c r="R962">
        <f t="shared" ca="1" si="472"/>
        <v>3.8141460404132466E-3</v>
      </c>
      <c r="S962">
        <f t="shared" ca="1" si="473"/>
        <v>1.0000000000000004</v>
      </c>
      <c r="T962">
        <f t="shared" ca="1" si="474"/>
        <v>35.686426155594638</v>
      </c>
      <c r="U962">
        <f t="shared" ca="1" si="495"/>
        <v>-3.3141460404522149E-3</v>
      </c>
      <c r="V962">
        <f t="shared" ca="1" si="496"/>
        <v>1</v>
      </c>
      <c r="W962">
        <f t="shared" ca="1" si="475"/>
        <v>2.1255766160403295</v>
      </c>
      <c r="X962">
        <f t="shared" ca="1" si="476"/>
        <v>11.052998403409713</v>
      </c>
      <c r="Y962">
        <f t="shared" ca="1" si="477"/>
        <v>1.169486742199016</v>
      </c>
      <c r="Z962">
        <f t="shared" ca="1" si="478"/>
        <v>4.6096089170050503</v>
      </c>
      <c r="AA962">
        <f t="shared" ca="1" si="479"/>
        <v>634.2385766160404</v>
      </c>
      <c r="AB962">
        <f t="shared" ca="1" si="480"/>
        <v>635.32157836770875</v>
      </c>
      <c r="AC962">
        <f t="shared" ca="1" si="481"/>
        <v>3.8801657374482744E-3</v>
      </c>
      <c r="AD962">
        <f t="shared" ca="1" si="482"/>
        <v>1.0094648367824177</v>
      </c>
      <c r="AE962">
        <f t="shared" ca="1" si="483"/>
        <v>35.687830735869156</v>
      </c>
      <c r="AF962">
        <f t="shared" ca="1" si="484"/>
        <v>3.3801657373260241E-3</v>
      </c>
      <c r="AG962">
        <f t="shared" ca="1" si="485"/>
        <v>0</v>
      </c>
      <c r="AH962">
        <f ca="1">IFERROR(IF(V32="Supercritical",MAX($D$16,IFERROR(L962,MAX($D$16,POWER((ABS(K962)^2)/($I$5*MAX(F962,0.1)^2),1/3)))),IF(V32="Subcritical",MAX($D$16,IFERROR(W962,MAX($D$16,POWER((ABS(K962)^2)/($I$5*MAX(F962,0.1)^2),1/3)))),IF(AND(IFERROR(V962,0)=1,IFERROR(AG962,0)=1),IF(IFERROR(T962,-1E+99)&gt;=IFERROR(AE962,-1E+99),MAX($D$16,IFERROR(L962,MAX($D$16,POWER((ABS(K962)^2)/($I$5*MAX(F962,0.1)^2),1/3)))),MAX($D$16,IFERROR(W962,MAX($D$16,POWER((ABS(K962)^2)/($I$5*MAX(F962,0.1)^2),1/3))))),IF(IFERROR(V962,0)=1,MAX($D$16,IFERROR(L962,MAX($D$16,POWER((ABS(K962)^2)/($I$5*MAX(F962,0.1)^2),1/3)))),IF(IFERROR(AG962,0)=1,MAX($D$16,IFERROR(W962,MAX($D$16,POWER((ABS(K962)^2)/($I$5*MAX(F962,0.1)^2),1/3)))),MAX($D$16,POWER((ABS(K962)^2)/($I$5*MAX(F962,0.1)^2),1/3))))))),MAX($D$16,POWER((ABS(K962)^2)/($I$5*MAX(F962,0.1)^2),1/3)))</f>
        <v>2.1389677043987478</v>
      </c>
      <c r="AI962">
        <f t="shared" ca="1" si="486"/>
        <v>634.25196770439879</v>
      </c>
      <c r="AJ962">
        <f t="shared" ca="1" si="487"/>
        <v>635.32145155659816</v>
      </c>
      <c r="AM962">
        <v>0</v>
      </c>
      <c r="AN962">
        <v>0</v>
      </c>
      <c r="AO962">
        <f t="shared" si="488"/>
        <v>0</v>
      </c>
      <c r="AP962">
        <f t="shared" si="497"/>
        <v>0</v>
      </c>
      <c r="AQ962">
        <f t="shared" ca="1" si="489"/>
        <v>1.0000000000000004</v>
      </c>
      <c r="AR962" t="str">
        <f t="shared" ca="1" si="490"/>
        <v>Supercritical</v>
      </c>
      <c r="AS962">
        <f t="shared" ca="1" si="491"/>
        <v>3.8141460404132466E-3</v>
      </c>
    </row>
    <row r="963" spans="1:45" x14ac:dyDescent="0.35">
      <c r="A963">
        <v>902</v>
      </c>
      <c r="B963">
        <v>900.99599999999998</v>
      </c>
      <c r="C963">
        <v>616085.47699999996</v>
      </c>
      <c r="D963">
        <v>3097105.9679999999</v>
      </c>
      <c r="E963">
        <v>632.11249999999995</v>
      </c>
      <c r="F963">
        <v>5.2</v>
      </c>
      <c r="G963">
        <v>0</v>
      </c>
      <c r="H963" t="s">
        <v>154</v>
      </c>
      <c r="I963">
        <v>0</v>
      </c>
      <c r="J963">
        <f t="shared" si="492"/>
        <v>1</v>
      </c>
      <c r="K963">
        <f t="shared" ca="1" si="493"/>
        <v>50.95</v>
      </c>
      <c r="L963">
        <f t="shared" ca="1" si="494"/>
        <v>2.1389677043987478</v>
      </c>
      <c r="M963">
        <f t="shared" ca="1" si="467"/>
        <v>11.122632062873489</v>
      </c>
      <c r="N963">
        <f t="shared" ca="1" si="468"/>
        <v>1.1735290000551568</v>
      </c>
      <c r="O963">
        <f t="shared" ca="1" si="469"/>
        <v>4.5807502857230418</v>
      </c>
      <c r="P963">
        <f t="shared" ca="1" si="470"/>
        <v>634.25146770439869</v>
      </c>
      <c r="Q963">
        <f t="shared" ca="1" si="471"/>
        <v>635.32095155659806</v>
      </c>
      <c r="R963">
        <f t="shared" ca="1" si="472"/>
        <v>3.8141460404132466E-3</v>
      </c>
      <c r="S963">
        <f t="shared" ca="1" si="473"/>
        <v>1.0000000000000004</v>
      </c>
      <c r="T963">
        <f t="shared" ca="1" si="474"/>
        <v>35.686426155594638</v>
      </c>
      <c r="U963">
        <f t="shared" ca="1" si="495"/>
        <v>-3.3141460403385281E-3</v>
      </c>
      <c r="V963">
        <f t="shared" ca="1" si="496"/>
        <v>1</v>
      </c>
      <c r="W963">
        <f t="shared" ca="1" si="475"/>
        <v>2.1244402588474696</v>
      </c>
      <c r="X963">
        <f t="shared" ca="1" si="476"/>
        <v>11.047089346006842</v>
      </c>
      <c r="Y963">
        <f t="shared" ca="1" si="477"/>
        <v>1.1691426646065568</v>
      </c>
      <c r="Z963">
        <f t="shared" ca="1" si="478"/>
        <v>4.6120745840094743</v>
      </c>
      <c r="AA963">
        <f t="shared" ca="1" si="479"/>
        <v>634.23694025884743</v>
      </c>
      <c r="AB963">
        <f t="shared" ca="1" si="480"/>
        <v>635.32110090963567</v>
      </c>
      <c r="AC963">
        <f t="shared" ca="1" si="481"/>
        <v>3.8858421035974887E-3</v>
      </c>
      <c r="AD963">
        <f t="shared" ca="1" si="482"/>
        <v>1.0102748849868373</v>
      </c>
      <c r="AE963">
        <f t="shared" ca="1" si="483"/>
        <v>35.688079824237178</v>
      </c>
      <c r="AF963">
        <f t="shared" ca="1" si="484"/>
        <v>3.4888373654666793E-3</v>
      </c>
      <c r="AG963">
        <f t="shared" ca="1" si="485"/>
        <v>0</v>
      </c>
      <c r="AH963">
        <f ca="1">IFERROR(IF(V32="Supercritical",MAX($D$16,IFERROR(L963,MAX($D$16,POWER((ABS(K963)^2)/($I$5*MAX(F963,0.1)^2),1/3)))),IF(V32="Subcritical",MAX($D$16,IFERROR(W963,MAX($D$16,POWER((ABS(K963)^2)/($I$5*MAX(F963,0.1)^2),1/3)))),IF(AND(IFERROR(V963,0)=1,IFERROR(AG963,0)=1),IF(IFERROR(T963,-1E+99)&gt;=IFERROR(AE963,-1E+99),MAX($D$16,IFERROR(L963,MAX($D$16,POWER((ABS(K963)^2)/($I$5*MAX(F963,0.1)^2),1/3)))),MAX($D$16,IFERROR(W963,MAX($D$16,POWER((ABS(K963)^2)/($I$5*MAX(F963,0.1)^2),1/3))))),IF(IFERROR(V963,0)=1,MAX($D$16,IFERROR(L963,MAX($D$16,POWER((ABS(K963)^2)/($I$5*MAX(F963,0.1)^2),1/3)))),IF(IFERROR(AG963,0)=1,MAX($D$16,IFERROR(W963,MAX($D$16,POWER((ABS(K963)^2)/($I$5*MAX(F963,0.1)^2),1/3)))),MAX($D$16,POWER((ABS(K963)^2)/($I$5*MAX(F963,0.1)^2),1/3))))))),MAX($D$16,POWER((ABS(K963)^2)/($I$5*MAX(F963,0.1)^2),1/3)))</f>
        <v>2.1389677043987478</v>
      </c>
      <c r="AI963">
        <f t="shared" ca="1" si="486"/>
        <v>634.25146770439869</v>
      </c>
      <c r="AJ963">
        <f t="shared" ca="1" si="487"/>
        <v>635.32095155659806</v>
      </c>
      <c r="AM963">
        <v>0</v>
      </c>
      <c r="AN963">
        <v>0</v>
      </c>
      <c r="AO963">
        <f t="shared" si="488"/>
        <v>0</v>
      </c>
      <c r="AP963">
        <f t="shared" si="497"/>
        <v>0</v>
      </c>
      <c r="AQ963">
        <f t="shared" ca="1" si="489"/>
        <v>1.0000000000000004</v>
      </c>
      <c r="AR963" t="str">
        <f t="shared" ca="1" si="490"/>
        <v>Supercritical</v>
      </c>
      <c r="AS963">
        <f t="shared" ca="1" si="491"/>
        <v>3.8141460404132466E-3</v>
      </c>
    </row>
    <row r="964" spans="1:45" x14ac:dyDescent="0.35">
      <c r="A964">
        <v>903</v>
      </c>
      <c r="B964">
        <v>901.99599999999998</v>
      </c>
      <c r="C964">
        <v>616085.43500000006</v>
      </c>
      <c r="D964">
        <v>3097104.969</v>
      </c>
      <c r="E964">
        <v>632.11199999999997</v>
      </c>
      <c r="F964">
        <v>5.2</v>
      </c>
      <c r="G964">
        <v>0</v>
      </c>
      <c r="H964" t="s">
        <v>154</v>
      </c>
      <c r="I964">
        <v>5.7000000000000002E-2</v>
      </c>
      <c r="J964">
        <f t="shared" si="492"/>
        <v>1</v>
      </c>
      <c r="K964">
        <f t="shared" ca="1" si="493"/>
        <v>50.95</v>
      </c>
      <c r="L964">
        <f t="shared" ca="1" si="494"/>
        <v>2.1389677043987478</v>
      </c>
      <c r="M964">
        <f t="shared" ca="1" si="467"/>
        <v>11.122632062873489</v>
      </c>
      <c r="N964">
        <f t="shared" ca="1" si="468"/>
        <v>1.1735290000551568</v>
      </c>
      <c r="O964">
        <f t="shared" ca="1" si="469"/>
        <v>4.5807502857230418</v>
      </c>
      <c r="P964">
        <f t="shared" ca="1" si="470"/>
        <v>634.2509677043987</v>
      </c>
      <c r="Q964">
        <f t="shared" ca="1" si="471"/>
        <v>635.32045155659807</v>
      </c>
      <c r="R964">
        <f t="shared" ca="1" si="472"/>
        <v>3.8141460404132466E-3</v>
      </c>
      <c r="S964">
        <f t="shared" ca="1" si="473"/>
        <v>1.0000000000000004</v>
      </c>
      <c r="T964">
        <f t="shared" ca="1" si="474"/>
        <v>35.686426155594638</v>
      </c>
      <c r="U964">
        <f t="shared" ca="1" si="495"/>
        <v>-3.4157470064428708E-3</v>
      </c>
      <c r="V964">
        <f t="shared" ca="1" si="496"/>
        <v>1</v>
      </c>
      <c r="W964">
        <f t="shared" ca="1" si="475"/>
        <v>2.1232547067558056</v>
      </c>
      <c r="X964">
        <f t="shared" ca="1" si="476"/>
        <v>11.04092447513019</v>
      </c>
      <c r="Y964">
        <f t="shared" ca="1" si="477"/>
        <v>1.1687835148227388</v>
      </c>
      <c r="Z964">
        <f t="shared" ca="1" si="478"/>
        <v>4.6146498071574955</v>
      </c>
      <c r="AA964">
        <f t="shared" ca="1" si="479"/>
        <v>634.23525470675577</v>
      </c>
      <c r="AB964">
        <f t="shared" ca="1" si="480"/>
        <v>635.32062641127663</v>
      </c>
      <c r="AC964">
        <f t="shared" ca="1" si="481"/>
        <v>3.8917766971182056E-3</v>
      </c>
      <c r="AD964">
        <f t="shared" ca="1" si="482"/>
        <v>1.0111211569933978</v>
      </c>
      <c r="AE964">
        <f t="shared" ca="1" si="483"/>
        <v>35.688361463493408</v>
      </c>
      <c r="AF964">
        <f t="shared" ca="1" si="484"/>
        <v>3.4948870090829587E-3</v>
      </c>
      <c r="AG964">
        <f t="shared" ca="1" si="485"/>
        <v>0</v>
      </c>
      <c r="AH964">
        <f ca="1">IFERROR(IF(V32="Supercritical",MAX($D$16,IFERROR(L964,MAX($D$16,POWER((ABS(K964)^2)/($I$5*MAX(F964,0.1)^2),1/3)))),IF(V32="Subcritical",MAX($D$16,IFERROR(W964,MAX($D$16,POWER((ABS(K964)^2)/($I$5*MAX(F964,0.1)^2),1/3)))),IF(AND(IFERROR(V964,0)=1,IFERROR(AG964,0)=1),IF(IFERROR(T964,-1E+99)&gt;=IFERROR(AE964,-1E+99),MAX($D$16,IFERROR(L964,MAX($D$16,POWER((ABS(K964)^2)/($I$5*MAX(F964,0.1)^2),1/3)))),MAX($D$16,IFERROR(W964,MAX($D$16,POWER((ABS(K964)^2)/($I$5*MAX(F964,0.1)^2),1/3))))),IF(IFERROR(V964,0)=1,MAX($D$16,IFERROR(L964,MAX($D$16,POWER((ABS(K964)^2)/($I$5*MAX(F964,0.1)^2),1/3)))),IF(IFERROR(AG964,0)=1,MAX($D$16,IFERROR(W964,MAX($D$16,POWER((ABS(K964)^2)/($I$5*MAX(F964,0.1)^2),1/3)))),MAX($D$16,POWER((ABS(K964)^2)/($I$5*MAX(F964,0.1)^2),1/3))))))),MAX($D$16,POWER((ABS(K964)^2)/($I$5*MAX(F964,0.1)^2),1/3)))</f>
        <v>2.1389677043987478</v>
      </c>
      <c r="AI964">
        <f t="shared" ca="1" si="486"/>
        <v>634.2509677043987</v>
      </c>
      <c r="AJ964">
        <f t="shared" ca="1" si="487"/>
        <v>635.32045155659807</v>
      </c>
      <c r="AM964">
        <v>0</v>
      </c>
      <c r="AN964">
        <v>0</v>
      </c>
      <c r="AO964">
        <f t="shared" si="488"/>
        <v>0</v>
      </c>
      <c r="AP964">
        <f t="shared" si="497"/>
        <v>0</v>
      </c>
      <c r="AQ964">
        <f t="shared" ca="1" si="489"/>
        <v>1.0000000000000004</v>
      </c>
      <c r="AR964" t="str">
        <f t="shared" ca="1" si="490"/>
        <v>Supercritical</v>
      </c>
      <c r="AS964">
        <f t="shared" ca="1" si="491"/>
        <v>3.8141460404132466E-3</v>
      </c>
    </row>
    <row r="965" spans="1:45" x14ac:dyDescent="0.35">
      <c r="A965">
        <v>904</v>
      </c>
      <c r="B965">
        <v>902.99599999999998</v>
      </c>
      <c r="C965">
        <v>616085.39199999999</v>
      </c>
      <c r="D965">
        <v>3097103.97</v>
      </c>
      <c r="E965">
        <v>632.11149999999998</v>
      </c>
      <c r="F965">
        <v>5.2</v>
      </c>
      <c r="G965">
        <v>0</v>
      </c>
      <c r="H965" t="s">
        <v>154</v>
      </c>
      <c r="I965">
        <v>5.7000000000000002E-2</v>
      </c>
      <c r="J965">
        <f t="shared" si="492"/>
        <v>1</v>
      </c>
      <c r="K965">
        <f t="shared" ca="1" si="493"/>
        <v>50.95</v>
      </c>
      <c r="L965">
        <f t="shared" ca="1" si="494"/>
        <v>2.1389677043987478</v>
      </c>
      <c r="M965">
        <f t="shared" ca="1" si="467"/>
        <v>11.122632062873489</v>
      </c>
      <c r="N965">
        <f t="shared" ca="1" si="468"/>
        <v>1.1735290000551568</v>
      </c>
      <c r="O965">
        <f t="shared" ca="1" si="469"/>
        <v>4.5807502857230418</v>
      </c>
      <c r="P965">
        <f t="shared" ca="1" si="470"/>
        <v>634.25046770439872</v>
      </c>
      <c r="Q965">
        <f t="shared" ca="1" si="471"/>
        <v>635.31995155659808</v>
      </c>
      <c r="R965">
        <f t="shared" ca="1" si="472"/>
        <v>3.8141460404132466E-3</v>
      </c>
      <c r="S965">
        <f t="shared" ca="1" si="473"/>
        <v>1.0000000000000004</v>
      </c>
      <c r="T965">
        <f t="shared" ca="1" si="474"/>
        <v>35.686426155594638</v>
      </c>
      <c r="U965">
        <f t="shared" ca="1" si="495"/>
        <v>-3.4157470064428708E-3</v>
      </c>
      <c r="V965">
        <f t="shared" ca="1" si="496"/>
        <v>1</v>
      </c>
      <c r="W965">
        <f t="shared" ca="1" si="475"/>
        <v>2.1220180373977922</v>
      </c>
      <c r="X965">
        <f t="shared" ca="1" si="476"/>
        <v>11.034493794468519</v>
      </c>
      <c r="Y965">
        <f t="shared" ca="1" si="477"/>
        <v>1.1684086874591233</v>
      </c>
      <c r="Z965">
        <f t="shared" ca="1" si="478"/>
        <v>4.6173391320896595</v>
      </c>
      <c r="AA965">
        <f t="shared" ca="1" si="479"/>
        <v>634.23351803739774</v>
      </c>
      <c r="AB965">
        <f t="shared" ca="1" si="480"/>
        <v>635.32015517606885</v>
      </c>
      <c r="AC965">
        <f t="shared" ca="1" si="481"/>
        <v>3.8979807977689907E-3</v>
      </c>
      <c r="AD965">
        <f t="shared" ca="1" si="482"/>
        <v>1.0120051773169498</v>
      </c>
      <c r="AE965">
        <f t="shared" ca="1" si="483"/>
        <v>35.688678959718104</v>
      </c>
      <c r="AF965">
        <f t="shared" ca="1" si="484"/>
        <v>3.397980797785749E-3</v>
      </c>
      <c r="AG965">
        <f t="shared" ca="1" si="485"/>
        <v>0</v>
      </c>
      <c r="AH965">
        <f ca="1">IFERROR(IF(V32="Supercritical",MAX($D$16,IFERROR(L965,MAX($D$16,POWER((ABS(K965)^2)/($I$5*MAX(F965,0.1)^2),1/3)))),IF(V32="Subcritical",MAX($D$16,IFERROR(W965,MAX($D$16,POWER((ABS(K965)^2)/($I$5*MAX(F965,0.1)^2),1/3)))),IF(AND(IFERROR(V965,0)=1,IFERROR(AG965,0)=1),IF(IFERROR(T965,-1E+99)&gt;=IFERROR(AE965,-1E+99),MAX($D$16,IFERROR(L965,MAX($D$16,POWER((ABS(K965)^2)/($I$5*MAX(F965,0.1)^2),1/3)))),MAX($D$16,IFERROR(W965,MAX($D$16,POWER((ABS(K965)^2)/($I$5*MAX(F965,0.1)^2),1/3))))),IF(IFERROR(V965,0)=1,MAX($D$16,IFERROR(L965,MAX($D$16,POWER((ABS(K965)^2)/($I$5*MAX(F965,0.1)^2),1/3)))),IF(IFERROR(AG965,0)=1,MAX($D$16,IFERROR(W965,MAX($D$16,POWER((ABS(K965)^2)/($I$5*MAX(F965,0.1)^2),1/3)))),MAX($D$16,POWER((ABS(K965)^2)/($I$5*MAX(F965,0.1)^2),1/3))))))),MAX($D$16,POWER((ABS(K965)^2)/($I$5*MAX(F965,0.1)^2),1/3)))</f>
        <v>2.1389677043987478</v>
      </c>
      <c r="AI965">
        <f t="shared" ca="1" si="486"/>
        <v>634.25046770439872</v>
      </c>
      <c r="AJ965">
        <f t="shared" ca="1" si="487"/>
        <v>635.31995155659808</v>
      </c>
      <c r="AM965">
        <v>0</v>
      </c>
      <c r="AN965">
        <v>0</v>
      </c>
      <c r="AO965">
        <f t="shared" si="488"/>
        <v>0</v>
      </c>
      <c r="AP965">
        <f t="shared" si="497"/>
        <v>0</v>
      </c>
      <c r="AQ965">
        <f t="shared" ca="1" si="489"/>
        <v>1.0000000000000004</v>
      </c>
      <c r="AR965" t="str">
        <f t="shared" ca="1" si="490"/>
        <v>Supercritical</v>
      </c>
      <c r="AS965">
        <f t="shared" ca="1" si="491"/>
        <v>3.8141460404132466E-3</v>
      </c>
    </row>
    <row r="966" spans="1:45" x14ac:dyDescent="0.35">
      <c r="A966">
        <v>905</v>
      </c>
      <c r="B966">
        <v>903.99599999999998</v>
      </c>
      <c r="C966">
        <v>616085.35</v>
      </c>
      <c r="D966">
        <v>3097102.9709999999</v>
      </c>
      <c r="E966">
        <v>632.11099999999999</v>
      </c>
      <c r="F966">
        <v>5.2</v>
      </c>
      <c r="G966">
        <v>0</v>
      </c>
      <c r="H966" t="s">
        <v>154</v>
      </c>
      <c r="I966">
        <v>0</v>
      </c>
      <c r="J966">
        <f t="shared" si="492"/>
        <v>1</v>
      </c>
      <c r="K966">
        <f t="shared" ca="1" si="493"/>
        <v>50.95</v>
      </c>
      <c r="L966">
        <f t="shared" ca="1" si="494"/>
        <v>2.1389677043987478</v>
      </c>
      <c r="M966">
        <f t="shared" ca="1" si="467"/>
        <v>11.122632062873489</v>
      </c>
      <c r="N966">
        <f t="shared" ca="1" si="468"/>
        <v>1.1735290000551568</v>
      </c>
      <c r="O966">
        <f t="shared" ca="1" si="469"/>
        <v>4.5807502857230418</v>
      </c>
      <c r="P966">
        <f t="shared" ca="1" si="470"/>
        <v>634.24996770439873</v>
      </c>
      <c r="Q966">
        <f t="shared" ca="1" si="471"/>
        <v>635.3194515565981</v>
      </c>
      <c r="R966">
        <f t="shared" ca="1" si="472"/>
        <v>3.8141460404132466E-3</v>
      </c>
      <c r="S966">
        <f t="shared" ca="1" si="473"/>
        <v>1.0000000000000004</v>
      </c>
      <c r="T966">
        <f t="shared" ca="1" si="474"/>
        <v>35.686426155594638</v>
      </c>
      <c r="U966">
        <f t="shared" ca="1" si="495"/>
        <v>-3.3141460404522149E-3</v>
      </c>
      <c r="V966">
        <f t="shared" ca="1" si="496"/>
        <v>1</v>
      </c>
      <c r="W966">
        <f t="shared" ca="1" si="475"/>
        <v>2.1207282729143158</v>
      </c>
      <c r="X966">
        <f t="shared" ca="1" si="476"/>
        <v>11.027787019154442</v>
      </c>
      <c r="Y966">
        <f t="shared" ca="1" si="477"/>
        <v>1.1680175580564074</v>
      </c>
      <c r="Z966">
        <f t="shared" ca="1" si="478"/>
        <v>4.6201472617764257</v>
      </c>
      <c r="AA966">
        <f t="shared" ca="1" si="479"/>
        <v>634.23172827291432</v>
      </c>
      <c r="AB966">
        <f t="shared" ca="1" si="480"/>
        <v>635.31968753491742</v>
      </c>
      <c r="AC966">
        <f t="shared" ca="1" si="481"/>
        <v>3.9044661304014961E-3</v>
      </c>
      <c r="AD966">
        <f t="shared" ca="1" si="482"/>
        <v>1.012928525289974</v>
      </c>
      <c r="AE966">
        <f t="shared" ca="1" si="483"/>
        <v>35.689035913371718</v>
      </c>
      <c r="AF966">
        <f t="shared" ca="1" si="484"/>
        <v>3.4005616643071335E-3</v>
      </c>
      <c r="AG966">
        <f t="shared" ca="1" si="485"/>
        <v>0</v>
      </c>
      <c r="AH966">
        <f ca="1">IFERROR(IF(V32="Supercritical",MAX($D$16,IFERROR(L966,MAX($D$16,POWER((ABS(K966)^2)/($I$5*MAX(F966,0.1)^2),1/3)))),IF(V32="Subcritical",MAX($D$16,IFERROR(W966,MAX($D$16,POWER((ABS(K966)^2)/($I$5*MAX(F966,0.1)^2),1/3)))),IF(AND(IFERROR(V966,0)=1,IFERROR(AG966,0)=1),IF(IFERROR(T966,-1E+99)&gt;=IFERROR(AE966,-1E+99),MAX($D$16,IFERROR(L966,MAX($D$16,POWER((ABS(K966)^2)/($I$5*MAX(F966,0.1)^2),1/3)))),MAX($D$16,IFERROR(W966,MAX($D$16,POWER((ABS(K966)^2)/($I$5*MAX(F966,0.1)^2),1/3))))),IF(IFERROR(V966,0)=1,MAX($D$16,IFERROR(L966,MAX($D$16,POWER((ABS(K966)^2)/($I$5*MAX(F966,0.1)^2),1/3)))),IF(IFERROR(AG966,0)=1,MAX($D$16,IFERROR(W966,MAX($D$16,POWER((ABS(K966)^2)/($I$5*MAX(F966,0.1)^2),1/3)))),MAX($D$16,POWER((ABS(K966)^2)/($I$5*MAX(F966,0.1)^2),1/3))))))),MAX($D$16,POWER((ABS(K966)^2)/($I$5*MAX(F966,0.1)^2),1/3)))</f>
        <v>2.1389677043987478</v>
      </c>
      <c r="AI966">
        <f t="shared" ca="1" si="486"/>
        <v>634.24996770439873</v>
      </c>
      <c r="AJ966">
        <f t="shared" ca="1" si="487"/>
        <v>635.3194515565981</v>
      </c>
      <c r="AM966">
        <v>0</v>
      </c>
      <c r="AN966">
        <v>0</v>
      </c>
      <c r="AO966">
        <f t="shared" si="488"/>
        <v>0</v>
      </c>
      <c r="AP966">
        <f t="shared" si="497"/>
        <v>0</v>
      </c>
      <c r="AQ966">
        <f t="shared" ca="1" si="489"/>
        <v>1.0000000000000004</v>
      </c>
      <c r="AR966" t="str">
        <f t="shared" ca="1" si="490"/>
        <v>Supercritical</v>
      </c>
      <c r="AS966">
        <f t="shared" ca="1" si="491"/>
        <v>3.8141460404132466E-3</v>
      </c>
    </row>
    <row r="967" spans="1:45" x14ac:dyDescent="0.35">
      <c r="A967">
        <v>906</v>
      </c>
      <c r="B967">
        <v>904.995</v>
      </c>
      <c r="C967">
        <v>616085.30799999996</v>
      </c>
      <c r="D967">
        <v>3097101.9720000001</v>
      </c>
      <c r="E967">
        <v>632.1105</v>
      </c>
      <c r="F967">
        <v>5.2</v>
      </c>
      <c r="G967">
        <v>0</v>
      </c>
      <c r="H967" t="s">
        <v>154</v>
      </c>
      <c r="I967">
        <v>0</v>
      </c>
      <c r="J967">
        <f t="shared" si="492"/>
        <v>0.99900000000002365</v>
      </c>
      <c r="K967">
        <f t="shared" ca="1" si="493"/>
        <v>50.95</v>
      </c>
      <c r="L967">
        <f t="shared" ca="1" si="494"/>
        <v>2.1389677043987478</v>
      </c>
      <c r="M967">
        <f t="shared" ca="1" si="467"/>
        <v>11.122632062873489</v>
      </c>
      <c r="N967">
        <f t="shared" ca="1" si="468"/>
        <v>1.1735290000551568</v>
      </c>
      <c r="O967">
        <f t="shared" ca="1" si="469"/>
        <v>4.5807502857230418</v>
      </c>
      <c r="P967">
        <f t="shared" ca="1" si="470"/>
        <v>634.24946770439874</v>
      </c>
      <c r="Q967">
        <f t="shared" ca="1" si="471"/>
        <v>635.31895155659811</v>
      </c>
      <c r="R967">
        <f t="shared" ca="1" si="472"/>
        <v>3.8141460404132466E-3</v>
      </c>
      <c r="S967">
        <f t="shared" ca="1" si="473"/>
        <v>1.0000000000000004</v>
      </c>
      <c r="T967">
        <f t="shared" ca="1" si="474"/>
        <v>35.686426155594638</v>
      </c>
      <c r="U967">
        <f t="shared" ca="1" si="495"/>
        <v>-3.3103318943403792E-3</v>
      </c>
      <c r="V967">
        <f t="shared" ca="1" si="496"/>
        <v>1</v>
      </c>
      <c r="W967">
        <f t="shared" ca="1" si="475"/>
        <v>2.1193833803082369</v>
      </c>
      <c r="X967">
        <f t="shared" ca="1" si="476"/>
        <v>11.020793577602833</v>
      </c>
      <c r="Y967">
        <f t="shared" ca="1" si="477"/>
        <v>1.1676094830086714</v>
      </c>
      <c r="Z967">
        <f t="shared" ca="1" si="478"/>
        <v>4.6230790588024329</v>
      </c>
      <c r="AA967">
        <f t="shared" ca="1" si="479"/>
        <v>634.22988338030825</v>
      </c>
      <c r="AB967">
        <f t="shared" ca="1" si="480"/>
        <v>635.31922384839891</v>
      </c>
      <c r="AC967">
        <f t="shared" ca="1" si="481"/>
        <v>3.9112448774683639E-3</v>
      </c>
      <c r="AD967">
        <f t="shared" ca="1" si="482"/>
        <v>1.0138928360810873</v>
      </c>
      <c r="AE967">
        <f t="shared" ca="1" si="483"/>
        <v>35.689436242201111</v>
      </c>
      <c r="AF967">
        <f t="shared" ca="1" si="484"/>
        <v>3.514732222015482E-3</v>
      </c>
      <c r="AG967">
        <f t="shared" ca="1" si="485"/>
        <v>0</v>
      </c>
      <c r="AH967">
        <f ca="1">IFERROR(IF(V32="Supercritical",MAX($D$16,IFERROR(L967,MAX($D$16,POWER((ABS(K967)^2)/($I$5*MAX(F967,0.1)^2),1/3)))),IF(V32="Subcritical",MAX($D$16,IFERROR(W967,MAX($D$16,POWER((ABS(K967)^2)/($I$5*MAX(F967,0.1)^2),1/3)))),IF(AND(IFERROR(V967,0)=1,IFERROR(AG967,0)=1),IF(IFERROR(T967,-1E+99)&gt;=IFERROR(AE967,-1E+99),MAX($D$16,IFERROR(L967,MAX($D$16,POWER((ABS(K967)^2)/($I$5*MAX(F967,0.1)^2),1/3)))),MAX($D$16,IFERROR(W967,MAX($D$16,POWER((ABS(K967)^2)/($I$5*MAX(F967,0.1)^2),1/3))))),IF(IFERROR(V967,0)=1,MAX($D$16,IFERROR(L967,MAX($D$16,POWER((ABS(K967)^2)/($I$5*MAX(F967,0.1)^2),1/3)))),IF(IFERROR(AG967,0)=1,MAX($D$16,IFERROR(W967,MAX($D$16,POWER((ABS(K967)^2)/($I$5*MAX(F967,0.1)^2),1/3)))),MAX($D$16,POWER((ABS(K967)^2)/($I$5*MAX(F967,0.1)^2),1/3))))))),MAX($D$16,POWER((ABS(K967)^2)/($I$5*MAX(F967,0.1)^2),1/3)))</f>
        <v>2.1389677043987478</v>
      </c>
      <c r="AI967">
        <f t="shared" ca="1" si="486"/>
        <v>634.24946770439874</v>
      </c>
      <c r="AJ967">
        <f t="shared" ca="1" si="487"/>
        <v>635.31895155659811</v>
      </c>
      <c r="AM967">
        <v>0</v>
      </c>
      <c r="AN967">
        <v>0</v>
      </c>
      <c r="AO967">
        <f t="shared" si="488"/>
        <v>0</v>
      </c>
      <c r="AP967">
        <f t="shared" si="497"/>
        <v>0</v>
      </c>
      <c r="AQ967">
        <f t="shared" ca="1" si="489"/>
        <v>1.0000000000000004</v>
      </c>
      <c r="AR967" t="str">
        <f t="shared" ca="1" si="490"/>
        <v>Supercritical</v>
      </c>
      <c r="AS967">
        <f t="shared" ca="1" si="491"/>
        <v>3.8141460404132466E-3</v>
      </c>
    </row>
    <row r="968" spans="1:45" x14ac:dyDescent="0.35">
      <c r="A968">
        <v>907</v>
      </c>
      <c r="B968">
        <v>905.995</v>
      </c>
      <c r="C968">
        <v>616085.26599999995</v>
      </c>
      <c r="D968">
        <v>3097100.9730000002</v>
      </c>
      <c r="E968">
        <v>632.11</v>
      </c>
      <c r="F968">
        <v>5.2</v>
      </c>
      <c r="G968">
        <v>0</v>
      </c>
      <c r="H968" t="s">
        <v>154</v>
      </c>
      <c r="I968">
        <v>5.7000000000000002E-2</v>
      </c>
      <c r="J968">
        <f t="shared" si="492"/>
        <v>1</v>
      </c>
      <c r="K968">
        <f t="shared" ca="1" si="493"/>
        <v>50.95</v>
      </c>
      <c r="L968">
        <f t="shared" ca="1" si="494"/>
        <v>2.1389677043987478</v>
      </c>
      <c r="M968">
        <f t="shared" ca="1" si="467"/>
        <v>11.122632062873489</v>
      </c>
      <c r="N968">
        <f t="shared" ca="1" si="468"/>
        <v>1.1735290000551568</v>
      </c>
      <c r="O968">
        <f t="shared" ca="1" si="469"/>
        <v>4.5807502857230418</v>
      </c>
      <c r="P968">
        <f t="shared" ca="1" si="470"/>
        <v>634.24896770439875</v>
      </c>
      <c r="Q968">
        <f t="shared" ca="1" si="471"/>
        <v>635.31845155659812</v>
      </c>
      <c r="R968">
        <f t="shared" ca="1" si="472"/>
        <v>3.8141460404132466E-3</v>
      </c>
      <c r="S968">
        <f t="shared" ca="1" si="473"/>
        <v>1.0000000000000004</v>
      </c>
      <c r="T968">
        <f t="shared" ca="1" si="474"/>
        <v>35.686426155594638</v>
      </c>
      <c r="U968">
        <f t="shared" ca="1" si="495"/>
        <v>-3.4157470064428708E-3</v>
      </c>
      <c r="V968">
        <f t="shared" ca="1" si="496"/>
        <v>1</v>
      </c>
      <c r="W968">
        <f t="shared" ca="1" si="475"/>
        <v>2.117981272044402</v>
      </c>
      <c r="X968">
        <f t="shared" ca="1" si="476"/>
        <v>11.013502614630891</v>
      </c>
      <c r="Y968">
        <f t="shared" ca="1" si="477"/>
        <v>1.1671837995510423</v>
      </c>
      <c r="Z968">
        <f t="shared" ca="1" si="478"/>
        <v>4.6261395473148985</v>
      </c>
      <c r="AA968">
        <f t="shared" ca="1" si="479"/>
        <v>634.22798127204442</v>
      </c>
      <c r="AB968">
        <f t="shared" ca="1" si="480"/>
        <v>635.31876450911022</v>
      </c>
      <c r="AC968">
        <f t="shared" ca="1" si="481"/>
        <v>3.9183296912923731E-3</v>
      </c>
      <c r="AD968">
        <f t="shared" ca="1" si="482"/>
        <v>1.0148998016221271</v>
      </c>
      <c r="AE968">
        <f t="shared" ca="1" si="483"/>
        <v>35.689884205539499</v>
      </c>
      <c r="AF968">
        <f t="shared" ca="1" si="484"/>
        <v>3.5219540988009612E-3</v>
      </c>
      <c r="AG968">
        <f t="shared" ca="1" si="485"/>
        <v>0</v>
      </c>
      <c r="AH968">
        <f ca="1">IFERROR(IF(V32="Supercritical",MAX($D$16,IFERROR(L968,MAX($D$16,POWER((ABS(K968)^2)/($I$5*MAX(F968,0.1)^2),1/3)))),IF(V32="Subcritical",MAX($D$16,IFERROR(W968,MAX($D$16,POWER((ABS(K968)^2)/($I$5*MAX(F968,0.1)^2),1/3)))),IF(AND(IFERROR(V968,0)=1,IFERROR(AG968,0)=1),IF(IFERROR(T968,-1E+99)&gt;=IFERROR(AE968,-1E+99),MAX($D$16,IFERROR(L968,MAX($D$16,POWER((ABS(K968)^2)/($I$5*MAX(F968,0.1)^2),1/3)))),MAX($D$16,IFERROR(W968,MAX($D$16,POWER((ABS(K968)^2)/($I$5*MAX(F968,0.1)^2),1/3))))),IF(IFERROR(V968,0)=1,MAX($D$16,IFERROR(L968,MAX($D$16,POWER((ABS(K968)^2)/($I$5*MAX(F968,0.1)^2),1/3)))),IF(IFERROR(AG968,0)=1,MAX($D$16,IFERROR(W968,MAX($D$16,POWER((ABS(K968)^2)/($I$5*MAX(F968,0.1)^2),1/3)))),MAX($D$16,POWER((ABS(K968)^2)/($I$5*MAX(F968,0.1)^2),1/3))))))),MAX($D$16,POWER((ABS(K968)^2)/($I$5*MAX(F968,0.1)^2),1/3)))</f>
        <v>2.1389677043987478</v>
      </c>
      <c r="AI968">
        <f t="shared" ca="1" si="486"/>
        <v>634.24896770439875</v>
      </c>
      <c r="AJ968">
        <f t="shared" ca="1" si="487"/>
        <v>635.31845155659812</v>
      </c>
      <c r="AM968">
        <v>0</v>
      </c>
      <c r="AN968">
        <v>0</v>
      </c>
      <c r="AO968">
        <f t="shared" si="488"/>
        <v>0</v>
      </c>
      <c r="AP968">
        <f t="shared" si="497"/>
        <v>0</v>
      </c>
      <c r="AQ968">
        <f t="shared" ca="1" si="489"/>
        <v>1.0000000000000004</v>
      </c>
      <c r="AR968" t="str">
        <f t="shared" ca="1" si="490"/>
        <v>Supercritical</v>
      </c>
      <c r="AS968">
        <f t="shared" ca="1" si="491"/>
        <v>3.8141460404132466E-3</v>
      </c>
    </row>
    <row r="969" spans="1:45" x14ac:dyDescent="0.35">
      <c r="A969">
        <v>908</v>
      </c>
      <c r="B969">
        <v>906.995</v>
      </c>
      <c r="C969">
        <v>616085.223</v>
      </c>
      <c r="D969">
        <v>3097099.9739999999</v>
      </c>
      <c r="E969">
        <v>632.10950000000003</v>
      </c>
      <c r="F969">
        <v>5.2</v>
      </c>
      <c r="G969">
        <v>0</v>
      </c>
      <c r="H969" t="s">
        <v>154</v>
      </c>
      <c r="I969">
        <v>5.7000000000000002E-2</v>
      </c>
      <c r="J969">
        <f t="shared" si="492"/>
        <v>1</v>
      </c>
      <c r="K969">
        <f t="shared" ca="1" si="493"/>
        <v>50.95</v>
      </c>
      <c r="L969">
        <f t="shared" ca="1" si="494"/>
        <v>2.1389677043987478</v>
      </c>
      <c r="M969">
        <f t="shared" ca="1" si="467"/>
        <v>11.122632062873489</v>
      </c>
      <c r="N969">
        <f t="shared" ca="1" si="468"/>
        <v>1.1735290000551568</v>
      </c>
      <c r="O969">
        <f t="shared" ca="1" si="469"/>
        <v>4.5807502857230418</v>
      </c>
      <c r="P969">
        <f t="shared" ca="1" si="470"/>
        <v>634.24846770439876</v>
      </c>
      <c r="Q969">
        <f t="shared" ca="1" si="471"/>
        <v>635.31795155659813</v>
      </c>
      <c r="R969">
        <f t="shared" ca="1" si="472"/>
        <v>3.8141460404132466E-3</v>
      </c>
      <c r="S969">
        <f t="shared" ca="1" si="473"/>
        <v>1.0000000000000004</v>
      </c>
      <c r="T969">
        <f t="shared" ca="1" si="474"/>
        <v>35.686426155594638</v>
      </c>
      <c r="U969">
        <f t="shared" ca="1" si="495"/>
        <v>-3.4157470064428708E-3</v>
      </c>
      <c r="V969">
        <f t="shared" ca="1" si="496"/>
        <v>1</v>
      </c>
      <c r="W969">
        <f t="shared" ca="1" si="475"/>
        <v>2.1165198069223479</v>
      </c>
      <c r="X969">
        <f t="shared" ca="1" si="476"/>
        <v>11.005902995996209</v>
      </c>
      <c r="Y969">
        <f t="shared" ca="1" si="477"/>
        <v>1.1667398258185042</v>
      </c>
      <c r="Z969">
        <f t="shared" ca="1" si="478"/>
        <v>4.6293339145851906</v>
      </c>
      <c r="AA969">
        <f t="shared" ca="1" si="479"/>
        <v>634.22601980692241</v>
      </c>
      <c r="AB969">
        <f t="shared" ca="1" si="480"/>
        <v>635.31830994416646</v>
      </c>
      <c r="AC969">
        <f t="shared" ca="1" si="481"/>
        <v>3.9257337060061431E-3</v>
      </c>
      <c r="AD969">
        <f t="shared" ca="1" si="482"/>
        <v>1.0159511714278771</v>
      </c>
      <c r="AE969">
        <f t="shared" ca="1" si="483"/>
        <v>35.690384430029212</v>
      </c>
      <c r="AF969">
        <f t="shared" ca="1" si="484"/>
        <v>3.4293746731464125E-3</v>
      </c>
      <c r="AG969">
        <f t="shared" ca="1" si="485"/>
        <v>0</v>
      </c>
      <c r="AH969">
        <f ca="1">IFERROR(IF(V32="Supercritical",MAX($D$16,IFERROR(L969,MAX($D$16,POWER((ABS(K969)^2)/($I$5*MAX(F969,0.1)^2),1/3)))),IF(V32="Subcritical",MAX($D$16,IFERROR(W969,MAX($D$16,POWER((ABS(K969)^2)/($I$5*MAX(F969,0.1)^2),1/3)))),IF(AND(IFERROR(V969,0)=1,IFERROR(AG969,0)=1),IF(IFERROR(T969,-1E+99)&gt;=IFERROR(AE969,-1E+99),MAX($D$16,IFERROR(L969,MAX($D$16,POWER((ABS(K969)^2)/($I$5*MAX(F969,0.1)^2),1/3)))),MAX($D$16,IFERROR(W969,MAX($D$16,POWER((ABS(K969)^2)/($I$5*MAX(F969,0.1)^2),1/3))))),IF(IFERROR(V969,0)=1,MAX($D$16,IFERROR(L969,MAX($D$16,POWER((ABS(K969)^2)/($I$5*MAX(F969,0.1)^2),1/3)))),IF(IFERROR(AG969,0)=1,MAX($D$16,IFERROR(W969,MAX($D$16,POWER((ABS(K969)^2)/($I$5*MAX(F969,0.1)^2),1/3)))),MAX($D$16,POWER((ABS(K969)^2)/($I$5*MAX(F969,0.1)^2),1/3))))))),MAX($D$16,POWER((ABS(K969)^2)/($I$5*MAX(F969,0.1)^2),1/3)))</f>
        <v>2.1389677043987478</v>
      </c>
      <c r="AI969">
        <f t="shared" ca="1" si="486"/>
        <v>634.24846770439876</v>
      </c>
      <c r="AJ969">
        <f t="shared" ca="1" si="487"/>
        <v>635.31795155659813</v>
      </c>
      <c r="AM969">
        <v>0</v>
      </c>
      <c r="AN969">
        <v>0</v>
      </c>
      <c r="AO969">
        <f t="shared" si="488"/>
        <v>0</v>
      </c>
      <c r="AP969">
        <f t="shared" si="497"/>
        <v>0</v>
      </c>
      <c r="AQ969">
        <f t="shared" ca="1" si="489"/>
        <v>1.0000000000000004</v>
      </c>
      <c r="AR969" t="str">
        <f t="shared" ca="1" si="490"/>
        <v>Supercritical</v>
      </c>
      <c r="AS969">
        <f t="shared" ca="1" si="491"/>
        <v>3.8141460404132466E-3</v>
      </c>
    </row>
    <row r="970" spans="1:45" x14ac:dyDescent="0.35">
      <c r="A970">
        <v>909</v>
      </c>
      <c r="B970">
        <v>907.995</v>
      </c>
      <c r="C970">
        <v>616085.18099999998</v>
      </c>
      <c r="D970">
        <v>3097098.9750000001</v>
      </c>
      <c r="E970">
        <v>632.10900000000004</v>
      </c>
      <c r="F970">
        <v>5.2</v>
      </c>
      <c r="G970">
        <v>0</v>
      </c>
      <c r="H970" t="s">
        <v>154</v>
      </c>
      <c r="I970">
        <v>2E-3</v>
      </c>
      <c r="J970">
        <f t="shared" si="492"/>
        <v>1</v>
      </c>
      <c r="K970">
        <f t="shared" ca="1" si="493"/>
        <v>50.95</v>
      </c>
      <c r="L970">
        <f t="shared" ca="1" si="494"/>
        <v>2.1389677043987478</v>
      </c>
      <c r="M970">
        <f t="shared" ca="1" si="467"/>
        <v>11.122632062873489</v>
      </c>
      <c r="N970">
        <f t="shared" ca="1" si="468"/>
        <v>1.1735290000551568</v>
      </c>
      <c r="O970">
        <f t="shared" ca="1" si="469"/>
        <v>4.5807502857230418</v>
      </c>
      <c r="P970">
        <f t="shared" ca="1" si="470"/>
        <v>634.24796770439877</v>
      </c>
      <c r="Q970">
        <f t="shared" ca="1" si="471"/>
        <v>635.31745155659814</v>
      </c>
      <c r="R970">
        <f t="shared" ca="1" si="472"/>
        <v>3.8141460404132466E-3</v>
      </c>
      <c r="S970">
        <f t="shared" ca="1" si="473"/>
        <v>1.0000000000000004</v>
      </c>
      <c r="T970">
        <f t="shared" ca="1" si="474"/>
        <v>35.686426155594638</v>
      </c>
      <c r="U970">
        <f t="shared" ca="1" si="495"/>
        <v>-3.3177109866073806E-3</v>
      </c>
      <c r="V970">
        <f t="shared" ca="1" si="496"/>
        <v>1</v>
      </c>
      <c r="W970">
        <f t="shared" ca="1" si="475"/>
        <v>2.1149967912496024</v>
      </c>
      <c r="X970">
        <f t="shared" ca="1" si="476"/>
        <v>10.997983314497933</v>
      </c>
      <c r="Y970">
        <f t="shared" ca="1" si="477"/>
        <v>1.1662768609841587</v>
      </c>
      <c r="Z970">
        <f t="shared" ca="1" si="478"/>
        <v>4.6326675121279646</v>
      </c>
      <c r="AA970">
        <f t="shared" ca="1" si="479"/>
        <v>634.22399679124965</v>
      </c>
      <c r="AB970">
        <f t="shared" ca="1" si="480"/>
        <v>635.31786061785135</v>
      </c>
      <c r="AC970">
        <f t="shared" ca="1" si="481"/>
        <v>3.933470549060394E-3</v>
      </c>
      <c r="AD970">
        <f t="shared" ca="1" si="482"/>
        <v>1.0170487532909309</v>
      </c>
      <c r="AE970">
        <f t="shared" ca="1" si="483"/>
        <v>35.690941936787226</v>
      </c>
      <c r="AF970">
        <f t="shared" ca="1" si="484"/>
        <v>3.4410502323680703E-3</v>
      </c>
      <c r="AG970">
        <f t="shared" ca="1" si="485"/>
        <v>0</v>
      </c>
      <c r="AH970">
        <f ca="1">IFERROR(IF(V32="Supercritical",MAX($D$16,IFERROR(L970,MAX($D$16,POWER((ABS(K970)^2)/($I$5*MAX(F970,0.1)^2),1/3)))),IF(V32="Subcritical",MAX($D$16,IFERROR(W970,MAX($D$16,POWER((ABS(K970)^2)/($I$5*MAX(F970,0.1)^2),1/3)))),IF(AND(IFERROR(V970,0)=1,IFERROR(AG970,0)=1),IF(IFERROR(T970,-1E+99)&gt;=IFERROR(AE970,-1E+99),MAX($D$16,IFERROR(L970,MAX($D$16,POWER((ABS(K970)^2)/($I$5*MAX(F970,0.1)^2),1/3)))),MAX($D$16,IFERROR(W970,MAX($D$16,POWER((ABS(K970)^2)/($I$5*MAX(F970,0.1)^2),1/3))))),IF(IFERROR(V970,0)=1,MAX($D$16,IFERROR(L970,MAX($D$16,POWER((ABS(K970)^2)/($I$5*MAX(F970,0.1)^2),1/3)))),IF(IFERROR(AG970,0)=1,MAX($D$16,IFERROR(W970,MAX($D$16,POWER((ABS(K970)^2)/($I$5*MAX(F970,0.1)^2),1/3)))),MAX($D$16,POWER((ABS(K970)^2)/($I$5*MAX(F970,0.1)^2),1/3))))))),MAX($D$16,POWER((ABS(K970)^2)/($I$5*MAX(F970,0.1)^2),1/3)))</f>
        <v>2.1389677043987478</v>
      </c>
      <c r="AI970">
        <f t="shared" ca="1" si="486"/>
        <v>634.24796770439877</v>
      </c>
      <c r="AJ970">
        <f t="shared" ca="1" si="487"/>
        <v>635.31745155659814</v>
      </c>
      <c r="AM970">
        <v>0</v>
      </c>
      <c r="AN970">
        <v>0</v>
      </c>
      <c r="AO970">
        <f t="shared" si="488"/>
        <v>0</v>
      </c>
      <c r="AP970">
        <f t="shared" si="497"/>
        <v>0</v>
      </c>
      <c r="AQ970">
        <f t="shared" ca="1" si="489"/>
        <v>1.0000000000000004</v>
      </c>
      <c r="AR970" t="str">
        <f t="shared" ca="1" si="490"/>
        <v>Supercritical</v>
      </c>
      <c r="AS970">
        <f t="shared" ca="1" si="491"/>
        <v>3.8141460404132466E-3</v>
      </c>
    </row>
    <row r="971" spans="1:45" x14ac:dyDescent="0.35">
      <c r="A971">
        <v>910</v>
      </c>
      <c r="B971">
        <v>908.99599999999998</v>
      </c>
      <c r="C971">
        <v>616085.13899999997</v>
      </c>
      <c r="D971">
        <v>3097097.9750000001</v>
      </c>
      <c r="E971">
        <v>632.10850000000005</v>
      </c>
      <c r="F971">
        <v>5.2</v>
      </c>
      <c r="G971">
        <v>0</v>
      </c>
      <c r="H971" t="s">
        <v>154</v>
      </c>
      <c r="I971">
        <v>2E-3</v>
      </c>
      <c r="J971">
        <f t="shared" si="492"/>
        <v>1.0009999999999764</v>
      </c>
      <c r="K971">
        <f t="shared" ca="1" si="493"/>
        <v>50.95</v>
      </c>
      <c r="L971">
        <f t="shared" ca="1" si="494"/>
        <v>2.1389677043987478</v>
      </c>
      <c r="M971">
        <f t="shared" ca="1" si="467"/>
        <v>11.122632062873489</v>
      </c>
      <c r="N971">
        <f t="shared" ca="1" si="468"/>
        <v>1.1735290000551568</v>
      </c>
      <c r="O971">
        <f t="shared" ca="1" si="469"/>
        <v>4.5807502857230418</v>
      </c>
      <c r="P971">
        <f t="shared" ca="1" si="470"/>
        <v>634.24746770439879</v>
      </c>
      <c r="Q971">
        <f t="shared" ca="1" si="471"/>
        <v>635.31695155659816</v>
      </c>
      <c r="R971">
        <f t="shared" ca="1" si="472"/>
        <v>3.8141460404132466E-3</v>
      </c>
      <c r="S971">
        <f t="shared" ca="1" si="473"/>
        <v>1.0000000000000004</v>
      </c>
      <c r="T971">
        <f t="shared" ca="1" si="474"/>
        <v>35.686426155594638</v>
      </c>
      <c r="U971">
        <f t="shared" ca="1" si="495"/>
        <v>-3.3215251326055295E-3</v>
      </c>
      <c r="V971">
        <f t="shared" ca="1" si="496"/>
        <v>1</v>
      </c>
      <c r="W971">
        <f t="shared" ca="1" si="475"/>
        <v>2.1134099803452484</v>
      </c>
      <c r="X971">
        <f t="shared" ca="1" si="476"/>
        <v>10.989731897795291</v>
      </c>
      <c r="Y971">
        <f t="shared" ca="1" si="477"/>
        <v>1.1657941854858882</v>
      </c>
      <c r="Z971">
        <f t="shared" ca="1" si="478"/>
        <v>4.636145856317146</v>
      </c>
      <c r="AA971">
        <f t="shared" ca="1" si="479"/>
        <v>634.22190998034534</v>
      </c>
      <c r="AB971">
        <f t="shared" ca="1" si="480"/>
        <v>635.31741703442515</v>
      </c>
      <c r="AC971">
        <f t="shared" ca="1" si="481"/>
        <v>3.9415543521857284E-3</v>
      </c>
      <c r="AD971">
        <f t="shared" ca="1" si="482"/>
        <v>1.0181944138324346</v>
      </c>
      <c r="AE971">
        <f t="shared" ca="1" si="483"/>
        <v>35.691562170021683</v>
      </c>
      <c r="AF971">
        <f t="shared" ca="1" si="484"/>
        <v>3.5456275222713884E-3</v>
      </c>
      <c r="AG971">
        <f t="shared" ca="1" si="485"/>
        <v>0</v>
      </c>
      <c r="AH971">
        <f ca="1">IFERROR(IF(V32="Supercritical",MAX($D$16,IFERROR(L971,MAX($D$16,POWER((ABS(K971)^2)/($I$5*MAX(F971,0.1)^2),1/3)))),IF(V32="Subcritical",MAX($D$16,IFERROR(W971,MAX($D$16,POWER((ABS(K971)^2)/($I$5*MAX(F971,0.1)^2),1/3)))),IF(AND(IFERROR(V971,0)=1,IFERROR(AG971,0)=1),IF(IFERROR(T971,-1E+99)&gt;=IFERROR(AE971,-1E+99),MAX($D$16,IFERROR(L971,MAX($D$16,POWER((ABS(K971)^2)/($I$5*MAX(F971,0.1)^2),1/3)))),MAX($D$16,IFERROR(W971,MAX($D$16,POWER((ABS(K971)^2)/($I$5*MAX(F971,0.1)^2),1/3))))),IF(IFERROR(V971,0)=1,MAX($D$16,IFERROR(L971,MAX($D$16,POWER((ABS(K971)^2)/($I$5*MAX(F971,0.1)^2),1/3)))),IF(IFERROR(AG971,0)=1,MAX($D$16,IFERROR(W971,MAX($D$16,POWER((ABS(K971)^2)/($I$5*MAX(F971,0.1)^2),1/3)))),MAX($D$16,POWER((ABS(K971)^2)/($I$5*MAX(F971,0.1)^2),1/3))))))),MAX($D$16,POWER((ABS(K971)^2)/($I$5*MAX(F971,0.1)^2),1/3)))</f>
        <v>2.1389677043987478</v>
      </c>
      <c r="AI971">
        <f t="shared" ca="1" si="486"/>
        <v>634.24746770439879</v>
      </c>
      <c r="AJ971">
        <f t="shared" ca="1" si="487"/>
        <v>635.31695155659816</v>
      </c>
      <c r="AM971">
        <v>0</v>
      </c>
      <c r="AN971">
        <v>0</v>
      </c>
      <c r="AO971">
        <f t="shared" si="488"/>
        <v>0</v>
      </c>
      <c r="AP971">
        <f t="shared" si="497"/>
        <v>0</v>
      </c>
      <c r="AQ971">
        <f t="shared" ca="1" si="489"/>
        <v>1.0000000000000004</v>
      </c>
      <c r="AR971" t="str">
        <f t="shared" ca="1" si="490"/>
        <v>Supercritical</v>
      </c>
      <c r="AS971">
        <f t="shared" ca="1" si="491"/>
        <v>3.8141460404132466E-3</v>
      </c>
    </row>
    <row r="972" spans="1:45" x14ac:dyDescent="0.35">
      <c r="A972">
        <v>911</v>
      </c>
      <c r="B972">
        <v>909.99599999999998</v>
      </c>
      <c r="C972">
        <v>616085.09699999995</v>
      </c>
      <c r="D972">
        <v>3097096.9759999998</v>
      </c>
      <c r="E972">
        <v>632.10799999999995</v>
      </c>
      <c r="F972">
        <v>5.2</v>
      </c>
      <c r="G972">
        <v>0</v>
      </c>
      <c r="H972" t="s">
        <v>154</v>
      </c>
      <c r="I972">
        <v>5.7000000000000002E-2</v>
      </c>
      <c r="J972">
        <f t="shared" si="492"/>
        <v>1</v>
      </c>
      <c r="K972">
        <f t="shared" ca="1" si="493"/>
        <v>50.95</v>
      </c>
      <c r="L972">
        <f t="shared" ca="1" si="494"/>
        <v>2.1389677043987478</v>
      </c>
      <c r="M972">
        <f t="shared" ca="1" si="467"/>
        <v>11.122632062873489</v>
      </c>
      <c r="N972">
        <f t="shared" ca="1" si="468"/>
        <v>1.1735290000551568</v>
      </c>
      <c r="O972">
        <f t="shared" ca="1" si="469"/>
        <v>4.5807502857230418</v>
      </c>
      <c r="P972">
        <f t="shared" ca="1" si="470"/>
        <v>634.24696770439868</v>
      </c>
      <c r="Q972">
        <f t="shared" ca="1" si="471"/>
        <v>635.31645155659805</v>
      </c>
      <c r="R972">
        <f t="shared" ca="1" si="472"/>
        <v>3.8141460404132466E-3</v>
      </c>
      <c r="S972">
        <f t="shared" ca="1" si="473"/>
        <v>1.0000000000000004</v>
      </c>
      <c r="T972">
        <f t="shared" ca="1" si="474"/>
        <v>35.686426155594638</v>
      </c>
      <c r="U972">
        <f t="shared" ca="1" si="495"/>
        <v>-3.4157470063291839E-3</v>
      </c>
      <c r="V972">
        <f t="shared" ca="1" si="496"/>
        <v>1</v>
      </c>
      <c r="W972">
        <f t="shared" ca="1" si="475"/>
        <v>2.1117570804052193</v>
      </c>
      <c r="X972">
        <f t="shared" ca="1" si="476"/>
        <v>10.98113681810714</v>
      </c>
      <c r="Y972">
        <f t="shared" ca="1" si="477"/>
        <v>1.1652910613510177</v>
      </c>
      <c r="Z972">
        <f t="shared" ca="1" si="478"/>
        <v>4.6397746284325452</v>
      </c>
      <c r="AA972">
        <f t="shared" ca="1" si="479"/>
        <v>634.2197570804052</v>
      </c>
      <c r="AB972">
        <f t="shared" ca="1" si="480"/>
        <v>635.31697974109056</v>
      </c>
      <c r="AC972">
        <f t="shared" ca="1" si="481"/>
        <v>3.9499997616786508E-3</v>
      </c>
      <c r="AD972">
        <f t="shared" ca="1" si="482"/>
        <v>1.0193900788875558</v>
      </c>
      <c r="AE972">
        <f t="shared" ca="1" si="483"/>
        <v>35.69225102709462</v>
      </c>
      <c r="AF972">
        <f t="shared" ca="1" si="484"/>
        <v>3.5542359144073998E-3</v>
      </c>
      <c r="AG972">
        <f t="shared" ca="1" si="485"/>
        <v>0</v>
      </c>
      <c r="AH972">
        <f ca="1">IFERROR(IF(V32="Supercritical",MAX($D$16,IFERROR(L972,MAX($D$16,POWER((ABS(K972)^2)/($I$5*MAX(F972,0.1)^2),1/3)))),IF(V32="Subcritical",MAX($D$16,IFERROR(W972,MAX($D$16,POWER((ABS(K972)^2)/($I$5*MAX(F972,0.1)^2),1/3)))),IF(AND(IFERROR(V972,0)=1,IFERROR(AG972,0)=1),IF(IFERROR(T972,-1E+99)&gt;=IFERROR(AE972,-1E+99),MAX($D$16,IFERROR(L972,MAX($D$16,POWER((ABS(K972)^2)/($I$5*MAX(F972,0.1)^2),1/3)))),MAX($D$16,IFERROR(W972,MAX($D$16,POWER((ABS(K972)^2)/($I$5*MAX(F972,0.1)^2),1/3))))),IF(IFERROR(V972,0)=1,MAX($D$16,IFERROR(L972,MAX($D$16,POWER((ABS(K972)^2)/($I$5*MAX(F972,0.1)^2),1/3)))),IF(IFERROR(AG972,0)=1,MAX($D$16,IFERROR(W972,MAX($D$16,POWER((ABS(K972)^2)/($I$5*MAX(F972,0.1)^2),1/3)))),MAX($D$16,POWER((ABS(K972)^2)/($I$5*MAX(F972,0.1)^2),1/3))))))),MAX($D$16,POWER((ABS(K972)^2)/($I$5*MAX(F972,0.1)^2),1/3)))</f>
        <v>2.1389677043987478</v>
      </c>
      <c r="AI972">
        <f t="shared" ca="1" si="486"/>
        <v>634.24696770439868</v>
      </c>
      <c r="AJ972">
        <f t="shared" ca="1" si="487"/>
        <v>635.31645155659805</v>
      </c>
      <c r="AM972">
        <v>0</v>
      </c>
      <c r="AN972">
        <v>0</v>
      </c>
      <c r="AO972">
        <f t="shared" si="488"/>
        <v>0</v>
      </c>
      <c r="AP972">
        <f t="shared" si="497"/>
        <v>0</v>
      </c>
      <c r="AQ972">
        <f t="shared" ca="1" si="489"/>
        <v>1.0000000000000004</v>
      </c>
      <c r="AR972" t="str">
        <f t="shared" ca="1" si="490"/>
        <v>Supercritical</v>
      </c>
      <c r="AS972">
        <f t="shared" ca="1" si="491"/>
        <v>3.8141460404132466E-3</v>
      </c>
    </row>
    <row r="973" spans="1:45" x14ac:dyDescent="0.35">
      <c r="A973">
        <v>912</v>
      </c>
      <c r="B973">
        <v>910.99599999999998</v>
      </c>
      <c r="C973">
        <v>616085.054</v>
      </c>
      <c r="D973">
        <v>3097095.977</v>
      </c>
      <c r="E973">
        <v>632.10749999999996</v>
      </c>
      <c r="F973">
        <v>5.2</v>
      </c>
      <c r="G973">
        <v>0</v>
      </c>
      <c r="H973" t="s">
        <v>154</v>
      </c>
      <c r="I973">
        <v>5.7000000000000002E-2</v>
      </c>
      <c r="J973">
        <f t="shared" si="492"/>
        <v>1</v>
      </c>
      <c r="K973">
        <f t="shared" ca="1" si="493"/>
        <v>50.95</v>
      </c>
      <c r="L973">
        <f t="shared" ca="1" si="494"/>
        <v>2.1389677043987478</v>
      </c>
      <c r="M973">
        <f t="shared" ca="1" si="467"/>
        <v>11.122632062873489</v>
      </c>
      <c r="N973">
        <f t="shared" ca="1" si="468"/>
        <v>1.1735290000551568</v>
      </c>
      <c r="O973">
        <f t="shared" ca="1" si="469"/>
        <v>4.5807502857230418</v>
      </c>
      <c r="P973">
        <f t="shared" ca="1" si="470"/>
        <v>634.2464677043987</v>
      </c>
      <c r="Q973">
        <f t="shared" ca="1" si="471"/>
        <v>635.31595155659807</v>
      </c>
      <c r="R973">
        <f t="shared" ca="1" si="472"/>
        <v>3.8141460404132466E-3</v>
      </c>
      <c r="S973">
        <f t="shared" ca="1" si="473"/>
        <v>1.0000000000000004</v>
      </c>
      <c r="T973">
        <f t="shared" ca="1" si="474"/>
        <v>35.686426155594638</v>
      </c>
      <c r="U973">
        <f t="shared" ca="1" si="495"/>
        <v>-3.4157470064428708E-3</v>
      </c>
      <c r="V973">
        <f t="shared" ca="1" si="496"/>
        <v>1</v>
      </c>
      <c r="W973">
        <f t="shared" ca="1" si="475"/>
        <v>2.1100357507620613</v>
      </c>
      <c r="X973">
        <f t="shared" ca="1" si="476"/>
        <v>10.972185903962719</v>
      </c>
      <c r="Y973">
        <f t="shared" ca="1" si="477"/>
        <v>1.1647667326290965</v>
      </c>
      <c r="Z973">
        <f t="shared" ca="1" si="478"/>
        <v>4.6435596740663021</v>
      </c>
      <c r="AA973">
        <f t="shared" ca="1" si="479"/>
        <v>634.21753575076207</v>
      </c>
      <c r="AB973">
        <f t="shared" ca="1" si="480"/>
        <v>635.31654933111963</v>
      </c>
      <c r="AC973">
        <f t="shared" ca="1" si="481"/>
        <v>3.9588219478694977E-3</v>
      </c>
      <c r="AD973">
        <f t="shared" ca="1" si="482"/>
        <v>1.0206377337028945</v>
      </c>
      <c r="AE973">
        <f t="shared" ca="1" si="483"/>
        <v>35.693014890009422</v>
      </c>
      <c r="AF973">
        <f t="shared" ca="1" si="484"/>
        <v>3.4588219479019244E-3</v>
      </c>
      <c r="AG973">
        <f t="shared" ca="1" si="485"/>
        <v>0</v>
      </c>
      <c r="AH973">
        <f ca="1">IFERROR(IF(V32="Supercritical",MAX($D$16,IFERROR(L973,MAX($D$16,POWER((ABS(K973)^2)/($I$5*MAX(F973,0.1)^2),1/3)))),IF(V32="Subcritical",MAX($D$16,IFERROR(W973,MAX($D$16,POWER((ABS(K973)^2)/($I$5*MAX(F973,0.1)^2),1/3)))),IF(AND(IFERROR(V973,0)=1,IFERROR(AG973,0)=1),IF(IFERROR(T973,-1E+99)&gt;=IFERROR(AE973,-1E+99),MAX($D$16,IFERROR(L973,MAX($D$16,POWER((ABS(K973)^2)/($I$5*MAX(F973,0.1)^2),1/3)))),MAX($D$16,IFERROR(W973,MAX($D$16,POWER((ABS(K973)^2)/($I$5*MAX(F973,0.1)^2),1/3))))),IF(IFERROR(V973,0)=1,MAX($D$16,IFERROR(L973,MAX($D$16,POWER((ABS(K973)^2)/($I$5*MAX(F973,0.1)^2),1/3)))),IF(IFERROR(AG973,0)=1,MAX($D$16,IFERROR(W973,MAX($D$16,POWER((ABS(K973)^2)/($I$5*MAX(F973,0.1)^2),1/3)))),MAX($D$16,POWER((ABS(K973)^2)/($I$5*MAX(F973,0.1)^2),1/3))))))),MAX($D$16,POWER((ABS(K973)^2)/($I$5*MAX(F973,0.1)^2),1/3)))</f>
        <v>2.1389677043987478</v>
      </c>
      <c r="AI973">
        <f t="shared" ca="1" si="486"/>
        <v>634.2464677043987</v>
      </c>
      <c r="AJ973">
        <f t="shared" ca="1" si="487"/>
        <v>635.31595155659807</v>
      </c>
      <c r="AM973">
        <v>0</v>
      </c>
      <c r="AN973">
        <v>0</v>
      </c>
      <c r="AO973">
        <f t="shared" si="488"/>
        <v>0</v>
      </c>
      <c r="AP973">
        <f t="shared" si="497"/>
        <v>0</v>
      </c>
      <c r="AQ973">
        <f t="shared" ca="1" si="489"/>
        <v>1.0000000000000004</v>
      </c>
      <c r="AR973" t="str">
        <f t="shared" ca="1" si="490"/>
        <v>Supercritical</v>
      </c>
      <c r="AS973">
        <f t="shared" ca="1" si="491"/>
        <v>3.8141460404132466E-3</v>
      </c>
    </row>
    <row r="974" spans="1:45" x14ac:dyDescent="0.35">
      <c r="A974">
        <v>913</v>
      </c>
      <c r="B974">
        <v>911.99599999999998</v>
      </c>
      <c r="C974">
        <v>616085.01199999999</v>
      </c>
      <c r="D974">
        <v>3097094.9780000001</v>
      </c>
      <c r="E974">
        <v>632.10699999999997</v>
      </c>
      <c r="F974">
        <v>5.2</v>
      </c>
      <c r="G974">
        <v>0</v>
      </c>
      <c r="H974" t="s">
        <v>154</v>
      </c>
      <c r="I974">
        <v>0</v>
      </c>
      <c r="J974">
        <f t="shared" si="492"/>
        <v>1</v>
      </c>
      <c r="K974">
        <f t="shared" ca="1" si="493"/>
        <v>50.95</v>
      </c>
      <c r="L974">
        <f t="shared" ca="1" si="494"/>
        <v>2.1389677043987478</v>
      </c>
      <c r="M974">
        <f t="shared" ca="1" si="467"/>
        <v>11.122632062873489</v>
      </c>
      <c r="N974">
        <f t="shared" ca="1" si="468"/>
        <v>1.1735290000551568</v>
      </c>
      <c r="O974">
        <f t="shared" ca="1" si="469"/>
        <v>4.5807502857230418</v>
      </c>
      <c r="P974">
        <f t="shared" ca="1" si="470"/>
        <v>634.24596770439871</v>
      </c>
      <c r="Q974">
        <f t="shared" ca="1" si="471"/>
        <v>635.31545155659808</v>
      </c>
      <c r="R974">
        <f t="shared" ca="1" si="472"/>
        <v>3.8141460404132466E-3</v>
      </c>
      <c r="S974">
        <f t="shared" ca="1" si="473"/>
        <v>1.0000000000000004</v>
      </c>
      <c r="T974">
        <f t="shared" ca="1" si="474"/>
        <v>35.686426155594638</v>
      </c>
      <c r="U974">
        <f t="shared" ca="1" si="495"/>
        <v>-3.3141460404522149E-3</v>
      </c>
      <c r="V974">
        <f t="shared" ca="1" si="496"/>
        <v>1</v>
      </c>
      <c r="W974">
        <f t="shared" ca="1" si="475"/>
        <v>2.1082436065740451</v>
      </c>
      <c r="X974">
        <f t="shared" ca="1" si="476"/>
        <v>10.962866754185034</v>
      </c>
      <c r="Y974">
        <f t="shared" ca="1" si="477"/>
        <v>1.1642204259437381</v>
      </c>
      <c r="Z974">
        <f t="shared" ca="1" si="478"/>
        <v>4.6475070018113671</v>
      </c>
      <c r="AA974">
        <f t="shared" ca="1" si="479"/>
        <v>634.21524360657406</v>
      </c>
      <c r="AB974">
        <f t="shared" ca="1" si="480"/>
        <v>635.31612644713903</v>
      </c>
      <c r="AC974">
        <f t="shared" ca="1" si="481"/>
        <v>3.9680366136108976E-3</v>
      </c>
      <c r="AD974">
        <f t="shared" ca="1" si="482"/>
        <v>1.0219394229206129</v>
      </c>
      <c r="AE974">
        <f t="shared" ca="1" si="483"/>
        <v>35.693860658282944</v>
      </c>
      <c r="AF974">
        <f t="shared" ca="1" si="484"/>
        <v>3.4680366136399243E-3</v>
      </c>
      <c r="AG974">
        <f t="shared" ca="1" si="485"/>
        <v>0</v>
      </c>
      <c r="AH974">
        <f ca="1">IFERROR(IF(V32="Supercritical",MAX($D$16,IFERROR(L974,MAX($D$16,POWER((ABS(K974)^2)/($I$5*MAX(F974,0.1)^2),1/3)))),IF(V32="Subcritical",MAX($D$16,IFERROR(W974,MAX($D$16,POWER((ABS(K974)^2)/($I$5*MAX(F974,0.1)^2),1/3)))),IF(AND(IFERROR(V974,0)=1,IFERROR(AG974,0)=1),IF(IFERROR(T974,-1E+99)&gt;=IFERROR(AE974,-1E+99),MAX($D$16,IFERROR(L974,MAX($D$16,POWER((ABS(K974)^2)/($I$5*MAX(F974,0.1)^2),1/3)))),MAX($D$16,IFERROR(W974,MAX($D$16,POWER((ABS(K974)^2)/($I$5*MAX(F974,0.1)^2),1/3))))),IF(IFERROR(V974,0)=1,MAX($D$16,IFERROR(L974,MAX($D$16,POWER((ABS(K974)^2)/($I$5*MAX(F974,0.1)^2),1/3)))),IF(IFERROR(AG974,0)=1,MAX($D$16,IFERROR(W974,MAX($D$16,POWER((ABS(K974)^2)/($I$5*MAX(F974,0.1)^2),1/3)))),MAX($D$16,POWER((ABS(K974)^2)/($I$5*MAX(F974,0.1)^2),1/3))))))),MAX($D$16,POWER((ABS(K974)^2)/($I$5*MAX(F974,0.1)^2),1/3)))</f>
        <v>2.1389677043987478</v>
      </c>
      <c r="AI974">
        <f t="shared" ca="1" si="486"/>
        <v>634.24596770439871</v>
      </c>
      <c r="AJ974">
        <f t="shared" ca="1" si="487"/>
        <v>635.31545155659808</v>
      </c>
      <c r="AM974">
        <v>0</v>
      </c>
      <c r="AN974">
        <v>0</v>
      </c>
      <c r="AO974">
        <f t="shared" si="488"/>
        <v>0</v>
      </c>
      <c r="AP974">
        <f t="shared" si="497"/>
        <v>0</v>
      </c>
      <c r="AQ974">
        <f t="shared" ca="1" si="489"/>
        <v>1.0000000000000004</v>
      </c>
      <c r="AR974" t="str">
        <f t="shared" ca="1" si="490"/>
        <v>Supercritical</v>
      </c>
      <c r="AS974">
        <f t="shared" ca="1" si="491"/>
        <v>3.8141460404132466E-3</v>
      </c>
    </row>
    <row r="975" spans="1:45" x14ac:dyDescent="0.35">
      <c r="A975">
        <v>914</v>
      </c>
      <c r="B975">
        <v>912.99599999999998</v>
      </c>
      <c r="C975">
        <v>616084.97</v>
      </c>
      <c r="D975">
        <v>3097093.9789999998</v>
      </c>
      <c r="E975">
        <v>632.10649999999998</v>
      </c>
      <c r="F975">
        <v>5.2</v>
      </c>
      <c r="G975">
        <v>0</v>
      </c>
      <c r="H975" t="s">
        <v>154</v>
      </c>
      <c r="I975">
        <v>0</v>
      </c>
      <c r="J975">
        <f t="shared" si="492"/>
        <v>1</v>
      </c>
      <c r="K975">
        <f t="shared" ca="1" si="493"/>
        <v>50.95</v>
      </c>
      <c r="L975">
        <f t="shared" ca="1" si="494"/>
        <v>2.1389677043987478</v>
      </c>
      <c r="M975">
        <f t="shared" ca="1" si="467"/>
        <v>11.122632062873489</v>
      </c>
      <c r="N975">
        <f t="shared" ca="1" si="468"/>
        <v>1.1735290000551568</v>
      </c>
      <c r="O975">
        <f t="shared" ca="1" si="469"/>
        <v>4.5807502857230418</v>
      </c>
      <c r="P975">
        <f t="shared" ca="1" si="470"/>
        <v>634.24546770439872</v>
      </c>
      <c r="Q975">
        <f t="shared" ca="1" si="471"/>
        <v>635.31495155659809</v>
      </c>
      <c r="R975">
        <f t="shared" ca="1" si="472"/>
        <v>3.8141460404132466E-3</v>
      </c>
      <c r="S975">
        <f t="shared" ca="1" si="473"/>
        <v>1.0000000000000004</v>
      </c>
      <c r="T975">
        <f t="shared" ca="1" si="474"/>
        <v>35.686426155594638</v>
      </c>
      <c r="U975">
        <f t="shared" ca="1" si="495"/>
        <v>-3.3141460404522149E-3</v>
      </c>
      <c r="V975">
        <f t="shared" ca="1" si="496"/>
        <v>1</v>
      </c>
      <c r="W975">
        <f t="shared" ca="1" si="475"/>
        <v>2.1063782219796834</v>
      </c>
      <c r="X975">
        <f t="shared" ca="1" si="476"/>
        <v>10.953166754294354</v>
      </c>
      <c r="Y975">
        <f t="shared" ca="1" si="477"/>
        <v>1.163651351174984</v>
      </c>
      <c r="Z975">
        <f t="shared" ca="1" si="478"/>
        <v>4.6516227811490483</v>
      </c>
      <c r="AA975">
        <f t="shared" ca="1" si="479"/>
        <v>634.21287822197962</v>
      </c>
      <c r="AB975">
        <f t="shared" ca="1" si="480"/>
        <v>635.31571178457421</v>
      </c>
      <c r="AC975">
        <f t="shared" ca="1" si="481"/>
        <v>3.9776600016094366E-3</v>
      </c>
      <c r="AD975">
        <f t="shared" ca="1" si="482"/>
        <v>1.0232972503221753</v>
      </c>
      <c r="AE975">
        <f t="shared" ca="1" si="483"/>
        <v>35.694795783139725</v>
      </c>
      <c r="AF975">
        <f t="shared" ca="1" si="484"/>
        <v>3.5784515299610575E-3</v>
      </c>
      <c r="AG975">
        <f t="shared" ca="1" si="485"/>
        <v>0</v>
      </c>
      <c r="AH975">
        <f ca="1">IFERROR(IF(V32="Supercritical",MAX($D$16,IFERROR(L975,MAX($D$16,POWER((ABS(K975)^2)/($I$5*MAX(F975,0.1)^2),1/3)))),IF(V32="Subcritical",MAX($D$16,IFERROR(W975,MAX($D$16,POWER((ABS(K975)^2)/($I$5*MAX(F975,0.1)^2),1/3)))),IF(AND(IFERROR(V975,0)=1,IFERROR(AG975,0)=1),IF(IFERROR(T975,-1E+99)&gt;=IFERROR(AE975,-1E+99),MAX($D$16,IFERROR(L975,MAX($D$16,POWER((ABS(K975)^2)/($I$5*MAX(F975,0.1)^2),1/3)))),MAX($D$16,IFERROR(W975,MAX($D$16,POWER((ABS(K975)^2)/($I$5*MAX(F975,0.1)^2),1/3))))),IF(IFERROR(V975,0)=1,MAX($D$16,IFERROR(L975,MAX($D$16,POWER((ABS(K975)^2)/($I$5*MAX(F975,0.1)^2),1/3)))),IF(IFERROR(AG975,0)=1,MAX($D$16,IFERROR(W975,MAX($D$16,POWER((ABS(K975)^2)/($I$5*MAX(F975,0.1)^2),1/3)))),MAX($D$16,POWER((ABS(K975)^2)/($I$5*MAX(F975,0.1)^2),1/3))))))),MAX($D$16,POWER((ABS(K975)^2)/($I$5*MAX(F975,0.1)^2),1/3)))</f>
        <v>2.1389677043987478</v>
      </c>
      <c r="AI975">
        <f t="shared" ca="1" si="486"/>
        <v>634.24546770439872</v>
      </c>
      <c r="AJ975">
        <f t="shared" ca="1" si="487"/>
        <v>635.31495155659809</v>
      </c>
      <c r="AM975">
        <v>0</v>
      </c>
      <c r="AN975">
        <v>0</v>
      </c>
      <c r="AO975">
        <f t="shared" si="488"/>
        <v>0</v>
      </c>
      <c r="AP975">
        <f t="shared" si="497"/>
        <v>0</v>
      </c>
      <c r="AQ975">
        <f t="shared" ca="1" si="489"/>
        <v>1.0000000000000004</v>
      </c>
      <c r="AR975" t="str">
        <f t="shared" ca="1" si="490"/>
        <v>Supercritical</v>
      </c>
      <c r="AS975">
        <f t="shared" ca="1" si="491"/>
        <v>3.8141460404132466E-3</v>
      </c>
    </row>
    <row r="976" spans="1:45" x14ac:dyDescent="0.35">
      <c r="A976">
        <v>915</v>
      </c>
      <c r="B976">
        <v>913.995</v>
      </c>
      <c r="C976">
        <v>616084.92799999996</v>
      </c>
      <c r="D976">
        <v>3097092.98</v>
      </c>
      <c r="E976">
        <v>632.10599999999999</v>
      </c>
      <c r="F976">
        <v>5.2</v>
      </c>
      <c r="G976">
        <v>0</v>
      </c>
      <c r="H976" t="s">
        <v>154</v>
      </c>
      <c r="I976">
        <v>5.7000000000000002E-2</v>
      </c>
      <c r="J976">
        <f t="shared" si="492"/>
        <v>0.99900000000002365</v>
      </c>
      <c r="K976">
        <f t="shared" ca="1" si="493"/>
        <v>50.95</v>
      </c>
      <c r="L976">
        <f t="shared" ca="1" si="494"/>
        <v>2.1389677043987478</v>
      </c>
      <c r="M976">
        <f t="shared" ca="1" si="467"/>
        <v>11.122632062873489</v>
      </c>
      <c r="N976">
        <f t="shared" ca="1" si="468"/>
        <v>1.1735290000551568</v>
      </c>
      <c r="O976">
        <f t="shared" ca="1" si="469"/>
        <v>4.5807502857230418</v>
      </c>
      <c r="P976">
        <f t="shared" ca="1" si="470"/>
        <v>634.24496770439873</v>
      </c>
      <c r="Q976">
        <f t="shared" ca="1" si="471"/>
        <v>635.3144515565981</v>
      </c>
      <c r="R976">
        <f t="shared" ca="1" si="472"/>
        <v>3.8141460404132466E-3</v>
      </c>
      <c r="S976">
        <f t="shared" ca="1" si="473"/>
        <v>1.0000000000000004</v>
      </c>
      <c r="T976">
        <f t="shared" ca="1" si="474"/>
        <v>35.686426155594638</v>
      </c>
      <c r="U976">
        <f t="shared" ca="1" si="495"/>
        <v>-3.411932860331035E-3</v>
      </c>
      <c r="V976">
        <f t="shared" ca="1" si="496"/>
        <v>1</v>
      </c>
      <c r="W976">
        <f t="shared" ca="1" si="475"/>
        <v>2.1044371337551624</v>
      </c>
      <c r="X976">
        <f t="shared" ca="1" si="476"/>
        <v>10.943073095526845</v>
      </c>
      <c r="Y976">
        <f t="shared" ca="1" si="477"/>
        <v>1.1630587022843153</v>
      </c>
      <c r="Z976">
        <f t="shared" ca="1" si="478"/>
        <v>4.655913339446359</v>
      </c>
      <c r="AA976">
        <f t="shared" ca="1" si="479"/>
        <v>634.21043713375514</v>
      </c>
      <c r="AB976">
        <f t="shared" ca="1" si="480"/>
        <v>635.31530609524521</v>
      </c>
      <c r="AC976">
        <f t="shared" ca="1" si="481"/>
        <v>3.9877089004038517E-3</v>
      </c>
      <c r="AD976">
        <f t="shared" ca="1" si="482"/>
        <v>1.0247133783023008</v>
      </c>
      <c r="AE976">
        <f t="shared" ca="1" si="483"/>
        <v>35.695828302940512</v>
      </c>
      <c r="AF976">
        <f t="shared" ca="1" si="484"/>
        <v>3.5926714516563152E-3</v>
      </c>
      <c r="AG976">
        <f t="shared" ca="1" si="485"/>
        <v>0</v>
      </c>
      <c r="AH976">
        <f ca="1">IFERROR(IF(V32="Supercritical",MAX($D$16,IFERROR(L976,MAX($D$16,POWER((ABS(K976)^2)/($I$5*MAX(F976,0.1)^2),1/3)))),IF(V32="Subcritical",MAX($D$16,IFERROR(W976,MAX($D$16,POWER((ABS(K976)^2)/($I$5*MAX(F976,0.1)^2),1/3)))),IF(AND(IFERROR(V976,0)=1,IFERROR(AG976,0)=1),IF(IFERROR(T976,-1E+99)&gt;=IFERROR(AE976,-1E+99),MAX($D$16,IFERROR(L976,MAX($D$16,POWER((ABS(K976)^2)/($I$5*MAX(F976,0.1)^2),1/3)))),MAX($D$16,IFERROR(W976,MAX($D$16,POWER((ABS(K976)^2)/($I$5*MAX(F976,0.1)^2),1/3))))),IF(IFERROR(V976,0)=1,MAX($D$16,IFERROR(L976,MAX($D$16,POWER((ABS(K976)^2)/($I$5*MAX(F976,0.1)^2),1/3)))),IF(IFERROR(AG976,0)=1,MAX($D$16,IFERROR(W976,MAX($D$16,POWER((ABS(K976)^2)/($I$5*MAX(F976,0.1)^2),1/3)))),MAX($D$16,POWER((ABS(K976)^2)/($I$5*MAX(F976,0.1)^2),1/3))))))),MAX($D$16,POWER((ABS(K976)^2)/($I$5*MAX(F976,0.1)^2),1/3)))</f>
        <v>2.1389677043987478</v>
      </c>
      <c r="AI976">
        <f t="shared" ca="1" si="486"/>
        <v>634.24496770439873</v>
      </c>
      <c r="AJ976">
        <f t="shared" ca="1" si="487"/>
        <v>635.3144515565981</v>
      </c>
      <c r="AM976">
        <v>0</v>
      </c>
      <c r="AN976">
        <v>0</v>
      </c>
      <c r="AO976">
        <f t="shared" si="488"/>
        <v>0</v>
      </c>
      <c r="AP976">
        <f t="shared" si="497"/>
        <v>0</v>
      </c>
      <c r="AQ976">
        <f t="shared" ca="1" si="489"/>
        <v>1.0000000000000004</v>
      </c>
      <c r="AR976" t="str">
        <f t="shared" ca="1" si="490"/>
        <v>Supercritical</v>
      </c>
      <c r="AS976">
        <f t="shared" ca="1" si="491"/>
        <v>3.8141460404132466E-3</v>
      </c>
    </row>
    <row r="977" spans="1:45" x14ac:dyDescent="0.35">
      <c r="A977">
        <v>916</v>
      </c>
      <c r="B977">
        <v>914.995</v>
      </c>
      <c r="C977">
        <v>616084.88500000001</v>
      </c>
      <c r="D977">
        <v>3097091.9810000001</v>
      </c>
      <c r="E977">
        <v>632.10550000000001</v>
      </c>
      <c r="F977">
        <v>5.2</v>
      </c>
      <c r="G977">
        <v>0</v>
      </c>
      <c r="H977" t="s">
        <v>154</v>
      </c>
      <c r="I977">
        <v>5.7000000000000002E-2</v>
      </c>
      <c r="J977">
        <f t="shared" si="492"/>
        <v>1</v>
      </c>
      <c r="K977">
        <f t="shared" ca="1" si="493"/>
        <v>50.95</v>
      </c>
      <c r="L977">
        <f t="shared" ca="1" si="494"/>
        <v>2.1389677043987478</v>
      </c>
      <c r="M977">
        <f t="shared" ca="1" si="467"/>
        <v>11.122632062873489</v>
      </c>
      <c r="N977">
        <f t="shared" ca="1" si="468"/>
        <v>1.1735290000551568</v>
      </c>
      <c r="O977">
        <f t="shared" ca="1" si="469"/>
        <v>4.5807502857230418</v>
      </c>
      <c r="P977">
        <f t="shared" ca="1" si="470"/>
        <v>634.24446770439874</v>
      </c>
      <c r="Q977">
        <f t="shared" ca="1" si="471"/>
        <v>635.31395155659811</v>
      </c>
      <c r="R977">
        <f t="shared" ca="1" si="472"/>
        <v>3.8141460404132466E-3</v>
      </c>
      <c r="S977">
        <f t="shared" ca="1" si="473"/>
        <v>1.0000000000000004</v>
      </c>
      <c r="T977">
        <f t="shared" ca="1" si="474"/>
        <v>35.686426155594638</v>
      </c>
      <c r="U977">
        <f t="shared" ca="1" si="495"/>
        <v>-3.4157470064428708E-3</v>
      </c>
      <c r="V977">
        <f t="shared" ca="1" si="496"/>
        <v>1</v>
      </c>
      <c r="W977">
        <f t="shared" ca="1" si="475"/>
        <v>2.102417845513564</v>
      </c>
      <c r="X977">
        <f t="shared" ca="1" si="476"/>
        <v>10.932572796670533</v>
      </c>
      <c r="Y977">
        <f t="shared" ca="1" si="477"/>
        <v>1.1624416582951016</v>
      </c>
      <c r="Z977">
        <f t="shared" ca="1" si="478"/>
        <v>4.660385157967263</v>
      </c>
      <c r="AA977">
        <f t="shared" ca="1" si="479"/>
        <v>634.20791784551352</v>
      </c>
      <c r="AB977">
        <f t="shared" ca="1" si="480"/>
        <v>635.3149101911099</v>
      </c>
      <c r="AC977">
        <f t="shared" ca="1" si="481"/>
        <v>3.9982006487718222E-3</v>
      </c>
      <c r="AD977">
        <f t="shared" ca="1" si="482"/>
        <v>1.0261900270412885</v>
      </c>
      <c r="AE977">
        <f t="shared" ca="1" si="483"/>
        <v>35.696966879727746</v>
      </c>
      <c r="AF977">
        <f t="shared" ca="1" si="484"/>
        <v>3.4982006487780382E-3</v>
      </c>
      <c r="AG977">
        <f t="shared" ca="1" si="485"/>
        <v>0</v>
      </c>
      <c r="AH977">
        <f ca="1">IFERROR(IF(V32="Supercritical",MAX($D$16,IFERROR(L977,MAX($D$16,POWER((ABS(K977)^2)/($I$5*MAX(F977,0.1)^2),1/3)))),IF(V32="Subcritical",MAX($D$16,IFERROR(W977,MAX($D$16,POWER((ABS(K977)^2)/($I$5*MAX(F977,0.1)^2),1/3)))),IF(AND(IFERROR(V977,0)=1,IFERROR(AG977,0)=1),IF(IFERROR(T977,-1E+99)&gt;=IFERROR(AE977,-1E+99),MAX($D$16,IFERROR(L977,MAX($D$16,POWER((ABS(K977)^2)/($I$5*MAX(F977,0.1)^2),1/3)))),MAX($D$16,IFERROR(W977,MAX($D$16,POWER((ABS(K977)^2)/($I$5*MAX(F977,0.1)^2),1/3))))),IF(IFERROR(V977,0)=1,MAX($D$16,IFERROR(L977,MAX($D$16,POWER((ABS(K977)^2)/($I$5*MAX(F977,0.1)^2),1/3)))),IF(IFERROR(AG977,0)=1,MAX($D$16,IFERROR(W977,MAX($D$16,POWER((ABS(K977)^2)/($I$5*MAX(F977,0.1)^2),1/3)))),MAX($D$16,POWER((ABS(K977)^2)/($I$5*MAX(F977,0.1)^2),1/3))))))),MAX($D$16,POWER((ABS(K977)^2)/($I$5*MAX(F977,0.1)^2),1/3)))</f>
        <v>2.1389677043987478</v>
      </c>
      <c r="AI977">
        <f t="shared" ca="1" si="486"/>
        <v>634.24446770439874</v>
      </c>
      <c r="AJ977">
        <f t="shared" ca="1" si="487"/>
        <v>635.31395155659811</v>
      </c>
      <c r="AM977">
        <v>0</v>
      </c>
      <c r="AN977">
        <v>0</v>
      </c>
      <c r="AO977">
        <f t="shared" si="488"/>
        <v>0</v>
      </c>
      <c r="AP977">
        <f t="shared" si="497"/>
        <v>0</v>
      </c>
      <c r="AQ977">
        <f t="shared" ca="1" si="489"/>
        <v>1.0000000000000004</v>
      </c>
      <c r="AR977" t="str">
        <f t="shared" ca="1" si="490"/>
        <v>Supercritical</v>
      </c>
      <c r="AS977">
        <f t="shared" ca="1" si="491"/>
        <v>3.8141460404132466E-3</v>
      </c>
    </row>
    <row r="978" spans="1:45" x14ac:dyDescent="0.35">
      <c r="A978">
        <v>917</v>
      </c>
      <c r="B978">
        <v>915.995</v>
      </c>
      <c r="C978">
        <v>616084.84299999999</v>
      </c>
      <c r="D978">
        <v>3097090.9819999998</v>
      </c>
      <c r="E978">
        <v>632.10500000000002</v>
      </c>
      <c r="F978">
        <v>5.2</v>
      </c>
      <c r="G978">
        <v>0</v>
      </c>
      <c r="H978" t="s">
        <v>154</v>
      </c>
      <c r="I978">
        <v>0</v>
      </c>
      <c r="J978">
        <f t="shared" si="492"/>
        <v>1</v>
      </c>
      <c r="K978">
        <f t="shared" ca="1" si="493"/>
        <v>50.95</v>
      </c>
      <c r="L978">
        <f t="shared" ca="1" si="494"/>
        <v>2.1389677043987478</v>
      </c>
      <c r="M978">
        <f t="shared" ca="1" si="467"/>
        <v>11.122632062873489</v>
      </c>
      <c r="N978">
        <f t="shared" ca="1" si="468"/>
        <v>1.1735290000551568</v>
      </c>
      <c r="O978">
        <f t="shared" ca="1" si="469"/>
        <v>4.5807502857230418</v>
      </c>
      <c r="P978">
        <f t="shared" ca="1" si="470"/>
        <v>634.24396770439876</v>
      </c>
      <c r="Q978">
        <f t="shared" ca="1" si="471"/>
        <v>635.31345155659812</v>
      </c>
      <c r="R978">
        <f t="shared" ca="1" si="472"/>
        <v>3.8141460404132466E-3</v>
      </c>
      <c r="S978">
        <f t="shared" ca="1" si="473"/>
        <v>1.0000000000000004</v>
      </c>
      <c r="T978">
        <f t="shared" ca="1" si="474"/>
        <v>35.686426155594638</v>
      </c>
      <c r="U978">
        <f t="shared" ca="1" si="495"/>
        <v>-3.3141460404522149E-3</v>
      </c>
      <c r="V978">
        <f t="shared" ca="1" si="496"/>
        <v>1</v>
      </c>
      <c r="W978">
        <f t="shared" ca="1" si="475"/>
        <v>2.100317832485767</v>
      </c>
      <c r="X978">
        <f t="shared" ca="1" si="476"/>
        <v>10.921652728925988</v>
      </c>
      <c r="Y978">
        <f t="shared" ca="1" si="477"/>
        <v>1.1617993844418455</v>
      </c>
      <c r="Z978">
        <f t="shared" ca="1" si="478"/>
        <v>4.6650448667955695</v>
      </c>
      <c r="AA978">
        <f t="shared" ca="1" si="479"/>
        <v>634.20531783248578</v>
      </c>
      <c r="AB978">
        <f t="shared" ca="1" si="480"/>
        <v>635.31452494814403</v>
      </c>
      <c r="AC978">
        <f t="shared" ca="1" si="481"/>
        <v>4.0091531383254497E-3</v>
      </c>
      <c r="AD978">
        <f t="shared" ca="1" si="482"/>
        <v>1.0277294733414843</v>
      </c>
      <c r="AE978">
        <f t="shared" ca="1" si="483"/>
        <v>35.698220836737065</v>
      </c>
      <c r="AF978">
        <f t="shared" ca="1" si="484"/>
        <v>3.6108304573190253E-3</v>
      </c>
      <c r="AG978">
        <f t="shared" ca="1" si="485"/>
        <v>0</v>
      </c>
      <c r="AH978">
        <f ca="1">IFERROR(IF(V32="Supercritical",MAX($D$16,IFERROR(L978,MAX($D$16,POWER((ABS(K978)^2)/($I$5*MAX(F978,0.1)^2),1/3)))),IF(V32="Subcritical",MAX($D$16,IFERROR(W978,MAX($D$16,POWER((ABS(K978)^2)/($I$5*MAX(F978,0.1)^2),1/3)))),IF(AND(IFERROR(V978,0)=1,IFERROR(AG978,0)=1),IF(IFERROR(T978,-1E+99)&gt;=IFERROR(AE978,-1E+99),MAX($D$16,IFERROR(L978,MAX($D$16,POWER((ABS(K978)^2)/($I$5*MAX(F978,0.1)^2),1/3)))),MAX($D$16,IFERROR(W978,MAX($D$16,POWER((ABS(K978)^2)/($I$5*MAX(F978,0.1)^2),1/3))))),IF(IFERROR(V978,0)=1,MAX($D$16,IFERROR(L978,MAX($D$16,POWER((ABS(K978)^2)/($I$5*MAX(F978,0.1)^2),1/3)))),IF(IFERROR(AG978,0)=1,MAX($D$16,IFERROR(W978,MAX($D$16,POWER((ABS(K978)^2)/($I$5*MAX(F978,0.1)^2),1/3)))),MAX($D$16,POWER((ABS(K978)^2)/($I$5*MAX(F978,0.1)^2),1/3))))))),MAX($D$16,POWER((ABS(K978)^2)/($I$5*MAX(F978,0.1)^2),1/3)))</f>
        <v>2.1389677043987478</v>
      </c>
      <c r="AI978">
        <f t="shared" ca="1" si="486"/>
        <v>634.24396770439876</v>
      </c>
      <c r="AJ978">
        <f t="shared" ca="1" si="487"/>
        <v>635.31345155659812</v>
      </c>
      <c r="AM978">
        <v>0</v>
      </c>
      <c r="AN978">
        <v>0</v>
      </c>
      <c r="AO978">
        <f t="shared" si="488"/>
        <v>0</v>
      </c>
      <c r="AP978">
        <f t="shared" si="497"/>
        <v>0</v>
      </c>
      <c r="AQ978">
        <f t="shared" ca="1" si="489"/>
        <v>1.0000000000000004</v>
      </c>
      <c r="AR978" t="str">
        <f t="shared" ca="1" si="490"/>
        <v>Supercritical</v>
      </c>
      <c r="AS978">
        <f t="shared" ca="1" si="491"/>
        <v>3.8141460404132466E-3</v>
      </c>
    </row>
    <row r="979" spans="1:45" x14ac:dyDescent="0.35">
      <c r="A979">
        <v>918</v>
      </c>
      <c r="B979">
        <v>916.995</v>
      </c>
      <c r="C979">
        <v>616084.80099999998</v>
      </c>
      <c r="D979">
        <v>3097089.983</v>
      </c>
      <c r="E979">
        <v>632.10450000000003</v>
      </c>
      <c r="F979">
        <v>5.2</v>
      </c>
      <c r="G979">
        <v>0</v>
      </c>
      <c r="H979" t="s">
        <v>154</v>
      </c>
      <c r="I979">
        <v>5.5E-2</v>
      </c>
      <c r="J979">
        <f t="shared" si="492"/>
        <v>1</v>
      </c>
      <c r="K979">
        <f t="shared" ca="1" si="493"/>
        <v>50.95</v>
      </c>
      <c r="L979">
        <f t="shared" ca="1" si="494"/>
        <v>2.1389677043987478</v>
      </c>
      <c r="M979">
        <f t="shared" ca="1" si="467"/>
        <v>11.122632062873489</v>
      </c>
      <c r="N979">
        <f t="shared" ca="1" si="468"/>
        <v>1.1735290000551568</v>
      </c>
      <c r="O979">
        <f t="shared" ca="1" si="469"/>
        <v>4.5807502857230418</v>
      </c>
      <c r="P979">
        <f t="shared" ca="1" si="470"/>
        <v>634.24346770439877</v>
      </c>
      <c r="Q979">
        <f t="shared" ca="1" si="471"/>
        <v>635.31295155659814</v>
      </c>
      <c r="R979">
        <f t="shared" ca="1" si="472"/>
        <v>3.8141460404132466E-3</v>
      </c>
      <c r="S979">
        <f t="shared" ca="1" si="473"/>
        <v>1.0000000000000004</v>
      </c>
      <c r="T979">
        <f t="shared" ca="1" si="474"/>
        <v>35.686426155594638</v>
      </c>
      <c r="U979">
        <f t="shared" ca="1" si="495"/>
        <v>-3.4121820602877051E-3</v>
      </c>
      <c r="V979">
        <f t="shared" ca="1" si="496"/>
        <v>1</v>
      </c>
      <c r="W979">
        <f t="shared" ca="1" si="475"/>
        <v>2.0981345469235961</v>
      </c>
      <c r="X979">
        <f t="shared" ca="1" si="476"/>
        <v>10.9102996440027</v>
      </c>
      <c r="Y979">
        <f t="shared" ca="1" si="477"/>
        <v>1.1611310335021074</v>
      </c>
      <c r="Z979">
        <f t="shared" ca="1" si="478"/>
        <v>4.6698992385609488</v>
      </c>
      <c r="AA979">
        <f t="shared" ca="1" si="479"/>
        <v>634.2026345469236</v>
      </c>
      <c r="AB979">
        <f t="shared" ca="1" si="480"/>
        <v>635.31415131034419</v>
      </c>
      <c r="AC979">
        <f t="shared" ca="1" si="481"/>
        <v>4.0205848140325287E-3</v>
      </c>
      <c r="AD979">
        <f t="shared" ca="1" si="482"/>
        <v>1.0293340490912213</v>
      </c>
      <c r="AE979">
        <f t="shared" ca="1" si="483"/>
        <v>35.699600196686703</v>
      </c>
      <c r="AF979">
        <f t="shared" ca="1" si="484"/>
        <v>3.626494435479799E-3</v>
      </c>
      <c r="AG979">
        <f t="shared" ca="1" si="485"/>
        <v>0</v>
      </c>
      <c r="AH979">
        <f ca="1">IFERROR(IF(V32="Supercritical",MAX($D$16,IFERROR(L979,MAX($D$16,POWER((ABS(K979)^2)/($I$5*MAX(F979,0.1)^2),1/3)))),IF(V32="Subcritical",MAX($D$16,IFERROR(W979,MAX($D$16,POWER((ABS(K979)^2)/($I$5*MAX(F979,0.1)^2),1/3)))),IF(AND(IFERROR(V979,0)=1,IFERROR(AG979,0)=1),IF(IFERROR(T979,-1E+99)&gt;=IFERROR(AE979,-1E+99),MAX($D$16,IFERROR(L979,MAX($D$16,POWER((ABS(K979)^2)/($I$5*MAX(F979,0.1)^2),1/3)))),MAX($D$16,IFERROR(W979,MAX($D$16,POWER((ABS(K979)^2)/($I$5*MAX(F979,0.1)^2),1/3))))),IF(IFERROR(V979,0)=1,MAX($D$16,IFERROR(L979,MAX($D$16,POWER((ABS(K979)^2)/($I$5*MAX(F979,0.1)^2),1/3)))),IF(IFERROR(AG979,0)=1,MAX($D$16,IFERROR(W979,MAX($D$16,POWER((ABS(K979)^2)/($I$5*MAX(F979,0.1)^2),1/3)))),MAX($D$16,POWER((ABS(K979)^2)/($I$5*MAX(F979,0.1)^2),1/3))))))),MAX($D$16,POWER((ABS(K979)^2)/($I$5*MAX(F979,0.1)^2),1/3)))</f>
        <v>2.1389677043987478</v>
      </c>
      <c r="AI979">
        <f t="shared" ca="1" si="486"/>
        <v>634.24346770439877</v>
      </c>
      <c r="AJ979">
        <f t="shared" ca="1" si="487"/>
        <v>635.31295155659814</v>
      </c>
      <c r="AM979">
        <v>0</v>
      </c>
      <c r="AN979">
        <v>0</v>
      </c>
      <c r="AO979">
        <f t="shared" si="488"/>
        <v>0</v>
      </c>
      <c r="AP979">
        <f t="shared" si="497"/>
        <v>0</v>
      </c>
      <c r="AQ979">
        <f t="shared" ca="1" si="489"/>
        <v>1.0000000000000004</v>
      </c>
      <c r="AR979" t="str">
        <f t="shared" ca="1" si="490"/>
        <v>Supercritical</v>
      </c>
      <c r="AS979">
        <f t="shared" ca="1" si="491"/>
        <v>3.8141460404132466E-3</v>
      </c>
    </row>
    <row r="980" spans="1:45" x14ac:dyDescent="0.35">
      <c r="A980">
        <v>919</v>
      </c>
      <c r="B980">
        <v>917.99599999999998</v>
      </c>
      <c r="C980">
        <v>616084.75800000003</v>
      </c>
      <c r="D980">
        <v>3097088.983</v>
      </c>
      <c r="E980">
        <v>632.10400000000004</v>
      </c>
      <c r="F980">
        <v>5.2</v>
      </c>
      <c r="G980">
        <v>0</v>
      </c>
      <c r="H980" t="s">
        <v>154</v>
      </c>
      <c r="I980">
        <v>5.5E-2</v>
      </c>
      <c r="J980">
        <f t="shared" si="492"/>
        <v>1.0009999999999764</v>
      </c>
      <c r="K980">
        <f t="shared" ca="1" si="493"/>
        <v>50.95</v>
      </c>
      <c r="L980">
        <f t="shared" ca="1" si="494"/>
        <v>2.1389677043987478</v>
      </c>
      <c r="M980">
        <f t="shared" ca="1" si="467"/>
        <v>11.122632062873489</v>
      </c>
      <c r="N980">
        <f t="shared" ca="1" si="468"/>
        <v>1.1735290000551568</v>
      </c>
      <c r="O980">
        <f t="shared" ca="1" si="469"/>
        <v>4.5807502857230418</v>
      </c>
      <c r="P980">
        <f t="shared" ca="1" si="470"/>
        <v>634.24296770439878</v>
      </c>
      <c r="Q980">
        <f t="shared" ca="1" si="471"/>
        <v>635.31245155659815</v>
      </c>
      <c r="R980">
        <f t="shared" ca="1" si="472"/>
        <v>3.8141460404132466E-3</v>
      </c>
      <c r="S980">
        <f t="shared" ca="1" si="473"/>
        <v>1.0000000000000004</v>
      </c>
      <c r="T980">
        <f t="shared" ca="1" si="474"/>
        <v>35.686426155594638</v>
      </c>
      <c r="U980">
        <f t="shared" ca="1" si="495"/>
        <v>-3.415996206285854E-3</v>
      </c>
      <c r="V980">
        <f t="shared" ca="1" si="496"/>
        <v>1</v>
      </c>
      <c r="W980">
        <f t="shared" ca="1" si="475"/>
        <v>2.0958654241664521</v>
      </c>
      <c r="X980">
        <f t="shared" ca="1" si="476"/>
        <v>10.898500205665551</v>
      </c>
      <c r="Y980">
        <f t="shared" ca="1" si="477"/>
        <v>1.1604357473255429</v>
      </c>
      <c r="Z980">
        <f t="shared" ca="1" si="478"/>
        <v>4.674955180852665</v>
      </c>
      <c r="AA980">
        <f t="shared" ca="1" si="479"/>
        <v>634.19986542416655</v>
      </c>
      <c r="AB980">
        <f t="shared" ca="1" si="480"/>
        <v>635.31379029383936</v>
      </c>
      <c r="AC980">
        <f t="shared" ca="1" si="481"/>
        <v>4.0325146723745016E-3</v>
      </c>
      <c r="AD980">
        <f t="shared" ca="1" si="482"/>
        <v>1.0310061393168932</v>
      </c>
      <c r="AE980">
        <f t="shared" ca="1" si="483"/>
        <v>35.701115720613593</v>
      </c>
      <c r="AF980">
        <f t="shared" ca="1" si="484"/>
        <v>3.532514672428988E-3</v>
      </c>
      <c r="AG980">
        <f t="shared" ca="1" si="485"/>
        <v>0</v>
      </c>
      <c r="AH980">
        <f ca="1">IFERROR(IF(V32="Supercritical",MAX($D$16,IFERROR(L980,MAX($D$16,POWER((ABS(K980)^2)/($I$5*MAX(F980,0.1)^2),1/3)))),IF(V32="Subcritical",MAX($D$16,IFERROR(W980,MAX($D$16,POWER((ABS(K980)^2)/($I$5*MAX(F980,0.1)^2),1/3)))),IF(AND(IFERROR(V980,0)=1,IFERROR(AG980,0)=1),IF(IFERROR(T980,-1E+99)&gt;=IFERROR(AE980,-1E+99),MAX($D$16,IFERROR(L980,MAX($D$16,POWER((ABS(K980)^2)/($I$5*MAX(F980,0.1)^2),1/3)))),MAX($D$16,IFERROR(W980,MAX($D$16,POWER((ABS(K980)^2)/($I$5*MAX(F980,0.1)^2),1/3))))),IF(IFERROR(V980,0)=1,MAX($D$16,IFERROR(L980,MAX($D$16,POWER((ABS(K980)^2)/($I$5*MAX(F980,0.1)^2),1/3)))),IF(IFERROR(AG980,0)=1,MAX($D$16,IFERROR(W980,MAX($D$16,POWER((ABS(K980)^2)/($I$5*MAX(F980,0.1)^2),1/3)))),MAX($D$16,POWER((ABS(K980)^2)/($I$5*MAX(F980,0.1)^2),1/3))))))),MAX($D$16,POWER((ABS(K980)^2)/($I$5*MAX(F980,0.1)^2),1/3)))</f>
        <v>2.1389677043987478</v>
      </c>
      <c r="AI980">
        <f t="shared" ca="1" si="486"/>
        <v>634.24296770439878</v>
      </c>
      <c r="AJ980">
        <f t="shared" ca="1" si="487"/>
        <v>635.31245155659815</v>
      </c>
      <c r="AM980">
        <v>0</v>
      </c>
      <c r="AN980">
        <v>0</v>
      </c>
      <c r="AO980">
        <f t="shared" si="488"/>
        <v>0</v>
      </c>
      <c r="AP980">
        <f t="shared" si="497"/>
        <v>0</v>
      </c>
      <c r="AQ980">
        <f t="shared" ca="1" si="489"/>
        <v>1.0000000000000004</v>
      </c>
      <c r="AR980" t="str">
        <f t="shared" ca="1" si="490"/>
        <v>Supercritical</v>
      </c>
      <c r="AS980">
        <f t="shared" ca="1" si="491"/>
        <v>3.8141460404132466E-3</v>
      </c>
    </row>
    <row r="981" spans="1:45" x14ac:dyDescent="0.35">
      <c r="A981">
        <v>920</v>
      </c>
      <c r="B981">
        <v>918.99599999999998</v>
      </c>
      <c r="C981">
        <v>616084.71600000001</v>
      </c>
      <c r="D981">
        <v>3097087.9840000002</v>
      </c>
      <c r="E981">
        <v>632.10350000000005</v>
      </c>
      <c r="F981">
        <v>5.2</v>
      </c>
      <c r="G981">
        <v>0</v>
      </c>
      <c r="H981" t="s">
        <v>154</v>
      </c>
      <c r="I981">
        <v>0</v>
      </c>
      <c r="J981">
        <f t="shared" si="492"/>
        <v>1</v>
      </c>
      <c r="K981">
        <f t="shared" ca="1" si="493"/>
        <v>50.95</v>
      </c>
      <c r="L981">
        <f t="shared" ca="1" si="494"/>
        <v>2.1389677043987478</v>
      </c>
      <c r="M981">
        <f t="shared" ca="1" si="467"/>
        <v>11.122632062873489</v>
      </c>
      <c r="N981">
        <f t="shared" ca="1" si="468"/>
        <v>1.1735290000551568</v>
      </c>
      <c r="O981">
        <f t="shared" ca="1" si="469"/>
        <v>4.5807502857230418</v>
      </c>
      <c r="P981">
        <f t="shared" ca="1" si="470"/>
        <v>634.24246770439879</v>
      </c>
      <c r="Q981">
        <f t="shared" ca="1" si="471"/>
        <v>635.31195155659816</v>
      </c>
      <c r="R981">
        <f t="shared" ca="1" si="472"/>
        <v>3.8141460404132466E-3</v>
      </c>
      <c r="S981">
        <f t="shared" ca="1" si="473"/>
        <v>1.0000000000000004</v>
      </c>
      <c r="T981">
        <f t="shared" ca="1" si="474"/>
        <v>35.686426155594638</v>
      </c>
      <c r="U981">
        <f t="shared" ca="1" si="495"/>
        <v>-3.3141460404522149E-3</v>
      </c>
      <c r="V981">
        <f t="shared" ca="1" si="496"/>
        <v>1</v>
      </c>
      <c r="W981">
        <f t="shared" ca="1" si="475"/>
        <v>2.093507889412864</v>
      </c>
      <c r="X981">
        <f t="shared" ca="1" si="476"/>
        <v>10.886241024946893</v>
      </c>
      <c r="Y981">
        <f t="shared" ca="1" si="477"/>
        <v>1.1597126585749398</v>
      </c>
      <c r="Z981">
        <f t="shared" ca="1" si="478"/>
        <v>4.6802197271990451</v>
      </c>
      <c r="AA981">
        <f t="shared" ca="1" si="479"/>
        <v>634.19700788941293</v>
      </c>
      <c r="AB981">
        <f t="shared" ca="1" si="480"/>
        <v>635.31344299108787</v>
      </c>
      <c r="AC981">
        <f t="shared" ca="1" si="481"/>
        <v>4.0449622568248652E-3</v>
      </c>
      <c r="AD981">
        <f t="shared" ca="1" si="482"/>
        <v>1.0327481797811753</v>
      </c>
      <c r="AE981">
        <f t="shared" ca="1" si="483"/>
        <v>35.702778946977993</v>
      </c>
      <c r="AF981">
        <f t="shared" ca="1" si="484"/>
        <v>3.544962256682993E-3</v>
      </c>
      <c r="AG981">
        <f t="shared" ca="1" si="485"/>
        <v>0</v>
      </c>
      <c r="AH981">
        <f ca="1">IFERROR(IF(V32="Supercritical",MAX($D$16,IFERROR(L981,MAX($D$16,POWER((ABS(K981)^2)/($I$5*MAX(F981,0.1)^2),1/3)))),IF(V32="Subcritical",MAX($D$16,IFERROR(W981,MAX($D$16,POWER((ABS(K981)^2)/($I$5*MAX(F981,0.1)^2),1/3)))),IF(AND(IFERROR(V981,0)=1,IFERROR(AG981,0)=1),IF(IFERROR(T981,-1E+99)&gt;=IFERROR(AE981,-1E+99),MAX($D$16,IFERROR(L981,MAX($D$16,POWER((ABS(K981)^2)/($I$5*MAX(F981,0.1)^2),1/3)))),MAX($D$16,IFERROR(W981,MAX($D$16,POWER((ABS(K981)^2)/($I$5*MAX(F981,0.1)^2),1/3))))),IF(IFERROR(V981,0)=1,MAX($D$16,IFERROR(L981,MAX($D$16,POWER((ABS(K981)^2)/($I$5*MAX(F981,0.1)^2),1/3)))),IF(IFERROR(AG981,0)=1,MAX($D$16,IFERROR(W981,MAX($D$16,POWER((ABS(K981)^2)/($I$5*MAX(F981,0.1)^2),1/3)))),MAX($D$16,POWER((ABS(K981)^2)/($I$5*MAX(F981,0.1)^2),1/3))))))),MAX($D$16,POWER((ABS(K981)^2)/($I$5*MAX(F981,0.1)^2),1/3)))</f>
        <v>2.1389677043987478</v>
      </c>
      <c r="AI981">
        <f t="shared" ca="1" si="486"/>
        <v>634.24246770439879</v>
      </c>
      <c r="AJ981">
        <f t="shared" ca="1" si="487"/>
        <v>635.31195155659816</v>
      </c>
      <c r="AM981">
        <v>0</v>
      </c>
      <c r="AN981">
        <v>0</v>
      </c>
      <c r="AO981">
        <f t="shared" si="488"/>
        <v>0</v>
      </c>
      <c r="AP981">
        <f t="shared" si="497"/>
        <v>0</v>
      </c>
      <c r="AQ981">
        <f t="shared" ca="1" si="489"/>
        <v>1.0000000000000004</v>
      </c>
      <c r="AR981" t="str">
        <f t="shared" ca="1" si="490"/>
        <v>Supercritical</v>
      </c>
      <c r="AS981">
        <f t="shared" ca="1" si="491"/>
        <v>3.8141460404132466E-3</v>
      </c>
    </row>
    <row r="982" spans="1:45" x14ac:dyDescent="0.35">
      <c r="A982">
        <v>921</v>
      </c>
      <c r="B982">
        <v>919.99599999999998</v>
      </c>
      <c r="C982">
        <v>616084.674</v>
      </c>
      <c r="D982">
        <v>3097086.9849999999</v>
      </c>
      <c r="E982">
        <v>632.10299999999995</v>
      </c>
      <c r="F982">
        <v>5.2</v>
      </c>
      <c r="G982">
        <v>0</v>
      </c>
      <c r="H982" t="s">
        <v>154</v>
      </c>
      <c r="I982">
        <v>0</v>
      </c>
      <c r="J982">
        <f t="shared" si="492"/>
        <v>1</v>
      </c>
      <c r="K982">
        <f t="shared" ca="1" si="493"/>
        <v>50.95</v>
      </c>
      <c r="L982">
        <f t="shared" ca="1" si="494"/>
        <v>2.1389677043987478</v>
      </c>
      <c r="M982">
        <f t="shared" ca="1" si="467"/>
        <v>11.122632062873489</v>
      </c>
      <c r="N982">
        <f t="shared" ca="1" si="468"/>
        <v>1.1735290000551568</v>
      </c>
      <c r="O982">
        <f t="shared" ca="1" si="469"/>
        <v>4.5807502857230418</v>
      </c>
      <c r="P982">
        <f t="shared" ca="1" si="470"/>
        <v>634.24196770439869</v>
      </c>
      <c r="Q982">
        <f t="shared" ca="1" si="471"/>
        <v>635.31145155659806</v>
      </c>
      <c r="R982">
        <f t="shared" ca="1" si="472"/>
        <v>3.8141460404132466E-3</v>
      </c>
      <c r="S982">
        <f t="shared" ca="1" si="473"/>
        <v>1.0000000000000004</v>
      </c>
      <c r="T982">
        <f t="shared" ca="1" si="474"/>
        <v>35.686426155594638</v>
      </c>
      <c r="U982">
        <f t="shared" ca="1" si="495"/>
        <v>-3.3141460403385281E-3</v>
      </c>
      <c r="V982">
        <f t="shared" ca="1" si="496"/>
        <v>1</v>
      </c>
      <c r="W982">
        <f t="shared" ca="1" si="475"/>
        <v>2.0910593652376166</v>
      </c>
      <c r="X982">
        <f t="shared" ca="1" si="476"/>
        <v>10.873508699235607</v>
      </c>
      <c r="Y982">
        <f t="shared" ca="1" si="477"/>
        <v>1.1589608926943125</v>
      </c>
      <c r="Z982">
        <f t="shared" ca="1" si="478"/>
        <v>4.6857000264856294</v>
      </c>
      <c r="AA982">
        <f t="shared" ca="1" si="479"/>
        <v>634.19405936523754</v>
      </c>
      <c r="AB982">
        <f t="shared" ca="1" si="480"/>
        <v>635.31311057513597</v>
      </c>
      <c r="AC982">
        <f t="shared" ca="1" si="481"/>
        <v>4.0579476503063089E-3</v>
      </c>
      <c r="AD982">
        <f t="shared" ca="1" si="482"/>
        <v>1.0345626540831692</v>
      </c>
      <c r="AE982">
        <f t="shared" ca="1" si="483"/>
        <v>35.704602230706328</v>
      </c>
      <c r="AF982">
        <f t="shared" ca="1" si="484"/>
        <v>3.6642575151972778E-3</v>
      </c>
      <c r="AG982">
        <f t="shared" ca="1" si="485"/>
        <v>0</v>
      </c>
      <c r="AH982">
        <f ca="1">IFERROR(IF(V32="Supercritical",MAX($D$16,IFERROR(L982,MAX($D$16,POWER((ABS(K982)^2)/($I$5*MAX(F982,0.1)^2),1/3)))),IF(V32="Subcritical",MAX($D$16,IFERROR(W982,MAX($D$16,POWER((ABS(K982)^2)/($I$5*MAX(F982,0.1)^2),1/3)))),IF(AND(IFERROR(V982,0)=1,IFERROR(AG982,0)=1),IF(IFERROR(T982,-1E+99)&gt;=IFERROR(AE982,-1E+99),MAX($D$16,IFERROR(L982,MAX($D$16,POWER((ABS(K982)^2)/($I$5*MAX(F982,0.1)^2),1/3)))),MAX($D$16,IFERROR(W982,MAX($D$16,POWER((ABS(K982)^2)/($I$5*MAX(F982,0.1)^2),1/3))))),IF(IFERROR(V982,0)=1,MAX($D$16,IFERROR(L982,MAX($D$16,POWER((ABS(K982)^2)/($I$5*MAX(F982,0.1)^2),1/3)))),IF(IFERROR(AG982,0)=1,MAX($D$16,IFERROR(W982,MAX($D$16,POWER((ABS(K982)^2)/($I$5*MAX(F982,0.1)^2),1/3)))),MAX($D$16,POWER((ABS(K982)^2)/($I$5*MAX(F982,0.1)^2),1/3))))))),MAX($D$16,POWER((ABS(K982)^2)/($I$5*MAX(F982,0.1)^2),1/3)))</f>
        <v>2.1389677043987478</v>
      </c>
      <c r="AI982">
        <f t="shared" ca="1" si="486"/>
        <v>634.24196770439869</v>
      </c>
      <c r="AJ982">
        <f t="shared" ca="1" si="487"/>
        <v>635.31145155659806</v>
      </c>
      <c r="AM982">
        <v>0</v>
      </c>
      <c r="AN982">
        <v>0</v>
      </c>
      <c r="AO982">
        <f t="shared" si="488"/>
        <v>0</v>
      </c>
      <c r="AP982">
        <f t="shared" si="497"/>
        <v>0</v>
      </c>
      <c r="AQ982">
        <f t="shared" ca="1" si="489"/>
        <v>1.0000000000000004</v>
      </c>
      <c r="AR982" t="str">
        <f t="shared" ca="1" si="490"/>
        <v>Supercritical</v>
      </c>
      <c r="AS982">
        <f t="shared" ca="1" si="491"/>
        <v>3.8141460404132466E-3</v>
      </c>
    </row>
    <row r="983" spans="1:45" x14ac:dyDescent="0.35">
      <c r="A983">
        <v>922</v>
      </c>
      <c r="B983">
        <v>920.99599999999998</v>
      </c>
      <c r="C983">
        <v>616084.63199999998</v>
      </c>
      <c r="D983">
        <v>3097085.986</v>
      </c>
      <c r="E983">
        <v>632.10249999999996</v>
      </c>
      <c r="F983">
        <v>5.2</v>
      </c>
      <c r="G983">
        <v>0</v>
      </c>
      <c r="H983" t="s">
        <v>154</v>
      </c>
      <c r="I983">
        <v>5.7000000000000002E-2</v>
      </c>
      <c r="J983">
        <f t="shared" si="492"/>
        <v>1</v>
      </c>
      <c r="K983">
        <f t="shared" ca="1" si="493"/>
        <v>50.95</v>
      </c>
      <c r="L983">
        <f t="shared" ca="1" si="494"/>
        <v>2.1389677043987478</v>
      </c>
      <c r="M983">
        <f t="shared" ca="1" si="467"/>
        <v>11.122632062873489</v>
      </c>
      <c r="N983">
        <f t="shared" ca="1" si="468"/>
        <v>1.1735290000551568</v>
      </c>
      <c r="O983">
        <f t="shared" ca="1" si="469"/>
        <v>4.5807502857230418</v>
      </c>
      <c r="P983">
        <f t="shared" ca="1" si="470"/>
        <v>634.2414677043987</v>
      </c>
      <c r="Q983">
        <f t="shared" ca="1" si="471"/>
        <v>635.31095155659807</v>
      </c>
      <c r="R983">
        <f t="shared" ca="1" si="472"/>
        <v>3.8141460404132466E-3</v>
      </c>
      <c r="S983">
        <f t="shared" ca="1" si="473"/>
        <v>1.0000000000000004</v>
      </c>
      <c r="T983">
        <f t="shared" ca="1" si="474"/>
        <v>35.686426155594638</v>
      </c>
      <c r="U983">
        <f t="shared" ca="1" si="495"/>
        <v>-3.4157470064428708E-3</v>
      </c>
      <c r="V983">
        <f t="shared" ca="1" si="496"/>
        <v>1</v>
      </c>
      <c r="W983">
        <f t="shared" ca="1" si="475"/>
        <v>2.0885172798950222</v>
      </c>
      <c r="X983">
        <f t="shared" ca="1" si="476"/>
        <v>10.860289855454116</v>
      </c>
      <c r="Y983">
        <f t="shared" ca="1" si="477"/>
        <v>1.1581795701195841</v>
      </c>
      <c r="Z983">
        <f t="shared" ca="1" si="478"/>
        <v>4.6914033306774536</v>
      </c>
      <c r="AA983">
        <f t="shared" ca="1" si="479"/>
        <v>634.19101727989494</v>
      </c>
      <c r="AB983">
        <f t="shared" ca="1" si="480"/>
        <v>635.31279430390566</v>
      </c>
      <c r="AC983">
        <f t="shared" ca="1" si="481"/>
        <v>4.0714914642512832E-3</v>
      </c>
      <c r="AD983">
        <f t="shared" ca="1" si="482"/>
        <v>1.0364520902131742</v>
      </c>
      <c r="AE983">
        <f t="shared" ca="1" si="483"/>
        <v>35.706598781783832</v>
      </c>
      <c r="AF983">
        <f t="shared" ca="1" si="484"/>
        <v>3.6780602815724706E-3</v>
      </c>
      <c r="AG983">
        <f t="shared" ca="1" si="485"/>
        <v>0</v>
      </c>
      <c r="AH983">
        <f ca="1">IFERROR(IF(V32="Supercritical",MAX($D$16,IFERROR(L983,MAX($D$16,POWER((ABS(K983)^2)/($I$5*MAX(F983,0.1)^2),1/3)))),IF(V32="Subcritical",MAX($D$16,IFERROR(W983,MAX($D$16,POWER((ABS(K983)^2)/($I$5*MAX(F983,0.1)^2),1/3)))),IF(AND(IFERROR(V983,0)=1,IFERROR(AG983,0)=1),IF(IFERROR(T983,-1E+99)&gt;=IFERROR(AE983,-1E+99),MAX($D$16,IFERROR(L983,MAX($D$16,POWER((ABS(K983)^2)/($I$5*MAX(F983,0.1)^2),1/3)))),MAX($D$16,IFERROR(W983,MAX($D$16,POWER((ABS(K983)^2)/($I$5*MAX(F983,0.1)^2),1/3))))),IF(IFERROR(V983,0)=1,MAX($D$16,IFERROR(L983,MAX($D$16,POWER((ABS(K983)^2)/($I$5*MAX(F983,0.1)^2),1/3)))),IF(IFERROR(AG983,0)=1,MAX($D$16,IFERROR(W983,MAX($D$16,POWER((ABS(K983)^2)/($I$5*MAX(F983,0.1)^2),1/3)))),MAX($D$16,POWER((ABS(K983)^2)/($I$5*MAX(F983,0.1)^2),1/3))))))),MAX($D$16,POWER((ABS(K983)^2)/($I$5*MAX(F983,0.1)^2),1/3)))</f>
        <v>2.1389677043987478</v>
      </c>
      <c r="AI983">
        <f t="shared" ca="1" si="486"/>
        <v>634.2414677043987</v>
      </c>
      <c r="AJ983">
        <f t="shared" ca="1" si="487"/>
        <v>635.31095155659807</v>
      </c>
      <c r="AM983">
        <v>0</v>
      </c>
      <c r="AN983">
        <v>0</v>
      </c>
      <c r="AO983">
        <f t="shared" si="488"/>
        <v>0</v>
      </c>
      <c r="AP983">
        <f t="shared" si="497"/>
        <v>0</v>
      </c>
      <c r="AQ983">
        <f t="shared" ca="1" si="489"/>
        <v>1.0000000000000004</v>
      </c>
      <c r="AR983" t="str">
        <f t="shared" ca="1" si="490"/>
        <v>Supercritical</v>
      </c>
      <c r="AS983">
        <f t="shared" ca="1" si="491"/>
        <v>3.8141460404132466E-3</v>
      </c>
    </row>
    <row r="984" spans="1:45" x14ac:dyDescent="0.35">
      <c r="A984">
        <v>923</v>
      </c>
      <c r="B984">
        <v>921.99599999999998</v>
      </c>
      <c r="C984">
        <v>616084.58900000004</v>
      </c>
      <c r="D984">
        <v>3097084.9870000002</v>
      </c>
      <c r="E984">
        <v>632.10199999999998</v>
      </c>
      <c r="F984">
        <v>5.2</v>
      </c>
      <c r="G984">
        <v>0</v>
      </c>
      <c r="H984" t="s">
        <v>154</v>
      </c>
      <c r="I984">
        <v>5.7000000000000002E-2</v>
      </c>
      <c r="J984">
        <f t="shared" si="492"/>
        <v>1</v>
      </c>
      <c r="K984">
        <f t="shared" ca="1" si="493"/>
        <v>50.95</v>
      </c>
      <c r="L984">
        <f t="shared" ca="1" si="494"/>
        <v>2.1389677043987478</v>
      </c>
      <c r="M984">
        <f t="shared" ca="1" si="467"/>
        <v>11.122632062873489</v>
      </c>
      <c r="N984">
        <f t="shared" ca="1" si="468"/>
        <v>1.1735290000551568</v>
      </c>
      <c r="O984">
        <f t="shared" ca="1" si="469"/>
        <v>4.5807502857230418</v>
      </c>
      <c r="P984">
        <f t="shared" ca="1" si="470"/>
        <v>634.24096770439871</v>
      </c>
      <c r="Q984">
        <f t="shared" ca="1" si="471"/>
        <v>635.31045155659808</v>
      </c>
      <c r="R984">
        <f t="shared" ca="1" si="472"/>
        <v>3.8141460404132466E-3</v>
      </c>
      <c r="S984">
        <f t="shared" ca="1" si="473"/>
        <v>1.0000000000000004</v>
      </c>
      <c r="T984">
        <f t="shared" ca="1" si="474"/>
        <v>35.686426155594638</v>
      </c>
      <c r="U984">
        <f t="shared" ca="1" si="495"/>
        <v>-3.4157470064428708E-3</v>
      </c>
      <c r="V984">
        <f t="shared" ca="1" si="496"/>
        <v>1</v>
      </c>
      <c r="W984">
        <f t="shared" ca="1" si="475"/>
        <v>2.0858790764467914</v>
      </c>
      <c r="X984">
        <f t="shared" ca="1" si="476"/>
        <v>10.846571197523316</v>
      </c>
      <c r="Y984">
        <f t="shared" ca="1" si="477"/>
        <v>1.1573678087472172</v>
      </c>
      <c r="Z984">
        <f t="shared" ca="1" si="478"/>
        <v>4.6973369807072141</v>
      </c>
      <c r="AA984">
        <f t="shared" ca="1" si="479"/>
        <v>634.18787907644673</v>
      </c>
      <c r="AB984">
        <f t="shared" ca="1" si="480"/>
        <v>635.31249552447525</v>
      </c>
      <c r="AC984">
        <f t="shared" ca="1" si="481"/>
        <v>4.0856148238640885E-3</v>
      </c>
      <c r="AD984">
        <f t="shared" ca="1" si="482"/>
        <v>1.0384190565128455</v>
      </c>
      <c r="AE984">
        <f t="shared" ca="1" si="483"/>
        <v>35.708782702946394</v>
      </c>
      <c r="AF984">
        <f t="shared" ca="1" si="484"/>
        <v>3.5856148239190588E-3</v>
      </c>
      <c r="AG984">
        <f t="shared" ca="1" si="485"/>
        <v>0</v>
      </c>
      <c r="AH984">
        <f ca="1">IFERROR(IF(V32="Supercritical",MAX($D$16,IFERROR(L984,MAX($D$16,POWER((ABS(K984)^2)/($I$5*MAX(F984,0.1)^2),1/3)))),IF(V32="Subcritical",MAX($D$16,IFERROR(W984,MAX($D$16,POWER((ABS(K984)^2)/($I$5*MAX(F984,0.1)^2),1/3)))),IF(AND(IFERROR(V984,0)=1,IFERROR(AG984,0)=1),IF(IFERROR(T984,-1E+99)&gt;=IFERROR(AE984,-1E+99),MAX($D$16,IFERROR(L984,MAX($D$16,POWER((ABS(K984)^2)/($I$5*MAX(F984,0.1)^2),1/3)))),MAX($D$16,IFERROR(W984,MAX($D$16,POWER((ABS(K984)^2)/($I$5*MAX(F984,0.1)^2),1/3))))),IF(IFERROR(V984,0)=1,MAX($D$16,IFERROR(L984,MAX($D$16,POWER((ABS(K984)^2)/($I$5*MAX(F984,0.1)^2),1/3)))),IF(IFERROR(AG984,0)=1,MAX($D$16,IFERROR(W984,MAX($D$16,POWER((ABS(K984)^2)/($I$5*MAX(F984,0.1)^2),1/3)))),MAX($D$16,POWER((ABS(K984)^2)/($I$5*MAX(F984,0.1)^2),1/3))))))),MAX($D$16,POWER((ABS(K984)^2)/($I$5*MAX(F984,0.1)^2),1/3)))</f>
        <v>2.1389677043987478</v>
      </c>
      <c r="AI984">
        <f t="shared" ca="1" si="486"/>
        <v>634.24096770439871</v>
      </c>
      <c r="AJ984">
        <f t="shared" ca="1" si="487"/>
        <v>635.31045155659808</v>
      </c>
      <c r="AM984">
        <v>0</v>
      </c>
      <c r="AN984">
        <v>0</v>
      </c>
      <c r="AO984">
        <f t="shared" si="488"/>
        <v>0</v>
      </c>
      <c r="AP984">
        <f t="shared" si="497"/>
        <v>0</v>
      </c>
      <c r="AQ984">
        <f t="shared" ca="1" si="489"/>
        <v>1.0000000000000004</v>
      </c>
      <c r="AR984" t="str">
        <f t="shared" ca="1" si="490"/>
        <v>Supercritical</v>
      </c>
      <c r="AS984">
        <f t="shared" ca="1" si="491"/>
        <v>3.8141460404132466E-3</v>
      </c>
    </row>
    <row r="985" spans="1:45" x14ac:dyDescent="0.35">
      <c r="A985">
        <v>924</v>
      </c>
      <c r="B985">
        <v>922.99599999999998</v>
      </c>
      <c r="C985">
        <v>616084.54700000002</v>
      </c>
      <c r="D985">
        <v>3097083.9879999999</v>
      </c>
      <c r="E985">
        <v>632.10149999999999</v>
      </c>
      <c r="F985">
        <v>5.2</v>
      </c>
      <c r="G985">
        <v>0</v>
      </c>
      <c r="H985" t="s">
        <v>154</v>
      </c>
      <c r="I985">
        <v>0</v>
      </c>
      <c r="J985">
        <f t="shared" si="492"/>
        <v>1</v>
      </c>
      <c r="K985">
        <f t="shared" ca="1" si="493"/>
        <v>50.95</v>
      </c>
      <c r="L985">
        <f t="shared" ca="1" si="494"/>
        <v>2.1389677043987478</v>
      </c>
      <c r="M985">
        <f t="shared" ca="1" si="467"/>
        <v>11.122632062873489</v>
      </c>
      <c r="N985">
        <f t="shared" ca="1" si="468"/>
        <v>1.1735290000551568</v>
      </c>
      <c r="O985">
        <f t="shared" ca="1" si="469"/>
        <v>4.5807502857230418</v>
      </c>
      <c r="P985">
        <f t="shared" ca="1" si="470"/>
        <v>634.24046770439872</v>
      </c>
      <c r="Q985">
        <f t="shared" ca="1" si="471"/>
        <v>635.30995155659809</v>
      </c>
      <c r="R985">
        <f t="shared" ca="1" si="472"/>
        <v>3.8141460404132466E-3</v>
      </c>
      <c r="S985">
        <f t="shared" ca="1" si="473"/>
        <v>1.0000000000000004</v>
      </c>
      <c r="T985">
        <f t="shared" ca="1" si="474"/>
        <v>35.686426155594638</v>
      </c>
      <c r="U985">
        <f t="shared" ca="1" si="495"/>
        <v>-3.3141460404522149E-3</v>
      </c>
      <c r="V985">
        <f t="shared" ca="1" si="496"/>
        <v>1</v>
      </c>
      <c r="W985">
        <f t="shared" ca="1" si="475"/>
        <v>2.0831422227512166</v>
      </c>
      <c r="X985">
        <f t="shared" ca="1" si="476"/>
        <v>10.832339558306327</v>
      </c>
      <c r="Y985">
        <f t="shared" ca="1" si="477"/>
        <v>1.1565247266762086</v>
      </c>
      <c r="Z985">
        <f t="shared" ca="1" si="478"/>
        <v>4.7035083903856325</v>
      </c>
      <c r="AA985">
        <f t="shared" ca="1" si="479"/>
        <v>634.18464222275122</v>
      </c>
      <c r="AB985">
        <f t="shared" ca="1" si="480"/>
        <v>635.31221567730927</v>
      </c>
      <c r="AC985">
        <f t="shared" ca="1" si="481"/>
        <v>4.1003393491490497E-3</v>
      </c>
      <c r="AD985">
        <f t="shared" ca="1" si="482"/>
        <v>1.0404661569889277</v>
      </c>
      <c r="AE985">
        <f t="shared" ca="1" si="483"/>
        <v>35.711169025952664</v>
      </c>
      <c r="AF985">
        <f t="shared" ca="1" si="484"/>
        <v>3.5962390097665775E-3</v>
      </c>
      <c r="AG985">
        <f t="shared" ca="1" si="485"/>
        <v>0</v>
      </c>
      <c r="AH985">
        <f ca="1">IFERROR(IF(V32="Supercritical",MAX($D$16,IFERROR(L985,MAX($D$16,POWER((ABS(K985)^2)/($I$5*MAX(F985,0.1)^2),1/3)))),IF(V32="Subcritical",MAX($D$16,IFERROR(W985,MAX($D$16,POWER((ABS(K985)^2)/($I$5*MAX(F985,0.1)^2),1/3)))),IF(AND(IFERROR(V985,0)=1,IFERROR(AG985,0)=1),IF(IFERROR(T985,-1E+99)&gt;=IFERROR(AE985,-1E+99),MAX($D$16,IFERROR(L985,MAX($D$16,POWER((ABS(K985)^2)/($I$5*MAX(F985,0.1)^2),1/3)))),MAX($D$16,IFERROR(W985,MAX($D$16,POWER((ABS(K985)^2)/($I$5*MAX(F985,0.1)^2),1/3))))),IF(IFERROR(V985,0)=1,MAX($D$16,IFERROR(L985,MAX($D$16,POWER((ABS(K985)^2)/($I$5*MAX(F985,0.1)^2),1/3)))),IF(IFERROR(AG985,0)=1,MAX($D$16,IFERROR(W985,MAX($D$16,POWER((ABS(K985)^2)/($I$5*MAX(F985,0.1)^2),1/3)))),MAX($D$16,POWER((ABS(K985)^2)/($I$5*MAX(F985,0.1)^2),1/3))))))),MAX($D$16,POWER((ABS(K985)^2)/($I$5*MAX(F985,0.1)^2),1/3)))</f>
        <v>2.1389677043987478</v>
      </c>
      <c r="AI985">
        <f t="shared" ca="1" si="486"/>
        <v>634.24046770439872</v>
      </c>
      <c r="AJ985">
        <f t="shared" ca="1" si="487"/>
        <v>635.30995155659809</v>
      </c>
      <c r="AM985">
        <v>0</v>
      </c>
      <c r="AN985">
        <v>0</v>
      </c>
      <c r="AO985">
        <f t="shared" si="488"/>
        <v>0</v>
      </c>
      <c r="AP985">
        <f t="shared" si="497"/>
        <v>0</v>
      </c>
      <c r="AQ985">
        <f t="shared" ca="1" si="489"/>
        <v>1.0000000000000004</v>
      </c>
      <c r="AR985" t="str">
        <f t="shared" ca="1" si="490"/>
        <v>Supercritical</v>
      </c>
      <c r="AS985">
        <f t="shared" ca="1" si="491"/>
        <v>3.8141460404132466E-3</v>
      </c>
    </row>
    <row r="986" spans="1:45" x14ac:dyDescent="0.35">
      <c r="A986">
        <v>925</v>
      </c>
      <c r="B986">
        <v>923.995</v>
      </c>
      <c r="C986">
        <v>616084.505</v>
      </c>
      <c r="D986">
        <v>3097082.9890000001</v>
      </c>
      <c r="E986">
        <v>632.101</v>
      </c>
      <c r="F986">
        <v>5.2</v>
      </c>
      <c r="G986">
        <v>0</v>
      </c>
      <c r="H986" t="s">
        <v>154</v>
      </c>
      <c r="I986">
        <v>0</v>
      </c>
      <c r="J986">
        <f t="shared" si="492"/>
        <v>0.99900000000002365</v>
      </c>
      <c r="K986">
        <f t="shared" ca="1" si="493"/>
        <v>50.95</v>
      </c>
      <c r="L986">
        <f t="shared" ca="1" si="494"/>
        <v>2.1389677043987478</v>
      </c>
      <c r="M986">
        <f t="shared" ca="1" si="467"/>
        <v>11.122632062873489</v>
      </c>
      <c r="N986">
        <f t="shared" ca="1" si="468"/>
        <v>1.1735290000551568</v>
      </c>
      <c r="O986">
        <f t="shared" ca="1" si="469"/>
        <v>4.5807502857230418</v>
      </c>
      <c r="P986">
        <f t="shared" ca="1" si="470"/>
        <v>634.23996770439874</v>
      </c>
      <c r="Q986">
        <f t="shared" ca="1" si="471"/>
        <v>635.30945155659811</v>
      </c>
      <c r="R986">
        <f t="shared" ca="1" si="472"/>
        <v>3.8141460404132466E-3</v>
      </c>
      <c r="S986">
        <f t="shared" ca="1" si="473"/>
        <v>1.0000000000000004</v>
      </c>
      <c r="T986">
        <f t="shared" ca="1" si="474"/>
        <v>35.686426155594638</v>
      </c>
      <c r="U986">
        <f t="shared" ca="1" si="495"/>
        <v>-3.3103318943403792E-3</v>
      </c>
      <c r="V986">
        <f t="shared" ca="1" si="496"/>
        <v>1</v>
      </c>
      <c r="W986">
        <f t="shared" ca="1" si="475"/>
        <v>2.0803042223475234</v>
      </c>
      <c r="X986">
        <f t="shared" ca="1" si="476"/>
        <v>10.817581956207123</v>
      </c>
      <c r="Y986">
        <f t="shared" ca="1" si="477"/>
        <v>1.1556494452385506</v>
      </c>
      <c r="Z986">
        <f t="shared" ca="1" si="478"/>
        <v>4.7099250281866292</v>
      </c>
      <c r="AA986">
        <f t="shared" ca="1" si="479"/>
        <v>634.18130422234753</v>
      </c>
      <c r="AB986">
        <f t="shared" ca="1" si="480"/>
        <v>635.31195630038724</v>
      </c>
      <c r="AC986">
        <f t="shared" ca="1" si="481"/>
        <v>4.1156871312373767E-3</v>
      </c>
      <c r="AD986">
        <f t="shared" ca="1" si="482"/>
        <v>1.0425960259266467</v>
      </c>
      <c r="AE986">
        <f t="shared" ca="1" si="483"/>
        <v>35.713773745844613</v>
      </c>
      <c r="AF986">
        <f t="shared" ca="1" si="484"/>
        <v>3.7230990786838447E-3</v>
      </c>
      <c r="AG986">
        <f t="shared" ca="1" si="485"/>
        <v>0</v>
      </c>
      <c r="AH986">
        <f ca="1">IFERROR(IF(V32="Supercritical",MAX($D$16,IFERROR(L986,MAX($D$16,POWER((ABS(K986)^2)/($I$5*MAX(F986,0.1)^2),1/3)))),IF(V32="Subcritical",MAX($D$16,IFERROR(W986,MAX($D$16,POWER((ABS(K986)^2)/($I$5*MAX(F986,0.1)^2),1/3)))),IF(AND(IFERROR(V986,0)=1,IFERROR(AG986,0)=1),IF(IFERROR(T986,-1E+99)&gt;=IFERROR(AE986,-1E+99),MAX($D$16,IFERROR(L986,MAX($D$16,POWER((ABS(K986)^2)/($I$5*MAX(F986,0.1)^2),1/3)))),MAX($D$16,IFERROR(W986,MAX($D$16,POWER((ABS(K986)^2)/($I$5*MAX(F986,0.1)^2),1/3))))),IF(IFERROR(V986,0)=1,MAX($D$16,IFERROR(L986,MAX($D$16,POWER((ABS(K986)^2)/($I$5*MAX(F986,0.1)^2),1/3)))),IF(IFERROR(AG986,0)=1,MAX($D$16,IFERROR(W986,MAX($D$16,POWER((ABS(K986)^2)/($I$5*MAX(F986,0.1)^2),1/3)))),MAX($D$16,POWER((ABS(K986)^2)/($I$5*MAX(F986,0.1)^2),1/3))))))),MAX($D$16,POWER((ABS(K986)^2)/($I$5*MAX(F986,0.1)^2),1/3)))</f>
        <v>2.1389677043987478</v>
      </c>
      <c r="AI986">
        <f t="shared" ca="1" si="486"/>
        <v>634.23996770439874</v>
      </c>
      <c r="AJ986">
        <f t="shared" ca="1" si="487"/>
        <v>635.30945155659811</v>
      </c>
      <c r="AM986">
        <v>0</v>
      </c>
      <c r="AN986">
        <v>0</v>
      </c>
      <c r="AO986">
        <f t="shared" si="488"/>
        <v>0</v>
      </c>
      <c r="AP986">
        <f t="shared" si="497"/>
        <v>0</v>
      </c>
      <c r="AQ986">
        <f t="shared" ca="1" si="489"/>
        <v>1.0000000000000004</v>
      </c>
      <c r="AR986" t="str">
        <f t="shared" ca="1" si="490"/>
        <v>Supercritical</v>
      </c>
      <c r="AS986">
        <f t="shared" ca="1" si="491"/>
        <v>3.8141460404132466E-3</v>
      </c>
    </row>
    <row r="987" spans="1:45" x14ac:dyDescent="0.35">
      <c r="A987">
        <v>926</v>
      </c>
      <c r="B987">
        <v>924.995</v>
      </c>
      <c r="C987">
        <v>616084.46299999999</v>
      </c>
      <c r="D987">
        <v>3097081.99</v>
      </c>
      <c r="E987">
        <v>632.10050000000001</v>
      </c>
      <c r="F987">
        <v>5.2</v>
      </c>
      <c r="G987">
        <v>0</v>
      </c>
      <c r="H987" t="s">
        <v>154</v>
      </c>
      <c r="I987">
        <v>5.7000000000000002E-2</v>
      </c>
      <c r="J987">
        <f t="shared" si="492"/>
        <v>1</v>
      </c>
      <c r="K987">
        <f t="shared" ca="1" si="493"/>
        <v>50.95</v>
      </c>
      <c r="L987">
        <f t="shared" ca="1" si="494"/>
        <v>2.1389677043987478</v>
      </c>
      <c r="M987">
        <f t="shared" ca="1" si="467"/>
        <v>11.122632062873489</v>
      </c>
      <c r="N987">
        <f t="shared" ca="1" si="468"/>
        <v>1.1735290000551568</v>
      </c>
      <c r="O987">
        <f t="shared" ca="1" si="469"/>
        <v>4.5807502857230418</v>
      </c>
      <c r="P987">
        <f t="shared" ca="1" si="470"/>
        <v>634.23946770439875</v>
      </c>
      <c r="Q987">
        <f t="shared" ca="1" si="471"/>
        <v>635.30895155659812</v>
      </c>
      <c r="R987">
        <f t="shared" ca="1" si="472"/>
        <v>3.8141460404132466E-3</v>
      </c>
      <c r="S987">
        <f t="shared" ca="1" si="473"/>
        <v>1.0000000000000004</v>
      </c>
      <c r="T987">
        <f t="shared" ca="1" si="474"/>
        <v>35.686426155594638</v>
      </c>
      <c r="U987">
        <f t="shared" ca="1" si="495"/>
        <v>-3.4157470064428708E-3</v>
      </c>
      <c r="V987">
        <f t="shared" ca="1" si="496"/>
        <v>1</v>
      </c>
      <c r="W987">
        <f t="shared" ca="1" si="475"/>
        <v>2.077362626265209</v>
      </c>
      <c r="X987">
        <f t="shared" ca="1" si="476"/>
        <v>10.802285656579087</v>
      </c>
      <c r="Y987">
        <f t="shared" ca="1" si="477"/>
        <v>1.1547410923326806</v>
      </c>
      <c r="Z987">
        <f t="shared" ca="1" si="478"/>
        <v>4.7165943967579782</v>
      </c>
      <c r="AA987">
        <f t="shared" ca="1" si="479"/>
        <v>634.17786262626521</v>
      </c>
      <c r="AB987">
        <f t="shared" ca="1" si="480"/>
        <v>635.31171903317295</v>
      </c>
      <c r="AC987">
        <f t="shared" ca="1" si="481"/>
        <v>4.1316807035145951E-3</v>
      </c>
      <c r="AD987">
        <f t="shared" ca="1" si="482"/>
        <v>1.0448113217472337</v>
      </c>
      <c r="AE987">
        <f t="shared" ca="1" si="483"/>
        <v>35.716613852527409</v>
      </c>
      <c r="AF987">
        <f t="shared" ca="1" si="484"/>
        <v>3.7450663442086807E-3</v>
      </c>
      <c r="AG987">
        <f t="shared" ca="1" si="485"/>
        <v>0</v>
      </c>
      <c r="AH987">
        <f ca="1">IFERROR(IF(V32="Supercritical",MAX($D$16,IFERROR(L987,MAX($D$16,POWER((ABS(K987)^2)/($I$5*MAX(F987,0.1)^2),1/3)))),IF(V32="Subcritical",MAX($D$16,IFERROR(W987,MAX($D$16,POWER((ABS(K987)^2)/($I$5*MAX(F987,0.1)^2),1/3)))),IF(AND(IFERROR(V987,0)=1,IFERROR(AG987,0)=1),IF(IFERROR(T987,-1E+99)&gt;=IFERROR(AE987,-1E+99),MAX($D$16,IFERROR(L987,MAX($D$16,POWER((ABS(K987)^2)/($I$5*MAX(F987,0.1)^2),1/3)))),MAX($D$16,IFERROR(W987,MAX($D$16,POWER((ABS(K987)^2)/($I$5*MAX(F987,0.1)^2),1/3))))),IF(IFERROR(V987,0)=1,MAX($D$16,IFERROR(L987,MAX($D$16,POWER((ABS(K987)^2)/($I$5*MAX(F987,0.1)^2),1/3)))),IF(IFERROR(AG987,0)=1,MAX($D$16,IFERROR(W987,MAX($D$16,POWER((ABS(K987)^2)/($I$5*MAX(F987,0.1)^2),1/3)))),MAX($D$16,POWER((ABS(K987)^2)/($I$5*MAX(F987,0.1)^2),1/3))))))),MAX($D$16,POWER((ABS(K987)^2)/($I$5*MAX(F987,0.1)^2),1/3)))</f>
        <v>2.1389677043987478</v>
      </c>
      <c r="AI987">
        <f t="shared" ca="1" si="486"/>
        <v>634.23946770439875</v>
      </c>
      <c r="AJ987">
        <f t="shared" ca="1" si="487"/>
        <v>635.30895155659812</v>
      </c>
      <c r="AM987">
        <v>0</v>
      </c>
      <c r="AN987">
        <v>0</v>
      </c>
      <c r="AO987">
        <f t="shared" si="488"/>
        <v>0</v>
      </c>
      <c r="AP987">
        <f t="shared" si="497"/>
        <v>0</v>
      </c>
      <c r="AQ987">
        <f t="shared" ca="1" si="489"/>
        <v>1.0000000000000004</v>
      </c>
      <c r="AR987" t="str">
        <f t="shared" ca="1" si="490"/>
        <v>Supercritical</v>
      </c>
      <c r="AS987">
        <f t="shared" ca="1" si="491"/>
        <v>3.8141460404132466E-3</v>
      </c>
    </row>
    <row r="988" spans="1:45" x14ac:dyDescent="0.35">
      <c r="A988">
        <v>927</v>
      </c>
      <c r="B988">
        <v>925.995</v>
      </c>
      <c r="C988">
        <v>616084.42000000004</v>
      </c>
      <c r="D988">
        <v>3097080.9909999999</v>
      </c>
      <c r="E988">
        <v>632.1</v>
      </c>
      <c r="F988">
        <v>5.2</v>
      </c>
      <c r="G988">
        <v>0</v>
      </c>
      <c r="H988" t="s">
        <v>154</v>
      </c>
      <c r="I988">
        <v>0.06</v>
      </c>
      <c r="J988">
        <f t="shared" si="492"/>
        <v>1</v>
      </c>
      <c r="K988">
        <f t="shared" ca="1" si="493"/>
        <v>50.95</v>
      </c>
      <c r="L988">
        <f t="shared" ca="1" si="494"/>
        <v>2.1389677043987478</v>
      </c>
      <c r="M988">
        <f t="shared" ca="1" si="467"/>
        <v>11.122632062873489</v>
      </c>
      <c r="N988">
        <f t="shared" ca="1" si="468"/>
        <v>1.1735290000551568</v>
      </c>
      <c r="O988">
        <f t="shared" ca="1" si="469"/>
        <v>4.5807502857230418</v>
      </c>
      <c r="P988">
        <f t="shared" ca="1" si="470"/>
        <v>634.23896770439876</v>
      </c>
      <c r="Q988">
        <f t="shared" ca="1" si="471"/>
        <v>635.30845155659813</v>
      </c>
      <c r="R988">
        <f t="shared" ca="1" si="472"/>
        <v>3.8141460404132466E-3</v>
      </c>
      <c r="S988">
        <f t="shared" ca="1" si="473"/>
        <v>1.0000000000000004</v>
      </c>
      <c r="T988">
        <f t="shared" ca="1" si="474"/>
        <v>35.686426155594638</v>
      </c>
      <c r="U988">
        <f t="shared" ca="1" si="495"/>
        <v>-3.4210944256756193E-3</v>
      </c>
      <c r="V988">
        <f t="shared" ca="1" si="496"/>
        <v>1</v>
      </c>
      <c r="W988">
        <f t="shared" ca="1" si="475"/>
        <v>2.0743150457837647</v>
      </c>
      <c r="X988">
        <f t="shared" ca="1" si="476"/>
        <v>10.786438238075577</v>
      </c>
      <c r="Y988">
        <f t="shared" ca="1" si="477"/>
        <v>1.1537988060737319</v>
      </c>
      <c r="Z988">
        <f t="shared" ca="1" si="478"/>
        <v>4.7235240100062965</v>
      </c>
      <c r="AA988">
        <f t="shared" ca="1" si="479"/>
        <v>634.17431504578383</v>
      </c>
      <c r="AB988">
        <f t="shared" ca="1" si="480"/>
        <v>635.311505620356</v>
      </c>
      <c r="AC988">
        <f t="shared" ca="1" si="481"/>
        <v>4.1483430070170359E-3</v>
      </c>
      <c r="AD988">
        <f t="shared" ca="1" si="482"/>
        <v>1.0471147200523914</v>
      </c>
      <c r="AE988">
        <f t="shared" ca="1" si="483"/>
        <v>35.719707358917518</v>
      </c>
      <c r="AF988">
        <f t="shared" ca="1" si="484"/>
        <v>3.6562819852861139E-3</v>
      </c>
      <c r="AG988">
        <f t="shared" ca="1" si="485"/>
        <v>0</v>
      </c>
      <c r="AH988">
        <f ca="1">IFERROR(IF(V32="Supercritical",MAX($D$16,IFERROR(L988,MAX($D$16,POWER((ABS(K988)^2)/($I$5*MAX(F988,0.1)^2),1/3)))),IF(V32="Subcritical",MAX($D$16,IFERROR(W988,MAX($D$16,POWER((ABS(K988)^2)/($I$5*MAX(F988,0.1)^2),1/3)))),IF(AND(IFERROR(V988,0)=1,IFERROR(AG988,0)=1),IF(IFERROR(T988,-1E+99)&gt;=IFERROR(AE988,-1E+99),MAX($D$16,IFERROR(L988,MAX($D$16,POWER((ABS(K988)^2)/($I$5*MAX(F988,0.1)^2),1/3)))),MAX($D$16,IFERROR(W988,MAX($D$16,POWER((ABS(K988)^2)/($I$5*MAX(F988,0.1)^2),1/3))))),IF(IFERROR(V988,0)=1,MAX($D$16,IFERROR(L988,MAX($D$16,POWER((ABS(K988)^2)/($I$5*MAX(F988,0.1)^2),1/3)))),IF(IFERROR(AG988,0)=1,MAX($D$16,IFERROR(W988,MAX($D$16,POWER((ABS(K988)^2)/($I$5*MAX(F988,0.1)^2),1/3)))),MAX($D$16,POWER((ABS(K988)^2)/($I$5*MAX(F988,0.1)^2),1/3))))))),MAX($D$16,POWER((ABS(K988)^2)/($I$5*MAX(F988,0.1)^2),1/3)))</f>
        <v>2.1389677043987478</v>
      </c>
      <c r="AI988">
        <f t="shared" ca="1" si="486"/>
        <v>634.23896770439876</v>
      </c>
      <c r="AJ988">
        <f t="shared" ca="1" si="487"/>
        <v>635.30845155659813</v>
      </c>
      <c r="AM988">
        <v>0</v>
      </c>
      <c r="AN988">
        <v>0</v>
      </c>
      <c r="AO988">
        <f t="shared" si="488"/>
        <v>0</v>
      </c>
      <c r="AP988">
        <f t="shared" si="497"/>
        <v>0</v>
      </c>
      <c r="AQ988">
        <f t="shared" ca="1" si="489"/>
        <v>1.0000000000000004</v>
      </c>
      <c r="AR988" t="str">
        <f t="shared" ca="1" si="490"/>
        <v>Supercritical</v>
      </c>
      <c r="AS988">
        <f t="shared" ca="1" si="491"/>
        <v>3.8141460404132466E-3</v>
      </c>
    </row>
    <row r="989" spans="1:45" x14ac:dyDescent="0.35">
      <c r="A989">
        <v>928</v>
      </c>
      <c r="B989">
        <v>926.99599999999998</v>
      </c>
      <c r="C989">
        <v>616084.37800000003</v>
      </c>
      <c r="D989">
        <v>3097079.9909999999</v>
      </c>
      <c r="E989">
        <v>632.09950000000003</v>
      </c>
      <c r="F989">
        <v>5.2</v>
      </c>
      <c r="G989">
        <v>0</v>
      </c>
      <c r="H989" t="s">
        <v>154</v>
      </c>
      <c r="I989">
        <v>2E-3</v>
      </c>
      <c r="J989">
        <f t="shared" si="492"/>
        <v>1.0009999999999764</v>
      </c>
      <c r="K989">
        <f t="shared" ca="1" si="493"/>
        <v>50.95</v>
      </c>
      <c r="L989">
        <f t="shared" ca="1" si="494"/>
        <v>2.1389677043987478</v>
      </c>
      <c r="M989">
        <f t="shared" ca="1" si="467"/>
        <v>11.122632062873489</v>
      </c>
      <c r="N989">
        <f t="shared" ca="1" si="468"/>
        <v>1.1735290000551568</v>
      </c>
      <c r="O989">
        <f t="shared" ca="1" si="469"/>
        <v>4.5807502857230418</v>
      </c>
      <c r="P989">
        <f t="shared" ca="1" si="470"/>
        <v>634.23846770439877</v>
      </c>
      <c r="Q989">
        <f t="shared" ca="1" si="471"/>
        <v>635.30795155659814</v>
      </c>
      <c r="R989">
        <f t="shared" ca="1" si="472"/>
        <v>3.8141460404132466E-3</v>
      </c>
      <c r="S989">
        <f t="shared" ca="1" si="473"/>
        <v>1.0000000000000004</v>
      </c>
      <c r="T989">
        <f t="shared" ca="1" si="474"/>
        <v>35.686426155594638</v>
      </c>
      <c r="U989">
        <f t="shared" ca="1" si="495"/>
        <v>-3.3215251326055295E-3</v>
      </c>
      <c r="V989">
        <f t="shared" ca="1" si="496"/>
        <v>1</v>
      </c>
      <c r="W989">
        <f t="shared" ca="1" si="475"/>
        <v>2.0711591661621003</v>
      </c>
      <c r="X989">
        <f t="shared" ca="1" si="476"/>
        <v>10.770027664042923</v>
      </c>
      <c r="Y989">
        <f t="shared" ca="1" si="477"/>
        <v>1.1528217387732209</v>
      </c>
      <c r="Z989">
        <f t="shared" ca="1" si="478"/>
        <v>4.7307213676064102</v>
      </c>
      <c r="AA989">
        <f t="shared" ca="1" si="479"/>
        <v>634.17065916616218</v>
      </c>
      <c r="AB989">
        <f t="shared" ca="1" si="480"/>
        <v>635.31131791529208</v>
      </c>
      <c r="AC989">
        <f t="shared" ca="1" si="481"/>
        <v>4.1656973495365077E-3</v>
      </c>
      <c r="AD989">
        <f t="shared" ca="1" si="482"/>
        <v>1.0495089057977478</v>
      </c>
      <c r="AE989">
        <f t="shared" ca="1" si="483"/>
        <v>35.723073324823325</v>
      </c>
      <c r="AF989">
        <f t="shared" ca="1" si="484"/>
        <v>3.6656973495610146E-3</v>
      </c>
      <c r="AG989">
        <f t="shared" ca="1" si="485"/>
        <v>0</v>
      </c>
      <c r="AH989">
        <f ca="1">IFERROR(IF(V32="Supercritical",MAX($D$16,IFERROR(L989,MAX($D$16,POWER((ABS(K989)^2)/($I$5*MAX(F989,0.1)^2),1/3)))),IF(V32="Subcritical",MAX($D$16,IFERROR(W989,MAX($D$16,POWER((ABS(K989)^2)/($I$5*MAX(F989,0.1)^2),1/3)))),IF(AND(IFERROR(V989,0)=1,IFERROR(AG989,0)=1),IF(IFERROR(T989,-1E+99)&gt;=IFERROR(AE989,-1E+99),MAX($D$16,IFERROR(L989,MAX($D$16,POWER((ABS(K989)^2)/($I$5*MAX(F989,0.1)^2),1/3)))),MAX($D$16,IFERROR(W989,MAX($D$16,POWER((ABS(K989)^2)/($I$5*MAX(F989,0.1)^2),1/3))))),IF(IFERROR(V989,0)=1,MAX($D$16,IFERROR(L989,MAX($D$16,POWER((ABS(K989)^2)/($I$5*MAX(F989,0.1)^2),1/3)))),IF(IFERROR(AG989,0)=1,MAX($D$16,IFERROR(W989,MAX($D$16,POWER((ABS(K989)^2)/($I$5*MAX(F989,0.1)^2),1/3)))),MAX($D$16,POWER((ABS(K989)^2)/($I$5*MAX(F989,0.1)^2),1/3))))))),MAX($D$16,POWER((ABS(K989)^2)/($I$5*MAX(F989,0.1)^2),1/3)))</f>
        <v>2.1389677043987478</v>
      </c>
      <c r="AI989">
        <f t="shared" ca="1" si="486"/>
        <v>634.23846770439877</v>
      </c>
      <c r="AJ989">
        <f t="shared" ca="1" si="487"/>
        <v>635.30795155659814</v>
      </c>
      <c r="AM989">
        <v>0</v>
      </c>
      <c r="AN989">
        <v>0</v>
      </c>
      <c r="AO989">
        <f t="shared" si="488"/>
        <v>0</v>
      </c>
      <c r="AP989">
        <f t="shared" si="497"/>
        <v>0</v>
      </c>
      <c r="AQ989">
        <f t="shared" ca="1" si="489"/>
        <v>1.0000000000000004</v>
      </c>
      <c r="AR989" t="str">
        <f t="shared" ca="1" si="490"/>
        <v>Supercritical</v>
      </c>
      <c r="AS989">
        <f t="shared" ca="1" si="491"/>
        <v>3.8141460404132466E-3</v>
      </c>
    </row>
    <row r="990" spans="1:45" x14ac:dyDescent="0.35">
      <c r="A990">
        <v>929</v>
      </c>
      <c r="B990">
        <v>927.99599999999998</v>
      </c>
      <c r="C990">
        <v>616084.33600000001</v>
      </c>
      <c r="D990">
        <v>3097078.9920000001</v>
      </c>
      <c r="E990">
        <v>632.09900000000005</v>
      </c>
      <c r="F990">
        <v>5.2</v>
      </c>
      <c r="G990">
        <v>0</v>
      </c>
      <c r="H990" t="s">
        <v>154</v>
      </c>
      <c r="I990">
        <v>0</v>
      </c>
      <c r="J990">
        <f t="shared" si="492"/>
        <v>1</v>
      </c>
      <c r="K990">
        <f t="shared" ca="1" si="493"/>
        <v>50.95</v>
      </c>
      <c r="L990">
        <f t="shared" ca="1" si="494"/>
        <v>2.1389677043987478</v>
      </c>
      <c r="M990">
        <f t="shared" ca="1" si="467"/>
        <v>11.122632062873489</v>
      </c>
      <c r="N990">
        <f t="shared" ca="1" si="468"/>
        <v>1.1735290000551568</v>
      </c>
      <c r="O990">
        <f t="shared" ca="1" si="469"/>
        <v>4.5807502857230418</v>
      </c>
      <c r="P990">
        <f t="shared" ca="1" si="470"/>
        <v>634.23796770439878</v>
      </c>
      <c r="Q990">
        <f t="shared" ca="1" si="471"/>
        <v>635.30745155659815</v>
      </c>
      <c r="R990">
        <f t="shared" ca="1" si="472"/>
        <v>3.8141460404132466E-3</v>
      </c>
      <c r="S990">
        <f t="shared" ca="1" si="473"/>
        <v>1.0000000000000004</v>
      </c>
      <c r="T990">
        <f t="shared" ca="1" si="474"/>
        <v>35.686426155594638</v>
      </c>
      <c r="U990">
        <f t="shared" ca="1" si="495"/>
        <v>-3.3141460404522149E-3</v>
      </c>
      <c r="V990">
        <f t="shared" ca="1" si="496"/>
        <v>1</v>
      </c>
      <c r="W990">
        <f t="shared" ca="1" si="475"/>
        <v>2.0678927613500706</v>
      </c>
      <c r="X990">
        <f t="shared" ca="1" si="476"/>
        <v>10.753042359020368</v>
      </c>
      <c r="Y990">
        <f t="shared" ca="1" si="477"/>
        <v>1.1518090612594021</v>
      </c>
      <c r="Z990">
        <f t="shared" ca="1" si="478"/>
        <v>4.7381939267875897</v>
      </c>
      <c r="AA990">
        <f t="shared" ca="1" si="479"/>
        <v>634.16689276135014</v>
      </c>
      <c r="AB990">
        <f t="shared" ca="1" si="480"/>
        <v>635.31115788305488</v>
      </c>
      <c r="AC990">
        <f t="shared" ca="1" si="481"/>
        <v>4.1837673578428384E-3</v>
      </c>
      <c r="AD990">
        <f t="shared" ca="1" si="482"/>
        <v>1.0519965645369098</v>
      </c>
      <c r="AE990">
        <f t="shared" ca="1" si="483"/>
        <v>35.726731875635565</v>
      </c>
      <c r="AF990">
        <f t="shared" ca="1" si="484"/>
        <v>3.7924725443190255E-3</v>
      </c>
      <c r="AG990">
        <f t="shared" ca="1" si="485"/>
        <v>0</v>
      </c>
      <c r="AH990">
        <f ca="1">IFERROR(IF(V32="Supercritical",MAX($D$16,IFERROR(L990,MAX($D$16,POWER((ABS(K990)^2)/($I$5*MAX(F990,0.1)^2),1/3)))),IF(V32="Subcritical",MAX($D$16,IFERROR(W990,MAX($D$16,POWER((ABS(K990)^2)/($I$5*MAX(F990,0.1)^2),1/3)))),IF(AND(IFERROR(V990,0)=1,IFERROR(AG990,0)=1),IF(IFERROR(T990,-1E+99)&gt;=IFERROR(AE990,-1E+99),MAX($D$16,IFERROR(L990,MAX($D$16,POWER((ABS(K990)^2)/($I$5*MAX(F990,0.1)^2),1/3)))),MAX($D$16,IFERROR(W990,MAX($D$16,POWER((ABS(K990)^2)/($I$5*MAX(F990,0.1)^2),1/3))))),IF(IFERROR(V990,0)=1,MAX($D$16,IFERROR(L990,MAX($D$16,POWER((ABS(K990)^2)/($I$5*MAX(F990,0.1)^2),1/3)))),IF(IFERROR(AG990,0)=1,MAX($D$16,IFERROR(W990,MAX($D$16,POWER((ABS(K990)^2)/($I$5*MAX(F990,0.1)^2),1/3)))),MAX($D$16,POWER((ABS(K990)^2)/($I$5*MAX(F990,0.1)^2),1/3))))))),MAX($D$16,POWER((ABS(K990)^2)/($I$5*MAX(F990,0.1)^2),1/3)))</f>
        <v>2.1389677043987478</v>
      </c>
      <c r="AI990">
        <f t="shared" ca="1" si="486"/>
        <v>634.23796770439878</v>
      </c>
      <c r="AJ990">
        <f t="shared" ca="1" si="487"/>
        <v>635.30745155659815</v>
      </c>
      <c r="AM990">
        <v>0</v>
      </c>
      <c r="AN990">
        <v>0</v>
      </c>
      <c r="AO990">
        <f t="shared" si="488"/>
        <v>0</v>
      </c>
      <c r="AP990">
        <f t="shared" si="497"/>
        <v>0</v>
      </c>
      <c r="AQ990">
        <f t="shared" ca="1" si="489"/>
        <v>1.0000000000000004</v>
      </c>
      <c r="AR990" t="str">
        <f t="shared" ca="1" si="490"/>
        <v>Supercritical</v>
      </c>
      <c r="AS990">
        <f t="shared" ca="1" si="491"/>
        <v>3.8141460404132466E-3</v>
      </c>
    </row>
    <row r="991" spans="1:45" x14ac:dyDescent="0.35">
      <c r="A991">
        <v>930</v>
      </c>
      <c r="B991">
        <v>928.99599999999998</v>
      </c>
      <c r="C991">
        <v>616084.29399999999</v>
      </c>
      <c r="D991">
        <v>3097077.9929999998</v>
      </c>
      <c r="E991">
        <v>632.09849999999994</v>
      </c>
      <c r="F991">
        <v>5.2</v>
      </c>
      <c r="G991">
        <v>0</v>
      </c>
      <c r="H991" t="s">
        <v>154</v>
      </c>
      <c r="I991">
        <v>5.7000000000000002E-2</v>
      </c>
      <c r="J991">
        <f t="shared" si="492"/>
        <v>1</v>
      </c>
      <c r="K991">
        <f t="shared" ca="1" si="493"/>
        <v>50.95</v>
      </c>
      <c r="L991">
        <f t="shared" ca="1" si="494"/>
        <v>2.1389677043987478</v>
      </c>
      <c r="M991">
        <f t="shared" ca="1" si="467"/>
        <v>11.122632062873489</v>
      </c>
      <c r="N991">
        <f t="shared" ca="1" si="468"/>
        <v>1.1735290000551568</v>
      </c>
      <c r="O991">
        <f t="shared" ca="1" si="469"/>
        <v>4.5807502857230418</v>
      </c>
      <c r="P991">
        <f t="shared" ca="1" si="470"/>
        <v>634.23746770439868</v>
      </c>
      <c r="Q991">
        <f t="shared" ca="1" si="471"/>
        <v>635.30695155659805</v>
      </c>
      <c r="R991">
        <f t="shared" ca="1" si="472"/>
        <v>3.8141460404132466E-3</v>
      </c>
      <c r="S991">
        <f t="shared" ca="1" si="473"/>
        <v>1.0000000000000004</v>
      </c>
      <c r="T991">
        <f t="shared" ca="1" si="474"/>
        <v>35.686426155594638</v>
      </c>
      <c r="U991">
        <f t="shared" ca="1" si="495"/>
        <v>-3.4157470063291839E-3</v>
      </c>
      <c r="V991">
        <f t="shared" ca="1" si="496"/>
        <v>1</v>
      </c>
      <c r="W991">
        <f t="shared" ca="1" si="475"/>
        <v>2.0645137096859729</v>
      </c>
      <c r="X991">
        <f t="shared" ca="1" si="476"/>
        <v>10.735471290367059</v>
      </c>
      <c r="Y991">
        <f t="shared" ca="1" si="477"/>
        <v>1.1507599675475921</v>
      </c>
      <c r="Z991">
        <f t="shared" ca="1" si="478"/>
        <v>4.74594907125479</v>
      </c>
      <c r="AA991">
        <f t="shared" ca="1" si="479"/>
        <v>634.16301370968597</v>
      </c>
      <c r="AB991">
        <f t="shared" ca="1" si="480"/>
        <v>635.31102760300621</v>
      </c>
      <c r="AC991">
        <f t="shared" ca="1" si="481"/>
        <v>4.2025769224088702E-3</v>
      </c>
      <c r="AD991">
        <f t="shared" ca="1" si="482"/>
        <v>1.0545803726782577</v>
      </c>
      <c r="AE991">
        <f t="shared" ca="1" si="483"/>
        <v>35.730704214816569</v>
      </c>
      <c r="AF991">
        <f t="shared" ca="1" si="484"/>
        <v>3.8116382422686002E-3</v>
      </c>
      <c r="AG991">
        <f t="shared" ca="1" si="485"/>
        <v>0</v>
      </c>
      <c r="AH991">
        <f ca="1">IFERROR(IF(V32="Supercritical",MAX($D$16,IFERROR(L991,MAX($D$16,POWER((ABS(K991)^2)/($I$5*MAX(F991,0.1)^2),1/3)))),IF(V32="Subcritical",MAX($D$16,IFERROR(W991,MAX($D$16,POWER((ABS(K991)^2)/($I$5*MAX(F991,0.1)^2),1/3)))),IF(AND(IFERROR(V991,0)=1,IFERROR(AG991,0)=1),IF(IFERROR(T991,-1E+99)&gt;=IFERROR(AE991,-1E+99),MAX($D$16,IFERROR(L991,MAX($D$16,POWER((ABS(K991)^2)/($I$5*MAX(F991,0.1)^2),1/3)))),MAX($D$16,IFERROR(W991,MAX($D$16,POWER((ABS(K991)^2)/($I$5*MAX(F991,0.1)^2),1/3))))),IF(IFERROR(V991,0)=1,MAX($D$16,IFERROR(L991,MAX($D$16,POWER((ABS(K991)^2)/($I$5*MAX(F991,0.1)^2),1/3)))),IF(IFERROR(AG991,0)=1,MAX($D$16,IFERROR(W991,MAX($D$16,POWER((ABS(K991)^2)/($I$5*MAX(F991,0.1)^2),1/3)))),MAX($D$16,POWER((ABS(K991)^2)/($I$5*MAX(F991,0.1)^2),1/3))))))),MAX($D$16,POWER((ABS(K991)^2)/($I$5*MAX(F991,0.1)^2),1/3)))</f>
        <v>2.1389677043987478</v>
      </c>
      <c r="AI991">
        <f t="shared" ca="1" si="486"/>
        <v>634.23746770439868</v>
      </c>
      <c r="AJ991">
        <f t="shared" ca="1" si="487"/>
        <v>635.30695155659805</v>
      </c>
      <c r="AM991">
        <v>0</v>
      </c>
      <c r="AN991">
        <v>0</v>
      </c>
      <c r="AO991">
        <f t="shared" si="488"/>
        <v>0</v>
      </c>
      <c r="AP991">
        <f t="shared" si="497"/>
        <v>0</v>
      </c>
      <c r="AQ991">
        <f t="shared" ca="1" si="489"/>
        <v>1.0000000000000004</v>
      </c>
      <c r="AR991" t="str">
        <f t="shared" ca="1" si="490"/>
        <v>Supercritical</v>
      </c>
      <c r="AS991">
        <f t="shared" ca="1" si="491"/>
        <v>3.8141460404132466E-3</v>
      </c>
    </row>
    <row r="992" spans="1:45" x14ac:dyDescent="0.35">
      <c r="A992">
        <v>931</v>
      </c>
      <c r="B992">
        <v>929.99599999999998</v>
      </c>
      <c r="C992">
        <v>616084.25100000005</v>
      </c>
      <c r="D992">
        <v>3097076.9939999999</v>
      </c>
      <c r="E992">
        <v>632.09799999999996</v>
      </c>
      <c r="F992">
        <v>5.2</v>
      </c>
      <c r="G992">
        <v>0</v>
      </c>
      <c r="H992" t="s">
        <v>154</v>
      </c>
      <c r="I992">
        <v>5.7000000000000002E-2</v>
      </c>
      <c r="J992">
        <f t="shared" si="492"/>
        <v>1</v>
      </c>
      <c r="K992">
        <f t="shared" ca="1" si="493"/>
        <v>50.95</v>
      </c>
      <c r="L992">
        <f t="shared" ca="1" si="494"/>
        <v>2.1389677043987478</v>
      </c>
      <c r="M992">
        <f t="shared" ca="1" si="467"/>
        <v>11.122632062873489</v>
      </c>
      <c r="N992">
        <f t="shared" ca="1" si="468"/>
        <v>1.1735290000551568</v>
      </c>
      <c r="O992">
        <f t="shared" ca="1" si="469"/>
        <v>4.5807502857230418</v>
      </c>
      <c r="P992">
        <f t="shared" ca="1" si="470"/>
        <v>634.23696770439869</v>
      </c>
      <c r="Q992">
        <f t="shared" ca="1" si="471"/>
        <v>635.30645155659806</v>
      </c>
      <c r="R992">
        <f t="shared" ca="1" si="472"/>
        <v>3.8141460404132466E-3</v>
      </c>
      <c r="S992">
        <f t="shared" ca="1" si="473"/>
        <v>1.0000000000000004</v>
      </c>
      <c r="T992">
        <f t="shared" ca="1" si="474"/>
        <v>35.686426155594638</v>
      </c>
      <c r="U992">
        <f t="shared" ca="1" si="495"/>
        <v>-3.4157470064428708E-3</v>
      </c>
      <c r="V992">
        <f t="shared" ca="1" si="496"/>
        <v>1</v>
      </c>
      <c r="W992">
        <f t="shared" ca="1" si="475"/>
        <v>2.0610200105745422</v>
      </c>
      <c r="X992">
        <f t="shared" ca="1" si="476"/>
        <v>10.71730405498762</v>
      </c>
      <c r="Y992">
        <f t="shared" ca="1" si="477"/>
        <v>1.1496736798676119</v>
      </c>
      <c r="Z992">
        <f t="shared" ca="1" si="478"/>
        <v>4.7539940771101747</v>
      </c>
      <c r="AA992">
        <f t="shared" ca="1" si="479"/>
        <v>634.15902001057452</v>
      </c>
      <c r="AB992">
        <f t="shared" ca="1" si="480"/>
        <v>635.31092927077827</v>
      </c>
      <c r="AC992">
        <f t="shared" ca="1" si="481"/>
        <v>4.2221501339982414E-3</v>
      </c>
      <c r="AD992">
        <f t="shared" ca="1" si="482"/>
        <v>1.0572629866975831</v>
      </c>
      <c r="AE992">
        <f t="shared" ca="1" si="483"/>
        <v>35.735012629090605</v>
      </c>
      <c r="AF992">
        <f t="shared" ca="1" si="484"/>
        <v>3.7221501339672614E-3</v>
      </c>
      <c r="AG992">
        <f t="shared" ca="1" si="485"/>
        <v>0</v>
      </c>
      <c r="AH992">
        <f ca="1">IFERROR(IF(V32="Supercritical",MAX($D$16,IFERROR(L992,MAX($D$16,POWER((ABS(K992)^2)/($I$5*MAX(F992,0.1)^2),1/3)))),IF(V32="Subcritical",MAX($D$16,IFERROR(W992,MAX($D$16,POWER((ABS(K992)^2)/($I$5*MAX(F992,0.1)^2),1/3)))),IF(AND(IFERROR(V992,0)=1,IFERROR(AG992,0)=1),IF(IFERROR(T992,-1E+99)&gt;=IFERROR(AE992,-1E+99),MAX($D$16,IFERROR(L992,MAX($D$16,POWER((ABS(K992)^2)/($I$5*MAX(F992,0.1)^2),1/3)))),MAX($D$16,IFERROR(W992,MAX($D$16,POWER((ABS(K992)^2)/($I$5*MAX(F992,0.1)^2),1/3))))),IF(IFERROR(V992,0)=1,MAX($D$16,IFERROR(L992,MAX($D$16,POWER((ABS(K992)^2)/($I$5*MAX(F992,0.1)^2),1/3)))),IF(IFERROR(AG992,0)=1,MAX($D$16,IFERROR(W992,MAX($D$16,POWER((ABS(K992)^2)/($I$5*MAX(F992,0.1)^2),1/3)))),MAX($D$16,POWER((ABS(K992)^2)/($I$5*MAX(F992,0.1)^2),1/3))))))),MAX($D$16,POWER((ABS(K992)^2)/($I$5*MAX(F992,0.1)^2),1/3)))</f>
        <v>2.1389677043987478</v>
      </c>
      <c r="AI992">
        <f t="shared" ca="1" si="486"/>
        <v>634.23696770439869</v>
      </c>
      <c r="AJ992">
        <f t="shared" ca="1" si="487"/>
        <v>635.30645155659806</v>
      </c>
      <c r="AM992">
        <v>0</v>
      </c>
      <c r="AN992">
        <v>0</v>
      </c>
      <c r="AO992">
        <f t="shared" si="488"/>
        <v>0</v>
      </c>
      <c r="AP992">
        <f t="shared" si="497"/>
        <v>0</v>
      </c>
      <c r="AQ992">
        <f t="shared" ca="1" si="489"/>
        <v>1.0000000000000004</v>
      </c>
      <c r="AR992" t="str">
        <f t="shared" ca="1" si="490"/>
        <v>Supercritical</v>
      </c>
      <c r="AS992">
        <f t="shared" ca="1" si="491"/>
        <v>3.8141460404132466E-3</v>
      </c>
    </row>
    <row r="993" spans="1:45" x14ac:dyDescent="0.35">
      <c r="A993">
        <v>932</v>
      </c>
      <c r="B993">
        <v>930.99599999999998</v>
      </c>
      <c r="C993">
        <v>616084.20900000003</v>
      </c>
      <c r="D993">
        <v>3097075.9950000001</v>
      </c>
      <c r="E993">
        <v>632.09749999999997</v>
      </c>
      <c r="F993">
        <v>5.2</v>
      </c>
      <c r="G993">
        <v>0</v>
      </c>
      <c r="H993" t="s">
        <v>154</v>
      </c>
      <c r="I993">
        <v>0</v>
      </c>
      <c r="J993">
        <f t="shared" si="492"/>
        <v>1</v>
      </c>
      <c r="K993">
        <f t="shared" ca="1" si="493"/>
        <v>50.95</v>
      </c>
      <c r="L993">
        <f t="shared" ca="1" si="494"/>
        <v>2.1389677043987478</v>
      </c>
      <c r="M993">
        <f t="shared" ca="1" si="467"/>
        <v>11.122632062873489</v>
      </c>
      <c r="N993">
        <f t="shared" ca="1" si="468"/>
        <v>1.1735290000551568</v>
      </c>
      <c r="O993">
        <f t="shared" ca="1" si="469"/>
        <v>4.5807502857230418</v>
      </c>
      <c r="P993">
        <f t="shared" ca="1" si="470"/>
        <v>634.23646770439871</v>
      </c>
      <c r="Q993">
        <f t="shared" ca="1" si="471"/>
        <v>635.30595155659807</v>
      </c>
      <c r="R993">
        <f t="shared" ca="1" si="472"/>
        <v>3.8141460404132466E-3</v>
      </c>
      <c r="S993">
        <f t="shared" ca="1" si="473"/>
        <v>1.0000000000000004</v>
      </c>
      <c r="T993">
        <f t="shared" ca="1" si="474"/>
        <v>35.686426155594638</v>
      </c>
      <c r="U993">
        <f t="shared" ca="1" si="495"/>
        <v>-3.3141460404522149E-3</v>
      </c>
      <c r="V993">
        <f t="shared" ca="1" si="496"/>
        <v>1</v>
      </c>
      <c r="W993">
        <f t="shared" ca="1" si="475"/>
        <v>2.0574098021282894</v>
      </c>
      <c r="X993">
        <f t="shared" ca="1" si="476"/>
        <v>10.698530971067106</v>
      </c>
      <c r="Y993">
        <f t="shared" ca="1" si="477"/>
        <v>1.1485494540525738</v>
      </c>
      <c r="Z993">
        <f t="shared" ca="1" si="478"/>
        <v>4.7623360756526454</v>
      </c>
      <c r="AA993">
        <f t="shared" ca="1" si="479"/>
        <v>634.15490980212826</v>
      </c>
      <c r="AB993">
        <f t="shared" ca="1" si="480"/>
        <v>635.3108651995525</v>
      </c>
      <c r="AC993">
        <f t="shared" ca="1" si="481"/>
        <v>4.2425112114615688E-3</v>
      </c>
      <c r="AD993">
        <f t="shared" ca="1" si="482"/>
        <v>1.0600470312523131</v>
      </c>
      <c r="AE993">
        <f t="shared" ca="1" si="483"/>
        <v>35.739680485153073</v>
      </c>
      <c r="AF993">
        <f t="shared" ca="1" si="484"/>
        <v>3.7425112114988224E-3</v>
      </c>
      <c r="AG993">
        <f t="shared" ca="1" si="485"/>
        <v>0</v>
      </c>
      <c r="AH993">
        <f ca="1">IFERROR(IF(V32="Supercritical",MAX($D$16,IFERROR(L993,MAX($D$16,POWER((ABS(K993)^2)/($I$5*MAX(F993,0.1)^2),1/3)))),IF(V32="Subcritical",MAX($D$16,IFERROR(W993,MAX($D$16,POWER((ABS(K993)^2)/($I$5*MAX(F993,0.1)^2),1/3)))),IF(AND(IFERROR(V993,0)=1,IFERROR(AG993,0)=1),IF(IFERROR(T993,-1E+99)&gt;=IFERROR(AE993,-1E+99),MAX($D$16,IFERROR(L993,MAX($D$16,POWER((ABS(K993)^2)/($I$5*MAX(F993,0.1)^2),1/3)))),MAX($D$16,IFERROR(W993,MAX($D$16,POWER((ABS(K993)^2)/($I$5*MAX(F993,0.1)^2),1/3))))),IF(IFERROR(V993,0)=1,MAX($D$16,IFERROR(L993,MAX($D$16,POWER((ABS(K993)^2)/($I$5*MAX(F993,0.1)^2),1/3)))),IF(IFERROR(AG993,0)=1,MAX($D$16,IFERROR(W993,MAX($D$16,POWER((ABS(K993)^2)/($I$5*MAX(F993,0.1)^2),1/3)))),MAX($D$16,POWER((ABS(K993)^2)/($I$5*MAX(F993,0.1)^2),1/3))))))),MAX($D$16,POWER((ABS(K993)^2)/($I$5*MAX(F993,0.1)^2),1/3)))</f>
        <v>2.1389677043987478</v>
      </c>
      <c r="AI993">
        <f t="shared" ca="1" si="486"/>
        <v>634.23646770439871</v>
      </c>
      <c r="AJ993">
        <f t="shared" ca="1" si="487"/>
        <v>635.30595155659807</v>
      </c>
      <c r="AM993">
        <v>0</v>
      </c>
      <c r="AN993">
        <v>0</v>
      </c>
      <c r="AO993">
        <f t="shared" si="488"/>
        <v>0</v>
      </c>
      <c r="AP993">
        <f t="shared" si="497"/>
        <v>0</v>
      </c>
      <c r="AQ993">
        <f t="shared" ca="1" si="489"/>
        <v>1.0000000000000004</v>
      </c>
      <c r="AR993" t="str">
        <f t="shared" ca="1" si="490"/>
        <v>Supercritical</v>
      </c>
      <c r="AS993">
        <f t="shared" ca="1" si="491"/>
        <v>3.8141460404132466E-3</v>
      </c>
    </row>
    <row r="994" spans="1:45" x14ac:dyDescent="0.35">
      <c r="A994">
        <v>933</v>
      </c>
      <c r="B994">
        <v>931.99599999999998</v>
      </c>
      <c r="C994">
        <v>616084.16700000002</v>
      </c>
      <c r="D994">
        <v>3097074.9959999998</v>
      </c>
      <c r="E994">
        <v>632.09699999999998</v>
      </c>
      <c r="F994">
        <v>5.2</v>
      </c>
      <c r="G994">
        <v>0</v>
      </c>
      <c r="H994" t="s">
        <v>154</v>
      </c>
      <c r="I994">
        <v>0</v>
      </c>
      <c r="J994">
        <f t="shared" si="492"/>
        <v>1</v>
      </c>
      <c r="K994">
        <f t="shared" ca="1" si="493"/>
        <v>50.95</v>
      </c>
      <c r="L994">
        <f t="shared" ca="1" si="494"/>
        <v>2.1389677043987478</v>
      </c>
      <c r="M994">
        <f t="shared" ca="1" si="467"/>
        <v>11.122632062873489</v>
      </c>
      <c r="N994">
        <f t="shared" ca="1" si="468"/>
        <v>1.1735290000551568</v>
      </c>
      <c r="O994">
        <f t="shared" ca="1" si="469"/>
        <v>4.5807502857230418</v>
      </c>
      <c r="P994">
        <f t="shared" ca="1" si="470"/>
        <v>634.23596770439872</v>
      </c>
      <c r="Q994">
        <f t="shared" ca="1" si="471"/>
        <v>635.30545155659809</v>
      </c>
      <c r="R994">
        <f t="shared" ca="1" si="472"/>
        <v>3.8141460404132466E-3</v>
      </c>
      <c r="S994">
        <f t="shared" ca="1" si="473"/>
        <v>1.0000000000000004</v>
      </c>
      <c r="T994">
        <f t="shared" ca="1" si="474"/>
        <v>35.686426155594638</v>
      </c>
      <c r="U994">
        <f t="shared" ca="1" si="495"/>
        <v>-3.3141460404522149E-3</v>
      </c>
      <c r="V994">
        <f t="shared" ca="1" si="496"/>
        <v>1</v>
      </c>
      <c r="W994">
        <f t="shared" ca="1" si="475"/>
        <v>2.0536813797424416</v>
      </c>
      <c r="X994">
        <f t="shared" ca="1" si="476"/>
        <v>10.679143174660696</v>
      </c>
      <c r="Y994">
        <f t="shared" ca="1" si="477"/>
        <v>1.1473865852900027</v>
      </c>
      <c r="Z994">
        <f t="shared" ca="1" si="478"/>
        <v>4.7709820129477585</v>
      </c>
      <c r="AA994">
        <f t="shared" ca="1" si="479"/>
        <v>634.15068137974242</v>
      </c>
      <c r="AB994">
        <f t="shared" ca="1" si="480"/>
        <v>635.31083782051053</v>
      </c>
      <c r="AC994">
        <f t="shared" ca="1" si="481"/>
        <v>4.2636844200751025E-3</v>
      </c>
      <c r="AD994">
        <f t="shared" ca="1" si="482"/>
        <v>1.0629350861464149</v>
      </c>
      <c r="AE994">
        <f t="shared" ca="1" si="483"/>
        <v>35.744732216637736</v>
      </c>
      <c r="AF994">
        <f t="shared" ca="1" si="484"/>
        <v>3.8696355975389451E-3</v>
      </c>
      <c r="AG994">
        <f t="shared" ca="1" si="485"/>
        <v>0</v>
      </c>
      <c r="AH994">
        <f ca="1">IFERROR(IF(V32="Supercritical",MAX($D$16,IFERROR(L994,MAX($D$16,POWER((ABS(K994)^2)/($I$5*MAX(F994,0.1)^2),1/3)))),IF(V32="Subcritical",MAX($D$16,IFERROR(W994,MAX($D$16,POWER((ABS(K994)^2)/($I$5*MAX(F994,0.1)^2),1/3)))),IF(AND(IFERROR(V994,0)=1,IFERROR(AG994,0)=1),IF(IFERROR(T994,-1E+99)&gt;=IFERROR(AE994,-1E+99),MAX($D$16,IFERROR(L994,MAX($D$16,POWER((ABS(K994)^2)/($I$5*MAX(F994,0.1)^2),1/3)))),MAX($D$16,IFERROR(W994,MAX($D$16,POWER((ABS(K994)^2)/($I$5*MAX(F994,0.1)^2),1/3))))),IF(IFERROR(V994,0)=1,MAX($D$16,IFERROR(L994,MAX($D$16,POWER((ABS(K994)^2)/($I$5*MAX(F994,0.1)^2),1/3)))),IF(IFERROR(AG994,0)=1,MAX($D$16,IFERROR(W994,MAX($D$16,POWER((ABS(K994)^2)/($I$5*MAX(F994,0.1)^2),1/3)))),MAX($D$16,POWER((ABS(K994)^2)/($I$5*MAX(F994,0.1)^2),1/3))))))),MAX($D$16,POWER((ABS(K994)^2)/($I$5*MAX(F994,0.1)^2),1/3)))</f>
        <v>2.1389677043987478</v>
      </c>
      <c r="AI994">
        <f t="shared" ca="1" si="486"/>
        <v>634.23596770439872</v>
      </c>
      <c r="AJ994">
        <f t="shared" ca="1" si="487"/>
        <v>635.30545155659809</v>
      </c>
      <c r="AM994">
        <v>0</v>
      </c>
      <c r="AN994">
        <v>0</v>
      </c>
      <c r="AO994">
        <f t="shared" si="488"/>
        <v>0</v>
      </c>
      <c r="AP994">
        <f t="shared" si="497"/>
        <v>0</v>
      </c>
      <c r="AQ994">
        <f t="shared" ca="1" si="489"/>
        <v>1.0000000000000004</v>
      </c>
      <c r="AR994" t="str">
        <f t="shared" ca="1" si="490"/>
        <v>Supercritical</v>
      </c>
      <c r="AS994">
        <f t="shared" ca="1" si="491"/>
        <v>3.8141460404132466E-3</v>
      </c>
    </row>
    <row r="995" spans="1:45" x14ac:dyDescent="0.35">
      <c r="A995">
        <v>934</v>
      </c>
      <c r="B995">
        <v>932.995</v>
      </c>
      <c r="C995">
        <v>616084.125</v>
      </c>
      <c r="D995">
        <v>3097073.997</v>
      </c>
      <c r="E995">
        <v>632.09649999999999</v>
      </c>
      <c r="F995">
        <v>5.2</v>
      </c>
      <c r="G995">
        <v>0</v>
      </c>
      <c r="H995" t="s">
        <v>154</v>
      </c>
      <c r="I995">
        <v>5.7000000000000002E-2</v>
      </c>
      <c r="J995">
        <f t="shared" si="492"/>
        <v>0.99900000000002365</v>
      </c>
      <c r="K995">
        <f t="shared" ca="1" si="493"/>
        <v>50.95</v>
      </c>
      <c r="L995">
        <f t="shared" ca="1" si="494"/>
        <v>2.1389677043987478</v>
      </c>
      <c r="M995">
        <f t="shared" ca="1" si="467"/>
        <v>11.122632062873489</v>
      </c>
      <c r="N995">
        <f t="shared" ca="1" si="468"/>
        <v>1.1735290000551568</v>
      </c>
      <c r="O995">
        <f t="shared" ca="1" si="469"/>
        <v>4.5807502857230418</v>
      </c>
      <c r="P995">
        <f t="shared" ca="1" si="470"/>
        <v>634.23546770439873</v>
      </c>
      <c r="Q995">
        <f t="shared" ca="1" si="471"/>
        <v>635.3049515565981</v>
      </c>
      <c r="R995">
        <f t="shared" ca="1" si="472"/>
        <v>3.8141460404132466E-3</v>
      </c>
      <c r="S995">
        <f t="shared" ca="1" si="473"/>
        <v>1.0000000000000004</v>
      </c>
      <c r="T995">
        <f t="shared" ca="1" si="474"/>
        <v>35.686426155594638</v>
      </c>
      <c r="U995">
        <f t="shared" ca="1" si="495"/>
        <v>-3.411932860331035E-3</v>
      </c>
      <c r="V995">
        <f t="shared" ca="1" si="496"/>
        <v>1</v>
      </c>
      <c r="W995">
        <f t="shared" ca="1" si="475"/>
        <v>2.0498332155591625</v>
      </c>
      <c r="X995">
        <f t="shared" ca="1" si="476"/>
        <v>10.659132720907646</v>
      </c>
      <c r="Y995">
        <f t="shared" ca="1" si="477"/>
        <v>1.1461844142323543</v>
      </c>
      <c r="Z995">
        <f t="shared" ca="1" si="478"/>
        <v>4.7799386060802806</v>
      </c>
      <c r="AA995">
        <f t="shared" ca="1" si="479"/>
        <v>634.14633321555914</v>
      </c>
      <c r="AB995">
        <f t="shared" ca="1" si="480"/>
        <v>635.31084968232244</v>
      </c>
      <c r="AC995">
        <f t="shared" ca="1" si="481"/>
        <v>4.2856939797547731E-3</v>
      </c>
      <c r="AD995">
        <f t="shared" ca="1" si="482"/>
        <v>1.0659296721001053</v>
      </c>
      <c r="AE995">
        <f t="shared" ca="1" si="483"/>
        <v>35.750193300010721</v>
      </c>
      <c r="AF995">
        <f t="shared" ca="1" si="484"/>
        <v>3.8963230441595442E-3</v>
      </c>
      <c r="AG995">
        <f t="shared" ca="1" si="485"/>
        <v>0</v>
      </c>
      <c r="AH995">
        <f ca="1">IFERROR(IF(V32="Supercritical",MAX($D$16,IFERROR(L995,MAX($D$16,POWER((ABS(K995)^2)/($I$5*MAX(F995,0.1)^2),1/3)))),IF(V32="Subcritical",MAX($D$16,IFERROR(W995,MAX($D$16,POWER((ABS(K995)^2)/($I$5*MAX(F995,0.1)^2),1/3)))),IF(AND(IFERROR(V995,0)=1,IFERROR(AG995,0)=1),IF(IFERROR(T995,-1E+99)&gt;=IFERROR(AE995,-1E+99),MAX($D$16,IFERROR(L995,MAX($D$16,POWER((ABS(K995)^2)/($I$5*MAX(F995,0.1)^2),1/3)))),MAX($D$16,IFERROR(W995,MAX($D$16,POWER((ABS(K995)^2)/($I$5*MAX(F995,0.1)^2),1/3))))),IF(IFERROR(V995,0)=1,MAX($D$16,IFERROR(L995,MAX($D$16,POWER((ABS(K995)^2)/($I$5*MAX(F995,0.1)^2),1/3)))),IF(IFERROR(AG995,0)=1,MAX($D$16,IFERROR(W995,MAX($D$16,POWER((ABS(K995)^2)/($I$5*MAX(F995,0.1)^2),1/3)))),MAX($D$16,POWER((ABS(K995)^2)/($I$5*MAX(F995,0.1)^2),1/3))))))),MAX($D$16,POWER((ABS(K995)^2)/($I$5*MAX(F995,0.1)^2),1/3)))</f>
        <v>2.1389677043987478</v>
      </c>
      <c r="AI995">
        <f t="shared" ca="1" si="486"/>
        <v>634.23546770439873</v>
      </c>
      <c r="AJ995">
        <f t="shared" ca="1" si="487"/>
        <v>635.3049515565981</v>
      </c>
      <c r="AM995">
        <v>0</v>
      </c>
      <c r="AN995">
        <v>0</v>
      </c>
      <c r="AO995">
        <f t="shared" si="488"/>
        <v>0</v>
      </c>
      <c r="AP995">
        <f t="shared" si="497"/>
        <v>0</v>
      </c>
      <c r="AQ995">
        <f t="shared" ca="1" si="489"/>
        <v>1.0000000000000004</v>
      </c>
      <c r="AR995" t="str">
        <f t="shared" ca="1" si="490"/>
        <v>Supercritical</v>
      </c>
      <c r="AS995">
        <f t="shared" ca="1" si="491"/>
        <v>3.8141460404132466E-3</v>
      </c>
    </row>
    <row r="996" spans="1:45" x14ac:dyDescent="0.35">
      <c r="A996">
        <v>935</v>
      </c>
      <c r="B996">
        <v>933.995</v>
      </c>
      <c r="C996">
        <v>616084.08200000005</v>
      </c>
      <c r="D996">
        <v>3097072.9980000001</v>
      </c>
      <c r="E996">
        <v>632.096</v>
      </c>
      <c r="F996">
        <v>5.2</v>
      </c>
      <c r="G996">
        <v>0</v>
      </c>
      <c r="H996" t="s">
        <v>154</v>
      </c>
      <c r="I996">
        <v>5.7000000000000002E-2</v>
      </c>
      <c r="J996">
        <f t="shared" si="492"/>
        <v>1</v>
      </c>
      <c r="K996">
        <f t="shared" ca="1" si="493"/>
        <v>50.95</v>
      </c>
      <c r="L996">
        <f t="shared" ca="1" si="494"/>
        <v>2.1389677043987478</v>
      </c>
      <c r="M996">
        <f t="shared" ca="1" si="467"/>
        <v>11.122632062873489</v>
      </c>
      <c r="N996">
        <f t="shared" ca="1" si="468"/>
        <v>1.1735290000551568</v>
      </c>
      <c r="O996">
        <f t="shared" ca="1" si="469"/>
        <v>4.5807502857230418</v>
      </c>
      <c r="P996">
        <f t="shared" ca="1" si="470"/>
        <v>634.23496770439874</v>
      </c>
      <c r="Q996">
        <f t="shared" ca="1" si="471"/>
        <v>635.30445155659811</v>
      </c>
      <c r="R996">
        <f t="shared" ca="1" si="472"/>
        <v>3.8141460404132466E-3</v>
      </c>
      <c r="S996">
        <f t="shared" ca="1" si="473"/>
        <v>1.0000000000000004</v>
      </c>
      <c r="T996">
        <f t="shared" ca="1" si="474"/>
        <v>35.686426155594638</v>
      </c>
      <c r="U996">
        <f t="shared" ca="1" si="495"/>
        <v>-3.4157470064428708E-3</v>
      </c>
      <c r="V996">
        <f t="shared" ca="1" si="496"/>
        <v>1</v>
      </c>
      <c r="W996">
        <f t="shared" ca="1" si="475"/>
        <v>2.0458639787609272</v>
      </c>
      <c r="X996">
        <f t="shared" ca="1" si="476"/>
        <v>10.638492689556822</v>
      </c>
      <c r="Y996">
        <f t="shared" ca="1" si="477"/>
        <v>1.1449423334595943</v>
      </c>
      <c r="Z996">
        <f t="shared" ca="1" si="478"/>
        <v>4.7892122960252257</v>
      </c>
      <c r="AA996">
        <f t="shared" ca="1" si="479"/>
        <v>634.14186397876097</v>
      </c>
      <c r="AB996">
        <f t="shared" ca="1" si="480"/>
        <v>635.31090344952543</v>
      </c>
      <c r="AC996">
        <f t="shared" ca="1" si="481"/>
        <v>4.3085639624850011E-3</v>
      </c>
      <c r="AD996">
        <f t="shared" ca="1" si="482"/>
        <v>1.0690332352847998</v>
      </c>
      <c r="AE996">
        <f t="shared" ca="1" si="483"/>
        <v>35.756090218000594</v>
      </c>
      <c r="AF996">
        <f t="shared" ca="1" si="484"/>
        <v>3.8085639624796386E-3</v>
      </c>
      <c r="AG996">
        <f t="shared" ca="1" si="485"/>
        <v>0</v>
      </c>
      <c r="AH996">
        <f ca="1">IFERROR(IF(V32="Supercritical",MAX($D$16,IFERROR(L996,MAX($D$16,POWER((ABS(K996)^2)/($I$5*MAX(F996,0.1)^2),1/3)))),IF(V32="Subcritical",MAX($D$16,IFERROR(W996,MAX($D$16,POWER((ABS(K996)^2)/($I$5*MAX(F996,0.1)^2),1/3)))),IF(AND(IFERROR(V996,0)=1,IFERROR(AG996,0)=1),IF(IFERROR(T996,-1E+99)&gt;=IFERROR(AE996,-1E+99),MAX($D$16,IFERROR(L996,MAX($D$16,POWER((ABS(K996)^2)/($I$5*MAX(F996,0.1)^2),1/3)))),MAX($D$16,IFERROR(W996,MAX($D$16,POWER((ABS(K996)^2)/($I$5*MAX(F996,0.1)^2),1/3))))),IF(IFERROR(V996,0)=1,MAX($D$16,IFERROR(L996,MAX($D$16,POWER((ABS(K996)^2)/($I$5*MAX(F996,0.1)^2),1/3)))),IF(IFERROR(AG996,0)=1,MAX($D$16,IFERROR(W996,MAX($D$16,POWER((ABS(K996)^2)/($I$5*MAX(F996,0.1)^2),1/3)))),MAX($D$16,POWER((ABS(K996)^2)/($I$5*MAX(F996,0.1)^2),1/3))))))),MAX($D$16,POWER((ABS(K996)^2)/($I$5*MAX(F996,0.1)^2),1/3)))</f>
        <v>2.1389677043987478</v>
      </c>
      <c r="AI996">
        <f t="shared" ca="1" si="486"/>
        <v>634.23496770439874</v>
      </c>
      <c r="AJ996">
        <f t="shared" ca="1" si="487"/>
        <v>635.30445155659811</v>
      </c>
      <c r="AM996">
        <v>0</v>
      </c>
      <c r="AN996">
        <v>0</v>
      </c>
      <c r="AO996">
        <f t="shared" si="488"/>
        <v>0</v>
      </c>
      <c r="AP996">
        <f t="shared" si="497"/>
        <v>0</v>
      </c>
      <c r="AQ996">
        <f t="shared" ca="1" si="489"/>
        <v>1.0000000000000004</v>
      </c>
      <c r="AR996" t="str">
        <f t="shared" ca="1" si="490"/>
        <v>Supercritical</v>
      </c>
      <c r="AS996">
        <f t="shared" ca="1" si="491"/>
        <v>3.8141460404132466E-3</v>
      </c>
    </row>
    <row r="997" spans="1:45" x14ac:dyDescent="0.35">
      <c r="A997">
        <v>936</v>
      </c>
      <c r="B997">
        <v>934.995</v>
      </c>
      <c r="C997">
        <v>616084.04</v>
      </c>
      <c r="D997">
        <v>3097071.9989999998</v>
      </c>
      <c r="E997">
        <v>632.09550000000002</v>
      </c>
      <c r="F997">
        <v>5.2</v>
      </c>
      <c r="G997">
        <v>0</v>
      </c>
      <c r="H997" t="s">
        <v>154</v>
      </c>
      <c r="I997">
        <v>0</v>
      </c>
      <c r="J997">
        <f t="shared" si="492"/>
        <v>1</v>
      </c>
      <c r="K997">
        <f t="shared" ca="1" si="493"/>
        <v>50.95</v>
      </c>
      <c r="L997">
        <f t="shared" ca="1" si="494"/>
        <v>2.1389677043987478</v>
      </c>
      <c r="M997">
        <f t="shared" ca="1" si="467"/>
        <v>11.122632062873489</v>
      </c>
      <c r="N997">
        <f t="shared" ca="1" si="468"/>
        <v>1.1735290000551568</v>
      </c>
      <c r="O997">
        <f t="shared" ca="1" si="469"/>
        <v>4.5807502857230418</v>
      </c>
      <c r="P997">
        <f t="shared" ca="1" si="470"/>
        <v>634.23446770439875</v>
      </c>
      <c r="Q997">
        <f t="shared" ca="1" si="471"/>
        <v>635.30395155659812</v>
      </c>
      <c r="R997">
        <f t="shared" ca="1" si="472"/>
        <v>3.8141460404132466E-3</v>
      </c>
      <c r="S997">
        <f t="shared" ca="1" si="473"/>
        <v>1.0000000000000004</v>
      </c>
      <c r="T997">
        <f t="shared" ca="1" si="474"/>
        <v>35.686426155594638</v>
      </c>
      <c r="U997">
        <f t="shared" ca="1" si="495"/>
        <v>-3.3141460404522149E-3</v>
      </c>
      <c r="V997">
        <f t="shared" ca="1" si="496"/>
        <v>1</v>
      </c>
      <c r="W997">
        <f t="shared" ca="1" si="475"/>
        <v>2.041772556614363</v>
      </c>
      <c r="X997">
        <f t="shared" ca="1" si="476"/>
        <v>10.617217294394688</v>
      </c>
      <c r="Y997">
        <f t="shared" ca="1" si="477"/>
        <v>1.1436597942811229</v>
      </c>
      <c r="Z997">
        <f t="shared" ca="1" si="478"/>
        <v>4.7988091971046707</v>
      </c>
      <c r="AA997">
        <f t="shared" ca="1" si="479"/>
        <v>634.13727255661433</v>
      </c>
      <c r="AB997">
        <f t="shared" ca="1" si="480"/>
        <v>635.31100189964275</v>
      </c>
      <c r="AC997">
        <f t="shared" ca="1" si="481"/>
        <v>4.3323181783269165E-3</v>
      </c>
      <c r="AD997">
        <f t="shared" ca="1" si="482"/>
        <v>1.0722481305926721</v>
      </c>
      <c r="AE997">
        <f t="shared" ca="1" si="483"/>
        <v>35.762450409131624</v>
      </c>
      <c r="AF997">
        <f t="shared" ca="1" si="484"/>
        <v>3.8362306094086307E-3</v>
      </c>
      <c r="AG997">
        <f t="shared" ca="1" si="485"/>
        <v>0</v>
      </c>
      <c r="AH997">
        <f ca="1">IFERROR(IF(V32="Supercritical",MAX($D$16,IFERROR(L997,MAX($D$16,POWER((ABS(K997)^2)/($I$5*MAX(F997,0.1)^2),1/3)))),IF(V32="Subcritical",MAX($D$16,IFERROR(W997,MAX($D$16,POWER((ABS(K997)^2)/($I$5*MAX(F997,0.1)^2),1/3)))),IF(AND(IFERROR(V997,0)=1,IFERROR(AG997,0)=1),IF(IFERROR(T997,-1E+99)&gt;=IFERROR(AE997,-1E+99),MAX($D$16,IFERROR(L997,MAX($D$16,POWER((ABS(K997)^2)/($I$5*MAX(F997,0.1)^2),1/3)))),MAX($D$16,IFERROR(W997,MAX($D$16,POWER((ABS(K997)^2)/($I$5*MAX(F997,0.1)^2),1/3))))),IF(IFERROR(V997,0)=1,MAX($D$16,IFERROR(L997,MAX($D$16,POWER((ABS(K997)^2)/($I$5*MAX(F997,0.1)^2),1/3)))),IF(IFERROR(AG997,0)=1,MAX($D$16,IFERROR(W997,MAX($D$16,POWER((ABS(K997)^2)/($I$5*MAX(F997,0.1)^2),1/3)))),MAX($D$16,POWER((ABS(K997)^2)/($I$5*MAX(F997,0.1)^2),1/3))))))),MAX($D$16,POWER((ABS(K997)^2)/($I$5*MAX(F997,0.1)^2),1/3)))</f>
        <v>2.1389677043987478</v>
      </c>
      <c r="AI997">
        <f t="shared" ca="1" si="486"/>
        <v>634.23446770439875</v>
      </c>
      <c r="AJ997">
        <f t="shared" ca="1" si="487"/>
        <v>635.30395155659812</v>
      </c>
      <c r="AM997">
        <v>0</v>
      </c>
      <c r="AN997">
        <v>0</v>
      </c>
      <c r="AO997">
        <f t="shared" si="488"/>
        <v>0</v>
      </c>
      <c r="AP997">
        <f t="shared" si="497"/>
        <v>0</v>
      </c>
      <c r="AQ997">
        <f t="shared" ca="1" si="489"/>
        <v>1.0000000000000004</v>
      </c>
      <c r="AR997" t="str">
        <f t="shared" ca="1" si="490"/>
        <v>Supercritical</v>
      </c>
      <c r="AS997">
        <f t="shared" ca="1" si="491"/>
        <v>3.8141460404132466E-3</v>
      </c>
    </row>
    <row r="998" spans="1:45" x14ac:dyDescent="0.35">
      <c r="A998">
        <v>937</v>
      </c>
      <c r="B998">
        <v>935.995</v>
      </c>
      <c r="C998">
        <v>616083.99800000002</v>
      </c>
      <c r="D998">
        <v>3097071</v>
      </c>
      <c r="E998">
        <v>632.09500000000003</v>
      </c>
      <c r="F998">
        <v>5.2</v>
      </c>
      <c r="G998">
        <v>0</v>
      </c>
      <c r="H998" t="s">
        <v>154</v>
      </c>
      <c r="I998">
        <v>2E-3</v>
      </c>
      <c r="J998">
        <f t="shared" si="492"/>
        <v>1</v>
      </c>
      <c r="K998">
        <f t="shared" ca="1" si="493"/>
        <v>50.95</v>
      </c>
      <c r="L998">
        <f t="shared" ca="1" si="494"/>
        <v>2.1389677043987478</v>
      </c>
      <c r="M998">
        <f t="shared" ca="1" si="467"/>
        <v>11.122632062873489</v>
      </c>
      <c r="N998">
        <f t="shared" ca="1" si="468"/>
        <v>1.1735290000551568</v>
      </c>
      <c r="O998">
        <f t="shared" ca="1" si="469"/>
        <v>4.5807502857230418</v>
      </c>
      <c r="P998">
        <f t="shared" ca="1" si="470"/>
        <v>634.23396770439876</v>
      </c>
      <c r="Q998">
        <f t="shared" ca="1" si="471"/>
        <v>635.30345155659813</v>
      </c>
      <c r="R998">
        <f t="shared" ca="1" si="472"/>
        <v>3.8141460404132466E-3</v>
      </c>
      <c r="S998">
        <f t="shared" ca="1" si="473"/>
        <v>1.0000000000000004</v>
      </c>
      <c r="T998">
        <f t="shared" ca="1" si="474"/>
        <v>35.686426155594638</v>
      </c>
      <c r="U998">
        <f t="shared" ca="1" si="495"/>
        <v>-3.3177109866073806E-3</v>
      </c>
      <c r="V998">
        <f t="shared" ca="1" si="496"/>
        <v>1</v>
      </c>
      <c r="W998">
        <f t="shared" ca="1" si="475"/>
        <v>2.0375580761673446</v>
      </c>
      <c r="X998">
        <f t="shared" ca="1" si="476"/>
        <v>10.595301996070193</v>
      </c>
      <c r="Y998">
        <f t="shared" ca="1" si="477"/>
        <v>1.1423363138587965</v>
      </c>
      <c r="Z998">
        <f t="shared" ca="1" si="478"/>
        <v>4.8087350430310911</v>
      </c>
      <c r="AA998">
        <f t="shared" ca="1" si="479"/>
        <v>634.13255807616736</v>
      </c>
      <c r="AB998">
        <f t="shared" ca="1" si="480"/>
        <v>635.31114791888274</v>
      </c>
      <c r="AC998">
        <f t="shared" ca="1" si="481"/>
        <v>4.3569800494010526E-3</v>
      </c>
      <c r="AD998">
        <f t="shared" ca="1" si="482"/>
        <v>1.0755766036199068</v>
      </c>
      <c r="AE998">
        <f t="shared" ca="1" si="483"/>
        <v>35.76930220190247</v>
      </c>
      <c r="AF998">
        <f t="shared" ca="1" si="484"/>
        <v>3.9791960136881244E-3</v>
      </c>
      <c r="AG998">
        <f t="shared" ca="1" si="485"/>
        <v>0</v>
      </c>
      <c r="AH998">
        <f ca="1">IFERROR(IF(V32="Supercritical",MAX($D$16,IFERROR(L998,MAX($D$16,POWER((ABS(K998)^2)/($I$5*MAX(F998,0.1)^2),1/3)))),IF(V32="Subcritical",MAX($D$16,IFERROR(W998,MAX($D$16,POWER((ABS(K998)^2)/($I$5*MAX(F998,0.1)^2),1/3)))),IF(AND(IFERROR(V998,0)=1,IFERROR(AG998,0)=1),IF(IFERROR(T998,-1E+99)&gt;=IFERROR(AE998,-1E+99),MAX($D$16,IFERROR(L998,MAX($D$16,POWER((ABS(K998)^2)/($I$5*MAX(F998,0.1)^2),1/3)))),MAX($D$16,IFERROR(W998,MAX($D$16,POWER((ABS(K998)^2)/($I$5*MAX(F998,0.1)^2),1/3))))),IF(IFERROR(V998,0)=1,MAX($D$16,IFERROR(L998,MAX($D$16,POWER((ABS(K998)^2)/($I$5*MAX(F998,0.1)^2),1/3)))),IF(IFERROR(AG998,0)=1,MAX($D$16,IFERROR(W998,MAX($D$16,POWER((ABS(K998)^2)/($I$5*MAX(F998,0.1)^2),1/3)))),MAX($D$16,POWER((ABS(K998)^2)/($I$5*MAX(F998,0.1)^2),1/3))))))),MAX($D$16,POWER((ABS(K998)^2)/($I$5*MAX(F998,0.1)^2),1/3)))</f>
        <v>2.1389677043987478</v>
      </c>
      <c r="AI998">
        <f t="shared" ca="1" si="486"/>
        <v>634.23396770439876</v>
      </c>
      <c r="AJ998">
        <f t="shared" ca="1" si="487"/>
        <v>635.30345155659813</v>
      </c>
      <c r="AM998">
        <v>0</v>
      </c>
      <c r="AN998">
        <v>0</v>
      </c>
      <c r="AO998">
        <f t="shared" si="488"/>
        <v>0</v>
      </c>
      <c r="AP998">
        <f t="shared" si="497"/>
        <v>0</v>
      </c>
      <c r="AQ998">
        <f t="shared" ca="1" si="489"/>
        <v>1.0000000000000004</v>
      </c>
      <c r="AR998" t="str">
        <f t="shared" ca="1" si="490"/>
        <v>Supercritical</v>
      </c>
      <c r="AS998">
        <f t="shared" ca="1" si="491"/>
        <v>3.8141460404132466E-3</v>
      </c>
    </row>
    <row r="999" spans="1:45" x14ac:dyDescent="0.35">
      <c r="A999">
        <v>938</v>
      </c>
      <c r="B999">
        <v>936.99599999999998</v>
      </c>
      <c r="C999">
        <v>616083.95600000001</v>
      </c>
      <c r="D999">
        <v>3097070</v>
      </c>
      <c r="E999">
        <v>632.09450000000004</v>
      </c>
      <c r="F999">
        <v>5.2</v>
      </c>
      <c r="G999">
        <v>0</v>
      </c>
      <c r="H999" t="s">
        <v>154</v>
      </c>
      <c r="I999">
        <v>0.06</v>
      </c>
      <c r="J999">
        <f t="shared" si="492"/>
        <v>1.0009999999999764</v>
      </c>
      <c r="K999">
        <f t="shared" ca="1" si="493"/>
        <v>50.95</v>
      </c>
      <c r="L999">
        <f t="shared" ca="1" si="494"/>
        <v>2.1389677043987478</v>
      </c>
      <c r="M999">
        <f t="shared" ca="1" si="467"/>
        <v>11.122632062873489</v>
      </c>
      <c r="N999">
        <f t="shared" ca="1" si="468"/>
        <v>1.1735290000551568</v>
      </c>
      <c r="O999">
        <f t="shared" ca="1" si="469"/>
        <v>4.5807502857230418</v>
      </c>
      <c r="P999">
        <f t="shared" ca="1" si="470"/>
        <v>634.23346770439878</v>
      </c>
      <c r="Q999">
        <f t="shared" ca="1" si="471"/>
        <v>635.30295155659815</v>
      </c>
      <c r="R999">
        <f t="shared" ca="1" si="472"/>
        <v>3.8141460404132466E-3</v>
      </c>
      <c r="S999">
        <f t="shared" ca="1" si="473"/>
        <v>1.0000000000000004</v>
      </c>
      <c r="T999">
        <f t="shared" ca="1" si="474"/>
        <v>35.686426155594638</v>
      </c>
      <c r="U999">
        <f t="shared" ca="1" si="495"/>
        <v>-3.4249085716737682E-3</v>
      </c>
      <c r="V999">
        <f t="shared" ca="1" si="496"/>
        <v>1</v>
      </c>
      <c r="W999">
        <f t="shared" ca="1" si="475"/>
        <v>2.0332199264800677</v>
      </c>
      <c r="X999">
        <f t="shared" ca="1" si="476"/>
        <v>10.572743617696352</v>
      </c>
      <c r="Y999">
        <f t="shared" ca="1" si="477"/>
        <v>1.1409714826259754</v>
      </c>
      <c r="Z999">
        <f t="shared" ca="1" si="478"/>
        <v>4.8189951295821993</v>
      </c>
      <c r="AA999">
        <f t="shared" ca="1" si="479"/>
        <v>634.12771992648015</v>
      </c>
      <c r="AB999">
        <f t="shared" ca="1" si="480"/>
        <v>635.31134449625267</v>
      </c>
      <c r="AC999">
        <f t="shared" ca="1" si="481"/>
        <v>4.3825724712985761E-3</v>
      </c>
      <c r="AD999">
        <f t="shared" ca="1" si="482"/>
        <v>1.0790207713561788</v>
      </c>
      <c r="AE999">
        <f t="shared" ca="1" si="483"/>
        <v>35.776674732154717</v>
      </c>
      <c r="AF999">
        <f t="shared" ca="1" si="484"/>
        <v>3.9950168054474489E-3</v>
      </c>
      <c r="AG999">
        <f t="shared" ca="1" si="485"/>
        <v>0</v>
      </c>
      <c r="AH999">
        <f ca="1">IFERROR(IF(V32="Supercritical",MAX($D$16,IFERROR(L999,MAX($D$16,POWER((ABS(K999)^2)/($I$5*MAX(F999,0.1)^2),1/3)))),IF(V32="Subcritical",MAX($D$16,IFERROR(W999,MAX($D$16,POWER((ABS(K999)^2)/($I$5*MAX(F999,0.1)^2),1/3)))),IF(AND(IFERROR(V999,0)=1,IFERROR(AG999,0)=1),IF(IFERROR(T999,-1E+99)&gt;=IFERROR(AE999,-1E+99),MAX($D$16,IFERROR(L999,MAX($D$16,POWER((ABS(K999)^2)/($I$5*MAX(F999,0.1)^2),1/3)))),MAX($D$16,IFERROR(W999,MAX($D$16,POWER((ABS(K999)^2)/($I$5*MAX(F999,0.1)^2),1/3))))),IF(IFERROR(V999,0)=1,MAX($D$16,IFERROR(L999,MAX($D$16,POWER((ABS(K999)^2)/($I$5*MAX(F999,0.1)^2),1/3)))),IF(IFERROR(AG999,0)=1,MAX($D$16,IFERROR(W999,MAX($D$16,POWER((ABS(K999)^2)/($I$5*MAX(F999,0.1)^2),1/3)))),MAX($D$16,POWER((ABS(K999)^2)/($I$5*MAX(F999,0.1)^2),1/3))))))),MAX($D$16,POWER((ABS(K999)^2)/($I$5*MAX(F999,0.1)^2),1/3)))</f>
        <v>2.1389677043987478</v>
      </c>
      <c r="AI999">
        <f t="shared" ca="1" si="486"/>
        <v>634.23346770439878</v>
      </c>
      <c r="AJ999">
        <f t="shared" ca="1" si="487"/>
        <v>635.30295155659815</v>
      </c>
      <c r="AM999">
        <v>0</v>
      </c>
      <c r="AN999">
        <v>0</v>
      </c>
      <c r="AO999">
        <f t="shared" si="488"/>
        <v>0</v>
      </c>
      <c r="AP999">
        <f t="shared" si="497"/>
        <v>0</v>
      </c>
      <c r="AQ999">
        <f t="shared" ca="1" si="489"/>
        <v>1.0000000000000004</v>
      </c>
      <c r="AR999" t="str">
        <f t="shared" ca="1" si="490"/>
        <v>Supercritical</v>
      </c>
      <c r="AS999">
        <f t="shared" ca="1" si="491"/>
        <v>3.8141460404132466E-3</v>
      </c>
    </row>
    <row r="1000" spans="1:45" x14ac:dyDescent="0.35">
      <c r="A1000">
        <v>939</v>
      </c>
      <c r="B1000">
        <v>937.99599999999998</v>
      </c>
      <c r="C1000">
        <v>616083.91299999994</v>
      </c>
      <c r="D1000">
        <v>3097069.0010000002</v>
      </c>
      <c r="E1000">
        <v>632.09400000000005</v>
      </c>
      <c r="F1000">
        <v>5.2</v>
      </c>
      <c r="G1000">
        <v>0</v>
      </c>
      <c r="H1000" t="s">
        <v>154</v>
      </c>
      <c r="I1000">
        <v>5.7000000000000002E-2</v>
      </c>
      <c r="J1000">
        <f t="shared" si="492"/>
        <v>1</v>
      </c>
      <c r="K1000">
        <f t="shared" ca="1" si="493"/>
        <v>50.95</v>
      </c>
      <c r="L1000">
        <f t="shared" ca="1" si="494"/>
        <v>2.1389677043987478</v>
      </c>
      <c r="M1000">
        <f t="shared" ca="1" si="467"/>
        <v>11.122632062873489</v>
      </c>
      <c r="N1000">
        <f t="shared" ca="1" si="468"/>
        <v>1.1735290000551568</v>
      </c>
      <c r="O1000">
        <f t="shared" ca="1" si="469"/>
        <v>4.5807502857230418</v>
      </c>
      <c r="P1000">
        <f t="shared" ca="1" si="470"/>
        <v>634.23296770439879</v>
      </c>
      <c r="Q1000">
        <f t="shared" ca="1" si="471"/>
        <v>635.30245155659816</v>
      </c>
      <c r="R1000">
        <f t="shared" ca="1" si="472"/>
        <v>3.8141460404132466E-3</v>
      </c>
      <c r="S1000">
        <f t="shared" ca="1" si="473"/>
        <v>1.0000000000000004</v>
      </c>
      <c r="T1000">
        <f t="shared" ca="1" si="474"/>
        <v>35.686426155594638</v>
      </c>
      <c r="U1000">
        <f t="shared" ca="1" si="495"/>
        <v>-3.4157470064428708E-3</v>
      </c>
      <c r="V1000">
        <f t="shared" ca="1" si="496"/>
        <v>1</v>
      </c>
      <c r="W1000">
        <f t="shared" ca="1" si="475"/>
        <v>2.0287577812490594</v>
      </c>
      <c r="X1000">
        <f t="shared" ca="1" si="476"/>
        <v>10.549540462495109</v>
      </c>
      <c r="Y1000">
        <f t="shared" ca="1" si="477"/>
        <v>1.1395649719705512</v>
      </c>
      <c r="Z1000">
        <f t="shared" ca="1" si="478"/>
        <v>4.8295942539993479</v>
      </c>
      <c r="AA1000">
        <f t="shared" ca="1" si="479"/>
        <v>634.12275778124911</v>
      </c>
      <c r="AB1000">
        <f t="shared" ca="1" si="480"/>
        <v>635.31159471592105</v>
      </c>
      <c r="AC1000">
        <f t="shared" ca="1" si="481"/>
        <v>4.4091176614445031E-3</v>
      </c>
      <c r="AD1000">
        <f t="shared" ca="1" si="482"/>
        <v>1.0825826015874702</v>
      </c>
      <c r="AE1000">
        <f t="shared" ca="1" si="483"/>
        <v>35.784597842205002</v>
      </c>
      <c r="AF1000">
        <f t="shared" ca="1" si="484"/>
        <v>3.909117661351047E-3</v>
      </c>
      <c r="AG1000">
        <f t="shared" ca="1" si="485"/>
        <v>0</v>
      </c>
      <c r="AH1000">
        <f ca="1">IFERROR(IF(V32="Supercritical",MAX($D$16,IFERROR(L1000,MAX($D$16,POWER((ABS(K1000)^2)/($I$5*MAX(F1000,0.1)^2),1/3)))),IF(V32="Subcritical",MAX($D$16,IFERROR(W1000,MAX($D$16,POWER((ABS(K1000)^2)/($I$5*MAX(F1000,0.1)^2),1/3)))),IF(AND(IFERROR(V1000,0)=1,IFERROR(AG1000,0)=1),IF(IFERROR(T1000,-1E+99)&gt;=IFERROR(AE1000,-1E+99),MAX($D$16,IFERROR(L1000,MAX($D$16,POWER((ABS(K1000)^2)/($I$5*MAX(F1000,0.1)^2),1/3)))),MAX($D$16,IFERROR(W1000,MAX($D$16,POWER((ABS(K1000)^2)/($I$5*MAX(F1000,0.1)^2),1/3))))),IF(IFERROR(V1000,0)=1,MAX($D$16,IFERROR(L1000,MAX($D$16,POWER((ABS(K1000)^2)/($I$5*MAX(F1000,0.1)^2),1/3)))),IF(IFERROR(AG1000,0)=1,MAX($D$16,IFERROR(W1000,MAX($D$16,POWER((ABS(K1000)^2)/($I$5*MAX(F1000,0.1)^2),1/3)))),MAX($D$16,POWER((ABS(K1000)^2)/($I$5*MAX(F1000,0.1)^2),1/3))))))),MAX($D$16,POWER((ABS(K1000)^2)/($I$5*MAX(F1000,0.1)^2),1/3)))</f>
        <v>2.1389677043987478</v>
      </c>
      <c r="AI1000">
        <f t="shared" ca="1" si="486"/>
        <v>634.23296770439879</v>
      </c>
      <c r="AJ1000">
        <f t="shared" ca="1" si="487"/>
        <v>635.30245155659816</v>
      </c>
      <c r="AM1000">
        <v>0</v>
      </c>
      <c r="AN1000">
        <v>0</v>
      </c>
      <c r="AO1000">
        <f t="shared" si="488"/>
        <v>0</v>
      </c>
      <c r="AP1000">
        <f t="shared" si="497"/>
        <v>0</v>
      </c>
      <c r="AQ1000">
        <f t="shared" ca="1" si="489"/>
        <v>1.0000000000000004</v>
      </c>
      <c r="AR1000" t="str">
        <f t="shared" ca="1" si="490"/>
        <v>Supercritical</v>
      </c>
      <c r="AS1000">
        <f t="shared" ca="1" si="491"/>
        <v>3.8141460404132466E-3</v>
      </c>
    </row>
    <row r="1001" spans="1:45" x14ac:dyDescent="0.35">
      <c r="A1001">
        <v>940</v>
      </c>
      <c r="B1001">
        <v>938.99599999999998</v>
      </c>
      <c r="C1001">
        <v>616083.87100000004</v>
      </c>
      <c r="D1001">
        <v>3097068.0019999999</v>
      </c>
      <c r="E1001">
        <v>632.09349999999995</v>
      </c>
      <c r="F1001">
        <v>5.2</v>
      </c>
      <c r="G1001">
        <v>0</v>
      </c>
      <c r="H1001" t="s">
        <v>154</v>
      </c>
      <c r="I1001">
        <v>0</v>
      </c>
      <c r="J1001">
        <f t="shared" si="492"/>
        <v>1</v>
      </c>
      <c r="K1001">
        <f t="shared" ca="1" si="493"/>
        <v>50.95</v>
      </c>
      <c r="L1001">
        <f t="shared" ca="1" si="494"/>
        <v>2.1389677043987478</v>
      </c>
      <c r="M1001">
        <f t="shared" ca="1" si="467"/>
        <v>11.122632062873489</v>
      </c>
      <c r="N1001">
        <f t="shared" ca="1" si="468"/>
        <v>1.1735290000551568</v>
      </c>
      <c r="O1001">
        <f t="shared" ca="1" si="469"/>
        <v>4.5807502857230418</v>
      </c>
      <c r="P1001">
        <f t="shared" ca="1" si="470"/>
        <v>634.23246770439869</v>
      </c>
      <c r="Q1001">
        <f t="shared" ca="1" si="471"/>
        <v>635.30195155659806</v>
      </c>
      <c r="R1001">
        <f t="shared" ca="1" si="472"/>
        <v>3.8141460404132466E-3</v>
      </c>
      <c r="S1001">
        <f t="shared" ca="1" si="473"/>
        <v>1.0000000000000004</v>
      </c>
      <c r="T1001">
        <f t="shared" ca="1" si="474"/>
        <v>35.686426155594638</v>
      </c>
      <c r="U1001">
        <f t="shared" ca="1" si="495"/>
        <v>-3.3141460403385281E-3</v>
      </c>
      <c r="V1001">
        <f t="shared" ca="1" si="496"/>
        <v>1</v>
      </c>
      <c r="W1001">
        <f t="shared" ca="1" si="475"/>
        <v>2.0241716216585739</v>
      </c>
      <c r="X1001">
        <f t="shared" ca="1" si="476"/>
        <v>10.525692432624584</v>
      </c>
      <c r="Y1001">
        <f t="shared" ca="1" si="477"/>
        <v>1.1381165421417991</v>
      </c>
      <c r="Z1001">
        <f t="shared" ca="1" si="478"/>
        <v>4.8405366512591144</v>
      </c>
      <c r="AA1001">
        <f t="shared" ca="1" si="479"/>
        <v>634.11767162165847</v>
      </c>
      <c r="AB1001">
        <f t="shared" ca="1" si="480"/>
        <v>635.31190174766164</v>
      </c>
      <c r="AC1001">
        <f t="shared" ca="1" si="481"/>
        <v>4.4366369940370869E-3</v>
      </c>
      <c r="AD1001">
        <f t="shared" ca="1" si="482"/>
        <v>1.0862638910377305</v>
      </c>
      <c r="AE1001">
        <f t="shared" ca="1" si="483"/>
        <v>35.793101960380923</v>
      </c>
      <c r="AF1001">
        <f t="shared" ca="1" si="484"/>
        <v>3.9366369940125878E-3</v>
      </c>
      <c r="AG1001">
        <f t="shared" ca="1" si="485"/>
        <v>0</v>
      </c>
      <c r="AH1001">
        <f ca="1">IFERROR(IF(V32="Supercritical",MAX($D$16,IFERROR(L1001,MAX($D$16,POWER((ABS(K1001)^2)/($I$5*MAX(F1001,0.1)^2),1/3)))),IF(V32="Subcritical",MAX($D$16,IFERROR(W1001,MAX($D$16,POWER((ABS(K1001)^2)/($I$5*MAX(F1001,0.1)^2),1/3)))),IF(AND(IFERROR(V1001,0)=1,IFERROR(AG1001,0)=1),IF(IFERROR(T1001,-1E+99)&gt;=IFERROR(AE1001,-1E+99),MAX($D$16,IFERROR(L1001,MAX($D$16,POWER((ABS(K1001)^2)/($I$5*MAX(F1001,0.1)^2),1/3)))),MAX($D$16,IFERROR(W1001,MAX($D$16,POWER((ABS(K1001)^2)/($I$5*MAX(F1001,0.1)^2),1/3))))),IF(IFERROR(V1001,0)=1,MAX($D$16,IFERROR(L1001,MAX($D$16,POWER((ABS(K1001)^2)/($I$5*MAX(F1001,0.1)^2),1/3)))),IF(IFERROR(AG1001,0)=1,MAX($D$16,IFERROR(W1001,MAX($D$16,POWER((ABS(K1001)^2)/($I$5*MAX(F1001,0.1)^2),1/3)))),MAX($D$16,POWER((ABS(K1001)^2)/($I$5*MAX(F1001,0.1)^2),1/3))))))),MAX($D$16,POWER((ABS(K1001)^2)/($I$5*MAX(F1001,0.1)^2),1/3)))</f>
        <v>2.1389677043987478</v>
      </c>
      <c r="AI1001">
        <f t="shared" ca="1" si="486"/>
        <v>634.23246770439869</v>
      </c>
      <c r="AJ1001">
        <f t="shared" ca="1" si="487"/>
        <v>635.30195155659806</v>
      </c>
      <c r="AM1001">
        <v>0</v>
      </c>
      <c r="AN1001">
        <v>0</v>
      </c>
      <c r="AO1001">
        <f t="shared" si="488"/>
        <v>0</v>
      </c>
      <c r="AP1001">
        <f t="shared" si="497"/>
        <v>0</v>
      </c>
      <c r="AQ1001">
        <f t="shared" ca="1" si="489"/>
        <v>1.0000000000000004</v>
      </c>
      <c r="AR1001" t="str">
        <f t="shared" ca="1" si="490"/>
        <v>Supercritical</v>
      </c>
      <c r="AS1001">
        <f t="shared" ca="1" si="491"/>
        <v>3.8141460404132466E-3</v>
      </c>
    </row>
    <row r="1002" spans="1:45" x14ac:dyDescent="0.35">
      <c r="A1002">
        <v>941</v>
      </c>
      <c r="B1002">
        <v>939.99599999999998</v>
      </c>
      <c r="C1002">
        <v>616083.82900000003</v>
      </c>
      <c r="D1002">
        <v>3097067.003</v>
      </c>
      <c r="E1002">
        <v>632.09299999999996</v>
      </c>
      <c r="F1002">
        <v>5.2</v>
      </c>
      <c r="G1002">
        <v>0</v>
      </c>
      <c r="H1002" t="s">
        <v>154</v>
      </c>
      <c r="I1002">
        <v>0</v>
      </c>
      <c r="J1002">
        <f t="shared" si="492"/>
        <v>1</v>
      </c>
      <c r="K1002">
        <f t="shared" ca="1" si="493"/>
        <v>50.95</v>
      </c>
      <c r="L1002">
        <f t="shared" ca="1" si="494"/>
        <v>2.1389677043987478</v>
      </c>
      <c r="M1002">
        <f t="shared" ca="1" si="467"/>
        <v>11.122632062873489</v>
      </c>
      <c r="N1002">
        <f t="shared" ca="1" si="468"/>
        <v>1.1735290000551568</v>
      </c>
      <c r="O1002">
        <f t="shared" ca="1" si="469"/>
        <v>4.5807502857230418</v>
      </c>
      <c r="P1002">
        <f t="shared" ca="1" si="470"/>
        <v>634.2319677043987</v>
      </c>
      <c r="Q1002">
        <f t="shared" ca="1" si="471"/>
        <v>635.30145155659807</v>
      </c>
      <c r="R1002">
        <f t="shared" ca="1" si="472"/>
        <v>3.8141460404132466E-3</v>
      </c>
      <c r="S1002">
        <f t="shared" ca="1" si="473"/>
        <v>1.0000000000000004</v>
      </c>
      <c r="T1002">
        <f t="shared" ca="1" si="474"/>
        <v>35.686426155594638</v>
      </c>
      <c r="U1002">
        <f t="shared" ca="1" si="495"/>
        <v>-3.3141460404522149E-3</v>
      </c>
      <c r="V1002">
        <f t="shared" ca="1" si="496"/>
        <v>1</v>
      </c>
      <c r="W1002">
        <f t="shared" ca="1" si="475"/>
        <v>2.0194617592693342</v>
      </c>
      <c r="X1002">
        <f t="shared" ca="1" si="476"/>
        <v>10.501201148200538</v>
      </c>
      <c r="Y1002">
        <f t="shared" ca="1" si="477"/>
        <v>1.1366260503324876</v>
      </c>
      <c r="Z1002">
        <f t="shared" ca="1" si="478"/>
        <v>4.8518259274302808</v>
      </c>
      <c r="AA1002">
        <f t="shared" ca="1" si="479"/>
        <v>634.11246175926931</v>
      </c>
      <c r="AB1002">
        <f t="shared" ca="1" si="480"/>
        <v>635.31226883521651</v>
      </c>
      <c r="AC1002">
        <f t="shared" ca="1" si="481"/>
        <v>4.4651508213084815E-3</v>
      </c>
      <c r="AD1002">
        <f t="shared" ca="1" si="482"/>
        <v>1.0900662422952729</v>
      </c>
      <c r="AE1002">
        <f t="shared" ca="1" si="483"/>
        <v>35.802217959705523</v>
      </c>
      <c r="AF1002">
        <f t="shared" ca="1" si="484"/>
        <v>4.079132493529869E-3</v>
      </c>
      <c r="AG1002">
        <f t="shared" ca="1" si="485"/>
        <v>0</v>
      </c>
      <c r="AH1002">
        <f ca="1">IFERROR(IF(V32="Supercritical",MAX($D$16,IFERROR(L1002,MAX($D$16,POWER((ABS(K1002)^2)/($I$5*MAX(F1002,0.1)^2),1/3)))),IF(V32="Subcritical",MAX($D$16,IFERROR(W1002,MAX($D$16,POWER((ABS(K1002)^2)/($I$5*MAX(F1002,0.1)^2),1/3)))),IF(AND(IFERROR(V1002,0)=1,IFERROR(AG1002,0)=1),IF(IFERROR(T1002,-1E+99)&gt;=IFERROR(AE1002,-1E+99),MAX($D$16,IFERROR(L1002,MAX($D$16,POWER((ABS(K1002)^2)/($I$5*MAX(F1002,0.1)^2),1/3)))),MAX($D$16,IFERROR(W1002,MAX($D$16,POWER((ABS(K1002)^2)/($I$5*MAX(F1002,0.1)^2),1/3))))),IF(IFERROR(V1002,0)=1,MAX($D$16,IFERROR(L1002,MAX($D$16,POWER((ABS(K1002)^2)/($I$5*MAX(F1002,0.1)^2),1/3)))),IF(IFERROR(AG1002,0)=1,MAX($D$16,IFERROR(W1002,MAX($D$16,POWER((ABS(K1002)^2)/($I$5*MAX(F1002,0.1)^2),1/3)))),MAX($D$16,POWER((ABS(K1002)^2)/($I$5*MAX(F1002,0.1)^2),1/3))))))),MAX($D$16,POWER((ABS(K1002)^2)/($I$5*MAX(F1002,0.1)^2),1/3)))</f>
        <v>2.1389677043987478</v>
      </c>
      <c r="AI1002">
        <f t="shared" ca="1" si="486"/>
        <v>634.2319677043987</v>
      </c>
      <c r="AJ1002">
        <f t="shared" ca="1" si="487"/>
        <v>635.30145155659807</v>
      </c>
      <c r="AM1002">
        <v>0</v>
      </c>
      <c r="AN1002">
        <v>0</v>
      </c>
      <c r="AO1002">
        <f t="shared" si="488"/>
        <v>0</v>
      </c>
      <c r="AP1002">
        <f t="shared" si="497"/>
        <v>0</v>
      </c>
      <c r="AQ1002">
        <f t="shared" ca="1" si="489"/>
        <v>1.0000000000000004</v>
      </c>
      <c r="AR1002" t="str">
        <f t="shared" ca="1" si="490"/>
        <v>Supercritical</v>
      </c>
      <c r="AS1002">
        <f t="shared" ca="1" si="491"/>
        <v>3.8141460404132466E-3</v>
      </c>
    </row>
    <row r="1003" spans="1:45" x14ac:dyDescent="0.35">
      <c r="A1003">
        <v>942</v>
      </c>
      <c r="B1003">
        <v>940.99599999999998</v>
      </c>
      <c r="C1003">
        <v>616083.78700000001</v>
      </c>
      <c r="D1003">
        <v>3097066.0040000002</v>
      </c>
      <c r="E1003">
        <v>632.09249999999997</v>
      </c>
      <c r="F1003">
        <v>5.2</v>
      </c>
      <c r="G1003">
        <v>0</v>
      </c>
      <c r="H1003" t="s">
        <v>154</v>
      </c>
      <c r="I1003">
        <v>5.7000000000000002E-2</v>
      </c>
      <c r="J1003">
        <f t="shared" si="492"/>
        <v>1</v>
      </c>
      <c r="K1003">
        <f t="shared" ca="1" si="493"/>
        <v>50.95</v>
      </c>
      <c r="L1003">
        <f t="shared" ca="1" si="494"/>
        <v>2.1389677043987478</v>
      </c>
      <c r="M1003">
        <f t="shared" ca="1" si="467"/>
        <v>11.122632062873489</v>
      </c>
      <c r="N1003">
        <f t="shared" ca="1" si="468"/>
        <v>1.1735290000551568</v>
      </c>
      <c r="O1003">
        <f t="shared" ca="1" si="469"/>
        <v>4.5807502857230418</v>
      </c>
      <c r="P1003">
        <f t="shared" ca="1" si="470"/>
        <v>634.23146770439871</v>
      </c>
      <c r="Q1003">
        <f t="shared" ca="1" si="471"/>
        <v>635.30095155659808</v>
      </c>
      <c r="R1003">
        <f t="shared" ca="1" si="472"/>
        <v>3.8141460404132466E-3</v>
      </c>
      <c r="S1003">
        <f t="shared" ca="1" si="473"/>
        <v>1.0000000000000004</v>
      </c>
      <c r="T1003">
        <f t="shared" ca="1" si="474"/>
        <v>35.686426155594638</v>
      </c>
      <c r="U1003">
        <f t="shared" ca="1" si="495"/>
        <v>-3.4157470064428708E-3</v>
      </c>
      <c r="V1003">
        <f t="shared" ca="1" si="496"/>
        <v>1</v>
      </c>
      <c r="W1003">
        <f t="shared" ca="1" si="475"/>
        <v>2.0146288587288135</v>
      </c>
      <c r="X1003">
        <f t="shared" ca="1" si="476"/>
        <v>10.47607006538983</v>
      </c>
      <c r="Y1003">
        <f t="shared" ca="1" si="477"/>
        <v>1.1350934588784742</v>
      </c>
      <c r="Z1003">
        <f t="shared" ca="1" si="478"/>
        <v>4.8634649903999163</v>
      </c>
      <c r="AA1003">
        <f t="shared" ca="1" si="479"/>
        <v>634.10712885872874</v>
      </c>
      <c r="AB1003">
        <f t="shared" ca="1" si="480"/>
        <v>635.31269928242114</v>
      </c>
      <c r="AC1003">
        <f t="shared" ca="1" si="481"/>
        <v>4.4946782810050224E-3</v>
      </c>
      <c r="AD1003">
        <f t="shared" ca="1" si="482"/>
        <v>1.0939910395936343</v>
      </c>
      <c r="AE1003">
        <f t="shared" ca="1" si="483"/>
        <v>35.811976994627095</v>
      </c>
      <c r="AF1003">
        <f t="shared" ca="1" si="484"/>
        <v>4.1092074712878457E-3</v>
      </c>
      <c r="AG1003">
        <f t="shared" ca="1" si="485"/>
        <v>0</v>
      </c>
      <c r="AH1003">
        <f ca="1">IFERROR(IF(V32="Supercritical",MAX($D$16,IFERROR(L1003,MAX($D$16,POWER((ABS(K1003)^2)/($I$5*MAX(F1003,0.1)^2),1/3)))),IF(V32="Subcritical",MAX($D$16,IFERROR(W1003,MAX($D$16,POWER((ABS(K1003)^2)/($I$5*MAX(F1003,0.1)^2),1/3)))),IF(AND(IFERROR(V1003,0)=1,IFERROR(AG1003,0)=1),IF(IFERROR(T1003,-1E+99)&gt;=IFERROR(AE1003,-1E+99),MAX($D$16,IFERROR(L1003,MAX($D$16,POWER((ABS(K1003)^2)/($I$5*MAX(F1003,0.1)^2),1/3)))),MAX($D$16,IFERROR(W1003,MAX($D$16,POWER((ABS(K1003)^2)/($I$5*MAX(F1003,0.1)^2),1/3))))),IF(IFERROR(V1003,0)=1,MAX($D$16,IFERROR(L1003,MAX($D$16,POWER((ABS(K1003)^2)/($I$5*MAX(F1003,0.1)^2),1/3)))),IF(IFERROR(AG1003,0)=1,MAX($D$16,IFERROR(W1003,MAX($D$16,POWER((ABS(K1003)^2)/($I$5*MAX(F1003,0.1)^2),1/3)))),MAX($D$16,POWER((ABS(K1003)^2)/($I$5*MAX(F1003,0.1)^2),1/3))))))),MAX($D$16,POWER((ABS(K1003)^2)/($I$5*MAX(F1003,0.1)^2),1/3)))</f>
        <v>2.1389677043987478</v>
      </c>
      <c r="AI1003">
        <f t="shared" ca="1" si="486"/>
        <v>634.23146770439871</v>
      </c>
      <c r="AJ1003">
        <f t="shared" ca="1" si="487"/>
        <v>635.30095155659808</v>
      </c>
      <c r="AM1003">
        <v>0</v>
      </c>
      <c r="AN1003">
        <v>0</v>
      </c>
      <c r="AO1003">
        <f t="shared" si="488"/>
        <v>0</v>
      </c>
      <c r="AP1003">
        <f t="shared" si="497"/>
        <v>0</v>
      </c>
      <c r="AQ1003">
        <f t="shared" ca="1" si="489"/>
        <v>1.0000000000000004</v>
      </c>
      <c r="AR1003" t="str">
        <f t="shared" ca="1" si="490"/>
        <v>Supercritical</v>
      </c>
      <c r="AS1003">
        <f t="shared" ca="1" si="491"/>
        <v>3.8141460404132466E-3</v>
      </c>
    </row>
    <row r="1004" spans="1:45" x14ac:dyDescent="0.35">
      <c r="A1004">
        <v>943</v>
      </c>
      <c r="B1004">
        <v>941.99599999999998</v>
      </c>
      <c r="C1004">
        <v>616083.74399999995</v>
      </c>
      <c r="D1004">
        <v>3097065.0049999999</v>
      </c>
      <c r="E1004">
        <v>632.09199999999998</v>
      </c>
      <c r="F1004">
        <v>5.2</v>
      </c>
      <c r="G1004">
        <v>0</v>
      </c>
      <c r="H1004" t="s">
        <v>154</v>
      </c>
      <c r="I1004">
        <v>5.7000000000000002E-2</v>
      </c>
      <c r="J1004">
        <f t="shared" si="492"/>
        <v>1</v>
      </c>
      <c r="K1004">
        <f t="shared" ca="1" si="493"/>
        <v>50.95</v>
      </c>
      <c r="L1004">
        <f t="shared" ca="1" si="494"/>
        <v>2.1389677043987478</v>
      </c>
      <c r="M1004">
        <f t="shared" ca="1" si="467"/>
        <v>11.122632062873489</v>
      </c>
      <c r="N1004">
        <f t="shared" ca="1" si="468"/>
        <v>1.1735290000551568</v>
      </c>
      <c r="O1004">
        <f t="shared" ca="1" si="469"/>
        <v>4.5807502857230418</v>
      </c>
      <c r="P1004">
        <f t="shared" ca="1" si="470"/>
        <v>634.23096770439872</v>
      </c>
      <c r="Q1004">
        <f t="shared" ca="1" si="471"/>
        <v>635.30045155659809</v>
      </c>
      <c r="R1004">
        <f t="shared" ca="1" si="472"/>
        <v>3.8141460404132466E-3</v>
      </c>
      <c r="S1004">
        <f t="shared" ca="1" si="473"/>
        <v>1.0000000000000004</v>
      </c>
      <c r="T1004">
        <f t="shared" ca="1" si="474"/>
        <v>35.686426155594638</v>
      </c>
      <c r="U1004">
        <f t="shared" ca="1" si="495"/>
        <v>-3.4157470064428708E-3</v>
      </c>
      <c r="V1004">
        <f t="shared" ca="1" si="496"/>
        <v>1</v>
      </c>
      <c r="W1004">
        <f t="shared" ca="1" si="475"/>
        <v>2.0096739600609719</v>
      </c>
      <c r="X1004">
        <f t="shared" ca="1" si="476"/>
        <v>10.450304592317055</v>
      </c>
      <c r="Y1004">
        <f t="shared" ca="1" si="477"/>
        <v>1.1335188435082759</v>
      </c>
      <c r="Z1004">
        <f t="shared" ca="1" si="478"/>
        <v>4.8754559783317575</v>
      </c>
      <c r="AA1004">
        <f t="shared" ca="1" si="479"/>
        <v>634.10167396006091</v>
      </c>
      <c r="AB1004">
        <f t="shared" ca="1" si="480"/>
        <v>635.3131964369544</v>
      </c>
      <c r="AC1004">
        <f t="shared" ca="1" si="481"/>
        <v>4.5252370901719642E-3</v>
      </c>
      <c r="AD1004">
        <f t="shared" ca="1" si="482"/>
        <v>1.0980394235436752</v>
      </c>
      <c r="AE1004">
        <f t="shared" ca="1" si="483"/>
        <v>35.822410314893965</v>
      </c>
      <c r="AF1004">
        <f t="shared" ca="1" si="484"/>
        <v>4.0207118530588559E-3</v>
      </c>
      <c r="AG1004">
        <f t="shared" ca="1" si="485"/>
        <v>0</v>
      </c>
      <c r="AH1004">
        <f ca="1">IFERROR(IF(V32="Supercritical",MAX($D$16,IFERROR(L1004,MAX($D$16,POWER((ABS(K1004)^2)/($I$5*MAX(F1004,0.1)^2),1/3)))),IF(V32="Subcritical",MAX($D$16,IFERROR(W1004,MAX($D$16,POWER((ABS(K1004)^2)/($I$5*MAX(F1004,0.1)^2),1/3)))),IF(AND(IFERROR(V1004,0)=1,IFERROR(AG1004,0)=1),IF(IFERROR(T1004,-1E+99)&gt;=IFERROR(AE1004,-1E+99),MAX($D$16,IFERROR(L1004,MAX($D$16,POWER((ABS(K1004)^2)/($I$5*MAX(F1004,0.1)^2),1/3)))),MAX($D$16,IFERROR(W1004,MAX($D$16,POWER((ABS(K1004)^2)/($I$5*MAX(F1004,0.1)^2),1/3))))),IF(IFERROR(V1004,0)=1,MAX($D$16,IFERROR(L1004,MAX($D$16,POWER((ABS(K1004)^2)/($I$5*MAX(F1004,0.1)^2),1/3)))),IF(IFERROR(AG1004,0)=1,MAX($D$16,IFERROR(W1004,MAX($D$16,POWER((ABS(K1004)^2)/($I$5*MAX(F1004,0.1)^2),1/3)))),MAX($D$16,POWER((ABS(K1004)^2)/($I$5*MAX(F1004,0.1)^2),1/3))))))),MAX($D$16,POWER((ABS(K1004)^2)/($I$5*MAX(F1004,0.1)^2),1/3)))</f>
        <v>2.1389677043987478</v>
      </c>
      <c r="AI1004">
        <f t="shared" ca="1" si="486"/>
        <v>634.23096770439872</v>
      </c>
      <c r="AJ1004">
        <f t="shared" ca="1" si="487"/>
        <v>635.30045155659809</v>
      </c>
      <c r="AM1004">
        <v>0</v>
      </c>
      <c r="AN1004">
        <v>0</v>
      </c>
      <c r="AO1004">
        <f t="shared" si="488"/>
        <v>0</v>
      </c>
      <c r="AP1004">
        <f t="shared" si="497"/>
        <v>0</v>
      </c>
      <c r="AQ1004">
        <f t="shared" ca="1" si="489"/>
        <v>1.0000000000000004</v>
      </c>
      <c r="AR1004" t="str">
        <f t="shared" ca="1" si="490"/>
        <v>Supercritical</v>
      </c>
      <c r="AS1004">
        <f t="shared" ca="1" si="491"/>
        <v>3.8141460404132466E-3</v>
      </c>
    </row>
    <row r="1005" spans="1:45" x14ac:dyDescent="0.35">
      <c r="A1005">
        <v>944</v>
      </c>
      <c r="B1005">
        <v>942.995</v>
      </c>
      <c r="C1005">
        <v>616083.70200000005</v>
      </c>
      <c r="D1005">
        <v>3097064.0060000001</v>
      </c>
      <c r="E1005">
        <v>632.0915</v>
      </c>
      <c r="F1005">
        <v>5.2</v>
      </c>
      <c r="G1005">
        <v>0</v>
      </c>
      <c r="H1005" t="s">
        <v>154</v>
      </c>
      <c r="I1005">
        <v>0</v>
      </c>
      <c r="J1005">
        <f t="shared" si="492"/>
        <v>0.99900000000002365</v>
      </c>
      <c r="K1005">
        <f t="shared" ca="1" si="493"/>
        <v>50.95</v>
      </c>
      <c r="L1005">
        <f t="shared" ca="1" si="494"/>
        <v>2.1389677043987478</v>
      </c>
      <c r="M1005">
        <f t="shared" ca="1" si="467"/>
        <v>11.122632062873489</v>
      </c>
      <c r="N1005">
        <f t="shared" ca="1" si="468"/>
        <v>1.1735290000551568</v>
      </c>
      <c r="O1005">
        <f t="shared" ca="1" si="469"/>
        <v>4.5807502857230418</v>
      </c>
      <c r="P1005">
        <f t="shared" ca="1" si="470"/>
        <v>634.23046770439873</v>
      </c>
      <c r="Q1005">
        <f t="shared" ca="1" si="471"/>
        <v>635.2999515565981</v>
      </c>
      <c r="R1005">
        <f t="shared" ca="1" si="472"/>
        <v>3.8141460404132466E-3</v>
      </c>
      <c r="S1005">
        <f t="shared" ca="1" si="473"/>
        <v>1.0000000000000004</v>
      </c>
      <c r="T1005">
        <f t="shared" ca="1" si="474"/>
        <v>35.686426155594638</v>
      </c>
      <c r="U1005">
        <f t="shared" ca="1" si="495"/>
        <v>-3.3103318943403792E-3</v>
      </c>
      <c r="V1005">
        <f t="shared" ca="1" si="496"/>
        <v>1</v>
      </c>
      <c r="W1005">
        <f t="shared" ca="1" si="475"/>
        <v>2.0045985002683815</v>
      </c>
      <c r="X1005">
        <f t="shared" ca="1" si="476"/>
        <v>10.423912201395584</v>
      </c>
      <c r="Y1005">
        <f t="shared" ca="1" si="477"/>
        <v>1.131902401565307</v>
      </c>
      <c r="Z1005">
        <f t="shared" ca="1" si="478"/>
        <v>4.8878001863042044</v>
      </c>
      <c r="AA1005">
        <f t="shared" ca="1" si="479"/>
        <v>634.09609850026834</v>
      </c>
      <c r="AB1005">
        <f t="shared" ca="1" si="480"/>
        <v>635.31376367158509</v>
      </c>
      <c r="AC1005">
        <f t="shared" ca="1" si="481"/>
        <v>4.5568433255415578E-3</v>
      </c>
      <c r="AD1005">
        <f t="shared" ca="1" si="482"/>
        <v>1.1022122649429169</v>
      </c>
      <c r="AE1005">
        <f t="shared" ca="1" si="483"/>
        <v>35.833549055930483</v>
      </c>
      <c r="AF1005">
        <f t="shared" ca="1" si="484"/>
        <v>4.1725215168071372E-3</v>
      </c>
      <c r="AG1005">
        <f t="shared" ca="1" si="485"/>
        <v>0</v>
      </c>
      <c r="AH1005">
        <f ca="1">IFERROR(IF(V32="Supercritical",MAX($D$16,IFERROR(L1005,MAX($D$16,POWER((ABS(K1005)^2)/($I$5*MAX(F1005,0.1)^2),1/3)))),IF(V32="Subcritical",MAX($D$16,IFERROR(W1005,MAX($D$16,POWER((ABS(K1005)^2)/($I$5*MAX(F1005,0.1)^2),1/3)))),IF(AND(IFERROR(V1005,0)=1,IFERROR(AG1005,0)=1),IF(IFERROR(T1005,-1E+99)&gt;=IFERROR(AE1005,-1E+99),MAX($D$16,IFERROR(L1005,MAX($D$16,POWER((ABS(K1005)^2)/($I$5*MAX(F1005,0.1)^2),1/3)))),MAX($D$16,IFERROR(W1005,MAX($D$16,POWER((ABS(K1005)^2)/($I$5*MAX(F1005,0.1)^2),1/3))))),IF(IFERROR(V1005,0)=1,MAX($D$16,IFERROR(L1005,MAX($D$16,POWER((ABS(K1005)^2)/($I$5*MAX(F1005,0.1)^2),1/3)))),IF(IFERROR(AG1005,0)=1,MAX($D$16,IFERROR(W1005,MAX($D$16,POWER((ABS(K1005)^2)/($I$5*MAX(F1005,0.1)^2),1/3)))),MAX($D$16,POWER((ABS(K1005)^2)/($I$5*MAX(F1005,0.1)^2),1/3))))))),MAX($D$16,POWER((ABS(K1005)^2)/($I$5*MAX(F1005,0.1)^2),1/3)))</f>
        <v>2.1389677043987478</v>
      </c>
      <c r="AI1005">
        <f t="shared" ca="1" si="486"/>
        <v>634.23046770439873</v>
      </c>
      <c r="AJ1005">
        <f t="shared" ca="1" si="487"/>
        <v>635.2999515565981</v>
      </c>
      <c r="AM1005">
        <v>0</v>
      </c>
      <c r="AN1005">
        <v>0</v>
      </c>
      <c r="AO1005">
        <f t="shared" si="488"/>
        <v>0</v>
      </c>
      <c r="AP1005">
        <f t="shared" si="497"/>
        <v>0</v>
      </c>
      <c r="AQ1005">
        <f t="shared" ca="1" si="489"/>
        <v>1.0000000000000004</v>
      </c>
      <c r="AR1005" t="str">
        <f t="shared" ca="1" si="490"/>
        <v>Supercritical</v>
      </c>
      <c r="AS1005">
        <f t="shared" ca="1" si="491"/>
        <v>3.8141460404132466E-3</v>
      </c>
    </row>
    <row r="1006" spans="1:45" x14ac:dyDescent="0.35">
      <c r="A1006">
        <v>945</v>
      </c>
      <c r="B1006">
        <v>943.995</v>
      </c>
      <c r="C1006">
        <v>616083.66</v>
      </c>
      <c r="D1006">
        <v>3097063.0070000002</v>
      </c>
      <c r="E1006">
        <v>632.09100000000001</v>
      </c>
      <c r="F1006">
        <v>5.2</v>
      </c>
      <c r="G1006">
        <v>0</v>
      </c>
      <c r="H1006" t="s">
        <v>154</v>
      </c>
      <c r="I1006">
        <v>5.7000000000000002E-2</v>
      </c>
      <c r="J1006">
        <f t="shared" si="492"/>
        <v>1</v>
      </c>
      <c r="K1006">
        <f t="shared" ca="1" si="493"/>
        <v>50.95</v>
      </c>
      <c r="L1006">
        <f t="shared" ca="1" si="494"/>
        <v>2.1389677043987478</v>
      </c>
      <c r="M1006">
        <f t="shared" ca="1" si="467"/>
        <v>11.122632062873489</v>
      </c>
      <c r="N1006">
        <f t="shared" ca="1" si="468"/>
        <v>1.1735290000551568</v>
      </c>
      <c r="O1006">
        <f t="shared" ca="1" si="469"/>
        <v>4.5807502857230418</v>
      </c>
      <c r="P1006">
        <f t="shared" ca="1" si="470"/>
        <v>634.22996770439875</v>
      </c>
      <c r="Q1006">
        <f t="shared" ca="1" si="471"/>
        <v>635.29945155659811</v>
      </c>
      <c r="R1006">
        <f t="shared" ca="1" si="472"/>
        <v>3.8141460404132466E-3</v>
      </c>
      <c r="S1006">
        <f t="shared" ca="1" si="473"/>
        <v>1.0000000000000004</v>
      </c>
      <c r="T1006">
        <f t="shared" ca="1" si="474"/>
        <v>35.686426155594638</v>
      </c>
      <c r="U1006">
        <f t="shared" ca="1" si="495"/>
        <v>-3.4157470064428708E-3</v>
      </c>
      <c r="V1006">
        <f t="shared" ca="1" si="496"/>
        <v>1</v>
      </c>
      <c r="W1006">
        <f t="shared" ca="1" si="475"/>
        <v>1.9994043339537009</v>
      </c>
      <c r="X1006">
        <f t="shared" ca="1" si="476"/>
        <v>10.396902536559246</v>
      </c>
      <c r="Y1006">
        <f t="shared" ca="1" si="477"/>
        <v>1.130244460114898</v>
      </c>
      <c r="Z1006">
        <f t="shared" ca="1" si="478"/>
        <v>4.9004979916702585</v>
      </c>
      <c r="AA1006">
        <f t="shared" ca="1" si="479"/>
        <v>634.09040433395376</v>
      </c>
      <c r="AB1006">
        <f t="shared" ca="1" si="480"/>
        <v>635.31440436282048</v>
      </c>
      <c r="AC1006">
        <f t="shared" ca="1" si="481"/>
        <v>4.5895111910847844E-3</v>
      </c>
      <c r="AD1006">
        <f t="shared" ca="1" si="482"/>
        <v>1.1065101378217372</v>
      </c>
      <c r="AE1006">
        <f t="shared" ca="1" si="483"/>
        <v>35.845424005390512</v>
      </c>
      <c r="AF1006">
        <f t="shared" ca="1" si="484"/>
        <v>4.2119111939200593E-3</v>
      </c>
      <c r="AG1006">
        <f t="shared" ca="1" si="485"/>
        <v>0</v>
      </c>
      <c r="AH1006">
        <f ca="1">IFERROR(IF(V32="Supercritical",MAX($D$16,IFERROR(L1006,MAX($D$16,POWER((ABS(K1006)^2)/($I$5*MAX(F1006,0.1)^2),1/3)))),IF(V32="Subcritical",MAX($D$16,IFERROR(W1006,MAX($D$16,POWER((ABS(K1006)^2)/($I$5*MAX(F1006,0.1)^2),1/3)))),IF(AND(IFERROR(V1006,0)=1,IFERROR(AG1006,0)=1),IF(IFERROR(T1006,-1E+99)&gt;=IFERROR(AE1006,-1E+99),MAX($D$16,IFERROR(L1006,MAX($D$16,POWER((ABS(K1006)^2)/($I$5*MAX(F1006,0.1)^2),1/3)))),MAX($D$16,IFERROR(W1006,MAX($D$16,POWER((ABS(K1006)^2)/($I$5*MAX(F1006,0.1)^2),1/3))))),IF(IFERROR(V1006,0)=1,MAX($D$16,IFERROR(L1006,MAX($D$16,POWER((ABS(K1006)^2)/($I$5*MAX(F1006,0.1)^2),1/3)))),IF(IFERROR(AG1006,0)=1,MAX($D$16,IFERROR(W1006,MAX($D$16,POWER((ABS(K1006)^2)/($I$5*MAX(F1006,0.1)^2),1/3)))),MAX($D$16,POWER((ABS(K1006)^2)/($I$5*MAX(F1006,0.1)^2),1/3))))))),MAX($D$16,POWER((ABS(K1006)^2)/($I$5*MAX(F1006,0.1)^2),1/3)))</f>
        <v>2.1389677043987478</v>
      </c>
      <c r="AI1006">
        <f t="shared" ca="1" si="486"/>
        <v>634.22996770439875</v>
      </c>
      <c r="AJ1006">
        <f t="shared" ca="1" si="487"/>
        <v>635.29945155659811</v>
      </c>
      <c r="AM1006">
        <v>0</v>
      </c>
      <c r="AN1006">
        <v>0</v>
      </c>
      <c r="AO1006">
        <f t="shared" si="488"/>
        <v>0</v>
      </c>
      <c r="AP1006">
        <f t="shared" si="497"/>
        <v>0</v>
      </c>
      <c r="AQ1006">
        <f t="shared" ca="1" si="489"/>
        <v>1.0000000000000004</v>
      </c>
      <c r="AR1006" t="str">
        <f t="shared" ca="1" si="490"/>
        <v>Supercritical</v>
      </c>
      <c r="AS1006">
        <f t="shared" ca="1" si="491"/>
        <v>3.8141460404132466E-3</v>
      </c>
    </row>
    <row r="1007" spans="1:45" x14ac:dyDescent="0.35">
      <c r="A1007">
        <v>946</v>
      </c>
      <c r="B1007">
        <v>944.995</v>
      </c>
      <c r="C1007">
        <v>616083.61699999997</v>
      </c>
      <c r="D1007">
        <v>3097062.0079999999</v>
      </c>
      <c r="E1007">
        <v>632.09050000000002</v>
      </c>
      <c r="F1007">
        <v>5.2</v>
      </c>
      <c r="G1007">
        <v>0</v>
      </c>
      <c r="H1007" t="s">
        <v>154</v>
      </c>
      <c r="I1007">
        <v>0.06</v>
      </c>
      <c r="J1007">
        <f t="shared" si="492"/>
        <v>1</v>
      </c>
      <c r="K1007">
        <f t="shared" ca="1" si="493"/>
        <v>50.95</v>
      </c>
      <c r="L1007">
        <f t="shared" ca="1" si="494"/>
        <v>2.1389677043987478</v>
      </c>
      <c r="M1007">
        <f t="shared" ca="1" si="467"/>
        <v>11.122632062873489</v>
      </c>
      <c r="N1007">
        <f t="shared" ca="1" si="468"/>
        <v>1.1735290000551568</v>
      </c>
      <c r="O1007">
        <f t="shared" ca="1" si="469"/>
        <v>4.5807502857230418</v>
      </c>
      <c r="P1007">
        <f t="shared" ca="1" si="470"/>
        <v>634.22946770439876</v>
      </c>
      <c r="Q1007">
        <f t="shared" ca="1" si="471"/>
        <v>635.29895155659813</v>
      </c>
      <c r="R1007">
        <f t="shared" ca="1" si="472"/>
        <v>3.8141460404132466E-3</v>
      </c>
      <c r="S1007">
        <f t="shared" ca="1" si="473"/>
        <v>1.0000000000000004</v>
      </c>
      <c r="T1007">
        <f t="shared" ca="1" si="474"/>
        <v>35.686426155594638</v>
      </c>
      <c r="U1007">
        <f t="shared" ca="1" si="495"/>
        <v>-3.4210944256756193E-3</v>
      </c>
      <c r="V1007">
        <f t="shared" ca="1" si="496"/>
        <v>1</v>
      </c>
      <c r="W1007">
        <f t="shared" ca="1" si="475"/>
        <v>1.9940937526446569</v>
      </c>
      <c r="X1007">
        <f t="shared" ca="1" si="476"/>
        <v>10.369287513752216</v>
      </c>
      <c r="Y1007">
        <f t="shared" ca="1" si="477"/>
        <v>1.1285454838381328</v>
      </c>
      <c r="Z1007">
        <f t="shared" ca="1" si="478"/>
        <v>4.9135487787784671</v>
      </c>
      <c r="AA1007">
        <f t="shared" ca="1" si="479"/>
        <v>634.08459375264465</v>
      </c>
      <c r="AB1007">
        <f t="shared" ca="1" si="480"/>
        <v>635.31512186688701</v>
      </c>
      <c r="AC1007">
        <f t="shared" ca="1" si="481"/>
        <v>4.6232527735757586E-3</v>
      </c>
      <c r="AD1007">
        <f t="shared" ca="1" si="482"/>
        <v>1.110933291921107</v>
      </c>
      <c r="AE1007">
        <f t="shared" ca="1" si="483"/>
        <v>35.858065345943764</v>
      </c>
      <c r="AF1007">
        <f t="shared" ca="1" si="484"/>
        <v>4.1319777867556695E-3</v>
      </c>
      <c r="AG1007">
        <f t="shared" ca="1" si="485"/>
        <v>0</v>
      </c>
      <c r="AH1007">
        <f ca="1">IFERROR(IF(V32="Supercritical",MAX($D$16,IFERROR(L1007,MAX($D$16,POWER((ABS(K1007)^2)/($I$5*MAX(F1007,0.1)^2),1/3)))),IF(V32="Subcritical",MAX($D$16,IFERROR(W1007,MAX($D$16,POWER((ABS(K1007)^2)/($I$5*MAX(F1007,0.1)^2),1/3)))),IF(AND(IFERROR(V1007,0)=1,IFERROR(AG1007,0)=1),IF(IFERROR(T1007,-1E+99)&gt;=IFERROR(AE1007,-1E+99),MAX($D$16,IFERROR(L1007,MAX($D$16,POWER((ABS(K1007)^2)/($I$5*MAX(F1007,0.1)^2),1/3)))),MAX($D$16,IFERROR(W1007,MAX($D$16,POWER((ABS(K1007)^2)/($I$5*MAX(F1007,0.1)^2),1/3))))),IF(IFERROR(V1007,0)=1,MAX($D$16,IFERROR(L1007,MAX($D$16,POWER((ABS(K1007)^2)/($I$5*MAX(F1007,0.1)^2),1/3)))),IF(IFERROR(AG1007,0)=1,MAX($D$16,IFERROR(W1007,MAX($D$16,POWER((ABS(K1007)^2)/($I$5*MAX(F1007,0.1)^2),1/3)))),MAX($D$16,POWER((ABS(K1007)^2)/($I$5*MAX(F1007,0.1)^2),1/3))))))),MAX($D$16,POWER((ABS(K1007)^2)/($I$5*MAX(F1007,0.1)^2),1/3)))</f>
        <v>2.1389677043987478</v>
      </c>
      <c r="AI1007">
        <f t="shared" ca="1" si="486"/>
        <v>634.22946770439876</v>
      </c>
      <c r="AJ1007">
        <f t="shared" ca="1" si="487"/>
        <v>635.29895155659813</v>
      </c>
      <c r="AM1007">
        <v>0</v>
      </c>
      <c r="AN1007">
        <v>0</v>
      </c>
      <c r="AO1007">
        <f t="shared" si="488"/>
        <v>0</v>
      </c>
      <c r="AP1007">
        <f t="shared" si="497"/>
        <v>0</v>
      </c>
      <c r="AQ1007">
        <f t="shared" ca="1" si="489"/>
        <v>1.0000000000000004</v>
      </c>
      <c r="AR1007" t="str">
        <f t="shared" ca="1" si="490"/>
        <v>Supercritical</v>
      </c>
      <c r="AS1007">
        <f t="shared" ca="1" si="491"/>
        <v>3.8141460404132466E-3</v>
      </c>
    </row>
    <row r="1008" spans="1:45" x14ac:dyDescent="0.35">
      <c r="A1008">
        <v>947</v>
      </c>
      <c r="B1008">
        <v>945.99599999999998</v>
      </c>
      <c r="C1008">
        <v>616083.57499999995</v>
      </c>
      <c r="D1008">
        <v>3097061.0079999999</v>
      </c>
      <c r="E1008">
        <v>632.09</v>
      </c>
      <c r="F1008">
        <v>5.2</v>
      </c>
      <c r="G1008">
        <v>0</v>
      </c>
      <c r="H1008" t="s">
        <v>154</v>
      </c>
      <c r="I1008">
        <v>2E-3</v>
      </c>
      <c r="J1008">
        <f t="shared" si="492"/>
        <v>1.0009999999999764</v>
      </c>
      <c r="K1008">
        <f t="shared" ca="1" si="493"/>
        <v>50.95</v>
      </c>
      <c r="L1008">
        <f t="shared" ca="1" si="494"/>
        <v>2.1389677043987478</v>
      </c>
      <c r="M1008">
        <f t="shared" ca="1" si="467"/>
        <v>11.122632062873489</v>
      </c>
      <c r="N1008">
        <f t="shared" ca="1" si="468"/>
        <v>1.1735290000551568</v>
      </c>
      <c r="O1008">
        <f t="shared" ca="1" si="469"/>
        <v>4.5807502857230418</v>
      </c>
      <c r="P1008">
        <f t="shared" ca="1" si="470"/>
        <v>634.22896770439877</v>
      </c>
      <c r="Q1008">
        <f t="shared" ca="1" si="471"/>
        <v>635.29845155659814</v>
      </c>
      <c r="R1008">
        <f t="shared" ca="1" si="472"/>
        <v>3.8141460404132466E-3</v>
      </c>
      <c r="S1008">
        <f t="shared" ca="1" si="473"/>
        <v>1.0000000000000004</v>
      </c>
      <c r="T1008">
        <f t="shared" ca="1" si="474"/>
        <v>35.686426155594638</v>
      </c>
      <c r="U1008">
        <f t="shared" ca="1" si="495"/>
        <v>-3.3215251326055295E-3</v>
      </c>
      <c r="V1008">
        <f t="shared" ca="1" si="496"/>
        <v>1</v>
      </c>
      <c r="W1008">
        <f t="shared" ca="1" si="475"/>
        <v>1.9886695024849907</v>
      </c>
      <c r="X1008">
        <f t="shared" ca="1" si="476"/>
        <v>10.341081412921952</v>
      </c>
      <c r="Y1008">
        <f t="shared" ca="1" si="477"/>
        <v>1.1268060826043089</v>
      </c>
      <c r="Z1008">
        <f t="shared" ca="1" si="478"/>
        <v>4.9269508637978792</v>
      </c>
      <c r="AA1008">
        <f t="shared" ca="1" si="479"/>
        <v>634.07866950248501</v>
      </c>
      <c r="AB1008">
        <f t="shared" ca="1" si="480"/>
        <v>635.31591949301912</v>
      </c>
      <c r="AC1008">
        <f t="shared" ca="1" si="481"/>
        <v>4.6580777873516917E-3</v>
      </c>
      <c r="AD1008">
        <f t="shared" ca="1" si="482"/>
        <v>1.115481624834934</v>
      </c>
      <c r="AE1008">
        <f t="shared" ca="1" si="483"/>
        <v>35.871502374795831</v>
      </c>
      <c r="AF1008">
        <f t="shared" ca="1" si="484"/>
        <v>4.1580777873377883E-3</v>
      </c>
      <c r="AG1008">
        <f t="shared" ca="1" si="485"/>
        <v>0</v>
      </c>
      <c r="AH1008">
        <f ca="1">IFERROR(IF(V32="Supercritical",MAX($D$16,IFERROR(L1008,MAX($D$16,POWER((ABS(K1008)^2)/($I$5*MAX(F1008,0.1)^2),1/3)))),IF(V32="Subcritical",MAX($D$16,IFERROR(W1008,MAX($D$16,POWER((ABS(K1008)^2)/($I$5*MAX(F1008,0.1)^2),1/3)))),IF(AND(IFERROR(V1008,0)=1,IFERROR(AG1008,0)=1),IF(IFERROR(T1008,-1E+99)&gt;=IFERROR(AE1008,-1E+99),MAX($D$16,IFERROR(L1008,MAX($D$16,POWER((ABS(K1008)^2)/($I$5*MAX(F1008,0.1)^2),1/3)))),MAX($D$16,IFERROR(W1008,MAX($D$16,POWER((ABS(K1008)^2)/($I$5*MAX(F1008,0.1)^2),1/3))))),IF(IFERROR(V1008,0)=1,MAX($D$16,IFERROR(L1008,MAX($D$16,POWER((ABS(K1008)^2)/($I$5*MAX(F1008,0.1)^2),1/3)))),IF(IFERROR(AG1008,0)=1,MAX($D$16,IFERROR(W1008,MAX($D$16,POWER((ABS(K1008)^2)/($I$5*MAX(F1008,0.1)^2),1/3)))),MAX($D$16,POWER((ABS(K1008)^2)/($I$5*MAX(F1008,0.1)^2),1/3))))))),MAX($D$16,POWER((ABS(K1008)^2)/($I$5*MAX(F1008,0.1)^2),1/3)))</f>
        <v>2.1389677043987478</v>
      </c>
      <c r="AI1008">
        <f t="shared" ca="1" si="486"/>
        <v>634.22896770439877</v>
      </c>
      <c r="AJ1008">
        <f t="shared" ca="1" si="487"/>
        <v>635.29845155659814</v>
      </c>
      <c r="AM1008">
        <v>0</v>
      </c>
      <c r="AN1008">
        <v>0</v>
      </c>
      <c r="AO1008">
        <f t="shared" si="488"/>
        <v>0</v>
      </c>
      <c r="AP1008">
        <f t="shared" si="497"/>
        <v>0</v>
      </c>
      <c r="AQ1008">
        <f t="shared" ca="1" si="489"/>
        <v>1.0000000000000004</v>
      </c>
      <c r="AR1008" t="str">
        <f t="shared" ca="1" si="490"/>
        <v>Supercritical</v>
      </c>
      <c r="AS1008">
        <f t="shared" ca="1" si="491"/>
        <v>3.8141460404132466E-3</v>
      </c>
    </row>
    <row r="1009" spans="1:45" x14ac:dyDescent="0.35">
      <c r="A1009">
        <v>948</v>
      </c>
      <c r="B1009">
        <v>946.99599999999998</v>
      </c>
      <c r="C1009">
        <v>616083.53300000005</v>
      </c>
      <c r="D1009">
        <v>3097060.0090000001</v>
      </c>
      <c r="E1009">
        <v>632.08950000000004</v>
      </c>
      <c r="F1009">
        <v>5.2</v>
      </c>
      <c r="G1009">
        <v>0</v>
      </c>
      <c r="H1009" t="s">
        <v>154</v>
      </c>
      <c r="I1009">
        <v>0</v>
      </c>
      <c r="J1009">
        <f t="shared" si="492"/>
        <v>1</v>
      </c>
      <c r="K1009">
        <f t="shared" ca="1" si="493"/>
        <v>50.95</v>
      </c>
      <c r="L1009">
        <f t="shared" ca="1" si="494"/>
        <v>2.1389677043987478</v>
      </c>
      <c r="M1009">
        <f t="shared" ca="1" si="467"/>
        <v>11.122632062873489</v>
      </c>
      <c r="N1009">
        <f t="shared" ca="1" si="468"/>
        <v>1.1735290000551568</v>
      </c>
      <c r="O1009">
        <f t="shared" ca="1" si="469"/>
        <v>4.5807502857230418</v>
      </c>
      <c r="P1009">
        <f t="shared" ca="1" si="470"/>
        <v>634.22846770439878</v>
      </c>
      <c r="Q1009">
        <f t="shared" ca="1" si="471"/>
        <v>635.29795155659815</v>
      </c>
      <c r="R1009">
        <f t="shared" ca="1" si="472"/>
        <v>3.8141460404132466E-3</v>
      </c>
      <c r="S1009">
        <f t="shared" ca="1" si="473"/>
        <v>1.0000000000000004</v>
      </c>
      <c r="T1009">
        <f t="shared" ca="1" si="474"/>
        <v>35.686426155594638</v>
      </c>
      <c r="U1009">
        <f t="shared" ca="1" si="495"/>
        <v>-3.3141460404522149E-3</v>
      </c>
      <c r="V1009">
        <f t="shared" ca="1" si="496"/>
        <v>1</v>
      </c>
      <c r="W1009">
        <f t="shared" ca="1" si="475"/>
        <v>1.9831347999359801</v>
      </c>
      <c r="X1009">
        <f t="shared" ca="1" si="476"/>
        <v>10.312300959667096</v>
      </c>
      <c r="Y1009">
        <f t="shared" ca="1" si="477"/>
        <v>1.1250270186042908</v>
      </c>
      <c r="Z1009">
        <f t="shared" ca="1" si="478"/>
        <v>4.9407014204950803</v>
      </c>
      <c r="AA1009">
        <f t="shared" ca="1" si="479"/>
        <v>634.07263479993605</v>
      </c>
      <c r="AB1009">
        <f t="shared" ca="1" si="480"/>
        <v>635.31680047406871</v>
      </c>
      <c r="AC1009">
        <f t="shared" ca="1" si="481"/>
        <v>4.6939933098180424E-3</v>
      </c>
      <c r="AD1009">
        <f t="shared" ca="1" si="482"/>
        <v>1.1201546540899143</v>
      </c>
      <c r="AE1009">
        <f t="shared" ca="1" si="483"/>
        <v>35.885763200949967</v>
      </c>
      <c r="AF1009">
        <f t="shared" ca="1" si="484"/>
        <v>4.3121890488464487E-3</v>
      </c>
      <c r="AG1009">
        <f t="shared" ca="1" si="485"/>
        <v>0</v>
      </c>
      <c r="AH1009">
        <f ca="1">IFERROR(IF(V32="Supercritical",MAX($D$16,IFERROR(L1009,MAX($D$16,POWER((ABS(K1009)^2)/($I$5*MAX(F1009,0.1)^2),1/3)))),IF(V32="Subcritical",MAX($D$16,IFERROR(W1009,MAX($D$16,POWER((ABS(K1009)^2)/($I$5*MAX(F1009,0.1)^2),1/3)))),IF(AND(IFERROR(V1009,0)=1,IFERROR(AG1009,0)=1),IF(IFERROR(T1009,-1E+99)&gt;=IFERROR(AE1009,-1E+99),MAX($D$16,IFERROR(L1009,MAX($D$16,POWER((ABS(K1009)^2)/($I$5*MAX(F1009,0.1)^2),1/3)))),MAX($D$16,IFERROR(W1009,MAX($D$16,POWER((ABS(K1009)^2)/($I$5*MAX(F1009,0.1)^2),1/3))))),IF(IFERROR(V1009,0)=1,MAX($D$16,IFERROR(L1009,MAX($D$16,POWER((ABS(K1009)^2)/($I$5*MAX(F1009,0.1)^2),1/3)))),IF(IFERROR(AG1009,0)=1,MAX($D$16,IFERROR(W1009,MAX($D$16,POWER((ABS(K1009)^2)/($I$5*MAX(F1009,0.1)^2),1/3)))),MAX($D$16,POWER((ABS(K1009)^2)/($I$5*MAX(F1009,0.1)^2),1/3))))))),MAX($D$16,POWER((ABS(K1009)^2)/($I$5*MAX(F1009,0.1)^2),1/3)))</f>
        <v>2.1389677043987478</v>
      </c>
      <c r="AI1009">
        <f t="shared" ca="1" si="486"/>
        <v>634.22846770439878</v>
      </c>
      <c r="AJ1009">
        <f t="shared" ca="1" si="487"/>
        <v>635.29795155659815</v>
      </c>
      <c r="AM1009">
        <v>0</v>
      </c>
      <c r="AN1009">
        <v>0</v>
      </c>
      <c r="AO1009">
        <f t="shared" si="488"/>
        <v>0</v>
      </c>
      <c r="AP1009">
        <f t="shared" si="497"/>
        <v>0</v>
      </c>
      <c r="AQ1009">
        <f t="shared" ca="1" si="489"/>
        <v>1.0000000000000004</v>
      </c>
      <c r="AR1009" t="str">
        <f t="shared" ca="1" si="490"/>
        <v>Supercritical</v>
      </c>
      <c r="AS1009">
        <f t="shared" ca="1" si="491"/>
        <v>3.8141460404132466E-3</v>
      </c>
    </row>
    <row r="1010" spans="1:45" x14ac:dyDescent="0.35">
      <c r="A1010">
        <v>949</v>
      </c>
      <c r="B1010">
        <v>947.99599999999998</v>
      </c>
      <c r="C1010">
        <v>616083.49100000004</v>
      </c>
      <c r="D1010">
        <v>3097059.01</v>
      </c>
      <c r="E1010">
        <v>632.08900000000006</v>
      </c>
      <c r="F1010">
        <v>5.2</v>
      </c>
      <c r="G1010">
        <v>0</v>
      </c>
      <c r="H1010" t="s">
        <v>154</v>
      </c>
      <c r="I1010">
        <v>5.7000000000000002E-2</v>
      </c>
      <c r="J1010">
        <f t="shared" si="492"/>
        <v>1</v>
      </c>
      <c r="K1010">
        <f t="shared" ca="1" si="493"/>
        <v>50.95</v>
      </c>
      <c r="L1010">
        <f t="shared" ca="1" si="494"/>
        <v>2.1389677043987478</v>
      </c>
      <c r="M1010">
        <f t="shared" ca="1" si="467"/>
        <v>11.122632062873489</v>
      </c>
      <c r="N1010">
        <f t="shared" ca="1" si="468"/>
        <v>1.1735290000551568</v>
      </c>
      <c r="O1010">
        <f t="shared" ca="1" si="469"/>
        <v>4.5807502857230418</v>
      </c>
      <c r="P1010">
        <f t="shared" ca="1" si="470"/>
        <v>634.22796770439879</v>
      </c>
      <c r="Q1010">
        <f t="shared" ca="1" si="471"/>
        <v>635.29745155659816</v>
      </c>
      <c r="R1010">
        <f t="shared" ca="1" si="472"/>
        <v>3.8141460404132466E-3</v>
      </c>
      <c r="S1010">
        <f t="shared" ca="1" si="473"/>
        <v>1.0000000000000004</v>
      </c>
      <c r="T1010">
        <f t="shared" ca="1" si="474"/>
        <v>35.686426155594638</v>
      </c>
      <c r="U1010">
        <f t="shared" ca="1" si="495"/>
        <v>-3.4157470064428708E-3</v>
      </c>
      <c r="V1010">
        <f t="shared" ca="1" si="496"/>
        <v>1</v>
      </c>
      <c r="W1010">
        <f t="shared" ca="1" si="475"/>
        <v>1.9774933451182997</v>
      </c>
      <c r="X1010">
        <f t="shared" ca="1" si="476"/>
        <v>10.282965394615159</v>
      </c>
      <c r="Y1010">
        <f t="shared" ca="1" si="477"/>
        <v>1.1232092129179718</v>
      </c>
      <c r="Z1010">
        <f t="shared" ca="1" si="478"/>
        <v>4.9547964079195284</v>
      </c>
      <c r="AA1010">
        <f t="shared" ca="1" si="479"/>
        <v>634.06649334511837</v>
      </c>
      <c r="AB1010">
        <f t="shared" ca="1" si="480"/>
        <v>635.31776793451354</v>
      </c>
      <c r="AC1010">
        <f t="shared" ca="1" si="481"/>
        <v>4.7310035096569704E-3</v>
      </c>
      <c r="AD1010">
        <f t="shared" ca="1" si="482"/>
        <v>1.1249514894777228</v>
      </c>
      <c r="AE1010">
        <f t="shared" ca="1" si="483"/>
        <v>35.900874421789247</v>
      </c>
      <c r="AF1010">
        <f t="shared" ca="1" si="484"/>
        <v>4.3498745955048435E-3</v>
      </c>
      <c r="AG1010">
        <f t="shared" ca="1" si="485"/>
        <v>0</v>
      </c>
      <c r="AH1010">
        <f ca="1">IFERROR(IF(V32="Supercritical",MAX($D$16,IFERROR(L1010,MAX($D$16,POWER((ABS(K1010)^2)/($I$5*MAX(F1010,0.1)^2),1/3)))),IF(V32="Subcritical",MAX($D$16,IFERROR(W1010,MAX($D$16,POWER((ABS(K1010)^2)/($I$5*MAX(F1010,0.1)^2),1/3)))),IF(AND(IFERROR(V1010,0)=1,IFERROR(AG1010,0)=1),IF(IFERROR(T1010,-1E+99)&gt;=IFERROR(AE1010,-1E+99),MAX($D$16,IFERROR(L1010,MAX($D$16,POWER((ABS(K1010)^2)/($I$5*MAX(F1010,0.1)^2),1/3)))),MAX($D$16,IFERROR(W1010,MAX($D$16,POWER((ABS(K1010)^2)/($I$5*MAX(F1010,0.1)^2),1/3))))),IF(IFERROR(V1010,0)=1,MAX($D$16,IFERROR(L1010,MAX($D$16,POWER((ABS(K1010)^2)/($I$5*MAX(F1010,0.1)^2),1/3)))),IF(IFERROR(AG1010,0)=1,MAX($D$16,IFERROR(W1010,MAX($D$16,POWER((ABS(K1010)^2)/($I$5*MAX(F1010,0.1)^2),1/3)))),MAX($D$16,POWER((ABS(K1010)^2)/($I$5*MAX(F1010,0.1)^2),1/3))))))),MAX($D$16,POWER((ABS(K1010)^2)/($I$5*MAX(F1010,0.1)^2),1/3)))</f>
        <v>2.1389677043987478</v>
      </c>
      <c r="AI1010">
        <f t="shared" ca="1" si="486"/>
        <v>634.22796770439879</v>
      </c>
      <c r="AJ1010">
        <f t="shared" ca="1" si="487"/>
        <v>635.29745155659816</v>
      </c>
      <c r="AM1010">
        <v>0</v>
      </c>
      <c r="AN1010">
        <v>0</v>
      </c>
      <c r="AO1010">
        <f t="shared" si="488"/>
        <v>0</v>
      </c>
      <c r="AP1010">
        <f t="shared" si="497"/>
        <v>0</v>
      </c>
      <c r="AQ1010">
        <f t="shared" ca="1" si="489"/>
        <v>1.0000000000000004</v>
      </c>
      <c r="AR1010" t="str">
        <f t="shared" ca="1" si="490"/>
        <v>Supercritical</v>
      </c>
      <c r="AS1010">
        <f t="shared" ca="1" si="491"/>
        <v>3.8141460404132466E-3</v>
      </c>
    </row>
    <row r="1011" spans="1:45" x14ac:dyDescent="0.35">
      <c r="A1011">
        <v>950</v>
      </c>
      <c r="B1011">
        <v>948.99599999999998</v>
      </c>
      <c r="C1011">
        <v>616083.44799999997</v>
      </c>
      <c r="D1011">
        <v>3097058.0109999999</v>
      </c>
      <c r="E1011">
        <v>632.08849999999995</v>
      </c>
      <c r="F1011">
        <v>5.2</v>
      </c>
      <c r="G1011">
        <v>0</v>
      </c>
      <c r="H1011" t="s">
        <v>154</v>
      </c>
      <c r="I1011">
        <v>5.7000000000000002E-2</v>
      </c>
      <c r="J1011">
        <f t="shared" si="492"/>
        <v>1</v>
      </c>
      <c r="K1011">
        <f t="shared" ca="1" si="493"/>
        <v>50.95</v>
      </c>
      <c r="L1011">
        <f t="shared" ca="1" si="494"/>
        <v>2.1389677043987478</v>
      </c>
      <c r="M1011">
        <f t="shared" ca="1" si="467"/>
        <v>11.122632062873489</v>
      </c>
      <c r="N1011">
        <f t="shared" ca="1" si="468"/>
        <v>1.1735290000551568</v>
      </c>
      <c r="O1011">
        <f t="shared" ca="1" si="469"/>
        <v>4.5807502857230418</v>
      </c>
      <c r="P1011">
        <f t="shared" ca="1" si="470"/>
        <v>634.22746770439869</v>
      </c>
      <c r="Q1011">
        <f t="shared" ca="1" si="471"/>
        <v>635.29695155659806</v>
      </c>
      <c r="R1011">
        <f t="shared" ca="1" si="472"/>
        <v>3.8141460404132466E-3</v>
      </c>
      <c r="S1011">
        <f t="shared" ca="1" si="473"/>
        <v>1.0000000000000004</v>
      </c>
      <c r="T1011">
        <f t="shared" ca="1" si="474"/>
        <v>35.686426155594638</v>
      </c>
      <c r="U1011">
        <f t="shared" ca="1" si="495"/>
        <v>-3.4157470063291839E-3</v>
      </c>
      <c r="V1011">
        <f t="shared" ca="1" si="496"/>
        <v>1</v>
      </c>
      <c r="W1011">
        <f t="shared" ca="1" si="475"/>
        <v>1.9717493324155251</v>
      </c>
      <c r="X1011">
        <f t="shared" ca="1" si="476"/>
        <v>10.253096528560731</v>
      </c>
      <c r="Y1011">
        <f t="shared" ca="1" si="477"/>
        <v>1.1213537513815761</v>
      </c>
      <c r="Z1011">
        <f t="shared" ca="1" si="478"/>
        <v>4.9692305010564519</v>
      </c>
      <c r="AA1011">
        <f t="shared" ca="1" si="479"/>
        <v>634.06024933241542</v>
      </c>
      <c r="AB1011">
        <f t="shared" ca="1" si="480"/>
        <v>635.31882485599488</v>
      </c>
      <c r="AC1011">
        <f t="shared" ca="1" si="481"/>
        <v>4.7691093701283634E-3</v>
      </c>
      <c r="AD1011">
        <f t="shared" ca="1" si="482"/>
        <v>1.1298708059957621</v>
      </c>
      <c r="AE1011">
        <f t="shared" ca="1" si="483"/>
        <v>35.916860781179686</v>
      </c>
      <c r="AF1011">
        <f t="shared" ca="1" si="484"/>
        <v>4.269109370170554E-3</v>
      </c>
      <c r="AG1011">
        <f t="shared" ca="1" si="485"/>
        <v>0</v>
      </c>
      <c r="AH1011">
        <f ca="1">IFERROR(IF(V32="Supercritical",MAX($D$16,IFERROR(L1011,MAX($D$16,POWER((ABS(K1011)^2)/($I$5*MAX(F1011,0.1)^2),1/3)))),IF(V32="Subcritical",MAX($D$16,IFERROR(W1011,MAX($D$16,POWER((ABS(K1011)^2)/($I$5*MAX(F1011,0.1)^2),1/3)))),IF(AND(IFERROR(V1011,0)=1,IFERROR(AG1011,0)=1),IF(IFERROR(T1011,-1E+99)&gt;=IFERROR(AE1011,-1E+99),MAX($D$16,IFERROR(L1011,MAX($D$16,POWER((ABS(K1011)^2)/($I$5*MAX(F1011,0.1)^2),1/3)))),MAX($D$16,IFERROR(W1011,MAX($D$16,POWER((ABS(K1011)^2)/($I$5*MAX(F1011,0.1)^2),1/3))))),IF(IFERROR(V1011,0)=1,MAX($D$16,IFERROR(L1011,MAX($D$16,POWER((ABS(K1011)^2)/($I$5*MAX(F1011,0.1)^2),1/3)))),IF(IFERROR(AG1011,0)=1,MAX($D$16,IFERROR(W1011,MAX($D$16,POWER((ABS(K1011)^2)/($I$5*MAX(F1011,0.1)^2),1/3)))),MAX($D$16,POWER((ABS(K1011)^2)/($I$5*MAX(F1011,0.1)^2),1/3))))))),MAX($D$16,POWER((ABS(K1011)^2)/($I$5*MAX(F1011,0.1)^2),1/3)))</f>
        <v>2.1389677043987478</v>
      </c>
      <c r="AI1011">
        <f t="shared" ca="1" si="486"/>
        <v>634.22746770439869</v>
      </c>
      <c r="AJ1011">
        <f t="shared" ca="1" si="487"/>
        <v>635.29695155659806</v>
      </c>
      <c r="AM1011">
        <v>0</v>
      </c>
      <c r="AN1011">
        <v>0</v>
      </c>
      <c r="AO1011">
        <f t="shared" si="488"/>
        <v>0</v>
      </c>
      <c r="AP1011">
        <f t="shared" si="497"/>
        <v>0</v>
      </c>
      <c r="AQ1011">
        <f t="shared" ca="1" si="489"/>
        <v>1.0000000000000004</v>
      </c>
      <c r="AR1011" t="str">
        <f t="shared" ca="1" si="490"/>
        <v>Supercritical</v>
      </c>
      <c r="AS1011">
        <f t="shared" ca="1" si="491"/>
        <v>3.8141460404132466E-3</v>
      </c>
    </row>
    <row r="1012" spans="1:45" x14ac:dyDescent="0.35">
      <c r="A1012">
        <v>951</v>
      </c>
      <c r="B1012">
        <v>949.99599999999998</v>
      </c>
      <c r="C1012">
        <v>616083.40599999996</v>
      </c>
      <c r="D1012">
        <v>3097057.0120000001</v>
      </c>
      <c r="E1012">
        <v>632.08799999999997</v>
      </c>
      <c r="F1012">
        <v>5.2</v>
      </c>
      <c r="G1012">
        <v>0</v>
      </c>
      <c r="H1012" t="s">
        <v>154</v>
      </c>
      <c r="I1012">
        <v>0</v>
      </c>
      <c r="J1012">
        <f t="shared" si="492"/>
        <v>1</v>
      </c>
      <c r="K1012">
        <f t="shared" ca="1" si="493"/>
        <v>50.95</v>
      </c>
      <c r="L1012">
        <f t="shared" ca="1" si="494"/>
        <v>2.1389677043987478</v>
      </c>
      <c r="M1012">
        <f t="shared" ca="1" si="467"/>
        <v>11.122632062873489</v>
      </c>
      <c r="N1012">
        <f t="shared" ca="1" si="468"/>
        <v>1.1735290000551568</v>
      </c>
      <c r="O1012">
        <f t="shared" ca="1" si="469"/>
        <v>4.5807502857230418</v>
      </c>
      <c r="P1012">
        <f t="shared" ca="1" si="470"/>
        <v>634.2269677043987</v>
      </c>
      <c r="Q1012">
        <f t="shared" ca="1" si="471"/>
        <v>635.29645155659807</v>
      </c>
      <c r="R1012">
        <f t="shared" ca="1" si="472"/>
        <v>3.8141460404132466E-3</v>
      </c>
      <c r="S1012">
        <f t="shared" ca="1" si="473"/>
        <v>1.0000000000000004</v>
      </c>
      <c r="T1012">
        <f t="shared" ca="1" si="474"/>
        <v>35.686426155594638</v>
      </c>
      <c r="U1012">
        <f t="shared" ca="1" si="495"/>
        <v>-3.3141460404522149E-3</v>
      </c>
      <c r="V1012">
        <f t="shared" ca="1" si="496"/>
        <v>1</v>
      </c>
      <c r="W1012">
        <f t="shared" ca="1" si="475"/>
        <v>1.9659074579571532</v>
      </c>
      <c r="X1012">
        <f t="shared" ca="1" si="476"/>
        <v>10.222718781377196</v>
      </c>
      <c r="Y1012">
        <f t="shared" ca="1" si="477"/>
        <v>1.119461889614269</v>
      </c>
      <c r="Z1012">
        <f t="shared" ca="1" si="478"/>
        <v>4.9839970256069259</v>
      </c>
      <c r="AA1012">
        <f t="shared" ca="1" si="479"/>
        <v>634.05390745795717</v>
      </c>
      <c r="AB1012">
        <f t="shared" ca="1" si="480"/>
        <v>635.31997404059018</v>
      </c>
      <c r="AC1012">
        <f t="shared" ca="1" si="481"/>
        <v>4.8083084103156225E-3</v>
      </c>
      <c r="AD1012">
        <f t="shared" ca="1" si="482"/>
        <v>1.134910817794297</v>
      </c>
      <c r="AE1012">
        <f t="shared" ca="1" si="483"/>
        <v>35.933744811966058</v>
      </c>
      <c r="AF1012">
        <f t="shared" ca="1" si="484"/>
        <v>4.3083084103727742E-3</v>
      </c>
      <c r="AG1012">
        <f t="shared" ca="1" si="485"/>
        <v>0</v>
      </c>
      <c r="AH1012">
        <f ca="1">IFERROR(IF(V32="Supercritical",MAX($D$16,IFERROR(L1012,MAX($D$16,POWER((ABS(K1012)^2)/($I$5*MAX(F1012,0.1)^2),1/3)))),IF(V32="Subcritical",MAX($D$16,IFERROR(W1012,MAX($D$16,POWER((ABS(K1012)^2)/($I$5*MAX(F1012,0.1)^2),1/3)))),IF(AND(IFERROR(V1012,0)=1,IFERROR(AG1012,0)=1),IF(IFERROR(T1012,-1E+99)&gt;=IFERROR(AE1012,-1E+99),MAX($D$16,IFERROR(L1012,MAX($D$16,POWER((ABS(K1012)^2)/($I$5*MAX(F1012,0.1)^2),1/3)))),MAX($D$16,IFERROR(W1012,MAX($D$16,POWER((ABS(K1012)^2)/($I$5*MAX(F1012,0.1)^2),1/3))))),IF(IFERROR(V1012,0)=1,MAX($D$16,IFERROR(L1012,MAX($D$16,POWER((ABS(K1012)^2)/($I$5*MAX(F1012,0.1)^2),1/3)))),IF(IFERROR(AG1012,0)=1,MAX($D$16,IFERROR(W1012,MAX($D$16,POWER((ABS(K1012)^2)/($I$5*MAX(F1012,0.1)^2),1/3)))),MAX($D$16,POWER((ABS(K1012)^2)/($I$5*MAX(F1012,0.1)^2),1/3))))))),MAX($D$16,POWER((ABS(K1012)^2)/($I$5*MAX(F1012,0.1)^2),1/3)))</f>
        <v>2.1389677043987478</v>
      </c>
      <c r="AI1012">
        <f t="shared" ca="1" si="486"/>
        <v>634.2269677043987</v>
      </c>
      <c r="AJ1012">
        <f t="shared" ca="1" si="487"/>
        <v>635.29645155659807</v>
      </c>
      <c r="AM1012">
        <v>0</v>
      </c>
      <c r="AN1012">
        <v>0</v>
      </c>
      <c r="AO1012">
        <f t="shared" si="488"/>
        <v>0</v>
      </c>
      <c r="AP1012">
        <f t="shared" si="497"/>
        <v>0</v>
      </c>
      <c r="AQ1012">
        <f t="shared" ca="1" si="489"/>
        <v>1.0000000000000004</v>
      </c>
      <c r="AR1012" t="str">
        <f t="shared" ca="1" si="490"/>
        <v>Supercritical</v>
      </c>
      <c r="AS1012">
        <f t="shared" ca="1" si="491"/>
        <v>3.8141460404132466E-3</v>
      </c>
    </row>
    <row r="1013" spans="1:45" x14ac:dyDescent="0.35">
      <c r="A1013">
        <v>952</v>
      </c>
      <c r="B1013">
        <v>950.99599999999998</v>
      </c>
      <c r="C1013">
        <v>616083.36399999994</v>
      </c>
      <c r="D1013">
        <v>3097056.0129999998</v>
      </c>
      <c r="E1013">
        <v>632.08749999999998</v>
      </c>
      <c r="F1013">
        <v>5.2</v>
      </c>
      <c r="G1013">
        <v>0</v>
      </c>
      <c r="H1013" t="s">
        <v>154</v>
      </c>
      <c r="I1013">
        <v>0</v>
      </c>
      <c r="J1013">
        <f t="shared" si="492"/>
        <v>1</v>
      </c>
      <c r="K1013">
        <f t="shared" ca="1" si="493"/>
        <v>50.95</v>
      </c>
      <c r="L1013">
        <f t="shared" ca="1" si="494"/>
        <v>2.1389677043987478</v>
      </c>
      <c r="M1013">
        <f t="shared" ca="1" si="467"/>
        <v>11.122632062873489</v>
      </c>
      <c r="N1013">
        <f t="shared" ca="1" si="468"/>
        <v>1.1735290000551568</v>
      </c>
      <c r="O1013">
        <f t="shared" ca="1" si="469"/>
        <v>4.5807502857230418</v>
      </c>
      <c r="P1013">
        <f t="shared" ca="1" si="470"/>
        <v>634.22646770439871</v>
      </c>
      <c r="Q1013">
        <f t="shared" ca="1" si="471"/>
        <v>635.29595155659808</v>
      </c>
      <c r="R1013">
        <f t="shared" ca="1" si="472"/>
        <v>3.8141460404132466E-3</v>
      </c>
      <c r="S1013">
        <f t="shared" ca="1" si="473"/>
        <v>1.0000000000000004</v>
      </c>
      <c r="T1013">
        <f t="shared" ca="1" si="474"/>
        <v>35.686426155594638</v>
      </c>
      <c r="U1013">
        <f t="shared" ca="1" si="495"/>
        <v>-3.3141460404522149E-3</v>
      </c>
      <c r="V1013">
        <f t="shared" ca="1" si="496"/>
        <v>1</v>
      </c>
      <c r="W1013">
        <f t="shared" ca="1" si="475"/>
        <v>1.95997292360265</v>
      </c>
      <c r="X1013">
        <f t="shared" ca="1" si="476"/>
        <v>10.191859202733781</v>
      </c>
      <c r="Y1013">
        <f t="shared" ca="1" si="477"/>
        <v>1.1175350570592428</v>
      </c>
      <c r="Z1013">
        <f t="shared" ca="1" si="478"/>
        <v>4.9990878981465512</v>
      </c>
      <c r="AA1013">
        <f t="shared" ca="1" si="479"/>
        <v>634.04747292360264</v>
      </c>
      <c r="AB1013">
        <f t="shared" ca="1" si="480"/>
        <v>635.32121807209376</v>
      </c>
      <c r="AC1013">
        <f t="shared" ca="1" si="481"/>
        <v>4.8485944076482913E-3</v>
      </c>
      <c r="AD1013">
        <f t="shared" ca="1" si="482"/>
        <v>1.1400692535677048</v>
      </c>
      <c r="AE1013">
        <f t="shared" ca="1" si="483"/>
        <v>35.951546466437314</v>
      </c>
      <c r="AF1013">
        <f t="shared" ca="1" si="484"/>
        <v>4.4647516023132994E-3</v>
      </c>
      <c r="AG1013">
        <f t="shared" ca="1" si="485"/>
        <v>0</v>
      </c>
      <c r="AH1013">
        <f ca="1">IFERROR(IF(V32="Supercritical",MAX($D$16,IFERROR(L1013,MAX($D$16,POWER((ABS(K1013)^2)/($I$5*MAX(F1013,0.1)^2),1/3)))),IF(V32="Subcritical",MAX($D$16,IFERROR(W1013,MAX($D$16,POWER((ABS(K1013)^2)/($I$5*MAX(F1013,0.1)^2),1/3)))),IF(AND(IFERROR(V1013,0)=1,IFERROR(AG1013,0)=1),IF(IFERROR(T1013,-1E+99)&gt;=IFERROR(AE1013,-1E+99),MAX($D$16,IFERROR(L1013,MAX($D$16,POWER((ABS(K1013)^2)/($I$5*MAX(F1013,0.1)^2),1/3)))),MAX($D$16,IFERROR(W1013,MAX($D$16,POWER((ABS(K1013)^2)/($I$5*MAX(F1013,0.1)^2),1/3))))),IF(IFERROR(V1013,0)=1,MAX($D$16,IFERROR(L1013,MAX($D$16,POWER((ABS(K1013)^2)/($I$5*MAX(F1013,0.1)^2),1/3)))),IF(IFERROR(AG1013,0)=1,MAX($D$16,IFERROR(W1013,MAX($D$16,POWER((ABS(K1013)^2)/($I$5*MAX(F1013,0.1)^2),1/3)))),MAX($D$16,POWER((ABS(K1013)^2)/($I$5*MAX(F1013,0.1)^2),1/3))))))),MAX($D$16,POWER((ABS(K1013)^2)/($I$5*MAX(F1013,0.1)^2),1/3)))</f>
        <v>2.1389677043987478</v>
      </c>
      <c r="AI1013">
        <f t="shared" ca="1" si="486"/>
        <v>634.22646770439871</v>
      </c>
      <c r="AJ1013">
        <f t="shared" ca="1" si="487"/>
        <v>635.29595155659808</v>
      </c>
      <c r="AM1013">
        <v>0</v>
      </c>
      <c r="AN1013">
        <v>0</v>
      </c>
      <c r="AO1013">
        <f t="shared" si="488"/>
        <v>0</v>
      </c>
      <c r="AP1013">
        <f t="shared" si="497"/>
        <v>0</v>
      </c>
      <c r="AQ1013">
        <f t="shared" ca="1" si="489"/>
        <v>1.0000000000000004</v>
      </c>
      <c r="AR1013" t="str">
        <f t="shared" ca="1" si="490"/>
        <v>Supercritical</v>
      </c>
      <c r="AS1013">
        <f t="shared" ca="1" si="491"/>
        <v>3.8141460404132466E-3</v>
      </c>
    </row>
    <row r="1014" spans="1:45" x14ac:dyDescent="0.35">
      <c r="A1014">
        <v>953</v>
      </c>
      <c r="B1014">
        <v>951.995</v>
      </c>
      <c r="C1014">
        <v>616083.32200000004</v>
      </c>
      <c r="D1014">
        <v>3097055.014</v>
      </c>
      <c r="E1014">
        <v>632.08699999999999</v>
      </c>
      <c r="F1014">
        <v>5.2</v>
      </c>
      <c r="G1014">
        <v>0</v>
      </c>
      <c r="H1014" t="s">
        <v>154</v>
      </c>
      <c r="I1014">
        <v>5.7000000000000002E-2</v>
      </c>
      <c r="J1014">
        <f t="shared" si="492"/>
        <v>0.99900000000002365</v>
      </c>
      <c r="K1014">
        <f t="shared" ca="1" si="493"/>
        <v>50.95</v>
      </c>
      <c r="L1014">
        <f t="shared" ca="1" si="494"/>
        <v>2.1389677043987478</v>
      </c>
      <c r="M1014">
        <f t="shared" ca="1" si="467"/>
        <v>11.122632062873489</v>
      </c>
      <c r="N1014">
        <f t="shared" ca="1" si="468"/>
        <v>1.1735290000551568</v>
      </c>
      <c r="O1014">
        <f t="shared" ca="1" si="469"/>
        <v>4.5807502857230418</v>
      </c>
      <c r="P1014">
        <f t="shared" ca="1" si="470"/>
        <v>634.22596770439873</v>
      </c>
      <c r="Q1014">
        <f t="shared" ca="1" si="471"/>
        <v>635.2954515565981</v>
      </c>
      <c r="R1014">
        <f t="shared" ca="1" si="472"/>
        <v>3.8141460404132466E-3</v>
      </c>
      <c r="S1014">
        <f t="shared" ca="1" si="473"/>
        <v>1.0000000000000004</v>
      </c>
      <c r="T1014">
        <f t="shared" ca="1" si="474"/>
        <v>35.686426155594638</v>
      </c>
      <c r="U1014">
        <f t="shared" ca="1" si="495"/>
        <v>-3.411932860331035E-3</v>
      </c>
      <c r="V1014">
        <f t="shared" ca="1" si="496"/>
        <v>1</v>
      </c>
      <c r="W1014">
        <f t="shared" ca="1" si="475"/>
        <v>1.9539514370602584</v>
      </c>
      <c r="X1014">
        <f t="shared" ca="1" si="476"/>
        <v>10.160547472713343</v>
      </c>
      <c r="Y1014">
        <f t="shared" ca="1" si="477"/>
        <v>1.1155748598927031</v>
      </c>
      <c r="Z1014">
        <f t="shared" ca="1" si="478"/>
        <v>5.0144935729918849</v>
      </c>
      <c r="AA1014">
        <f t="shared" ca="1" si="479"/>
        <v>634.04095143706024</v>
      </c>
      <c r="AB1014">
        <f t="shared" ca="1" si="480"/>
        <v>635.32255927567269</v>
      </c>
      <c r="AC1014">
        <f t="shared" ca="1" si="481"/>
        <v>4.8899571255164986E-3</v>
      </c>
      <c r="AD1014">
        <f t="shared" ca="1" si="482"/>
        <v>1.1453433338637433</v>
      </c>
      <c r="AE1014">
        <f t="shared" ca="1" si="483"/>
        <v>35.970282739060963</v>
      </c>
      <c r="AF1014">
        <f t="shared" ca="1" si="484"/>
        <v>4.5117098702576186E-3</v>
      </c>
      <c r="AG1014">
        <f t="shared" ca="1" si="485"/>
        <v>0</v>
      </c>
      <c r="AH1014">
        <f ca="1">IFERROR(IF(V32="Supercritical",MAX($D$16,IFERROR(L1014,MAX($D$16,POWER((ABS(K1014)^2)/($I$5*MAX(F1014,0.1)^2),1/3)))),IF(V32="Subcritical",MAX($D$16,IFERROR(W1014,MAX($D$16,POWER((ABS(K1014)^2)/($I$5*MAX(F1014,0.1)^2),1/3)))),IF(AND(IFERROR(V1014,0)=1,IFERROR(AG1014,0)=1),IF(IFERROR(T1014,-1E+99)&gt;=IFERROR(AE1014,-1E+99),MAX($D$16,IFERROR(L1014,MAX($D$16,POWER((ABS(K1014)^2)/($I$5*MAX(F1014,0.1)^2),1/3)))),MAX($D$16,IFERROR(W1014,MAX($D$16,POWER((ABS(K1014)^2)/($I$5*MAX(F1014,0.1)^2),1/3))))),IF(IFERROR(V1014,0)=1,MAX($D$16,IFERROR(L1014,MAX($D$16,POWER((ABS(K1014)^2)/($I$5*MAX(F1014,0.1)^2),1/3)))),IF(IFERROR(AG1014,0)=1,MAX($D$16,IFERROR(W1014,MAX($D$16,POWER((ABS(K1014)^2)/($I$5*MAX(F1014,0.1)^2),1/3)))),MAX($D$16,POWER((ABS(K1014)^2)/($I$5*MAX(F1014,0.1)^2),1/3))))))),MAX($D$16,POWER((ABS(K1014)^2)/($I$5*MAX(F1014,0.1)^2),1/3)))</f>
        <v>2.1389677043987478</v>
      </c>
      <c r="AI1014">
        <f t="shared" ca="1" si="486"/>
        <v>634.22596770439873</v>
      </c>
      <c r="AJ1014">
        <f t="shared" ca="1" si="487"/>
        <v>635.2954515565981</v>
      </c>
      <c r="AM1014">
        <v>0</v>
      </c>
      <c r="AN1014">
        <v>0</v>
      </c>
      <c r="AO1014">
        <f t="shared" si="488"/>
        <v>0</v>
      </c>
      <c r="AP1014">
        <f t="shared" si="497"/>
        <v>0</v>
      </c>
      <c r="AQ1014">
        <f t="shared" ca="1" si="489"/>
        <v>1.0000000000000004</v>
      </c>
      <c r="AR1014" t="str">
        <f t="shared" ca="1" si="490"/>
        <v>Supercritical</v>
      </c>
      <c r="AS1014">
        <f t="shared" ca="1" si="491"/>
        <v>3.8141460404132466E-3</v>
      </c>
    </row>
    <row r="1015" spans="1:45" x14ac:dyDescent="0.35">
      <c r="A1015">
        <v>954</v>
      </c>
      <c r="B1015">
        <v>952.995</v>
      </c>
      <c r="C1015">
        <v>616083.27899999998</v>
      </c>
      <c r="D1015">
        <v>3097054.0150000001</v>
      </c>
      <c r="E1015">
        <v>632.0865</v>
      </c>
      <c r="F1015">
        <v>5.2</v>
      </c>
      <c r="G1015">
        <v>0</v>
      </c>
      <c r="H1015" t="s">
        <v>154</v>
      </c>
      <c r="I1015">
        <v>5.7000000000000002E-2</v>
      </c>
      <c r="J1015">
        <f t="shared" si="492"/>
        <v>1</v>
      </c>
      <c r="K1015">
        <f t="shared" ca="1" si="493"/>
        <v>50.95</v>
      </c>
      <c r="L1015">
        <f t="shared" ca="1" si="494"/>
        <v>2.1389677043987478</v>
      </c>
      <c r="M1015">
        <f t="shared" ca="1" si="467"/>
        <v>11.122632062873489</v>
      </c>
      <c r="N1015">
        <f t="shared" ca="1" si="468"/>
        <v>1.1735290000551568</v>
      </c>
      <c r="O1015">
        <f t="shared" ca="1" si="469"/>
        <v>4.5807502857230418</v>
      </c>
      <c r="P1015">
        <f t="shared" ca="1" si="470"/>
        <v>634.22546770439874</v>
      </c>
      <c r="Q1015">
        <f t="shared" ca="1" si="471"/>
        <v>635.29495155659811</v>
      </c>
      <c r="R1015">
        <f t="shared" ca="1" si="472"/>
        <v>3.8141460404132466E-3</v>
      </c>
      <c r="S1015">
        <f t="shared" ca="1" si="473"/>
        <v>1.0000000000000004</v>
      </c>
      <c r="T1015">
        <f t="shared" ca="1" si="474"/>
        <v>35.686426155594638</v>
      </c>
      <c r="U1015">
        <f t="shared" ca="1" si="495"/>
        <v>-3.4157470064428708E-3</v>
      </c>
      <c r="V1015">
        <f t="shared" ca="1" si="496"/>
        <v>1</v>
      </c>
      <c r="W1015">
        <f t="shared" ca="1" si="475"/>
        <v>1.9478492077954153</v>
      </c>
      <c r="X1015">
        <f t="shared" ca="1" si="476"/>
        <v>10.128815880536159</v>
      </c>
      <c r="Y1015">
        <f t="shared" ca="1" si="477"/>
        <v>1.1135830826552553</v>
      </c>
      <c r="Z1015">
        <f t="shared" ca="1" si="478"/>
        <v>5.030202997164464</v>
      </c>
      <c r="AA1015">
        <f t="shared" ca="1" si="479"/>
        <v>634.03434920779546</v>
      </c>
      <c r="AB1015">
        <f t="shared" ca="1" si="480"/>
        <v>635.32399967633171</v>
      </c>
      <c r="AC1015">
        <f t="shared" ca="1" si="481"/>
        <v>4.9323820502677959E-3</v>
      </c>
      <c r="AD1015">
        <f t="shared" ca="1" si="482"/>
        <v>1.1507297508161209</v>
      </c>
      <c r="AE1015">
        <f t="shared" ca="1" si="483"/>
        <v>35.989967286506882</v>
      </c>
      <c r="AF1015">
        <f t="shared" ca="1" si="484"/>
        <v>4.4366808851918904E-3</v>
      </c>
      <c r="AG1015">
        <f t="shared" ca="1" si="485"/>
        <v>0</v>
      </c>
      <c r="AH1015">
        <f ca="1">IFERROR(IF(V32="Supercritical",MAX($D$16,IFERROR(L1015,MAX($D$16,POWER((ABS(K1015)^2)/($I$5*MAX(F1015,0.1)^2),1/3)))),IF(V32="Subcritical",MAX($D$16,IFERROR(W1015,MAX($D$16,POWER((ABS(K1015)^2)/($I$5*MAX(F1015,0.1)^2),1/3)))),IF(AND(IFERROR(V1015,0)=1,IFERROR(AG1015,0)=1),IF(IFERROR(T1015,-1E+99)&gt;=IFERROR(AE1015,-1E+99),MAX($D$16,IFERROR(L1015,MAX($D$16,POWER((ABS(K1015)^2)/($I$5*MAX(F1015,0.1)^2),1/3)))),MAX($D$16,IFERROR(W1015,MAX($D$16,POWER((ABS(K1015)^2)/($I$5*MAX(F1015,0.1)^2),1/3))))),IF(IFERROR(V1015,0)=1,MAX($D$16,IFERROR(L1015,MAX($D$16,POWER((ABS(K1015)^2)/($I$5*MAX(F1015,0.1)^2),1/3)))),IF(IFERROR(AG1015,0)=1,MAX($D$16,IFERROR(W1015,MAX($D$16,POWER((ABS(K1015)^2)/($I$5*MAX(F1015,0.1)^2),1/3)))),MAX($D$16,POWER((ABS(K1015)^2)/($I$5*MAX(F1015,0.1)^2),1/3))))))),MAX($D$16,POWER((ABS(K1015)^2)/($I$5*MAX(F1015,0.1)^2),1/3)))</f>
        <v>2.1389677043987478</v>
      </c>
      <c r="AI1015">
        <f t="shared" ca="1" si="486"/>
        <v>634.22546770439874</v>
      </c>
      <c r="AJ1015">
        <f t="shared" ca="1" si="487"/>
        <v>635.29495155659811</v>
      </c>
      <c r="AM1015">
        <v>0</v>
      </c>
      <c r="AN1015">
        <v>0</v>
      </c>
      <c r="AO1015">
        <f t="shared" si="488"/>
        <v>0</v>
      </c>
      <c r="AP1015">
        <f t="shared" si="497"/>
        <v>0</v>
      </c>
      <c r="AQ1015">
        <f t="shared" ca="1" si="489"/>
        <v>1.0000000000000004</v>
      </c>
      <c r="AR1015" t="str">
        <f t="shared" ca="1" si="490"/>
        <v>Supercritical</v>
      </c>
      <c r="AS1015">
        <f t="shared" ca="1" si="491"/>
        <v>3.8141460404132466E-3</v>
      </c>
    </row>
    <row r="1016" spans="1:45" x14ac:dyDescent="0.35">
      <c r="A1016">
        <v>955</v>
      </c>
      <c r="B1016">
        <v>953.995</v>
      </c>
      <c r="C1016">
        <v>616083.23699999996</v>
      </c>
      <c r="D1016">
        <v>3097053.0159999998</v>
      </c>
      <c r="E1016">
        <v>632.08600000000001</v>
      </c>
      <c r="F1016">
        <v>5.2</v>
      </c>
      <c r="G1016">
        <v>0</v>
      </c>
      <c r="H1016" t="s">
        <v>154</v>
      </c>
      <c r="I1016">
        <v>2E-3</v>
      </c>
      <c r="J1016">
        <f t="shared" si="492"/>
        <v>1</v>
      </c>
      <c r="K1016">
        <f t="shared" ca="1" si="493"/>
        <v>50.95</v>
      </c>
      <c r="L1016">
        <f t="shared" ca="1" si="494"/>
        <v>2.1389677043987478</v>
      </c>
      <c r="M1016">
        <f t="shared" ca="1" si="467"/>
        <v>11.122632062873489</v>
      </c>
      <c r="N1016">
        <f t="shared" ca="1" si="468"/>
        <v>1.1735290000551568</v>
      </c>
      <c r="O1016">
        <f t="shared" ca="1" si="469"/>
        <v>4.5807502857230418</v>
      </c>
      <c r="P1016">
        <f t="shared" ca="1" si="470"/>
        <v>634.22496770439875</v>
      </c>
      <c r="Q1016">
        <f t="shared" ca="1" si="471"/>
        <v>635.29445155659812</v>
      </c>
      <c r="R1016">
        <f t="shared" ca="1" si="472"/>
        <v>3.8141460404132466E-3</v>
      </c>
      <c r="S1016">
        <f t="shared" ca="1" si="473"/>
        <v>1.0000000000000004</v>
      </c>
      <c r="T1016">
        <f t="shared" ca="1" si="474"/>
        <v>35.686426155594638</v>
      </c>
      <c r="U1016">
        <f t="shared" ca="1" si="495"/>
        <v>-3.3177109866073806E-3</v>
      </c>
      <c r="V1016">
        <f t="shared" ca="1" si="496"/>
        <v>1</v>
      </c>
      <c r="W1016">
        <f t="shared" ca="1" si="475"/>
        <v>1.941672938413499</v>
      </c>
      <c r="X1016">
        <f t="shared" ca="1" si="476"/>
        <v>10.096699279750196</v>
      </c>
      <c r="Y1016">
        <f t="shared" ca="1" si="477"/>
        <v>1.1115616884642052</v>
      </c>
      <c r="Z1016">
        <f t="shared" ca="1" si="478"/>
        <v>5.0462035748835898</v>
      </c>
      <c r="AA1016">
        <f t="shared" ca="1" si="479"/>
        <v>634.0276729384135</v>
      </c>
      <c r="AB1016">
        <f t="shared" ca="1" si="480"/>
        <v>635.32554095671969</v>
      </c>
      <c r="AC1016">
        <f t="shared" ca="1" si="481"/>
        <v>4.9758501423360782E-3</v>
      </c>
      <c r="AD1016">
        <f t="shared" ca="1" si="482"/>
        <v>1.1562246508312322</v>
      </c>
      <c r="AE1016">
        <f t="shared" ca="1" si="483"/>
        <v>36.010610050681336</v>
      </c>
      <c r="AF1016">
        <f t="shared" ca="1" si="484"/>
        <v>4.4851522192175253E-3</v>
      </c>
      <c r="AG1016">
        <f t="shared" ca="1" si="485"/>
        <v>0</v>
      </c>
      <c r="AH1016">
        <f ca="1">IFERROR(IF(V32="Supercritical",MAX($D$16,IFERROR(L1016,MAX($D$16,POWER((ABS(K1016)^2)/($I$5*MAX(F1016,0.1)^2),1/3)))),IF(V32="Subcritical",MAX($D$16,IFERROR(W1016,MAX($D$16,POWER((ABS(K1016)^2)/($I$5*MAX(F1016,0.1)^2),1/3)))),IF(AND(IFERROR(V1016,0)=1,IFERROR(AG1016,0)=1),IF(IFERROR(T1016,-1E+99)&gt;=IFERROR(AE1016,-1E+99),MAX($D$16,IFERROR(L1016,MAX($D$16,POWER((ABS(K1016)^2)/($I$5*MAX(F1016,0.1)^2),1/3)))),MAX($D$16,IFERROR(W1016,MAX($D$16,POWER((ABS(K1016)^2)/($I$5*MAX(F1016,0.1)^2),1/3))))),IF(IFERROR(V1016,0)=1,MAX($D$16,IFERROR(L1016,MAX($D$16,POWER((ABS(K1016)^2)/($I$5*MAX(F1016,0.1)^2),1/3)))),IF(IFERROR(AG1016,0)=1,MAX($D$16,IFERROR(W1016,MAX($D$16,POWER((ABS(K1016)^2)/($I$5*MAX(F1016,0.1)^2),1/3)))),MAX($D$16,POWER((ABS(K1016)^2)/($I$5*MAX(F1016,0.1)^2),1/3))))))),MAX($D$16,POWER((ABS(K1016)^2)/($I$5*MAX(F1016,0.1)^2),1/3)))</f>
        <v>2.1389677043987478</v>
      </c>
      <c r="AI1016">
        <f t="shared" ca="1" si="486"/>
        <v>634.22496770439875</v>
      </c>
      <c r="AJ1016">
        <f t="shared" ca="1" si="487"/>
        <v>635.29445155659812</v>
      </c>
      <c r="AM1016">
        <v>0</v>
      </c>
      <c r="AN1016">
        <v>0</v>
      </c>
      <c r="AO1016">
        <f t="shared" si="488"/>
        <v>0</v>
      </c>
      <c r="AP1016">
        <f t="shared" si="497"/>
        <v>0</v>
      </c>
      <c r="AQ1016">
        <f t="shared" ca="1" si="489"/>
        <v>1.0000000000000004</v>
      </c>
      <c r="AR1016" t="str">
        <f t="shared" ca="1" si="490"/>
        <v>Supercritical</v>
      </c>
      <c r="AS1016">
        <f t="shared" ca="1" si="491"/>
        <v>3.8141460404132466E-3</v>
      </c>
    </row>
    <row r="1017" spans="1:45" x14ac:dyDescent="0.35">
      <c r="A1017">
        <v>956</v>
      </c>
      <c r="B1017">
        <v>954.99599999999998</v>
      </c>
      <c r="C1017">
        <v>616083.19499999995</v>
      </c>
      <c r="D1017">
        <v>3097052.0159999998</v>
      </c>
      <c r="E1017">
        <v>632.08550000000002</v>
      </c>
      <c r="F1017">
        <v>5.2</v>
      </c>
      <c r="G1017">
        <v>0</v>
      </c>
      <c r="H1017" t="s">
        <v>154</v>
      </c>
      <c r="I1017">
        <v>2E-3</v>
      </c>
      <c r="J1017">
        <f t="shared" si="492"/>
        <v>1.0009999999999764</v>
      </c>
      <c r="K1017">
        <f t="shared" ca="1" si="493"/>
        <v>50.95</v>
      </c>
      <c r="L1017">
        <f t="shared" ca="1" si="494"/>
        <v>2.1389677043987478</v>
      </c>
      <c r="M1017">
        <f t="shared" ca="1" si="467"/>
        <v>11.122632062873489</v>
      </c>
      <c r="N1017">
        <f t="shared" ca="1" si="468"/>
        <v>1.1735290000551568</v>
      </c>
      <c r="O1017">
        <f t="shared" ca="1" si="469"/>
        <v>4.5807502857230418</v>
      </c>
      <c r="P1017">
        <f t="shared" ca="1" si="470"/>
        <v>634.22446770439876</v>
      </c>
      <c r="Q1017">
        <f t="shared" ca="1" si="471"/>
        <v>635.29395155659813</v>
      </c>
      <c r="R1017">
        <f t="shared" ca="1" si="472"/>
        <v>3.8141460404132466E-3</v>
      </c>
      <c r="S1017">
        <f t="shared" ca="1" si="473"/>
        <v>1.0000000000000004</v>
      </c>
      <c r="T1017">
        <f t="shared" ca="1" si="474"/>
        <v>35.686426155594638</v>
      </c>
      <c r="U1017">
        <f t="shared" ca="1" si="495"/>
        <v>-3.3215251326055295E-3</v>
      </c>
      <c r="V1017">
        <f t="shared" ca="1" si="496"/>
        <v>1</v>
      </c>
      <c r="W1017">
        <f t="shared" ca="1" si="475"/>
        <v>1.9354298112432085</v>
      </c>
      <c r="X1017">
        <f t="shared" ca="1" si="476"/>
        <v>10.064235018464684</v>
      </c>
      <c r="Y1017">
        <f t="shared" ca="1" si="477"/>
        <v>1.1095128176733897</v>
      </c>
      <c r="Z1017">
        <f t="shared" ca="1" si="478"/>
        <v>5.0624811430300349</v>
      </c>
      <c r="AA1017">
        <f t="shared" ca="1" si="479"/>
        <v>634.02092981124326</v>
      </c>
      <c r="AB1017">
        <f t="shared" ca="1" si="480"/>
        <v>635.3271844148893</v>
      </c>
      <c r="AC1017">
        <f t="shared" ca="1" si="481"/>
        <v>5.0203376066599373E-3</v>
      </c>
      <c r="AD1017">
        <f t="shared" ca="1" si="482"/>
        <v>1.1618236207757162</v>
      </c>
      <c r="AE1017">
        <f t="shared" ca="1" si="483"/>
        <v>36.032216891136926</v>
      </c>
      <c r="AF1017">
        <f t="shared" ca="1" si="484"/>
        <v>4.6444317939631219E-3</v>
      </c>
      <c r="AG1017">
        <f t="shared" ca="1" si="485"/>
        <v>0</v>
      </c>
      <c r="AH1017">
        <f ca="1">IFERROR(IF(V32="Supercritical",MAX($D$16,IFERROR(L1017,MAX($D$16,POWER((ABS(K1017)^2)/($I$5*MAX(F1017,0.1)^2),1/3)))),IF(V32="Subcritical",MAX($D$16,IFERROR(W1017,MAX($D$16,POWER((ABS(K1017)^2)/($I$5*MAX(F1017,0.1)^2),1/3)))),IF(AND(IFERROR(V1017,0)=1,IFERROR(AG1017,0)=1),IF(IFERROR(T1017,-1E+99)&gt;=IFERROR(AE1017,-1E+99),MAX($D$16,IFERROR(L1017,MAX($D$16,POWER((ABS(K1017)^2)/($I$5*MAX(F1017,0.1)^2),1/3)))),MAX($D$16,IFERROR(W1017,MAX($D$16,POWER((ABS(K1017)^2)/($I$5*MAX(F1017,0.1)^2),1/3))))),IF(IFERROR(V1017,0)=1,MAX($D$16,IFERROR(L1017,MAX($D$16,POWER((ABS(K1017)^2)/($I$5*MAX(F1017,0.1)^2),1/3)))),IF(IFERROR(AG1017,0)=1,MAX($D$16,IFERROR(W1017,MAX($D$16,POWER((ABS(K1017)^2)/($I$5*MAX(F1017,0.1)^2),1/3)))),MAX($D$16,POWER((ABS(K1017)^2)/($I$5*MAX(F1017,0.1)^2),1/3))))))),MAX($D$16,POWER((ABS(K1017)^2)/($I$5*MAX(F1017,0.1)^2),1/3)))</f>
        <v>2.1389677043987478</v>
      </c>
      <c r="AI1017">
        <f t="shared" ca="1" si="486"/>
        <v>634.22446770439876</v>
      </c>
      <c r="AJ1017">
        <f t="shared" ca="1" si="487"/>
        <v>635.29395155659813</v>
      </c>
      <c r="AM1017">
        <v>0</v>
      </c>
      <c r="AN1017">
        <v>0</v>
      </c>
      <c r="AO1017">
        <f t="shared" si="488"/>
        <v>0</v>
      </c>
      <c r="AP1017">
        <f t="shared" si="497"/>
        <v>0</v>
      </c>
      <c r="AQ1017">
        <f t="shared" ca="1" si="489"/>
        <v>1.0000000000000004</v>
      </c>
      <c r="AR1017" t="str">
        <f t="shared" ca="1" si="490"/>
        <v>Supercritical</v>
      </c>
      <c r="AS1017">
        <f t="shared" ca="1" si="491"/>
        <v>3.8141460404132466E-3</v>
      </c>
    </row>
    <row r="1018" spans="1:45" x14ac:dyDescent="0.35">
      <c r="A1018">
        <v>957</v>
      </c>
      <c r="B1018">
        <v>955.99599999999998</v>
      </c>
      <c r="C1018">
        <v>616083.15300000005</v>
      </c>
      <c r="D1018">
        <v>3097051.017</v>
      </c>
      <c r="E1018">
        <v>632.08500000000004</v>
      </c>
      <c r="F1018">
        <v>5.2</v>
      </c>
      <c r="G1018">
        <v>0</v>
      </c>
      <c r="H1018" t="s">
        <v>154</v>
      </c>
      <c r="I1018">
        <v>5.7000000000000002E-2</v>
      </c>
      <c r="J1018">
        <f t="shared" si="492"/>
        <v>1</v>
      </c>
      <c r="K1018">
        <f t="shared" ca="1" si="493"/>
        <v>50.95</v>
      </c>
      <c r="L1018">
        <f t="shared" ca="1" si="494"/>
        <v>2.1389677043987478</v>
      </c>
      <c r="M1018">
        <f t="shared" ca="1" si="467"/>
        <v>11.122632062873489</v>
      </c>
      <c r="N1018">
        <f t="shared" ca="1" si="468"/>
        <v>1.1735290000551568</v>
      </c>
      <c r="O1018">
        <f t="shared" ca="1" si="469"/>
        <v>4.5807502857230418</v>
      </c>
      <c r="P1018">
        <f t="shared" ca="1" si="470"/>
        <v>634.22396770439877</v>
      </c>
      <c r="Q1018">
        <f t="shared" ca="1" si="471"/>
        <v>635.29345155659814</v>
      </c>
      <c r="R1018">
        <f t="shared" ca="1" si="472"/>
        <v>3.8141460404132466E-3</v>
      </c>
      <c r="S1018">
        <f t="shared" ca="1" si="473"/>
        <v>1.0000000000000004</v>
      </c>
      <c r="T1018">
        <f t="shared" ca="1" si="474"/>
        <v>35.686426155594638</v>
      </c>
      <c r="U1018">
        <f t="shared" ca="1" si="495"/>
        <v>-3.4157470064428708E-3</v>
      </c>
      <c r="V1018">
        <f t="shared" ca="1" si="496"/>
        <v>1</v>
      </c>
      <c r="W1018">
        <f t="shared" ca="1" si="475"/>
        <v>1.9291274698982515</v>
      </c>
      <c r="X1018">
        <f t="shared" ca="1" si="476"/>
        <v>10.031462843470909</v>
      </c>
      <c r="Y1018">
        <f t="shared" ca="1" si="477"/>
        <v>1.1074387848589597</v>
      </c>
      <c r="Z1018">
        <f t="shared" ca="1" si="478"/>
        <v>5.0790199590044223</v>
      </c>
      <c r="AA1018">
        <f t="shared" ca="1" si="479"/>
        <v>634.01412746989831</v>
      </c>
      <c r="AB1018">
        <f t="shared" ca="1" si="480"/>
        <v>635.32893092269978</v>
      </c>
      <c r="AC1018">
        <f t="shared" ca="1" si="481"/>
        <v>5.0658156878980592E-3</v>
      </c>
      <c r="AD1018">
        <f t="shared" ca="1" si="482"/>
        <v>1.1675216782175251</v>
      </c>
      <c r="AE1018">
        <f t="shared" ca="1" si="483"/>
        <v>36.054789233792533</v>
      </c>
      <c r="AF1018">
        <f t="shared" ca="1" si="484"/>
        <v>4.6907220158800556E-3</v>
      </c>
      <c r="AG1018">
        <f t="shared" ca="1" si="485"/>
        <v>0</v>
      </c>
      <c r="AH1018">
        <f ca="1">IFERROR(IF(V32="Supercritical",MAX($D$16,IFERROR(L1018,MAX($D$16,POWER((ABS(K1018)^2)/($I$5*MAX(F1018,0.1)^2),1/3)))),IF(V32="Subcritical",MAX($D$16,IFERROR(W1018,MAX($D$16,POWER((ABS(K1018)^2)/($I$5*MAX(F1018,0.1)^2),1/3)))),IF(AND(IFERROR(V1018,0)=1,IFERROR(AG1018,0)=1),IF(IFERROR(T1018,-1E+99)&gt;=IFERROR(AE1018,-1E+99),MAX($D$16,IFERROR(L1018,MAX($D$16,POWER((ABS(K1018)^2)/($I$5*MAX(F1018,0.1)^2),1/3)))),MAX($D$16,IFERROR(W1018,MAX($D$16,POWER((ABS(K1018)^2)/($I$5*MAX(F1018,0.1)^2),1/3))))),IF(IFERROR(V1018,0)=1,MAX($D$16,IFERROR(L1018,MAX($D$16,POWER((ABS(K1018)^2)/($I$5*MAX(F1018,0.1)^2),1/3)))),IF(IFERROR(AG1018,0)=1,MAX($D$16,IFERROR(W1018,MAX($D$16,POWER((ABS(K1018)^2)/($I$5*MAX(F1018,0.1)^2),1/3)))),MAX($D$16,POWER((ABS(K1018)^2)/($I$5*MAX(F1018,0.1)^2),1/3))))))),MAX($D$16,POWER((ABS(K1018)^2)/($I$5*MAX(F1018,0.1)^2),1/3)))</f>
        <v>2.1389677043987478</v>
      </c>
      <c r="AI1018">
        <f t="shared" ca="1" si="486"/>
        <v>634.22396770439877</v>
      </c>
      <c r="AJ1018">
        <f t="shared" ca="1" si="487"/>
        <v>635.29345155659814</v>
      </c>
      <c r="AM1018">
        <v>0</v>
      </c>
      <c r="AN1018">
        <v>0</v>
      </c>
      <c r="AO1018">
        <f t="shared" si="488"/>
        <v>0</v>
      </c>
      <c r="AP1018">
        <f t="shared" si="497"/>
        <v>0</v>
      </c>
      <c r="AQ1018">
        <f t="shared" ca="1" si="489"/>
        <v>1.0000000000000004</v>
      </c>
      <c r="AR1018" t="str">
        <f t="shared" ca="1" si="490"/>
        <v>Supercritical</v>
      </c>
      <c r="AS1018">
        <f t="shared" ca="1" si="491"/>
        <v>3.8141460404132466E-3</v>
      </c>
    </row>
    <row r="1019" spans="1:45" x14ac:dyDescent="0.35">
      <c r="A1019">
        <v>958</v>
      </c>
      <c r="B1019">
        <v>956.99599999999998</v>
      </c>
      <c r="C1019">
        <v>616083.11</v>
      </c>
      <c r="D1019">
        <v>3097050.0180000002</v>
      </c>
      <c r="E1019">
        <v>632.08450000000005</v>
      </c>
      <c r="F1019">
        <v>5.2</v>
      </c>
      <c r="G1019">
        <v>0</v>
      </c>
      <c r="H1019" t="s">
        <v>154</v>
      </c>
      <c r="I1019">
        <v>5.7000000000000002E-2</v>
      </c>
      <c r="J1019">
        <f t="shared" si="492"/>
        <v>1</v>
      </c>
      <c r="K1019">
        <f t="shared" ca="1" si="493"/>
        <v>50.95</v>
      </c>
      <c r="L1019">
        <f t="shared" ca="1" si="494"/>
        <v>2.1389677043987478</v>
      </c>
      <c r="M1019">
        <f t="shared" ca="1" si="467"/>
        <v>11.122632062873489</v>
      </c>
      <c r="N1019">
        <f t="shared" ca="1" si="468"/>
        <v>1.1735290000551568</v>
      </c>
      <c r="O1019">
        <f t="shared" ca="1" si="469"/>
        <v>4.5807502857230418</v>
      </c>
      <c r="P1019">
        <f t="shared" ca="1" si="470"/>
        <v>634.22346770439879</v>
      </c>
      <c r="Q1019">
        <f t="shared" ca="1" si="471"/>
        <v>635.29295155659815</v>
      </c>
      <c r="R1019">
        <f t="shared" ca="1" si="472"/>
        <v>3.8141460404132466E-3</v>
      </c>
      <c r="S1019">
        <f t="shared" ca="1" si="473"/>
        <v>1.0000000000000004</v>
      </c>
      <c r="T1019">
        <f t="shared" ca="1" si="474"/>
        <v>35.686426155594638</v>
      </c>
      <c r="U1019">
        <f t="shared" ca="1" si="495"/>
        <v>-3.4157470064428708E-3</v>
      </c>
      <c r="V1019">
        <f t="shared" ca="1" si="496"/>
        <v>1</v>
      </c>
      <c r="W1019">
        <f t="shared" ca="1" si="475"/>
        <v>1.9227739956567726</v>
      </c>
      <c r="X1019">
        <f t="shared" ca="1" si="476"/>
        <v>9.9984247774152184</v>
      </c>
      <c r="Y1019">
        <f t="shared" ca="1" si="477"/>
        <v>1.1053420740254456</v>
      </c>
      <c r="Z1019">
        <f t="shared" ca="1" si="478"/>
        <v>5.0958027023504338</v>
      </c>
      <c r="AA1019">
        <f t="shared" ca="1" si="479"/>
        <v>634.00727399565687</v>
      </c>
      <c r="AB1019">
        <f t="shared" ca="1" si="480"/>
        <v>635.33078088563047</v>
      </c>
      <c r="AC1019">
        <f t="shared" ca="1" si="481"/>
        <v>5.1122504962167123E-3</v>
      </c>
      <c r="AD1019">
        <f t="shared" ca="1" si="482"/>
        <v>1.1733132662670542</v>
      </c>
      <c r="AE1019">
        <f t="shared" ca="1" si="483"/>
        <v>36.07832374335571</v>
      </c>
      <c r="AF1019">
        <f t="shared" ca="1" si="484"/>
        <v>4.6122504961658706E-3</v>
      </c>
      <c r="AG1019">
        <f t="shared" ca="1" si="485"/>
        <v>0</v>
      </c>
      <c r="AH1019">
        <f ca="1">IFERROR(IF(V32="Supercritical",MAX($D$16,IFERROR(L1019,MAX($D$16,POWER((ABS(K1019)^2)/($I$5*MAX(F1019,0.1)^2),1/3)))),IF(V32="Subcritical",MAX($D$16,IFERROR(W1019,MAX($D$16,POWER((ABS(K1019)^2)/($I$5*MAX(F1019,0.1)^2),1/3)))),IF(AND(IFERROR(V1019,0)=1,IFERROR(AG1019,0)=1),IF(IFERROR(T1019,-1E+99)&gt;=IFERROR(AE1019,-1E+99),MAX($D$16,IFERROR(L1019,MAX($D$16,POWER((ABS(K1019)^2)/($I$5*MAX(F1019,0.1)^2),1/3)))),MAX($D$16,IFERROR(W1019,MAX($D$16,POWER((ABS(K1019)^2)/($I$5*MAX(F1019,0.1)^2),1/3))))),IF(IFERROR(V1019,0)=1,MAX($D$16,IFERROR(L1019,MAX($D$16,POWER((ABS(K1019)^2)/($I$5*MAX(F1019,0.1)^2),1/3)))),IF(IFERROR(AG1019,0)=1,MAX($D$16,IFERROR(W1019,MAX($D$16,POWER((ABS(K1019)^2)/($I$5*MAX(F1019,0.1)^2),1/3)))),MAX($D$16,POWER((ABS(K1019)^2)/($I$5*MAX(F1019,0.1)^2),1/3))))))),MAX($D$16,POWER((ABS(K1019)^2)/($I$5*MAX(F1019,0.1)^2),1/3)))</f>
        <v>2.1389677043987478</v>
      </c>
      <c r="AI1019">
        <f t="shared" ca="1" si="486"/>
        <v>634.22346770439879</v>
      </c>
      <c r="AJ1019">
        <f t="shared" ca="1" si="487"/>
        <v>635.29295155659815</v>
      </c>
      <c r="AM1019">
        <v>0</v>
      </c>
      <c r="AN1019">
        <v>0</v>
      </c>
      <c r="AO1019">
        <f t="shared" si="488"/>
        <v>0</v>
      </c>
      <c r="AP1019">
        <f t="shared" si="497"/>
        <v>0</v>
      </c>
      <c r="AQ1019">
        <f t="shared" ca="1" si="489"/>
        <v>1.0000000000000004</v>
      </c>
      <c r="AR1019" t="str">
        <f t="shared" ca="1" si="490"/>
        <v>Supercritical</v>
      </c>
      <c r="AS1019">
        <f t="shared" ca="1" si="491"/>
        <v>3.8141460404132466E-3</v>
      </c>
    </row>
    <row r="1020" spans="1:45" x14ac:dyDescent="0.35">
      <c r="A1020">
        <v>959</v>
      </c>
      <c r="B1020">
        <v>957.99599999999998</v>
      </c>
      <c r="C1020">
        <v>616083.06799999997</v>
      </c>
      <c r="D1020">
        <v>3097049.0189999999</v>
      </c>
      <c r="E1020">
        <v>632.08399999999995</v>
      </c>
      <c r="F1020">
        <v>5.2</v>
      </c>
      <c r="G1020">
        <v>0</v>
      </c>
      <c r="H1020" t="s">
        <v>154</v>
      </c>
      <c r="I1020">
        <v>0</v>
      </c>
      <c r="J1020">
        <f t="shared" si="492"/>
        <v>1</v>
      </c>
      <c r="K1020">
        <f t="shared" ca="1" si="493"/>
        <v>50.95</v>
      </c>
      <c r="L1020">
        <f t="shared" ca="1" si="494"/>
        <v>2.1389677043987478</v>
      </c>
      <c r="M1020">
        <f t="shared" ca="1" si="467"/>
        <v>11.122632062873489</v>
      </c>
      <c r="N1020">
        <f t="shared" ca="1" si="468"/>
        <v>1.1735290000551568</v>
      </c>
      <c r="O1020">
        <f t="shared" ca="1" si="469"/>
        <v>4.5807502857230418</v>
      </c>
      <c r="P1020">
        <f t="shared" ca="1" si="470"/>
        <v>634.22296770439868</v>
      </c>
      <c r="Q1020">
        <f t="shared" ca="1" si="471"/>
        <v>635.29245155659805</v>
      </c>
      <c r="R1020">
        <f t="shared" ca="1" si="472"/>
        <v>3.8141460404132466E-3</v>
      </c>
      <c r="S1020">
        <f t="shared" ca="1" si="473"/>
        <v>1.0000000000000004</v>
      </c>
      <c r="T1020">
        <f t="shared" ca="1" si="474"/>
        <v>35.686426155594638</v>
      </c>
      <c r="U1020">
        <f t="shared" ca="1" si="495"/>
        <v>-3.3141460403385281E-3</v>
      </c>
      <c r="V1020">
        <f t="shared" ca="1" si="496"/>
        <v>1</v>
      </c>
      <c r="W1020">
        <f t="shared" ca="1" si="475"/>
        <v>1.9163778785715162</v>
      </c>
      <c r="X1020">
        <f t="shared" ca="1" si="476"/>
        <v>9.9651649685718837</v>
      </c>
      <c r="Y1020">
        <f t="shared" ca="1" si="477"/>
        <v>1.1032253319471756</v>
      </c>
      <c r="Z1020">
        <f t="shared" ca="1" si="478"/>
        <v>5.1128104914154466</v>
      </c>
      <c r="AA1020">
        <f t="shared" ca="1" si="479"/>
        <v>634.0003778785715</v>
      </c>
      <c r="AB1020">
        <f t="shared" ca="1" si="480"/>
        <v>635.33273420482669</v>
      </c>
      <c r="AC1020">
        <f t="shared" ca="1" si="481"/>
        <v>5.1596028695718461E-3</v>
      </c>
      <c r="AD1020">
        <f t="shared" ca="1" si="482"/>
        <v>1.179192253543184</v>
      </c>
      <c r="AE1020">
        <f t="shared" ca="1" si="483"/>
        <v>36.102812027151238</v>
      </c>
      <c r="AF1020">
        <f t="shared" ca="1" si="484"/>
        <v>4.6596028695375935E-3</v>
      </c>
      <c r="AG1020">
        <f t="shared" ca="1" si="485"/>
        <v>0</v>
      </c>
      <c r="AH1020">
        <f ca="1">IFERROR(IF(V32="Supercritical",MAX($D$16,IFERROR(L1020,MAX($D$16,POWER((ABS(K1020)^2)/($I$5*MAX(F1020,0.1)^2),1/3)))),IF(V32="Subcritical",MAX($D$16,IFERROR(W1020,MAX($D$16,POWER((ABS(K1020)^2)/($I$5*MAX(F1020,0.1)^2),1/3)))),IF(AND(IFERROR(V1020,0)=1,IFERROR(AG1020,0)=1),IF(IFERROR(T1020,-1E+99)&gt;=IFERROR(AE1020,-1E+99),MAX($D$16,IFERROR(L1020,MAX($D$16,POWER((ABS(K1020)^2)/($I$5*MAX(F1020,0.1)^2),1/3)))),MAX($D$16,IFERROR(W1020,MAX($D$16,POWER((ABS(K1020)^2)/($I$5*MAX(F1020,0.1)^2),1/3))))),IF(IFERROR(V1020,0)=1,MAX($D$16,IFERROR(L1020,MAX($D$16,POWER((ABS(K1020)^2)/($I$5*MAX(F1020,0.1)^2),1/3)))),IF(IFERROR(AG1020,0)=1,MAX($D$16,IFERROR(W1020,MAX($D$16,POWER((ABS(K1020)^2)/($I$5*MAX(F1020,0.1)^2),1/3)))),MAX($D$16,POWER((ABS(K1020)^2)/($I$5*MAX(F1020,0.1)^2),1/3))))))),MAX($D$16,POWER((ABS(K1020)^2)/($I$5*MAX(F1020,0.1)^2),1/3)))</f>
        <v>2.1389677043987478</v>
      </c>
      <c r="AI1020">
        <f t="shared" ca="1" si="486"/>
        <v>634.22296770439868</v>
      </c>
      <c r="AJ1020">
        <f t="shared" ca="1" si="487"/>
        <v>635.29245155659805</v>
      </c>
      <c r="AM1020">
        <v>0</v>
      </c>
      <c r="AN1020">
        <v>0</v>
      </c>
      <c r="AO1020">
        <f t="shared" si="488"/>
        <v>0</v>
      </c>
      <c r="AP1020">
        <f t="shared" si="497"/>
        <v>0</v>
      </c>
      <c r="AQ1020">
        <f t="shared" ca="1" si="489"/>
        <v>1.0000000000000004</v>
      </c>
      <c r="AR1020" t="str">
        <f t="shared" ca="1" si="490"/>
        <v>Supercritical</v>
      </c>
      <c r="AS1020">
        <f t="shared" ca="1" si="491"/>
        <v>3.8141460404132466E-3</v>
      </c>
    </row>
    <row r="1021" spans="1:45" x14ac:dyDescent="0.35">
      <c r="A1021">
        <v>960</v>
      </c>
      <c r="B1021">
        <v>958.99599999999998</v>
      </c>
      <c r="C1021">
        <v>616083.02599999995</v>
      </c>
      <c r="D1021">
        <v>3097048.02</v>
      </c>
      <c r="E1021">
        <v>632.08349999999996</v>
      </c>
      <c r="F1021">
        <v>5.2</v>
      </c>
      <c r="G1021">
        <v>0</v>
      </c>
      <c r="H1021" t="s">
        <v>154</v>
      </c>
      <c r="I1021">
        <v>0</v>
      </c>
      <c r="J1021">
        <f t="shared" si="492"/>
        <v>1</v>
      </c>
      <c r="K1021">
        <f t="shared" ca="1" si="493"/>
        <v>50.95</v>
      </c>
      <c r="L1021">
        <f t="shared" ca="1" si="494"/>
        <v>2.1389677043987478</v>
      </c>
      <c r="M1021">
        <f t="shared" ca="1" si="467"/>
        <v>11.122632062873489</v>
      </c>
      <c r="N1021">
        <f t="shared" ca="1" si="468"/>
        <v>1.1735290000551568</v>
      </c>
      <c r="O1021">
        <f t="shared" ca="1" si="469"/>
        <v>4.5807502857230418</v>
      </c>
      <c r="P1021">
        <f t="shared" ca="1" si="470"/>
        <v>634.2224677043987</v>
      </c>
      <c r="Q1021">
        <f t="shared" ca="1" si="471"/>
        <v>635.29195155659806</v>
      </c>
      <c r="R1021">
        <f t="shared" ca="1" si="472"/>
        <v>3.8141460404132466E-3</v>
      </c>
      <c r="S1021">
        <f t="shared" ca="1" si="473"/>
        <v>1.0000000000000004</v>
      </c>
      <c r="T1021">
        <f t="shared" ca="1" si="474"/>
        <v>35.686426155594638</v>
      </c>
      <c r="U1021">
        <f t="shared" ca="1" si="495"/>
        <v>-3.3141460404522149E-3</v>
      </c>
      <c r="V1021">
        <f t="shared" ca="1" si="496"/>
        <v>1</v>
      </c>
      <c r="W1021">
        <f t="shared" ca="1" si="475"/>
        <v>1.9099479833050435</v>
      </c>
      <c r="X1021">
        <f t="shared" ca="1" si="476"/>
        <v>9.9317295131862267</v>
      </c>
      <c r="Y1021">
        <f t="shared" ca="1" si="477"/>
        <v>1.1010913595845864</v>
      </c>
      <c r="Z1021">
        <f t="shared" ca="1" si="478"/>
        <v>5.1300229161853794</v>
      </c>
      <c r="AA1021">
        <f t="shared" ca="1" si="479"/>
        <v>633.99344798330503</v>
      </c>
      <c r="AB1021">
        <f t="shared" ca="1" si="480"/>
        <v>635.33479024225437</v>
      </c>
      <c r="AC1021">
        <f t="shared" ca="1" si="481"/>
        <v>5.2078282784365553E-3</v>
      </c>
      <c r="AD1021">
        <f t="shared" ca="1" si="482"/>
        <v>1.1851519397532131</v>
      </c>
      <c r="AE1021">
        <f t="shared" ca="1" si="483"/>
        <v>36.128240378203792</v>
      </c>
      <c r="AF1021">
        <f t="shared" ca="1" si="484"/>
        <v>4.835255793068427E-3</v>
      </c>
      <c r="AG1021">
        <f t="shared" ca="1" si="485"/>
        <v>0</v>
      </c>
      <c r="AH1021">
        <f ca="1">IFERROR(IF(V32="Supercritical",MAX($D$16,IFERROR(L1021,MAX($D$16,POWER((ABS(K1021)^2)/($I$5*MAX(F1021,0.1)^2),1/3)))),IF(V32="Subcritical",MAX($D$16,IFERROR(W1021,MAX($D$16,POWER((ABS(K1021)^2)/($I$5*MAX(F1021,0.1)^2),1/3)))),IF(AND(IFERROR(V1021,0)=1,IFERROR(AG1021,0)=1),IF(IFERROR(T1021,-1E+99)&gt;=IFERROR(AE1021,-1E+99),MAX($D$16,IFERROR(L1021,MAX($D$16,POWER((ABS(K1021)^2)/($I$5*MAX(F1021,0.1)^2),1/3)))),MAX($D$16,IFERROR(W1021,MAX($D$16,POWER((ABS(K1021)^2)/($I$5*MAX(F1021,0.1)^2),1/3))))),IF(IFERROR(V1021,0)=1,MAX($D$16,IFERROR(L1021,MAX($D$16,POWER((ABS(K1021)^2)/($I$5*MAX(F1021,0.1)^2),1/3)))),IF(IFERROR(AG1021,0)=1,MAX($D$16,IFERROR(W1021,MAX($D$16,POWER((ABS(K1021)^2)/($I$5*MAX(F1021,0.1)^2),1/3)))),MAX($D$16,POWER((ABS(K1021)^2)/($I$5*MAX(F1021,0.1)^2),1/3))))))),MAX($D$16,POWER((ABS(K1021)^2)/($I$5*MAX(F1021,0.1)^2),1/3)))</f>
        <v>2.1389677043987478</v>
      </c>
      <c r="AI1021">
        <f t="shared" ca="1" si="486"/>
        <v>634.2224677043987</v>
      </c>
      <c r="AJ1021">
        <f t="shared" ca="1" si="487"/>
        <v>635.29195155659806</v>
      </c>
      <c r="AM1021">
        <v>0</v>
      </c>
      <c r="AN1021">
        <v>0</v>
      </c>
      <c r="AO1021">
        <f t="shared" si="488"/>
        <v>0</v>
      </c>
      <c r="AP1021">
        <f t="shared" si="497"/>
        <v>0</v>
      </c>
      <c r="AQ1021">
        <f t="shared" ca="1" si="489"/>
        <v>1.0000000000000004</v>
      </c>
      <c r="AR1021" t="str">
        <f t="shared" ca="1" si="490"/>
        <v>Supercritical</v>
      </c>
      <c r="AS1021">
        <f t="shared" ca="1" si="491"/>
        <v>3.8141460404132466E-3</v>
      </c>
    </row>
    <row r="1022" spans="1:45" x14ac:dyDescent="0.35">
      <c r="A1022">
        <v>961</v>
      </c>
      <c r="B1022">
        <v>959.99599999999998</v>
      </c>
      <c r="C1022">
        <v>616082.98400000005</v>
      </c>
      <c r="D1022">
        <v>3097047.0210000002</v>
      </c>
      <c r="E1022">
        <v>632.08299999999997</v>
      </c>
      <c r="F1022">
        <v>5.2</v>
      </c>
      <c r="G1022">
        <v>0</v>
      </c>
      <c r="H1022" t="s">
        <v>154</v>
      </c>
      <c r="I1022">
        <v>5.7000000000000002E-2</v>
      </c>
      <c r="J1022">
        <f t="shared" si="492"/>
        <v>1</v>
      </c>
      <c r="K1022">
        <f t="shared" ca="1" si="493"/>
        <v>50.95</v>
      </c>
      <c r="L1022">
        <f t="shared" ca="1" si="494"/>
        <v>2.1389677043987478</v>
      </c>
      <c r="M1022">
        <f t="shared" ref="M1022:M1085" ca="1" si="498">((F1022)+(G1022)*(L1022))*(L1022)</f>
        <v>11.122632062873489</v>
      </c>
      <c r="N1022">
        <f t="shared" ref="N1022:N1085" ca="1" si="499">(((F1022)+(G1022)*(L1022))*(L1022))/MAX((F1022)+2*(L1022)*SQRT(1+(G1022)^2),0.000001)</f>
        <v>1.1735290000551568</v>
      </c>
      <c r="O1022">
        <f t="shared" ref="O1022:O1085" ca="1" si="500">ABS(K1022)/MAX(((F1022)+(G1022)*(L1022))*(L1022),0.000001)</f>
        <v>4.5807502857230418</v>
      </c>
      <c r="P1022">
        <f t="shared" ref="P1022:P1085" ca="1" si="501">E1022+L1022</f>
        <v>634.22196770439871</v>
      </c>
      <c r="Q1022">
        <f t="shared" ref="Q1022:Q1085" ca="1" si="502">P1022+((ABS(K1022)/MAX(((F1022)+(G1022)*(L1022))*(L1022),0.000001))^2)/(2*$I$5)</f>
        <v>635.29145155659808</v>
      </c>
      <c r="R1022">
        <f t="shared" ref="R1022:R1085" ca="1" si="503">((ABS(K1022)*$D$6)/(MAX(((F1022)+(G1022)*(L1022))*(L1022),0.000001)*MAX(((((F1022)+(G1022)*(L1022))*(L1022))/MAX((F1022)+2*(L1022)*SQRT(1+(G1022)^2),0.000001))^(2/3),0.000001)))^2</f>
        <v>3.8141460404132466E-3</v>
      </c>
      <c r="S1022">
        <f t="shared" ref="S1022:S1085" ca="1" si="504">ABS(ABS(K1022)/MAX(((F1022)+(G1022)*(L1022))*(L1022),0.000001))/SQRT($I$5*MAX((((F1022)+(G1022)*(L1022))*(L1022))/MAX((F1022)+2*(G1022)*(L1022),0.000001),0.000001))</f>
        <v>1.0000000000000004</v>
      </c>
      <c r="T1022">
        <f t="shared" ref="T1022:T1085" ca="1" si="505">((F1022)*(L1022)^2)/2+(G1022)*(L1022)^3/3+(ABS(K1022)^2)/($I$5*MAX(((F1022)+(G1022)*(L1022))*(L1022),0.000001))</f>
        <v>35.686426155594638</v>
      </c>
      <c r="U1022">
        <f t="shared" ca="1" si="495"/>
        <v>-3.4157470064428708E-3</v>
      </c>
      <c r="V1022">
        <f t="shared" ca="1" si="496"/>
        <v>1</v>
      </c>
      <c r="W1022">
        <f t="shared" ref="W1022:W1085" ca="1" si="506">IF($D$20=0,IFERROR(W1023,MAX($D$16,POWER((ABS(K1022)^2)/($I$5*MAX(F1022,0.1)^2),1/3))),IF(IFERROR(AG1023,0)=0,IFERROR(W1023,MAX($D$16,POWER((ABS(K1022)^2)/($I$5*MAX(F1022,0.1)^2),1/3))),IF(OR(IFERROR(W1022,0)=0,IFERROR(AD1023,0)&gt;1),MAX($D$16,POWER((ABS(K1022)^2)/($I$5*MAX(F1022,0.1)^2),1/3)),IF(IFERROR(AF1022,0)&gt;0,MAX($D$16,IFERROR(W1022,0)+((IFERROR(AF1022,0))*$D$18*IF((IFERROR(AD1022,0))&lt;1,1,-1))),IF(IFERROR(AF1022,0)&lt;0,IF(ABS((MAX($D$16,POWER((ABS(K1022)^2)/($I$5*MAX(F1022,0.1)^2),1/3)))-IFERROR(W1022,0))&gt;$D$19,MAX($D$16,IF((MAX($D$16,POWER((ABS(K1022)^2)/($I$5*MAX(F1022,0.1)^2),1/3)))&gt;IFERROR(W1022,0),MIN((MAX($D$16,POWER((ABS(K1022)^2)/($I$5*MAX(F1022,0.1)^2),1/3))),IFERROR(W1022,0)+(MIN(ABS(IFERROR(AF1022,0))*$D$18,ABS((MAX($D$16,POWER((ABS(K1022)^2)/($I$5*MAX(F1022,0.1)^2),1/3)))-IFERROR(W1022,0))))),MAX((MAX($D$16,POWER((ABS(K1022)^2)/($I$5*MAX(F1022,0.1)^2),1/3))),IFERROR(W1022,0)-(MIN(ABS(IFERROR(AF1022,0))*$D$18,ABS((MAX($D$16,POWER((ABS(K1022)^2)/($I$5*MAX(F1022,0.1)^2),1/3)))-IFERROR(W1022,0))))))),MAX($D$16,POWER((ABS(K1022)^2)/($I$5*MAX(F1022,0.1)^2),1/3))),MAX($D$16,IFERROR(W1022,0)))))))</f>
        <v>1.9034935097758177</v>
      </c>
      <c r="X1022">
        <f t="shared" ref="X1022:X1085" ca="1" si="507">((F1022)+(G1022)*(W1022))*(W1022)</f>
        <v>9.8981662508342527</v>
      </c>
      <c r="Y1022">
        <f t="shared" ref="Y1022:Y1085" ca="1" si="508">(((F1022)+(G1022)*(W1022))*(W1022))/MAX((F1022)+2*(W1022)*SQRT(1+(G1022)^2),0.000001)</f>
        <v>1.0989431015441808</v>
      </c>
      <c r="Z1022">
        <f t="shared" ref="Z1022:Z1085" ca="1" si="509">ABS(K1022)/MAX(((F1022)+(G1022)*(W1022))*(W1022),0.000001)</f>
        <v>5.1474180882449572</v>
      </c>
      <c r="AA1022">
        <f t="shared" ref="AA1022:AA1085" ca="1" si="510">E1022+W1022</f>
        <v>633.98649350977576</v>
      </c>
      <c r="AB1022">
        <f t="shared" ref="AB1022:AB1085" ca="1" si="511">AA1022+((ABS(K1022)/MAX(((F1022)+(G1022)*(W1022))*(W1022),0.000001))^2)/(2*$I$5)</f>
        <v>635.33694778985682</v>
      </c>
      <c r="AC1022">
        <f t="shared" ref="AC1022:AC1085" ca="1" si="512">((ABS(K1022)*$D$6)/(MAX(((F1022)+(G1022)*(W1022))*(W1022),0.000001)*MAX(((((F1022)+(G1022)*(W1022))*(W1022))/MAX((F1022)+2*(W1022)*SQRT(1+(G1022)^2),0.000001))^(2/3),0.000001)))^2</f>
        <v>5.2568767787851108E-3</v>
      </c>
      <c r="AD1022">
        <f t="shared" ref="AD1022:AD1085" ca="1" si="513">ABS(ABS(K1022)/MAX(((F1022)+(G1022)*(W1022))*(W1022),0.000001))/SQRT($I$5*MAX((((F1022)+(G1022)*(W1022))*(W1022))/MAX((F1022)+2*(G1022)*(W1022),0.000001),0.000001))</f>
        <v>1.1911850673211919</v>
      </c>
      <c r="AE1022">
        <f t="shared" ref="AE1022:AE1085" ca="1" si="514">((F1022)*(W1022)^2)/2+(G1022)*(W1022)^3/3+(ABS(K1022)^2)/($I$5*MAX(((F1022)+(G1022)*(W1022))*(W1022),0.000001))</f>
        <v>36.15458956535953</v>
      </c>
      <c r="AF1022">
        <f t="shared" ref="AF1022:AF1085" ca="1" si="515">IF($D$20=0,0,IFERROR(AB1023+(((AC1022+AC1023)/2)*J1023)+(IF(Z1022&gt;Z1023,$D$8*((Z1022^2-Z1023^2)/(2*$I$5)),$D$9*((Z1023^2-Z1022^2)/(2*$I$5)))+($D$10*(ABS(I1023)/90)*(MAX(Z1022^2,Z1023^2)/(2*$I$5))))-AB1022,0))</f>
        <v>4.8851699353917866E-3</v>
      </c>
      <c r="AG1022">
        <f t="shared" ref="AG1022:AG1085" ca="1" si="516">IF($D$20=0,1,IFERROR(IF(ROUND(AD1022,3)=1,1,IF(AND(ABS(AF1022)&lt;$D$19,AD1022&lt;1),1,0)),0))</f>
        <v>0</v>
      </c>
      <c r="AH1022">
        <f ca="1">IFERROR(IF(V32="Supercritical",MAX($D$16,IFERROR(L1022,MAX($D$16,POWER((ABS(K1022)^2)/($I$5*MAX(F1022,0.1)^2),1/3)))),IF(V32="Subcritical",MAX($D$16,IFERROR(W1022,MAX($D$16,POWER((ABS(K1022)^2)/($I$5*MAX(F1022,0.1)^2),1/3)))),IF(AND(IFERROR(V1022,0)=1,IFERROR(AG1022,0)=1),IF(IFERROR(T1022,-1E+99)&gt;=IFERROR(AE1022,-1E+99),MAX($D$16,IFERROR(L1022,MAX($D$16,POWER((ABS(K1022)^2)/($I$5*MAX(F1022,0.1)^2),1/3)))),MAX($D$16,IFERROR(W1022,MAX($D$16,POWER((ABS(K1022)^2)/($I$5*MAX(F1022,0.1)^2),1/3))))),IF(IFERROR(V1022,0)=1,MAX($D$16,IFERROR(L1022,MAX($D$16,POWER((ABS(K1022)^2)/($I$5*MAX(F1022,0.1)^2),1/3)))),IF(IFERROR(AG1022,0)=1,MAX($D$16,IFERROR(W1022,MAX($D$16,POWER((ABS(K1022)^2)/($I$5*MAX(F1022,0.1)^2),1/3)))),MAX($D$16,POWER((ABS(K1022)^2)/($I$5*MAX(F1022,0.1)^2),1/3))))))),MAX($D$16,POWER((ABS(K1022)^2)/($I$5*MAX(F1022,0.1)^2),1/3)))</f>
        <v>2.1389677043987478</v>
      </c>
      <c r="AI1022">
        <f t="shared" ref="AI1022:AI1085" ca="1" si="517">E1022+AH1022</f>
        <v>634.22196770439871</v>
      </c>
      <c r="AJ1022">
        <f t="shared" ref="AJ1022:AJ1085" ca="1" si="518">AI1022+((ABS(K1022)/MAX(((F1022)+(G1022)*(AH1022))*(AH1022),0.000001))^2)/(2*$I$5)</f>
        <v>635.29145155659808</v>
      </c>
      <c r="AM1022">
        <v>0</v>
      </c>
      <c r="AN1022">
        <v>0</v>
      </c>
      <c r="AO1022">
        <f t="shared" ref="AO1022:AO1085" si="519">AM1022+AN1022</f>
        <v>0</v>
      </c>
      <c r="AP1022">
        <f t="shared" si="497"/>
        <v>0</v>
      </c>
      <c r="AQ1022">
        <f t="shared" ref="AQ1022:AQ1085" ca="1" si="520">ABS(ABS(K1022)/MAX(((F1022)+(G1022)*(AH1022))*(AH1022),0.000001))/SQRT($I$5*MAX((((F1022)+(G1022)*(AH1022))*(AH1022))/MAX((F1022)+2*(G1022)*(AH1022),0.000001),0.000001))</f>
        <v>1.0000000000000004</v>
      </c>
      <c r="AR1022" t="str">
        <f t="shared" ref="AR1022:AR1085" ca="1" si="521">IF(AQ1022&lt;1,"Subcritical","Supercritical")</f>
        <v>Supercritical</v>
      </c>
      <c r="AS1022">
        <f t="shared" ref="AS1022:AS1085" ca="1" si="522">((ABS(K1022)*$D$6)/(MAX(((F1022)+(G1022)*(AH1022))*(AH1022),0.000001)*MAX(((((F1022)+(G1022)*(AH1022))*(AH1022))/MAX((F1022)+2*(AH1022)*SQRT(1+(G1022)^2),0.000001))^(2/3),0.000001)))^2</f>
        <v>3.8141460404132466E-3</v>
      </c>
    </row>
    <row r="1023" spans="1:45" x14ac:dyDescent="0.35">
      <c r="A1023">
        <v>962</v>
      </c>
      <c r="B1023">
        <v>960.99599999999998</v>
      </c>
      <c r="C1023">
        <v>616082.94099999999</v>
      </c>
      <c r="D1023">
        <v>3097046.0219999999</v>
      </c>
      <c r="E1023">
        <v>632.08249999999998</v>
      </c>
      <c r="F1023">
        <v>5.2</v>
      </c>
      <c r="G1023">
        <v>0</v>
      </c>
      <c r="H1023" t="s">
        <v>154</v>
      </c>
      <c r="I1023">
        <v>5.7000000000000002E-2</v>
      </c>
      <c r="J1023">
        <f t="shared" ref="J1023:J1086" si="523">B1023-B1022</f>
        <v>1</v>
      </c>
      <c r="K1023">
        <f t="shared" ref="K1023:K1086" ca="1" si="524">MAX(0,K1022-AO1022)</f>
        <v>50.95</v>
      </c>
      <c r="L1023">
        <f t="shared" ref="L1023:L1086" ca="1" si="525">IF($D$20=0,IFERROR(L1022,MAX($D$16,POWER((ABS(K1023)^2)/($I$5*MAX(F1023,0.1)^2),1/3))),IF(IFERROR(V1022,0)=0,IFERROR(L1022,MAX($D$16,POWER((ABS(K1023)^2)/($I$5*MAX(F1023,0.1)^2),1/3))),IF(OR(IFERROR(L1023,0)=0,IFERROR(S1022,0)&lt;1,IFERROR(S1023,0)&lt;1),MAX($D$16,POWER((ABS(K1023)^2)/($I$5*MAX(F1023,0.1)^2),1/3)),IF(IFERROR(U1023,0)&gt;0,MAX($D$16,IFERROR(L1023,0)+((IFERROR(U1023,0))*$D$18*IF((IFERROR(S1023,0))&lt;1,1,-1))),IF(IFERROR(U1023,0)&lt;0,IF(ABS((MAX($D$16,POWER((ABS(K1023)^2)/($I$5*MAX(F1023,0.1)^2),1/3)))-IFERROR(L1023,0))&gt;$D$19,MAX($D$16,IF((MAX($D$16,POWER((ABS(K1023)^2)/($I$5*MAX(F1023,0.1)^2),1/3)))&gt;IFERROR(L1023,0),MIN((MAX($D$16,POWER((ABS(K1023)^2)/($I$5*MAX(F1023,0.1)^2),1/3))),IFERROR(L1023,0)+(MIN(ABS(IFERROR(U1023,0))*$D$18,ABS((MAX($D$16,POWER((ABS(K1023)^2)/($I$5*MAX(F1023,0.1)^2),1/3)))-IFERROR(L1023,0))))),MAX((MAX($D$16,POWER((ABS(K1023)^2)/($I$5*MAX(F1023,0.1)^2),1/3))),IFERROR(L1023,0)-(MIN(ABS(IFERROR(U1023,0))*$D$18,ABS((MAX($D$16,POWER((ABS(K1023)^2)/($I$5*MAX(F1023,0.1)^2),1/3)))-IFERROR(L1023,0))))))),MAX($D$16,POWER((ABS(K1023)^2)/($I$5*MAX(F1023,0.1)^2),1/3))),MAX($D$16,IFERROR(L1023,0)))))))</f>
        <v>2.1389677043987478</v>
      </c>
      <c r="M1023">
        <f t="shared" ca="1" si="498"/>
        <v>11.122632062873489</v>
      </c>
      <c r="N1023">
        <f t="shared" ca="1" si="499"/>
        <v>1.1735290000551568</v>
      </c>
      <c r="O1023">
        <f t="shared" ca="1" si="500"/>
        <v>4.5807502857230418</v>
      </c>
      <c r="P1023">
        <f t="shared" ca="1" si="501"/>
        <v>634.22146770439872</v>
      </c>
      <c r="Q1023">
        <f t="shared" ca="1" si="502"/>
        <v>635.29095155659809</v>
      </c>
      <c r="R1023">
        <f t="shared" ca="1" si="503"/>
        <v>3.8141460404132466E-3</v>
      </c>
      <c r="S1023">
        <f t="shared" ca="1" si="504"/>
        <v>1.0000000000000004</v>
      </c>
      <c r="T1023">
        <f t="shared" ca="1" si="505"/>
        <v>35.686426155594638</v>
      </c>
      <c r="U1023">
        <f t="shared" ref="U1023:U1086" ca="1" si="526">IF($D$20=0,0,IFERROR(Q1022-(((R1022+R1023)/2)*J1023)-(IF(O1022&gt;O1023,$D$8*((O1022^2-O1023^2)/(2*$I$5)),$D$9*((O1023^2-O1022^2)/(2*$I$5)))+($D$10*(ABS(I1023)/90)*(MAX(O1022^2,O1023^2)/(2*$I$5))))-Q1023,0))</f>
        <v>-3.4157470064428708E-3</v>
      </c>
      <c r="V1023">
        <f t="shared" ref="V1023:V1086" ca="1" si="527">IF($D$20=0,1,IFERROR(IF(ROUND(S1023,3)=1,1,IF(AND(ABS(U1023)&lt;$D$19,S1023&gt;1),1,0)),0))</f>
        <v>1</v>
      </c>
      <c r="W1023">
        <f t="shared" ca="1" si="506"/>
        <v>1.8970239487985094</v>
      </c>
      <c r="X1023">
        <f t="shared" ca="1" si="507"/>
        <v>9.8645245337522489</v>
      </c>
      <c r="Y1023">
        <f t="shared" ca="1" si="508"/>
        <v>1.0967836335836947</v>
      </c>
      <c r="Z1023">
        <f t="shared" ca="1" si="509"/>
        <v>5.1649727085852497</v>
      </c>
      <c r="AA1023">
        <f t="shared" ca="1" si="510"/>
        <v>633.97952394879849</v>
      </c>
      <c r="AB1023">
        <f t="shared" ca="1" si="511"/>
        <v>635.33920504362163</v>
      </c>
      <c r="AC1023">
        <f t="shared" ca="1" si="512"/>
        <v>5.3066930188349626E-3</v>
      </c>
      <c r="AD1023">
        <f t="shared" ca="1" si="513"/>
        <v>1.1972838394275536</v>
      </c>
      <c r="AE1023">
        <f t="shared" ca="1" si="514"/>
        <v>36.181834677943648</v>
      </c>
      <c r="AF1023">
        <f t="shared" ca="1" si="515"/>
        <v>4.8013863258802303E-3</v>
      </c>
      <c r="AG1023">
        <f t="shared" ca="1" si="516"/>
        <v>0</v>
      </c>
      <c r="AH1023">
        <f ca="1">IFERROR(IF(V32="Supercritical",MAX($D$16,IFERROR(L1023,MAX($D$16,POWER((ABS(K1023)^2)/($I$5*MAX(F1023,0.1)^2),1/3)))),IF(V32="Subcritical",MAX($D$16,IFERROR(W1023,MAX($D$16,POWER((ABS(K1023)^2)/($I$5*MAX(F1023,0.1)^2),1/3)))),IF(AND(IFERROR(V1023,0)=1,IFERROR(AG1023,0)=1),IF(IFERROR(T1023,-1E+99)&gt;=IFERROR(AE1023,-1E+99),MAX($D$16,IFERROR(L1023,MAX($D$16,POWER((ABS(K1023)^2)/($I$5*MAX(F1023,0.1)^2),1/3)))),MAX($D$16,IFERROR(W1023,MAX($D$16,POWER((ABS(K1023)^2)/($I$5*MAX(F1023,0.1)^2),1/3))))),IF(IFERROR(V1023,0)=1,MAX($D$16,IFERROR(L1023,MAX($D$16,POWER((ABS(K1023)^2)/($I$5*MAX(F1023,0.1)^2),1/3)))),IF(IFERROR(AG1023,0)=1,MAX($D$16,IFERROR(W1023,MAX($D$16,POWER((ABS(K1023)^2)/($I$5*MAX(F1023,0.1)^2),1/3)))),MAX($D$16,POWER((ABS(K1023)^2)/($I$5*MAX(F1023,0.1)^2),1/3))))))),MAX($D$16,POWER((ABS(K1023)^2)/($I$5*MAX(F1023,0.1)^2),1/3)))</f>
        <v>2.1389677043987478</v>
      </c>
      <c r="AI1023">
        <f t="shared" ca="1" si="517"/>
        <v>634.22146770439872</v>
      </c>
      <c r="AJ1023">
        <f t="shared" ca="1" si="518"/>
        <v>635.29095155659809</v>
      </c>
      <c r="AM1023">
        <v>0</v>
      </c>
      <c r="AN1023">
        <v>0</v>
      </c>
      <c r="AO1023">
        <f t="shared" si="519"/>
        <v>0</v>
      </c>
      <c r="AP1023">
        <f t="shared" ref="AP1023:AP1086" si="528">AP1022+AO1023</f>
        <v>0</v>
      </c>
      <c r="AQ1023">
        <f t="shared" ca="1" si="520"/>
        <v>1.0000000000000004</v>
      </c>
      <c r="AR1023" t="str">
        <f t="shared" ca="1" si="521"/>
        <v>Supercritical</v>
      </c>
      <c r="AS1023">
        <f t="shared" ca="1" si="522"/>
        <v>3.8141460404132466E-3</v>
      </c>
    </row>
    <row r="1024" spans="1:45" x14ac:dyDescent="0.35">
      <c r="A1024">
        <v>963</v>
      </c>
      <c r="B1024">
        <v>961.995</v>
      </c>
      <c r="C1024">
        <v>616082.89899999998</v>
      </c>
      <c r="D1024">
        <v>3097045.023</v>
      </c>
      <c r="E1024">
        <v>632.08199999999999</v>
      </c>
      <c r="F1024">
        <v>5.2</v>
      </c>
      <c r="G1024">
        <v>0</v>
      </c>
      <c r="H1024" t="s">
        <v>154</v>
      </c>
      <c r="I1024">
        <v>0</v>
      </c>
      <c r="J1024">
        <f t="shared" si="523"/>
        <v>0.99900000000002365</v>
      </c>
      <c r="K1024">
        <f t="shared" ca="1" si="524"/>
        <v>50.95</v>
      </c>
      <c r="L1024">
        <f t="shared" ca="1" si="525"/>
        <v>2.1389677043987478</v>
      </c>
      <c r="M1024">
        <f t="shared" ca="1" si="498"/>
        <v>11.122632062873489</v>
      </c>
      <c r="N1024">
        <f t="shared" ca="1" si="499"/>
        <v>1.1735290000551568</v>
      </c>
      <c r="O1024">
        <f t="shared" ca="1" si="500"/>
        <v>4.5807502857230418</v>
      </c>
      <c r="P1024">
        <f t="shared" ca="1" si="501"/>
        <v>634.22096770439873</v>
      </c>
      <c r="Q1024">
        <f t="shared" ca="1" si="502"/>
        <v>635.2904515565981</v>
      </c>
      <c r="R1024">
        <f t="shared" ca="1" si="503"/>
        <v>3.8141460404132466E-3</v>
      </c>
      <c r="S1024">
        <f t="shared" ca="1" si="504"/>
        <v>1.0000000000000004</v>
      </c>
      <c r="T1024">
        <f t="shared" ca="1" si="505"/>
        <v>35.686426155594638</v>
      </c>
      <c r="U1024">
        <f t="shared" ca="1" si="526"/>
        <v>-3.3103318943403792E-3</v>
      </c>
      <c r="V1024">
        <f t="shared" ca="1" si="527"/>
        <v>1</v>
      </c>
      <c r="W1024">
        <f t="shared" ca="1" si="506"/>
        <v>1.8905490330045194</v>
      </c>
      <c r="X1024">
        <f t="shared" ca="1" si="507"/>
        <v>9.8308549716235003</v>
      </c>
      <c r="Y1024">
        <f t="shared" ca="1" si="508"/>
        <v>1.0946161482002468</v>
      </c>
      <c r="Z1024">
        <f t="shared" ca="1" si="509"/>
        <v>5.182662153705432</v>
      </c>
      <c r="AA1024">
        <f t="shared" ca="1" si="510"/>
        <v>633.9725490330045</v>
      </c>
      <c r="AB1024">
        <f t="shared" ca="1" si="511"/>
        <v>635.34155958343524</v>
      </c>
      <c r="AC1024">
        <f t="shared" ca="1" si="512"/>
        <v>5.3572163045444631E-3</v>
      </c>
      <c r="AD1024">
        <f t="shared" ca="1" si="513"/>
        <v>1.2034399447330411</v>
      </c>
      <c r="AE1024">
        <f t="shared" ca="1" si="514"/>
        <v>36.20994503191887</v>
      </c>
      <c r="AF1024">
        <f t="shared" ca="1" si="515"/>
        <v>4.8572163045719208E-3</v>
      </c>
      <c r="AG1024">
        <f t="shared" ca="1" si="516"/>
        <v>0</v>
      </c>
      <c r="AH1024">
        <f ca="1">IFERROR(IF(V32="Supercritical",MAX($D$16,IFERROR(L1024,MAX($D$16,POWER((ABS(K1024)^2)/($I$5*MAX(F1024,0.1)^2),1/3)))),IF(V32="Subcritical",MAX($D$16,IFERROR(W1024,MAX($D$16,POWER((ABS(K1024)^2)/($I$5*MAX(F1024,0.1)^2),1/3)))),IF(AND(IFERROR(V1024,0)=1,IFERROR(AG1024,0)=1),IF(IFERROR(T1024,-1E+99)&gt;=IFERROR(AE1024,-1E+99),MAX($D$16,IFERROR(L1024,MAX($D$16,POWER((ABS(K1024)^2)/($I$5*MAX(F1024,0.1)^2),1/3)))),MAX($D$16,IFERROR(W1024,MAX($D$16,POWER((ABS(K1024)^2)/($I$5*MAX(F1024,0.1)^2),1/3))))),IF(IFERROR(V1024,0)=1,MAX($D$16,IFERROR(L1024,MAX($D$16,POWER((ABS(K1024)^2)/($I$5*MAX(F1024,0.1)^2),1/3)))),IF(IFERROR(AG1024,0)=1,MAX($D$16,IFERROR(W1024,MAX($D$16,POWER((ABS(K1024)^2)/($I$5*MAX(F1024,0.1)^2),1/3)))),MAX($D$16,POWER((ABS(K1024)^2)/($I$5*MAX(F1024,0.1)^2),1/3))))))),MAX($D$16,POWER((ABS(K1024)^2)/($I$5*MAX(F1024,0.1)^2),1/3)))</f>
        <v>2.1389677043987478</v>
      </c>
      <c r="AI1024">
        <f t="shared" ca="1" si="517"/>
        <v>634.22096770439873</v>
      </c>
      <c r="AJ1024">
        <f t="shared" ca="1" si="518"/>
        <v>635.2904515565981</v>
      </c>
      <c r="AM1024">
        <v>0</v>
      </c>
      <c r="AN1024">
        <v>0</v>
      </c>
      <c r="AO1024">
        <f t="shared" si="519"/>
        <v>0</v>
      </c>
      <c r="AP1024">
        <f t="shared" si="528"/>
        <v>0</v>
      </c>
      <c r="AQ1024">
        <f t="shared" ca="1" si="520"/>
        <v>1.0000000000000004</v>
      </c>
      <c r="AR1024" t="str">
        <f t="shared" ca="1" si="521"/>
        <v>Supercritical</v>
      </c>
      <c r="AS1024">
        <f t="shared" ca="1" si="522"/>
        <v>3.8141460404132466E-3</v>
      </c>
    </row>
    <row r="1025" spans="1:45" x14ac:dyDescent="0.35">
      <c r="A1025">
        <v>964</v>
      </c>
      <c r="B1025">
        <v>962.995</v>
      </c>
      <c r="C1025">
        <v>616082.85699999996</v>
      </c>
      <c r="D1025">
        <v>3097044.0240000002</v>
      </c>
      <c r="E1025">
        <v>632.08150000000001</v>
      </c>
      <c r="F1025">
        <v>5.2</v>
      </c>
      <c r="G1025">
        <v>0</v>
      </c>
      <c r="H1025" t="s">
        <v>154</v>
      </c>
      <c r="I1025">
        <v>0</v>
      </c>
      <c r="J1025">
        <f t="shared" si="523"/>
        <v>1</v>
      </c>
      <c r="K1025">
        <f t="shared" ca="1" si="524"/>
        <v>50.95</v>
      </c>
      <c r="L1025">
        <f t="shared" ca="1" si="525"/>
        <v>2.1389677043987478</v>
      </c>
      <c r="M1025">
        <f t="shared" ca="1" si="498"/>
        <v>11.122632062873489</v>
      </c>
      <c r="N1025">
        <f t="shared" ca="1" si="499"/>
        <v>1.1735290000551568</v>
      </c>
      <c r="O1025">
        <f t="shared" ca="1" si="500"/>
        <v>4.5807502857230418</v>
      </c>
      <c r="P1025">
        <f t="shared" ca="1" si="501"/>
        <v>634.22046770439874</v>
      </c>
      <c r="Q1025">
        <f t="shared" ca="1" si="502"/>
        <v>635.28995155659811</v>
      </c>
      <c r="R1025">
        <f t="shared" ca="1" si="503"/>
        <v>3.8141460404132466E-3</v>
      </c>
      <c r="S1025">
        <f t="shared" ca="1" si="504"/>
        <v>1.0000000000000004</v>
      </c>
      <c r="T1025">
        <f t="shared" ca="1" si="505"/>
        <v>35.686426155594638</v>
      </c>
      <c r="U1025">
        <f t="shared" ca="1" si="526"/>
        <v>-3.3141460404522149E-3</v>
      </c>
      <c r="V1025">
        <f t="shared" ca="1" si="527"/>
        <v>1</v>
      </c>
      <c r="W1025">
        <f t="shared" ca="1" si="506"/>
        <v>1.8840786834338115</v>
      </c>
      <c r="X1025">
        <f t="shared" ca="1" si="507"/>
        <v>9.7972091538558193</v>
      </c>
      <c r="Y1025">
        <f t="shared" ca="1" si="508"/>
        <v>1.0924439383781428</v>
      </c>
      <c r="Z1025">
        <f t="shared" ca="1" si="509"/>
        <v>5.2004605801385759</v>
      </c>
      <c r="AA1025">
        <f t="shared" ca="1" si="510"/>
        <v>633.96557868343382</v>
      </c>
      <c r="AB1025">
        <f t="shared" ca="1" si="511"/>
        <v>635.34400835955898</v>
      </c>
      <c r="AC1025">
        <f t="shared" ca="1" si="512"/>
        <v>5.4083807281562583E-3</v>
      </c>
      <c r="AD1025">
        <f t="shared" ca="1" si="513"/>
        <v>1.2096445889523904</v>
      </c>
      <c r="AE1025">
        <f t="shared" ca="1" si="514"/>
        <v>36.238884143720654</v>
      </c>
      <c r="AF1025">
        <f t="shared" ca="1" si="515"/>
        <v>5.0347367817948907E-3</v>
      </c>
      <c r="AG1025">
        <f t="shared" ca="1" si="516"/>
        <v>0</v>
      </c>
      <c r="AH1025">
        <f ca="1">IFERROR(IF(V32="Supercritical",MAX($D$16,IFERROR(L1025,MAX($D$16,POWER((ABS(K1025)^2)/($I$5*MAX(F1025,0.1)^2),1/3)))),IF(V32="Subcritical",MAX($D$16,IFERROR(W1025,MAX($D$16,POWER((ABS(K1025)^2)/($I$5*MAX(F1025,0.1)^2),1/3)))),IF(AND(IFERROR(V1025,0)=1,IFERROR(AG1025,0)=1),IF(IFERROR(T1025,-1E+99)&gt;=IFERROR(AE1025,-1E+99),MAX($D$16,IFERROR(L1025,MAX($D$16,POWER((ABS(K1025)^2)/($I$5*MAX(F1025,0.1)^2),1/3)))),MAX($D$16,IFERROR(W1025,MAX($D$16,POWER((ABS(K1025)^2)/($I$5*MAX(F1025,0.1)^2),1/3))))),IF(IFERROR(V1025,0)=1,MAX($D$16,IFERROR(L1025,MAX($D$16,POWER((ABS(K1025)^2)/($I$5*MAX(F1025,0.1)^2),1/3)))),IF(IFERROR(AG1025,0)=1,MAX($D$16,IFERROR(W1025,MAX($D$16,POWER((ABS(K1025)^2)/($I$5*MAX(F1025,0.1)^2),1/3)))),MAX($D$16,POWER((ABS(K1025)^2)/($I$5*MAX(F1025,0.1)^2),1/3))))))),MAX($D$16,POWER((ABS(K1025)^2)/($I$5*MAX(F1025,0.1)^2),1/3)))</f>
        <v>2.1389677043987478</v>
      </c>
      <c r="AI1025">
        <f t="shared" ca="1" si="517"/>
        <v>634.22046770439874</v>
      </c>
      <c r="AJ1025">
        <f t="shared" ca="1" si="518"/>
        <v>635.28995155659811</v>
      </c>
      <c r="AM1025">
        <v>0</v>
      </c>
      <c r="AN1025">
        <v>0</v>
      </c>
      <c r="AO1025">
        <f t="shared" si="519"/>
        <v>0</v>
      </c>
      <c r="AP1025">
        <f t="shared" si="528"/>
        <v>0</v>
      </c>
      <c r="AQ1025">
        <f t="shared" ca="1" si="520"/>
        <v>1.0000000000000004</v>
      </c>
      <c r="AR1025" t="str">
        <f t="shared" ca="1" si="521"/>
        <v>Supercritical</v>
      </c>
      <c r="AS1025">
        <f t="shared" ca="1" si="522"/>
        <v>3.8141460404132466E-3</v>
      </c>
    </row>
    <row r="1026" spans="1:45" x14ac:dyDescent="0.35">
      <c r="A1026">
        <v>965</v>
      </c>
      <c r="B1026">
        <v>963.995</v>
      </c>
      <c r="C1026">
        <v>616082.81499999994</v>
      </c>
      <c r="D1026">
        <v>3097043.0249999999</v>
      </c>
      <c r="E1026">
        <v>632.08100000000002</v>
      </c>
      <c r="F1026">
        <v>5.2</v>
      </c>
      <c r="G1026">
        <v>0</v>
      </c>
      <c r="H1026" t="s">
        <v>154</v>
      </c>
      <c r="I1026">
        <v>5.5E-2</v>
      </c>
      <c r="J1026">
        <f t="shared" si="523"/>
        <v>1</v>
      </c>
      <c r="K1026">
        <f t="shared" ca="1" si="524"/>
        <v>50.95</v>
      </c>
      <c r="L1026">
        <f t="shared" ca="1" si="525"/>
        <v>2.1389677043987478</v>
      </c>
      <c r="M1026">
        <f t="shared" ca="1" si="498"/>
        <v>11.122632062873489</v>
      </c>
      <c r="N1026">
        <f t="shared" ca="1" si="499"/>
        <v>1.1735290000551568</v>
      </c>
      <c r="O1026">
        <f t="shared" ca="1" si="500"/>
        <v>4.5807502857230418</v>
      </c>
      <c r="P1026">
        <f t="shared" ca="1" si="501"/>
        <v>634.21996770439875</v>
      </c>
      <c r="Q1026">
        <f t="shared" ca="1" si="502"/>
        <v>635.28945155659812</v>
      </c>
      <c r="R1026">
        <f t="shared" ca="1" si="503"/>
        <v>3.8141460404132466E-3</v>
      </c>
      <c r="S1026">
        <f t="shared" ca="1" si="504"/>
        <v>1.0000000000000004</v>
      </c>
      <c r="T1026">
        <f t="shared" ca="1" si="505"/>
        <v>35.686426155594638</v>
      </c>
      <c r="U1026">
        <f t="shared" ca="1" si="526"/>
        <v>-3.4121820602877051E-3</v>
      </c>
      <c r="V1026">
        <f t="shared" ca="1" si="527"/>
        <v>1</v>
      </c>
      <c r="W1026">
        <f t="shared" ca="1" si="506"/>
        <v>1.8776229522936358</v>
      </c>
      <c r="X1026">
        <f t="shared" ca="1" si="507"/>
        <v>9.7636393519269067</v>
      </c>
      <c r="Y1026">
        <f t="shared" ca="1" si="508"/>
        <v>1.0902703796135336</v>
      </c>
      <c r="Z1026">
        <f t="shared" ca="1" si="509"/>
        <v>5.2183410471777361</v>
      </c>
      <c r="AA1026">
        <f t="shared" ca="1" si="510"/>
        <v>633.95862295229369</v>
      </c>
      <c r="AB1026">
        <f t="shared" ca="1" si="511"/>
        <v>635.34654768647613</v>
      </c>
      <c r="AC1026">
        <f t="shared" ca="1" si="512"/>
        <v>5.4601153631627115E-3</v>
      </c>
      <c r="AD1026">
        <f t="shared" ca="1" si="513"/>
        <v>1.2158885333195812</v>
      </c>
      <c r="AE1026">
        <f t="shared" ca="1" si="514"/>
        <v>36.268609776900931</v>
      </c>
      <c r="AF1026">
        <f t="shared" ca="1" si="515"/>
        <v>5.092801912496725E-3</v>
      </c>
      <c r="AG1026">
        <f t="shared" ca="1" si="516"/>
        <v>0</v>
      </c>
      <c r="AH1026">
        <f ca="1">IFERROR(IF(V32="Supercritical",MAX($D$16,IFERROR(L1026,MAX($D$16,POWER((ABS(K1026)^2)/($I$5*MAX(F1026,0.1)^2),1/3)))),IF(V32="Subcritical",MAX($D$16,IFERROR(W1026,MAX($D$16,POWER((ABS(K1026)^2)/($I$5*MAX(F1026,0.1)^2),1/3)))),IF(AND(IFERROR(V1026,0)=1,IFERROR(AG1026,0)=1),IF(IFERROR(T1026,-1E+99)&gt;=IFERROR(AE1026,-1E+99),MAX($D$16,IFERROR(L1026,MAX($D$16,POWER((ABS(K1026)^2)/($I$5*MAX(F1026,0.1)^2),1/3)))),MAX($D$16,IFERROR(W1026,MAX($D$16,POWER((ABS(K1026)^2)/($I$5*MAX(F1026,0.1)^2),1/3))))),IF(IFERROR(V1026,0)=1,MAX($D$16,IFERROR(L1026,MAX($D$16,POWER((ABS(K1026)^2)/($I$5*MAX(F1026,0.1)^2),1/3)))),IF(IFERROR(AG1026,0)=1,MAX($D$16,IFERROR(W1026,MAX($D$16,POWER((ABS(K1026)^2)/($I$5*MAX(F1026,0.1)^2),1/3)))),MAX($D$16,POWER((ABS(K1026)^2)/($I$5*MAX(F1026,0.1)^2),1/3))))))),MAX($D$16,POWER((ABS(K1026)^2)/($I$5*MAX(F1026,0.1)^2),1/3)))</f>
        <v>2.1389677043987478</v>
      </c>
      <c r="AI1026">
        <f t="shared" ca="1" si="517"/>
        <v>634.21996770439875</v>
      </c>
      <c r="AJ1026">
        <f t="shared" ca="1" si="518"/>
        <v>635.28945155659812</v>
      </c>
      <c r="AM1026">
        <v>0</v>
      </c>
      <c r="AN1026">
        <v>0</v>
      </c>
      <c r="AO1026">
        <f t="shared" si="519"/>
        <v>0</v>
      </c>
      <c r="AP1026">
        <f t="shared" si="528"/>
        <v>0</v>
      </c>
      <c r="AQ1026">
        <f t="shared" ca="1" si="520"/>
        <v>1.0000000000000004</v>
      </c>
      <c r="AR1026" t="str">
        <f t="shared" ca="1" si="521"/>
        <v>Supercritical</v>
      </c>
      <c r="AS1026">
        <f t="shared" ca="1" si="522"/>
        <v>3.8141460404132466E-3</v>
      </c>
    </row>
    <row r="1027" spans="1:45" x14ac:dyDescent="0.35">
      <c r="A1027">
        <v>966</v>
      </c>
      <c r="B1027">
        <v>964.99599999999998</v>
      </c>
      <c r="C1027">
        <v>616082.772</v>
      </c>
      <c r="D1027">
        <v>3097042.0249999999</v>
      </c>
      <c r="E1027">
        <v>632.08050000000003</v>
      </c>
      <c r="F1027">
        <v>5.2</v>
      </c>
      <c r="G1027">
        <v>0</v>
      </c>
      <c r="H1027" t="s">
        <v>154</v>
      </c>
      <c r="I1027">
        <v>5.5E-2</v>
      </c>
      <c r="J1027">
        <f t="shared" si="523"/>
        <v>1.0009999999999764</v>
      </c>
      <c r="K1027">
        <f t="shared" ca="1" si="524"/>
        <v>50.95</v>
      </c>
      <c r="L1027">
        <f t="shared" ca="1" si="525"/>
        <v>2.1389677043987478</v>
      </c>
      <c r="M1027">
        <f t="shared" ca="1" si="498"/>
        <v>11.122632062873489</v>
      </c>
      <c r="N1027">
        <f t="shared" ca="1" si="499"/>
        <v>1.1735290000551568</v>
      </c>
      <c r="O1027">
        <f t="shared" ca="1" si="500"/>
        <v>4.5807502857230418</v>
      </c>
      <c r="P1027">
        <f t="shared" ca="1" si="501"/>
        <v>634.21946770439877</v>
      </c>
      <c r="Q1027">
        <f t="shared" ca="1" si="502"/>
        <v>635.28895155659814</v>
      </c>
      <c r="R1027">
        <f t="shared" ca="1" si="503"/>
        <v>3.8141460404132466E-3</v>
      </c>
      <c r="S1027">
        <f t="shared" ca="1" si="504"/>
        <v>1.0000000000000004</v>
      </c>
      <c r="T1027">
        <f t="shared" ca="1" si="505"/>
        <v>35.686426155594638</v>
      </c>
      <c r="U1027">
        <f t="shared" ca="1" si="526"/>
        <v>-3.415996206285854E-3</v>
      </c>
      <c r="V1027">
        <f t="shared" ca="1" si="527"/>
        <v>1</v>
      </c>
      <c r="W1027">
        <f t="shared" ca="1" si="506"/>
        <v>1.8711919624808258</v>
      </c>
      <c r="X1027">
        <f t="shared" ca="1" si="507"/>
        <v>9.7301982049002937</v>
      </c>
      <c r="Y1027">
        <f t="shared" ca="1" si="508"/>
        <v>1.0880989103743968</v>
      </c>
      <c r="Z1027">
        <f t="shared" ca="1" si="509"/>
        <v>5.2362756571948053</v>
      </c>
      <c r="AA1027">
        <f t="shared" ca="1" si="510"/>
        <v>633.95169196248082</v>
      </c>
      <c r="AB1027">
        <f t="shared" ca="1" si="511"/>
        <v>635.34917324475055</v>
      </c>
      <c r="AC1027">
        <f t="shared" ca="1" si="512"/>
        <v>5.5123445279523474E-3</v>
      </c>
      <c r="AD1027">
        <f t="shared" ca="1" si="513"/>
        <v>1.222162139848546</v>
      </c>
      <c r="AE1027">
        <f t="shared" ca="1" si="514"/>
        <v>36.299074065421564</v>
      </c>
      <c r="AF1027">
        <f t="shared" ca="1" si="515"/>
        <v>5.0123445279268708E-3</v>
      </c>
      <c r="AG1027">
        <f t="shared" ca="1" si="516"/>
        <v>0</v>
      </c>
      <c r="AH1027">
        <f ca="1">IFERROR(IF(V32="Supercritical",MAX($D$16,IFERROR(L1027,MAX($D$16,POWER((ABS(K1027)^2)/($I$5*MAX(F1027,0.1)^2),1/3)))),IF(V32="Subcritical",MAX($D$16,IFERROR(W1027,MAX($D$16,POWER((ABS(K1027)^2)/($I$5*MAX(F1027,0.1)^2),1/3)))),IF(AND(IFERROR(V1027,0)=1,IFERROR(AG1027,0)=1),IF(IFERROR(T1027,-1E+99)&gt;=IFERROR(AE1027,-1E+99),MAX($D$16,IFERROR(L1027,MAX($D$16,POWER((ABS(K1027)^2)/($I$5*MAX(F1027,0.1)^2),1/3)))),MAX($D$16,IFERROR(W1027,MAX($D$16,POWER((ABS(K1027)^2)/($I$5*MAX(F1027,0.1)^2),1/3))))),IF(IFERROR(V1027,0)=1,MAX($D$16,IFERROR(L1027,MAX($D$16,POWER((ABS(K1027)^2)/($I$5*MAX(F1027,0.1)^2),1/3)))),IF(IFERROR(AG1027,0)=1,MAX($D$16,IFERROR(W1027,MAX($D$16,POWER((ABS(K1027)^2)/($I$5*MAX(F1027,0.1)^2),1/3)))),MAX($D$16,POWER((ABS(K1027)^2)/($I$5*MAX(F1027,0.1)^2),1/3))))))),MAX($D$16,POWER((ABS(K1027)^2)/($I$5*MAX(F1027,0.1)^2),1/3)))</f>
        <v>2.1389677043987478</v>
      </c>
      <c r="AI1027">
        <f t="shared" ca="1" si="517"/>
        <v>634.21946770439877</v>
      </c>
      <c r="AJ1027">
        <f t="shared" ca="1" si="518"/>
        <v>635.28895155659814</v>
      </c>
      <c r="AM1027">
        <v>0</v>
      </c>
      <c r="AN1027">
        <v>0</v>
      </c>
      <c r="AO1027">
        <f t="shared" si="519"/>
        <v>0</v>
      </c>
      <c r="AP1027">
        <f t="shared" si="528"/>
        <v>0</v>
      </c>
      <c r="AQ1027">
        <f t="shared" ca="1" si="520"/>
        <v>1.0000000000000004</v>
      </c>
      <c r="AR1027" t="str">
        <f t="shared" ca="1" si="521"/>
        <v>Supercritical</v>
      </c>
      <c r="AS1027">
        <f t="shared" ca="1" si="522"/>
        <v>3.8141460404132466E-3</v>
      </c>
    </row>
    <row r="1028" spans="1:45" x14ac:dyDescent="0.35">
      <c r="A1028">
        <v>967</v>
      </c>
      <c r="B1028">
        <v>965.99599999999998</v>
      </c>
      <c r="C1028">
        <v>616082.73</v>
      </c>
      <c r="D1028">
        <v>3097041.0260000001</v>
      </c>
      <c r="E1028">
        <v>632.08000000000004</v>
      </c>
      <c r="F1028">
        <v>5.2</v>
      </c>
      <c r="G1028">
        <v>0</v>
      </c>
      <c r="H1028" t="s">
        <v>154</v>
      </c>
      <c r="I1028">
        <v>0</v>
      </c>
      <c r="J1028">
        <f t="shared" si="523"/>
        <v>1</v>
      </c>
      <c r="K1028">
        <f t="shared" ca="1" si="524"/>
        <v>50.95</v>
      </c>
      <c r="L1028">
        <f t="shared" ca="1" si="525"/>
        <v>2.1389677043987478</v>
      </c>
      <c r="M1028">
        <f t="shared" ca="1" si="498"/>
        <v>11.122632062873489</v>
      </c>
      <c r="N1028">
        <f t="shared" ca="1" si="499"/>
        <v>1.1735290000551568</v>
      </c>
      <c r="O1028">
        <f t="shared" ca="1" si="500"/>
        <v>4.5807502857230418</v>
      </c>
      <c r="P1028">
        <f t="shared" ca="1" si="501"/>
        <v>634.21896770439878</v>
      </c>
      <c r="Q1028">
        <f t="shared" ca="1" si="502"/>
        <v>635.28845155659815</v>
      </c>
      <c r="R1028">
        <f t="shared" ca="1" si="503"/>
        <v>3.8141460404132466E-3</v>
      </c>
      <c r="S1028">
        <f t="shared" ca="1" si="504"/>
        <v>1.0000000000000004</v>
      </c>
      <c r="T1028">
        <f t="shared" ca="1" si="505"/>
        <v>35.686426155594638</v>
      </c>
      <c r="U1028">
        <f t="shared" ca="1" si="526"/>
        <v>-3.3141460404522149E-3</v>
      </c>
      <c r="V1028">
        <f t="shared" ca="1" si="527"/>
        <v>1</v>
      </c>
      <c r="W1028">
        <f t="shared" ca="1" si="506"/>
        <v>1.8647958445578905</v>
      </c>
      <c r="X1028">
        <f t="shared" ca="1" si="507"/>
        <v>9.6969383917010301</v>
      </c>
      <c r="Y1028">
        <f t="shared" ca="1" si="508"/>
        <v>1.0859330111947405</v>
      </c>
      <c r="Z1028">
        <f t="shared" ca="1" si="509"/>
        <v>5.2542357125425019</v>
      </c>
      <c r="AA1028">
        <f t="shared" ca="1" si="510"/>
        <v>633.94479584455792</v>
      </c>
      <c r="AB1028">
        <f t="shared" ca="1" si="511"/>
        <v>635.35188009139563</v>
      </c>
      <c r="AC1028">
        <f t="shared" ca="1" si="512"/>
        <v>5.5649881190963854E-3</v>
      </c>
      <c r="AD1028">
        <f t="shared" ca="1" si="513"/>
        <v>1.2284554231448914</v>
      </c>
      <c r="AE1028">
        <f t="shared" ca="1" si="514"/>
        <v>36.330223715926742</v>
      </c>
      <c r="AF1028">
        <f t="shared" ca="1" si="515"/>
        <v>5.064988119102054E-3</v>
      </c>
      <c r="AG1028">
        <f t="shared" ca="1" si="516"/>
        <v>0</v>
      </c>
      <c r="AH1028">
        <f ca="1">IFERROR(IF(V32="Supercritical",MAX($D$16,IFERROR(L1028,MAX($D$16,POWER((ABS(K1028)^2)/($I$5*MAX(F1028,0.1)^2),1/3)))),IF(V32="Subcritical",MAX($D$16,IFERROR(W1028,MAX($D$16,POWER((ABS(K1028)^2)/($I$5*MAX(F1028,0.1)^2),1/3)))),IF(AND(IFERROR(V1028,0)=1,IFERROR(AG1028,0)=1),IF(IFERROR(T1028,-1E+99)&gt;=IFERROR(AE1028,-1E+99),MAX($D$16,IFERROR(L1028,MAX($D$16,POWER((ABS(K1028)^2)/($I$5*MAX(F1028,0.1)^2),1/3)))),MAX($D$16,IFERROR(W1028,MAX($D$16,POWER((ABS(K1028)^2)/($I$5*MAX(F1028,0.1)^2),1/3))))),IF(IFERROR(V1028,0)=1,MAX($D$16,IFERROR(L1028,MAX($D$16,POWER((ABS(K1028)^2)/($I$5*MAX(F1028,0.1)^2),1/3)))),IF(IFERROR(AG1028,0)=1,MAX($D$16,IFERROR(W1028,MAX($D$16,POWER((ABS(K1028)^2)/($I$5*MAX(F1028,0.1)^2),1/3)))),MAX($D$16,POWER((ABS(K1028)^2)/($I$5*MAX(F1028,0.1)^2),1/3))))))),MAX($D$16,POWER((ABS(K1028)^2)/($I$5*MAX(F1028,0.1)^2),1/3)))</f>
        <v>2.1389677043987478</v>
      </c>
      <c r="AI1028">
        <f t="shared" ca="1" si="517"/>
        <v>634.21896770439878</v>
      </c>
      <c r="AJ1028">
        <f t="shared" ca="1" si="518"/>
        <v>635.28845155659815</v>
      </c>
      <c r="AM1028">
        <v>0</v>
      </c>
      <c r="AN1028">
        <v>0</v>
      </c>
      <c r="AO1028">
        <f t="shared" si="519"/>
        <v>0</v>
      </c>
      <c r="AP1028">
        <f t="shared" si="528"/>
        <v>0</v>
      </c>
      <c r="AQ1028">
        <f t="shared" ca="1" si="520"/>
        <v>1.0000000000000004</v>
      </c>
      <c r="AR1028" t="str">
        <f t="shared" ca="1" si="521"/>
        <v>Supercritical</v>
      </c>
      <c r="AS1028">
        <f t="shared" ca="1" si="522"/>
        <v>3.8141460404132466E-3</v>
      </c>
    </row>
    <row r="1029" spans="1:45" x14ac:dyDescent="0.35">
      <c r="A1029">
        <v>968</v>
      </c>
      <c r="B1029">
        <v>966.99599999999998</v>
      </c>
      <c r="C1029">
        <v>616082.68799999997</v>
      </c>
      <c r="D1029">
        <v>3097040.0269999998</v>
      </c>
      <c r="E1029">
        <v>632.07950000000005</v>
      </c>
      <c r="F1029">
        <v>5.2</v>
      </c>
      <c r="G1029">
        <v>0</v>
      </c>
      <c r="H1029" t="s">
        <v>154</v>
      </c>
      <c r="I1029">
        <v>0</v>
      </c>
      <c r="J1029">
        <f t="shared" si="523"/>
        <v>1</v>
      </c>
      <c r="K1029">
        <f t="shared" ca="1" si="524"/>
        <v>50.95</v>
      </c>
      <c r="L1029">
        <f t="shared" ca="1" si="525"/>
        <v>2.1389677043987478</v>
      </c>
      <c r="M1029">
        <f t="shared" ca="1" si="498"/>
        <v>11.122632062873489</v>
      </c>
      <c r="N1029">
        <f t="shared" ca="1" si="499"/>
        <v>1.1735290000551568</v>
      </c>
      <c r="O1029">
        <f t="shared" ca="1" si="500"/>
        <v>4.5807502857230418</v>
      </c>
      <c r="P1029">
        <f t="shared" ca="1" si="501"/>
        <v>634.21846770439879</v>
      </c>
      <c r="Q1029">
        <f t="shared" ca="1" si="502"/>
        <v>635.28795155659816</v>
      </c>
      <c r="R1029">
        <f t="shared" ca="1" si="503"/>
        <v>3.8141460404132466E-3</v>
      </c>
      <c r="S1029">
        <f t="shared" ca="1" si="504"/>
        <v>1.0000000000000004</v>
      </c>
      <c r="T1029">
        <f t="shared" ca="1" si="505"/>
        <v>35.686426155594638</v>
      </c>
      <c r="U1029">
        <f t="shared" ca="1" si="526"/>
        <v>-3.3141460404522149E-3</v>
      </c>
      <c r="V1029">
        <f t="shared" ca="1" si="527"/>
        <v>1</v>
      </c>
      <c r="W1029">
        <f t="shared" ca="1" si="506"/>
        <v>1.8584446719568217</v>
      </c>
      <c r="X1029">
        <f t="shared" ca="1" si="507"/>
        <v>9.6639122941754731</v>
      </c>
      <c r="Y1029">
        <f t="shared" ca="1" si="508"/>
        <v>1.0837761826406112</v>
      </c>
      <c r="Z1029">
        <f t="shared" ca="1" si="509"/>
        <v>5.272191887617609</v>
      </c>
      <c r="AA1029">
        <f t="shared" ca="1" si="510"/>
        <v>633.93794467195687</v>
      </c>
      <c r="AB1029">
        <f t="shared" ca="1" si="511"/>
        <v>635.35466267908532</v>
      </c>
      <c r="AC1029">
        <f t="shared" ca="1" si="512"/>
        <v>5.6179620137679692E-3</v>
      </c>
      <c r="AD1029">
        <f t="shared" ca="1" si="513"/>
        <v>1.2347581083683039</v>
      </c>
      <c r="AE1029">
        <f t="shared" ca="1" si="514"/>
        <v>36.362000289621747</v>
      </c>
      <c r="AF1029">
        <f t="shared" ca="1" si="515"/>
        <v>5.2525502243270239E-3</v>
      </c>
      <c r="AG1029">
        <f t="shared" ca="1" si="516"/>
        <v>0</v>
      </c>
      <c r="AH1029">
        <f ca="1">IFERROR(IF(V32="Supercritical",MAX($D$16,IFERROR(L1029,MAX($D$16,POWER((ABS(K1029)^2)/($I$5*MAX(F1029,0.1)^2),1/3)))),IF(V32="Subcritical",MAX($D$16,IFERROR(W1029,MAX($D$16,POWER((ABS(K1029)^2)/($I$5*MAX(F1029,0.1)^2),1/3)))),IF(AND(IFERROR(V1029,0)=1,IFERROR(AG1029,0)=1),IF(IFERROR(T1029,-1E+99)&gt;=IFERROR(AE1029,-1E+99),MAX($D$16,IFERROR(L1029,MAX($D$16,POWER((ABS(K1029)^2)/($I$5*MAX(F1029,0.1)^2),1/3)))),MAX($D$16,IFERROR(W1029,MAX($D$16,POWER((ABS(K1029)^2)/($I$5*MAX(F1029,0.1)^2),1/3))))),IF(IFERROR(V1029,0)=1,MAX($D$16,IFERROR(L1029,MAX($D$16,POWER((ABS(K1029)^2)/($I$5*MAX(F1029,0.1)^2),1/3)))),IF(IFERROR(AG1029,0)=1,MAX($D$16,IFERROR(W1029,MAX($D$16,POWER((ABS(K1029)^2)/($I$5*MAX(F1029,0.1)^2),1/3)))),MAX($D$16,POWER((ABS(K1029)^2)/($I$5*MAX(F1029,0.1)^2),1/3))))))),MAX($D$16,POWER((ABS(K1029)^2)/($I$5*MAX(F1029,0.1)^2),1/3)))</f>
        <v>2.1389677043987478</v>
      </c>
      <c r="AI1029">
        <f t="shared" ca="1" si="517"/>
        <v>634.21846770439879</v>
      </c>
      <c r="AJ1029">
        <f t="shared" ca="1" si="518"/>
        <v>635.28795155659816</v>
      </c>
      <c r="AM1029">
        <v>0</v>
      </c>
      <c r="AN1029">
        <v>0</v>
      </c>
      <c r="AO1029">
        <f t="shared" si="519"/>
        <v>0</v>
      </c>
      <c r="AP1029">
        <f t="shared" si="528"/>
        <v>0</v>
      </c>
      <c r="AQ1029">
        <f t="shared" ca="1" si="520"/>
        <v>1.0000000000000004</v>
      </c>
      <c r="AR1029" t="str">
        <f t="shared" ca="1" si="521"/>
        <v>Supercritical</v>
      </c>
      <c r="AS1029">
        <f t="shared" ca="1" si="522"/>
        <v>3.8141460404132466E-3</v>
      </c>
    </row>
    <row r="1030" spans="1:45" x14ac:dyDescent="0.35">
      <c r="A1030">
        <v>969</v>
      </c>
      <c r="B1030">
        <v>967.99599999999998</v>
      </c>
      <c r="C1030">
        <v>616082.64599999995</v>
      </c>
      <c r="D1030">
        <v>3097039.0279999999</v>
      </c>
      <c r="E1030">
        <v>632.07899999999995</v>
      </c>
      <c r="F1030">
        <v>5.2</v>
      </c>
      <c r="G1030">
        <v>0</v>
      </c>
      <c r="H1030" t="s">
        <v>154</v>
      </c>
      <c r="I1030">
        <v>5.7000000000000002E-2</v>
      </c>
      <c r="J1030">
        <f t="shared" si="523"/>
        <v>1</v>
      </c>
      <c r="K1030">
        <f t="shared" ca="1" si="524"/>
        <v>50.95</v>
      </c>
      <c r="L1030">
        <f t="shared" ca="1" si="525"/>
        <v>2.1389677043987478</v>
      </c>
      <c r="M1030">
        <f t="shared" ca="1" si="498"/>
        <v>11.122632062873489</v>
      </c>
      <c r="N1030">
        <f t="shared" ca="1" si="499"/>
        <v>1.1735290000551568</v>
      </c>
      <c r="O1030">
        <f t="shared" ca="1" si="500"/>
        <v>4.5807502857230418</v>
      </c>
      <c r="P1030">
        <f t="shared" ca="1" si="501"/>
        <v>634.21796770439869</v>
      </c>
      <c r="Q1030">
        <f t="shared" ca="1" si="502"/>
        <v>635.28745155659806</v>
      </c>
      <c r="R1030">
        <f t="shared" ca="1" si="503"/>
        <v>3.8141460404132466E-3</v>
      </c>
      <c r="S1030">
        <f t="shared" ca="1" si="504"/>
        <v>1.0000000000000004</v>
      </c>
      <c r="T1030">
        <f t="shared" ca="1" si="505"/>
        <v>35.686426155594638</v>
      </c>
      <c r="U1030">
        <f t="shared" ca="1" si="526"/>
        <v>-3.4157470063291839E-3</v>
      </c>
      <c r="V1030">
        <f t="shared" ca="1" si="527"/>
        <v>1</v>
      </c>
      <c r="W1030">
        <f t="shared" ca="1" si="506"/>
        <v>1.8521483952540205</v>
      </c>
      <c r="X1030">
        <f t="shared" ca="1" si="507"/>
        <v>9.631171655320907</v>
      </c>
      <c r="Y1030">
        <f t="shared" ca="1" si="508"/>
        <v>1.081631922420613</v>
      </c>
      <c r="Z1030">
        <f t="shared" ca="1" si="509"/>
        <v>5.2901144142573555</v>
      </c>
      <c r="AA1030">
        <f t="shared" ca="1" si="510"/>
        <v>633.93114839525401</v>
      </c>
      <c r="AB1030">
        <f t="shared" ca="1" si="511"/>
        <v>635.35751488434335</v>
      </c>
      <c r="AC1030">
        <f t="shared" ca="1" si="512"/>
        <v>5.6711785391982154E-3</v>
      </c>
      <c r="AD1030">
        <f t="shared" ca="1" si="513"/>
        <v>1.2410596947875361</v>
      </c>
      <c r="AE1030">
        <f t="shared" ca="1" si="514"/>
        <v>36.39434056254359</v>
      </c>
      <c r="AF1030">
        <f t="shared" ca="1" si="515"/>
        <v>5.306683355684072E-3</v>
      </c>
      <c r="AG1030">
        <f t="shared" ca="1" si="516"/>
        <v>0</v>
      </c>
      <c r="AH1030">
        <f ca="1">IFERROR(IF(V32="Supercritical",MAX($D$16,IFERROR(L1030,MAX($D$16,POWER((ABS(K1030)^2)/($I$5*MAX(F1030,0.1)^2),1/3)))),IF(V32="Subcritical",MAX($D$16,IFERROR(W1030,MAX($D$16,POWER((ABS(K1030)^2)/($I$5*MAX(F1030,0.1)^2),1/3)))),IF(AND(IFERROR(V1030,0)=1,IFERROR(AG1030,0)=1),IF(IFERROR(T1030,-1E+99)&gt;=IFERROR(AE1030,-1E+99),MAX($D$16,IFERROR(L1030,MAX($D$16,POWER((ABS(K1030)^2)/($I$5*MAX(F1030,0.1)^2),1/3)))),MAX($D$16,IFERROR(W1030,MAX($D$16,POWER((ABS(K1030)^2)/($I$5*MAX(F1030,0.1)^2),1/3))))),IF(IFERROR(V1030,0)=1,MAX($D$16,IFERROR(L1030,MAX($D$16,POWER((ABS(K1030)^2)/($I$5*MAX(F1030,0.1)^2),1/3)))),IF(IFERROR(AG1030,0)=1,MAX($D$16,IFERROR(W1030,MAX($D$16,POWER((ABS(K1030)^2)/($I$5*MAX(F1030,0.1)^2),1/3)))),MAX($D$16,POWER((ABS(K1030)^2)/($I$5*MAX(F1030,0.1)^2),1/3))))))),MAX($D$16,POWER((ABS(K1030)^2)/($I$5*MAX(F1030,0.1)^2),1/3)))</f>
        <v>2.1389677043987478</v>
      </c>
      <c r="AI1030">
        <f t="shared" ca="1" si="517"/>
        <v>634.21796770439869</v>
      </c>
      <c r="AJ1030">
        <f t="shared" ca="1" si="518"/>
        <v>635.28745155659806</v>
      </c>
      <c r="AM1030">
        <v>0</v>
      </c>
      <c r="AN1030">
        <v>0</v>
      </c>
      <c r="AO1030">
        <f t="shared" si="519"/>
        <v>0</v>
      </c>
      <c r="AP1030">
        <f t="shared" si="528"/>
        <v>0</v>
      </c>
      <c r="AQ1030">
        <f t="shared" ca="1" si="520"/>
        <v>1.0000000000000004</v>
      </c>
      <c r="AR1030" t="str">
        <f t="shared" ca="1" si="521"/>
        <v>Supercritical</v>
      </c>
      <c r="AS1030">
        <f t="shared" ca="1" si="522"/>
        <v>3.8141460404132466E-3</v>
      </c>
    </row>
    <row r="1031" spans="1:45" x14ac:dyDescent="0.35">
      <c r="A1031">
        <v>970</v>
      </c>
      <c r="B1031">
        <v>968.99599999999998</v>
      </c>
      <c r="C1031">
        <v>616082.603</v>
      </c>
      <c r="D1031">
        <v>3097038.0290000001</v>
      </c>
      <c r="E1031">
        <v>632.07849999999996</v>
      </c>
      <c r="F1031">
        <v>5.2</v>
      </c>
      <c r="G1031">
        <v>0</v>
      </c>
      <c r="H1031" t="s">
        <v>154</v>
      </c>
      <c r="I1031">
        <v>5.7000000000000002E-2</v>
      </c>
      <c r="J1031">
        <f t="shared" si="523"/>
        <v>1</v>
      </c>
      <c r="K1031">
        <f t="shared" ca="1" si="524"/>
        <v>50.95</v>
      </c>
      <c r="L1031">
        <f t="shared" ca="1" si="525"/>
        <v>2.1389677043987478</v>
      </c>
      <c r="M1031">
        <f t="shared" ca="1" si="498"/>
        <v>11.122632062873489</v>
      </c>
      <c r="N1031">
        <f t="shared" ca="1" si="499"/>
        <v>1.1735290000551568</v>
      </c>
      <c r="O1031">
        <f t="shared" ca="1" si="500"/>
        <v>4.5807502857230418</v>
      </c>
      <c r="P1031">
        <f t="shared" ca="1" si="501"/>
        <v>634.2174677043987</v>
      </c>
      <c r="Q1031">
        <f t="shared" ca="1" si="502"/>
        <v>635.28695155659807</v>
      </c>
      <c r="R1031">
        <f t="shared" ca="1" si="503"/>
        <v>3.8141460404132466E-3</v>
      </c>
      <c r="S1031">
        <f t="shared" ca="1" si="504"/>
        <v>1.0000000000000004</v>
      </c>
      <c r="T1031">
        <f t="shared" ca="1" si="505"/>
        <v>35.686426155594638</v>
      </c>
      <c r="U1031">
        <f t="shared" ca="1" si="526"/>
        <v>-3.4157470064428708E-3</v>
      </c>
      <c r="V1031">
        <f t="shared" ca="1" si="527"/>
        <v>1</v>
      </c>
      <c r="W1031">
        <f t="shared" ca="1" si="506"/>
        <v>1.8459167764122792</v>
      </c>
      <c r="X1031">
        <f t="shared" ca="1" si="507"/>
        <v>9.5987672373438517</v>
      </c>
      <c r="Y1031">
        <f t="shared" ca="1" si="508"/>
        <v>1.0795037019439855</v>
      </c>
      <c r="Z1031">
        <f t="shared" ca="1" si="509"/>
        <v>5.3079732782538818</v>
      </c>
      <c r="AA1031">
        <f t="shared" ca="1" si="510"/>
        <v>633.92441677641227</v>
      </c>
      <c r="AB1031">
        <f t="shared" ca="1" si="511"/>
        <v>635.36043004464148</v>
      </c>
      <c r="AC1031">
        <f t="shared" ca="1" si="512"/>
        <v>5.7245470054049976E-3</v>
      </c>
      <c r="AD1031">
        <f t="shared" ca="1" si="513"/>
        <v>1.2473495242152193</v>
      </c>
      <c r="AE1031">
        <f t="shared" ca="1" si="514"/>
        <v>36.427176961084157</v>
      </c>
      <c r="AF1031">
        <f t="shared" ca="1" si="515"/>
        <v>5.2245470054685939E-3</v>
      </c>
      <c r="AG1031">
        <f t="shared" ca="1" si="516"/>
        <v>0</v>
      </c>
      <c r="AH1031">
        <f ca="1">IFERROR(IF(V32="Supercritical",MAX($D$16,IFERROR(L1031,MAX($D$16,POWER((ABS(K1031)^2)/($I$5*MAX(F1031,0.1)^2),1/3)))),IF(V32="Subcritical",MAX($D$16,IFERROR(W1031,MAX($D$16,POWER((ABS(K1031)^2)/($I$5*MAX(F1031,0.1)^2),1/3)))),IF(AND(IFERROR(V1031,0)=1,IFERROR(AG1031,0)=1),IF(IFERROR(T1031,-1E+99)&gt;=IFERROR(AE1031,-1E+99),MAX($D$16,IFERROR(L1031,MAX($D$16,POWER((ABS(K1031)^2)/($I$5*MAX(F1031,0.1)^2),1/3)))),MAX($D$16,IFERROR(W1031,MAX($D$16,POWER((ABS(K1031)^2)/($I$5*MAX(F1031,0.1)^2),1/3))))),IF(IFERROR(V1031,0)=1,MAX($D$16,IFERROR(L1031,MAX($D$16,POWER((ABS(K1031)^2)/($I$5*MAX(F1031,0.1)^2),1/3)))),IF(IFERROR(AG1031,0)=1,MAX($D$16,IFERROR(W1031,MAX($D$16,POWER((ABS(K1031)^2)/($I$5*MAX(F1031,0.1)^2),1/3)))),MAX($D$16,POWER((ABS(K1031)^2)/($I$5*MAX(F1031,0.1)^2),1/3))))))),MAX($D$16,POWER((ABS(K1031)^2)/($I$5*MAX(F1031,0.1)^2),1/3)))</f>
        <v>2.1389677043987478</v>
      </c>
      <c r="AI1031">
        <f t="shared" ca="1" si="517"/>
        <v>634.2174677043987</v>
      </c>
      <c r="AJ1031">
        <f t="shared" ca="1" si="518"/>
        <v>635.28695155659807</v>
      </c>
      <c r="AM1031">
        <v>0</v>
      </c>
      <c r="AN1031">
        <v>0</v>
      </c>
      <c r="AO1031">
        <f t="shared" si="519"/>
        <v>0</v>
      </c>
      <c r="AP1031">
        <f t="shared" si="528"/>
        <v>0</v>
      </c>
      <c r="AQ1031">
        <f t="shared" ca="1" si="520"/>
        <v>1.0000000000000004</v>
      </c>
      <c r="AR1031" t="str">
        <f t="shared" ca="1" si="521"/>
        <v>Supercritical</v>
      </c>
      <c r="AS1031">
        <f t="shared" ca="1" si="522"/>
        <v>3.8141460404132466E-3</v>
      </c>
    </row>
    <row r="1032" spans="1:45" x14ac:dyDescent="0.35">
      <c r="A1032">
        <v>971</v>
      </c>
      <c r="B1032">
        <v>969.99599999999998</v>
      </c>
      <c r="C1032">
        <v>616082.56099999999</v>
      </c>
      <c r="D1032">
        <v>3097037.03</v>
      </c>
      <c r="E1032">
        <v>632.07799999999997</v>
      </c>
      <c r="F1032">
        <v>5.2</v>
      </c>
      <c r="G1032">
        <v>0</v>
      </c>
      <c r="H1032" t="s">
        <v>154</v>
      </c>
      <c r="I1032">
        <v>0</v>
      </c>
      <c r="J1032">
        <f t="shared" si="523"/>
        <v>1</v>
      </c>
      <c r="K1032">
        <f t="shared" ca="1" si="524"/>
        <v>50.95</v>
      </c>
      <c r="L1032">
        <f t="shared" ca="1" si="525"/>
        <v>2.1389677043987478</v>
      </c>
      <c r="M1032">
        <f t="shared" ca="1" si="498"/>
        <v>11.122632062873489</v>
      </c>
      <c r="N1032">
        <f t="shared" ca="1" si="499"/>
        <v>1.1735290000551568</v>
      </c>
      <c r="O1032">
        <f t="shared" ca="1" si="500"/>
        <v>4.5807502857230418</v>
      </c>
      <c r="P1032">
        <f t="shared" ca="1" si="501"/>
        <v>634.21696770439871</v>
      </c>
      <c r="Q1032">
        <f t="shared" ca="1" si="502"/>
        <v>635.28645155659808</v>
      </c>
      <c r="R1032">
        <f t="shared" ca="1" si="503"/>
        <v>3.8141460404132466E-3</v>
      </c>
      <c r="S1032">
        <f t="shared" ca="1" si="504"/>
        <v>1.0000000000000004</v>
      </c>
      <c r="T1032">
        <f t="shared" ca="1" si="505"/>
        <v>35.686426155594638</v>
      </c>
      <c r="U1032">
        <f t="shared" ca="1" si="526"/>
        <v>-3.3141460404522149E-3</v>
      </c>
      <c r="V1032">
        <f t="shared" ca="1" si="527"/>
        <v>1</v>
      </c>
      <c r="W1032">
        <f t="shared" ca="1" si="506"/>
        <v>1.8397593239190013</v>
      </c>
      <c r="X1032">
        <f t="shared" ca="1" si="507"/>
        <v>9.5667484843788078</v>
      </c>
      <c r="Y1032">
        <f t="shared" ca="1" si="508"/>
        <v>1.0773949426535787</v>
      </c>
      <c r="Z1032">
        <f t="shared" ca="1" si="509"/>
        <v>5.325738424418117</v>
      </c>
      <c r="AA1032">
        <f t="shared" ca="1" si="510"/>
        <v>633.91775932391897</v>
      </c>
      <c r="AB1032">
        <f t="shared" ca="1" si="511"/>
        <v>635.36340100410871</v>
      </c>
      <c r="AC1032">
        <f t="shared" ca="1" si="512"/>
        <v>5.7779742957353589E-3</v>
      </c>
      <c r="AD1032">
        <f t="shared" ca="1" si="513"/>
        <v>1.2536168534635954</v>
      </c>
      <c r="AE1032">
        <f t="shared" ca="1" si="514"/>
        <v>36.460438067682844</v>
      </c>
      <c r="AF1032">
        <f t="shared" ca="1" si="515"/>
        <v>5.4095322810780999E-3</v>
      </c>
      <c r="AG1032">
        <f t="shared" ca="1" si="516"/>
        <v>0</v>
      </c>
      <c r="AH1032">
        <f ca="1">IFERROR(IF(V32="Supercritical",MAX($D$16,IFERROR(L1032,MAX($D$16,POWER((ABS(K1032)^2)/($I$5*MAX(F1032,0.1)^2),1/3)))),IF(V32="Subcritical",MAX($D$16,IFERROR(W1032,MAX($D$16,POWER((ABS(K1032)^2)/($I$5*MAX(F1032,0.1)^2),1/3)))),IF(AND(IFERROR(V1032,0)=1,IFERROR(AG1032,0)=1),IF(IFERROR(T1032,-1E+99)&gt;=IFERROR(AE1032,-1E+99),MAX($D$16,IFERROR(L1032,MAX($D$16,POWER((ABS(K1032)^2)/($I$5*MAX(F1032,0.1)^2),1/3)))),MAX($D$16,IFERROR(W1032,MAX($D$16,POWER((ABS(K1032)^2)/($I$5*MAX(F1032,0.1)^2),1/3))))),IF(IFERROR(V1032,0)=1,MAX($D$16,IFERROR(L1032,MAX($D$16,POWER((ABS(K1032)^2)/($I$5*MAX(F1032,0.1)^2),1/3)))),IF(IFERROR(AG1032,0)=1,MAX($D$16,IFERROR(W1032,MAX($D$16,POWER((ABS(K1032)^2)/($I$5*MAX(F1032,0.1)^2),1/3)))),MAX($D$16,POWER((ABS(K1032)^2)/($I$5*MAX(F1032,0.1)^2),1/3))))))),MAX($D$16,POWER((ABS(K1032)^2)/($I$5*MAX(F1032,0.1)^2),1/3)))</f>
        <v>2.1389677043987478</v>
      </c>
      <c r="AI1032">
        <f t="shared" ca="1" si="517"/>
        <v>634.21696770439871</v>
      </c>
      <c r="AJ1032">
        <f t="shared" ca="1" si="518"/>
        <v>635.28645155659808</v>
      </c>
      <c r="AM1032">
        <v>0</v>
      </c>
      <c r="AN1032">
        <v>0</v>
      </c>
      <c r="AO1032">
        <f t="shared" si="519"/>
        <v>0</v>
      </c>
      <c r="AP1032">
        <f t="shared" si="528"/>
        <v>0</v>
      </c>
      <c r="AQ1032">
        <f t="shared" ca="1" si="520"/>
        <v>1.0000000000000004</v>
      </c>
      <c r="AR1032" t="str">
        <f t="shared" ca="1" si="521"/>
        <v>Supercritical</v>
      </c>
      <c r="AS1032">
        <f t="shared" ca="1" si="522"/>
        <v>3.8141460404132466E-3</v>
      </c>
    </row>
    <row r="1033" spans="1:45" x14ac:dyDescent="0.35">
      <c r="A1033">
        <v>972</v>
      </c>
      <c r="B1033">
        <v>970.995</v>
      </c>
      <c r="C1033">
        <v>616082.51899999997</v>
      </c>
      <c r="D1033">
        <v>3097036.031</v>
      </c>
      <c r="E1033">
        <v>632.07749999999999</v>
      </c>
      <c r="F1033">
        <v>5.2</v>
      </c>
      <c r="G1033">
        <v>0</v>
      </c>
      <c r="H1033" t="s">
        <v>154</v>
      </c>
      <c r="I1033">
        <v>5.7000000000000002E-2</v>
      </c>
      <c r="J1033">
        <f t="shared" si="523"/>
        <v>0.99900000000002365</v>
      </c>
      <c r="K1033">
        <f t="shared" ca="1" si="524"/>
        <v>50.95</v>
      </c>
      <c r="L1033">
        <f t="shared" ca="1" si="525"/>
        <v>2.1389677043987478</v>
      </c>
      <c r="M1033">
        <f t="shared" ca="1" si="498"/>
        <v>11.122632062873489</v>
      </c>
      <c r="N1033">
        <f t="shared" ca="1" si="499"/>
        <v>1.1735290000551568</v>
      </c>
      <c r="O1033">
        <f t="shared" ca="1" si="500"/>
        <v>4.5807502857230418</v>
      </c>
      <c r="P1033">
        <f t="shared" ca="1" si="501"/>
        <v>634.21646770439872</v>
      </c>
      <c r="Q1033">
        <f t="shared" ca="1" si="502"/>
        <v>635.28595155659809</v>
      </c>
      <c r="R1033">
        <f t="shared" ca="1" si="503"/>
        <v>3.8141460404132466E-3</v>
      </c>
      <c r="S1033">
        <f t="shared" ca="1" si="504"/>
        <v>1.0000000000000004</v>
      </c>
      <c r="T1033">
        <f t="shared" ca="1" si="505"/>
        <v>35.686426155594638</v>
      </c>
      <c r="U1033">
        <f t="shared" ca="1" si="526"/>
        <v>-3.411932860331035E-3</v>
      </c>
      <c r="V1033">
        <f t="shared" ca="1" si="527"/>
        <v>1</v>
      </c>
      <c r="W1033">
        <f t="shared" ca="1" si="506"/>
        <v>1.8336852297608102</v>
      </c>
      <c r="X1033">
        <f t="shared" ca="1" si="507"/>
        <v>9.5351631947562137</v>
      </c>
      <c r="Y1033">
        <f t="shared" ca="1" si="508"/>
        <v>1.0753089924778692</v>
      </c>
      <c r="Z1033">
        <f t="shared" ca="1" si="509"/>
        <v>5.3433799673213294</v>
      </c>
      <c r="AA1033">
        <f t="shared" ca="1" si="510"/>
        <v>633.9111852297608</v>
      </c>
      <c r="AB1033">
        <f t="shared" ca="1" si="511"/>
        <v>635.36642016733322</v>
      </c>
      <c r="AC1033">
        <f t="shared" ca="1" si="512"/>
        <v>5.8313655081083928E-3</v>
      </c>
      <c r="AD1033">
        <f t="shared" ca="1" si="513"/>
        <v>1.2598509298313583</v>
      </c>
      <c r="AE1033">
        <f t="shared" ca="1" si="514"/>
        <v>36.49404918971949</v>
      </c>
      <c r="AF1033">
        <f t="shared" ca="1" si="515"/>
        <v>5.4696128272553324E-3</v>
      </c>
      <c r="AG1033">
        <f t="shared" ca="1" si="516"/>
        <v>0</v>
      </c>
      <c r="AH1033">
        <f ca="1">IFERROR(IF(V32="Supercritical",MAX($D$16,IFERROR(L1033,MAX($D$16,POWER((ABS(K1033)^2)/($I$5*MAX(F1033,0.1)^2),1/3)))),IF(V32="Subcritical",MAX($D$16,IFERROR(W1033,MAX($D$16,POWER((ABS(K1033)^2)/($I$5*MAX(F1033,0.1)^2),1/3)))),IF(AND(IFERROR(V1033,0)=1,IFERROR(AG1033,0)=1),IF(IFERROR(T1033,-1E+99)&gt;=IFERROR(AE1033,-1E+99),MAX($D$16,IFERROR(L1033,MAX($D$16,POWER((ABS(K1033)^2)/($I$5*MAX(F1033,0.1)^2),1/3)))),MAX($D$16,IFERROR(W1033,MAX($D$16,POWER((ABS(K1033)^2)/($I$5*MAX(F1033,0.1)^2),1/3))))),IF(IFERROR(V1033,0)=1,MAX($D$16,IFERROR(L1033,MAX($D$16,POWER((ABS(K1033)^2)/($I$5*MAX(F1033,0.1)^2),1/3)))),IF(IFERROR(AG1033,0)=1,MAX($D$16,IFERROR(W1033,MAX($D$16,POWER((ABS(K1033)^2)/($I$5*MAX(F1033,0.1)^2),1/3)))),MAX($D$16,POWER((ABS(K1033)^2)/($I$5*MAX(F1033,0.1)^2),1/3))))))),MAX($D$16,POWER((ABS(K1033)^2)/($I$5*MAX(F1033,0.1)^2),1/3)))</f>
        <v>2.1389677043987478</v>
      </c>
      <c r="AI1033">
        <f t="shared" ca="1" si="517"/>
        <v>634.21646770439872</v>
      </c>
      <c r="AJ1033">
        <f t="shared" ca="1" si="518"/>
        <v>635.28595155659809</v>
      </c>
      <c r="AM1033">
        <v>0</v>
      </c>
      <c r="AN1033">
        <v>0</v>
      </c>
      <c r="AO1033">
        <f t="shared" si="519"/>
        <v>0</v>
      </c>
      <c r="AP1033">
        <f t="shared" si="528"/>
        <v>0</v>
      </c>
      <c r="AQ1033">
        <f t="shared" ca="1" si="520"/>
        <v>1.0000000000000004</v>
      </c>
      <c r="AR1033" t="str">
        <f t="shared" ca="1" si="521"/>
        <v>Supercritical</v>
      </c>
      <c r="AS1033">
        <f t="shared" ca="1" si="522"/>
        <v>3.8141460404132466E-3</v>
      </c>
    </row>
    <row r="1034" spans="1:45" x14ac:dyDescent="0.35">
      <c r="A1034">
        <v>973</v>
      </c>
      <c r="B1034">
        <v>971.995</v>
      </c>
      <c r="C1034">
        <v>616082.47600000002</v>
      </c>
      <c r="D1034">
        <v>3097035.0320000001</v>
      </c>
      <c r="E1034">
        <v>632.077</v>
      </c>
      <c r="F1034">
        <v>5.2</v>
      </c>
      <c r="G1034">
        <v>0</v>
      </c>
      <c r="H1034" t="s">
        <v>154</v>
      </c>
      <c r="I1034">
        <v>5.7000000000000002E-2</v>
      </c>
      <c r="J1034">
        <f t="shared" si="523"/>
        <v>1</v>
      </c>
      <c r="K1034">
        <f t="shared" ca="1" si="524"/>
        <v>50.95</v>
      </c>
      <c r="L1034">
        <f t="shared" ca="1" si="525"/>
        <v>2.1389677043987478</v>
      </c>
      <c r="M1034">
        <f t="shared" ca="1" si="498"/>
        <v>11.122632062873489</v>
      </c>
      <c r="N1034">
        <f t="shared" ca="1" si="499"/>
        <v>1.1735290000551568</v>
      </c>
      <c r="O1034">
        <f t="shared" ca="1" si="500"/>
        <v>4.5807502857230418</v>
      </c>
      <c r="P1034">
        <f t="shared" ca="1" si="501"/>
        <v>634.21596770439874</v>
      </c>
      <c r="Q1034">
        <f t="shared" ca="1" si="502"/>
        <v>635.2854515565981</v>
      </c>
      <c r="R1034">
        <f t="shared" ca="1" si="503"/>
        <v>3.8141460404132466E-3</v>
      </c>
      <c r="S1034">
        <f t="shared" ca="1" si="504"/>
        <v>1.0000000000000004</v>
      </c>
      <c r="T1034">
        <f t="shared" ca="1" si="505"/>
        <v>35.686426155594638</v>
      </c>
      <c r="U1034">
        <f t="shared" ca="1" si="526"/>
        <v>-3.4157470064428708E-3</v>
      </c>
      <c r="V1034">
        <f t="shared" ca="1" si="527"/>
        <v>1</v>
      </c>
      <c r="W1034">
        <f t="shared" ca="1" si="506"/>
        <v>1.8277033091631365</v>
      </c>
      <c r="X1034">
        <f t="shared" ca="1" si="507"/>
        <v>9.5040572076483105</v>
      </c>
      <c r="Y1034">
        <f t="shared" ca="1" si="508"/>
        <v>1.0732491027548812</v>
      </c>
      <c r="Z1034">
        <f t="shared" ca="1" si="509"/>
        <v>5.3608684046007653</v>
      </c>
      <c r="AA1034">
        <f t="shared" ca="1" si="510"/>
        <v>633.9047033091631</v>
      </c>
      <c r="AB1034">
        <f t="shared" ca="1" si="511"/>
        <v>635.36947956051108</v>
      </c>
      <c r="AC1034">
        <f t="shared" ca="1" si="512"/>
        <v>5.8846246382888018E-3</v>
      </c>
      <c r="AD1034">
        <f t="shared" ca="1" si="513"/>
        <v>1.2660410685206862</v>
      </c>
      <c r="AE1034">
        <f t="shared" ca="1" si="514"/>
        <v>36.527932982878376</v>
      </c>
      <c r="AF1034">
        <f t="shared" ca="1" si="515"/>
        <v>5.3895072258001164E-3</v>
      </c>
      <c r="AG1034">
        <f t="shared" ca="1" si="516"/>
        <v>0</v>
      </c>
      <c r="AH1034">
        <f ca="1">IFERROR(IF(V32="Supercritical",MAX($D$16,IFERROR(L1034,MAX($D$16,POWER((ABS(K1034)^2)/($I$5*MAX(F1034,0.1)^2),1/3)))),IF(V32="Subcritical",MAX($D$16,IFERROR(W1034,MAX($D$16,POWER((ABS(K1034)^2)/($I$5*MAX(F1034,0.1)^2),1/3)))),IF(AND(IFERROR(V1034,0)=1,IFERROR(AG1034,0)=1),IF(IFERROR(T1034,-1E+99)&gt;=IFERROR(AE1034,-1E+99),MAX($D$16,IFERROR(L1034,MAX($D$16,POWER((ABS(K1034)^2)/($I$5*MAX(F1034,0.1)^2),1/3)))),MAX($D$16,IFERROR(W1034,MAX($D$16,POWER((ABS(K1034)^2)/($I$5*MAX(F1034,0.1)^2),1/3))))),IF(IFERROR(V1034,0)=1,MAX($D$16,IFERROR(L1034,MAX($D$16,POWER((ABS(K1034)^2)/($I$5*MAX(F1034,0.1)^2),1/3)))),IF(IFERROR(AG1034,0)=1,MAX($D$16,IFERROR(W1034,MAX($D$16,POWER((ABS(K1034)^2)/($I$5*MAX(F1034,0.1)^2),1/3)))),MAX($D$16,POWER((ABS(K1034)^2)/($I$5*MAX(F1034,0.1)^2),1/3))))))),MAX($D$16,POWER((ABS(K1034)^2)/($I$5*MAX(F1034,0.1)^2),1/3)))</f>
        <v>2.1389677043987478</v>
      </c>
      <c r="AI1034">
        <f t="shared" ca="1" si="517"/>
        <v>634.21596770439874</v>
      </c>
      <c r="AJ1034">
        <f t="shared" ca="1" si="518"/>
        <v>635.2854515565981</v>
      </c>
      <c r="AM1034">
        <v>0</v>
      </c>
      <c r="AN1034">
        <v>0</v>
      </c>
      <c r="AO1034">
        <f t="shared" si="519"/>
        <v>0</v>
      </c>
      <c r="AP1034">
        <f t="shared" si="528"/>
        <v>0</v>
      </c>
      <c r="AQ1034">
        <f t="shared" ca="1" si="520"/>
        <v>1.0000000000000004</v>
      </c>
      <c r="AR1034" t="str">
        <f t="shared" ca="1" si="521"/>
        <v>Supercritical</v>
      </c>
      <c r="AS1034">
        <f t="shared" ca="1" si="522"/>
        <v>3.8141460404132466E-3</v>
      </c>
    </row>
    <row r="1035" spans="1:45" x14ac:dyDescent="0.35">
      <c r="A1035">
        <v>974</v>
      </c>
      <c r="B1035">
        <v>972.995</v>
      </c>
      <c r="C1035">
        <v>616082.43400000001</v>
      </c>
      <c r="D1035">
        <v>3097034.0329999998</v>
      </c>
      <c r="E1035">
        <v>632.07650000000001</v>
      </c>
      <c r="F1035">
        <v>5.2</v>
      </c>
      <c r="G1035">
        <v>0</v>
      </c>
      <c r="H1035" t="s">
        <v>154</v>
      </c>
      <c r="I1035">
        <v>2E-3</v>
      </c>
      <c r="J1035">
        <f t="shared" si="523"/>
        <v>1</v>
      </c>
      <c r="K1035">
        <f t="shared" ca="1" si="524"/>
        <v>50.95</v>
      </c>
      <c r="L1035">
        <f t="shared" ca="1" si="525"/>
        <v>2.1389677043987478</v>
      </c>
      <c r="M1035">
        <f t="shared" ca="1" si="498"/>
        <v>11.122632062873489</v>
      </c>
      <c r="N1035">
        <f t="shared" ca="1" si="499"/>
        <v>1.1735290000551568</v>
      </c>
      <c r="O1035">
        <f t="shared" ca="1" si="500"/>
        <v>4.5807502857230418</v>
      </c>
      <c r="P1035">
        <f t="shared" ca="1" si="501"/>
        <v>634.21546770439875</v>
      </c>
      <c r="Q1035">
        <f t="shared" ca="1" si="502"/>
        <v>635.28495155659812</v>
      </c>
      <c r="R1035">
        <f t="shared" ca="1" si="503"/>
        <v>3.8141460404132466E-3</v>
      </c>
      <c r="S1035">
        <f t="shared" ca="1" si="504"/>
        <v>1.0000000000000004</v>
      </c>
      <c r="T1035">
        <f t="shared" ca="1" si="505"/>
        <v>35.686426155594638</v>
      </c>
      <c r="U1035">
        <f t="shared" ca="1" si="526"/>
        <v>-3.3177109866073806E-3</v>
      </c>
      <c r="V1035">
        <f t="shared" ca="1" si="527"/>
        <v>1</v>
      </c>
      <c r="W1035">
        <f t="shared" ca="1" si="506"/>
        <v>1.8218219439874912</v>
      </c>
      <c r="X1035">
        <f t="shared" ca="1" si="507"/>
        <v>9.4734741087349548</v>
      </c>
      <c r="Y1035">
        <f t="shared" ca="1" si="508"/>
        <v>1.0712184059804097</v>
      </c>
      <c r="Z1035">
        <f t="shared" ca="1" si="509"/>
        <v>5.3781748295508498</v>
      </c>
      <c r="AA1035">
        <f t="shared" ca="1" si="510"/>
        <v>633.89832194398753</v>
      </c>
      <c r="AB1035">
        <f t="shared" ca="1" si="511"/>
        <v>635.37257089899333</v>
      </c>
      <c r="AC1035">
        <f t="shared" ca="1" si="512"/>
        <v>5.937655295139053E-3</v>
      </c>
      <c r="AD1035">
        <f t="shared" ca="1" si="513"/>
        <v>1.2721767307987895</v>
      </c>
      <c r="AE1035">
        <f t="shared" ca="1" si="514"/>
        <v>36.562010118699853</v>
      </c>
      <c r="AF1035">
        <f t="shared" ca="1" si="515"/>
        <v>5.4485071135559338E-3</v>
      </c>
      <c r="AG1035">
        <f t="shared" ca="1" si="516"/>
        <v>0</v>
      </c>
      <c r="AH1035">
        <f ca="1">IFERROR(IF(V32="Supercritical",MAX($D$16,IFERROR(L1035,MAX($D$16,POWER((ABS(K1035)^2)/($I$5*MAX(F1035,0.1)^2),1/3)))),IF(V32="Subcritical",MAX($D$16,IFERROR(W1035,MAX($D$16,POWER((ABS(K1035)^2)/($I$5*MAX(F1035,0.1)^2),1/3)))),IF(AND(IFERROR(V1035,0)=1,IFERROR(AG1035,0)=1),IF(IFERROR(T1035,-1E+99)&gt;=IFERROR(AE1035,-1E+99),MAX($D$16,IFERROR(L1035,MAX($D$16,POWER((ABS(K1035)^2)/($I$5*MAX(F1035,0.1)^2),1/3)))),MAX($D$16,IFERROR(W1035,MAX($D$16,POWER((ABS(K1035)^2)/($I$5*MAX(F1035,0.1)^2),1/3))))),IF(IFERROR(V1035,0)=1,MAX($D$16,IFERROR(L1035,MAX($D$16,POWER((ABS(K1035)^2)/($I$5*MAX(F1035,0.1)^2),1/3)))),IF(IFERROR(AG1035,0)=1,MAX($D$16,IFERROR(W1035,MAX($D$16,POWER((ABS(K1035)^2)/($I$5*MAX(F1035,0.1)^2),1/3)))),MAX($D$16,POWER((ABS(K1035)^2)/($I$5*MAX(F1035,0.1)^2),1/3))))))),MAX($D$16,POWER((ABS(K1035)^2)/($I$5*MAX(F1035,0.1)^2),1/3)))</f>
        <v>2.1389677043987478</v>
      </c>
      <c r="AI1035">
        <f t="shared" ca="1" si="517"/>
        <v>634.21546770439875</v>
      </c>
      <c r="AJ1035">
        <f t="shared" ca="1" si="518"/>
        <v>635.28495155659812</v>
      </c>
      <c r="AM1035">
        <v>0</v>
      </c>
      <c r="AN1035">
        <v>0</v>
      </c>
      <c r="AO1035">
        <f t="shared" si="519"/>
        <v>0</v>
      </c>
      <c r="AP1035">
        <f t="shared" si="528"/>
        <v>0</v>
      </c>
      <c r="AQ1035">
        <f t="shared" ca="1" si="520"/>
        <v>1.0000000000000004</v>
      </c>
      <c r="AR1035" t="str">
        <f t="shared" ca="1" si="521"/>
        <v>Supercritical</v>
      </c>
      <c r="AS1035">
        <f t="shared" ca="1" si="522"/>
        <v>3.8141460404132466E-3</v>
      </c>
    </row>
    <row r="1036" spans="1:45" x14ac:dyDescent="0.35">
      <c r="A1036">
        <v>975</v>
      </c>
      <c r="B1036">
        <v>973.99599999999998</v>
      </c>
      <c r="C1036">
        <v>616082.39199999999</v>
      </c>
      <c r="D1036">
        <v>3097033.0329999998</v>
      </c>
      <c r="E1036">
        <v>632.07600000000002</v>
      </c>
      <c r="F1036">
        <v>5.2</v>
      </c>
      <c r="G1036">
        <v>0</v>
      </c>
      <c r="H1036" t="s">
        <v>154</v>
      </c>
      <c r="I1036">
        <v>2E-3</v>
      </c>
      <c r="J1036">
        <f t="shared" si="523"/>
        <v>1.0009999999999764</v>
      </c>
      <c r="K1036">
        <f t="shared" ca="1" si="524"/>
        <v>50.95</v>
      </c>
      <c r="L1036">
        <f t="shared" ca="1" si="525"/>
        <v>2.1389677043987478</v>
      </c>
      <c r="M1036">
        <f t="shared" ca="1" si="498"/>
        <v>11.122632062873489</v>
      </c>
      <c r="N1036">
        <f t="shared" ca="1" si="499"/>
        <v>1.1735290000551568</v>
      </c>
      <c r="O1036">
        <f t="shared" ca="1" si="500"/>
        <v>4.5807502857230418</v>
      </c>
      <c r="P1036">
        <f t="shared" ca="1" si="501"/>
        <v>634.21496770439876</v>
      </c>
      <c r="Q1036">
        <f t="shared" ca="1" si="502"/>
        <v>635.28445155659813</v>
      </c>
      <c r="R1036">
        <f t="shared" ca="1" si="503"/>
        <v>3.8141460404132466E-3</v>
      </c>
      <c r="S1036">
        <f t="shared" ca="1" si="504"/>
        <v>1.0000000000000004</v>
      </c>
      <c r="T1036">
        <f t="shared" ca="1" si="505"/>
        <v>35.686426155594638</v>
      </c>
      <c r="U1036">
        <f t="shared" ca="1" si="526"/>
        <v>-3.3215251326055295E-3</v>
      </c>
      <c r="V1036">
        <f t="shared" ca="1" si="527"/>
        <v>1</v>
      </c>
      <c r="W1036">
        <f t="shared" ca="1" si="506"/>
        <v>1.8160490306203014</v>
      </c>
      <c r="X1036">
        <f t="shared" ca="1" si="507"/>
        <v>9.4434549592255674</v>
      </c>
      <c r="Y1036">
        <f t="shared" ca="1" si="508"/>
        <v>1.0692198947233031</v>
      </c>
      <c r="Z1036">
        <f t="shared" ca="1" si="509"/>
        <v>5.3952711396400073</v>
      </c>
      <c r="AA1036">
        <f t="shared" ca="1" si="510"/>
        <v>633.89204903062034</v>
      </c>
      <c r="AB1036">
        <f t="shared" ca="1" si="511"/>
        <v>635.3756856600919</v>
      </c>
      <c r="AC1036">
        <f t="shared" ca="1" si="512"/>
        <v>5.9903614366436254E-3</v>
      </c>
      <c r="AD1036">
        <f t="shared" ca="1" si="513"/>
        <v>1.2782476016632167</v>
      </c>
      <c r="AE1036">
        <f t="shared" ca="1" si="514"/>
        <v>36.59619998474821</v>
      </c>
      <c r="AF1036">
        <f t="shared" ca="1" si="515"/>
        <v>5.6313069163707041E-3</v>
      </c>
      <c r="AG1036">
        <f t="shared" ca="1" si="516"/>
        <v>0</v>
      </c>
      <c r="AH1036">
        <f ca="1">IFERROR(IF(V32="Supercritical",MAX($D$16,IFERROR(L1036,MAX($D$16,POWER((ABS(K1036)^2)/($I$5*MAX(F1036,0.1)^2),1/3)))),IF(V32="Subcritical",MAX($D$16,IFERROR(W1036,MAX($D$16,POWER((ABS(K1036)^2)/($I$5*MAX(F1036,0.1)^2),1/3)))),IF(AND(IFERROR(V1036,0)=1,IFERROR(AG1036,0)=1),IF(IFERROR(T1036,-1E+99)&gt;=IFERROR(AE1036,-1E+99),MAX($D$16,IFERROR(L1036,MAX($D$16,POWER((ABS(K1036)^2)/($I$5*MAX(F1036,0.1)^2),1/3)))),MAX($D$16,IFERROR(W1036,MAX($D$16,POWER((ABS(K1036)^2)/($I$5*MAX(F1036,0.1)^2),1/3))))),IF(IFERROR(V1036,0)=1,MAX($D$16,IFERROR(L1036,MAX($D$16,POWER((ABS(K1036)^2)/($I$5*MAX(F1036,0.1)^2),1/3)))),IF(IFERROR(AG1036,0)=1,MAX($D$16,IFERROR(W1036,MAX($D$16,POWER((ABS(K1036)^2)/($I$5*MAX(F1036,0.1)^2),1/3)))),MAX($D$16,POWER((ABS(K1036)^2)/($I$5*MAX(F1036,0.1)^2),1/3))))))),MAX($D$16,POWER((ABS(K1036)^2)/($I$5*MAX(F1036,0.1)^2),1/3)))</f>
        <v>2.1389677043987478</v>
      </c>
      <c r="AI1036">
        <f t="shared" ca="1" si="517"/>
        <v>634.21496770439876</v>
      </c>
      <c r="AJ1036">
        <f t="shared" ca="1" si="518"/>
        <v>635.28445155659813</v>
      </c>
      <c r="AM1036">
        <v>0</v>
      </c>
      <c r="AN1036">
        <v>0</v>
      </c>
      <c r="AO1036">
        <f t="shared" si="519"/>
        <v>0</v>
      </c>
      <c r="AP1036">
        <f t="shared" si="528"/>
        <v>0</v>
      </c>
      <c r="AQ1036">
        <f t="shared" ca="1" si="520"/>
        <v>1.0000000000000004</v>
      </c>
      <c r="AR1036" t="str">
        <f t="shared" ca="1" si="521"/>
        <v>Supercritical</v>
      </c>
      <c r="AS1036">
        <f t="shared" ca="1" si="522"/>
        <v>3.8141460404132466E-3</v>
      </c>
    </row>
    <row r="1037" spans="1:45" x14ac:dyDescent="0.35">
      <c r="A1037">
        <v>976</v>
      </c>
      <c r="B1037">
        <v>974.99599999999998</v>
      </c>
      <c r="C1037">
        <v>616082.35</v>
      </c>
      <c r="D1037">
        <v>3097032.034</v>
      </c>
      <c r="E1037">
        <v>632.07550000000003</v>
      </c>
      <c r="F1037">
        <v>5.2</v>
      </c>
      <c r="G1037">
        <v>0</v>
      </c>
      <c r="H1037" t="s">
        <v>154</v>
      </c>
      <c r="I1037">
        <v>5.7000000000000002E-2</v>
      </c>
      <c r="J1037">
        <f t="shared" si="523"/>
        <v>1</v>
      </c>
      <c r="K1037">
        <f t="shared" ca="1" si="524"/>
        <v>50.95</v>
      </c>
      <c r="L1037">
        <f t="shared" ca="1" si="525"/>
        <v>2.1389677043987478</v>
      </c>
      <c r="M1037">
        <f t="shared" ca="1" si="498"/>
        <v>11.122632062873489</v>
      </c>
      <c r="N1037">
        <f t="shared" ca="1" si="499"/>
        <v>1.1735290000551568</v>
      </c>
      <c r="O1037">
        <f t="shared" ca="1" si="500"/>
        <v>4.5807502857230418</v>
      </c>
      <c r="P1037">
        <f t="shared" ca="1" si="501"/>
        <v>634.21446770439877</v>
      </c>
      <c r="Q1037">
        <f t="shared" ca="1" si="502"/>
        <v>635.28395155659814</v>
      </c>
      <c r="R1037">
        <f t="shared" ca="1" si="503"/>
        <v>3.8141460404132466E-3</v>
      </c>
      <c r="S1037">
        <f t="shared" ca="1" si="504"/>
        <v>1.0000000000000004</v>
      </c>
      <c r="T1037">
        <f t="shared" ca="1" si="505"/>
        <v>35.686426155594638</v>
      </c>
      <c r="U1037">
        <f t="shared" ca="1" si="526"/>
        <v>-3.4157470064428708E-3</v>
      </c>
      <c r="V1037">
        <f t="shared" ca="1" si="527"/>
        <v>1</v>
      </c>
      <c r="W1037">
        <f t="shared" ca="1" si="506"/>
        <v>1.8103919331063181</v>
      </c>
      <c r="X1037">
        <f t="shared" ca="1" si="507"/>
        <v>9.4140380521528542</v>
      </c>
      <c r="Y1037">
        <f t="shared" ca="1" si="508"/>
        <v>1.067256402031642</v>
      </c>
      <c r="Z1037">
        <f t="shared" ca="1" si="509"/>
        <v>5.4121302376028186</v>
      </c>
      <c r="AA1037">
        <f t="shared" ca="1" si="510"/>
        <v>633.88589193310634</v>
      </c>
      <c r="AB1037">
        <f t="shared" ca="1" si="511"/>
        <v>635.37881515985327</v>
      </c>
      <c r="AC1037">
        <f t="shared" ca="1" si="512"/>
        <v>6.0426481146329345E-3</v>
      </c>
      <c r="AD1037">
        <f t="shared" ca="1" si="513"/>
        <v>1.2842436657485246</v>
      </c>
      <c r="AE1037">
        <f t="shared" ca="1" si="514"/>
        <v>36.63042140486354</v>
      </c>
      <c r="AF1037">
        <f t="shared" ca="1" si="515"/>
        <v>5.6844758212264423E-3</v>
      </c>
      <c r="AG1037">
        <f t="shared" ca="1" si="516"/>
        <v>0</v>
      </c>
      <c r="AH1037">
        <f ca="1">IFERROR(IF(V32="Supercritical",MAX($D$16,IFERROR(L1037,MAX($D$16,POWER((ABS(K1037)^2)/($I$5*MAX(F1037,0.1)^2),1/3)))),IF(V32="Subcritical",MAX($D$16,IFERROR(W1037,MAX($D$16,POWER((ABS(K1037)^2)/($I$5*MAX(F1037,0.1)^2),1/3)))),IF(AND(IFERROR(V1037,0)=1,IFERROR(AG1037,0)=1),IF(IFERROR(T1037,-1E+99)&gt;=IFERROR(AE1037,-1E+99),MAX($D$16,IFERROR(L1037,MAX($D$16,POWER((ABS(K1037)^2)/($I$5*MAX(F1037,0.1)^2),1/3)))),MAX($D$16,IFERROR(W1037,MAX($D$16,POWER((ABS(K1037)^2)/($I$5*MAX(F1037,0.1)^2),1/3))))),IF(IFERROR(V1037,0)=1,MAX($D$16,IFERROR(L1037,MAX($D$16,POWER((ABS(K1037)^2)/($I$5*MAX(F1037,0.1)^2),1/3)))),IF(IFERROR(AG1037,0)=1,MAX($D$16,IFERROR(W1037,MAX($D$16,POWER((ABS(K1037)^2)/($I$5*MAX(F1037,0.1)^2),1/3)))),MAX($D$16,POWER((ABS(K1037)^2)/($I$5*MAX(F1037,0.1)^2),1/3))))))),MAX($D$16,POWER((ABS(K1037)^2)/($I$5*MAX(F1037,0.1)^2),1/3)))</f>
        <v>2.1389677043987478</v>
      </c>
      <c r="AI1037">
        <f t="shared" ca="1" si="517"/>
        <v>634.21446770439877</v>
      </c>
      <c r="AJ1037">
        <f t="shared" ca="1" si="518"/>
        <v>635.28395155659814</v>
      </c>
      <c r="AM1037">
        <v>0</v>
      </c>
      <c r="AN1037">
        <v>0</v>
      </c>
      <c r="AO1037">
        <f t="shared" si="519"/>
        <v>0</v>
      </c>
      <c r="AP1037">
        <f t="shared" si="528"/>
        <v>0</v>
      </c>
      <c r="AQ1037">
        <f t="shared" ca="1" si="520"/>
        <v>1.0000000000000004</v>
      </c>
      <c r="AR1037" t="str">
        <f t="shared" ca="1" si="521"/>
        <v>Supercritical</v>
      </c>
      <c r="AS1037">
        <f t="shared" ca="1" si="522"/>
        <v>3.8141460404132466E-3</v>
      </c>
    </row>
    <row r="1038" spans="1:45" x14ac:dyDescent="0.35">
      <c r="A1038">
        <v>977</v>
      </c>
      <c r="B1038">
        <v>975.99599999999998</v>
      </c>
      <c r="C1038">
        <v>616082.30700000003</v>
      </c>
      <c r="D1038">
        <v>3097031.0350000001</v>
      </c>
      <c r="E1038">
        <v>632.07500000000005</v>
      </c>
      <c r="F1038">
        <v>5.2</v>
      </c>
      <c r="G1038">
        <v>0</v>
      </c>
      <c r="H1038" t="s">
        <v>154</v>
      </c>
      <c r="I1038">
        <v>5.7000000000000002E-2</v>
      </c>
      <c r="J1038">
        <f t="shared" si="523"/>
        <v>1</v>
      </c>
      <c r="K1038">
        <f t="shared" ca="1" si="524"/>
        <v>50.95</v>
      </c>
      <c r="L1038">
        <f t="shared" ca="1" si="525"/>
        <v>2.1389677043987478</v>
      </c>
      <c r="M1038">
        <f t="shared" ca="1" si="498"/>
        <v>11.122632062873489</v>
      </c>
      <c r="N1038">
        <f t="shared" ca="1" si="499"/>
        <v>1.1735290000551568</v>
      </c>
      <c r="O1038">
        <f t="shared" ca="1" si="500"/>
        <v>4.5807502857230418</v>
      </c>
      <c r="P1038">
        <f t="shared" ca="1" si="501"/>
        <v>634.21396770439878</v>
      </c>
      <c r="Q1038">
        <f t="shared" ca="1" si="502"/>
        <v>635.28345155659815</v>
      </c>
      <c r="R1038">
        <f t="shared" ca="1" si="503"/>
        <v>3.8141460404132466E-3</v>
      </c>
      <c r="S1038">
        <f t="shared" ca="1" si="504"/>
        <v>1.0000000000000004</v>
      </c>
      <c r="T1038">
        <f t="shared" ca="1" si="505"/>
        <v>35.686426155594638</v>
      </c>
      <c r="U1038">
        <f t="shared" ca="1" si="526"/>
        <v>-3.4157470064428708E-3</v>
      </c>
      <c r="V1038">
        <f t="shared" ca="1" si="527"/>
        <v>1</v>
      </c>
      <c r="W1038">
        <f t="shared" ca="1" si="506"/>
        <v>1.8048574421783128</v>
      </c>
      <c r="X1038">
        <f t="shared" ca="1" si="507"/>
        <v>9.3852586993272276</v>
      </c>
      <c r="Y1038">
        <f t="shared" ca="1" si="508"/>
        <v>1.0653305836256508</v>
      </c>
      <c r="Z1038">
        <f t="shared" ca="1" si="509"/>
        <v>5.4287262218624086</v>
      </c>
      <c r="AA1038">
        <f t="shared" ca="1" si="510"/>
        <v>633.87985744217838</v>
      </c>
      <c r="AB1038">
        <f t="shared" ca="1" si="511"/>
        <v>635.38195063238925</v>
      </c>
      <c r="AC1038">
        <f t="shared" ca="1" si="512"/>
        <v>6.0944222156072746E-3</v>
      </c>
      <c r="AD1038">
        <f t="shared" ca="1" si="513"/>
        <v>1.2901552802263394</v>
      </c>
      <c r="AE1038">
        <f t="shared" ca="1" si="514"/>
        <v>36.664593366377517</v>
      </c>
      <c r="AF1038">
        <f t="shared" ca="1" si="515"/>
        <v>5.5944222154948875E-3</v>
      </c>
      <c r="AG1038">
        <f t="shared" ca="1" si="516"/>
        <v>0</v>
      </c>
      <c r="AH1038">
        <f ca="1">IFERROR(IF(V32="Supercritical",MAX($D$16,IFERROR(L1038,MAX($D$16,POWER((ABS(K1038)^2)/($I$5*MAX(F1038,0.1)^2),1/3)))),IF(V32="Subcritical",MAX($D$16,IFERROR(W1038,MAX($D$16,POWER((ABS(K1038)^2)/($I$5*MAX(F1038,0.1)^2),1/3)))),IF(AND(IFERROR(V1038,0)=1,IFERROR(AG1038,0)=1),IF(IFERROR(T1038,-1E+99)&gt;=IFERROR(AE1038,-1E+99),MAX($D$16,IFERROR(L1038,MAX($D$16,POWER((ABS(K1038)^2)/($I$5*MAX(F1038,0.1)^2),1/3)))),MAX($D$16,IFERROR(W1038,MAX($D$16,POWER((ABS(K1038)^2)/($I$5*MAX(F1038,0.1)^2),1/3))))),IF(IFERROR(V1038,0)=1,MAX($D$16,IFERROR(L1038,MAX($D$16,POWER((ABS(K1038)^2)/($I$5*MAX(F1038,0.1)^2),1/3)))),IF(IFERROR(AG1038,0)=1,MAX($D$16,IFERROR(W1038,MAX($D$16,POWER((ABS(K1038)^2)/($I$5*MAX(F1038,0.1)^2),1/3)))),MAX($D$16,POWER((ABS(K1038)^2)/($I$5*MAX(F1038,0.1)^2),1/3))))))),MAX($D$16,POWER((ABS(K1038)^2)/($I$5*MAX(F1038,0.1)^2),1/3)))</f>
        <v>2.1389677043987478</v>
      </c>
      <c r="AI1038">
        <f t="shared" ca="1" si="517"/>
        <v>634.21396770439878</v>
      </c>
      <c r="AJ1038">
        <f t="shared" ca="1" si="518"/>
        <v>635.28345155659815</v>
      </c>
      <c r="AM1038">
        <v>0</v>
      </c>
      <c r="AN1038">
        <v>0</v>
      </c>
      <c r="AO1038">
        <f t="shared" si="519"/>
        <v>0</v>
      </c>
      <c r="AP1038">
        <f t="shared" si="528"/>
        <v>0</v>
      </c>
      <c r="AQ1038">
        <f t="shared" ca="1" si="520"/>
        <v>1.0000000000000004</v>
      </c>
      <c r="AR1038" t="str">
        <f t="shared" ca="1" si="521"/>
        <v>Supercritical</v>
      </c>
      <c r="AS1038">
        <f t="shared" ca="1" si="522"/>
        <v>3.8141460404132466E-3</v>
      </c>
    </row>
    <row r="1039" spans="1:45" x14ac:dyDescent="0.35">
      <c r="A1039">
        <v>978</v>
      </c>
      <c r="B1039">
        <v>976.99599999999998</v>
      </c>
      <c r="C1039">
        <v>616082.26500000001</v>
      </c>
      <c r="D1039">
        <v>3097030.0359999998</v>
      </c>
      <c r="E1039">
        <v>632.07449999999994</v>
      </c>
      <c r="F1039">
        <v>5.2</v>
      </c>
      <c r="G1039">
        <v>0</v>
      </c>
      <c r="H1039" t="s">
        <v>154</v>
      </c>
      <c r="I1039">
        <v>0</v>
      </c>
      <c r="J1039">
        <f t="shared" si="523"/>
        <v>1</v>
      </c>
      <c r="K1039">
        <f t="shared" ca="1" si="524"/>
        <v>50.95</v>
      </c>
      <c r="L1039">
        <f t="shared" ca="1" si="525"/>
        <v>2.1389677043987478</v>
      </c>
      <c r="M1039">
        <f t="shared" ca="1" si="498"/>
        <v>11.122632062873489</v>
      </c>
      <c r="N1039">
        <f t="shared" ca="1" si="499"/>
        <v>1.1735290000551568</v>
      </c>
      <c r="O1039">
        <f t="shared" ca="1" si="500"/>
        <v>4.5807502857230418</v>
      </c>
      <c r="P1039">
        <f t="shared" ca="1" si="501"/>
        <v>634.21346770439868</v>
      </c>
      <c r="Q1039">
        <f t="shared" ca="1" si="502"/>
        <v>635.28295155659805</v>
      </c>
      <c r="R1039">
        <f t="shared" ca="1" si="503"/>
        <v>3.8141460404132466E-3</v>
      </c>
      <c r="S1039">
        <f t="shared" ca="1" si="504"/>
        <v>1.0000000000000004</v>
      </c>
      <c r="T1039">
        <f t="shared" ca="1" si="505"/>
        <v>35.686426155594638</v>
      </c>
      <c r="U1039">
        <f t="shared" ca="1" si="526"/>
        <v>-3.3141460403385281E-3</v>
      </c>
      <c r="V1039">
        <f t="shared" ca="1" si="527"/>
        <v>1</v>
      </c>
      <c r="W1039">
        <f t="shared" ca="1" si="506"/>
        <v>1.7994517407172663</v>
      </c>
      <c r="X1039">
        <f t="shared" ca="1" si="507"/>
        <v>9.3571490517297846</v>
      </c>
      <c r="Y1039">
        <f t="shared" ca="1" si="508"/>
        <v>1.0634449021373102</v>
      </c>
      <c r="Z1039">
        <f t="shared" ca="1" si="509"/>
        <v>5.445034563233901</v>
      </c>
      <c r="AA1039">
        <f t="shared" ca="1" si="510"/>
        <v>633.87395174071719</v>
      </c>
      <c r="AB1039">
        <f t="shared" ca="1" si="511"/>
        <v>635.38508331027947</v>
      </c>
      <c r="AC1039">
        <f t="shared" ca="1" si="512"/>
        <v>6.1455931848950884E-3</v>
      </c>
      <c r="AD1039">
        <f t="shared" ca="1" si="513"/>
        <v>1.2959732435005975</v>
      </c>
      <c r="AE1039">
        <f t="shared" ca="1" si="514"/>
        <v>36.698635740980173</v>
      </c>
      <c r="AF1039">
        <f t="shared" ca="1" si="515"/>
        <v>5.6455931849086483E-3</v>
      </c>
      <c r="AG1039">
        <f t="shared" ca="1" si="516"/>
        <v>0</v>
      </c>
      <c r="AH1039">
        <f ca="1">IFERROR(IF(V32="Supercritical",MAX($D$16,IFERROR(L1039,MAX($D$16,POWER((ABS(K1039)^2)/($I$5*MAX(F1039,0.1)^2),1/3)))),IF(V32="Subcritical",MAX($D$16,IFERROR(W1039,MAX($D$16,POWER((ABS(K1039)^2)/($I$5*MAX(F1039,0.1)^2),1/3)))),IF(AND(IFERROR(V1039,0)=1,IFERROR(AG1039,0)=1),IF(IFERROR(T1039,-1E+99)&gt;=IFERROR(AE1039,-1E+99),MAX($D$16,IFERROR(L1039,MAX($D$16,POWER((ABS(K1039)^2)/($I$5*MAX(F1039,0.1)^2),1/3)))),MAX($D$16,IFERROR(W1039,MAX($D$16,POWER((ABS(K1039)^2)/($I$5*MAX(F1039,0.1)^2),1/3))))),IF(IFERROR(V1039,0)=1,MAX($D$16,IFERROR(L1039,MAX($D$16,POWER((ABS(K1039)^2)/($I$5*MAX(F1039,0.1)^2),1/3)))),IF(IFERROR(AG1039,0)=1,MAX($D$16,IFERROR(W1039,MAX($D$16,POWER((ABS(K1039)^2)/($I$5*MAX(F1039,0.1)^2),1/3)))),MAX($D$16,POWER((ABS(K1039)^2)/($I$5*MAX(F1039,0.1)^2),1/3))))))),MAX($D$16,POWER((ABS(K1039)^2)/($I$5*MAX(F1039,0.1)^2),1/3)))</f>
        <v>2.1389677043987478</v>
      </c>
      <c r="AI1039">
        <f t="shared" ca="1" si="517"/>
        <v>634.21346770439868</v>
      </c>
      <c r="AJ1039">
        <f t="shared" ca="1" si="518"/>
        <v>635.28295155659805</v>
      </c>
      <c r="AM1039">
        <v>0</v>
      </c>
      <c r="AN1039">
        <v>0</v>
      </c>
      <c r="AO1039">
        <f t="shared" si="519"/>
        <v>0</v>
      </c>
      <c r="AP1039">
        <f t="shared" si="528"/>
        <v>0</v>
      </c>
      <c r="AQ1039">
        <f t="shared" ca="1" si="520"/>
        <v>1.0000000000000004</v>
      </c>
      <c r="AR1039" t="str">
        <f t="shared" ca="1" si="521"/>
        <v>Supercritical</v>
      </c>
      <c r="AS1039">
        <f t="shared" ca="1" si="522"/>
        <v>3.8141460404132466E-3</v>
      </c>
    </row>
    <row r="1040" spans="1:45" x14ac:dyDescent="0.35">
      <c r="A1040">
        <v>979</v>
      </c>
      <c r="B1040">
        <v>977.99599999999998</v>
      </c>
      <c r="C1040">
        <v>616082.223</v>
      </c>
      <c r="D1040">
        <v>3097029.037</v>
      </c>
      <c r="E1040">
        <v>632.07399999999996</v>
      </c>
      <c r="F1040">
        <v>5.2</v>
      </c>
      <c r="G1040">
        <v>0</v>
      </c>
      <c r="H1040" t="s">
        <v>154</v>
      </c>
      <c r="I1040">
        <v>0</v>
      </c>
      <c r="J1040">
        <f t="shared" si="523"/>
        <v>1</v>
      </c>
      <c r="K1040">
        <f t="shared" ca="1" si="524"/>
        <v>50.95</v>
      </c>
      <c r="L1040">
        <f t="shared" ca="1" si="525"/>
        <v>2.1389677043987478</v>
      </c>
      <c r="M1040">
        <f t="shared" ca="1" si="498"/>
        <v>11.122632062873489</v>
      </c>
      <c r="N1040">
        <f t="shared" ca="1" si="499"/>
        <v>1.1735290000551568</v>
      </c>
      <c r="O1040">
        <f t="shared" ca="1" si="500"/>
        <v>4.5807502857230418</v>
      </c>
      <c r="P1040">
        <f t="shared" ca="1" si="501"/>
        <v>634.21296770439869</v>
      </c>
      <c r="Q1040">
        <f t="shared" ca="1" si="502"/>
        <v>635.28245155659806</v>
      </c>
      <c r="R1040">
        <f t="shared" ca="1" si="503"/>
        <v>3.8141460404132466E-3</v>
      </c>
      <c r="S1040">
        <f t="shared" ca="1" si="504"/>
        <v>1.0000000000000004</v>
      </c>
      <c r="T1040">
        <f t="shared" ca="1" si="505"/>
        <v>35.686426155594638</v>
      </c>
      <c r="U1040">
        <f t="shared" ca="1" si="526"/>
        <v>-3.3141460404522149E-3</v>
      </c>
      <c r="V1040">
        <f t="shared" ca="1" si="527"/>
        <v>1</v>
      </c>
      <c r="W1040">
        <f t="shared" ca="1" si="506"/>
        <v>1.7941803760462489</v>
      </c>
      <c r="X1040">
        <f t="shared" ca="1" si="507"/>
        <v>9.3297379554404944</v>
      </c>
      <c r="Y1040">
        <f t="shared" ca="1" si="508"/>
        <v>1.0616016136136759</v>
      </c>
      <c r="Z1040">
        <f t="shared" ca="1" si="509"/>
        <v>5.461032265144091</v>
      </c>
      <c r="AA1040">
        <f t="shared" ca="1" si="510"/>
        <v>633.86818037604621</v>
      </c>
      <c r="AB1040">
        <f t="shared" ca="1" si="511"/>
        <v>635.38820450453477</v>
      </c>
      <c r="AC1040">
        <f t="shared" ca="1" si="512"/>
        <v>6.1960737215995621E-3</v>
      </c>
      <c r="AD1040">
        <f t="shared" ca="1" si="513"/>
        <v>1.301688858584779</v>
      </c>
      <c r="AE1040">
        <f t="shared" ca="1" si="514"/>
        <v>36.732469986142036</v>
      </c>
      <c r="AF1040">
        <f t="shared" ca="1" si="515"/>
        <v>5.8404760138728307E-3</v>
      </c>
      <c r="AG1040">
        <f t="shared" ca="1" si="516"/>
        <v>0</v>
      </c>
      <c r="AH1040">
        <f ca="1">IFERROR(IF(V32="Supercritical",MAX($D$16,IFERROR(L1040,MAX($D$16,POWER((ABS(K1040)^2)/($I$5*MAX(F1040,0.1)^2),1/3)))),IF(V32="Subcritical",MAX($D$16,IFERROR(W1040,MAX($D$16,POWER((ABS(K1040)^2)/($I$5*MAX(F1040,0.1)^2),1/3)))),IF(AND(IFERROR(V1040,0)=1,IFERROR(AG1040,0)=1),IF(IFERROR(T1040,-1E+99)&gt;=IFERROR(AE1040,-1E+99),MAX($D$16,IFERROR(L1040,MAX($D$16,POWER((ABS(K1040)^2)/($I$5*MAX(F1040,0.1)^2),1/3)))),MAX($D$16,IFERROR(W1040,MAX($D$16,POWER((ABS(K1040)^2)/($I$5*MAX(F1040,0.1)^2),1/3))))),IF(IFERROR(V1040,0)=1,MAX($D$16,IFERROR(L1040,MAX($D$16,POWER((ABS(K1040)^2)/($I$5*MAX(F1040,0.1)^2),1/3)))),IF(IFERROR(AG1040,0)=1,MAX($D$16,IFERROR(W1040,MAX($D$16,POWER((ABS(K1040)^2)/($I$5*MAX(F1040,0.1)^2),1/3)))),MAX($D$16,POWER((ABS(K1040)^2)/($I$5*MAX(F1040,0.1)^2),1/3))))))),MAX($D$16,POWER((ABS(K1040)^2)/($I$5*MAX(F1040,0.1)^2),1/3)))</f>
        <v>2.1389677043987478</v>
      </c>
      <c r="AI1040">
        <f t="shared" ca="1" si="517"/>
        <v>634.21296770439869</v>
      </c>
      <c r="AJ1040">
        <f t="shared" ca="1" si="518"/>
        <v>635.28245155659806</v>
      </c>
      <c r="AM1040">
        <v>0</v>
      </c>
      <c r="AN1040">
        <v>0</v>
      </c>
      <c r="AO1040">
        <f t="shared" si="519"/>
        <v>0</v>
      </c>
      <c r="AP1040">
        <f t="shared" si="528"/>
        <v>0</v>
      </c>
      <c r="AQ1040">
        <f t="shared" ca="1" si="520"/>
        <v>1.0000000000000004</v>
      </c>
      <c r="AR1040" t="str">
        <f t="shared" ca="1" si="521"/>
        <v>Supercritical</v>
      </c>
      <c r="AS1040">
        <f t="shared" ca="1" si="522"/>
        <v>3.8141460404132466E-3</v>
      </c>
    </row>
    <row r="1041" spans="1:45" x14ac:dyDescent="0.35">
      <c r="A1041">
        <v>980</v>
      </c>
      <c r="B1041">
        <v>978.99599999999998</v>
      </c>
      <c r="C1041">
        <v>616082.18099999998</v>
      </c>
      <c r="D1041">
        <v>3097028.0380000002</v>
      </c>
      <c r="E1041">
        <v>632.07349999999997</v>
      </c>
      <c r="F1041">
        <v>5.2</v>
      </c>
      <c r="G1041">
        <v>0</v>
      </c>
      <c r="H1041" t="s">
        <v>154</v>
      </c>
      <c r="I1041">
        <v>5.7000000000000002E-2</v>
      </c>
      <c r="J1041">
        <f t="shared" si="523"/>
        <v>1</v>
      </c>
      <c r="K1041">
        <f t="shared" ca="1" si="524"/>
        <v>50.95</v>
      </c>
      <c r="L1041">
        <f t="shared" ca="1" si="525"/>
        <v>2.1389677043987478</v>
      </c>
      <c r="M1041">
        <f t="shared" ca="1" si="498"/>
        <v>11.122632062873489</v>
      </c>
      <c r="N1041">
        <f t="shared" ca="1" si="499"/>
        <v>1.1735290000551568</v>
      </c>
      <c r="O1041">
        <f t="shared" ca="1" si="500"/>
        <v>4.5807502857230418</v>
      </c>
      <c r="P1041">
        <f t="shared" ca="1" si="501"/>
        <v>634.2124677043987</v>
      </c>
      <c r="Q1041">
        <f t="shared" ca="1" si="502"/>
        <v>635.28195155659807</v>
      </c>
      <c r="R1041">
        <f t="shared" ca="1" si="503"/>
        <v>3.8141460404132466E-3</v>
      </c>
      <c r="S1041">
        <f t="shared" ca="1" si="504"/>
        <v>1.0000000000000004</v>
      </c>
      <c r="T1041">
        <f t="shared" ca="1" si="505"/>
        <v>35.686426155594638</v>
      </c>
      <c r="U1041">
        <f t="shared" ca="1" si="526"/>
        <v>-3.4157470064428708E-3</v>
      </c>
      <c r="V1041">
        <f t="shared" ca="1" si="527"/>
        <v>1</v>
      </c>
      <c r="W1041">
        <f t="shared" ca="1" si="506"/>
        <v>1.7890482393215832</v>
      </c>
      <c r="X1041">
        <f t="shared" ca="1" si="507"/>
        <v>9.3030508444722333</v>
      </c>
      <c r="Y1041">
        <f t="shared" ca="1" si="508"/>
        <v>1.0598027564525252</v>
      </c>
      <c r="Z1041">
        <f t="shared" ca="1" si="509"/>
        <v>5.476698004964029</v>
      </c>
      <c r="AA1041">
        <f t="shared" ca="1" si="510"/>
        <v>633.86254823932154</v>
      </c>
      <c r="AB1041">
        <f t="shared" ca="1" si="511"/>
        <v>635.39130568262317</v>
      </c>
      <c r="AC1041">
        <f t="shared" ca="1" si="512"/>
        <v>6.2457804323862521E-3</v>
      </c>
      <c r="AD1041">
        <f t="shared" ca="1" si="513"/>
        <v>1.3072939901649725</v>
      </c>
      <c r="AE1041">
        <f t="shared" ca="1" si="514"/>
        <v>36.766019814611028</v>
      </c>
      <c r="AF1041">
        <f t="shared" ca="1" si="515"/>
        <v>5.8847666091423889E-3</v>
      </c>
      <c r="AG1041">
        <f t="shared" ca="1" si="516"/>
        <v>0</v>
      </c>
      <c r="AH1041">
        <f ca="1">IFERROR(IF(V32="Supercritical",MAX($D$16,IFERROR(L1041,MAX($D$16,POWER((ABS(K1041)^2)/($I$5*MAX(F1041,0.1)^2),1/3)))),IF(V32="Subcritical",MAX($D$16,IFERROR(W1041,MAX($D$16,POWER((ABS(K1041)^2)/($I$5*MAX(F1041,0.1)^2),1/3)))),IF(AND(IFERROR(V1041,0)=1,IFERROR(AG1041,0)=1),IF(IFERROR(T1041,-1E+99)&gt;=IFERROR(AE1041,-1E+99),MAX($D$16,IFERROR(L1041,MAX($D$16,POWER((ABS(K1041)^2)/($I$5*MAX(F1041,0.1)^2),1/3)))),MAX($D$16,IFERROR(W1041,MAX($D$16,POWER((ABS(K1041)^2)/($I$5*MAX(F1041,0.1)^2),1/3))))),IF(IFERROR(V1041,0)=1,MAX($D$16,IFERROR(L1041,MAX($D$16,POWER((ABS(K1041)^2)/($I$5*MAX(F1041,0.1)^2),1/3)))),IF(IFERROR(AG1041,0)=1,MAX($D$16,IFERROR(W1041,MAX($D$16,POWER((ABS(K1041)^2)/($I$5*MAX(F1041,0.1)^2),1/3)))),MAX($D$16,POWER((ABS(K1041)^2)/($I$5*MAX(F1041,0.1)^2),1/3))))))),MAX($D$16,POWER((ABS(K1041)^2)/($I$5*MAX(F1041,0.1)^2),1/3)))</f>
        <v>2.1389677043987478</v>
      </c>
      <c r="AI1041">
        <f t="shared" ca="1" si="517"/>
        <v>634.2124677043987</v>
      </c>
      <c r="AJ1041">
        <f t="shared" ca="1" si="518"/>
        <v>635.28195155659807</v>
      </c>
      <c r="AM1041">
        <v>0</v>
      </c>
      <c r="AN1041">
        <v>0</v>
      </c>
      <c r="AO1041">
        <f t="shared" si="519"/>
        <v>0</v>
      </c>
      <c r="AP1041">
        <f t="shared" si="528"/>
        <v>0</v>
      </c>
      <c r="AQ1041">
        <f t="shared" ca="1" si="520"/>
        <v>1.0000000000000004</v>
      </c>
      <c r="AR1041" t="str">
        <f t="shared" ca="1" si="521"/>
        <v>Supercritical</v>
      </c>
      <c r="AS1041">
        <f t="shared" ca="1" si="522"/>
        <v>3.8141460404132466E-3</v>
      </c>
    </row>
    <row r="1042" spans="1:45" x14ac:dyDescent="0.35">
      <c r="A1042">
        <v>981</v>
      </c>
      <c r="B1042">
        <v>979.995</v>
      </c>
      <c r="C1042">
        <v>616082.13800000004</v>
      </c>
      <c r="D1042">
        <v>3097027.0389999999</v>
      </c>
      <c r="E1042">
        <v>632.07299999999998</v>
      </c>
      <c r="F1042">
        <v>5.2</v>
      </c>
      <c r="G1042">
        <v>0</v>
      </c>
      <c r="H1042" t="s">
        <v>154</v>
      </c>
      <c r="I1042">
        <v>5.7000000000000002E-2</v>
      </c>
      <c r="J1042">
        <f t="shared" si="523"/>
        <v>0.99900000000002365</v>
      </c>
      <c r="K1042">
        <f t="shared" ca="1" si="524"/>
        <v>50.95</v>
      </c>
      <c r="L1042">
        <f t="shared" ca="1" si="525"/>
        <v>2.1389677043987478</v>
      </c>
      <c r="M1042">
        <f t="shared" ca="1" si="498"/>
        <v>11.122632062873489</v>
      </c>
      <c r="N1042">
        <f t="shared" ca="1" si="499"/>
        <v>1.1735290000551568</v>
      </c>
      <c r="O1042">
        <f t="shared" ca="1" si="500"/>
        <v>4.5807502857230418</v>
      </c>
      <c r="P1042">
        <f t="shared" ca="1" si="501"/>
        <v>634.21196770439872</v>
      </c>
      <c r="Q1042">
        <f t="shared" ca="1" si="502"/>
        <v>635.28145155659809</v>
      </c>
      <c r="R1042">
        <f t="shared" ca="1" si="503"/>
        <v>3.8141460404132466E-3</v>
      </c>
      <c r="S1042">
        <f t="shared" ca="1" si="504"/>
        <v>1.0000000000000004</v>
      </c>
      <c r="T1042">
        <f t="shared" ca="1" si="505"/>
        <v>35.686426155594638</v>
      </c>
      <c r="U1042">
        <f t="shared" ca="1" si="526"/>
        <v>-3.411932860331035E-3</v>
      </c>
      <c r="V1042">
        <f t="shared" ca="1" si="527"/>
        <v>1</v>
      </c>
      <c r="W1042">
        <f t="shared" ca="1" si="506"/>
        <v>1.7840595521402673</v>
      </c>
      <c r="X1042">
        <f t="shared" ca="1" si="507"/>
        <v>9.2771096711293897</v>
      </c>
      <c r="Y1042">
        <f t="shared" ca="1" si="508"/>
        <v>1.0580501428864453</v>
      </c>
      <c r="Z1042">
        <f t="shared" ca="1" si="509"/>
        <v>5.4920122544802661</v>
      </c>
      <c r="AA1042">
        <f t="shared" ca="1" si="510"/>
        <v>633.8570595521403</v>
      </c>
      <c r="AB1042">
        <f t="shared" ca="1" si="511"/>
        <v>635.39437854313735</v>
      </c>
      <c r="AC1042">
        <f t="shared" ca="1" si="512"/>
        <v>6.2946344331322483E-3</v>
      </c>
      <c r="AD1042">
        <f t="shared" ca="1" si="513"/>
        <v>1.3127811144984838</v>
      </c>
      <c r="AE1042">
        <f t="shared" ca="1" si="514"/>
        <v>36.799211820494165</v>
      </c>
      <c r="AF1042">
        <f t="shared" ca="1" si="515"/>
        <v>5.7946344331867294E-3</v>
      </c>
      <c r="AG1042">
        <f t="shared" ca="1" si="516"/>
        <v>0</v>
      </c>
      <c r="AH1042">
        <f ca="1">IFERROR(IF(V32="Supercritical",MAX($D$16,IFERROR(L1042,MAX($D$16,POWER((ABS(K1042)^2)/($I$5*MAX(F1042,0.1)^2),1/3)))),IF(V32="Subcritical",MAX($D$16,IFERROR(W1042,MAX($D$16,POWER((ABS(K1042)^2)/($I$5*MAX(F1042,0.1)^2),1/3)))),IF(AND(IFERROR(V1042,0)=1,IFERROR(AG1042,0)=1),IF(IFERROR(T1042,-1E+99)&gt;=IFERROR(AE1042,-1E+99),MAX($D$16,IFERROR(L1042,MAX($D$16,POWER((ABS(K1042)^2)/($I$5*MAX(F1042,0.1)^2),1/3)))),MAX($D$16,IFERROR(W1042,MAX($D$16,POWER((ABS(K1042)^2)/($I$5*MAX(F1042,0.1)^2),1/3))))),IF(IFERROR(V1042,0)=1,MAX($D$16,IFERROR(L1042,MAX($D$16,POWER((ABS(K1042)^2)/($I$5*MAX(F1042,0.1)^2),1/3)))),IF(IFERROR(AG1042,0)=1,MAX($D$16,IFERROR(W1042,MAX($D$16,POWER((ABS(K1042)^2)/($I$5*MAX(F1042,0.1)^2),1/3)))),MAX($D$16,POWER((ABS(K1042)^2)/($I$5*MAX(F1042,0.1)^2),1/3))))))),MAX($D$16,POWER((ABS(K1042)^2)/($I$5*MAX(F1042,0.1)^2),1/3)))</f>
        <v>2.1389677043987478</v>
      </c>
      <c r="AI1042">
        <f t="shared" ca="1" si="517"/>
        <v>634.21196770439872</v>
      </c>
      <c r="AJ1042">
        <f t="shared" ca="1" si="518"/>
        <v>635.28145155659809</v>
      </c>
      <c r="AM1042">
        <v>0</v>
      </c>
      <c r="AN1042">
        <v>0</v>
      </c>
      <c r="AO1042">
        <f t="shared" si="519"/>
        <v>0</v>
      </c>
      <c r="AP1042">
        <f t="shared" si="528"/>
        <v>0</v>
      </c>
      <c r="AQ1042">
        <f t="shared" ca="1" si="520"/>
        <v>1.0000000000000004</v>
      </c>
      <c r="AR1042" t="str">
        <f t="shared" ca="1" si="521"/>
        <v>Supercritical</v>
      </c>
      <c r="AS1042">
        <f t="shared" ca="1" si="522"/>
        <v>3.8141460404132466E-3</v>
      </c>
    </row>
    <row r="1043" spans="1:45" x14ac:dyDescent="0.35">
      <c r="A1043">
        <v>982</v>
      </c>
      <c r="B1043">
        <v>980.995</v>
      </c>
      <c r="C1043">
        <v>616082.09600000002</v>
      </c>
      <c r="D1043">
        <v>3097026.04</v>
      </c>
      <c r="E1043">
        <v>632.07249999999999</v>
      </c>
      <c r="F1043">
        <v>5.2</v>
      </c>
      <c r="G1043">
        <v>0</v>
      </c>
      <c r="H1043" t="s">
        <v>154</v>
      </c>
      <c r="I1043">
        <v>0</v>
      </c>
      <c r="J1043">
        <f t="shared" si="523"/>
        <v>1</v>
      </c>
      <c r="K1043">
        <f t="shared" ca="1" si="524"/>
        <v>50.95</v>
      </c>
      <c r="L1043">
        <f t="shared" ca="1" si="525"/>
        <v>2.1389677043987478</v>
      </c>
      <c r="M1043">
        <f t="shared" ca="1" si="498"/>
        <v>11.122632062873489</v>
      </c>
      <c r="N1043">
        <f t="shared" ca="1" si="499"/>
        <v>1.1735290000551568</v>
      </c>
      <c r="O1043">
        <f t="shared" ca="1" si="500"/>
        <v>4.5807502857230418</v>
      </c>
      <c r="P1043">
        <f t="shared" ca="1" si="501"/>
        <v>634.21146770439873</v>
      </c>
      <c r="Q1043">
        <f t="shared" ca="1" si="502"/>
        <v>635.2809515565981</v>
      </c>
      <c r="R1043">
        <f t="shared" ca="1" si="503"/>
        <v>3.8141460404132466E-3</v>
      </c>
      <c r="S1043">
        <f t="shared" ca="1" si="504"/>
        <v>1.0000000000000004</v>
      </c>
      <c r="T1043">
        <f t="shared" ca="1" si="505"/>
        <v>35.686426155594638</v>
      </c>
      <c r="U1043">
        <f t="shared" ca="1" si="526"/>
        <v>-3.3141460404522149E-3</v>
      </c>
      <c r="V1043">
        <f t="shared" ca="1" si="527"/>
        <v>1</v>
      </c>
      <c r="W1043">
        <f t="shared" ca="1" si="506"/>
        <v>1.7792178603397515</v>
      </c>
      <c r="X1043">
        <f t="shared" ca="1" si="507"/>
        <v>9.2519328737667088</v>
      </c>
      <c r="Y1043">
        <f t="shared" ca="1" si="508"/>
        <v>1.0563453530773779</v>
      </c>
      <c r="Z1043">
        <f t="shared" ca="1" si="509"/>
        <v>5.50695737800537</v>
      </c>
      <c r="AA1043">
        <f t="shared" ca="1" si="510"/>
        <v>633.8517178603397</v>
      </c>
      <c r="AB1043">
        <f t="shared" ca="1" si="511"/>
        <v>635.39741508578152</v>
      </c>
      <c r="AC1043">
        <f t="shared" ca="1" si="512"/>
        <v>6.3425618887386565E-3</v>
      </c>
      <c r="AD1043">
        <f t="shared" ca="1" si="513"/>
        <v>1.3181433614649714</v>
      </c>
      <c r="AE1043">
        <f t="shared" ca="1" si="514"/>
        <v>36.831976051744746</v>
      </c>
      <c r="AF1043">
        <f t="shared" ca="1" si="515"/>
        <v>5.8425618886985831E-3</v>
      </c>
      <c r="AG1043">
        <f t="shared" ca="1" si="516"/>
        <v>0</v>
      </c>
      <c r="AH1043">
        <f ca="1">IFERROR(IF(V32="Supercritical",MAX($D$16,IFERROR(L1043,MAX($D$16,POWER((ABS(K1043)^2)/($I$5*MAX(F1043,0.1)^2),1/3)))),IF(V32="Subcritical",MAX($D$16,IFERROR(W1043,MAX($D$16,POWER((ABS(K1043)^2)/($I$5*MAX(F1043,0.1)^2),1/3)))),IF(AND(IFERROR(V1043,0)=1,IFERROR(AG1043,0)=1),IF(IFERROR(T1043,-1E+99)&gt;=IFERROR(AE1043,-1E+99),MAX($D$16,IFERROR(L1043,MAX($D$16,POWER((ABS(K1043)^2)/($I$5*MAX(F1043,0.1)^2),1/3)))),MAX($D$16,IFERROR(W1043,MAX($D$16,POWER((ABS(K1043)^2)/($I$5*MAX(F1043,0.1)^2),1/3))))),IF(IFERROR(V1043,0)=1,MAX($D$16,IFERROR(L1043,MAX($D$16,POWER((ABS(K1043)^2)/($I$5*MAX(F1043,0.1)^2),1/3)))),IF(IFERROR(AG1043,0)=1,MAX($D$16,IFERROR(W1043,MAX($D$16,POWER((ABS(K1043)^2)/($I$5*MAX(F1043,0.1)^2),1/3)))),MAX($D$16,POWER((ABS(K1043)^2)/($I$5*MAX(F1043,0.1)^2),1/3))))))),MAX($D$16,POWER((ABS(K1043)^2)/($I$5*MAX(F1043,0.1)^2),1/3)))</f>
        <v>2.1389677043987478</v>
      </c>
      <c r="AI1043">
        <f t="shared" ca="1" si="517"/>
        <v>634.21146770439873</v>
      </c>
      <c r="AJ1043">
        <f t="shared" ca="1" si="518"/>
        <v>635.2809515565981</v>
      </c>
      <c r="AM1043">
        <v>0</v>
      </c>
      <c r="AN1043">
        <v>0</v>
      </c>
      <c r="AO1043">
        <f t="shared" si="519"/>
        <v>0</v>
      </c>
      <c r="AP1043">
        <f t="shared" si="528"/>
        <v>0</v>
      </c>
      <c r="AQ1043">
        <f t="shared" ca="1" si="520"/>
        <v>1.0000000000000004</v>
      </c>
      <c r="AR1043" t="str">
        <f t="shared" ca="1" si="521"/>
        <v>Supercritical</v>
      </c>
      <c r="AS1043">
        <f t="shared" ca="1" si="522"/>
        <v>3.8141460404132466E-3</v>
      </c>
    </row>
    <row r="1044" spans="1:45" x14ac:dyDescent="0.35">
      <c r="A1044">
        <v>983</v>
      </c>
      <c r="B1044">
        <v>981.995</v>
      </c>
      <c r="C1044">
        <v>616082.054</v>
      </c>
      <c r="D1044">
        <v>3097025.0410000002</v>
      </c>
      <c r="E1044">
        <v>632.072</v>
      </c>
      <c r="F1044">
        <v>5.2</v>
      </c>
      <c r="G1044">
        <v>0</v>
      </c>
      <c r="H1044" t="s">
        <v>154</v>
      </c>
      <c r="I1044">
        <v>0</v>
      </c>
      <c r="J1044">
        <f t="shared" si="523"/>
        <v>1</v>
      </c>
      <c r="K1044">
        <f t="shared" ca="1" si="524"/>
        <v>50.95</v>
      </c>
      <c r="L1044">
        <f t="shared" ca="1" si="525"/>
        <v>2.1389677043987478</v>
      </c>
      <c r="M1044">
        <f t="shared" ca="1" si="498"/>
        <v>11.122632062873489</v>
      </c>
      <c r="N1044">
        <f t="shared" ca="1" si="499"/>
        <v>1.1735290000551568</v>
      </c>
      <c r="O1044">
        <f t="shared" ca="1" si="500"/>
        <v>4.5807502857230418</v>
      </c>
      <c r="P1044">
        <f t="shared" ca="1" si="501"/>
        <v>634.21096770439874</v>
      </c>
      <c r="Q1044">
        <f t="shared" ca="1" si="502"/>
        <v>635.28045155659811</v>
      </c>
      <c r="R1044">
        <f t="shared" ca="1" si="503"/>
        <v>3.8141460404132466E-3</v>
      </c>
      <c r="S1044">
        <f t="shared" ca="1" si="504"/>
        <v>1.0000000000000004</v>
      </c>
      <c r="T1044">
        <f t="shared" ca="1" si="505"/>
        <v>35.686426155594638</v>
      </c>
      <c r="U1044">
        <f t="shared" ca="1" si="526"/>
        <v>-3.3141460404522149E-3</v>
      </c>
      <c r="V1044">
        <f t="shared" ca="1" si="527"/>
        <v>1</v>
      </c>
      <c r="W1044">
        <f t="shared" ca="1" si="506"/>
        <v>1.7745260348266625</v>
      </c>
      <c r="X1044">
        <f t="shared" ca="1" si="507"/>
        <v>9.2275353810986456</v>
      </c>
      <c r="Y1044">
        <f t="shared" ca="1" si="508"/>
        <v>1.054689731828774</v>
      </c>
      <c r="Z1044">
        <f t="shared" ca="1" si="509"/>
        <v>5.5215177071403234</v>
      </c>
      <c r="AA1044">
        <f t="shared" ca="1" si="510"/>
        <v>633.84652603482664</v>
      </c>
      <c r="AB1044">
        <f t="shared" ca="1" si="511"/>
        <v>635.40040767551284</v>
      </c>
      <c r="AC1044">
        <f t="shared" ca="1" si="512"/>
        <v>6.389494482979657E-3</v>
      </c>
      <c r="AD1044">
        <f t="shared" ca="1" si="513"/>
        <v>1.3233745482724741</v>
      </c>
      <c r="AE1044">
        <f t="shared" ca="1" si="514"/>
        <v>36.864246520465734</v>
      </c>
      <c r="AF1044">
        <f t="shared" ca="1" si="515"/>
        <v>6.031933633380504E-3</v>
      </c>
      <c r="AG1044">
        <f t="shared" ca="1" si="516"/>
        <v>0</v>
      </c>
      <c r="AH1044">
        <f ca="1">IFERROR(IF(V32="Supercritical",MAX($D$16,IFERROR(L1044,MAX($D$16,POWER((ABS(K1044)^2)/($I$5*MAX(F1044,0.1)^2),1/3)))),IF(V32="Subcritical",MAX($D$16,IFERROR(W1044,MAX($D$16,POWER((ABS(K1044)^2)/($I$5*MAX(F1044,0.1)^2),1/3)))),IF(AND(IFERROR(V1044,0)=1,IFERROR(AG1044,0)=1),IF(IFERROR(T1044,-1E+99)&gt;=IFERROR(AE1044,-1E+99),MAX($D$16,IFERROR(L1044,MAX($D$16,POWER((ABS(K1044)^2)/($I$5*MAX(F1044,0.1)^2),1/3)))),MAX($D$16,IFERROR(W1044,MAX($D$16,POWER((ABS(K1044)^2)/($I$5*MAX(F1044,0.1)^2),1/3))))),IF(IFERROR(V1044,0)=1,MAX($D$16,IFERROR(L1044,MAX($D$16,POWER((ABS(K1044)^2)/($I$5*MAX(F1044,0.1)^2),1/3)))),IF(IFERROR(AG1044,0)=1,MAX($D$16,IFERROR(W1044,MAX($D$16,POWER((ABS(K1044)^2)/($I$5*MAX(F1044,0.1)^2),1/3)))),MAX($D$16,POWER((ABS(K1044)^2)/($I$5*MAX(F1044,0.1)^2),1/3))))))),MAX($D$16,POWER((ABS(K1044)^2)/($I$5*MAX(F1044,0.1)^2),1/3)))</f>
        <v>2.1389677043987478</v>
      </c>
      <c r="AI1044">
        <f t="shared" ca="1" si="517"/>
        <v>634.21096770439874</v>
      </c>
      <c r="AJ1044">
        <f t="shared" ca="1" si="518"/>
        <v>635.28045155659811</v>
      </c>
      <c r="AM1044">
        <v>0</v>
      </c>
      <c r="AN1044">
        <v>0</v>
      </c>
      <c r="AO1044">
        <f t="shared" si="519"/>
        <v>0</v>
      </c>
      <c r="AP1044">
        <f t="shared" si="528"/>
        <v>0</v>
      </c>
      <c r="AQ1044">
        <f t="shared" ca="1" si="520"/>
        <v>1.0000000000000004</v>
      </c>
      <c r="AR1044" t="str">
        <f t="shared" ca="1" si="521"/>
        <v>Supercritical</v>
      </c>
      <c r="AS1044">
        <f t="shared" ca="1" si="522"/>
        <v>3.8141460404132466E-3</v>
      </c>
    </row>
    <row r="1045" spans="1:45" x14ac:dyDescent="0.35">
      <c r="A1045">
        <v>984</v>
      </c>
      <c r="B1045">
        <v>982.995</v>
      </c>
      <c r="C1045">
        <v>616082.01199999999</v>
      </c>
      <c r="D1045">
        <v>3097024.0419999999</v>
      </c>
      <c r="E1045">
        <v>632.07150000000001</v>
      </c>
      <c r="F1045">
        <v>5.2</v>
      </c>
      <c r="G1045">
        <v>0</v>
      </c>
      <c r="H1045" t="s">
        <v>154</v>
      </c>
      <c r="I1045">
        <v>5.5E-2</v>
      </c>
      <c r="J1045">
        <f t="shared" si="523"/>
        <v>1</v>
      </c>
      <c r="K1045">
        <f t="shared" ca="1" si="524"/>
        <v>50.95</v>
      </c>
      <c r="L1045">
        <f t="shared" ca="1" si="525"/>
        <v>2.1389677043987478</v>
      </c>
      <c r="M1045">
        <f t="shared" ca="1" si="498"/>
        <v>11.122632062873489</v>
      </c>
      <c r="N1045">
        <f t="shared" ca="1" si="499"/>
        <v>1.1735290000551568</v>
      </c>
      <c r="O1045">
        <f t="shared" ca="1" si="500"/>
        <v>4.5807502857230418</v>
      </c>
      <c r="P1045">
        <f t="shared" ca="1" si="501"/>
        <v>634.21046770439875</v>
      </c>
      <c r="Q1045">
        <f t="shared" ca="1" si="502"/>
        <v>635.27995155659812</v>
      </c>
      <c r="R1045">
        <f t="shared" ca="1" si="503"/>
        <v>3.8141460404132466E-3</v>
      </c>
      <c r="S1045">
        <f t="shared" ca="1" si="504"/>
        <v>1.0000000000000004</v>
      </c>
      <c r="T1045">
        <f t="shared" ca="1" si="505"/>
        <v>35.686426155594638</v>
      </c>
      <c r="U1045">
        <f t="shared" ca="1" si="526"/>
        <v>-3.4121820602877051E-3</v>
      </c>
      <c r="V1045">
        <f t="shared" ca="1" si="527"/>
        <v>1</v>
      </c>
      <c r="W1045">
        <f t="shared" ca="1" si="506"/>
        <v>1.7699862791427037</v>
      </c>
      <c r="X1045">
        <f t="shared" ca="1" si="507"/>
        <v>9.2039286515420589</v>
      </c>
      <c r="Y1045">
        <f t="shared" ca="1" si="508"/>
        <v>1.0530843878699396</v>
      </c>
      <c r="Z1045">
        <f t="shared" ca="1" si="509"/>
        <v>5.5356795917212658</v>
      </c>
      <c r="AA1045">
        <f t="shared" ca="1" si="510"/>
        <v>633.84148627914271</v>
      </c>
      <c r="AB1045">
        <f t="shared" ca="1" si="511"/>
        <v>635.40334909984608</v>
      </c>
      <c r="AC1045">
        <f t="shared" ca="1" si="512"/>
        <v>6.4353698120256922E-3</v>
      </c>
      <c r="AD1045">
        <f t="shared" ca="1" si="513"/>
        <v>1.328469204513502</v>
      </c>
      <c r="AE1045">
        <f t="shared" ca="1" si="514"/>
        <v>36.895961644218261</v>
      </c>
      <c r="AF1045">
        <f t="shared" ca="1" si="515"/>
        <v>6.0849759403254211E-3</v>
      </c>
      <c r="AG1045">
        <f t="shared" ca="1" si="516"/>
        <v>0</v>
      </c>
      <c r="AH1045">
        <f ca="1">IFERROR(IF(V32="Supercritical",MAX($D$16,IFERROR(L1045,MAX($D$16,POWER((ABS(K1045)^2)/($I$5*MAX(F1045,0.1)^2),1/3)))),IF(V32="Subcritical",MAX($D$16,IFERROR(W1045,MAX($D$16,POWER((ABS(K1045)^2)/($I$5*MAX(F1045,0.1)^2),1/3)))),IF(AND(IFERROR(V1045,0)=1,IFERROR(AG1045,0)=1),IF(IFERROR(T1045,-1E+99)&gt;=IFERROR(AE1045,-1E+99),MAX($D$16,IFERROR(L1045,MAX($D$16,POWER((ABS(K1045)^2)/($I$5*MAX(F1045,0.1)^2),1/3)))),MAX($D$16,IFERROR(W1045,MAX($D$16,POWER((ABS(K1045)^2)/($I$5*MAX(F1045,0.1)^2),1/3))))),IF(IFERROR(V1045,0)=1,MAX($D$16,IFERROR(L1045,MAX($D$16,POWER((ABS(K1045)^2)/($I$5*MAX(F1045,0.1)^2),1/3)))),IF(IFERROR(AG1045,0)=1,MAX($D$16,IFERROR(W1045,MAX($D$16,POWER((ABS(K1045)^2)/($I$5*MAX(F1045,0.1)^2),1/3)))),MAX($D$16,POWER((ABS(K1045)^2)/($I$5*MAX(F1045,0.1)^2),1/3))))))),MAX($D$16,POWER((ABS(K1045)^2)/($I$5*MAX(F1045,0.1)^2),1/3)))</f>
        <v>2.1389677043987478</v>
      </c>
      <c r="AI1045">
        <f t="shared" ca="1" si="517"/>
        <v>634.21046770439875</v>
      </c>
      <c r="AJ1045">
        <f t="shared" ca="1" si="518"/>
        <v>635.27995155659812</v>
      </c>
      <c r="AM1045">
        <v>0</v>
      </c>
      <c r="AN1045">
        <v>0</v>
      </c>
      <c r="AO1045">
        <f t="shared" si="519"/>
        <v>0</v>
      </c>
      <c r="AP1045">
        <f t="shared" si="528"/>
        <v>0</v>
      </c>
      <c r="AQ1045">
        <f t="shared" ca="1" si="520"/>
        <v>1.0000000000000004</v>
      </c>
      <c r="AR1045" t="str">
        <f t="shared" ca="1" si="521"/>
        <v>Supercritical</v>
      </c>
      <c r="AS1045">
        <f t="shared" ca="1" si="522"/>
        <v>3.8141460404132466E-3</v>
      </c>
    </row>
    <row r="1046" spans="1:45" x14ac:dyDescent="0.35">
      <c r="A1046">
        <v>985</v>
      </c>
      <c r="B1046">
        <v>983.99599999999998</v>
      </c>
      <c r="C1046">
        <v>616081.96900000004</v>
      </c>
      <c r="D1046">
        <v>3097023.0419999999</v>
      </c>
      <c r="E1046">
        <v>632.07100000000003</v>
      </c>
      <c r="F1046">
        <v>5.2</v>
      </c>
      <c r="G1046">
        <v>0</v>
      </c>
      <c r="H1046" t="s">
        <v>154</v>
      </c>
      <c r="I1046">
        <v>5.5E-2</v>
      </c>
      <c r="J1046">
        <f t="shared" si="523"/>
        <v>1.0009999999999764</v>
      </c>
      <c r="K1046">
        <f t="shared" ca="1" si="524"/>
        <v>50.95</v>
      </c>
      <c r="L1046">
        <f t="shared" ca="1" si="525"/>
        <v>2.1389677043987478</v>
      </c>
      <c r="M1046">
        <f t="shared" ca="1" si="498"/>
        <v>11.122632062873489</v>
      </c>
      <c r="N1046">
        <f t="shared" ca="1" si="499"/>
        <v>1.1735290000551568</v>
      </c>
      <c r="O1046">
        <f t="shared" ca="1" si="500"/>
        <v>4.5807502857230418</v>
      </c>
      <c r="P1046">
        <f t="shared" ca="1" si="501"/>
        <v>634.20996770439876</v>
      </c>
      <c r="Q1046">
        <f t="shared" ca="1" si="502"/>
        <v>635.27945155659813</v>
      </c>
      <c r="R1046">
        <f t="shared" ca="1" si="503"/>
        <v>3.8141460404132466E-3</v>
      </c>
      <c r="S1046">
        <f t="shared" ca="1" si="504"/>
        <v>1.0000000000000004</v>
      </c>
      <c r="T1046">
        <f t="shared" ca="1" si="505"/>
        <v>35.686426155594638</v>
      </c>
      <c r="U1046">
        <f t="shared" ca="1" si="526"/>
        <v>-3.415996206285854E-3</v>
      </c>
      <c r="V1046">
        <f t="shared" ca="1" si="527"/>
        <v>1</v>
      </c>
      <c r="W1046">
        <f t="shared" ca="1" si="506"/>
        <v>1.7656001433582829</v>
      </c>
      <c r="X1046">
        <f t="shared" ca="1" si="507"/>
        <v>9.1811207454630708</v>
      </c>
      <c r="Y1046">
        <f t="shared" ca="1" si="508"/>
        <v>1.0515301956170908</v>
      </c>
      <c r="Z1046">
        <f t="shared" ca="1" si="509"/>
        <v>5.5494314270049632</v>
      </c>
      <c r="AA1046">
        <f t="shared" ca="1" si="510"/>
        <v>633.83660014335828</v>
      </c>
      <c r="AB1046">
        <f t="shared" ca="1" si="511"/>
        <v>635.40623261853818</v>
      </c>
      <c r="AC1046">
        <f t="shared" ca="1" si="512"/>
        <v>6.4801316972052294E-3</v>
      </c>
      <c r="AD1046">
        <f t="shared" ca="1" si="513"/>
        <v>1.3334225884639945</v>
      </c>
      <c r="AE1046">
        <f t="shared" ca="1" si="514"/>
        <v>36.927064613443768</v>
      </c>
      <c r="AF1046">
        <f t="shared" ca="1" si="515"/>
        <v>5.9801316972425411E-3</v>
      </c>
      <c r="AG1046">
        <f t="shared" ca="1" si="516"/>
        <v>0</v>
      </c>
      <c r="AH1046">
        <f ca="1">IFERROR(IF(V32="Supercritical",MAX($D$16,IFERROR(L1046,MAX($D$16,POWER((ABS(K1046)^2)/($I$5*MAX(F1046,0.1)^2),1/3)))),IF(V32="Subcritical",MAX($D$16,IFERROR(W1046,MAX($D$16,POWER((ABS(K1046)^2)/($I$5*MAX(F1046,0.1)^2),1/3)))),IF(AND(IFERROR(V1046,0)=1,IFERROR(AG1046,0)=1),IF(IFERROR(T1046,-1E+99)&gt;=IFERROR(AE1046,-1E+99),MAX($D$16,IFERROR(L1046,MAX($D$16,POWER((ABS(K1046)^2)/($I$5*MAX(F1046,0.1)^2),1/3)))),MAX($D$16,IFERROR(W1046,MAX($D$16,POWER((ABS(K1046)^2)/($I$5*MAX(F1046,0.1)^2),1/3))))),IF(IFERROR(V1046,0)=1,MAX($D$16,IFERROR(L1046,MAX($D$16,POWER((ABS(K1046)^2)/($I$5*MAX(F1046,0.1)^2),1/3)))),IF(IFERROR(AG1046,0)=1,MAX($D$16,IFERROR(W1046,MAX($D$16,POWER((ABS(K1046)^2)/($I$5*MAX(F1046,0.1)^2),1/3)))),MAX($D$16,POWER((ABS(K1046)^2)/($I$5*MAX(F1046,0.1)^2),1/3))))))),MAX($D$16,POWER((ABS(K1046)^2)/($I$5*MAX(F1046,0.1)^2),1/3)))</f>
        <v>2.1389677043987478</v>
      </c>
      <c r="AI1046">
        <f t="shared" ca="1" si="517"/>
        <v>634.20996770439876</v>
      </c>
      <c r="AJ1046">
        <f t="shared" ca="1" si="518"/>
        <v>635.27945155659813</v>
      </c>
      <c r="AM1046">
        <v>0</v>
      </c>
      <c r="AN1046">
        <v>0</v>
      </c>
      <c r="AO1046">
        <f t="shared" si="519"/>
        <v>0</v>
      </c>
      <c r="AP1046">
        <f t="shared" si="528"/>
        <v>0</v>
      </c>
      <c r="AQ1046">
        <f t="shared" ca="1" si="520"/>
        <v>1.0000000000000004</v>
      </c>
      <c r="AR1046" t="str">
        <f t="shared" ca="1" si="521"/>
        <v>Supercritical</v>
      </c>
      <c r="AS1046">
        <f t="shared" ca="1" si="522"/>
        <v>3.8141460404132466E-3</v>
      </c>
    </row>
    <row r="1047" spans="1:45" x14ac:dyDescent="0.35">
      <c r="A1047">
        <v>986</v>
      </c>
      <c r="B1047">
        <v>984.99599999999998</v>
      </c>
      <c r="C1047">
        <v>616081.92700000003</v>
      </c>
      <c r="D1047">
        <v>3097022.0430000001</v>
      </c>
      <c r="E1047">
        <v>632.07050000000004</v>
      </c>
      <c r="F1047">
        <v>5.2</v>
      </c>
      <c r="G1047">
        <v>0</v>
      </c>
      <c r="H1047" t="s">
        <v>154</v>
      </c>
      <c r="I1047">
        <v>0</v>
      </c>
      <c r="J1047">
        <f t="shared" si="523"/>
        <v>1</v>
      </c>
      <c r="K1047">
        <f t="shared" ca="1" si="524"/>
        <v>50.95</v>
      </c>
      <c r="L1047">
        <f t="shared" ca="1" si="525"/>
        <v>2.1389677043987478</v>
      </c>
      <c r="M1047">
        <f t="shared" ca="1" si="498"/>
        <v>11.122632062873489</v>
      </c>
      <c r="N1047">
        <f t="shared" ca="1" si="499"/>
        <v>1.1735290000551568</v>
      </c>
      <c r="O1047">
        <f t="shared" ca="1" si="500"/>
        <v>4.5807502857230418</v>
      </c>
      <c r="P1047">
        <f t="shared" ca="1" si="501"/>
        <v>634.20946770439878</v>
      </c>
      <c r="Q1047">
        <f t="shared" ca="1" si="502"/>
        <v>635.27895155659814</v>
      </c>
      <c r="R1047">
        <f t="shared" ca="1" si="503"/>
        <v>3.8141460404132466E-3</v>
      </c>
      <c r="S1047">
        <f t="shared" ca="1" si="504"/>
        <v>1.0000000000000004</v>
      </c>
      <c r="T1047">
        <f t="shared" ca="1" si="505"/>
        <v>35.686426155594638</v>
      </c>
      <c r="U1047">
        <f t="shared" ca="1" si="526"/>
        <v>-3.3141460404522149E-3</v>
      </c>
      <c r="V1047">
        <f t="shared" ca="1" si="527"/>
        <v>1</v>
      </c>
      <c r="W1047">
        <f t="shared" ca="1" si="506"/>
        <v>1.7613685437848388</v>
      </c>
      <c r="X1047">
        <f t="shared" ca="1" si="507"/>
        <v>9.1591164276811625</v>
      </c>
      <c r="Y1047">
        <f t="shared" ca="1" si="508"/>
        <v>1.0500277992710965</v>
      </c>
      <c r="Z1047">
        <f t="shared" ca="1" si="509"/>
        <v>5.5627636576401889</v>
      </c>
      <c r="AA1047">
        <f t="shared" ca="1" si="510"/>
        <v>633.83186854378482</v>
      </c>
      <c r="AB1047">
        <f t="shared" ca="1" si="511"/>
        <v>635.40905200508769</v>
      </c>
      <c r="AC1047">
        <f t="shared" ca="1" si="512"/>
        <v>6.5237304145395799E-3</v>
      </c>
      <c r="AD1047">
        <f t="shared" ca="1" si="513"/>
        <v>1.3382306947085589</v>
      </c>
      <c r="AE1047">
        <f t="shared" ca="1" si="514"/>
        <v>36.957503682062715</v>
      </c>
      <c r="AF1047">
        <f t="shared" ca="1" si="515"/>
        <v>6.0237304145402959E-3</v>
      </c>
      <c r="AG1047">
        <f t="shared" ca="1" si="516"/>
        <v>0</v>
      </c>
      <c r="AH1047">
        <f ca="1">IFERROR(IF(V32="Supercritical",MAX($D$16,IFERROR(L1047,MAX($D$16,POWER((ABS(K1047)^2)/($I$5*MAX(F1047,0.1)^2),1/3)))),IF(V32="Subcritical",MAX($D$16,IFERROR(W1047,MAX($D$16,POWER((ABS(K1047)^2)/($I$5*MAX(F1047,0.1)^2),1/3)))),IF(AND(IFERROR(V1047,0)=1,IFERROR(AG1047,0)=1),IF(IFERROR(T1047,-1E+99)&gt;=IFERROR(AE1047,-1E+99),MAX($D$16,IFERROR(L1047,MAX($D$16,POWER((ABS(K1047)^2)/($I$5*MAX(F1047,0.1)^2),1/3)))),MAX($D$16,IFERROR(W1047,MAX($D$16,POWER((ABS(K1047)^2)/($I$5*MAX(F1047,0.1)^2),1/3))))),IF(IFERROR(V1047,0)=1,MAX($D$16,IFERROR(L1047,MAX($D$16,POWER((ABS(K1047)^2)/($I$5*MAX(F1047,0.1)^2),1/3)))),IF(IFERROR(AG1047,0)=1,MAX($D$16,IFERROR(W1047,MAX($D$16,POWER((ABS(K1047)^2)/($I$5*MAX(F1047,0.1)^2),1/3)))),MAX($D$16,POWER((ABS(K1047)^2)/($I$5*MAX(F1047,0.1)^2),1/3))))))),MAX($D$16,POWER((ABS(K1047)^2)/($I$5*MAX(F1047,0.1)^2),1/3)))</f>
        <v>2.1389677043987478</v>
      </c>
      <c r="AI1047">
        <f t="shared" ca="1" si="517"/>
        <v>634.20946770439878</v>
      </c>
      <c r="AJ1047">
        <f t="shared" ca="1" si="518"/>
        <v>635.27895155659814</v>
      </c>
      <c r="AM1047">
        <v>0</v>
      </c>
      <c r="AN1047">
        <v>0</v>
      </c>
      <c r="AO1047">
        <f t="shared" si="519"/>
        <v>0</v>
      </c>
      <c r="AP1047">
        <f t="shared" si="528"/>
        <v>0</v>
      </c>
      <c r="AQ1047">
        <f t="shared" ca="1" si="520"/>
        <v>1.0000000000000004</v>
      </c>
      <c r="AR1047" t="str">
        <f t="shared" ca="1" si="521"/>
        <v>Supercritical</v>
      </c>
      <c r="AS1047">
        <f t="shared" ca="1" si="522"/>
        <v>3.8141460404132466E-3</v>
      </c>
    </row>
    <row r="1048" spans="1:45" x14ac:dyDescent="0.35">
      <c r="A1048">
        <v>987</v>
      </c>
      <c r="B1048">
        <v>985.99599999999998</v>
      </c>
      <c r="C1048">
        <v>616081.88500000001</v>
      </c>
      <c r="D1048">
        <v>3097021.0440000002</v>
      </c>
      <c r="E1048">
        <v>632.07000000000005</v>
      </c>
      <c r="F1048">
        <v>5.2</v>
      </c>
      <c r="G1048">
        <v>0</v>
      </c>
      <c r="H1048" t="s">
        <v>154</v>
      </c>
      <c r="I1048">
        <v>0</v>
      </c>
      <c r="J1048">
        <f t="shared" si="523"/>
        <v>1</v>
      </c>
      <c r="K1048">
        <f t="shared" ca="1" si="524"/>
        <v>50.95</v>
      </c>
      <c r="L1048">
        <f t="shared" ca="1" si="525"/>
        <v>2.1389677043987478</v>
      </c>
      <c r="M1048">
        <f t="shared" ca="1" si="498"/>
        <v>11.122632062873489</v>
      </c>
      <c r="N1048">
        <f t="shared" ca="1" si="499"/>
        <v>1.1735290000551568</v>
      </c>
      <c r="O1048">
        <f t="shared" ca="1" si="500"/>
        <v>4.5807502857230418</v>
      </c>
      <c r="P1048">
        <f t="shared" ca="1" si="501"/>
        <v>634.20896770439879</v>
      </c>
      <c r="Q1048">
        <f t="shared" ca="1" si="502"/>
        <v>635.27845155659816</v>
      </c>
      <c r="R1048">
        <f t="shared" ca="1" si="503"/>
        <v>3.8141460404132466E-3</v>
      </c>
      <c r="S1048">
        <f t="shared" ca="1" si="504"/>
        <v>1.0000000000000004</v>
      </c>
      <c r="T1048">
        <f t="shared" ca="1" si="505"/>
        <v>35.686426155594638</v>
      </c>
      <c r="U1048">
        <f t="shared" ca="1" si="526"/>
        <v>-3.3141460404522149E-3</v>
      </c>
      <c r="V1048">
        <f t="shared" ca="1" si="527"/>
        <v>1</v>
      </c>
      <c r="W1048">
        <f t="shared" ca="1" si="506"/>
        <v>1.7572917879144809</v>
      </c>
      <c r="X1048">
        <f t="shared" ca="1" si="507"/>
        <v>9.1379172971553011</v>
      </c>
      <c r="Y1048">
        <f t="shared" ca="1" si="508"/>
        <v>1.0485776190729883</v>
      </c>
      <c r="Z1048">
        <f t="shared" ca="1" si="509"/>
        <v>5.5756687594295808</v>
      </c>
      <c r="AA1048">
        <f t="shared" ca="1" si="510"/>
        <v>633.82729178791453</v>
      </c>
      <c r="AB1048">
        <f t="shared" ca="1" si="511"/>
        <v>635.41180157970246</v>
      </c>
      <c r="AC1048">
        <f t="shared" ca="1" si="512"/>
        <v>6.5661228405545268E-3</v>
      </c>
      <c r="AD1048">
        <f t="shared" ca="1" si="513"/>
        <v>1.3428902533559777</v>
      </c>
      <c r="AE1048">
        <f t="shared" ca="1" si="514"/>
        <v>36.98723238024791</v>
      </c>
      <c r="AF1048">
        <f t="shared" ca="1" si="515"/>
        <v>6.2166512707335642E-3</v>
      </c>
      <c r="AG1048">
        <f t="shared" ca="1" si="516"/>
        <v>0</v>
      </c>
      <c r="AH1048">
        <f ca="1">IFERROR(IF(V32="Supercritical",MAX($D$16,IFERROR(L1048,MAX($D$16,POWER((ABS(K1048)^2)/($I$5*MAX(F1048,0.1)^2),1/3)))),IF(V32="Subcritical",MAX($D$16,IFERROR(W1048,MAX($D$16,POWER((ABS(K1048)^2)/($I$5*MAX(F1048,0.1)^2),1/3)))),IF(AND(IFERROR(V1048,0)=1,IFERROR(AG1048,0)=1),IF(IFERROR(T1048,-1E+99)&gt;=IFERROR(AE1048,-1E+99),MAX($D$16,IFERROR(L1048,MAX($D$16,POWER((ABS(K1048)^2)/($I$5*MAX(F1048,0.1)^2),1/3)))),MAX($D$16,IFERROR(W1048,MAX($D$16,POWER((ABS(K1048)^2)/($I$5*MAX(F1048,0.1)^2),1/3))))),IF(IFERROR(V1048,0)=1,MAX($D$16,IFERROR(L1048,MAX($D$16,POWER((ABS(K1048)^2)/($I$5*MAX(F1048,0.1)^2),1/3)))),IF(IFERROR(AG1048,0)=1,MAX($D$16,IFERROR(W1048,MAX($D$16,POWER((ABS(K1048)^2)/($I$5*MAX(F1048,0.1)^2),1/3)))),MAX($D$16,POWER((ABS(K1048)^2)/($I$5*MAX(F1048,0.1)^2),1/3))))))),MAX($D$16,POWER((ABS(K1048)^2)/($I$5*MAX(F1048,0.1)^2),1/3)))</f>
        <v>2.1389677043987478</v>
      </c>
      <c r="AI1048">
        <f t="shared" ca="1" si="517"/>
        <v>634.20896770439879</v>
      </c>
      <c r="AJ1048">
        <f t="shared" ca="1" si="518"/>
        <v>635.27845155659816</v>
      </c>
      <c r="AM1048">
        <v>0</v>
      </c>
      <c r="AN1048">
        <v>0</v>
      </c>
      <c r="AO1048">
        <f t="shared" si="519"/>
        <v>0</v>
      </c>
      <c r="AP1048">
        <f t="shared" si="528"/>
        <v>0</v>
      </c>
      <c r="AQ1048">
        <f t="shared" ca="1" si="520"/>
        <v>1.0000000000000004</v>
      </c>
      <c r="AR1048" t="str">
        <f t="shared" ca="1" si="521"/>
        <v>Supercritical</v>
      </c>
      <c r="AS1048">
        <f t="shared" ca="1" si="522"/>
        <v>3.8141460404132466E-3</v>
      </c>
    </row>
    <row r="1049" spans="1:45" x14ac:dyDescent="0.35">
      <c r="A1049">
        <v>988</v>
      </c>
      <c r="B1049">
        <v>986.99599999999998</v>
      </c>
      <c r="C1049">
        <v>616081.84299999999</v>
      </c>
      <c r="D1049">
        <v>3097020.0449999999</v>
      </c>
      <c r="E1049">
        <v>632.06949999999995</v>
      </c>
      <c r="F1049">
        <v>5.2</v>
      </c>
      <c r="G1049">
        <v>0</v>
      </c>
      <c r="H1049" t="s">
        <v>154</v>
      </c>
      <c r="I1049">
        <v>5.7000000000000002E-2</v>
      </c>
      <c r="J1049">
        <f t="shared" si="523"/>
        <v>1</v>
      </c>
      <c r="K1049">
        <f t="shared" ca="1" si="524"/>
        <v>50.95</v>
      </c>
      <c r="L1049">
        <f t="shared" ca="1" si="525"/>
        <v>2.1389677043987478</v>
      </c>
      <c r="M1049">
        <f t="shared" ca="1" si="498"/>
        <v>11.122632062873489</v>
      </c>
      <c r="N1049">
        <f t="shared" ca="1" si="499"/>
        <v>1.1735290000551568</v>
      </c>
      <c r="O1049">
        <f t="shared" ca="1" si="500"/>
        <v>4.5807502857230418</v>
      </c>
      <c r="P1049">
        <f t="shared" ca="1" si="501"/>
        <v>634.20846770439869</v>
      </c>
      <c r="Q1049">
        <f t="shared" ca="1" si="502"/>
        <v>635.27795155659805</v>
      </c>
      <c r="R1049">
        <f t="shared" ca="1" si="503"/>
        <v>3.8141460404132466E-3</v>
      </c>
      <c r="S1049">
        <f t="shared" ca="1" si="504"/>
        <v>1.0000000000000004</v>
      </c>
      <c r="T1049">
        <f t="shared" ca="1" si="505"/>
        <v>35.686426155594638</v>
      </c>
      <c r="U1049">
        <f t="shared" ca="1" si="526"/>
        <v>-3.4157470063291839E-3</v>
      </c>
      <c r="V1049">
        <f t="shared" ca="1" si="527"/>
        <v>1</v>
      </c>
      <c r="W1049">
        <f t="shared" ca="1" si="506"/>
        <v>1.7533696039325704</v>
      </c>
      <c r="X1049">
        <f t="shared" ca="1" si="507"/>
        <v>9.1175219404493664</v>
      </c>
      <c r="Y1049">
        <f t="shared" ca="1" si="508"/>
        <v>1.047179859506203</v>
      </c>
      <c r="Z1049">
        <f t="shared" ca="1" si="509"/>
        <v>5.5881412002929469</v>
      </c>
      <c r="AA1049">
        <f t="shared" ca="1" si="510"/>
        <v>633.82286960393253</v>
      </c>
      <c r="AB1049">
        <f t="shared" ca="1" si="511"/>
        <v>635.41447623361717</v>
      </c>
      <c r="AC1049">
        <f t="shared" ca="1" si="512"/>
        <v>6.607272515762287E-3</v>
      </c>
      <c r="AD1049">
        <f t="shared" ca="1" si="513"/>
        <v>1.3473987212730623</v>
      </c>
      <c r="AE1049">
        <f t="shared" ca="1" si="514"/>
        <v>37.016209650213803</v>
      </c>
      <c r="AF1049">
        <f t="shared" ca="1" si="515"/>
        <v>6.258475145614284E-3</v>
      </c>
      <c r="AG1049">
        <f t="shared" ca="1" si="516"/>
        <v>0</v>
      </c>
      <c r="AH1049">
        <f ca="1">IFERROR(IF(V32="Supercritical",MAX($D$16,IFERROR(L1049,MAX($D$16,POWER((ABS(K1049)^2)/($I$5*MAX(F1049,0.1)^2),1/3)))),IF(V32="Subcritical",MAX($D$16,IFERROR(W1049,MAX($D$16,POWER((ABS(K1049)^2)/($I$5*MAX(F1049,0.1)^2),1/3)))),IF(AND(IFERROR(V1049,0)=1,IFERROR(AG1049,0)=1),IF(IFERROR(T1049,-1E+99)&gt;=IFERROR(AE1049,-1E+99),MAX($D$16,IFERROR(L1049,MAX($D$16,POWER((ABS(K1049)^2)/($I$5*MAX(F1049,0.1)^2),1/3)))),MAX($D$16,IFERROR(W1049,MAX($D$16,POWER((ABS(K1049)^2)/($I$5*MAX(F1049,0.1)^2),1/3))))),IF(IFERROR(V1049,0)=1,MAX($D$16,IFERROR(L1049,MAX($D$16,POWER((ABS(K1049)^2)/($I$5*MAX(F1049,0.1)^2),1/3)))),IF(IFERROR(AG1049,0)=1,MAX($D$16,IFERROR(W1049,MAX($D$16,POWER((ABS(K1049)^2)/($I$5*MAX(F1049,0.1)^2),1/3)))),MAX($D$16,POWER((ABS(K1049)^2)/($I$5*MAX(F1049,0.1)^2),1/3))))))),MAX($D$16,POWER((ABS(K1049)^2)/($I$5*MAX(F1049,0.1)^2),1/3)))</f>
        <v>2.1389677043987478</v>
      </c>
      <c r="AI1049">
        <f t="shared" ca="1" si="517"/>
        <v>634.20846770439869</v>
      </c>
      <c r="AJ1049">
        <f t="shared" ca="1" si="518"/>
        <v>635.27795155659805</v>
      </c>
      <c r="AM1049">
        <v>0</v>
      </c>
      <c r="AN1049">
        <v>0</v>
      </c>
      <c r="AO1049">
        <f t="shared" si="519"/>
        <v>0</v>
      </c>
      <c r="AP1049">
        <f t="shared" si="528"/>
        <v>0</v>
      </c>
      <c r="AQ1049">
        <f t="shared" ca="1" si="520"/>
        <v>1.0000000000000004</v>
      </c>
      <c r="AR1049" t="str">
        <f t="shared" ca="1" si="521"/>
        <v>Supercritical</v>
      </c>
      <c r="AS1049">
        <f t="shared" ca="1" si="522"/>
        <v>3.8141460404132466E-3</v>
      </c>
    </row>
    <row r="1050" spans="1:45" x14ac:dyDescent="0.35">
      <c r="A1050">
        <v>989</v>
      </c>
      <c r="B1050">
        <v>987.99599999999998</v>
      </c>
      <c r="C1050">
        <v>616081.80000000005</v>
      </c>
      <c r="D1050">
        <v>3097019.0460000001</v>
      </c>
      <c r="E1050">
        <v>632.06899999999996</v>
      </c>
      <c r="F1050">
        <v>5.2</v>
      </c>
      <c r="G1050">
        <v>0</v>
      </c>
      <c r="H1050" t="s">
        <v>154</v>
      </c>
      <c r="I1050">
        <v>5.7000000000000002E-2</v>
      </c>
      <c r="J1050">
        <f t="shared" si="523"/>
        <v>1</v>
      </c>
      <c r="K1050">
        <f t="shared" ca="1" si="524"/>
        <v>50.95</v>
      </c>
      <c r="L1050">
        <f t="shared" ca="1" si="525"/>
        <v>2.1389677043987478</v>
      </c>
      <c r="M1050">
        <f t="shared" ca="1" si="498"/>
        <v>11.122632062873489</v>
      </c>
      <c r="N1050">
        <f t="shared" ca="1" si="499"/>
        <v>1.1735290000551568</v>
      </c>
      <c r="O1050">
        <f t="shared" ca="1" si="500"/>
        <v>4.5807502857230418</v>
      </c>
      <c r="P1050">
        <f t="shared" ca="1" si="501"/>
        <v>634.2079677043987</v>
      </c>
      <c r="Q1050">
        <f t="shared" ca="1" si="502"/>
        <v>635.27745155659807</v>
      </c>
      <c r="R1050">
        <f t="shared" ca="1" si="503"/>
        <v>3.8141460404132466E-3</v>
      </c>
      <c r="S1050">
        <f t="shared" ca="1" si="504"/>
        <v>1.0000000000000004</v>
      </c>
      <c r="T1050">
        <f t="shared" ca="1" si="505"/>
        <v>35.686426155594638</v>
      </c>
      <c r="U1050">
        <f t="shared" ca="1" si="526"/>
        <v>-3.4157470064428708E-3</v>
      </c>
      <c r="V1050">
        <f t="shared" ca="1" si="527"/>
        <v>1</v>
      </c>
      <c r="W1050">
        <f t="shared" ca="1" si="506"/>
        <v>1.7496011741068784</v>
      </c>
      <c r="X1050">
        <f t="shared" ca="1" si="507"/>
        <v>9.0979261053557678</v>
      </c>
      <c r="Y1050">
        <f t="shared" ca="1" si="508"/>
        <v>1.0458345192101299</v>
      </c>
      <c r="Z1050">
        <f t="shared" ca="1" si="509"/>
        <v>5.6001773821845786</v>
      </c>
      <c r="AA1050">
        <f t="shared" ca="1" si="510"/>
        <v>633.81860117410679</v>
      </c>
      <c r="AB1050">
        <f t="shared" ca="1" si="511"/>
        <v>635.41707144484747</v>
      </c>
      <c r="AC1050">
        <f t="shared" ca="1" si="512"/>
        <v>6.6471496289439861E-3</v>
      </c>
      <c r="AD1050">
        <f t="shared" ca="1" si="513"/>
        <v>1.3517542659067456</v>
      </c>
      <c r="AE1050">
        <f t="shared" ca="1" si="514"/>
        <v>37.04439990754711</v>
      </c>
      <c r="AF1050">
        <f t="shared" ca="1" si="515"/>
        <v>6.147149628986881E-3</v>
      </c>
      <c r="AG1050">
        <f t="shared" ca="1" si="516"/>
        <v>0</v>
      </c>
      <c r="AH1050">
        <f ca="1">IFERROR(IF(V32="Supercritical",MAX($D$16,IFERROR(L1050,MAX($D$16,POWER((ABS(K1050)^2)/($I$5*MAX(F1050,0.1)^2),1/3)))),IF(V32="Subcritical",MAX($D$16,IFERROR(W1050,MAX($D$16,POWER((ABS(K1050)^2)/($I$5*MAX(F1050,0.1)^2),1/3)))),IF(AND(IFERROR(V1050,0)=1,IFERROR(AG1050,0)=1),IF(IFERROR(T1050,-1E+99)&gt;=IFERROR(AE1050,-1E+99),MAX($D$16,IFERROR(L1050,MAX($D$16,POWER((ABS(K1050)^2)/($I$5*MAX(F1050,0.1)^2),1/3)))),MAX($D$16,IFERROR(W1050,MAX($D$16,POWER((ABS(K1050)^2)/($I$5*MAX(F1050,0.1)^2),1/3))))),IF(IFERROR(V1050,0)=1,MAX($D$16,IFERROR(L1050,MAX($D$16,POWER((ABS(K1050)^2)/($I$5*MAX(F1050,0.1)^2),1/3)))),IF(IFERROR(AG1050,0)=1,MAX($D$16,IFERROR(W1050,MAX($D$16,POWER((ABS(K1050)^2)/($I$5*MAX(F1050,0.1)^2),1/3)))),MAX($D$16,POWER((ABS(K1050)^2)/($I$5*MAX(F1050,0.1)^2),1/3))))))),MAX($D$16,POWER((ABS(K1050)^2)/($I$5*MAX(F1050,0.1)^2),1/3)))</f>
        <v>2.1389677043987478</v>
      </c>
      <c r="AI1050">
        <f t="shared" ca="1" si="517"/>
        <v>634.2079677043987</v>
      </c>
      <c r="AJ1050">
        <f t="shared" ca="1" si="518"/>
        <v>635.27745155659807</v>
      </c>
      <c r="AM1050">
        <v>0</v>
      </c>
      <c r="AN1050">
        <v>0</v>
      </c>
      <c r="AO1050">
        <f t="shared" si="519"/>
        <v>0</v>
      </c>
      <c r="AP1050">
        <f t="shared" si="528"/>
        <v>0</v>
      </c>
      <c r="AQ1050">
        <f t="shared" ca="1" si="520"/>
        <v>1.0000000000000004</v>
      </c>
      <c r="AR1050" t="str">
        <f t="shared" ca="1" si="521"/>
        <v>Supercritical</v>
      </c>
      <c r="AS1050">
        <f t="shared" ca="1" si="522"/>
        <v>3.8141460404132466E-3</v>
      </c>
    </row>
    <row r="1051" spans="1:45" x14ac:dyDescent="0.35">
      <c r="A1051">
        <v>990</v>
      </c>
      <c r="B1051">
        <v>988.99599999999998</v>
      </c>
      <c r="C1051">
        <v>616081.75800000003</v>
      </c>
      <c r="D1051">
        <v>3097018.0469999998</v>
      </c>
      <c r="E1051">
        <v>632.06849999999997</v>
      </c>
      <c r="F1051">
        <v>5.2</v>
      </c>
      <c r="G1051">
        <v>0</v>
      </c>
      <c r="H1051" t="s">
        <v>154</v>
      </c>
      <c r="I1051">
        <v>0</v>
      </c>
      <c r="J1051">
        <f t="shared" si="523"/>
        <v>1</v>
      </c>
      <c r="K1051">
        <f t="shared" ca="1" si="524"/>
        <v>50.95</v>
      </c>
      <c r="L1051">
        <f t="shared" ca="1" si="525"/>
        <v>2.1389677043987478</v>
      </c>
      <c r="M1051">
        <f t="shared" ca="1" si="498"/>
        <v>11.122632062873489</v>
      </c>
      <c r="N1051">
        <f t="shared" ca="1" si="499"/>
        <v>1.1735290000551568</v>
      </c>
      <c r="O1051">
        <f t="shared" ca="1" si="500"/>
        <v>4.5807502857230418</v>
      </c>
      <c r="P1051">
        <f t="shared" ca="1" si="501"/>
        <v>634.20746770439871</v>
      </c>
      <c r="Q1051">
        <f t="shared" ca="1" si="502"/>
        <v>635.27695155659808</v>
      </c>
      <c r="R1051">
        <f t="shared" ca="1" si="503"/>
        <v>3.8141460404132466E-3</v>
      </c>
      <c r="S1051">
        <f t="shared" ca="1" si="504"/>
        <v>1.0000000000000004</v>
      </c>
      <c r="T1051">
        <f t="shared" ca="1" si="505"/>
        <v>35.686426155594638</v>
      </c>
      <c r="U1051">
        <f t="shared" ca="1" si="526"/>
        <v>-3.3141460404522149E-3</v>
      </c>
      <c r="V1051">
        <f t="shared" ca="1" si="527"/>
        <v>1</v>
      </c>
      <c r="W1051">
        <f t="shared" ca="1" si="506"/>
        <v>1.7459851713347276</v>
      </c>
      <c r="X1051">
        <f t="shared" ca="1" si="507"/>
        <v>9.0791228909405834</v>
      </c>
      <c r="Y1051">
        <f t="shared" ca="1" si="508"/>
        <v>1.0445414023527635</v>
      </c>
      <c r="Z1051">
        <f t="shared" ca="1" si="509"/>
        <v>5.6117755659899062</v>
      </c>
      <c r="AA1051">
        <f t="shared" ca="1" si="510"/>
        <v>633.8144851713347</v>
      </c>
      <c r="AB1051">
        <f t="shared" ca="1" si="511"/>
        <v>635.41958328565897</v>
      </c>
      <c r="AC1051">
        <f t="shared" ca="1" si="512"/>
        <v>6.6857309269027984E-3</v>
      </c>
      <c r="AD1051">
        <f t="shared" ca="1" si="513"/>
        <v>1.3559557423815249</v>
      </c>
      <c r="AE1051">
        <f t="shared" ca="1" si="514"/>
        <v>37.071773032087272</v>
      </c>
      <c r="AF1051">
        <f t="shared" ca="1" si="515"/>
        <v>6.179045195949584E-3</v>
      </c>
      <c r="AG1051">
        <f t="shared" ca="1" si="516"/>
        <v>0</v>
      </c>
      <c r="AH1051">
        <f ca="1">IFERROR(IF(V32="Supercritical",MAX($D$16,IFERROR(L1051,MAX($D$16,POWER((ABS(K1051)^2)/($I$5*MAX(F1051,0.1)^2),1/3)))),IF(V32="Subcritical",MAX($D$16,IFERROR(W1051,MAX($D$16,POWER((ABS(K1051)^2)/($I$5*MAX(F1051,0.1)^2),1/3)))),IF(AND(IFERROR(V1051,0)=1,IFERROR(AG1051,0)=1),IF(IFERROR(T1051,-1E+99)&gt;=IFERROR(AE1051,-1E+99),MAX($D$16,IFERROR(L1051,MAX($D$16,POWER((ABS(K1051)^2)/($I$5*MAX(F1051,0.1)^2),1/3)))),MAX($D$16,IFERROR(W1051,MAX($D$16,POWER((ABS(K1051)^2)/($I$5*MAX(F1051,0.1)^2),1/3))))),IF(IFERROR(V1051,0)=1,MAX($D$16,IFERROR(L1051,MAX($D$16,POWER((ABS(K1051)^2)/($I$5*MAX(F1051,0.1)^2),1/3)))),IF(IFERROR(AG1051,0)=1,MAX($D$16,IFERROR(W1051,MAX($D$16,POWER((ABS(K1051)^2)/($I$5*MAX(F1051,0.1)^2),1/3)))),MAX($D$16,POWER((ABS(K1051)^2)/($I$5*MAX(F1051,0.1)^2),1/3))))))),MAX($D$16,POWER((ABS(K1051)^2)/($I$5*MAX(F1051,0.1)^2),1/3)))</f>
        <v>2.1389677043987478</v>
      </c>
      <c r="AI1051">
        <f t="shared" ca="1" si="517"/>
        <v>634.20746770439871</v>
      </c>
      <c r="AJ1051">
        <f t="shared" ca="1" si="518"/>
        <v>635.27695155659808</v>
      </c>
      <c r="AM1051">
        <v>0</v>
      </c>
      <c r="AN1051">
        <v>0</v>
      </c>
      <c r="AO1051">
        <f t="shared" si="519"/>
        <v>0</v>
      </c>
      <c r="AP1051">
        <f t="shared" si="528"/>
        <v>0</v>
      </c>
      <c r="AQ1051">
        <f t="shared" ca="1" si="520"/>
        <v>1.0000000000000004</v>
      </c>
      <c r="AR1051" t="str">
        <f t="shared" ca="1" si="521"/>
        <v>Supercritical</v>
      </c>
      <c r="AS1051">
        <f t="shared" ca="1" si="522"/>
        <v>3.8141460404132466E-3</v>
      </c>
    </row>
    <row r="1052" spans="1:45" x14ac:dyDescent="0.35">
      <c r="A1052">
        <v>991</v>
      </c>
      <c r="B1052">
        <v>989.995</v>
      </c>
      <c r="C1052">
        <v>616081.71600000001</v>
      </c>
      <c r="D1052">
        <v>3097017.048</v>
      </c>
      <c r="E1052">
        <v>632.06799999999998</v>
      </c>
      <c r="F1052">
        <v>5.2</v>
      </c>
      <c r="G1052">
        <v>0</v>
      </c>
      <c r="H1052" t="s">
        <v>154</v>
      </c>
      <c r="I1052">
        <v>0</v>
      </c>
      <c r="J1052">
        <f t="shared" si="523"/>
        <v>0.99900000000002365</v>
      </c>
      <c r="K1052">
        <f t="shared" ca="1" si="524"/>
        <v>50.95</v>
      </c>
      <c r="L1052">
        <f t="shared" ca="1" si="525"/>
        <v>2.1389677043987478</v>
      </c>
      <c r="M1052">
        <f t="shared" ca="1" si="498"/>
        <v>11.122632062873489</v>
      </c>
      <c r="N1052">
        <f t="shared" ca="1" si="499"/>
        <v>1.1735290000551568</v>
      </c>
      <c r="O1052">
        <f t="shared" ca="1" si="500"/>
        <v>4.5807502857230418</v>
      </c>
      <c r="P1052">
        <f t="shared" ca="1" si="501"/>
        <v>634.20696770439872</v>
      </c>
      <c r="Q1052">
        <f t="shared" ca="1" si="502"/>
        <v>635.27645155659809</v>
      </c>
      <c r="R1052">
        <f t="shared" ca="1" si="503"/>
        <v>3.8141460404132466E-3</v>
      </c>
      <c r="S1052">
        <f t="shared" ca="1" si="504"/>
        <v>1.0000000000000004</v>
      </c>
      <c r="T1052">
        <f t="shared" ca="1" si="505"/>
        <v>35.686426155594638</v>
      </c>
      <c r="U1052">
        <f t="shared" ca="1" si="526"/>
        <v>-3.3103318943403792E-3</v>
      </c>
      <c r="V1052">
        <f t="shared" ca="1" si="527"/>
        <v>1</v>
      </c>
      <c r="W1052">
        <f t="shared" ca="1" si="506"/>
        <v>1.742519798125697</v>
      </c>
      <c r="X1052">
        <f t="shared" ca="1" si="507"/>
        <v>9.0611029502536251</v>
      </c>
      <c r="Y1052">
        <f t="shared" ca="1" si="508"/>
        <v>1.0433001312008463</v>
      </c>
      <c r="Z1052">
        <f t="shared" ca="1" si="509"/>
        <v>5.622935781628426</v>
      </c>
      <c r="AA1052">
        <f t="shared" ca="1" si="510"/>
        <v>633.81051979812571</v>
      </c>
      <c r="AB1052">
        <f t="shared" ca="1" si="511"/>
        <v>635.42200842219893</v>
      </c>
      <c r="AC1052">
        <f t="shared" ca="1" si="512"/>
        <v>6.7229995556661775E-3</v>
      </c>
      <c r="AD1052">
        <f t="shared" ca="1" si="513"/>
        <v>1.3600026646504677</v>
      </c>
      <c r="AE1052">
        <f t="shared" ca="1" si="514"/>
        <v>37.098304293616714</v>
      </c>
      <c r="AF1052">
        <f t="shared" ca="1" si="515"/>
        <v>6.3760909749817074E-3</v>
      </c>
      <c r="AG1052">
        <f t="shared" ca="1" si="516"/>
        <v>0</v>
      </c>
      <c r="AH1052">
        <f ca="1">IFERROR(IF(V32="Supercritical",MAX($D$16,IFERROR(L1052,MAX($D$16,POWER((ABS(K1052)^2)/($I$5*MAX(F1052,0.1)^2),1/3)))),IF(V32="Subcritical",MAX($D$16,IFERROR(W1052,MAX($D$16,POWER((ABS(K1052)^2)/($I$5*MAX(F1052,0.1)^2),1/3)))),IF(AND(IFERROR(V1052,0)=1,IFERROR(AG1052,0)=1),IF(IFERROR(T1052,-1E+99)&gt;=IFERROR(AE1052,-1E+99),MAX($D$16,IFERROR(L1052,MAX($D$16,POWER((ABS(K1052)^2)/($I$5*MAX(F1052,0.1)^2),1/3)))),MAX($D$16,IFERROR(W1052,MAX($D$16,POWER((ABS(K1052)^2)/($I$5*MAX(F1052,0.1)^2),1/3))))),IF(IFERROR(V1052,0)=1,MAX($D$16,IFERROR(L1052,MAX($D$16,POWER((ABS(K1052)^2)/($I$5*MAX(F1052,0.1)^2),1/3)))),IF(IFERROR(AG1052,0)=1,MAX($D$16,IFERROR(W1052,MAX($D$16,POWER((ABS(K1052)^2)/($I$5*MAX(F1052,0.1)^2),1/3)))),MAX($D$16,POWER((ABS(K1052)^2)/($I$5*MAX(F1052,0.1)^2),1/3))))))),MAX($D$16,POWER((ABS(K1052)^2)/($I$5*MAX(F1052,0.1)^2),1/3)))</f>
        <v>2.1389677043987478</v>
      </c>
      <c r="AI1052">
        <f t="shared" ca="1" si="517"/>
        <v>634.20696770439872</v>
      </c>
      <c r="AJ1052">
        <f t="shared" ca="1" si="518"/>
        <v>635.27645155659809</v>
      </c>
      <c r="AM1052">
        <v>0</v>
      </c>
      <c r="AN1052">
        <v>0</v>
      </c>
      <c r="AO1052">
        <f t="shared" si="519"/>
        <v>0</v>
      </c>
      <c r="AP1052">
        <f t="shared" si="528"/>
        <v>0</v>
      </c>
      <c r="AQ1052">
        <f t="shared" ca="1" si="520"/>
        <v>1.0000000000000004</v>
      </c>
      <c r="AR1052" t="str">
        <f t="shared" ca="1" si="521"/>
        <v>Supercritical</v>
      </c>
      <c r="AS1052">
        <f t="shared" ca="1" si="522"/>
        <v>3.8141460404132466E-3</v>
      </c>
    </row>
    <row r="1053" spans="1:45" x14ac:dyDescent="0.35">
      <c r="A1053">
        <v>992</v>
      </c>
      <c r="B1053">
        <v>990.995</v>
      </c>
      <c r="C1053">
        <v>616081.674</v>
      </c>
      <c r="D1053">
        <v>3097016.0490000001</v>
      </c>
      <c r="E1053">
        <v>632.0675</v>
      </c>
      <c r="F1053">
        <v>5.2</v>
      </c>
      <c r="G1053">
        <v>0</v>
      </c>
      <c r="H1053" t="s">
        <v>154</v>
      </c>
      <c r="I1053">
        <v>5.7000000000000002E-2</v>
      </c>
      <c r="J1053">
        <f t="shared" si="523"/>
        <v>1</v>
      </c>
      <c r="K1053">
        <f t="shared" ca="1" si="524"/>
        <v>50.95</v>
      </c>
      <c r="L1053">
        <f t="shared" ca="1" si="525"/>
        <v>2.1389677043987478</v>
      </c>
      <c r="M1053">
        <f t="shared" ca="1" si="498"/>
        <v>11.122632062873489</v>
      </c>
      <c r="N1053">
        <f t="shared" ca="1" si="499"/>
        <v>1.1735290000551568</v>
      </c>
      <c r="O1053">
        <f t="shared" ca="1" si="500"/>
        <v>4.5807502857230418</v>
      </c>
      <c r="P1053">
        <f t="shared" ca="1" si="501"/>
        <v>634.20646770439873</v>
      </c>
      <c r="Q1053">
        <f t="shared" ca="1" si="502"/>
        <v>635.2759515565981</v>
      </c>
      <c r="R1053">
        <f t="shared" ca="1" si="503"/>
        <v>3.8141460404132466E-3</v>
      </c>
      <c r="S1053">
        <f t="shared" ca="1" si="504"/>
        <v>1.0000000000000004</v>
      </c>
      <c r="T1053">
        <f t="shared" ca="1" si="505"/>
        <v>35.686426155594638</v>
      </c>
      <c r="U1053">
        <f t="shared" ca="1" si="526"/>
        <v>-3.4157470064428708E-3</v>
      </c>
      <c r="V1053">
        <f t="shared" ca="1" si="527"/>
        <v>1</v>
      </c>
      <c r="W1053">
        <f t="shared" ca="1" si="506"/>
        <v>1.7392028273117814</v>
      </c>
      <c r="X1053">
        <f t="shared" ca="1" si="507"/>
        <v>9.0438547020212638</v>
      </c>
      <c r="Y1053">
        <f t="shared" ca="1" si="508"/>
        <v>1.0421101596239628</v>
      </c>
      <c r="Z1053">
        <f t="shared" ca="1" si="509"/>
        <v>5.6336597257155061</v>
      </c>
      <c r="AA1053">
        <f t="shared" ca="1" si="510"/>
        <v>633.80670282731182</v>
      </c>
      <c r="AB1053">
        <f t="shared" ca="1" si="511"/>
        <v>635.42434410688111</v>
      </c>
      <c r="AC1053">
        <f t="shared" ca="1" si="512"/>
        <v>6.7589448401514252E-3</v>
      </c>
      <c r="AD1053">
        <f t="shared" ca="1" si="513"/>
        <v>1.3638951715405701</v>
      </c>
      <c r="AE1053">
        <f t="shared" ca="1" si="514"/>
        <v>37.123974218608481</v>
      </c>
      <c r="AF1053">
        <f t="shared" ca="1" si="515"/>
        <v>6.4207089681076468E-3</v>
      </c>
      <c r="AG1053">
        <f t="shared" ca="1" si="516"/>
        <v>0</v>
      </c>
      <c r="AH1053">
        <f ca="1">IFERROR(IF(V32="Supercritical",MAX($D$16,IFERROR(L1053,MAX($D$16,POWER((ABS(K1053)^2)/($I$5*MAX(F1053,0.1)^2),1/3)))),IF(V32="Subcritical",MAX($D$16,IFERROR(W1053,MAX($D$16,POWER((ABS(K1053)^2)/($I$5*MAX(F1053,0.1)^2),1/3)))),IF(AND(IFERROR(V1053,0)=1,IFERROR(AG1053,0)=1),IF(IFERROR(T1053,-1E+99)&gt;=IFERROR(AE1053,-1E+99),MAX($D$16,IFERROR(L1053,MAX($D$16,POWER((ABS(K1053)^2)/($I$5*MAX(F1053,0.1)^2),1/3)))),MAX($D$16,IFERROR(W1053,MAX($D$16,POWER((ABS(K1053)^2)/($I$5*MAX(F1053,0.1)^2),1/3))))),IF(IFERROR(V1053,0)=1,MAX($D$16,IFERROR(L1053,MAX($D$16,POWER((ABS(K1053)^2)/($I$5*MAX(F1053,0.1)^2),1/3)))),IF(IFERROR(AG1053,0)=1,MAX($D$16,IFERROR(W1053,MAX($D$16,POWER((ABS(K1053)^2)/($I$5*MAX(F1053,0.1)^2),1/3)))),MAX($D$16,POWER((ABS(K1053)^2)/($I$5*MAX(F1053,0.1)^2),1/3))))))),MAX($D$16,POWER((ABS(K1053)^2)/($I$5*MAX(F1053,0.1)^2),1/3)))</f>
        <v>2.1389677043987478</v>
      </c>
      <c r="AI1053">
        <f t="shared" ca="1" si="517"/>
        <v>634.20646770439873</v>
      </c>
      <c r="AJ1053">
        <f t="shared" ca="1" si="518"/>
        <v>635.2759515565981</v>
      </c>
      <c r="AM1053">
        <v>0</v>
      </c>
      <c r="AN1053">
        <v>0</v>
      </c>
      <c r="AO1053">
        <f t="shared" si="519"/>
        <v>0</v>
      </c>
      <c r="AP1053">
        <f t="shared" si="528"/>
        <v>0</v>
      </c>
      <c r="AQ1053">
        <f t="shared" ca="1" si="520"/>
        <v>1.0000000000000004</v>
      </c>
      <c r="AR1053" t="str">
        <f t="shared" ca="1" si="521"/>
        <v>Supercritical</v>
      </c>
      <c r="AS1053">
        <f t="shared" ca="1" si="522"/>
        <v>3.8141460404132466E-3</v>
      </c>
    </row>
    <row r="1054" spans="1:45" x14ac:dyDescent="0.35">
      <c r="A1054">
        <v>993</v>
      </c>
      <c r="B1054">
        <v>991.995</v>
      </c>
      <c r="C1054">
        <v>616081.63100000005</v>
      </c>
      <c r="D1054">
        <v>3097015.05</v>
      </c>
      <c r="E1054">
        <v>632.06700000000001</v>
      </c>
      <c r="F1054">
        <v>5.2</v>
      </c>
      <c r="G1054">
        <v>0</v>
      </c>
      <c r="H1054" t="s">
        <v>154</v>
      </c>
      <c r="I1054">
        <v>0.06</v>
      </c>
      <c r="J1054">
        <f t="shared" si="523"/>
        <v>1</v>
      </c>
      <c r="K1054">
        <f t="shared" ca="1" si="524"/>
        <v>50.95</v>
      </c>
      <c r="L1054">
        <f t="shared" ca="1" si="525"/>
        <v>2.1389677043987478</v>
      </c>
      <c r="M1054">
        <f t="shared" ca="1" si="498"/>
        <v>11.122632062873489</v>
      </c>
      <c r="N1054">
        <f t="shared" ca="1" si="499"/>
        <v>1.1735290000551568</v>
      </c>
      <c r="O1054">
        <f t="shared" ca="1" si="500"/>
        <v>4.5807502857230418</v>
      </c>
      <c r="P1054">
        <f t="shared" ca="1" si="501"/>
        <v>634.20596770439874</v>
      </c>
      <c r="Q1054">
        <f t="shared" ca="1" si="502"/>
        <v>635.27545155659811</v>
      </c>
      <c r="R1054">
        <f t="shared" ca="1" si="503"/>
        <v>3.8141460404132466E-3</v>
      </c>
      <c r="S1054">
        <f t="shared" ca="1" si="504"/>
        <v>1.0000000000000004</v>
      </c>
      <c r="T1054">
        <f t="shared" ca="1" si="505"/>
        <v>35.686426155594638</v>
      </c>
      <c r="U1054">
        <f t="shared" ca="1" si="526"/>
        <v>-3.4210944256756193E-3</v>
      </c>
      <c r="V1054">
        <f t="shared" ca="1" si="527"/>
        <v>1</v>
      </c>
      <c r="W1054">
        <f t="shared" ca="1" si="506"/>
        <v>1.7360316438065337</v>
      </c>
      <c r="X1054">
        <f t="shared" ca="1" si="507"/>
        <v>9.0273645477939759</v>
      </c>
      <c r="Y1054">
        <f t="shared" ca="1" si="508"/>
        <v>1.0409707872737057</v>
      </c>
      <c r="Z1054">
        <f t="shared" ca="1" si="509"/>
        <v>5.6439506491903773</v>
      </c>
      <c r="AA1054">
        <f t="shared" ca="1" si="510"/>
        <v>633.80303164380655</v>
      </c>
      <c r="AB1054">
        <f t="shared" ca="1" si="511"/>
        <v>635.4265881642192</v>
      </c>
      <c r="AC1054">
        <f t="shared" ca="1" si="512"/>
        <v>6.7935620100669008E-3</v>
      </c>
      <c r="AD1054">
        <f t="shared" ca="1" si="513"/>
        <v>1.3676339885685922</v>
      </c>
      <c r="AE1054">
        <f t="shared" ca="1" si="514"/>
        <v>37.148768404999863</v>
      </c>
      <c r="AF1054">
        <f t="shared" ca="1" si="515"/>
        <v>6.3057674271931319E-3</v>
      </c>
      <c r="AG1054">
        <f t="shared" ca="1" si="516"/>
        <v>0</v>
      </c>
      <c r="AH1054">
        <f ca="1">IFERROR(IF(V32="Supercritical",MAX($D$16,IFERROR(L1054,MAX($D$16,POWER((ABS(K1054)^2)/($I$5*MAX(F1054,0.1)^2),1/3)))),IF(V32="Subcritical",MAX($D$16,IFERROR(W1054,MAX($D$16,POWER((ABS(K1054)^2)/($I$5*MAX(F1054,0.1)^2),1/3)))),IF(AND(IFERROR(V1054,0)=1,IFERROR(AG1054,0)=1),IF(IFERROR(T1054,-1E+99)&gt;=IFERROR(AE1054,-1E+99),MAX($D$16,IFERROR(L1054,MAX($D$16,POWER((ABS(K1054)^2)/($I$5*MAX(F1054,0.1)^2),1/3)))),MAX($D$16,IFERROR(W1054,MAX($D$16,POWER((ABS(K1054)^2)/($I$5*MAX(F1054,0.1)^2),1/3))))),IF(IFERROR(V1054,0)=1,MAX($D$16,IFERROR(L1054,MAX($D$16,POWER((ABS(K1054)^2)/($I$5*MAX(F1054,0.1)^2),1/3)))),IF(IFERROR(AG1054,0)=1,MAX($D$16,IFERROR(W1054,MAX($D$16,POWER((ABS(K1054)^2)/($I$5*MAX(F1054,0.1)^2),1/3)))),MAX($D$16,POWER((ABS(K1054)^2)/($I$5*MAX(F1054,0.1)^2),1/3))))))),MAX($D$16,POWER((ABS(K1054)^2)/($I$5*MAX(F1054,0.1)^2),1/3)))</f>
        <v>2.1389677043987478</v>
      </c>
      <c r="AI1054">
        <f t="shared" ca="1" si="517"/>
        <v>634.20596770439874</v>
      </c>
      <c r="AJ1054">
        <f t="shared" ca="1" si="518"/>
        <v>635.27545155659811</v>
      </c>
      <c r="AM1054">
        <v>0</v>
      </c>
      <c r="AN1054">
        <v>0</v>
      </c>
      <c r="AO1054">
        <f t="shared" si="519"/>
        <v>0</v>
      </c>
      <c r="AP1054">
        <f t="shared" si="528"/>
        <v>0</v>
      </c>
      <c r="AQ1054">
        <f t="shared" ca="1" si="520"/>
        <v>1.0000000000000004</v>
      </c>
      <c r="AR1054" t="str">
        <f t="shared" ca="1" si="521"/>
        <v>Supercritical</v>
      </c>
      <c r="AS1054">
        <f t="shared" ca="1" si="522"/>
        <v>3.8141460404132466E-3</v>
      </c>
    </row>
    <row r="1055" spans="1:45" x14ac:dyDescent="0.35">
      <c r="A1055">
        <v>994</v>
      </c>
      <c r="B1055">
        <v>992.99599999999998</v>
      </c>
      <c r="C1055">
        <v>616081.58900000004</v>
      </c>
      <c r="D1055">
        <v>3097014.05</v>
      </c>
      <c r="E1055">
        <v>632.06650000000002</v>
      </c>
      <c r="F1055">
        <v>5.2</v>
      </c>
      <c r="G1055">
        <v>0</v>
      </c>
      <c r="H1055" t="s">
        <v>154</v>
      </c>
      <c r="I1055">
        <v>2E-3</v>
      </c>
      <c r="J1055">
        <f t="shared" si="523"/>
        <v>1.0009999999999764</v>
      </c>
      <c r="K1055">
        <f t="shared" ca="1" si="524"/>
        <v>50.95</v>
      </c>
      <c r="L1055">
        <f t="shared" ca="1" si="525"/>
        <v>2.1389677043987478</v>
      </c>
      <c r="M1055">
        <f t="shared" ca="1" si="498"/>
        <v>11.122632062873489</v>
      </c>
      <c r="N1055">
        <f t="shared" ca="1" si="499"/>
        <v>1.1735290000551568</v>
      </c>
      <c r="O1055">
        <f t="shared" ca="1" si="500"/>
        <v>4.5807502857230418</v>
      </c>
      <c r="P1055">
        <f t="shared" ca="1" si="501"/>
        <v>634.20546770439876</v>
      </c>
      <c r="Q1055">
        <f t="shared" ca="1" si="502"/>
        <v>635.27495155659813</v>
      </c>
      <c r="R1055">
        <f t="shared" ca="1" si="503"/>
        <v>3.8141460404132466E-3</v>
      </c>
      <c r="S1055">
        <f t="shared" ca="1" si="504"/>
        <v>1.0000000000000004</v>
      </c>
      <c r="T1055">
        <f t="shared" ca="1" si="505"/>
        <v>35.686426155594638</v>
      </c>
      <c r="U1055">
        <f t="shared" ca="1" si="526"/>
        <v>-3.3215251326055295E-3</v>
      </c>
      <c r="V1055">
        <f t="shared" ca="1" si="527"/>
        <v>1</v>
      </c>
      <c r="W1055">
        <f t="shared" ca="1" si="506"/>
        <v>1.7330032867763105</v>
      </c>
      <c r="X1055">
        <f t="shared" ca="1" si="507"/>
        <v>9.0116170912368148</v>
      </c>
      <c r="Y1055">
        <f t="shared" ca="1" si="508"/>
        <v>1.0398811741891525</v>
      </c>
      <c r="Z1055">
        <f t="shared" ca="1" si="509"/>
        <v>5.6538132373095848</v>
      </c>
      <c r="AA1055">
        <f t="shared" ca="1" si="510"/>
        <v>633.79950328677637</v>
      </c>
      <c r="AB1055">
        <f t="shared" ca="1" si="511"/>
        <v>635.42873897089351</v>
      </c>
      <c r="AC1055">
        <f t="shared" ca="1" si="512"/>
        <v>6.8268518803124541E-3</v>
      </c>
      <c r="AD1055">
        <f t="shared" ca="1" si="513"/>
        <v>1.3712203864141905</v>
      </c>
      <c r="AE1055">
        <f t="shared" ca="1" si="514"/>
        <v>37.172677292426229</v>
      </c>
      <c r="AF1055">
        <f t="shared" ca="1" si="515"/>
        <v>6.3268518803170082E-3</v>
      </c>
      <c r="AG1055">
        <f t="shared" ca="1" si="516"/>
        <v>0</v>
      </c>
      <c r="AH1055">
        <f ca="1">IFERROR(IF(V32="Supercritical",MAX($D$16,IFERROR(L1055,MAX($D$16,POWER((ABS(K1055)^2)/($I$5*MAX(F1055,0.1)^2),1/3)))),IF(V32="Subcritical",MAX($D$16,IFERROR(W1055,MAX($D$16,POWER((ABS(K1055)^2)/($I$5*MAX(F1055,0.1)^2),1/3)))),IF(AND(IFERROR(V1055,0)=1,IFERROR(AG1055,0)=1),IF(IFERROR(T1055,-1E+99)&gt;=IFERROR(AE1055,-1E+99),MAX($D$16,IFERROR(L1055,MAX($D$16,POWER((ABS(K1055)^2)/($I$5*MAX(F1055,0.1)^2),1/3)))),MAX($D$16,IFERROR(W1055,MAX($D$16,POWER((ABS(K1055)^2)/($I$5*MAX(F1055,0.1)^2),1/3))))),IF(IFERROR(V1055,0)=1,MAX($D$16,IFERROR(L1055,MAX($D$16,POWER((ABS(K1055)^2)/($I$5*MAX(F1055,0.1)^2),1/3)))),IF(IFERROR(AG1055,0)=1,MAX($D$16,IFERROR(W1055,MAX($D$16,POWER((ABS(K1055)^2)/($I$5*MAX(F1055,0.1)^2),1/3)))),MAX($D$16,POWER((ABS(K1055)^2)/($I$5*MAX(F1055,0.1)^2),1/3))))))),MAX($D$16,POWER((ABS(K1055)^2)/($I$5*MAX(F1055,0.1)^2),1/3)))</f>
        <v>2.1389677043987478</v>
      </c>
      <c r="AI1055">
        <f t="shared" ca="1" si="517"/>
        <v>634.20546770439876</v>
      </c>
      <c r="AJ1055">
        <f t="shared" ca="1" si="518"/>
        <v>635.27495155659813</v>
      </c>
      <c r="AM1055">
        <v>0</v>
      </c>
      <c r="AN1055">
        <v>0</v>
      </c>
      <c r="AO1055">
        <f t="shared" si="519"/>
        <v>0</v>
      </c>
      <c r="AP1055">
        <f t="shared" si="528"/>
        <v>0</v>
      </c>
      <c r="AQ1055">
        <f t="shared" ca="1" si="520"/>
        <v>1.0000000000000004</v>
      </c>
      <c r="AR1055" t="str">
        <f t="shared" ca="1" si="521"/>
        <v>Supercritical</v>
      </c>
      <c r="AS1055">
        <f t="shared" ca="1" si="522"/>
        <v>3.8141460404132466E-3</v>
      </c>
    </row>
    <row r="1056" spans="1:45" x14ac:dyDescent="0.35">
      <c r="A1056">
        <v>995</v>
      </c>
      <c r="B1056">
        <v>993.99599999999998</v>
      </c>
      <c r="C1056">
        <v>616081.54700000002</v>
      </c>
      <c r="D1056">
        <v>3097013.051</v>
      </c>
      <c r="E1056">
        <v>632.06600000000003</v>
      </c>
      <c r="F1056">
        <v>5.2</v>
      </c>
      <c r="G1056">
        <v>0</v>
      </c>
      <c r="H1056" t="s">
        <v>154</v>
      </c>
      <c r="I1056">
        <v>0</v>
      </c>
      <c r="J1056">
        <f t="shared" si="523"/>
        <v>1</v>
      </c>
      <c r="K1056">
        <f t="shared" ca="1" si="524"/>
        <v>50.95</v>
      </c>
      <c r="L1056">
        <f t="shared" ca="1" si="525"/>
        <v>2.1389677043987478</v>
      </c>
      <c r="M1056">
        <f t="shared" ca="1" si="498"/>
        <v>11.122632062873489</v>
      </c>
      <c r="N1056">
        <f t="shared" ca="1" si="499"/>
        <v>1.1735290000551568</v>
      </c>
      <c r="O1056">
        <f t="shared" ca="1" si="500"/>
        <v>4.5807502857230418</v>
      </c>
      <c r="P1056">
        <f t="shared" ca="1" si="501"/>
        <v>634.20496770439877</v>
      </c>
      <c r="Q1056">
        <f t="shared" ca="1" si="502"/>
        <v>635.27445155659814</v>
      </c>
      <c r="R1056">
        <f t="shared" ca="1" si="503"/>
        <v>3.8141460404132466E-3</v>
      </c>
      <c r="S1056">
        <f t="shared" ca="1" si="504"/>
        <v>1.0000000000000004</v>
      </c>
      <c r="T1056">
        <f t="shared" ca="1" si="505"/>
        <v>35.686426155594638</v>
      </c>
      <c r="U1056">
        <f t="shared" ca="1" si="526"/>
        <v>-3.3141460404522149E-3</v>
      </c>
      <c r="V1056">
        <f t="shared" ca="1" si="527"/>
        <v>1</v>
      </c>
      <c r="W1056">
        <f t="shared" ca="1" si="506"/>
        <v>1.7301144916402547</v>
      </c>
      <c r="X1056">
        <f t="shared" ca="1" si="507"/>
        <v>8.9965953565293244</v>
      </c>
      <c r="Y1056">
        <f t="shared" ca="1" si="508"/>
        <v>1.0388403555954704</v>
      </c>
      <c r="Z1056">
        <f t="shared" ca="1" si="509"/>
        <v>5.6632534843331355</v>
      </c>
      <c r="AA1056">
        <f t="shared" ca="1" si="510"/>
        <v>633.79611449164031</v>
      </c>
      <c r="AB1056">
        <f t="shared" ca="1" si="511"/>
        <v>635.4307954308764</v>
      </c>
      <c r="AC1056">
        <f t="shared" ca="1" si="512"/>
        <v>6.8588204943507564E-3</v>
      </c>
      <c r="AD1056">
        <f t="shared" ca="1" si="513"/>
        <v>1.3746561369225128</v>
      </c>
      <c r="AE1056">
        <f t="shared" ca="1" si="514"/>
        <v>37.195695895553577</v>
      </c>
      <c r="AF1056">
        <f t="shared" ca="1" si="515"/>
        <v>6.5141151835632627E-3</v>
      </c>
      <c r="AG1056">
        <f t="shared" ca="1" si="516"/>
        <v>0</v>
      </c>
      <c r="AH1056">
        <f ca="1">IFERROR(IF(V32="Supercritical",MAX($D$16,IFERROR(L1056,MAX($D$16,POWER((ABS(K1056)^2)/($I$5*MAX(F1056,0.1)^2),1/3)))),IF(V32="Subcritical",MAX($D$16,IFERROR(W1056,MAX($D$16,POWER((ABS(K1056)^2)/($I$5*MAX(F1056,0.1)^2),1/3)))),IF(AND(IFERROR(V1056,0)=1,IFERROR(AG1056,0)=1),IF(IFERROR(T1056,-1E+99)&gt;=IFERROR(AE1056,-1E+99),MAX($D$16,IFERROR(L1056,MAX($D$16,POWER((ABS(K1056)^2)/($I$5*MAX(F1056,0.1)^2),1/3)))),MAX($D$16,IFERROR(W1056,MAX($D$16,POWER((ABS(K1056)^2)/($I$5*MAX(F1056,0.1)^2),1/3))))),IF(IFERROR(V1056,0)=1,MAX($D$16,IFERROR(L1056,MAX($D$16,POWER((ABS(K1056)^2)/($I$5*MAX(F1056,0.1)^2),1/3)))),IF(IFERROR(AG1056,0)=1,MAX($D$16,IFERROR(W1056,MAX($D$16,POWER((ABS(K1056)^2)/($I$5*MAX(F1056,0.1)^2),1/3)))),MAX($D$16,POWER((ABS(K1056)^2)/($I$5*MAX(F1056,0.1)^2),1/3))))))),MAX($D$16,POWER((ABS(K1056)^2)/($I$5*MAX(F1056,0.1)^2),1/3)))</f>
        <v>2.1389677043987478</v>
      </c>
      <c r="AI1056">
        <f t="shared" ca="1" si="517"/>
        <v>634.20496770439877</v>
      </c>
      <c r="AJ1056">
        <f t="shared" ca="1" si="518"/>
        <v>635.27445155659814</v>
      </c>
      <c r="AM1056">
        <v>0</v>
      </c>
      <c r="AN1056">
        <v>0</v>
      </c>
      <c r="AO1056">
        <f t="shared" si="519"/>
        <v>0</v>
      </c>
      <c r="AP1056">
        <f t="shared" si="528"/>
        <v>0</v>
      </c>
      <c r="AQ1056">
        <f t="shared" ca="1" si="520"/>
        <v>1.0000000000000004</v>
      </c>
      <c r="AR1056" t="str">
        <f t="shared" ca="1" si="521"/>
        <v>Supercritical</v>
      </c>
      <c r="AS1056">
        <f t="shared" ca="1" si="522"/>
        <v>3.8141460404132466E-3</v>
      </c>
    </row>
    <row r="1057" spans="1:45" x14ac:dyDescent="0.35">
      <c r="A1057">
        <v>996</v>
      </c>
      <c r="B1057">
        <v>994.99599999999998</v>
      </c>
      <c r="C1057">
        <v>616081.505</v>
      </c>
      <c r="D1057">
        <v>3097012.0520000001</v>
      </c>
      <c r="E1057">
        <v>632.06550000000004</v>
      </c>
      <c r="F1057">
        <v>5.2</v>
      </c>
      <c r="G1057">
        <v>0</v>
      </c>
      <c r="H1057" t="s">
        <v>154</v>
      </c>
      <c r="I1057">
        <v>5.7000000000000002E-2</v>
      </c>
      <c r="J1057">
        <f t="shared" si="523"/>
        <v>1</v>
      </c>
      <c r="K1057">
        <f t="shared" ca="1" si="524"/>
        <v>50.95</v>
      </c>
      <c r="L1057">
        <f t="shared" ca="1" si="525"/>
        <v>2.1389677043987478</v>
      </c>
      <c r="M1057">
        <f t="shared" ca="1" si="498"/>
        <v>11.122632062873489</v>
      </c>
      <c r="N1057">
        <f t="shared" ca="1" si="499"/>
        <v>1.1735290000551568</v>
      </c>
      <c r="O1057">
        <f t="shared" ca="1" si="500"/>
        <v>4.5807502857230418</v>
      </c>
      <c r="P1057">
        <f t="shared" ca="1" si="501"/>
        <v>634.20446770439878</v>
      </c>
      <c r="Q1057">
        <f t="shared" ca="1" si="502"/>
        <v>635.27395155659815</v>
      </c>
      <c r="R1057">
        <f t="shared" ca="1" si="503"/>
        <v>3.8141460404132466E-3</v>
      </c>
      <c r="S1057">
        <f t="shared" ca="1" si="504"/>
        <v>1.0000000000000004</v>
      </c>
      <c r="T1057">
        <f t="shared" ca="1" si="505"/>
        <v>35.686426155594638</v>
      </c>
      <c r="U1057">
        <f t="shared" ca="1" si="526"/>
        <v>-3.4157470064428708E-3</v>
      </c>
      <c r="V1057">
        <f t="shared" ca="1" si="527"/>
        <v>1</v>
      </c>
      <c r="W1057">
        <f t="shared" ca="1" si="506"/>
        <v>1.7273617313752294</v>
      </c>
      <c r="X1057">
        <f t="shared" ca="1" si="507"/>
        <v>8.9822810031511935</v>
      </c>
      <c r="Y1057">
        <f t="shared" ca="1" si="508"/>
        <v>1.0378472566813401</v>
      </c>
      <c r="Z1057">
        <f t="shared" ca="1" si="509"/>
        <v>5.6722785651134222</v>
      </c>
      <c r="AA1057">
        <f t="shared" ca="1" si="510"/>
        <v>633.7928617313753</v>
      </c>
      <c r="AB1057">
        <f t="shared" ca="1" si="511"/>
        <v>635.43275694647446</v>
      </c>
      <c r="AC1057">
        <f t="shared" ca="1" si="512"/>
        <v>6.8894787390016464E-3</v>
      </c>
      <c r="AD1057">
        <f t="shared" ca="1" si="513"/>
        <v>1.3779434674751025</v>
      </c>
      <c r="AE1057">
        <f t="shared" ca="1" si="514"/>
        <v>37.217823508138181</v>
      </c>
      <c r="AF1057">
        <f t="shared" ca="1" si="515"/>
        <v>6.5452687845208857E-3</v>
      </c>
      <c r="AG1057">
        <f t="shared" ca="1" si="516"/>
        <v>0</v>
      </c>
      <c r="AH1057">
        <f ca="1">IFERROR(IF(V32="Supercritical",MAX($D$16,IFERROR(L1057,MAX($D$16,POWER((ABS(K1057)^2)/($I$5*MAX(F1057,0.1)^2),1/3)))),IF(V32="Subcritical",MAX($D$16,IFERROR(W1057,MAX($D$16,POWER((ABS(K1057)^2)/($I$5*MAX(F1057,0.1)^2),1/3)))),IF(AND(IFERROR(V1057,0)=1,IFERROR(AG1057,0)=1),IF(IFERROR(T1057,-1E+99)&gt;=IFERROR(AE1057,-1E+99),MAX($D$16,IFERROR(L1057,MAX($D$16,POWER((ABS(K1057)^2)/($I$5*MAX(F1057,0.1)^2),1/3)))),MAX($D$16,IFERROR(W1057,MAX($D$16,POWER((ABS(K1057)^2)/($I$5*MAX(F1057,0.1)^2),1/3))))),IF(IFERROR(V1057,0)=1,MAX($D$16,IFERROR(L1057,MAX($D$16,POWER((ABS(K1057)^2)/($I$5*MAX(F1057,0.1)^2),1/3)))),IF(IFERROR(AG1057,0)=1,MAX($D$16,IFERROR(W1057,MAX($D$16,POWER((ABS(K1057)^2)/($I$5*MAX(F1057,0.1)^2),1/3)))),MAX($D$16,POWER((ABS(K1057)^2)/($I$5*MAX(F1057,0.1)^2),1/3))))))),MAX($D$16,POWER((ABS(K1057)^2)/($I$5*MAX(F1057,0.1)^2),1/3)))</f>
        <v>2.1389677043987478</v>
      </c>
      <c r="AI1057">
        <f t="shared" ca="1" si="517"/>
        <v>634.20446770439878</v>
      </c>
      <c r="AJ1057">
        <f t="shared" ca="1" si="518"/>
        <v>635.27395155659815</v>
      </c>
      <c r="AM1057">
        <v>0</v>
      </c>
      <c r="AN1057">
        <v>0</v>
      </c>
      <c r="AO1057">
        <f t="shared" si="519"/>
        <v>0</v>
      </c>
      <c r="AP1057">
        <f t="shared" si="528"/>
        <v>0</v>
      </c>
      <c r="AQ1057">
        <f t="shared" ca="1" si="520"/>
        <v>1.0000000000000004</v>
      </c>
      <c r="AR1057" t="str">
        <f t="shared" ca="1" si="521"/>
        <v>Supercritical</v>
      </c>
      <c r="AS1057">
        <f t="shared" ca="1" si="522"/>
        <v>3.8141460404132466E-3</v>
      </c>
    </row>
    <row r="1058" spans="1:45" x14ac:dyDescent="0.35">
      <c r="A1058">
        <v>997</v>
      </c>
      <c r="B1058">
        <v>995.99599999999998</v>
      </c>
      <c r="C1058">
        <v>616081.46200000006</v>
      </c>
      <c r="D1058">
        <v>3097011.0529999998</v>
      </c>
      <c r="E1058">
        <v>632.06500000000005</v>
      </c>
      <c r="F1058">
        <v>5.2</v>
      </c>
      <c r="G1058">
        <v>0</v>
      </c>
      <c r="H1058" t="s">
        <v>154</v>
      </c>
      <c r="I1058">
        <v>5.7000000000000002E-2</v>
      </c>
      <c r="J1058">
        <f t="shared" si="523"/>
        <v>1</v>
      </c>
      <c r="K1058">
        <f t="shared" ca="1" si="524"/>
        <v>50.95</v>
      </c>
      <c r="L1058">
        <f t="shared" ca="1" si="525"/>
        <v>2.1389677043987478</v>
      </c>
      <c r="M1058">
        <f t="shared" ca="1" si="498"/>
        <v>11.122632062873489</v>
      </c>
      <c r="N1058">
        <f t="shared" ca="1" si="499"/>
        <v>1.1735290000551568</v>
      </c>
      <c r="O1058">
        <f t="shared" ca="1" si="500"/>
        <v>4.5807502857230418</v>
      </c>
      <c r="P1058">
        <f t="shared" ca="1" si="501"/>
        <v>634.20396770439879</v>
      </c>
      <c r="Q1058">
        <f t="shared" ca="1" si="502"/>
        <v>635.27345155659816</v>
      </c>
      <c r="R1058">
        <f t="shared" ca="1" si="503"/>
        <v>3.8141460404132466E-3</v>
      </c>
      <c r="S1058">
        <f t="shared" ca="1" si="504"/>
        <v>1.0000000000000004</v>
      </c>
      <c r="T1058">
        <f t="shared" ca="1" si="505"/>
        <v>35.686426155594638</v>
      </c>
      <c r="U1058">
        <f t="shared" ca="1" si="526"/>
        <v>-3.4157470064428708E-3</v>
      </c>
      <c r="V1058">
        <f t="shared" ca="1" si="527"/>
        <v>1</v>
      </c>
      <c r="W1058">
        <f t="shared" ca="1" si="506"/>
        <v>1.7247412566677309</v>
      </c>
      <c r="X1058">
        <f t="shared" ca="1" si="507"/>
        <v>8.9686545346722006</v>
      </c>
      <c r="Y1058">
        <f t="shared" ca="1" si="508"/>
        <v>1.036900707163076</v>
      </c>
      <c r="Z1058">
        <f t="shared" ca="1" si="509"/>
        <v>5.6808967056352557</v>
      </c>
      <c r="AA1058">
        <f t="shared" ca="1" si="510"/>
        <v>633.78974125666775</v>
      </c>
      <c r="AB1058">
        <f t="shared" ca="1" si="511"/>
        <v>635.43462338613244</v>
      </c>
      <c r="AC1058">
        <f t="shared" ca="1" si="512"/>
        <v>6.9188419388630813E-3</v>
      </c>
      <c r="AD1058">
        <f t="shared" ca="1" si="513"/>
        <v>1.3810850145162099</v>
      </c>
      <c r="AE1058">
        <f t="shared" ca="1" si="514"/>
        <v>37.239063385224412</v>
      </c>
      <c r="AF1058">
        <f t="shared" ca="1" si="515"/>
        <v>6.4188419387392059E-3</v>
      </c>
      <c r="AG1058">
        <f t="shared" ca="1" si="516"/>
        <v>0</v>
      </c>
      <c r="AH1058">
        <f ca="1">IFERROR(IF(V32="Supercritical",MAX($D$16,IFERROR(L1058,MAX($D$16,POWER((ABS(K1058)^2)/($I$5*MAX(F1058,0.1)^2),1/3)))),IF(V32="Subcritical",MAX($D$16,IFERROR(W1058,MAX($D$16,POWER((ABS(K1058)^2)/($I$5*MAX(F1058,0.1)^2),1/3)))),IF(AND(IFERROR(V1058,0)=1,IFERROR(AG1058,0)=1),IF(IFERROR(T1058,-1E+99)&gt;=IFERROR(AE1058,-1E+99),MAX($D$16,IFERROR(L1058,MAX($D$16,POWER((ABS(K1058)^2)/($I$5*MAX(F1058,0.1)^2),1/3)))),MAX($D$16,IFERROR(W1058,MAX($D$16,POWER((ABS(K1058)^2)/($I$5*MAX(F1058,0.1)^2),1/3))))),IF(IFERROR(V1058,0)=1,MAX($D$16,IFERROR(L1058,MAX($D$16,POWER((ABS(K1058)^2)/($I$5*MAX(F1058,0.1)^2),1/3)))),IF(IFERROR(AG1058,0)=1,MAX($D$16,IFERROR(W1058,MAX($D$16,POWER((ABS(K1058)^2)/($I$5*MAX(F1058,0.1)^2),1/3)))),MAX($D$16,POWER((ABS(K1058)^2)/($I$5*MAX(F1058,0.1)^2),1/3))))))),MAX($D$16,POWER((ABS(K1058)^2)/($I$5*MAX(F1058,0.1)^2),1/3)))</f>
        <v>2.1389677043987478</v>
      </c>
      <c r="AI1058">
        <f t="shared" ca="1" si="517"/>
        <v>634.20396770439879</v>
      </c>
      <c r="AJ1058">
        <f t="shared" ca="1" si="518"/>
        <v>635.27345155659816</v>
      </c>
      <c r="AM1058">
        <v>0</v>
      </c>
      <c r="AN1058">
        <v>0</v>
      </c>
      <c r="AO1058">
        <f t="shared" si="519"/>
        <v>0</v>
      </c>
      <c r="AP1058">
        <f t="shared" si="528"/>
        <v>0</v>
      </c>
      <c r="AQ1058">
        <f t="shared" ca="1" si="520"/>
        <v>1.0000000000000004</v>
      </c>
      <c r="AR1058" t="str">
        <f t="shared" ca="1" si="521"/>
        <v>Supercritical</v>
      </c>
      <c r="AS1058">
        <f t="shared" ca="1" si="522"/>
        <v>3.8141460404132466E-3</v>
      </c>
    </row>
    <row r="1059" spans="1:45" x14ac:dyDescent="0.35">
      <c r="A1059">
        <v>998</v>
      </c>
      <c r="B1059">
        <v>996.99599999999998</v>
      </c>
      <c r="C1059">
        <v>616081.42000000004</v>
      </c>
      <c r="D1059">
        <v>3097010.054</v>
      </c>
      <c r="E1059">
        <v>632.06449999999995</v>
      </c>
      <c r="F1059">
        <v>5.2</v>
      </c>
      <c r="G1059">
        <v>0</v>
      </c>
      <c r="H1059" t="s">
        <v>154</v>
      </c>
      <c r="I1059">
        <v>0</v>
      </c>
      <c r="J1059">
        <f t="shared" si="523"/>
        <v>1</v>
      </c>
      <c r="K1059">
        <f t="shared" ca="1" si="524"/>
        <v>50.95</v>
      </c>
      <c r="L1059">
        <f t="shared" ca="1" si="525"/>
        <v>2.1389677043987478</v>
      </c>
      <c r="M1059">
        <f t="shared" ca="1" si="498"/>
        <v>11.122632062873489</v>
      </c>
      <c r="N1059">
        <f t="shared" ca="1" si="499"/>
        <v>1.1735290000551568</v>
      </c>
      <c r="O1059">
        <f t="shared" ca="1" si="500"/>
        <v>4.5807502857230418</v>
      </c>
      <c r="P1059">
        <f t="shared" ca="1" si="501"/>
        <v>634.20346770439869</v>
      </c>
      <c r="Q1059">
        <f t="shared" ca="1" si="502"/>
        <v>635.27295155659806</v>
      </c>
      <c r="R1059">
        <f t="shared" ca="1" si="503"/>
        <v>3.8141460404132466E-3</v>
      </c>
      <c r="S1059">
        <f t="shared" ca="1" si="504"/>
        <v>1.0000000000000004</v>
      </c>
      <c r="T1059">
        <f t="shared" ca="1" si="505"/>
        <v>35.686426155594638</v>
      </c>
      <c r="U1059">
        <f t="shared" ca="1" si="526"/>
        <v>-3.3141460403385281E-3</v>
      </c>
      <c r="V1059">
        <f t="shared" ca="1" si="527"/>
        <v>1</v>
      </c>
      <c r="W1059">
        <f t="shared" ca="1" si="506"/>
        <v>1.7222491345224835</v>
      </c>
      <c r="X1059">
        <f t="shared" ca="1" si="507"/>
        <v>8.9556954995169153</v>
      </c>
      <c r="Y1059">
        <f t="shared" ca="1" si="508"/>
        <v>1.0359994554671048</v>
      </c>
      <c r="Z1059">
        <f t="shared" ca="1" si="509"/>
        <v>5.689117054364826</v>
      </c>
      <c r="AA1059">
        <f t="shared" ca="1" si="510"/>
        <v>633.78674913452244</v>
      </c>
      <c r="AB1059">
        <f t="shared" ca="1" si="511"/>
        <v>635.4363950498265</v>
      </c>
      <c r="AC1059">
        <f t="shared" ca="1" si="512"/>
        <v>6.9469294381390616E-3</v>
      </c>
      <c r="AD1059">
        <f t="shared" ca="1" si="513"/>
        <v>1.384083776957209</v>
      </c>
      <c r="AE1059">
        <f t="shared" ca="1" si="514"/>
        <v>37.259422410514155</v>
      </c>
      <c r="AF1059">
        <f t="shared" ca="1" si="515"/>
        <v>6.4469294381979125E-3</v>
      </c>
      <c r="AG1059">
        <f t="shared" ca="1" si="516"/>
        <v>0</v>
      </c>
      <c r="AH1059">
        <f ca="1">IFERROR(IF(V32="Supercritical",MAX($D$16,IFERROR(L1059,MAX($D$16,POWER((ABS(K1059)^2)/($I$5*MAX(F1059,0.1)^2),1/3)))),IF(V32="Subcritical",MAX($D$16,IFERROR(W1059,MAX($D$16,POWER((ABS(K1059)^2)/($I$5*MAX(F1059,0.1)^2),1/3)))),IF(AND(IFERROR(V1059,0)=1,IFERROR(AG1059,0)=1),IF(IFERROR(T1059,-1E+99)&gt;=IFERROR(AE1059,-1E+99),MAX($D$16,IFERROR(L1059,MAX($D$16,POWER((ABS(K1059)^2)/($I$5*MAX(F1059,0.1)^2),1/3)))),MAX($D$16,IFERROR(W1059,MAX($D$16,POWER((ABS(K1059)^2)/($I$5*MAX(F1059,0.1)^2),1/3))))),IF(IFERROR(V1059,0)=1,MAX($D$16,IFERROR(L1059,MAX($D$16,POWER((ABS(K1059)^2)/($I$5*MAX(F1059,0.1)^2),1/3)))),IF(IFERROR(AG1059,0)=1,MAX($D$16,IFERROR(W1059,MAX($D$16,POWER((ABS(K1059)^2)/($I$5*MAX(F1059,0.1)^2),1/3)))),MAX($D$16,POWER((ABS(K1059)^2)/($I$5*MAX(F1059,0.1)^2),1/3))))))),MAX($D$16,POWER((ABS(K1059)^2)/($I$5*MAX(F1059,0.1)^2),1/3)))</f>
        <v>2.1389677043987478</v>
      </c>
      <c r="AI1059">
        <f t="shared" ca="1" si="517"/>
        <v>634.20346770439869</v>
      </c>
      <c r="AJ1059">
        <f t="shared" ca="1" si="518"/>
        <v>635.27295155659806</v>
      </c>
      <c r="AM1059">
        <v>0</v>
      </c>
      <c r="AN1059">
        <v>0</v>
      </c>
      <c r="AO1059">
        <f t="shared" si="519"/>
        <v>0</v>
      </c>
      <c r="AP1059">
        <f t="shared" si="528"/>
        <v>0</v>
      </c>
      <c r="AQ1059">
        <f t="shared" ca="1" si="520"/>
        <v>1.0000000000000004</v>
      </c>
      <c r="AR1059" t="str">
        <f t="shared" ca="1" si="521"/>
        <v>Supercritical</v>
      </c>
      <c r="AS1059">
        <f t="shared" ca="1" si="522"/>
        <v>3.8141460404132466E-3</v>
      </c>
    </row>
    <row r="1060" spans="1:45" x14ac:dyDescent="0.35">
      <c r="A1060">
        <v>999</v>
      </c>
      <c r="B1060">
        <v>997.99599999999998</v>
      </c>
      <c r="C1060">
        <v>616081.37800000003</v>
      </c>
      <c r="D1060">
        <v>3097009.0550000002</v>
      </c>
      <c r="E1060">
        <v>632.06399999999996</v>
      </c>
      <c r="F1060">
        <v>5.2</v>
      </c>
      <c r="G1060">
        <v>0</v>
      </c>
      <c r="H1060" t="s">
        <v>154</v>
      </c>
      <c r="I1060">
        <v>0</v>
      </c>
      <c r="J1060">
        <f t="shared" si="523"/>
        <v>1</v>
      </c>
      <c r="K1060">
        <f t="shared" ca="1" si="524"/>
        <v>50.95</v>
      </c>
      <c r="L1060">
        <f t="shared" ca="1" si="525"/>
        <v>2.1389677043987478</v>
      </c>
      <c r="M1060">
        <f t="shared" ca="1" si="498"/>
        <v>11.122632062873489</v>
      </c>
      <c r="N1060">
        <f t="shared" ca="1" si="499"/>
        <v>1.1735290000551568</v>
      </c>
      <c r="O1060">
        <f t="shared" ca="1" si="500"/>
        <v>4.5807502857230418</v>
      </c>
      <c r="P1060">
        <f t="shared" ca="1" si="501"/>
        <v>634.2029677043987</v>
      </c>
      <c r="Q1060">
        <f t="shared" ca="1" si="502"/>
        <v>635.27245155659807</v>
      </c>
      <c r="R1060">
        <f t="shared" ca="1" si="503"/>
        <v>3.8141460404132466E-3</v>
      </c>
      <c r="S1060">
        <f t="shared" ca="1" si="504"/>
        <v>1.0000000000000004</v>
      </c>
      <c r="T1060">
        <f t="shared" ca="1" si="505"/>
        <v>35.686426155594638</v>
      </c>
      <c r="U1060">
        <f t="shared" ca="1" si="526"/>
        <v>-3.3141460404522149E-3</v>
      </c>
      <c r="V1060">
        <f t="shared" ca="1" si="527"/>
        <v>1</v>
      </c>
      <c r="W1060">
        <f t="shared" ca="1" si="506"/>
        <v>1.7198812850061511</v>
      </c>
      <c r="X1060">
        <f t="shared" ca="1" si="507"/>
        <v>8.9433826820319862</v>
      </c>
      <c r="Y1060">
        <f t="shared" ca="1" si="508"/>
        <v>1.0351421823874556</v>
      </c>
      <c r="Z1060">
        <f t="shared" ca="1" si="509"/>
        <v>5.6969495560514112</v>
      </c>
      <c r="AA1060">
        <f t="shared" ca="1" si="510"/>
        <v>633.78388128500615</v>
      </c>
      <c r="AB1060">
        <f t="shared" ca="1" si="511"/>
        <v>635.4380726328244</v>
      </c>
      <c r="AC1060">
        <f t="shared" ca="1" si="512"/>
        <v>6.9737641770778302E-3</v>
      </c>
      <c r="AD1060">
        <f t="shared" ca="1" si="513"/>
        <v>1.3869430701068655</v>
      </c>
      <c r="AE1060">
        <f t="shared" ca="1" si="514"/>
        <v>37.278910755427511</v>
      </c>
      <c r="AF1060">
        <f t="shared" ca="1" si="515"/>
        <v>6.6239385909057091E-3</v>
      </c>
      <c r="AG1060">
        <f t="shared" ca="1" si="516"/>
        <v>0</v>
      </c>
      <c r="AH1060">
        <f ca="1">IFERROR(IF(V32="Supercritical",MAX($D$16,IFERROR(L1060,MAX($D$16,POWER((ABS(K1060)^2)/($I$5*MAX(F1060,0.1)^2),1/3)))),IF(V32="Subcritical",MAX($D$16,IFERROR(W1060,MAX($D$16,POWER((ABS(K1060)^2)/($I$5*MAX(F1060,0.1)^2),1/3)))),IF(AND(IFERROR(V1060,0)=1,IFERROR(AG1060,0)=1),IF(IFERROR(T1060,-1E+99)&gt;=IFERROR(AE1060,-1E+99),MAX($D$16,IFERROR(L1060,MAX($D$16,POWER((ABS(K1060)^2)/($I$5*MAX(F1060,0.1)^2),1/3)))),MAX($D$16,IFERROR(W1060,MAX($D$16,POWER((ABS(K1060)^2)/($I$5*MAX(F1060,0.1)^2),1/3))))),IF(IFERROR(V1060,0)=1,MAX($D$16,IFERROR(L1060,MAX($D$16,POWER((ABS(K1060)^2)/($I$5*MAX(F1060,0.1)^2),1/3)))),IF(IFERROR(AG1060,0)=1,MAX($D$16,IFERROR(W1060,MAX($D$16,POWER((ABS(K1060)^2)/($I$5*MAX(F1060,0.1)^2),1/3)))),MAX($D$16,POWER((ABS(K1060)^2)/($I$5*MAX(F1060,0.1)^2),1/3))))))),MAX($D$16,POWER((ABS(K1060)^2)/($I$5*MAX(F1060,0.1)^2),1/3)))</f>
        <v>2.1389677043987478</v>
      </c>
      <c r="AI1060">
        <f t="shared" ca="1" si="517"/>
        <v>634.2029677043987</v>
      </c>
      <c r="AJ1060">
        <f t="shared" ca="1" si="518"/>
        <v>635.27245155659807</v>
      </c>
      <c r="AM1060">
        <v>0</v>
      </c>
      <c r="AN1060">
        <v>0</v>
      </c>
      <c r="AO1060">
        <f t="shared" si="519"/>
        <v>0</v>
      </c>
      <c r="AP1060">
        <f t="shared" si="528"/>
        <v>0</v>
      </c>
      <c r="AQ1060">
        <f t="shared" ca="1" si="520"/>
        <v>1.0000000000000004</v>
      </c>
      <c r="AR1060" t="str">
        <f t="shared" ca="1" si="521"/>
        <v>Supercritical</v>
      </c>
      <c r="AS1060">
        <f t="shared" ca="1" si="522"/>
        <v>3.8141460404132466E-3</v>
      </c>
    </row>
    <row r="1061" spans="1:45" x14ac:dyDescent="0.35">
      <c r="A1061">
        <v>1000</v>
      </c>
      <c r="B1061">
        <v>998.995</v>
      </c>
      <c r="C1061">
        <v>616081.33600000001</v>
      </c>
      <c r="D1061">
        <v>3097008.0559999999</v>
      </c>
      <c r="E1061">
        <v>632.06349999999998</v>
      </c>
      <c r="F1061">
        <v>5.2</v>
      </c>
      <c r="G1061">
        <v>0</v>
      </c>
      <c r="H1061" t="s">
        <v>154</v>
      </c>
      <c r="I1061">
        <v>5.7000000000000002E-2</v>
      </c>
      <c r="J1061">
        <f t="shared" si="523"/>
        <v>0.99900000000002365</v>
      </c>
      <c r="K1061">
        <f t="shared" ca="1" si="524"/>
        <v>50.95</v>
      </c>
      <c r="L1061">
        <f t="shared" ca="1" si="525"/>
        <v>2.1389677043987478</v>
      </c>
      <c r="M1061">
        <f t="shared" ca="1" si="498"/>
        <v>11.122632062873489</v>
      </c>
      <c r="N1061">
        <f t="shared" ca="1" si="499"/>
        <v>1.1735290000551568</v>
      </c>
      <c r="O1061">
        <f t="shared" ca="1" si="500"/>
        <v>4.5807502857230418</v>
      </c>
      <c r="P1061">
        <f t="shared" ca="1" si="501"/>
        <v>634.20246770439871</v>
      </c>
      <c r="Q1061">
        <f t="shared" ca="1" si="502"/>
        <v>635.27195155659808</v>
      </c>
      <c r="R1061">
        <f t="shared" ca="1" si="503"/>
        <v>3.8141460404132466E-3</v>
      </c>
      <c r="S1061">
        <f t="shared" ca="1" si="504"/>
        <v>1.0000000000000004</v>
      </c>
      <c r="T1061">
        <f t="shared" ca="1" si="505"/>
        <v>35.686426155594638</v>
      </c>
      <c r="U1061">
        <f t="shared" ca="1" si="526"/>
        <v>-3.411932860331035E-3</v>
      </c>
      <c r="V1061">
        <f t="shared" ca="1" si="527"/>
        <v>1</v>
      </c>
      <c r="W1061">
        <f t="shared" ca="1" si="506"/>
        <v>1.7176335158709304</v>
      </c>
      <c r="X1061">
        <f t="shared" ca="1" si="507"/>
        <v>8.9316942825288379</v>
      </c>
      <c r="Y1061">
        <f t="shared" ca="1" si="508"/>
        <v>1.0343275140997212</v>
      </c>
      <c r="Z1061">
        <f t="shared" ca="1" si="509"/>
        <v>5.70440482940203</v>
      </c>
      <c r="AA1061">
        <f t="shared" ca="1" si="510"/>
        <v>633.78113351587092</v>
      </c>
      <c r="AB1061">
        <f t="shared" ca="1" si="511"/>
        <v>635.43965718853678</v>
      </c>
      <c r="AC1061">
        <f t="shared" ca="1" si="512"/>
        <v>6.9993722695468E-3</v>
      </c>
      <c r="AD1061">
        <f t="shared" ca="1" si="513"/>
        <v>1.3896664806949519</v>
      </c>
      <c r="AE1061">
        <f t="shared" ca="1" si="514"/>
        <v>37.297541535769867</v>
      </c>
      <c r="AF1061">
        <f t="shared" ca="1" si="515"/>
        <v>6.6569320184726166E-3</v>
      </c>
      <c r="AG1061">
        <f t="shared" ca="1" si="516"/>
        <v>0</v>
      </c>
      <c r="AH1061">
        <f ca="1">IFERROR(IF(V32="Supercritical",MAX($D$16,IFERROR(L1061,MAX($D$16,POWER((ABS(K1061)^2)/($I$5*MAX(F1061,0.1)^2),1/3)))),IF(V32="Subcritical",MAX($D$16,IFERROR(W1061,MAX($D$16,POWER((ABS(K1061)^2)/($I$5*MAX(F1061,0.1)^2),1/3)))),IF(AND(IFERROR(V1061,0)=1,IFERROR(AG1061,0)=1),IF(IFERROR(T1061,-1E+99)&gt;=IFERROR(AE1061,-1E+99),MAX($D$16,IFERROR(L1061,MAX($D$16,POWER((ABS(K1061)^2)/($I$5*MAX(F1061,0.1)^2),1/3)))),MAX($D$16,IFERROR(W1061,MAX($D$16,POWER((ABS(K1061)^2)/($I$5*MAX(F1061,0.1)^2),1/3))))),IF(IFERROR(V1061,0)=1,MAX($D$16,IFERROR(L1061,MAX($D$16,POWER((ABS(K1061)^2)/($I$5*MAX(F1061,0.1)^2),1/3)))),IF(IFERROR(AG1061,0)=1,MAX($D$16,IFERROR(W1061,MAX($D$16,POWER((ABS(K1061)^2)/($I$5*MAX(F1061,0.1)^2),1/3)))),MAX($D$16,POWER((ABS(K1061)^2)/($I$5*MAX(F1061,0.1)^2),1/3))))))),MAX($D$16,POWER((ABS(K1061)^2)/($I$5*MAX(F1061,0.1)^2),1/3)))</f>
        <v>2.1389677043987478</v>
      </c>
      <c r="AI1061">
        <f t="shared" ca="1" si="517"/>
        <v>634.20246770439871</v>
      </c>
      <c r="AJ1061">
        <f t="shared" ca="1" si="518"/>
        <v>635.27195155659808</v>
      </c>
      <c r="AM1061">
        <v>0</v>
      </c>
      <c r="AN1061">
        <v>0</v>
      </c>
      <c r="AO1061">
        <f t="shared" si="519"/>
        <v>0</v>
      </c>
      <c r="AP1061">
        <f t="shared" si="528"/>
        <v>0</v>
      </c>
      <c r="AQ1061">
        <f t="shared" ca="1" si="520"/>
        <v>1.0000000000000004</v>
      </c>
      <c r="AR1061" t="str">
        <f t="shared" ca="1" si="521"/>
        <v>Supercritical</v>
      </c>
      <c r="AS1061">
        <f t="shared" ca="1" si="522"/>
        <v>3.8141460404132466E-3</v>
      </c>
    </row>
    <row r="1062" spans="1:45" x14ac:dyDescent="0.35">
      <c r="A1062">
        <v>1001</v>
      </c>
      <c r="B1062">
        <v>999.995</v>
      </c>
      <c r="C1062">
        <v>616081.29299999995</v>
      </c>
      <c r="D1062">
        <v>3097007.057</v>
      </c>
      <c r="E1062">
        <v>632.06299999999999</v>
      </c>
      <c r="F1062">
        <v>5.2</v>
      </c>
      <c r="G1062">
        <v>0</v>
      </c>
      <c r="H1062" t="s">
        <v>154</v>
      </c>
      <c r="I1062">
        <v>5.7000000000000002E-2</v>
      </c>
      <c r="J1062">
        <f t="shared" si="523"/>
        <v>1</v>
      </c>
      <c r="K1062">
        <f t="shared" ca="1" si="524"/>
        <v>50.95</v>
      </c>
      <c r="L1062">
        <f t="shared" ca="1" si="525"/>
        <v>2.1389677043987478</v>
      </c>
      <c r="M1062">
        <f t="shared" ca="1" si="498"/>
        <v>11.122632062873489</v>
      </c>
      <c r="N1062">
        <f t="shared" ca="1" si="499"/>
        <v>1.1735290000551568</v>
      </c>
      <c r="O1062">
        <f t="shared" ca="1" si="500"/>
        <v>4.5807502857230418</v>
      </c>
      <c r="P1062">
        <f t="shared" ca="1" si="501"/>
        <v>634.20196770439873</v>
      </c>
      <c r="Q1062">
        <f t="shared" ca="1" si="502"/>
        <v>635.27145155659809</v>
      </c>
      <c r="R1062">
        <f t="shared" ca="1" si="503"/>
        <v>3.8141460404132466E-3</v>
      </c>
      <c r="S1062">
        <f t="shared" ca="1" si="504"/>
        <v>1.0000000000000004</v>
      </c>
      <c r="T1062">
        <f t="shared" ca="1" si="505"/>
        <v>35.686426155594638</v>
      </c>
      <c r="U1062">
        <f t="shared" ca="1" si="526"/>
        <v>-3.4157470064428708E-3</v>
      </c>
      <c r="V1062">
        <f t="shared" ca="1" si="527"/>
        <v>1</v>
      </c>
      <c r="W1062">
        <f t="shared" ca="1" si="506"/>
        <v>1.7155015548674766</v>
      </c>
      <c r="X1062">
        <f t="shared" ca="1" si="507"/>
        <v>8.920608085310878</v>
      </c>
      <c r="Y1062">
        <f t="shared" ca="1" si="508"/>
        <v>1.0335540344376979</v>
      </c>
      <c r="Z1062">
        <f t="shared" ca="1" si="509"/>
        <v>5.7114940498167197</v>
      </c>
      <c r="AA1062">
        <f t="shared" ca="1" si="510"/>
        <v>633.77850155486749</v>
      </c>
      <c r="AB1062">
        <f t="shared" ca="1" si="511"/>
        <v>635.44115009111067</v>
      </c>
      <c r="AC1062">
        <f t="shared" ca="1" si="512"/>
        <v>7.0237825875036257E-3</v>
      </c>
      <c r="AD1062">
        <f t="shared" ca="1" si="513"/>
        <v>1.392257823471676</v>
      </c>
      <c r="AE1062">
        <f t="shared" ca="1" si="514"/>
        <v>37.31533047124006</v>
      </c>
      <c r="AF1062">
        <f t="shared" ca="1" si="515"/>
        <v>6.5293247492945738E-3</v>
      </c>
      <c r="AG1062">
        <f t="shared" ca="1" si="516"/>
        <v>0</v>
      </c>
      <c r="AH1062">
        <f ca="1">IFERROR(IF(V32="Supercritical",MAX($D$16,IFERROR(L1062,MAX($D$16,POWER((ABS(K1062)^2)/($I$5*MAX(F1062,0.1)^2),1/3)))),IF(V32="Subcritical",MAX($D$16,IFERROR(W1062,MAX($D$16,POWER((ABS(K1062)^2)/($I$5*MAX(F1062,0.1)^2),1/3)))),IF(AND(IFERROR(V1062,0)=1,IFERROR(AG1062,0)=1),IF(IFERROR(T1062,-1E+99)&gt;=IFERROR(AE1062,-1E+99),MAX($D$16,IFERROR(L1062,MAX($D$16,POWER((ABS(K1062)^2)/($I$5*MAX(F1062,0.1)^2),1/3)))),MAX($D$16,IFERROR(W1062,MAX($D$16,POWER((ABS(K1062)^2)/($I$5*MAX(F1062,0.1)^2),1/3))))),IF(IFERROR(V1062,0)=1,MAX($D$16,IFERROR(L1062,MAX($D$16,POWER((ABS(K1062)^2)/($I$5*MAX(F1062,0.1)^2),1/3)))),IF(IFERROR(AG1062,0)=1,MAX($D$16,IFERROR(W1062,MAX($D$16,POWER((ABS(K1062)^2)/($I$5*MAX(F1062,0.1)^2),1/3)))),MAX($D$16,POWER((ABS(K1062)^2)/($I$5*MAX(F1062,0.1)^2),1/3))))))),MAX($D$16,POWER((ABS(K1062)^2)/($I$5*MAX(F1062,0.1)^2),1/3)))</f>
        <v>2.1389677043987478</v>
      </c>
      <c r="AI1062">
        <f t="shared" ca="1" si="517"/>
        <v>634.20196770439873</v>
      </c>
      <c r="AJ1062">
        <f t="shared" ca="1" si="518"/>
        <v>635.27145155659809</v>
      </c>
      <c r="AM1062">
        <v>0</v>
      </c>
      <c r="AN1062">
        <v>0</v>
      </c>
      <c r="AO1062">
        <f t="shared" si="519"/>
        <v>0</v>
      </c>
      <c r="AP1062">
        <f t="shared" si="528"/>
        <v>0</v>
      </c>
      <c r="AQ1062">
        <f t="shared" ca="1" si="520"/>
        <v>1.0000000000000004</v>
      </c>
      <c r="AR1062" t="str">
        <f t="shared" ca="1" si="521"/>
        <v>Supercritical</v>
      </c>
      <c r="AS1062">
        <f t="shared" ca="1" si="522"/>
        <v>3.8141460404132466E-3</v>
      </c>
    </row>
    <row r="1063" spans="1:45" x14ac:dyDescent="0.35">
      <c r="A1063">
        <v>1002</v>
      </c>
      <c r="B1063">
        <v>1000.995</v>
      </c>
      <c r="C1063">
        <v>616081.25100000005</v>
      </c>
      <c r="D1063">
        <v>3097006.0580000002</v>
      </c>
      <c r="E1063">
        <v>632.0625</v>
      </c>
      <c r="F1063">
        <v>5.2</v>
      </c>
      <c r="G1063">
        <v>0</v>
      </c>
      <c r="H1063" t="s">
        <v>154</v>
      </c>
      <c r="I1063">
        <v>2E-3</v>
      </c>
      <c r="J1063">
        <f t="shared" si="523"/>
        <v>1</v>
      </c>
      <c r="K1063">
        <f t="shared" ca="1" si="524"/>
        <v>50.95</v>
      </c>
      <c r="L1063">
        <f t="shared" ca="1" si="525"/>
        <v>2.1389677043987478</v>
      </c>
      <c r="M1063">
        <f t="shared" ca="1" si="498"/>
        <v>11.122632062873489</v>
      </c>
      <c r="N1063">
        <f t="shared" ca="1" si="499"/>
        <v>1.1735290000551568</v>
      </c>
      <c r="O1063">
        <f t="shared" ca="1" si="500"/>
        <v>4.5807502857230418</v>
      </c>
      <c r="P1063">
        <f t="shared" ca="1" si="501"/>
        <v>634.20146770439874</v>
      </c>
      <c r="Q1063">
        <f t="shared" ca="1" si="502"/>
        <v>635.27095155659811</v>
      </c>
      <c r="R1063">
        <f t="shared" ca="1" si="503"/>
        <v>3.8141460404132466E-3</v>
      </c>
      <c r="S1063">
        <f t="shared" ca="1" si="504"/>
        <v>1.0000000000000004</v>
      </c>
      <c r="T1063">
        <f t="shared" ca="1" si="505"/>
        <v>35.686426155594638</v>
      </c>
      <c r="U1063">
        <f t="shared" ca="1" si="526"/>
        <v>-3.3177109866073806E-3</v>
      </c>
      <c r="V1063">
        <f t="shared" ca="1" si="527"/>
        <v>1</v>
      </c>
      <c r="W1063">
        <f t="shared" ca="1" si="506"/>
        <v>1.7134810796152902</v>
      </c>
      <c r="X1063">
        <f t="shared" ca="1" si="507"/>
        <v>8.91010161399951</v>
      </c>
      <c r="Y1063">
        <f t="shared" ca="1" si="508"/>
        <v>1.03282029636191</v>
      </c>
      <c r="Z1063">
        <f t="shared" ca="1" si="509"/>
        <v>5.7182288381478843</v>
      </c>
      <c r="AA1063">
        <f t="shared" ca="1" si="510"/>
        <v>633.77598107961524</v>
      </c>
      <c r="AB1063">
        <f t="shared" ca="1" si="511"/>
        <v>635.44255299834231</v>
      </c>
      <c r="AC1063">
        <f t="shared" ca="1" si="512"/>
        <v>7.0470263573333813E-3</v>
      </c>
      <c r="AD1063">
        <f t="shared" ca="1" si="513"/>
        <v>1.3947210997820705</v>
      </c>
      <c r="AE1063">
        <f t="shared" ca="1" si="514"/>
        <v>37.332295552312452</v>
      </c>
      <c r="AF1063">
        <f t="shared" ca="1" si="515"/>
        <v>6.7207305755800917E-3</v>
      </c>
      <c r="AG1063">
        <f t="shared" ca="1" si="516"/>
        <v>0</v>
      </c>
      <c r="AH1063">
        <f ca="1">IFERROR(IF(V32="Supercritical",MAX($D$16,IFERROR(L1063,MAX($D$16,POWER((ABS(K1063)^2)/($I$5*MAX(F1063,0.1)^2),1/3)))),IF(V32="Subcritical",MAX($D$16,IFERROR(W1063,MAX($D$16,POWER((ABS(K1063)^2)/($I$5*MAX(F1063,0.1)^2),1/3)))),IF(AND(IFERROR(V1063,0)=1,IFERROR(AG1063,0)=1),IF(IFERROR(T1063,-1E+99)&gt;=IFERROR(AE1063,-1E+99),MAX($D$16,IFERROR(L1063,MAX($D$16,POWER((ABS(K1063)^2)/($I$5*MAX(F1063,0.1)^2),1/3)))),MAX($D$16,IFERROR(W1063,MAX($D$16,POWER((ABS(K1063)^2)/($I$5*MAX(F1063,0.1)^2),1/3))))),IF(IFERROR(V1063,0)=1,MAX($D$16,IFERROR(L1063,MAX($D$16,POWER((ABS(K1063)^2)/($I$5*MAX(F1063,0.1)^2),1/3)))),IF(IFERROR(AG1063,0)=1,MAX($D$16,IFERROR(W1063,MAX($D$16,POWER((ABS(K1063)^2)/($I$5*MAX(F1063,0.1)^2),1/3)))),MAX($D$16,POWER((ABS(K1063)^2)/($I$5*MAX(F1063,0.1)^2),1/3))))))),MAX($D$16,POWER((ABS(K1063)^2)/($I$5*MAX(F1063,0.1)^2),1/3)))</f>
        <v>2.1389677043987478</v>
      </c>
      <c r="AI1063">
        <f t="shared" ca="1" si="517"/>
        <v>634.20146770439874</v>
      </c>
      <c r="AJ1063">
        <f t="shared" ca="1" si="518"/>
        <v>635.27095155659811</v>
      </c>
      <c r="AM1063">
        <v>0</v>
      </c>
      <c r="AN1063">
        <v>0</v>
      </c>
      <c r="AO1063">
        <f t="shared" si="519"/>
        <v>0</v>
      </c>
      <c r="AP1063">
        <f t="shared" si="528"/>
        <v>0</v>
      </c>
      <c r="AQ1063">
        <f t="shared" ca="1" si="520"/>
        <v>1.0000000000000004</v>
      </c>
      <c r="AR1063" t="str">
        <f t="shared" ca="1" si="521"/>
        <v>Supercritical</v>
      </c>
      <c r="AS1063">
        <f t="shared" ca="1" si="522"/>
        <v>3.8141460404132466E-3</v>
      </c>
    </row>
    <row r="1064" spans="1:45" x14ac:dyDescent="0.35">
      <c r="A1064">
        <v>1003</v>
      </c>
      <c r="B1064">
        <v>1001.996</v>
      </c>
      <c r="C1064">
        <v>616081.20900000003</v>
      </c>
      <c r="D1064">
        <v>3097005.0580000002</v>
      </c>
      <c r="E1064">
        <v>632.06200000000001</v>
      </c>
      <c r="F1064">
        <v>5.2</v>
      </c>
      <c r="G1064">
        <v>0</v>
      </c>
      <c r="H1064" t="s">
        <v>154</v>
      </c>
      <c r="I1064">
        <v>0.06</v>
      </c>
      <c r="J1064">
        <f t="shared" si="523"/>
        <v>1.0009999999999764</v>
      </c>
      <c r="K1064">
        <f t="shared" ca="1" si="524"/>
        <v>50.95</v>
      </c>
      <c r="L1064">
        <f t="shared" ca="1" si="525"/>
        <v>2.1389677043987478</v>
      </c>
      <c r="M1064">
        <f t="shared" ca="1" si="498"/>
        <v>11.122632062873489</v>
      </c>
      <c r="N1064">
        <f t="shared" ca="1" si="499"/>
        <v>1.1735290000551568</v>
      </c>
      <c r="O1064">
        <f t="shared" ca="1" si="500"/>
        <v>4.5807502857230418</v>
      </c>
      <c r="P1064">
        <f t="shared" ca="1" si="501"/>
        <v>634.20096770439875</v>
      </c>
      <c r="Q1064">
        <f t="shared" ca="1" si="502"/>
        <v>635.27045155659812</v>
      </c>
      <c r="R1064">
        <f t="shared" ca="1" si="503"/>
        <v>3.8141460404132466E-3</v>
      </c>
      <c r="S1064">
        <f t="shared" ca="1" si="504"/>
        <v>1.0000000000000004</v>
      </c>
      <c r="T1064">
        <f t="shared" ca="1" si="505"/>
        <v>35.686426155594638</v>
      </c>
      <c r="U1064">
        <f t="shared" ca="1" si="526"/>
        <v>-3.4249085716737682E-3</v>
      </c>
      <c r="V1064">
        <f t="shared" ca="1" si="527"/>
        <v>1</v>
      </c>
      <c r="W1064">
        <f t="shared" ca="1" si="506"/>
        <v>1.711567744953332</v>
      </c>
      <c r="X1064">
        <f t="shared" ca="1" si="507"/>
        <v>8.9001522737573264</v>
      </c>
      <c r="Y1064">
        <f t="shared" ca="1" si="508"/>
        <v>1.0321248325710422</v>
      </c>
      <c r="Z1064">
        <f t="shared" ca="1" si="509"/>
        <v>5.7246211562277836</v>
      </c>
      <c r="AA1064">
        <f t="shared" ca="1" si="510"/>
        <v>633.77356774495331</v>
      </c>
      <c r="AB1064">
        <f t="shared" ca="1" si="511"/>
        <v>635.44386781540845</v>
      </c>
      <c r="AC1064">
        <f t="shared" ca="1" si="512"/>
        <v>7.0691367722076365E-3</v>
      </c>
      <c r="AD1064">
        <f t="shared" ca="1" si="513"/>
        <v>1.3970604584319695</v>
      </c>
      <c r="AE1064">
        <f t="shared" ca="1" si="514"/>
        <v>37.348456718305513</v>
      </c>
      <c r="AF1064">
        <f t="shared" ca="1" si="515"/>
        <v>6.7278152788503576E-3</v>
      </c>
      <c r="AG1064">
        <f t="shared" ca="1" si="516"/>
        <v>0</v>
      </c>
      <c r="AH1064">
        <f ca="1">IFERROR(IF(V32="Supercritical",MAX($D$16,IFERROR(L1064,MAX($D$16,POWER((ABS(K1064)^2)/($I$5*MAX(F1064,0.1)^2),1/3)))),IF(V32="Subcritical",MAX($D$16,IFERROR(W1064,MAX($D$16,POWER((ABS(K1064)^2)/($I$5*MAX(F1064,0.1)^2),1/3)))),IF(AND(IFERROR(V1064,0)=1,IFERROR(AG1064,0)=1),IF(IFERROR(T1064,-1E+99)&gt;=IFERROR(AE1064,-1E+99),MAX($D$16,IFERROR(L1064,MAX($D$16,POWER((ABS(K1064)^2)/($I$5*MAX(F1064,0.1)^2),1/3)))),MAX($D$16,IFERROR(W1064,MAX($D$16,POWER((ABS(K1064)^2)/($I$5*MAX(F1064,0.1)^2),1/3))))),IF(IFERROR(V1064,0)=1,MAX($D$16,IFERROR(L1064,MAX($D$16,POWER((ABS(K1064)^2)/($I$5*MAX(F1064,0.1)^2),1/3)))),IF(IFERROR(AG1064,0)=1,MAX($D$16,IFERROR(W1064,MAX($D$16,POWER((ABS(K1064)^2)/($I$5*MAX(F1064,0.1)^2),1/3)))),MAX($D$16,POWER((ABS(K1064)^2)/($I$5*MAX(F1064,0.1)^2),1/3))))))),MAX($D$16,POWER((ABS(K1064)^2)/($I$5*MAX(F1064,0.1)^2),1/3)))</f>
        <v>2.1389677043987478</v>
      </c>
      <c r="AI1064">
        <f t="shared" ca="1" si="517"/>
        <v>634.20096770439875</v>
      </c>
      <c r="AJ1064">
        <f t="shared" ca="1" si="518"/>
        <v>635.27045155659812</v>
      </c>
      <c r="AM1064">
        <v>0</v>
      </c>
      <c r="AN1064">
        <v>0</v>
      </c>
      <c r="AO1064">
        <f t="shared" si="519"/>
        <v>0</v>
      </c>
      <c r="AP1064">
        <f t="shared" si="528"/>
        <v>0</v>
      </c>
      <c r="AQ1064">
        <f t="shared" ca="1" si="520"/>
        <v>1.0000000000000004</v>
      </c>
      <c r="AR1064" t="str">
        <f t="shared" ca="1" si="521"/>
        <v>Supercritical</v>
      </c>
      <c r="AS1064">
        <f t="shared" ca="1" si="522"/>
        <v>3.8141460404132466E-3</v>
      </c>
    </row>
    <row r="1065" spans="1:45" x14ac:dyDescent="0.35">
      <c r="A1065">
        <v>1004</v>
      </c>
      <c r="B1065">
        <v>1002.996</v>
      </c>
      <c r="C1065">
        <v>616081.16599999997</v>
      </c>
      <c r="D1065">
        <v>3097004.0589999999</v>
      </c>
      <c r="E1065">
        <v>632.06150000000002</v>
      </c>
      <c r="F1065">
        <v>5.2</v>
      </c>
      <c r="G1065">
        <v>0</v>
      </c>
      <c r="H1065" t="s">
        <v>154</v>
      </c>
      <c r="I1065">
        <v>5.7000000000000002E-2</v>
      </c>
      <c r="J1065">
        <f t="shared" si="523"/>
        <v>1</v>
      </c>
      <c r="K1065">
        <f t="shared" ca="1" si="524"/>
        <v>50.95</v>
      </c>
      <c r="L1065">
        <f t="shared" ca="1" si="525"/>
        <v>2.1389677043987478</v>
      </c>
      <c r="M1065">
        <f t="shared" ca="1" si="498"/>
        <v>11.122632062873489</v>
      </c>
      <c r="N1065">
        <f t="shared" ca="1" si="499"/>
        <v>1.1735290000551568</v>
      </c>
      <c r="O1065">
        <f t="shared" ca="1" si="500"/>
        <v>4.5807502857230418</v>
      </c>
      <c r="P1065">
        <f t="shared" ca="1" si="501"/>
        <v>634.20046770439876</v>
      </c>
      <c r="Q1065">
        <f t="shared" ca="1" si="502"/>
        <v>635.26995155659813</v>
      </c>
      <c r="R1065">
        <f t="shared" ca="1" si="503"/>
        <v>3.8141460404132466E-3</v>
      </c>
      <c r="S1065">
        <f t="shared" ca="1" si="504"/>
        <v>1.0000000000000004</v>
      </c>
      <c r="T1065">
        <f t="shared" ca="1" si="505"/>
        <v>35.686426155594638</v>
      </c>
      <c r="U1065">
        <f t="shared" ca="1" si="526"/>
        <v>-3.4157470064428708E-3</v>
      </c>
      <c r="V1065">
        <f t="shared" ca="1" si="527"/>
        <v>1</v>
      </c>
      <c r="W1065">
        <f t="shared" ca="1" si="506"/>
        <v>1.7097572077424201</v>
      </c>
      <c r="X1065">
        <f t="shared" ca="1" si="507"/>
        <v>8.8907374802605847</v>
      </c>
      <c r="Y1065">
        <f t="shared" ca="1" si="508"/>
        <v>1.0314661652271846</v>
      </c>
      <c r="Z1065">
        <f t="shared" ca="1" si="509"/>
        <v>5.7306832097022706</v>
      </c>
      <c r="AA1065">
        <f t="shared" ca="1" si="510"/>
        <v>633.77125720774245</v>
      </c>
      <c r="AB1065">
        <f t="shared" ca="1" si="511"/>
        <v>635.44509665983026</v>
      </c>
      <c r="AC1065">
        <f t="shared" ca="1" si="512"/>
        <v>7.0901486238202143E-3</v>
      </c>
      <c r="AD1065">
        <f t="shared" ca="1" si="513"/>
        <v>1.39928015908375</v>
      </c>
      <c r="AE1065">
        <f t="shared" ca="1" si="514"/>
        <v>37.363835549743087</v>
      </c>
      <c r="AF1065">
        <f t="shared" ca="1" si="515"/>
        <v>6.5901486237862628E-3</v>
      </c>
      <c r="AG1065">
        <f t="shared" ca="1" si="516"/>
        <v>0</v>
      </c>
      <c r="AH1065">
        <f ca="1">IFERROR(IF(V32="Supercritical",MAX($D$16,IFERROR(L1065,MAX($D$16,POWER((ABS(K1065)^2)/($I$5*MAX(F1065,0.1)^2),1/3)))),IF(V32="Subcritical",MAX($D$16,IFERROR(W1065,MAX($D$16,POWER((ABS(K1065)^2)/($I$5*MAX(F1065,0.1)^2),1/3)))),IF(AND(IFERROR(V1065,0)=1,IFERROR(AG1065,0)=1),IF(IFERROR(T1065,-1E+99)&gt;=IFERROR(AE1065,-1E+99),MAX($D$16,IFERROR(L1065,MAX($D$16,POWER((ABS(K1065)^2)/($I$5*MAX(F1065,0.1)^2),1/3)))),MAX($D$16,IFERROR(W1065,MAX($D$16,POWER((ABS(K1065)^2)/($I$5*MAX(F1065,0.1)^2),1/3))))),IF(IFERROR(V1065,0)=1,MAX($D$16,IFERROR(L1065,MAX($D$16,POWER((ABS(K1065)^2)/($I$5*MAX(F1065,0.1)^2),1/3)))),IF(IFERROR(AG1065,0)=1,MAX($D$16,IFERROR(W1065,MAX($D$16,POWER((ABS(K1065)^2)/($I$5*MAX(F1065,0.1)^2),1/3)))),MAX($D$16,POWER((ABS(K1065)^2)/($I$5*MAX(F1065,0.1)^2),1/3))))))),MAX($D$16,POWER((ABS(K1065)^2)/($I$5*MAX(F1065,0.1)^2),1/3)))</f>
        <v>2.1389677043987478</v>
      </c>
      <c r="AI1065">
        <f t="shared" ca="1" si="517"/>
        <v>634.20046770439876</v>
      </c>
      <c r="AJ1065">
        <f t="shared" ca="1" si="518"/>
        <v>635.26995155659813</v>
      </c>
      <c r="AM1065">
        <v>0</v>
      </c>
      <c r="AN1065">
        <v>0</v>
      </c>
      <c r="AO1065">
        <f t="shared" si="519"/>
        <v>0</v>
      </c>
      <c r="AP1065">
        <f t="shared" si="528"/>
        <v>0</v>
      </c>
      <c r="AQ1065">
        <f t="shared" ca="1" si="520"/>
        <v>1.0000000000000004</v>
      </c>
      <c r="AR1065" t="str">
        <f t="shared" ca="1" si="521"/>
        <v>Supercritical</v>
      </c>
      <c r="AS1065">
        <f t="shared" ca="1" si="522"/>
        <v>3.8141460404132466E-3</v>
      </c>
    </row>
    <row r="1066" spans="1:45" x14ac:dyDescent="0.35">
      <c r="A1066">
        <v>1005</v>
      </c>
      <c r="B1066">
        <v>1003.996</v>
      </c>
      <c r="C1066">
        <v>616081.12399999995</v>
      </c>
      <c r="D1066">
        <v>3097003.06</v>
      </c>
      <c r="E1066">
        <v>632.06100000000004</v>
      </c>
      <c r="F1066">
        <v>5.2</v>
      </c>
      <c r="G1066">
        <v>0</v>
      </c>
      <c r="H1066" t="s">
        <v>154</v>
      </c>
      <c r="I1066">
        <v>0</v>
      </c>
      <c r="J1066">
        <f t="shared" si="523"/>
        <v>1</v>
      </c>
      <c r="K1066">
        <f t="shared" ca="1" si="524"/>
        <v>50.95</v>
      </c>
      <c r="L1066">
        <f t="shared" ca="1" si="525"/>
        <v>2.1389677043987478</v>
      </c>
      <c r="M1066">
        <f t="shared" ca="1" si="498"/>
        <v>11.122632062873489</v>
      </c>
      <c r="N1066">
        <f t="shared" ca="1" si="499"/>
        <v>1.1735290000551568</v>
      </c>
      <c r="O1066">
        <f t="shared" ca="1" si="500"/>
        <v>4.5807502857230418</v>
      </c>
      <c r="P1066">
        <f t="shared" ca="1" si="501"/>
        <v>634.19996770439877</v>
      </c>
      <c r="Q1066">
        <f t="shared" ca="1" si="502"/>
        <v>635.26945155659814</v>
      </c>
      <c r="R1066">
        <f t="shared" ca="1" si="503"/>
        <v>3.8141460404132466E-3</v>
      </c>
      <c r="S1066">
        <f t="shared" ca="1" si="504"/>
        <v>1.0000000000000004</v>
      </c>
      <c r="T1066">
        <f t="shared" ca="1" si="505"/>
        <v>35.686426155594638</v>
      </c>
      <c r="U1066">
        <f t="shared" ca="1" si="526"/>
        <v>-3.3141460404522149E-3</v>
      </c>
      <c r="V1066">
        <f t="shared" ca="1" si="527"/>
        <v>1</v>
      </c>
      <c r="W1066">
        <f t="shared" ca="1" si="506"/>
        <v>1.7080451491324409</v>
      </c>
      <c r="X1066">
        <f t="shared" ca="1" si="507"/>
        <v>8.8818347754886933</v>
      </c>
      <c r="Y1066">
        <f t="shared" ca="1" si="508"/>
        <v>1.0308428147830955</v>
      </c>
      <c r="Z1066">
        <f t="shared" ca="1" si="509"/>
        <v>5.7364273585236392</v>
      </c>
      <c r="AA1066">
        <f t="shared" ca="1" si="510"/>
        <v>633.76904514913247</v>
      </c>
      <c r="AB1066">
        <f t="shared" ca="1" si="511"/>
        <v>635.44624182801215</v>
      </c>
      <c r="AC1066">
        <f t="shared" ca="1" si="512"/>
        <v>7.1100979561015713E-3</v>
      </c>
      <c r="AD1066">
        <f t="shared" ca="1" si="513"/>
        <v>1.4013845383486641</v>
      </c>
      <c r="AE1066">
        <f t="shared" ca="1" si="514"/>
        <v>37.378454977449259</v>
      </c>
      <c r="AF1066">
        <f t="shared" ca="1" si="515"/>
        <v>6.6100979561269924E-3</v>
      </c>
      <c r="AG1066">
        <f t="shared" ca="1" si="516"/>
        <v>0</v>
      </c>
      <c r="AH1066">
        <f ca="1">IFERROR(IF(V32="Supercritical",MAX($D$16,IFERROR(L1066,MAX($D$16,POWER((ABS(K1066)^2)/($I$5*MAX(F1066,0.1)^2),1/3)))),IF(V32="Subcritical",MAX($D$16,IFERROR(W1066,MAX($D$16,POWER((ABS(K1066)^2)/($I$5*MAX(F1066,0.1)^2),1/3)))),IF(AND(IFERROR(V1066,0)=1,IFERROR(AG1066,0)=1),IF(IFERROR(T1066,-1E+99)&gt;=IFERROR(AE1066,-1E+99),MAX($D$16,IFERROR(L1066,MAX($D$16,POWER((ABS(K1066)^2)/($I$5*MAX(F1066,0.1)^2),1/3)))),MAX($D$16,IFERROR(W1066,MAX($D$16,POWER((ABS(K1066)^2)/($I$5*MAX(F1066,0.1)^2),1/3))))),IF(IFERROR(V1066,0)=1,MAX($D$16,IFERROR(L1066,MAX($D$16,POWER((ABS(K1066)^2)/($I$5*MAX(F1066,0.1)^2),1/3)))),IF(IFERROR(AG1066,0)=1,MAX($D$16,IFERROR(W1066,MAX($D$16,POWER((ABS(K1066)^2)/($I$5*MAX(F1066,0.1)^2),1/3)))),MAX($D$16,POWER((ABS(K1066)^2)/($I$5*MAX(F1066,0.1)^2),1/3))))))),MAX($D$16,POWER((ABS(K1066)^2)/($I$5*MAX(F1066,0.1)^2),1/3)))</f>
        <v>2.1389677043987478</v>
      </c>
      <c r="AI1066">
        <f t="shared" ca="1" si="517"/>
        <v>634.19996770439877</v>
      </c>
      <c r="AJ1066">
        <f t="shared" ca="1" si="518"/>
        <v>635.26945155659814</v>
      </c>
      <c r="AM1066">
        <v>0</v>
      </c>
      <c r="AN1066">
        <v>0</v>
      </c>
      <c r="AO1066">
        <f t="shared" si="519"/>
        <v>0</v>
      </c>
      <c r="AP1066">
        <f t="shared" si="528"/>
        <v>0</v>
      </c>
      <c r="AQ1066">
        <f t="shared" ca="1" si="520"/>
        <v>1.0000000000000004</v>
      </c>
      <c r="AR1066" t="str">
        <f t="shared" ca="1" si="521"/>
        <v>Supercritical</v>
      </c>
      <c r="AS1066">
        <f t="shared" ca="1" si="522"/>
        <v>3.8141460404132466E-3</v>
      </c>
    </row>
    <row r="1067" spans="1:45" x14ac:dyDescent="0.35">
      <c r="A1067">
        <v>1006</v>
      </c>
      <c r="B1067">
        <v>1004.996</v>
      </c>
      <c r="C1067">
        <v>616081.08200000005</v>
      </c>
      <c r="D1067">
        <v>3097002.0610000002</v>
      </c>
      <c r="E1067">
        <v>632.06050000000005</v>
      </c>
      <c r="F1067">
        <v>5.2</v>
      </c>
      <c r="G1067">
        <v>0</v>
      </c>
      <c r="H1067" t="s">
        <v>154</v>
      </c>
      <c r="I1067">
        <v>0</v>
      </c>
      <c r="J1067">
        <f t="shared" si="523"/>
        <v>1</v>
      </c>
      <c r="K1067">
        <f t="shared" ca="1" si="524"/>
        <v>50.95</v>
      </c>
      <c r="L1067">
        <f t="shared" ca="1" si="525"/>
        <v>2.1389677043987478</v>
      </c>
      <c r="M1067">
        <f t="shared" ca="1" si="498"/>
        <v>11.122632062873489</v>
      </c>
      <c r="N1067">
        <f t="shared" ca="1" si="499"/>
        <v>1.1735290000551568</v>
      </c>
      <c r="O1067">
        <f t="shared" ca="1" si="500"/>
        <v>4.5807502857230418</v>
      </c>
      <c r="P1067">
        <f t="shared" ca="1" si="501"/>
        <v>634.19946770439878</v>
      </c>
      <c r="Q1067">
        <f t="shared" ca="1" si="502"/>
        <v>635.26895155659815</v>
      </c>
      <c r="R1067">
        <f t="shared" ca="1" si="503"/>
        <v>3.8141460404132466E-3</v>
      </c>
      <c r="S1067">
        <f t="shared" ca="1" si="504"/>
        <v>1.0000000000000004</v>
      </c>
      <c r="T1067">
        <f t="shared" ca="1" si="505"/>
        <v>35.686426155594638</v>
      </c>
      <c r="U1067">
        <f t="shared" ca="1" si="526"/>
        <v>-3.3141460404522149E-3</v>
      </c>
      <c r="V1067">
        <f t="shared" ca="1" si="527"/>
        <v>1</v>
      </c>
      <c r="W1067">
        <f t="shared" ca="1" si="506"/>
        <v>1.7064272943441821</v>
      </c>
      <c r="X1067">
        <f t="shared" ca="1" si="507"/>
        <v>8.8734219305897462</v>
      </c>
      <c r="Y1067">
        <f t="shared" ca="1" si="508"/>
        <v>1.0302533079153102</v>
      </c>
      <c r="Z1067">
        <f t="shared" ca="1" si="509"/>
        <v>5.7418660352842883</v>
      </c>
      <c r="AA1067">
        <f t="shared" ca="1" si="510"/>
        <v>633.76692729434421</v>
      </c>
      <c r="AB1067">
        <f t="shared" ca="1" si="511"/>
        <v>635.44730576361803</v>
      </c>
      <c r="AC1067">
        <f t="shared" ca="1" si="512"/>
        <v>7.129021742792464E-3</v>
      </c>
      <c r="AD1067">
        <f t="shared" ca="1" si="513"/>
        <v>1.403377978676007</v>
      </c>
      <c r="AE1067">
        <f t="shared" ca="1" si="514"/>
        <v>37.392339010184635</v>
      </c>
      <c r="AF1067">
        <f t="shared" ca="1" si="515"/>
        <v>6.7886576972568946E-3</v>
      </c>
      <c r="AG1067">
        <f t="shared" ca="1" si="516"/>
        <v>0</v>
      </c>
      <c r="AH1067">
        <f ca="1">IFERROR(IF(V32="Supercritical",MAX($D$16,IFERROR(L1067,MAX($D$16,POWER((ABS(K1067)^2)/($I$5*MAX(F1067,0.1)^2),1/3)))),IF(V32="Subcritical",MAX($D$16,IFERROR(W1067,MAX($D$16,POWER((ABS(K1067)^2)/($I$5*MAX(F1067,0.1)^2),1/3)))),IF(AND(IFERROR(V1067,0)=1,IFERROR(AG1067,0)=1),IF(IFERROR(T1067,-1E+99)&gt;=IFERROR(AE1067,-1E+99),MAX($D$16,IFERROR(L1067,MAX($D$16,POWER((ABS(K1067)^2)/($I$5*MAX(F1067,0.1)^2),1/3)))),MAX($D$16,IFERROR(W1067,MAX($D$16,POWER((ABS(K1067)^2)/($I$5*MAX(F1067,0.1)^2),1/3))))),IF(IFERROR(V1067,0)=1,MAX($D$16,IFERROR(L1067,MAX($D$16,POWER((ABS(K1067)^2)/($I$5*MAX(F1067,0.1)^2),1/3)))),IF(IFERROR(AG1067,0)=1,MAX($D$16,IFERROR(W1067,MAX($D$16,POWER((ABS(K1067)^2)/($I$5*MAX(F1067,0.1)^2),1/3)))),MAX($D$16,POWER((ABS(K1067)^2)/($I$5*MAX(F1067,0.1)^2),1/3))))))),MAX($D$16,POWER((ABS(K1067)^2)/($I$5*MAX(F1067,0.1)^2),1/3)))</f>
        <v>2.1389677043987478</v>
      </c>
      <c r="AI1067">
        <f t="shared" ca="1" si="517"/>
        <v>634.19946770439878</v>
      </c>
      <c r="AJ1067">
        <f t="shared" ca="1" si="518"/>
        <v>635.26895155659815</v>
      </c>
      <c r="AM1067">
        <v>0</v>
      </c>
      <c r="AN1067">
        <v>0</v>
      </c>
      <c r="AO1067">
        <f t="shared" si="519"/>
        <v>0</v>
      </c>
      <c r="AP1067">
        <f t="shared" si="528"/>
        <v>0</v>
      </c>
      <c r="AQ1067">
        <f t="shared" ca="1" si="520"/>
        <v>1.0000000000000004</v>
      </c>
      <c r="AR1067" t="str">
        <f t="shared" ca="1" si="521"/>
        <v>Supercritical</v>
      </c>
      <c r="AS1067">
        <f t="shared" ca="1" si="522"/>
        <v>3.8141460404132466E-3</v>
      </c>
    </row>
    <row r="1068" spans="1:45" x14ac:dyDescent="0.35">
      <c r="A1068">
        <v>1007</v>
      </c>
      <c r="B1068">
        <v>1005.996</v>
      </c>
      <c r="C1068">
        <v>616081.04</v>
      </c>
      <c r="D1068">
        <v>3097001.0619999999</v>
      </c>
      <c r="E1068">
        <v>632.05999999999995</v>
      </c>
      <c r="F1068">
        <v>5.2</v>
      </c>
      <c r="G1068">
        <v>0</v>
      </c>
      <c r="H1068" t="s">
        <v>154</v>
      </c>
      <c r="I1068">
        <v>5.7000000000000002E-2</v>
      </c>
      <c r="J1068">
        <f t="shared" si="523"/>
        <v>1</v>
      </c>
      <c r="K1068">
        <f t="shared" ca="1" si="524"/>
        <v>50.95</v>
      </c>
      <c r="L1068">
        <f t="shared" ca="1" si="525"/>
        <v>2.1389677043987478</v>
      </c>
      <c r="M1068">
        <f t="shared" ca="1" si="498"/>
        <v>11.122632062873489</v>
      </c>
      <c r="N1068">
        <f t="shared" ca="1" si="499"/>
        <v>1.1735290000551568</v>
      </c>
      <c r="O1068">
        <f t="shared" ca="1" si="500"/>
        <v>4.5807502857230418</v>
      </c>
      <c r="P1068">
        <f t="shared" ca="1" si="501"/>
        <v>634.19896770439868</v>
      </c>
      <c r="Q1068">
        <f t="shared" ca="1" si="502"/>
        <v>635.26845155659805</v>
      </c>
      <c r="R1068">
        <f t="shared" ca="1" si="503"/>
        <v>3.8141460404132466E-3</v>
      </c>
      <c r="S1068">
        <f t="shared" ca="1" si="504"/>
        <v>1.0000000000000004</v>
      </c>
      <c r="T1068">
        <f t="shared" ca="1" si="505"/>
        <v>35.686426155594638</v>
      </c>
      <c r="U1068">
        <f t="shared" ca="1" si="526"/>
        <v>-3.4157470063291839E-3</v>
      </c>
      <c r="V1068">
        <f t="shared" ca="1" si="527"/>
        <v>1</v>
      </c>
      <c r="W1068">
        <f t="shared" ca="1" si="506"/>
        <v>1.7048994300450699</v>
      </c>
      <c r="X1068">
        <f t="shared" ca="1" si="507"/>
        <v>8.8654770362343633</v>
      </c>
      <c r="Y1068">
        <f t="shared" ca="1" si="508"/>
        <v>1.0296961845798038</v>
      </c>
      <c r="Z1068">
        <f t="shared" ca="1" si="509"/>
        <v>5.7470116714262183</v>
      </c>
      <c r="AA1068">
        <f t="shared" ca="1" si="510"/>
        <v>633.76489943004503</v>
      </c>
      <c r="AB1068">
        <f t="shared" ca="1" si="511"/>
        <v>635.44829102798133</v>
      </c>
      <c r="AC1068">
        <f t="shared" ca="1" si="512"/>
        <v>7.1469575901126556E-3</v>
      </c>
      <c r="AD1068">
        <f t="shared" ca="1" si="513"/>
        <v>1.4052648800816261</v>
      </c>
      <c r="AE1068">
        <f t="shared" ca="1" si="514"/>
        <v>37.405512482064154</v>
      </c>
      <c r="AF1068">
        <f t="shared" ca="1" si="515"/>
        <v>6.8068797918385826E-3</v>
      </c>
      <c r="AG1068">
        <f t="shared" ca="1" si="516"/>
        <v>0</v>
      </c>
      <c r="AH1068">
        <f ca="1">IFERROR(IF(V32="Supercritical",MAX($D$16,IFERROR(L1068,MAX($D$16,POWER((ABS(K1068)^2)/($I$5*MAX(F1068,0.1)^2),1/3)))),IF(V32="Subcritical",MAX($D$16,IFERROR(W1068,MAX($D$16,POWER((ABS(K1068)^2)/($I$5*MAX(F1068,0.1)^2),1/3)))),IF(AND(IFERROR(V1068,0)=1,IFERROR(AG1068,0)=1),IF(IFERROR(T1068,-1E+99)&gt;=IFERROR(AE1068,-1E+99),MAX($D$16,IFERROR(L1068,MAX($D$16,POWER((ABS(K1068)^2)/($I$5*MAX(F1068,0.1)^2),1/3)))),MAX($D$16,IFERROR(W1068,MAX($D$16,POWER((ABS(K1068)^2)/($I$5*MAX(F1068,0.1)^2),1/3))))),IF(IFERROR(V1068,0)=1,MAX($D$16,IFERROR(L1068,MAX($D$16,POWER((ABS(K1068)^2)/($I$5*MAX(F1068,0.1)^2),1/3)))),IF(IFERROR(AG1068,0)=1,MAX($D$16,IFERROR(W1068,MAX($D$16,POWER((ABS(K1068)^2)/($I$5*MAX(F1068,0.1)^2),1/3)))),MAX($D$16,POWER((ABS(K1068)^2)/($I$5*MAX(F1068,0.1)^2),1/3))))))),MAX($D$16,POWER((ABS(K1068)^2)/($I$5*MAX(F1068,0.1)^2),1/3)))</f>
        <v>2.1389677043987478</v>
      </c>
      <c r="AI1068">
        <f t="shared" ca="1" si="517"/>
        <v>634.19896770439868</v>
      </c>
      <c r="AJ1068">
        <f t="shared" ca="1" si="518"/>
        <v>635.26845155659805</v>
      </c>
      <c r="AM1068">
        <v>0</v>
      </c>
      <c r="AN1068">
        <v>0</v>
      </c>
      <c r="AO1068">
        <f t="shared" si="519"/>
        <v>0</v>
      </c>
      <c r="AP1068">
        <f t="shared" si="528"/>
        <v>0</v>
      </c>
      <c r="AQ1068">
        <f t="shared" ca="1" si="520"/>
        <v>1.0000000000000004</v>
      </c>
      <c r="AR1068" t="str">
        <f t="shared" ca="1" si="521"/>
        <v>Supercritical</v>
      </c>
      <c r="AS1068">
        <f t="shared" ca="1" si="522"/>
        <v>3.8141460404132466E-3</v>
      </c>
    </row>
    <row r="1069" spans="1:45" x14ac:dyDescent="0.35">
      <c r="A1069">
        <v>1008</v>
      </c>
      <c r="B1069">
        <v>1006.996</v>
      </c>
      <c r="C1069">
        <v>616080.99699999997</v>
      </c>
      <c r="D1069">
        <v>3097000.0630000001</v>
      </c>
      <c r="E1069">
        <v>632.05949999999996</v>
      </c>
      <c r="F1069">
        <v>5.2</v>
      </c>
      <c r="G1069">
        <v>0</v>
      </c>
      <c r="H1069" t="s">
        <v>154</v>
      </c>
      <c r="I1069">
        <v>5.7000000000000002E-2</v>
      </c>
      <c r="J1069">
        <f t="shared" si="523"/>
        <v>1</v>
      </c>
      <c r="K1069">
        <f t="shared" ca="1" si="524"/>
        <v>50.95</v>
      </c>
      <c r="L1069">
        <f t="shared" ca="1" si="525"/>
        <v>2.1389677043987478</v>
      </c>
      <c r="M1069">
        <f t="shared" ca="1" si="498"/>
        <v>11.122632062873489</v>
      </c>
      <c r="N1069">
        <f t="shared" ca="1" si="499"/>
        <v>1.1735290000551568</v>
      </c>
      <c r="O1069">
        <f t="shared" ca="1" si="500"/>
        <v>4.5807502857230418</v>
      </c>
      <c r="P1069">
        <f t="shared" ca="1" si="501"/>
        <v>634.19846770439869</v>
      </c>
      <c r="Q1069">
        <f t="shared" ca="1" si="502"/>
        <v>635.26795155659806</v>
      </c>
      <c r="R1069">
        <f t="shared" ca="1" si="503"/>
        <v>3.8141460404132466E-3</v>
      </c>
      <c r="S1069">
        <f t="shared" ca="1" si="504"/>
        <v>1.0000000000000004</v>
      </c>
      <c r="T1069">
        <f t="shared" ca="1" si="505"/>
        <v>35.686426155594638</v>
      </c>
      <c r="U1069">
        <f t="shared" ca="1" si="526"/>
        <v>-3.4157470064428708E-3</v>
      </c>
      <c r="V1069">
        <f t="shared" ca="1" si="527"/>
        <v>1</v>
      </c>
      <c r="W1069">
        <f t="shared" ca="1" si="506"/>
        <v>1.7034574194221006</v>
      </c>
      <c r="X1069">
        <f t="shared" ca="1" si="507"/>
        <v>8.8579785809949243</v>
      </c>
      <c r="Y1069">
        <f t="shared" ca="1" si="508"/>
        <v>1.0291700042177294</v>
      </c>
      <c r="Z1069">
        <f t="shared" ca="1" si="509"/>
        <v>5.7518766312344507</v>
      </c>
      <c r="AA1069">
        <f t="shared" ca="1" si="510"/>
        <v>633.76295741942204</v>
      </c>
      <c r="AB1069">
        <f t="shared" ca="1" si="511"/>
        <v>635.44920027268097</v>
      </c>
      <c r="AC1069">
        <f t="shared" ca="1" si="512"/>
        <v>7.163943465179512E-3</v>
      </c>
      <c r="AD1069">
        <f t="shared" ca="1" si="513"/>
        <v>1.4070496347077284</v>
      </c>
      <c r="AE1069">
        <f t="shared" ca="1" si="514"/>
        <v>37.418000820486355</v>
      </c>
      <c r="AF1069">
        <f t="shared" ca="1" si="515"/>
        <v>6.6567795216769809E-3</v>
      </c>
      <c r="AG1069">
        <f t="shared" ca="1" si="516"/>
        <v>0</v>
      </c>
      <c r="AH1069">
        <f ca="1">IFERROR(IF(V32="Supercritical",MAX($D$16,IFERROR(L1069,MAX($D$16,POWER((ABS(K1069)^2)/($I$5*MAX(F1069,0.1)^2),1/3)))),IF(V32="Subcritical",MAX($D$16,IFERROR(W1069,MAX($D$16,POWER((ABS(K1069)^2)/($I$5*MAX(F1069,0.1)^2),1/3)))),IF(AND(IFERROR(V1069,0)=1,IFERROR(AG1069,0)=1),IF(IFERROR(T1069,-1E+99)&gt;=IFERROR(AE1069,-1E+99),MAX($D$16,IFERROR(L1069,MAX($D$16,POWER((ABS(K1069)^2)/($I$5*MAX(F1069,0.1)^2),1/3)))),MAX($D$16,IFERROR(W1069,MAX($D$16,POWER((ABS(K1069)^2)/($I$5*MAX(F1069,0.1)^2),1/3))))),IF(IFERROR(V1069,0)=1,MAX($D$16,IFERROR(L1069,MAX($D$16,POWER((ABS(K1069)^2)/($I$5*MAX(F1069,0.1)^2),1/3)))),IF(IFERROR(AG1069,0)=1,MAX($D$16,IFERROR(W1069,MAX($D$16,POWER((ABS(K1069)^2)/($I$5*MAX(F1069,0.1)^2),1/3)))),MAX($D$16,POWER((ABS(K1069)^2)/($I$5*MAX(F1069,0.1)^2),1/3))))))),MAX($D$16,POWER((ABS(K1069)^2)/($I$5*MAX(F1069,0.1)^2),1/3)))</f>
        <v>2.1389677043987478</v>
      </c>
      <c r="AI1069">
        <f t="shared" ca="1" si="517"/>
        <v>634.19846770439869</v>
      </c>
      <c r="AJ1069">
        <f t="shared" ca="1" si="518"/>
        <v>635.26795155659806</v>
      </c>
      <c r="AM1069">
        <v>0</v>
      </c>
      <c r="AN1069">
        <v>0</v>
      </c>
      <c r="AO1069">
        <f t="shared" si="519"/>
        <v>0</v>
      </c>
      <c r="AP1069">
        <f t="shared" si="528"/>
        <v>0</v>
      </c>
      <c r="AQ1069">
        <f t="shared" ca="1" si="520"/>
        <v>1.0000000000000004</v>
      </c>
      <c r="AR1069" t="str">
        <f t="shared" ca="1" si="521"/>
        <v>Supercritical</v>
      </c>
      <c r="AS1069">
        <f t="shared" ca="1" si="522"/>
        <v>3.8141460404132466E-3</v>
      </c>
    </row>
    <row r="1070" spans="1:45" x14ac:dyDescent="0.35">
      <c r="A1070">
        <v>1009</v>
      </c>
      <c r="B1070">
        <v>1007.995</v>
      </c>
      <c r="C1070">
        <v>616080.95499999996</v>
      </c>
      <c r="D1070">
        <v>3096999.0639999998</v>
      </c>
      <c r="E1070">
        <v>632.05899999999997</v>
      </c>
      <c r="F1070">
        <v>5.2</v>
      </c>
      <c r="G1070">
        <v>0</v>
      </c>
      <c r="H1070" t="s">
        <v>154</v>
      </c>
      <c r="I1070">
        <v>0</v>
      </c>
      <c r="J1070">
        <f t="shared" si="523"/>
        <v>0.99900000000002365</v>
      </c>
      <c r="K1070">
        <f t="shared" ca="1" si="524"/>
        <v>50.95</v>
      </c>
      <c r="L1070">
        <f t="shared" ca="1" si="525"/>
        <v>2.1389677043987478</v>
      </c>
      <c r="M1070">
        <f t="shared" ca="1" si="498"/>
        <v>11.122632062873489</v>
      </c>
      <c r="N1070">
        <f t="shared" ca="1" si="499"/>
        <v>1.1735290000551568</v>
      </c>
      <c r="O1070">
        <f t="shared" ca="1" si="500"/>
        <v>4.5807502857230418</v>
      </c>
      <c r="P1070">
        <f t="shared" ca="1" si="501"/>
        <v>634.19796770439871</v>
      </c>
      <c r="Q1070">
        <f t="shared" ca="1" si="502"/>
        <v>635.26745155659808</v>
      </c>
      <c r="R1070">
        <f t="shared" ca="1" si="503"/>
        <v>3.8141460404132466E-3</v>
      </c>
      <c r="S1070">
        <f t="shared" ca="1" si="504"/>
        <v>1.0000000000000004</v>
      </c>
      <c r="T1070">
        <f t="shared" ca="1" si="505"/>
        <v>35.686426155594638</v>
      </c>
      <c r="U1070">
        <f t="shared" ca="1" si="526"/>
        <v>-3.3103318943403792E-3</v>
      </c>
      <c r="V1070">
        <f t="shared" ca="1" si="527"/>
        <v>1</v>
      </c>
      <c r="W1070">
        <f t="shared" ca="1" si="506"/>
        <v>1.7020972150739266</v>
      </c>
      <c r="X1070">
        <f t="shared" ca="1" si="507"/>
        <v>8.850905518384419</v>
      </c>
      <c r="Y1070">
        <f t="shared" ca="1" si="508"/>
        <v>1.0286733511474504</v>
      </c>
      <c r="Z1070">
        <f t="shared" ca="1" si="509"/>
        <v>5.7564731534158389</v>
      </c>
      <c r="AA1070">
        <f t="shared" ca="1" si="510"/>
        <v>633.76109721507385</v>
      </c>
      <c r="AB1070">
        <f t="shared" ca="1" si="511"/>
        <v>635.45003621436013</v>
      </c>
      <c r="AC1070">
        <f t="shared" ca="1" si="512"/>
        <v>7.1800174503231133E-3</v>
      </c>
      <c r="AD1070">
        <f t="shared" ca="1" si="513"/>
        <v>1.4087366041629816</v>
      </c>
      <c r="AE1070">
        <f t="shared" ca="1" si="514"/>
        <v>37.429829834857898</v>
      </c>
      <c r="AF1070">
        <f t="shared" ca="1" si="515"/>
        <v>6.6800174503214294E-3</v>
      </c>
      <c r="AG1070">
        <f t="shared" ca="1" si="516"/>
        <v>0</v>
      </c>
      <c r="AH1070">
        <f ca="1">IFERROR(IF(V32="Supercritical",MAX($D$16,IFERROR(L1070,MAX($D$16,POWER((ABS(K1070)^2)/($I$5*MAX(F1070,0.1)^2),1/3)))),IF(V32="Subcritical",MAX($D$16,IFERROR(W1070,MAX($D$16,POWER((ABS(K1070)^2)/($I$5*MAX(F1070,0.1)^2),1/3)))),IF(AND(IFERROR(V1070,0)=1,IFERROR(AG1070,0)=1),IF(IFERROR(T1070,-1E+99)&gt;=IFERROR(AE1070,-1E+99),MAX($D$16,IFERROR(L1070,MAX($D$16,POWER((ABS(K1070)^2)/($I$5*MAX(F1070,0.1)^2),1/3)))),MAX($D$16,IFERROR(W1070,MAX($D$16,POWER((ABS(K1070)^2)/($I$5*MAX(F1070,0.1)^2),1/3))))),IF(IFERROR(V1070,0)=1,MAX($D$16,IFERROR(L1070,MAX($D$16,POWER((ABS(K1070)^2)/($I$5*MAX(F1070,0.1)^2),1/3)))),IF(IFERROR(AG1070,0)=1,MAX($D$16,IFERROR(W1070,MAX($D$16,POWER((ABS(K1070)^2)/($I$5*MAX(F1070,0.1)^2),1/3)))),MAX($D$16,POWER((ABS(K1070)^2)/($I$5*MAX(F1070,0.1)^2),1/3))))))),MAX($D$16,POWER((ABS(K1070)^2)/($I$5*MAX(F1070,0.1)^2),1/3)))</f>
        <v>2.1389677043987478</v>
      </c>
      <c r="AI1070">
        <f t="shared" ca="1" si="517"/>
        <v>634.19796770439871</v>
      </c>
      <c r="AJ1070">
        <f t="shared" ca="1" si="518"/>
        <v>635.26745155659808</v>
      </c>
      <c r="AM1070">
        <v>0</v>
      </c>
      <c r="AN1070">
        <v>0</v>
      </c>
      <c r="AO1070">
        <f t="shared" si="519"/>
        <v>0</v>
      </c>
      <c r="AP1070">
        <f t="shared" si="528"/>
        <v>0</v>
      </c>
      <c r="AQ1070">
        <f t="shared" ca="1" si="520"/>
        <v>1.0000000000000004</v>
      </c>
      <c r="AR1070" t="str">
        <f t="shared" ca="1" si="521"/>
        <v>Supercritical</v>
      </c>
      <c r="AS1070">
        <f t="shared" ca="1" si="522"/>
        <v>3.8141460404132466E-3</v>
      </c>
    </row>
    <row r="1071" spans="1:45" x14ac:dyDescent="0.35">
      <c r="A1071">
        <v>1010</v>
      </c>
      <c r="B1071">
        <v>1008.995</v>
      </c>
      <c r="C1071">
        <v>616080.91299999994</v>
      </c>
      <c r="D1071">
        <v>3096998.0649999999</v>
      </c>
      <c r="E1071">
        <v>632.05849999999998</v>
      </c>
      <c r="F1071">
        <v>5.2</v>
      </c>
      <c r="G1071">
        <v>0</v>
      </c>
      <c r="H1071" t="s">
        <v>154</v>
      </c>
      <c r="I1071">
        <v>0</v>
      </c>
      <c r="J1071">
        <f t="shared" si="523"/>
        <v>1</v>
      </c>
      <c r="K1071">
        <f t="shared" ca="1" si="524"/>
        <v>50.95</v>
      </c>
      <c r="L1071">
        <f t="shared" ca="1" si="525"/>
        <v>2.1389677043987478</v>
      </c>
      <c r="M1071">
        <f t="shared" ca="1" si="498"/>
        <v>11.122632062873489</v>
      </c>
      <c r="N1071">
        <f t="shared" ca="1" si="499"/>
        <v>1.1735290000551568</v>
      </c>
      <c r="O1071">
        <f t="shared" ca="1" si="500"/>
        <v>4.5807502857230418</v>
      </c>
      <c r="P1071">
        <f t="shared" ca="1" si="501"/>
        <v>634.19746770439872</v>
      </c>
      <c r="Q1071">
        <f t="shared" ca="1" si="502"/>
        <v>635.26695155659809</v>
      </c>
      <c r="R1071">
        <f t="shared" ca="1" si="503"/>
        <v>3.8141460404132466E-3</v>
      </c>
      <c r="S1071">
        <f t="shared" ca="1" si="504"/>
        <v>1.0000000000000004</v>
      </c>
      <c r="T1071">
        <f t="shared" ca="1" si="505"/>
        <v>35.686426155594638</v>
      </c>
      <c r="U1071">
        <f t="shared" ca="1" si="526"/>
        <v>-3.3141460404522149E-3</v>
      </c>
      <c r="V1071">
        <f t="shared" ca="1" si="527"/>
        <v>1</v>
      </c>
      <c r="W1071">
        <f t="shared" ca="1" si="506"/>
        <v>1.7008148698575025</v>
      </c>
      <c r="X1071">
        <f t="shared" ca="1" si="507"/>
        <v>8.8442373232590139</v>
      </c>
      <c r="Y1071">
        <f t="shared" ca="1" si="508"/>
        <v>1.0282048391857479</v>
      </c>
      <c r="Z1071">
        <f t="shared" ca="1" si="509"/>
        <v>5.7608132999788646</v>
      </c>
      <c r="AA1071">
        <f t="shared" ca="1" si="510"/>
        <v>633.75931486985746</v>
      </c>
      <c r="AB1071">
        <f t="shared" ca="1" si="511"/>
        <v>635.45080161181534</v>
      </c>
      <c r="AC1071">
        <f t="shared" ca="1" si="512"/>
        <v>7.1952175230126231E-3</v>
      </c>
      <c r="AD1071">
        <f t="shared" ca="1" si="513"/>
        <v>1.4103300995567083</v>
      </c>
      <c r="AE1071">
        <f t="shared" ca="1" si="514"/>
        <v>37.441025526016958</v>
      </c>
      <c r="AF1071">
        <f t="shared" ca="1" si="515"/>
        <v>6.8559087634412208E-3</v>
      </c>
      <c r="AG1071">
        <f t="shared" ca="1" si="516"/>
        <v>0</v>
      </c>
      <c r="AH1071">
        <f ca="1">IFERROR(IF(V32="Supercritical",MAX($D$16,IFERROR(L1071,MAX($D$16,POWER((ABS(K1071)^2)/($I$5*MAX(F1071,0.1)^2),1/3)))),IF(V32="Subcritical",MAX($D$16,IFERROR(W1071,MAX($D$16,POWER((ABS(K1071)^2)/($I$5*MAX(F1071,0.1)^2),1/3)))),IF(AND(IFERROR(V1071,0)=1,IFERROR(AG1071,0)=1),IF(IFERROR(T1071,-1E+99)&gt;=IFERROR(AE1071,-1E+99),MAX($D$16,IFERROR(L1071,MAX($D$16,POWER((ABS(K1071)^2)/($I$5*MAX(F1071,0.1)^2),1/3)))),MAX($D$16,IFERROR(W1071,MAX($D$16,POWER((ABS(K1071)^2)/($I$5*MAX(F1071,0.1)^2),1/3))))),IF(IFERROR(V1071,0)=1,MAX($D$16,IFERROR(L1071,MAX($D$16,POWER((ABS(K1071)^2)/($I$5*MAX(F1071,0.1)^2),1/3)))),IF(IFERROR(AG1071,0)=1,MAX($D$16,IFERROR(W1071,MAX($D$16,POWER((ABS(K1071)^2)/($I$5*MAX(F1071,0.1)^2),1/3)))),MAX($D$16,POWER((ABS(K1071)^2)/($I$5*MAX(F1071,0.1)^2),1/3))))))),MAX($D$16,POWER((ABS(K1071)^2)/($I$5*MAX(F1071,0.1)^2),1/3)))</f>
        <v>2.1389677043987478</v>
      </c>
      <c r="AI1071">
        <f t="shared" ca="1" si="517"/>
        <v>634.19746770439872</v>
      </c>
      <c r="AJ1071">
        <f t="shared" ca="1" si="518"/>
        <v>635.26695155659809</v>
      </c>
      <c r="AM1071">
        <v>0</v>
      </c>
      <c r="AN1071">
        <v>0</v>
      </c>
      <c r="AO1071">
        <f t="shared" si="519"/>
        <v>0</v>
      </c>
      <c r="AP1071">
        <f t="shared" si="528"/>
        <v>0</v>
      </c>
      <c r="AQ1071">
        <f t="shared" ca="1" si="520"/>
        <v>1.0000000000000004</v>
      </c>
      <c r="AR1071" t="str">
        <f t="shared" ca="1" si="521"/>
        <v>Supercritical</v>
      </c>
      <c r="AS1071">
        <f t="shared" ca="1" si="522"/>
        <v>3.8141460404132466E-3</v>
      </c>
    </row>
    <row r="1072" spans="1:45" x14ac:dyDescent="0.35">
      <c r="A1072">
        <v>1011</v>
      </c>
      <c r="B1072">
        <v>1009.995</v>
      </c>
      <c r="C1072">
        <v>616080.87100000004</v>
      </c>
      <c r="D1072">
        <v>3096997.0660000001</v>
      </c>
      <c r="E1072">
        <v>632.05799999999999</v>
      </c>
      <c r="F1072">
        <v>5.2</v>
      </c>
      <c r="G1072">
        <v>0</v>
      </c>
      <c r="H1072" t="s">
        <v>154</v>
      </c>
      <c r="I1072">
        <v>5.7000000000000002E-2</v>
      </c>
      <c r="J1072">
        <f t="shared" si="523"/>
        <v>1</v>
      </c>
      <c r="K1072">
        <f t="shared" ca="1" si="524"/>
        <v>50.95</v>
      </c>
      <c r="L1072">
        <f t="shared" ca="1" si="525"/>
        <v>2.1389677043987478</v>
      </c>
      <c r="M1072">
        <f t="shared" ca="1" si="498"/>
        <v>11.122632062873489</v>
      </c>
      <c r="N1072">
        <f t="shared" ca="1" si="499"/>
        <v>1.1735290000551568</v>
      </c>
      <c r="O1072">
        <f t="shared" ca="1" si="500"/>
        <v>4.5807502857230418</v>
      </c>
      <c r="P1072">
        <f t="shared" ca="1" si="501"/>
        <v>634.19696770439873</v>
      </c>
      <c r="Q1072">
        <f t="shared" ca="1" si="502"/>
        <v>635.2664515565981</v>
      </c>
      <c r="R1072">
        <f t="shared" ca="1" si="503"/>
        <v>3.8141460404132466E-3</v>
      </c>
      <c r="S1072">
        <f t="shared" ca="1" si="504"/>
        <v>1.0000000000000004</v>
      </c>
      <c r="T1072">
        <f t="shared" ca="1" si="505"/>
        <v>35.686426155594638</v>
      </c>
      <c r="U1072">
        <f t="shared" ca="1" si="526"/>
        <v>-3.4157470064428708E-3</v>
      </c>
      <c r="V1072">
        <f t="shared" ca="1" si="527"/>
        <v>1</v>
      </c>
      <c r="W1072">
        <f t="shared" ca="1" si="506"/>
        <v>1.6996065458336926</v>
      </c>
      <c r="X1072">
        <f t="shared" ca="1" si="507"/>
        <v>8.8379540383352015</v>
      </c>
      <c r="Y1072">
        <f t="shared" ca="1" si="508"/>
        <v>1.0277631155459044</v>
      </c>
      <c r="Z1072">
        <f t="shared" ca="1" si="509"/>
        <v>5.7649089120627988</v>
      </c>
      <c r="AA1072">
        <f t="shared" ca="1" si="510"/>
        <v>633.75760654583371</v>
      </c>
      <c r="AB1072">
        <f t="shared" ca="1" si="511"/>
        <v>635.45149924534348</v>
      </c>
      <c r="AC1072">
        <f t="shared" ca="1" si="512"/>
        <v>7.2095813607500918E-3</v>
      </c>
      <c r="AD1072">
        <f t="shared" ca="1" si="513"/>
        <v>1.4118343641129094</v>
      </c>
      <c r="AE1072">
        <f t="shared" ca="1" si="514"/>
        <v>37.451613915943135</v>
      </c>
      <c r="AF1072">
        <f t="shared" ca="1" si="515"/>
        <v>6.8789706306233711E-3</v>
      </c>
      <c r="AG1072">
        <f t="shared" ca="1" si="516"/>
        <v>0</v>
      </c>
      <c r="AH1072">
        <f ca="1">IFERROR(IF(V32="Supercritical",MAX($D$16,IFERROR(L1072,MAX($D$16,POWER((ABS(K1072)^2)/($I$5*MAX(F1072,0.1)^2),1/3)))),IF(V32="Subcritical",MAX($D$16,IFERROR(W1072,MAX($D$16,POWER((ABS(K1072)^2)/($I$5*MAX(F1072,0.1)^2),1/3)))),IF(AND(IFERROR(V1072,0)=1,IFERROR(AG1072,0)=1),IF(IFERROR(T1072,-1E+99)&gt;=IFERROR(AE1072,-1E+99),MAX($D$16,IFERROR(L1072,MAX($D$16,POWER((ABS(K1072)^2)/($I$5*MAX(F1072,0.1)^2),1/3)))),MAX($D$16,IFERROR(W1072,MAX($D$16,POWER((ABS(K1072)^2)/($I$5*MAX(F1072,0.1)^2),1/3))))),IF(IFERROR(V1072,0)=1,MAX($D$16,IFERROR(L1072,MAX($D$16,POWER((ABS(K1072)^2)/($I$5*MAX(F1072,0.1)^2),1/3)))),IF(IFERROR(AG1072,0)=1,MAX($D$16,IFERROR(W1072,MAX($D$16,POWER((ABS(K1072)^2)/($I$5*MAX(F1072,0.1)^2),1/3)))),MAX($D$16,POWER((ABS(K1072)^2)/($I$5*MAX(F1072,0.1)^2),1/3))))))),MAX($D$16,POWER((ABS(K1072)^2)/($I$5*MAX(F1072,0.1)^2),1/3)))</f>
        <v>2.1389677043987478</v>
      </c>
      <c r="AI1072">
        <f t="shared" ca="1" si="517"/>
        <v>634.19696770439873</v>
      </c>
      <c r="AJ1072">
        <f t="shared" ca="1" si="518"/>
        <v>635.2664515565981</v>
      </c>
      <c r="AM1072">
        <v>0</v>
      </c>
      <c r="AN1072">
        <v>0</v>
      </c>
      <c r="AO1072">
        <f t="shared" si="519"/>
        <v>0</v>
      </c>
      <c r="AP1072">
        <f t="shared" si="528"/>
        <v>0</v>
      </c>
      <c r="AQ1072">
        <f t="shared" ca="1" si="520"/>
        <v>1.0000000000000004</v>
      </c>
      <c r="AR1072" t="str">
        <f t="shared" ca="1" si="521"/>
        <v>Supercritical</v>
      </c>
      <c r="AS1072">
        <f t="shared" ca="1" si="522"/>
        <v>3.8141460404132466E-3</v>
      </c>
    </row>
    <row r="1073" spans="1:45" x14ac:dyDescent="0.35">
      <c r="A1073">
        <v>1012</v>
      </c>
      <c r="B1073">
        <v>1010.995</v>
      </c>
      <c r="C1073">
        <v>616080.82799999998</v>
      </c>
      <c r="D1073">
        <v>3096996.0669999998</v>
      </c>
      <c r="E1073">
        <v>632.0575</v>
      </c>
      <c r="F1073">
        <v>5.2</v>
      </c>
      <c r="G1073">
        <v>0</v>
      </c>
      <c r="H1073" t="s">
        <v>154</v>
      </c>
      <c r="I1073">
        <v>0.06</v>
      </c>
      <c r="J1073">
        <f t="shared" si="523"/>
        <v>1</v>
      </c>
      <c r="K1073">
        <f t="shared" ca="1" si="524"/>
        <v>50.95</v>
      </c>
      <c r="L1073">
        <f t="shared" ca="1" si="525"/>
        <v>2.1389677043987478</v>
      </c>
      <c r="M1073">
        <f t="shared" ca="1" si="498"/>
        <v>11.122632062873489</v>
      </c>
      <c r="N1073">
        <f t="shared" ca="1" si="499"/>
        <v>1.1735290000551568</v>
      </c>
      <c r="O1073">
        <f t="shared" ca="1" si="500"/>
        <v>4.5807502857230418</v>
      </c>
      <c r="P1073">
        <f t="shared" ca="1" si="501"/>
        <v>634.19646770439874</v>
      </c>
      <c r="Q1073">
        <f t="shared" ca="1" si="502"/>
        <v>635.26595155659811</v>
      </c>
      <c r="R1073">
        <f t="shared" ca="1" si="503"/>
        <v>3.8141460404132466E-3</v>
      </c>
      <c r="S1073">
        <f t="shared" ca="1" si="504"/>
        <v>1.0000000000000004</v>
      </c>
      <c r="T1073">
        <f t="shared" ca="1" si="505"/>
        <v>35.686426155594638</v>
      </c>
      <c r="U1073">
        <f t="shared" ca="1" si="526"/>
        <v>-3.4210944256756193E-3</v>
      </c>
      <c r="V1073">
        <f t="shared" ca="1" si="527"/>
        <v>1</v>
      </c>
      <c r="W1073">
        <f t="shared" ca="1" si="506"/>
        <v>1.6984685214614483</v>
      </c>
      <c r="X1073">
        <f t="shared" ca="1" si="507"/>
        <v>8.8320363115995324</v>
      </c>
      <c r="Y1073">
        <f t="shared" ca="1" si="508"/>
        <v>1.0273468640636578</v>
      </c>
      <c r="Z1073">
        <f t="shared" ca="1" si="509"/>
        <v>5.7687715723139581</v>
      </c>
      <c r="AA1073">
        <f t="shared" ca="1" si="510"/>
        <v>633.75596852146145</v>
      </c>
      <c r="AB1073">
        <f t="shared" ca="1" si="511"/>
        <v>635.45213189829826</v>
      </c>
      <c r="AC1073">
        <f t="shared" ca="1" si="512"/>
        <v>7.2231461699963796E-3</v>
      </c>
      <c r="AD1073">
        <f t="shared" ca="1" si="513"/>
        <v>1.4132535582281534</v>
      </c>
      <c r="AE1073">
        <f t="shared" ca="1" si="514"/>
        <v>37.461620897083606</v>
      </c>
      <c r="AF1073">
        <f t="shared" ca="1" si="515"/>
        <v>6.736023194093832E-3</v>
      </c>
      <c r="AG1073">
        <f t="shared" ca="1" si="516"/>
        <v>0</v>
      </c>
      <c r="AH1073">
        <f ca="1">IFERROR(IF(V32="Supercritical",MAX($D$16,IFERROR(L1073,MAX($D$16,POWER((ABS(K1073)^2)/($I$5*MAX(F1073,0.1)^2),1/3)))),IF(V32="Subcritical",MAX($D$16,IFERROR(W1073,MAX($D$16,POWER((ABS(K1073)^2)/($I$5*MAX(F1073,0.1)^2),1/3)))),IF(AND(IFERROR(V1073,0)=1,IFERROR(AG1073,0)=1),IF(IFERROR(T1073,-1E+99)&gt;=IFERROR(AE1073,-1E+99),MAX($D$16,IFERROR(L1073,MAX($D$16,POWER((ABS(K1073)^2)/($I$5*MAX(F1073,0.1)^2),1/3)))),MAX($D$16,IFERROR(W1073,MAX($D$16,POWER((ABS(K1073)^2)/($I$5*MAX(F1073,0.1)^2),1/3))))),IF(IFERROR(V1073,0)=1,MAX($D$16,IFERROR(L1073,MAX($D$16,POWER((ABS(K1073)^2)/($I$5*MAX(F1073,0.1)^2),1/3)))),IF(IFERROR(AG1073,0)=1,MAX($D$16,IFERROR(W1073,MAX($D$16,POWER((ABS(K1073)^2)/($I$5*MAX(F1073,0.1)^2),1/3)))),MAX($D$16,POWER((ABS(K1073)^2)/($I$5*MAX(F1073,0.1)^2),1/3))))))),MAX($D$16,POWER((ABS(K1073)^2)/($I$5*MAX(F1073,0.1)^2),1/3)))</f>
        <v>2.1389677043987478</v>
      </c>
      <c r="AI1073">
        <f t="shared" ca="1" si="517"/>
        <v>634.19646770439874</v>
      </c>
      <c r="AJ1073">
        <f t="shared" ca="1" si="518"/>
        <v>635.26595155659811</v>
      </c>
      <c r="AM1073">
        <v>0</v>
      </c>
      <c r="AN1073">
        <v>0</v>
      </c>
      <c r="AO1073">
        <f t="shared" si="519"/>
        <v>0</v>
      </c>
      <c r="AP1073">
        <f t="shared" si="528"/>
        <v>0</v>
      </c>
      <c r="AQ1073">
        <f t="shared" ca="1" si="520"/>
        <v>1.0000000000000004</v>
      </c>
      <c r="AR1073" t="str">
        <f t="shared" ca="1" si="521"/>
        <v>Supercritical</v>
      </c>
      <c r="AS1073">
        <f t="shared" ca="1" si="522"/>
        <v>3.8141460404132466E-3</v>
      </c>
    </row>
    <row r="1074" spans="1:45" x14ac:dyDescent="0.35">
      <c r="A1074">
        <v>1013</v>
      </c>
      <c r="B1074">
        <v>1011.996</v>
      </c>
      <c r="C1074">
        <v>616080.78599999996</v>
      </c>
      <c r="D1074">
        <v>3096995.0669999998</v>
      </c>
      <c r="E1074">
        <v>632.05700000000002</v>
      </c>
      <c r="F1074">
        <v>5.2</v>
      </c>
      <c r="G1074">
        <v>0</v>
      </c>
      <c r="H1074" t="s">
        <v>154</v>
      </c>
      <c r="I1074">
        <v>2E-3</v>
      </c>
      <c r="J1074">
        <f t="shared" si="523"/>
        <v>1.0009999999999764</v>
      </c>
      <c r="K1074">
        <f t="shared" ca="1" si="524"/>
        <v>50.95</v>
      </c>
      <c r="L1074">
        <f t="shared" ca="1" si="525"/>
        <v>2.1389677043987478</v>
      </c>
      <c r="M1074">
        <f t="shared" ca="1" si="498"/>
        <v>11.122632062873489</v>
      </c>
      <c r="N1074">
        <f t="shared" ca="1" si="499"/>
        <v>1.1735290000551568</v>
      </c>
      <c r="O1074">
        <f t="shared" ca="1" si="500"/>
        <v>4.5807502857230418</v>
      </c>
      <c r="P1074">
        <f t="shared" ca="1" si="501"/>
        <v>634.19596770439875</v>
      </c>
      <c r="Q1074">
        <f t="shared" ca="1" si="502"/>
        <v>635.26545155659812</v>
      </c>
      <c r="R1074">
        <f t="shared" ca="1" si="503"/>
        <v>3.8141460404132466E-3</v>
      </c>
      <c r="S1074">
        <f t="shared" ca="1" si="504"/>
        <v>1.0000000000000004</v>
      </c>
      <c r="T1074">
        <f t="shared" ca="1" si="505"/>
        <v>35.686426155594638</v>
      </c>
      <c r="U1074">
        <f t="shared" ca="1" si="526"/>
        <v>-3.3215251326055295E-3</v>
      </c>
      <c r="V1074">
        <f t="shared" ca="1" si="527"/>
        <v>1</v>
      </c>
      <c r="W1074">
        <f t="shared" ca="1" si="506"/>
        <v>1.6973971971920019</v>
      </c>
      <c r="X1074">
        <f t="shared" ca="1" si="507"/>
        <v>8.8264654253984105</v>
      </c>
      <c r="Y1074">
        <f t="shared" ca="1" si="508"/>
        <v>1.0269548078038708</v>
      </c>
      <c r="Z1074">
        <f t="shared" ca="1" si="509"/>
        <v>5.7724125733716578</v>
      </c>
      <c r="AA1074">
        <f t="shared" ca="1" si="510"/>
        <v>633.75439719719202</v>
      </c>
      <c r="AB1074">
        <f t="shared" ca="1" si="511"/>
        <v>635.45270234078123</v>
      </c>
      <c r="AC1074">
        <f t="shared" ca="1" si="512"/>
        <v>7.2359485379675913E-3</v>
      </c>
      <c r="AD1074">
        <f t="shared" ca="1" si="513"/>
        <v>1.4145917468216829</v>
      </c>
      <c r="AE1074">
        <f t="shared" ca="1" si="514"/>
        <v>37.471072100423591</v>
      </c>
      <c r="AF1074">
        <f t="shared" ca="1" si="515"/>
        <v>6.7359485379938633E-3</v>
      </c>
      <c r="AG1074">
        <f t="shared" ca="1" si="516"/>
        <v>0</v>
      </c>
      <c r="AH1074">
        <f ca="1">IFERROR(IF(V32="Supercritical",MAX($D$16,IFERROR(L1074,MAX($D$16,POWER((ABS(K1074)^2)/($I$5*MAX(F1074,0.1)^2),1/3)))),IF(V32="Subcritical",MAX($D$16,IFERROR(W1074,MAX($D$16,POWER((ABS(K1074)^2)/($I$5*MAX(F1074,0.1)^2),1/3)))),IF(AND(IFERROR(V1074,0)=1,IFERROR(AG1074,0)=1),IF(IFERROR(T1074,-1E+99)&gt;=IFERROR(AE1074,-1E+99),MAX($D$16,IFERROR(L1074,MAX($D$16,POWER((ABS(K1074)^2)/($I$5*MAX(F1074,0.1)^2),1/3)))),MAX($D$16,IFERROR(W1074,MAX($D$16,POWER((ABS(K1074)^2)/($I$5*MAX(F1074,0.1)^2),1/3))))),IF(IFERROR(V1074,0)=1,MAX($D$16,IFERROR(L1074,MAX($D$16,POWER((ABS(K1074)^2)/($I$5*MAX(F1074,0.1)^2),1/3)))),IF(IFERROR(AG1074,0)=1,MAX($D$16,IFERROR(W1074,MAX($D$16,POWER((ABS(K1074)^2)/($I$5*MAX(F1074,0.1)^2),1/3)))),MAX($D$16,POWER((ABS(K1074)^2)/($I$5*MAX(F1074,0.1)^2),1/3))))))),MAX($D$16,POWER((ABS(K1074)^2)/($I$5*MAX(F1074,0.1)^2),1/3)))</f>
        <v>2.1389677043987478</v>
      </c>
      <c r="AI1074">
        <f t="shared" ca="1" si="517"/>
        <v>634.19596770439875</v>
      </c>
      <c r="AJ1074">
        <f t="shared" ca="1" si="518"/>
        <v>635.26545155659812</v>
      </c>
      <c r="AM1074">
        <v>0</v>
      </c>
      <c r="AN1074">
        <v>0</v>
      </c>
      <c r="AO1074">
        <f t="shared" si="519"/>
        <v>0</v>
      </c>
      <c r="AP1074">
        <f t="shared" si="528"/>
        <v>0</v>
      </c>
      <c r="AQ1074">
        <f t="shared" ca="1" si="520"/>
        <v>1.0000000000000004</v>
      </c>
      <c r="AR1074" t="str">
        <f t="shared" ca="1" si="521"/>
        <v>Supercritical</v>
      </c>
      <c r="AS1074">
        <f t="shared" ca="1" si="522"/>
        <v>3.8141460404132466E-3</v>
      </c>
    </row>
    <row r="1075" spans="1:45" x14ac:dyDescent="0.35">
      <c r="A1075">
        <v>1014</v>
      </c>
      <c r="B1075">
        <v>1012.996</v>
      </c>
      <c r="C1075">
        <v>616080.74399999995</v>
      </c>
      <c r="D1075">
        <v>3096994.068</v>
      </c>
      <c r="E1075">
        <v>632.05650000000003</v>
      </c>
      <c r="F1075">
        <v>5.2</v>
      </c>
      <c r="G1075">
        <v>0</v>
      </c>
      <c r="H1075" t="s">
        <v>154</v>
      </c>
      <c r="I1075">
        <v>0</v>
      </c>
      <c r="J1075">
        <f t="shared" si="523"/>
        <v>1</v>
      </c>
      <c r="K1075">
        <f t="shared" ca="1" si="524"/>
        <v>50.95</v>
      </c>
      <c r="L1075">
        <f t="shared" ca="1" si="525"/>
        <v>2.1389677043987478</v>
      </c>
      <c r="M1075">
        <f t="shared" ca="1" si="498"/>
        <v>11.122632062873489</v>
      </c>
      <c r="N1075">
        <f t="shared" ca="1" si="499"/>
        <v>1.1735290000551568</v>
      </c>
      <c r="O1075">
        <f t="shared" ca="1" si="500"/>
        <v>4.5807502857230418</v>
      </c>
      <c r="P1075">
        <f t="shared" ca="1" si="501"/>
        <v>634.19546770439877</v>
      </c>
      <c r="Q1075">
        <f t="shared" ca="1" si="502"/>
        <v>635.26495155659813</v>
      </c>
      <c r="R1075">
        <f t="shared" ca="1" si="503"/>
        <v>3.8141460404132466E-3</v>
      </c>
      <c r="S1075">
        <f t="shared" ca="1" si="504"/>
        <v>1.0000000000000004</v>
      </c>
      <c r="T1075">
        <f t="shared" ca="1" si="505"/>
        <v>35.686426155594638</v>
      </c>
      <c r="U1075">
        <f t="shared" ca="1" si="526"/>
        <v>-3.3141460404522149E-3</v>
      </c>
      <c r="V1075">
        <f t="shared" ca="1" si="527"/>
        <v>1</v>
      </c>
      <c r="W1075">
        <f t="shared" ca="1" si="506"/>
        <v>1.6963890996135358</v>
      </c>
      <c r="X1075">
        <f t="shared" ca="1" si="507"/>
        <v>8.8212233179903858</v>
      </c>
      <c r="Y1075">
        <f t="shared" ca="1" si="508"/>
        <v>1.0265857111014298</v>
      </c>
      <c r="Z1075">
        <f t="shared" ca="1" si="509"/>
        <v>5.7758428920045999</v>
      </c>
      <c r="AA1075">
        <f t="shared" ca="1" si="510"/>
        <v>633.75288909961353</v>
      </c>
      <c r="AB1075">
        <f t="shared" ca="1" si="511"/>
        <v>635.45321331536888</v>
      </c>
      <c r="AC1075">
        <f t="shared" ca="1" si="512"/>
        <v>7.248024305971895E-3</v>
      </c>
      <c r="AD1075">
        <f t="shared" ca="1" si="513"/>
        <v>1.415852888815635</v>
      </c>
      <c r="AE1075">
        <f t="shared" ca="1" si="514"/>
        <v>37.479992781277524</v>
      </c>
      <c r="AF1075">
        <f t="shared" ca="1" si="515"/>
        <v>6.9095551065174732E-3</v>
      </c>
      <c r="AG1075">
        <f t="shared" ca="1" si="516"/>
        <v>0</v>
      </c>
      <c r="AH1075">
        <f ca="1">IFERROR(IF(V32="Supercritical",MAX($D$16,IFERROR(L1075,MAX($D$16,POWER((ABS(K1075)^2)/($I$5*MAX(F1075,0.1)^2),1/3)))),IF(V32="Subcritical",MAX($D$16,IFERROR(W1075,MAX($D$16,POWER((ABS(K1075)^2)/($I$5*MAX(F1075,0.1)^2),1/3)))),IF(AND(IFERROR(V1075,0)=1,IFERROR(AG1075,0)=1),IF(IFERROR(T1075,-1E+99)&gt;=IFERROR(AE1075,-1E+99),MAX($D$16,IFERROR(L1075,MAX($D$16,POWER((ABS(K1075)^2)/($I$5*MAX(F1075,0.1)^2),1/3)))),MAX($D$16,IFERROR(W1075,MAX($D$16,POWER((ABS(K1075)^2)/($I$5*MAX(F1075,0.1)^2),1/3))))),IF(IFERROR(V1075,0)=1,MAX($D$16,IFERROR(L1075,MAX($D$16,POWER((ABS(K1075)^2)/($I$5*MAX(F1075,0.1)^2),1/3)))),IF(IFERROR(AG1075,0)=1,MAX($D$16,IFERROR(W1075,MAX($D$16,POWER((ABS(K1075)^2)/($I$5*MAX(F1075,0.1)^2),1/3)))),MAX($D$16,POWER((ABS(K1075)^2)/($I$5*MAX(F1075,0.1)^2),1/3))))))),MAX($D$16,POWER((ABS(K1075)^2)/($I$5*MAX(F1075,0.1)^2),1/3)))</f>
        <v>2.1389677043987478</v>
      </c>
      <c r="AI1075">
        <f t="shared" ca="1" si="517"/>
        <v>634.19546770439877</v>
      </c>
      <c r="AJ1075">
        <f t="shared" ca="1" si="518"/>
        <v>635.26495155659813</v>
      </c>
      <c r="AM1075">
        <v>0</v>
      </c>
      <c r="AN1075">
        <v>0</v>
      </c>
      <c r="AO1075">
        <f t="shared" si="519"/>
        <v>0</v>
      </c>
      <c r="AP1075">
        <f t="shared" si="528"/>
        <v>0</v>
      </c>
      <c r="AQ1075">
        <f t="shared" ca="1" si="520"/>
        <v>1.0000000000000004</v>
      </c>
      <c r="AR1075" t="str">
        <f t="shared" ca="1" si="521"/>
        <v>Supercritical</v>
      </c>
      <c r="AS1075">
        <f t="shared" ca="1" si="522"/>
        <v>3.8141460404132466E-3</v>
      </c>
    </row>
    <row r="1076" spans="1:45" x14ac:dyDescent="0.35">
      <c r="A1076">
        <v>1015</v>
      </c>
      <c r="B1076">
        <v>1013.996</v>
      </c>
      <c r="C1076">
        <v>616080.70200000005</v>
      </c>
      <c r="D1076">
        <v>3096993.0690000001</v>
      </c>
      <c r="E1076">
        <v>632.05600000000004</v>
      </c>
      <c r="F1076">
        <v>5.2</v>
      </c>
      <c r="G1076">
        <v>0</v>
      </c>
      <c r="H1076" t="s">
        <v>154</v>
      </c>
      <c r="I1076">
        <v>5.7000000000000002E-2</v>
      </c>
      <c r="J1076">
        <f t="shared" si="523"/>
        <v>1</v>
      </c>
      <c r="K1076">
        <f t="shared" ca="1" si="524"/>
        <v>50.95</v>
      </c>
      <c r="L1076">
        <f t="shared" ca="1" si="525"/>
        <v>2.1389677043987478</v>
      </c>
      <c r="M1076">
        <f t="shared" ca="1" si="498"/>
        <v>11.122632062873489</v>
      </c>
      <c r="N1076">
        <f t="shared" ca="1" si="499"/>
        <v>1.1735290000551568</v>
      </c>
      <c r="O1076">
        <f t="shared" ca="1" si="500"/>
        <v>4.5807502857230418</v>
      </c>
      <c r="P1076">
        <f t="shared" ca="1" si="501"/>
        <v>634.19496770439878</v>
      </c>
      <c r="Q1076">
        <f t="shared" ca="1" si="502"/>
        <v>635.26445155659815</v>
      </c>
      <c r="R1076">
        <f t="shared" ca="1" si="503"/>
        <v>3.8141460404132466E-3</v>
      </c>
      <c r="S1076">
        <f t="shared" ca="1" si="504"/>
        <v>1.0000000000000004</v>
      </c>
      <c r="T1076">
        <f t="shared" ca="1" si="505"/>
        <v>35.686426155594638</v>
      </c>
      <c r="U1076">
        <f t="shared" ca="1" si="526"/>
        <v>-3.4157470064428708E-3</v>
      </c>
      <c r="V1076">
        <f t="shared" ca="1" si="527"/>
        <v>1</v>
      </c>
      <c r="W1076">
        <f t="shared" ca="1" si="506"/>
        <v>1.6954408842931381</v>
      </c>
      <c r="X1076">
        <f t="shared" ca="1" si="507"/>
        <v>8.8162925983243188</v>
      </c>
      <c r="Y1076">
        <f t="shared" ca="1" si="508"/>
        <v>1.026238381089388</v>
      </c>
      <c r="Z1076">
        <f t="shared" ca="1" si="509"/>
        <v>5.7790731684295373</v>
      </c>
      <c r="AA1076">
        <f t="shared" ca="1" si="510"/>
        <v>633.75144088429317</v>
      </c>
      <c r="AB1076">
        <f t="shared" ca="1" si="511"/>
        <v>635.45366752476525</v>
      </c>
      <c r="AC1076">
        <f t="shared" ca="1" si="512"/>
        <v>7.2594084628452129E-3</v>
      </c>
      <c r="AD1076">
        <f t="shared" ca="1" si="513"/>
        <v>1.4170408285778708</v>
      </c>
      <c r="AE1076">
        <f t="shared" ca="1" si="514"/>
        <v>37.488407721673958</v>
      </c>
      <c r="AF1076">
        <f t="shared" ca="1" si="515"/>
        <v>6.921119993648972E-3</v>
      </c>
      <c r="AG1076">
        <f t="shared" ca="1" si="516"/>
        <v>0</v>
      </c>
      <c r="AH1076">
        <f ca="1">IFERROR(IF(V32="Supercritical",MAX($D$16,IFERROR(L1076,MAX($D$16,POWER((ABS(K1076)^2)/($I$5*MAX(F1076,0.1)^2),1/3)))),IF(V32="Subcritical",MAX($D$16,IFERROR(W1076,MAX($D$16,POWER((ABS(K1076)^2)/($I$5*MAX(F1076,0.1)^2),1/3)))),IF(AND(IFERROR(V1076,0)=1,IFERROR(AG1076,0)=1),IF(IFERROR(T1076,-1E+99)&gt;=IFERROR(AE1076,-1E+99),MAX($D$16,IFERROR(L1076,MAX($D$16,POWER((ABS(K1076)^2)/($I$5*MAX(F1076,0.1)^2),1/3)))),MAX($D$16,IFERROR(W1076,MAX($D$16,POWER((ABS(K1076)^2)/($I$5*MAX(F1076,0.1)^2),1/3))))),IF(IFERROR(V1076,0)=1,MAX($D$16,IFERROR(L1076,MAX($D$16,POWER((ABS(K1076)^2)/($I$5*MAX(F1076,0.1)^2),1/3)))),IF(IFERROR(AG1076,0)=1,MAX($D$16,IFERROR(W1076,MAX($D$16,POWER((ABS(K1076)^2)/($I$5*MAX(F1076,0.1)^2),1/3)))),MAX($D$16,POWER((ABS(K1076)^2)/($I$5*MAX(F1076,0.1)^2),1/3))))))),MAX($D$16,POWER((ABS(K1076)^2)/($I$5*MAX(F1076,0.1)^2),1/3)))</f>
        <v>2.1389677043987478</v>
      </c>
      <c r="AI1076">
        <f t="shared" ca="1" si="517"/>
        <v>634.19496770439878</v>
      </c>
      <c r="AJ1076">
        <f t="shared" ca="1" si="518"/>
        <v>635.26445155659815</v>
      </c>
      <c r="AM1076">
        <v>0</v>
      </c>
      <c r="AN1076">
        <v>0</v>
      </c>
      <c r="AO1076">
        <f t="shared" si="519"/>
        <v>0</v>
      </c>
      <c r="AP1076">
        <f t="shared" si="528"/>
        <v>0</v>
      </c>
      <c r="AQ1076">
        <f t="shared" ca="1" si="520"/>
        <v>1.0000000000000004</v>
      </c>
      <c r="AR1076" t="str">
        <f t="shared" ca="1" si="521"/>
        <v>Supercritical</v>
      </c>
      <c r="AS1076">
        <f t="shared" ca="1" si="522"/>
        <v>3.8141460404132466E-3</v>
      </c>
    </row>
    <row r="1077" spans="1:45" x14ac:dyDescent="0.35">
      <c r="A1077">
        <v>1016</v>
      </c>
      <c r="B1077">
        <v>1014.996</v>
      </c>
      <c r="C1077">
        <v>616080.65899999999</v>
      </c>
      <c r="D1077">
        <v>3096992.07</v>
      </c>
      <c r="E1077">
        <v>632.05550000000005</v>
      </c>
      <c r="F1077">
        <v>5.2</v>
      </c>
      <c r="G1077">
        <v>0</v>
      </c>
      <c r="H1077" t="s">
        <v>154</v>
      </c>
      <c r="I1077">
        <v>5.7000000000000002E-2</v>
      </c>
      <c r="J1077">
        <f t="shared" si="523"/>
        <v>1</v>
      </c>
      <c r="K1077">
        <f t="shared" ca="1" si="524"/>
        <v>50.95</v>
      </c>
      <c r="L1077">
        <f t="shared" ca="1" si="525"/>
        <v>2.1389677043987478</v>
      </c>
      <c r="M1077">
        <f t="shared" ca="1" si="498"/>
        <v>11.122632062873489</v>
      </c>
      <c r="N1077">
        <f t="shared" ca="1" si="499"/>
        <v>1.1735290000551568</v>
      </c>
      <c r="O1077">
        <f t="shared" ca="1" si="500"/>
        <v>4.5807502857230418</v>
      </c>
      <c r="P1077">
        <f t="shared" ca="1" si="501"/>
        <v>634.19446770439879</v>
      </c>
      <c r="Q1077">
        <f t="shared" ca="1" si="502"/>
        <v>635.26395155659816</v>
      </c>
      <c r="R1077">
        <f t="shared" ca="1" si="503"/>
        <v>3.8141460404132466E-3</v>
      </c>
      <c r="S1077">
        <f t="shared" ca="1" si="504"/>
        <v>1.0000000000000004</v>
      </c>
      <c r="T1077">
        <f t="shared" ca="1" si="505"/>
        <v>35.686426155594638</v>
      </c>
      <c r="U1077">
        <f t="shared" ca="1" si="526"/>
        <v>-3.4157470064428708E-3</v>
      </c>
      <c r="V1077">
        <f t="shared" ca="1" si="527"/>
        <v>1</v>
      </c>
      <c r="W1077">
        <f t="shared" ca="1" si="506"/>
        <v>1.6945493374581797</v>
      </c>
      <c r="X1077">
        <f t="shared" ca="1" si="507"/>
        <v>8.8116565547825356</v>
      </c>
      <c r="Y1077">
        <f t="shared" ca="1" si="508"/>
        <v>1.025911668766379</v>
      </c>
      <c r="Z1077">
        <f t="shared" ca="1" si="509"/>
        <v>5.7821136903420092</v>
      </c>
      <c r="AA1077">
        <f t="shared" ca="1" si="510"/>
        <v>633.75004933745822</v>
      </c>
      <c r="AB1077">
        <f t="shared" ca="1" si="511"/>
        <v>635.45406762125231</v>
      </c>
      <c r="AC1077">
        <f t="shared" ca="1" si="512"/>
        <v>7.270135056967577E-3</v>
      </c>
      <c r="AD1077">
        <f t="shared" ca="1" si="513"/>
        <v>1.4181592891573624</v>
      </c>
      <c r="AE1077">
        <f t="shared" ca="1" si="514"/>
        <v>37.496341148135244</v>
      </c>
      <c r="AF1077">
        <f t="shared" ca="1" si="515"/>
        <v>6.7701350568540875E-3</v>
      </c>
      <c r="AG1077">
        <f t="shared" ca="1" si="516"/>
        <v>0</v>
      </c>
      <c r="AH1077">
        <f ca="1">IFERROR(IF(V32="Supercritical",MAX($D$16,IFERROR(L1077,MAX($D$16,POWER((ABS(K1077)^2)/($I$5*MAX(F1077,0.1)^2),1/3)))),IF(V32="Subcritical",MAX($D$16,IFERROR(W1077,MAX($D$16,POWER((ABS(K1077)^2)/($I$5*MAX(F1077,0.1)^2),1/3)))),IF(AND(IFERROR(V1077,0)=1,IFERROR(AG1077,0)=1),IF(IFERROR(T1077,-1E+99)&gt;=IFERROR(AE1077,-1E+99),MAX($D$16,IFERROR(L1077,MAX($D$16,POWER((ABS(K1077)^2)/($I$5*MAX(F1077,0.1)^2),1/3)))),MAX($D$16,IFERROR(W1077,MAX($D$16,POWER((ABS(K1077)^2)/($I$5*MAX(F1077,0.1)^2),1/3))))),IF(IFERROR(V1077,0)=1,MAX($D$16,IFERROR(L1077,MAX($D$16,POWER((ABS(K1077)^2)/($I$5*MAX(F1077,0.1)^2),1/3)))),IF(IFERROR(AG1077,0)=1,MAX($D$16,IFERROR(W1077,MAX($D$16,POWER((ABS(K1077)^2)/($I$5*MAX(F1077,0.1)^2),1/3)))),MAX($D$16,POWER((ABS(K1077)^2)/($I$5*MAX(F1077,0.1)^2),1/3))))))),MAX($D$16,POWER((ABS(K1077)^2)/($I$5*MAX(F1077,0.1)^2),1/3)))</f>
        <v>2.1389677043987478</v>
      </c>
      <c r="AI1077">
        <f t="shared" ca="1" si="517"/>
        <v>634.19446770439879</v>
      </c>
      <c r="AJ1077">
        <f t="shared" ca="1" si="518"/>
        <v>635.26395155659816</v>
      </c>
      <c r="AM1077">
        <v>0</v>
      </c>
      <c r="AN1077">
        <v>0</v>
      </c>
      <c r="AO1077">
        <f t="shared" si="519"/>
        <v>0</v>
      </c>
      <c r="AP1077">
        <f t="shared" si="528"/>
        <v>0</v>
      </c>
      <c r="AQ1077">
        <f t="shared" ca="1" si="520"/>
        <v>1.0000000000000004</v>
      </c>
      <c r="AR1077" t="str">
        <f t="shared" ca="1" si="521"/>
        <v>Supercritical</v>
      </c>
      <c r="AS1077">
        <f t="shared" ca="1" si="522"/>
        <v>3.8141460404132466E-3</v>
      </c>
    </row>
    <row r="1078" spans="1:45" x14ac:dyDescent="0.35">
      <c r="A1078">
        <v>1017</v>
      </c>
      <c r="B1078">
        <v>1015.996</v>
      </c>
      <c r="C1078">
        <v>616080.61699999997</v>
      </c>
      <c r="D1078">
        <v>3096991.071</v>
      </c>
      <c r="E1078">
        <v>632.05499999999995</v>
      </c>
      <c r="F1078">
        <v>5.2</v>
      </c>
      <c r="G1078">
        <v>0</v>
      </c>
      <c r="H1078" t="s">
        <v>154</v>
      </c>
      <c r="I1078">
        <v>0</v>
      </c>
      <c r="J1078">
        <f t="shared" si="523"/>
        <v>1</v>
      </c>
      <c r="K1078">
        <f t="shared" ca="1" si="524"/>
        <v>50.95</v>
      </c>
      <c r="L1078">
        <f t="shared" ca="1" si="525"/>
        <v>2.1389677043987478</v>
      </c>
      <c r="M1078">
        <f t="shared" ca="1" si="498"/>
        <v>11.122632062873489</v>
      </c>
      <c r="N1078">
        <f t="shared" ca="1" si="499"/>
        <v>1.1735290000551568</v>
      </c>
      <c r="O1078">
        <f t="shared" ca="1" si="500"/>
        <v>4.5807502857230418</v>
      </c>
      <c r="P1078">
        <f t="shared" ca="1" si="501"/>
        <v>634.19396770439869</v>
      </c>
      <c r="Q1078">
        <f t="shared" ca="1" si="502"/>
        <v>635.26345155659806</v>
      </c>
      <c r="R1078">
        <f t="shared" ca="1" si="503"/>
        <v>3.8141460404132466E-3</v>
      </c>
      <c r="S1078">
        <f t="shared" ca="1" si="504"/>
        <v>1.0000000000000004</v>
      </c>
      <c r="T1078">
        <f t="shared" ca="1" si="505"/>
        <v>35.686426155594638</v>
      </c>
      <c r="U1078">
        <f t="shared" ca="1" si="526"/>
        <v>-3.3141460403385281E-3</v>
      </c>
      <c r="V1078">
        <f t="shared" ca="1" si="527"/>
        <v>1</v>
      </c>
      <c r="W1078">
        <f t="shared" ca="1" si="506"/>
        <v>1.6937113766522411</v>
      </c>
      <c r="X1078">
        <f t="shared" ca="1" si="507"/>
        <v>8.807299158591654</v>
      </c>
      <c r="Y1078">
        <f t="shared" ca="1" si="508"/>
        <v>1.0256044696533151</v>
      </c>
      <c r="Z1078">
        <f t="shared" ca="1" si="509"/>
        <v>5.7849743811980661</v>
      </c>
      <c r="AA1078">
        <f t="shared" ca="1" si="510"/>
        <v>633.74871137665218</v>
      </c>
      <c r="AB1078">
        <f t="shared" ca="1" si="511"/>
        <v>635.45441619781013</v>
      </c>
      <c r="AC1078">
        <f t="shared" ca="1" si="512"/>
        <v>7.2802371253158958E-3</v>
      </c>
      <c r="AD1078">
        <f t="shared" ca="1" si="513"/>
        <v>1.4192118671439327</v>
      </c>
      <c r="AE1078">
        <f t="shared" ca="1" si="514"/>
        <v>37.503816663622551</v>
      </c>
      <c r="AF1078">
        <f t="shared" ca="1" si="515"/>
        <v>6.7802371253264937E-3</v>
      </c>
      <c r="AG1078">
        <f t="shared" ca="1" si="516"/>
        <v>0</v>
      </c>
      <c r="AH1078">
        <f ca="1">IFERROR(IF(V32="Supercritical",MAX($D$16,IFERROR(L1078,MAX($D$16,POWER((ABS(K1078)^2)/($I$5*MAX(F1078,0.1)^2),1/3)))),IF(V32="Subcritical",MAX($D$16,IFERROR(W1078,MAX($D$16,POWER((ABS(K1078)^2)/($I$5*MAX(F1078,0.1)^2),1/3)))),IF(AND(IFERROR(V1078,0)=1,IFERROR(AG1078,0)=1),IF(IFERROR(T1078,-1E+99)&gt;=IFERROR(AE1078,-1E+99),MAX($D$16,IFERROR(L1078,MAX($D$16,POWER((ABS(K1078)^2)/($I$5*MAX(F1078,0.1)^2),1/3)))),MAX($D$16,IFERROR(W1078,MAX($D$16,POWER((ABS(K1078)^2)/($I$5*MAX(F1078,0.1)^2),1/3))))),IF(IFERROR(V1078,0)=1,MAX($D$16,IFERROR(L1078,MAX($D$16,POWER((ABS(K1078)^2)/($I$5*MAX(F1078,0.1)^2),1/3)))),IF(IFERROR(AG1078,0)=1,MAX($D$16,IFERROR(W1078,MAX($D$16,POWER((ABS(K1078)^2)/($I$5*MAX(F1078,0.1)^2),1/3)))),MAX($D$16,POWER((ABS(K1078)^2)/($I$5*MAX(F1078,0.1)^2),1/3))))))),MAX($D$16,POWER((ABS(K1078)^2)/($I$5*MAX(F1078,0.1)^2),1/3)))</f>
        <v>2.1389677043987478</v>
      </c>
      <c r="AI1078">
        <f t="shared" ca="1" si="517"/>
        <v>634.19396770439869</v>
      </c>
      <c r="AJ1078">
        <f t="shared" ca="1" si="518"/>
        <v>635.26345155659806</v>
      </c>
      <c r="AM1078">
        <v>0</v>
      </c>
      <c r="AN1078">
        <v>0</v>
      </c>
      <c r="AO1078">
        <f t="shared" si="519"/>
        <v>0</v>
      </c>
      <c r="AP1078">
        <f t="shared" si="528"/>
        <v>0</v>
      </c>
      <c r="AQ1078">
        <f t="shared" ca="1" si="520"/>
        <v>1.0000000000000004</v>
      </c>
      <c r="AR1078" t="str">
        <f t="shared" ca="1" si="521"/>
        <v>Supercritical</v>
      </c>
      <c r="AS1078">
        <f t="shared" ca="1" si="522"/>
        <v>3.8141460404132466E-3</v>
      </c>
    </row>
    <row r="1079" spans="1:45" x14ac:dyDescent="0.35">
      <c r="A1079">
        <v>1018</v>
      </c>
      <c r="B1079">
        <v>1016.996</v>
      </c>
      <c r="C1079">
        <v>616080.57499999995</v>
      </c>
      <c r="D1079">
        <v>3096990.0720000002</v>
      </c>
      <c r="E1079">
        <v>632.05449999999996</v>
      </c>
      <c r="F1079">
        <v>5.2</v>
      </c>
      <c r="G1079">
        <v>0</v>
      </c>
      <c r="H1079" t="s">
        <v>154</v>
      </c>
      <c r="I1079">
        <v>0</v>
      </c>
      <c r="J1079">
        <f t="shared" si="523"/>
        <v>1</v>
      </c>
      <c r="K1079">
        <f t="shared" ca="1" si="524"/>
        <v>50.95</v>
      </c>
      <c r="L1079">
        <f t="shared" ca="1" si="525"/>
        <v>2.1389677043987478</v>
      </c>
      <c r="M1079">
        <f t="shared" ca="1" si="498"/>
        <v>11.122632062873489</v>
      </c>
      <c r="N1079">
        <f t="shared" ca="1" si="499"/>
        <v>1.1735290000551568</v>
      </c>
      <c r="O1079">
        <f t="shared" ca="1" si="500"/>
        <v>4.5807502857230418</v>
      </c>
      <c r="P1079">
        <f t="shared" ca="1" si="501"/>
        <v>634.1934677043987</v>
      </c>
      <c r="Q1079">
        <f t="shared" ca="1" si="502"/>
        <v>635.26295155659807</v>
      </c>
      <c r="R1079">
        <f t="shared" ca="1" si="503"/>
        <v>3.8141460404132466E-3</v>
      </c>
      <c r="S1079">
        <f t="shared" ca="1" si="504"/>
        <v>1.0000000000000004</v>
      </c>
      <c r="T1079">
        <f t="shared" ca="1" si="505"/>
        <v>35.686426155594638</v>
      </c>
      <c r="U1079">
        <f t="shared" ca="1" si="526"/>
        <v>-3.3141460404522149E-3</v>
      </c>
      <c r="V1079">
        <f t="shared" ca="1" si="527"/>
        <v>1</v>
      </c>
      <c r="W1079">
        <f t="shared" ca="1" si="506"/>
        <v>1.6929240504934722</v>
      </c>
      <c r="X1079">
        <f t="shared" ca="1" si="507"/>
        <v>8.8032050625660556</v>
      </c>
      <c r="Y1079">
        <f t="shared" ca="1" si="508"/>
        <v>1.0253157240871902</v>
      </c>
      <c r="Z1079">
        <f t="shared" ca="1" si="509"/>
        <v>5.7876647922987869</v>
      </c>
      <c r="AA1079">
        <f t="shared" ca="1" si="510"/>
        <v>633.74742405049346</v>
      </c>
      <c r="AB1079">
        <f t="shared" ca="1" si="511"/>
        <v>635.45471578076945</v>
      </c>
      <c r="AC1079">
        <f t="shared" ca="1" si="512"/>
        <v>7.2897466380051129E-3</v>
      </c>
      <c r="AD1079">
        <f t="shared" ca="1" si="513"/>
        <v>1.4202020289876316</v>
      </c>
      <c r="AE1079">
        <f t="shared" ca="1" si="514"/>
        <v>37.510857192407528</v>
      </c>
      <c r="AF1079">
        <f t="shared" ca="1" si="515"/>
        <v>6.9446496057707918E-3</v>
      </c>
      <c r="AG1079">
        <f t="shared" ca="1" si="516"/>
        <v>0</v>
      </c>
      <c r="AH1079">
        <f ca="1">IFERROR(IF(V32="Supercritical",MAX($D$16,IFERROR(L1079,MAX($D$16,POWER((ABS(K1079)^2)/($I$5*MAX(F1079,0.1)^2),1/3)))),IF(V32="Subcritical",MAX($D$16,IFERROR(W1079,MAX($D$16,POWER((ABS(K1079)^2)/($I$5*MAX(F1079,0.1)^2),1/3)))),IF(AND(IFERROR(V1079,0)=1,IFERROR(AG1079,0)=1),IF(IFERROR(T1079,-1E+99)&gt;=IFERROR(AE1079,-1E+99),MAX($D$16,IFERROR(L1079,MAX($D$16,POWER((ABS(K1079)^2)/($I$5*MAX(F1079,0.1)^2),1/3)))),MAX($D$16,IFERROR(W1079,MAX($D$16,POWER((ABS(K1079)^2)/($I$5*MAX(F1079,0.1)^2),1/3))))),IF(IFERROR(V1079,0)=1,MAX($D$16,IFERROR(L1079,MAX($D$16,POWER((ABS(K1079)^2)/($I$5*MAX(F1079,0.1)^2),1/3)))),IF(IFERROR(AG1079,0)=1,MAX($D$16,IFERROR(W1079,MAX($D$16,POWER((ABS(K1079)^2)/($I$5*MAX(F1079,0.1)^2),1/3)))),MAX($D$16,POWER((ABS(K1079)^2)/($I$5*MAX(F1079,0.1)^2),1/3))))))),MAX($D$16,POWER((ABS(K1079)^2)/($I$5*MAX(F1079,0.1)^2),1/3)))</f>
        <v>2.1389677043987478</v>
      </c>
      <c r="AI1079">
        <f t="shared" ca="1" si="517"/>
        <v>634.1934677043987</v>
      </c>
      <c r="AJ1079">
        <f t="shared" ca="1" si="518"/>
        <v>635.26295155659807</v>
      </c>
      <c r="AM1079">
        <v>0</v>
      </c>
      <c r="AN1079">
        <v>0</v>
      </c>
      <c r="AO1079">
        <f t="shared" si="519"/>
        <v>0</v>
      </c>
      <c r="AP1079">
        <f t="shared" si="528"/>
        <v>0</v>
      </c>
      <c r="AQ1079">
        <f t="shared" ca="1" si="520"/>
        <v>1.0000000000000004</v>
      </c>
      <c r="AR1079" t="str">
        <f t="shared" ca="1" si="521"/>
        <v>Supercritical</v>
      </c>
      <c r="AS1079">
        <f t="shared" ca="1" si="522"/>
        <v>3.8141460404132466E-3</v>
      </c>
    </row>
    <row r="1080" spans="1:45" x14ac:dyDescent="0.35">
      <c r="A1080">
        <v>1019</v>
      </c>
      <c r="B1080">
        <v>1017.995</v>
      </c>
      <c r="C1080">
        <v>616080.53300000005</v>
      </c>
      <c r="D1080">
        <v>3096989.0729999999</v>
      </c>
      <c r="E1080">
        <v>632.05399999999997</v>
      </c>
      <c r="F1080">
        <v>5.2</v>
      </c>
      <c r="G1080">
        <v>0</v>
      </c>
      <c r="H1080" t="s">
        <v>154</v>
      </c>
      <c r="I1080">
        <v>5.7000000000000002E-2</v>
      </c>
      <c r="J1080">
        <f t="shared" si="523"/>
        <v>0.99900000000002365</v>
      </c>
      <c r="K1080">
        <f t="shared" ca="1" si="524"/>
        <v>50.95</v>
      </c>
      <c r="L1080">
        <f t="shared" ca="1" si="525"/>
        <v>2.1389677043987478</v>
      </c>
      <c r="M1080">
        <f t="shared" ca="1" si="498"/>
        <v>11.122632062873489</v>
      </c>
      <c r="N1080">
        <f t="shared" ca="1" si="499"/>
        <v>1.1735290000551568</v>
      </c>
      <c r="O1080">
        <f t="shared" ca="1" si="500"/>
        <v>4.5807502857230418</v>
      </c>
      <c r="P1080">
        <f t="shared" ca="1" si="501"/>
        <v>634.19296770439871</v>
      </c>
      <c r="Q1080">
        <f t="shared" ca="1" si="502"/>
        <v>635.26245155659808</v>
      </c>
      <c r="R1080">
        <f t="shared" ca="1" si="503"/>
        <v>3.8141460404132466E-3</v>
      </c>
      <c r="S1080">
        <f t="shared" ca="1" si="504"/>
        <v>1.0000000000000004</v>
      </c>
      <c r="T1080">
        <f t="shared" ca="1" si="505"/>
        <v>35.686426155594638</v>
      </c>
      <c r="U1080">
        <f t="shared" ca="1" si="526"/>
        <v>-3.411932860331035E-3</v>
      </c>
      <c r="V1080">
        <f t="shared" ca="1" si="527"/>
        <v>1</v>
      </c>
      <c r="W1080">
        <f t="shared" ca="1" si="506"/>
        <v>1.6921845376548372</v>
      </c>
      <c r="X1080">
        <f t="shared" ca="1" si="507"/>
        <v>8.7993595958051536</v>
      </c>
      <c r="Y1080">
        <f t="shared" ca="1" si="508"/>
        <v>1.0250444171970465</v>
      </c>
      <c r="Z1080">
        <f t="shared" ca="1" si="509"/>
        <v>5.790194098248806</v>
      </c>
      <c r="AA1080">
        <f t="shared" ca="1" si="510"/>
        <v>633.74618453765481</v>
      </c>
      <c r="AB1080">
        <f t="shared" ca="1" si="511"/>
        <v>635.45496882386249</v>
      </c>
      <c r="AC1080">
        <f t="shared" ca="1" si="512"/>
        <v>7.2986944567986437E-3</v>
      </c>
      <c r="AD1080">
        <f t="shared" ca="1" si="513"/>
        <v>1.4211331086191823</v>
      </c>
      <c r="AE1080">
        <f t="shared" ca="1" si="514"/>
        <v>37.517484936648877</v>
      </c>
      <c r="AF1080">
        <f t="shared" ca="1" si="515"/>
        <v>6.9610289640422707E-3</v>
      </c>
      <c r="AG1080">
        <f t="shared" ca="1" si="516"/>
        <v>0</v>
      </c>
      <c r="AH1080">
        <f ca="1">IFERROR(IF(V32="Supercritical",MAX($D$16,IFERROR(L1080,MAX($D$16,POWER((ABS(K1080)^2)/($I$5*MAX(F1080,0.1)^2),1/3)))),IF(V32="Subcritical",MAX($D$16,IFERROR(W1080,MAX($D$16,POWER((ABS(K1080)^2)/($I$5*MAX(F1080,0.1)^2),1/3)))),IF(AND(IFERROR(V1080,0)=1,IFERROR(AG1080,0)=1),IF(IFERROR(T1080,-1E+99)&gt;=IFERROR(AE1080,-1E+99),MAX($D$16,IFERROR(L1080,MAX($D$16,POWER((ABS(K1080)^2)/($I$5*MAX(F1080,0.1)^2),1/3)))),MAX($D$16,IFERROR(W1080,MAX($D$16,POWER((ABS(K1080)^2)/($I$5*MAX(F1080,0.1)^2),1/3))))),IF(IFERROR(V1080,0)=1,MAX($D$16,IFERROR(L1080,MAX($D$16,POWER((ABS(K1080)^2)/($I$5*MAX(F1080,0.1)^2),1/3)))),IF(IFERROR(AG1080,0)=1,MAX($D$16,IFERROR(W1080,MAX($D$16,POWER((ABS(K1080)^2)/($I$5*MAX(F1080,0.1)^2),1/3)))),MAX($D$16,POWER((ABS(K1080)^2)/($I$5*MAX(F1080,0.1)^2),1/3))))))),MAX($D$16,POWER((ABS(K1080)^2)/($I$5*MAX(F1080,0.1)^2),1/3)))</f>
        <v>2.1389677043987478</v>
      </c>
      <c r="AI1080">
        <f t="shared" ca="1" si="517"/>
        <v>634.19296770439871</v>
      </c>
      <c r="AJ1080">
        <f t="shared" ca="1" si="518"/>
        <v>635.26245155659808</v>
      </c>
      <c r="AM1080">
        <v>0</v>
      </c>
      <c r="AN1080">
        <v>0</v>
      </c>
      <c r="AO1080">
        <f t="shared" si="519"/>
        <v>0</v>
      </c>
      <c r="AP1080">
        <f t="shared" si="528"/>
        <v>0</v>
      </c>
      <c r="AQ1080">
        <f t="shared" ca="1" si="520"/>
        <v>1.0000000000000004</v>
      </c>
      <c r="AR1080" t="str">
        <f t="shared" ca="1" si="521"/>
        <v>Supercritical</v>
      </c>
      <c r="AS1080">
        <f t="shared" ca="1" si="522"/>
        <v>3.8141460404132466E-3</v>
      </c>
    </row>
    <row r="1081" spans="1:45" x14ac:dyDescent="0.35">
      <c r="A1081">
        <v>1020</v>
      </c>
      <c r="B1081">
        <v>1018.995</v>
      </c>
      <c r="C1081">
        <v>616080.49</v>
      </c>
      <c r="D1081">
        <v>3096988.074</v>
      </c>
      <c r="E1081">
        <v>632.05349999999999</v>
      </c>
      <c r="F1081">
        <v>5.2</v>
      </c>
      <c r="G1081">
        <v>0</v>
      </c>
      <c r="H1081" t="s">
        <v>154</v>
      </c>
      <c r="I1081">
        <v>5.7000000000000002E-2</v>
      </c>
      <c r="J1081">
        <f t="shared" si="523"/>
        <v>1</v>
      </c>
      <c r="K1081">
        <f t="shared" ca="1" si="524"/>
        <v>50.95</v>
      </c>
      <c r="L1081">
        <f t="shared" ca="1" si="525"/>
        <v>2.1389677043987478</v>
      </c>
      <c r="M1081">
        <f t="shared" ca="1" si="498"/>
        <v>11.122632062873489</v>
      </c>
      <c r="N1081">
        <f t="shared" ca="1" si="499"/>
        <v>1.1735290000551568</v>
      </c>
      <c r="O1081">
        <f t="shared" ca="1" si="500"/>
        <v>4.5807502857230418</v>
      </c>
      <c r="P1081">
        <f t="shared" ca="1" si="501"/>
        <v>634.19246770439872</v>
      </c>
      <c r="Q1081">
        <f t="shared" ca="1" si="502"/>
        <v>635.26195155659809</v>
      </c>
      <c r="R1081">
        <f t="shared" ca="1" si="503"/>
        <v>3.8141460404132466E-3</v>
      </c>
      <c r="S1081">
        <f t="shared" ca="1" si="504"/>
        <v>1.0000000000000004</v>
      </c>
      <c r="T1081">
        <f t="shared" ca="1" si="505"/>
        <v>35.686426155594638</v>
      </c>
      <c r="U1081">
        <f t="shared" ca="1" si="526"/>
        <v>-3.4157470064428708E-3</v>
      </c>
      <c r="V1081">
        <f t="shared" ca="1" si="527"/>
        <v>1</v>
      </c>
      <c r="W1081">
        <f t="shared" ca="1" si="506"/>
        <v>1.6914901451768212</v>
      </c>
      <c r="X1081">
        <f t="shared" ca="1" si="507"/>
        <v>8.7957487549194706</v>
      </c>
      <c r="Y1081">
        <f t="shared" ca="1" si="508"/>
        <v>1.0247895786041776</v>
      </c>
      <c r="Z1081">
        <f t="shared" ca="1" si="509"/>
        <v>5.7925710953832805</v>
      </c>
      <c r="AA1081">
        <f t="shared" ca="1" si="510"/>
        <v>633.74499014517676</v>
      </c>
      <c r="AB1081">
        <f t="shared" ca="1" si="511"/>
        <v>635.45517770353911</v>
      </c>
      <c r="AC1081">
        <f t="shared" ca="1" si="512"/>
        <v>7.307110306118839E-3</v>
      </c>
      <c r="AD1081">
        <f t="shared" ca="1" si="513"/>
        <v>1.4220083062206719</v>
      </c>
      <c r="AE1081">
        <f t="shared" ca="1" si="514"/>
        <v>37.523721343488099</v>
      </c>
      <c r="AF1081">
        <f t="shared" ca="1" si="515"/>
        <v>6.8128109312510787E-3</v>
      </c>
      <c r="AG1081">
        <f t="shared" ca="1" si="516"/>
        <v>0</v>
      </c>
      <c r="AH1081">
        <f ca="1">IFERROR(IF(V32="Supercritical",MAX($D$16,IFERROR(L1081,MAX($D$16,POWER((ABS(K1081)^2)/($I$5*MAX(F1081,0.1)^2),1/3)))),IF(V32="Subcritical",MAX($D$16,IFERROR(W1081,MAX($D$16,POWER((ABS(K1081)^2)/($I$5*MAX(F1081,0.1)^2),1/3)))),IF(AND(IFERROR(V1081,0)=1,IFERROR(AG1081,0)=1),IF(IFERROR(T1081,-1E+99)&gt;=IFERROR(AE1081,-1E+99),MAX($D$16,IFERROR(L1081,MAX($D$16,POWER((ABS(K1081)^2)/($I$5*MAX(F1081,0.1)^2),1/3)))),MAX($D$16,IFERROR(W1081,MAX($D$16,POWER((ABS(K1081)^2)/($I$5*MAX(F1081,0.1)^2),1/3))))),IF(IFERROR(V1081,0)=1,MAX($D$16,IFERROR(L1081,MAX($D$16,POWER((ABS(K1081)^2)/($I$5*MAX(F1081,0.1)^2),1/3)))),IF(IFERROR(AG1081,0)=1,MAX($D$16,IFERROR(W1081,MAX($D$16,POWER((ABS(K1081)^2)/($I$5*MAX(F1081,0.1)^2),1/3)))),MAX($D$16,POWER((ABS(K1081)^2)/($I$5*MAX(F1081,0.1)^2),1/3))))))),MAX($D$16,POWER((ABS(K1081)^2)/($I$5*MAX(F1081,0.1)^2),1/3)))</f>
        <v>2.1389677043987478</v>
      </c>
      <c r="AI1081">
        <f t="shared" ca="1" si="517"/>
        <v>634.19246770439872</v>
      </c>
      <c r="AJ1081">
        <f t="shared" ca="1" si="518"/>
        <v>635.26195155659809</v>
      </c>
      <c r="AM1081">
        <v>0</v>
      </c>
      <c r="AN1081">
        <v>0</v>
      </c>
      <c r="AO1081">
        <f t="shared" si="519"/>
        <v>0</v>
      </c>
      <c r="AP1081">
        <f t="shared" si="528"/>
        <v>0</v>
      </c>
      <c r="AQ1081">
        <f t="shared" ca="1" si="520"/>
        <v>1.0000000000000004</v>
      </c>
      <c r="AR1081" t="str">
        <f t="shared" ca="1" si="521"/>
        <v>Supercritical</v>
      </c>
      <c r="AS1081">
        <f t="shared" ca="1" si="522"/>
        <v>3.8141460404132466E-3</v>
      </c>
    </row>
    <row r="1082" spans="1:45" x14ac:dyDescent="0.35">
      <c r="A1082">
        <v>1021</v>
      </c>
      <c r="B1082">
        <v>1019.995</v>
      </c>
      <c r="C1082">
        <v>616080.44799999997</v>
      </c>
      <c r="D1082">
        <v>3096987.0750000002</v>
      </c>
      <c r="E1082">
        <v>632.053</v>
      </c>
      <c r="F1082">
        <v>5.2</v>
      </c>
      <c r="G1082">
        <v>0</v>
      </c>
      <c r="H1082" t="s">
        <v>154</v>
      </c>
      <c r="I1082">
        <v>2E-3</v>
      </c>
      <c r="J1082">
        <f t="shared" si="523"/>
        <v>1</v>
      </c>
      <c r="K1082">
        <f t="shared" ca="1" si="524"/>
        <v>50.95</v>
      </c>
      <c r="L1082">
        <f t="shared" ca="1" si="525"/>
        <v>2.1389677043987478</v>
      </c>
      <c r="M1082">
        <f t="shared" ca="1" si="498"/>
        <v>11.122632062873489</v>
      </c>
      <c r="N1082">
        <f t="shared" ca="1" si="499"/>
        <v>1.1735290000551568</v>
      </c>
      <c r="O1082">
        <f t="shared" ca="1" si="500"/>
        <v>4.5807502857230418</v>
      </c>
      <c r="P1082">
        <f t="shared" ca="1" si="501"/>
        <v>634.19196770439873</v>
      </c>
      <c r="Q1082">
        <f t="shared" ca="1" si="502"/>
        <v>635.2614515565981</v>
      </c>
      <c r="R1082">
        <f t="shared" ca="1" si="503"/>
        <v>3.8141460404132466E-3</v>
      </c>
      <c r="S1082">
        <f t="shared" ca="1" si="504"/>
        <v>1.0000000000000004</v>
      </c>
      <c r="T1082">
        <f t="shared" ca="1" si="505"/>
        <v>35.686426155594638</v>
      </c>
      <c r="U1082">
        <f t="shared" ca="1" si="526"/>
        <v>-3.3177109866073806E-3</v>
      </c>
      <c r="V1082">
        <f t="shared" ca="1" si="527"/>
        <v>1</v>
      </c>
      <c r="W1082">
        <f t="shared" ca="1" si="506"/>
        <v>1.6908383062146395</v>
      </c>
      <c r="X1082">
        <f t="shared" ca="1" si="507"/>
        <v>8.7923591923161251</v>
      </c>
      <c r="Y1082">
        <f t="shared" ca="1" si="508"/>
        <v>1.0245502818856753</v>
      </c>
      <c r="Z1082">
        <f t="shared" ca="1" si="509"/>
        <v>5.7948042027817239</v>
      </c>
      <c r="AA1082">
        <f t="shared" ca="1" si="510"/>
        <v>633.74383830621468</v>
      </c>
      <c r="AB1082">
        <f t="shared" ca="1" si="511"/>
        <v>635.45534471541839</v>
      </c>
      <c r="AC1082">
        <f t="shared" ca="1" si="512"/>
        <v>7.3150227551481211E-3</v>
      </c>
      <c r="AD1082">
        <f t="shared" ca="1" si="513"/>
        <v>1.4228306880038974</v>
      </c>
      <c r="AE1082">
        <f t="shared" ca="1" si="514"/>
        <v>37.529587081523601</v>
      </c>
      <c r="AF1082">
        <f t="shared" ca="1" si="515"/>
        <v>6.8280427992704062E-3</v>
      </c>
      <c r="AG1082">
        <f t="shared" ca="1" si="516"/>
        <v>0</v>
      </c>
      <c r="AH1082">
        <f ca="1">IFERROR(IF(V32="Supercritical",MAX($D$16,IFERROR(L1082,MAX($D$16,POWER((ABS(K1082)^2)/($I$5*MAX(F1082,0.1)^2),1/3)))),IF(V32="Subcritical",MAX($D$16,IFERROR(W1082,MAX($D$16,POWER((ABS(K1082)^2)/($I$5*MAX(F1082,0.1)^2),1/3)))),IF(AND(IFERROR(V1082,0)=1,IFERROR(AG1082,0)=1),IF(IFERROR(T1082,-1E+99)&gt;=IFERROR(AE1082,-1E+99),MAX($D$16,IFERROR(L1082,MAX($D$16,POWER((ABS(K1082)^2)/($I$5*MAX(F1082,0.1)^2),1/3)))),MAX($D$16,IFERROR(W1082,MAX($D$16,POWER((ABS(K1082)^2)/($I$5*MAX(F1082,0.1)^2),1/3))))),IF(IFERROR(V1082,0)=1,MAX($D$16,IFERROR(L1082,MAX($D$16,POWER((ABS(K1082)^2)/($I$5*MAX(F1082,0.1)^2),1/3)))),IF(IFERROR(AG1082,0)=1,MAX($D$16,IFERROR(W1082,MAX($D$16,POWER((ABS(K1082)^2)/($I$5*MAX(F1082,0.1)^2),1/3)))),MAX($D$16,POWER((ABS(K1082)^2)/($I$5*MAX(F1082,0.1)^2),1/3))))))),MAX($D$16,POWER((ABS(K1082)^2)/($I$5*MAX(F1082,0.1)^2),1/3)))</f>
        <v>2.1389677043987478</v>
      </c>
      <c r="AI1082">
        <f t="shared" ca="1" si="517"/>
        <v>634.19196770439873</v>
      </c>
      <c r="AJ1082">
        <f t="shared" ca="1" si="518"/>
        <v>635.2614515565981</v>
      </c>
      <c r="AM1082">
        <v>0</v>
      </c>
      <c r="AN1082">
        <v>0</v>
      </c>
      <c r="AO1082">
        <f t="shared" si="519"/>
        <v>0</v>
      </c>
      <c r="AP1082">
        <f t="shared" si="528"/>
        <v>0</v>
      </c>
      <c r="AQ1082">
        <f t="shared" ca="1" si="520"/>
        <v>1.0000000000000004</v>
      </c>
      <c r="AR1082" t="str">
        <f t="shared" ca="1" si="521"/>
        <v>Supercritical</v>
      </c>
      <c r="AS1082">
        <f t="shared" ca="1" si="522"/>
        <v>3.8141460404132466E-3</v>
      </c>
    </row>
    <row r="1083" spans="1:45" x14ac:dyDescent="0.35">
      <c r="A1083">
        <v>1022</v>
      </c>
      <c r="B1083">
        <v>1020.996</v>
      </c>
      <c r="C1083">
        <v>616080.40599999996</v>
      </c>
      <c r="D1083">
        <v>3096986.0750000002</v>
      </c>
      <c r="E1083">
        <v>632.05250000000001</v>
      </c>
      <c r="F1083">
        <v>5.2</v>
      </c>
      <c r="G1083">
        <v>0</v>
      </c>
      <c r="H1083" t="s">
        <v>154</v>
      </c>
      <c r="I1083">
        <v>2E-3</v>
      </c>
      <c r="J1083">
        <f t="shared" si="523"/>
        <v>1.0009999999999764</v>
      </c>
      <c r="K1083">
        <f t="shared" ca="1" si="524"/>
        <v>50.95</v>
      </c>
      <c r="L1083">
        <f t="shared" ca="1" si="525"/>
        <v>2.1389677043987478</v>
      </c>
      <c r="M1083">
        <f t="shared" ca="1" si="498"/>
        <v>11.122632062873489</v>
      </c>
      <c r="N1083">
        <f t="shared" ca="1" si="499"/>
        <v>1.1735290000551568</v>
      </c>
      <c r="O1083">
        <f t="shared" ca="1" si="500"/>
        <v>4.5807502857230418</v>
      </c>
      <c r="P1083">
        <f t="shared" ca="1" si="501"/>
        <v>634.19146770439875</v>
      </c>
      <c r="Q1083">
        <f t="shared" ca="1" si="502"/>
        <v>635.26095155659812</v>
      </c>
      <c r="R1083">
        <f t="shared" ca="1" si="503"/>
        <v>3.8141460404132466E-3</v>
      </c>
      <c r="S1083">
        <f t="shared" ca="1" si="504"/>
        <v>1.0000000000000004</v>
      </c>
      <c r="T1083">
        <f t="shared" ca="1" si="505"/>
        <v>35.686426155594638</v>
      </c>
      <c r="U1083">
        <f t="shared" ca="1" si="526"/>
        <v>-3.3215251326055295E-3</v>
      </c>
      <c r="V1083">
        <f t="shared" ca="1" si="527"/>
        <v>1</v>
      </c>
      <c r="W1083">
        <f t="shared" ca="1" si="506"/>
        <v>1.690226577312806</v>
      </c>
      <c r="X1083">
        <f t="shared" ca="1" si="507"/>
        <v>8.7891782020265907</v>
      </c>
      <c r="Y1083">
        <f t="shared" ca="1" si="508"/>
        <v>1.0243256438371739</v>
      </c>
      <c r="Z1083">
        <f t="shared" ca="1" si="509"/>
        <v>5.7969014655149502</v>
      </c>
      <c r="AA1083">
        <f t="shared" ca="1" si="510"/>
        <v>633.74272657731285</v>
      </c>
      <c r="AB1083">
        <f t="shared" ca="1" si="511"/>
        <v>635.45547207175161</v>
      </c>
      <c r="AC1083">
        <f t="shared" ca="1" si="512"/>
        <v>7.3224592096910873E-3</v>
      </c>
      <c r="AD1083">
        <f t="shared" ca="1" si="513"/>
        <v>1.4236031868635679</v>
      </c>
      <c r="AE1083">
        <f t="shared" ca="1" si="514"/>
        <v>37.535102025583491</v>
      </c>
      <c r="AF1083">
        <f t="shared" ca="1" si="515"/>
        <v>6.9851700317258292E-3</v>
      </c>
      <c r="AG1083">
        <f t="shared" ca="1" si="516"/>
        <v>0</v>
      </c>
      <c r="AH1083">
        <f ca="1">IFERROR(IF(V32="Supercritical",MAX($D$16,IFERROR(L1083,MAX($D$16,POWER((ABS(K1083)^2)/($I$5*MAX(F1083,0.1)^2),1/3)))),IF(V32="Subcritical",MAX($D$16,IFERROR(W1083,MAX($D$16,POWER((ABS(K1083)^2)/($I$5*MAX(F1083,0.1)^2),1/3)))),IF(AND(IFERROR(V1083,0)=1,IFERROR(AG1083,0)=1),IF(IFERROR(T1083,-1E+99)&gt;=IFERROR(AE1083,-1E+99),MAX($D$16,IFERROR(L1083,MAX($D$16,POWER((ABS(K1083)^2)/($I$5*MAX(F1083,0.1)^2),1/3)))),MAX($D$16,IFERROR(W1083,MAX($D$16,POWER((ABS(K1083)^2)/($I$5*MAX(F1083,0.1)^2),1/3))))),IF(IFERROR(V1083,0)=1,MAX($D$16,IFERROR(L1083,MAX($D$16,POWER((ABS(K1083)^2)/($I$5*MAX(F1083,0.1)^2),1/3)))),IF(IFERROR(AG1083,0)=1,MAX($D$16,IFERROR(W1083,MAX($D$16,POWER((ABS(K1083)^2)/($I$5*MAX(F1083,0.1)^2),1/3)))),MAX($D$16,POWER((ABS(K1083)^2)/($I$5*MAX(F1083,0.1)^2),1/3))))))),MAX($D$16,POWER((ABS(K1083)^2)/($I$5*MAX(F1083,0.1)^2),1/3)))</f>
        <v>2.1389677043987478</v>
      </c>
      <c r="AI1083">
        <f t="shared" ca="1" si="517"/>
        <v>634.19146770439875</v>
      </c>
      <c r="AJ1083">
        <f t="shared" ca="1" si="518"/>
        <v>635.26095155659812</v>
      </c>
      <c r="AM1083">
        <v>0</v>
      </c>
      <c r="AN1083">
        <v>0</v>
      </c>
      <c r="AO1083">
        <f t="shared" si="519"/>
        <v>0</v>
      </c>
      <c r="AP1083">
        <f t="shared" si="528"/>
        <v>0</v>
      </c>
      <c r="AQ1083">
        <f t="shared" ca="1" si="520"/>
        <v>1.0000000000000004</v>
      </c>
      <c r="AR1083" t="str">
        <f t="shared" ca="1" si="521"/>
        <v>Supercritical</v>
      </c>
      <c r="AS1083">
        <f t="shared" ca="1" si="522"/>
        <v>3.8141460404132466E-3</v>
      </c>
    </row>
    <row r="1084" spans="1:45" x14ac:dyDescent="0.35">
      <c r="A1084">
        <v>1023</v>
      </c>
      <c r="B1084">
        <v>1021.996</v>
      </c>
      <c r="C1084">
        <v>616080.36399999994</v>
      </c>
      <c r="D1084">
        <v>3096985.0759999999</v>
      </c>
      <c r="E1084">
        <v>632.05200000000002</v>
      </c>
      <c r="F1084">
        <v>5.2</v>
      </c>
      <c r="G1084">
        <v>0</v>
      </c>
      <c r="H1084" t="s">
        <v>154</v>
      </c>
      <c r="I1084">
        <v>5.7000000000000002E-2</v>
      </c>
      <c r="J1084">
        <f t="shared" si="523"/>
        <v>1</v>
      </c>
      <c r="K1084">
        <f t="shared" ca="1" si="524"/>
        <v>50.95</v>
      </c>
      <c r="L1084">
        <f t="shared" ca="1" si="525"/>
        <v>2.1389677043987478</v>
      </c>
      <c r="M1084">
        <f t="shared" ca="1" si="498"/>
        <v>11.122632062873489</v>
      </c>
      <c r="N1084">
        <f t="shared" ca="1" si="499"/>
        <v>1.1735290000551568</v>
      </c>
      <c r="O1084">
        <f t="shared" ca="1" si="500"/>
        <v>4.5807502857230418</v>
      </c>
      <c r="P1084">
        <f t="shared" ca="1" si="501"/>
        <v>634.19096770439876</v>
      </c>
      <c r="Q1084">
        <f t="shared" ca="1" si="502"/>
        <v>635.26045155659813</v>
      </c>
      <c r="R1084">
        <f t="shared" ca="1" si="503"/>
        <v>3.8141460404132466E-3</v>
      </c>
      <c r="S1084">
        <f t="shared" ca="1" si="504"/>
        <v>1.0000000000000004</v>
      </c>
      <c r="T1084">
        <f t="shared" ca="1" si="505"/>
        <v>35.686426155594638</v>
      </c>
      <c r="U1084">
        <f t="shared" ca="1" si="526"/>
        <v>-3.4157470064428708E-3</v>
      </c>
      <c r="V1084">
        <f t="shared" ca="1" si="527"/>
        <v>1</v>
      </c>
      <c r="W1084">
        <f t="shared" ca="1" si="506"/>
        <v>1.6896526352912853</v>
      </c>
      <c r="X1084">
        <f t="shared" ca="1" si="507"/>
        <v>8.7861937035146838</v>
      </c>
      <c r="Y1084">
        <f t="shared" ca="1" si="508"/>
        <v>1.0241148235675339</v>
      </c>
      <c r="Z1084">
        <f t="shared" ca="1" si="509"/>
        <v>5.7988705597986998</v>
      </c>
      <c r="AA1084">
        <f t="shared" ca="1" si="510"/>
        <v>633.7416526352913</v>
      </c>
      <c r="AB1084">
        <f t="shared" ca="1" si="511"/>
        <v>635.45556189978163</v>
      </c>
      <c r="AC1084">
        <f t="shared" ca="1" si="512"/>
        <v>7.3294459125508192E-3</v>
      </c>
      <c r="AD1084">
        <f t="shared" ca="1" si="513"/>
        <v>1.4243286037823184</v>
      </c>
      <c r="AE1084">
        <f t="shared" ca="1" si="514"/>
        <v>37.540285248782311</v>
      </c>
      <c r="AF1084">
        <f t="shared" ca="1" si="515"/>
        <v>6.992267292730503E-3</v>
      </c>
      <c r="AG1084">
        <f t="shared" ca="1" si="516"/>
        <v>0</v>
      </c>
      <c r="AH1084">
        <f ca="1">IFERROR(IF(V32="Supercritical",MAX($D$16,IFERROR(L1084,MAX($D$16,POWER((ABS(K1084)^2)/($I$5*MAX(F1084,0.1)^2),1/3)))),IF(V32="Subcritical",MAX($D$16,IFERROR(W1084,MAX($D$16,POWER((ABS(K1084)^2)/($I$5*MAX(F1084,0.1)^2),1/3)))),IF(AND(IFERROR(V1084,0)=1,IFERROR(AG1084,0)=1),IF(IFERROR(T1084,-1E+99)&gt;=IFERROR(AE1084,-1E+99),MAX($D$16,IFERROR(L1084,MAX($D$16,POWER((ABS(K1084)^2)/($I$5*MAX(F1084,0.1)^2),1/3)))),MAX($D$16,IFERROR(W1084,MAX($D$16,POWER((ABS(K1084)^2)/($I$5*MAX(F1084,0.1)^2),1/3))))),IF(IFERROR(V1084,0)=1,MAX($D$16,IFERROR(L1084,MAX($D$16,POWER((ABS(K1084)^2)/($I$5*MAX(F1084,0.1)^2),1/3)))),IF(IFERROR(AG1084,0)=1,MAX($D$16,IFERROR(W1084,MAX($D$16,POWER((ABS(K1084)^2)/($I$5*MAX(F1084,0.1)^2),1/3)))),MAX($D$16,POWER((ABS(K1084)^2)/($I$5*MAX(F1084,0.1)^2),1/3))))))),MAX($D$16,POWER((ABS(K1084)^2)/($I$5*MAX(F1084,0.1)^2),1/3)))</f>
        <v>2.1389677043987478</v>
      </c>
      <c r="AI1084">
        <f t="shared" ca="1" si="517"/>
        <v>634.19096770439876</v>
      </c>
      <c r="AJ1084">
        <f t="shared" ca="1" si="518"/>
        <v>635.26045155659813</v>
      </c>
      <c r="AM1084">
        <v>0</v>
      </c>
      <c r="AN1084">
        <v>0</v>
      </c>
      <c r="AO1084">
        <f t="shared" si="519"/>
        <v>0</v>
      </c>
      <c r="AP1084">
        <f t="shared" si="528"/>
        <v>0</v>
      </c>
      <c r="AQ1084">
        <f t="shared" ca="1" si="520"/>
        <v>1.0000000000000004</v>
      </c>
      <c r="AR1084" t="str">
        <f t="shared" ca="1" si="521"/>
        <v>Supercritical</v>
      </c>
      <c r="AS1084">
        <f t="shared" ca="1" si="522"/>
        <v>3.8141460404132466E-3</v>
      </c>
    </row>
    <row r="1085" spans="1:45" x14ac:dyDescent="0.35">
      <c r="A1085">
        <v>1024</v>
      </c>
      <c r="B1085">
        <v>1022.996</v>
      </c>
      <c r="C1085">
        <v>616080.321</v>
      </c>
      <c r="D1085">
        <v>3096984.077</v>
      </c>
      <c r="E1085">
        <v>632.05150000000003</v>
      </c>
      <c r="F1085">
        <v>5.2</v>
      </c>
      <c r="G1085">
        <v>0</v>
      </c>
      <c r="H1085" t="s">
        <v>154</v>
      </c>
      <c r="I1085">
        <v>5.7000000000000002E-2</v>
      </c>
      <c r="J1085">
        <f t="shared" si="523"/>
        <v>1</v>
      </c>
      <c r="K1085">
        <f t="shared" ca="1" si="524"/>
        <v>50.95</v>
      </c>
      <c r="L1085">
        <f t="shared" ca="1" si="525"/>
        <v>2.1389677043987478</v>
      </c>
      <c r="M1085">
        <f t="shared" ca="1" si="498"/>
        <v>11.122632062873489</v>
      </c>
      <c r="N1085">
        <f t="shared" ca="1" si="499"/>
        <v>1.1735290000551568</v>
      </c>
      <c r="O1085">
        <f t="shared" ca="1" si="500"/>
        <v>4.5807502857230418</v>
      </c>
      <c r="P1085">
        <f t="shared" ca="1" si="501"/>
        <v>634.19046770439877</v>
      </c>
      <c r="Q1085">
        <f t="shared" ca="1" si="502"/>
        <v>635.25995155659814</v>
      </c>
      <c r="R1085">
        <f t="shared" ca="1" si="503"/>
        <v>3.8141460404132466E-3</v>
      </c>
      <c r="S1085">
        <f t="shared" ca="1" si="504"/>
        <v>1.0000000000000004</v>
      </c>
      <c r="T1085">
        <f t="shared" ca="1" si="505"/>
        <v>35.686426155594638</v>
      </c>
      <c r="U1085">
        <f t="shared" ca="1" si="526"/>
        <v>-3.4157470064428708E-3</v>
      </c>
      <c r="V1085">
        <f t="shared" ca="1" si="527"/>
        <v>1</v>
      </c>
      <c r="W1085">
        <f t="shared" ca="1" si="506"/>
        <v>1.6891142738192324</v>
      </c>
      <c r="X1085">
        <f t="shared" ca="1" si="507"/>
        <v>8.7833942238600091</v>
      </c>
      <c r="Y1085">
        <f t="shared" ca="1" si="508"/>
        <v>1.0239170214552076</v>
      </c>
      <c r="Z1085">
        <f t="shared" ca="1" si="509"/>
        <v>5.8007187997545184</v>
      </c>
      <c r="AA1085">
        <f t="shared" ca="1" si="510"/>
        <v>633.74061427381923</v>
      </c>
      <c r="AB1085">
        <f t="shared" ca="1" si="511"/>
        <v>635.45561624088475</v>
      </c>
      <c r="AC1085">
        <f t="shared" ca="1" si="512"/>
        <v>7.3360079512591178E-3</v>
      </c>
      <c r="AD1085">
        <f t="shared" ca="1" si="513"/>
        <v>1.4250096098742375</v>
      </c>
      <c r="AE1085">
        <f t="shared" ca="1" si="514"/>
        <v>37.545155020915345</v>
      </c>
      <c r="AF1085">
        <f t="shared" ca="1" si="515"/>
        <v>6.8360079512785887E-3</v>
      </c>
      <c r="AG1085">
        <f t="shared" ca="1" si="516"/>
        <v>0</v>
      </c>
      <c r="AH1085">
        <f ca="1">IFERROR(IF(V32="Supercritical",MAX($D$16,IFERROR(L1085,MAX($D$16,POWER((ABS(K1085)^2)/($I$5*MAX(F1085,0.1)^2),1/3)))),IF(V32="Subcritical",MAX($D$16,IFERROR(W1085,MAX($D$16,POWER((ABS(K1085)^2)/($I$5*MAX(F1085,0.1)^2),1/3)))),IF(AND(IFERROR(V1085,0)=1,IFERROR(AG1085,0)=1),IF(IFERROR(T1085,-1E+99)&gt;=IFERROR(AE1085,-1E+99),MAX($D$16,IFERROR(L1085,MAX($D$16,POWER((ABS(K1085)^2)/($I$5*MAX(F1085,0.1)^2),1/3)))),MAX($D$16,IFERROR(W1085,MAX($D$16,POWER((ABS(K1085)^2)/($I$5*MAX(F1085,0.1)^2),1/3))))),IF(IFERROR(V1085,0)=1,MAX($D$16,IFERROR(L1085,MAX($D$16,POWER((ABS(K1085)^2)/($I$5*MAX(F1085,0.1)^2),1/3)))),IF(IFERROR(AG1085,0)=1,MAX($D$16,IFERROR(W1085,MAX($D$16,POWER((ABS(K1085)^2)/($I$5*MAX(F1085,0.1)^2),1/3)))),MAX($D$16,POWER((ABS(K1085)^2)/($I$5*MAX(F1085,0.1)^2),1/3))))))),MAX($D$16,POWER((ABS(K1085)^2)/($I$5*MAX(F1085,0.1)^2),1/3)))</f>
        <v>2.1389677043987478</v>
      </c>
      <c r="AI1085">
        <f t="shared" ca="1" si="517"/>
        <v>634.19046770439877</v>
      </c>
      <c r="AJ1085">
        <f t="shared" ca="1" si="518"/>
        <v>635.25995155659814</v>
      </c>
      <c r="AM1085">
        <v>0</v>
      </c>
      <c r="AN1085">
        <v>0</v>
      </c>
      <c r="AO1085">
        <f t="shared" si="519"/>
        <v>0</v>
      </c>
      <c r="AP1085">
        <f t="shared" si="528"/>
        <v>0</v>
      </c>
      <c r="AQ1085">
        <f t="shared" ca="1" si="520"/>
        <v>1.0000000000000004</v>
      </c>
      <c r="AR1085" t="str">
        <f t="shared" ca="1" si="521"/>
        <v>Supercritical</v>
      </c>
      <c r="AS1085">
        <f t="shared" ca="1" si="522"/>
        <v>3.8141460404132466E-3</v>
      </c>
    </row>
    <row r="1086" spans="1:45" x14ac:dyDescent="0.35">
      <c r="A1086">
        <v>1025</v>
      </c>
      <c r="B1086">
        <v>1023.996</v>
      </c>
      <c r="C1086">
        <v>616080.27899999998</v>
      </c>
      <c r="D1086">
        <v>3096983.0780000002</v>
      </c>
      <c r="E1086">
        <v>632.05100000000004</v>
      </c>
      <c r="F1086">
        <v>5.2</v>
      </c>
      <c r="G1086">
        <v>0</v>
      </c>
      <c r="H1086" t="s">
        <v>154</v>
      </c>
      <c r="I1086">
        <v>0</v>
      </c>
      <c r="J1086">
        <f t="shared" si="523"/>
        <v>1</v>
      </c>
      <c r="K1086">
        <f t="shared" ca="1" si="524"/>
        <v>50.95</v>
      </c>
      <c r="L1086">
        <f t="shared" ca="1" si="525"/>
        <v>2.1389677043987478</v>
      </c>
      <c r="M1086">
        <f t="shared" ref="M1086:M1149" ca="1" si="529">((F1086)+(G1086)*(L1086))*(L1086)</f>
        <v>11.122632062873489</v>
      </c>
      <c r="N1086">
        <f t="shared" ref="N1086:N1149" ca="1" si="530">(((F1086)+(G1086)*(L1086))*(L1086))/MAX((F1086)+2*(L1086)*SQRT(1+(G1086)^2),0.000001)</f>
        <v>1.1735290000551568</v>
      </c>
      <c r="O1086">
        <f t="shared" ref="O1086:O1149" ca="1" si="531">ABS(K1086)/MAX(((F1086)+(G1086)*(L1086))*(L1086),0.000001)</f>
        <v>4.5807502857230418</v>
      </c>
      <c r="P1086">
        <f t="shared" ref="P1086:P1149" ca="1" si="532">E1086+L1086</f>
        <v>634.18996770439878</v>
      </c>
      <c r="Q1086">
        <f t="shared" ref="Q1086:Q1149" ca="1" si="533">P1086+((ABS(K1086)/MAX(((F1086)+(G1086)*(L1086))*(L1086),0.000001))^2)/(2*$I$5)</f>
        <v>635.25945155659815</v>
      </c>
      <c r="R1086">
        <f t="shared" ref="R1086:R1149" ca="1" si="534">((ABS(K1086)*$D$6)/(MAX(((F1086)+(G1086)*(L1086))*(L1086),0.000001)*MAX(((((F1086)+(G1086)*(L1086))*(L1086))/MAX((F1086)+2*(L1086)*SQRT(1+(G1086)^2),0.000001))^(2/3),0.000001)))^2</f>
        <v>3.8141460404132466E-3</v>
      </c>
      <c r="S1086">
        <f t="shared" ref="S1086:S1149" ca="1" si="535">ABS(ABS(K1086)/MAX(((F1086)+(G1086)*(L1086))*(L1086),0.000001))/SQRT($I$5*MAX((((F1086)+(G1086)*(L1086))*(L1086))/MAX((F1086)+2*(G1086)*(L1086),0.000001),0.000001))</f>
        <v>1.0000000000000004</v>
      </c>
      <c r="T1086">
        <f t="shared" ref="T1086:T1149" ca="1" si="536">((F1086)*(L1086)^2)/2+(G1086)*(L1086)^3/3+(ABS(K1086)^2)/($I$5*MAX(((F1086)+(G1086)*(L1086))*(L1086),0.000001))</f>
        <v>35.686426155594638</v>
      </c>
      <c r="U1086">
        <f t="shared" ca="1" si="526"/>
        <v>-3.3141460404522149E-3</v>
      </c>
      <c r="V1086">
        <f t="shared" ca="1" si="527"/>
        <v>1</v>
      </c>
      <c r="W1086">
        <f t="shared" ref="W1086:W1149" ca="1" si="537">IF($D$20=0,IFERROR(W1087,MAX($D$16,POWER((ABS(K1086)^2)/($I$5*MAX(F1086,0.1)^2),1/3))),IF(IFERROR(AG1087,0)=0,IFERROR(W1087,MAX($D$16,POWER((ABS(K1086)^2)/($I$5*MAX(F1086,0.1)^2),1/3))),IF(OR(IFERROR(W1086,0)=0,IFERROR(AD1087,0)&gt;1),MAX($D$16,POWER((ABS(K1086)^2)/($I$5*MAX(F1086,0.1)^2),1/3)),IF(IFERROR(AF1086,0)&gt;0,MAX($D$16,IFERROR(W1086,0)+((IFERROR(AF1086,0))*$D$18*IF((IFERROR(AD1086,0))&lt;1,1,-1))),IF(IFERROR(AF1086,0)&lt;0,IF(ABS((MAX($D$16,POWER((ABS(K1086)^2)/($I$5*MAX(F1086,0.1)^2),1/3)))-IFERROR(W1086,0))&gt;$D$19,MAX($D$16,IF((MAX($D$16,POWER((ABS(K1086)^2)/($I$5*MAX(F1086,0.1)^2),1/3)))&gt;IFERROR(W1086,0),MIN((MAX($D$16,POWER((ABS(K1086)^2)/($I$5*MAX(F1086,0.1)^2),1/3))),IFERROR(W1086,0)+(MIN(ABS(IFERROR(AF1086,0))*$D$18,ABS((MAX($D$16,POWER((ABS(K1086)^2)/($I$5*MAX(F1086,0.1)^2),1/3)))-IFERROR(W1086,0))))),MAX((MAX($D$16,POWER((ABS(K1086)^2)/($I$5*MAX(F1086,0.1)^2),1/3))),IFERROR(W1086,0)-(MIN(ABS(IFERROR(AF1086,0))*$D$18,ABS((MAX($D$16,POWER((ABS(K1086)^2)/($I$5*MAX(F1086,0.1)^2),1/3)))-IFERROR(W1086,0))))))),MAX($D$16,POWER((ABS(K1086)^2)/($I$5*MAX(F1086,0.1)^2),1/3))),MAX($D$16,IFERROR(W1086,0)))))))</f>
        <v>1.6886093997438687</v>
      </c>
      <c r="X1086">
        <f t="shared" ref="X1086:X1149" ca="1" si="538">((F1086)+(G1086)*(W1086))*(W1086)</f>
        <v>8.7807688786681179</v>
      </c>
      <c r="Y1086">
        <f t="shared" ref="Y1086:Y1149" ca="1" si="539">(((F1086)+(G1086)*(W1086))*(W1086))/MAX((F1086)+2*(W1086)*SQRT(1+(G1086)^2),0.000001)</f>
        <v>1.0237314779929056</v>
      </c>
      <c r="Z1086">
        <f t="shared" ref="Z1086:Z1149" ca="1" si="540">ABS(K1086)/MAX(((F1086)+(G1086)*(W1086))*(W1086),0.000001)</f>
        <v>5.8024531455072514</v>
      </c>
      <c r="AA1086">
        <f t="shared" ref="AA1086:AA1149" ca="1" si="541">E1086+W1086</f>
        <v>633.73960939974393</v>
      </c>
      <c r="AB1086">
        <f t="shared" ref="AB1086:AB1149" ca="1" si="542">AA1086+((ABS(K1086)/MAX(((F1086)+(G1086)*(W1086))*(W1086),0.000001))^2)/(2*$I$5)</f>
        <v>635.45563705039672</v>
      </c>
      <c r="AC1086">
        <f t="shared" ref="AC1086:AC1149" ca="1" si="543">((ABS(K1086)*$D$6)/(MAX(((F1086)+(G1086)*(W1086))*(W1086),0.000001)*MAX(((((F1086)+(G1086)*(W1086))*(W1086))/MAX((F1086)+2*(W1086)*SQRT(1+(G1086)^2),0.000001))^(2/3),0.000001)))^2</f>
        <v>7.3421692720966377E-3</v>
      </c>
      <c r="AD1086">
        <f t="shared" ref="AD1086:AD1149" ca="1" si="544">ABS(ABS(K1086)/MAX(((F1086)+(G1086)*(W1086))*(W1086),0.000001))/SQRT($I$5*MAX((((F1086)+(G1086)*(W1086))*(W1086))/MAX((F1086)+2*(G1086)*(W1086),0.000001),0.000001))</f>
        <v>1.4256487489641061</v>
      </c>
      <c r="AE1086">
        <f t="shared" ref="AE1086:AE1149" ca="1" si="545">((F1086)*(W1086)^2)/2+(G1086)*(W1086)^3/3+(ABS(K1086)^2)/($I$5*MAX(((F1086)+(G1086)*(W1086))*(W1086),0.000001))</f>
        <v>37.549728812320005</v>
      </c>
      <c r="AF1086">
        <f t="shared" ref="AF1086:AF1149" ca="1" si="546">IF($D$20=0,0,IFERROR(AB1087+(((AC1086+AC1087)/2)*J1087)+(IF(Z1086&gt;Z1087,$D$8*((Z1086^2-Z1087^2)/(2*$I$5)),$D$9*((Z1087^2-Z1086^2)/(2*$I$5)))+($D$10*(ABS(I1087)/90)*(MAX(Z1086^2,Z1087^2)/(2*$I$5))))-AB1086,0))</f>
        <v>6.8421692720903593E-3</v>
      </c>
      <c r="AG1086">
        <f t="shared" ref="AG1086:AG1149" ca="1" si="547">IF($D$20=0,1,IFERROR(IF(ROUND(AD1086,3)=1,1,IF(AND(ABS(AF1086)&lt;$D$19,AD1086&lt;1),1,0)),0))</f>
        <v>0</v>
      </c>
      <c r="AH1086">
        <f ca="1">IFERROR(IF(V32="Supercritical",MAX($D$16,IFERROR(L1086,MAX($D$16,POWER((ABS(K1086)^2)/($I$5*MAX(F1086,0.1)^2),1/3)))),IF(V32="Subcritical",MAX($D$16,IFERROR(W1086,MAX($D$16,POWER((ABS(K1086)^2)/($I$5*MAX(F1086,0.1)^2),1/3)))),IF(AND(IFERROR(V1086,0)=1,IFERROR(AG1086,0)=1),IF(IFERROR(T1086,-1E+99)&gt;=IFERROR(AE1086,-1E+99),MAX($D$16,IFERROR(L1086,MAX($D$16,POWER((ABS(K1086)^2)/($I$5*MAX(F1086,0.1)^2),1/3)))),MAX($D$16,IFERROR(W1086,MAX($D$16,POWER((ABS(K1086)^2)/($I$5*MAX(F1086,0.1)^2),1/3))))),IF(IFERROR(V1086,0)=1,MAX($D$16,IFERROR(L1086,MAX($D$16,POWER((ABS(K1086)^2)/($I$5*MAX(F1086,0.1)^2),1/3)))),IF(IFERROR(AG1086,0)=1,MAX($D$16,IFERROR(W1086,MAX($D$16,POWER((ABS(K1086)^2)/($I$5*MAX(F1086,0.1)^2),1/3)))),MAX($D$16,POWER((ABS(K1086)^2)/($I$5*MAX(F1086,0.1)^2),1/3))))))),MAX($D$16,POWER((ABS(K1086)^2)/($I$5*MAX(F1086,0.1)^2),1/3)))</f>
        <v>2.1389677043987478</v>
      </c>
      <c r="AI1086">
        <f t="shared" ref="AI1086:AI1149" ca="1" si="548">E1086+AH1086</f>
        <v>634.18996770439878</v>
      </c>
      <c r="AJ1086">
        <f t="shared" ref="AJ1086:AJ1149" ca="1" si="549">AI1086+((ABS(K1086)/MAX(((F1086)+(G1086)*(AH1086))*(AH1086),0.000001))^2)/(2*$I$5)</f>
        <v>635.25945155659815</v>
      </c>
      <c r="AM1086">
        <v>0</v>
      </c>
      <c r="AN1086">
        <v>0</v>
      </c>
      <c r="AO1086">
        <f t="shared" ref="AO1086:AO1149" si="550">AM1086+AN1086</f>
        <v>0</v>
      </c>
      <c r="AP1086">
        <f t="shared" si="528"/>
        <v>0</v>
      </c>
      <c r="AQ1086">
        <f t="shared" ref="AQ1086:AQ1149" ca="1" si="551">ABS(ABS(K1086)/MAX(((F1086)+(G1086)*(AH1086))*(AH1086),0.000001))/SQRT($I$5*MAX((((F1086)+(G1086)*(AH1086))*(AH1086))/MAX((F1086)+2*(G1086)*(AH1086),0.000001),0.000001))</f>
        <v>1.0000000000000004</v>
      </c>
      <c r="AR1086" t="str">
        <f t="shared" ref="AR1086:AR1149" ca="1" si="552">IF(AQ1086&lt;1,"Subcritical","Supercritical")</f>
        <v>Supercritical</v>
      </c>
      <c r="AS1086">
        <f t="shared" ref="AS1086:AS1149" ca="1" si="553">((ABS(K1086)*$D$6)/(MAX(((F1086)+(G1086)*(AH1086))*(AH1086),0.000001)*MAX(((((F1086)+(G1086)*(AH1086))*(AH1086))/MAX((F1086)+2*(AH1086)*SQRT(1+(G1086)^2),0.000001))^(2/3),0.000001)))^2</f>
        <v>3.8141460404132466E-3</v>
      </c>
    </row>
    <row r="1087" spans="1:45" x14ac:dyDescent="0.35">
      <c r="A1087">
        <v>1026</v>
      </c>
      <c r="B1087">
        <v>1024.9960000000001</v>
      </c>
      <c r="C1087">
        <v>616080.23699999996</v>
      </c>
      <c r="D1087">
        <v>3096982.0789999999</v>
      </c>
      <c r="E1087">
        <v>632.05050000000006</v>
      </c>
      <c r="F1087">
        <v>5.2</v>
      </c>
      <c r="G1087">
        <v>0</v>
      </c>
      <c r="H1087" t="s">
        <v>154</v>
      </c>
      <c r="I1087">
        <v>0</v>
      </c>
      <c r="J1087">
        <f t="shared" ref="J1087:J1150" si="554">B1087-B1086</f>
        <v>1.0000000000001137</v>
      </c>
      <c r="K1087">
        <f t="shared" ref="K1087:K1150" ca="1" si="555">MAX(0,K1086-AO1086)</f>
        <v>50.95</v>
      </c>
      <c r="L1087">
        <f t="shared" ref="L1087:L1150" ca="1" si="556">IF($D$20=0,IFERROR(L1086,MAX($D$16,POWER((ABS(K1087)^2)/($I$5*MAX(F1087,0.1)^2),1/3))),IF(IFERROR(V1086,0)=0,IFERROR(L1086,MAX($D$16,POWER((ABS(K1087)^2)/($I$5*MAX(F1087,0.1)^2),1/3))),IF(OR(IFERROR(L1087,0)=0,IFERROR(S1086,0)&lt;1,IFERROR(S1087,0)&lt;1),MAX($D$16,POWER((ABS(K1087)^2)/($I$5*MAX(F1087,0.1)^2),1/3)),IF(IFERROR(U1087,0)&gt;0,MAX($D$16,IFERROR(L1087,0)+((IFERROR(U1087,0))*$D$18*IF((IFERROR(S1087,0))&lt;1,1,-1))),IF(IFERROR(U1087,0)&lt;0,IF(ABS((MAX($D$16,POWER((ABS(K1087)^2)/($I$5*MAX(F1087,0.1)^2),1/3)))-IFERROR(L1087,0))&gt;$D$19,MAX($D$16,IF((MAX($D$16,POWER((ABS(K1087)^2)/($I$5*MAX(F1087,0.1)^2),1/3)))&gt;IFERROR(L1087,0),MIN((MAX($D$16,POWER((ABS(K1087)^2)/($I$5*MAX(F1087,0.1)^2),1/3))),IFERROR(L1087,0)+(MIN(ABS(IFERROR(U1087,0))*$D$18,ABS((MAX($D$16,POWER((ABS(K1087)^2)/($I$5*MAX(F1087,0.1)^2),1/3)))-IFERROR(L1087,0))))),MAX((MAX($D$16,POWER((ABS(K1087)^2)/($I$5*MAX(F1087,0.1)^2),1/3))),IFERROR(L1087,0)-(MIN(ABS(IFERROR(U1087,0))*$D$18,ABS((MAX($D$16,POWER((ABS(K1087)^2)/($I$5*MAX(F1087,0.1)^2),1/3)))-IFERROR(L1087,0))))))),MAX($D$16,POWER((ABS(K1087)^2)/($I$5*MAX(F1087,0.1)^2),1/3))),MAX($D$16,IFERROR(L1087,0)))))))</f>
        <v>2.1389677043987478</v>
      </c>
      <c r="M1087">
        <f t="shared" ca="1" si="529"/>
        <v>11.122632062873489</v>
      </c>
      <c r="N1087">
        <f t="shared" ca="1" si="530"/>
        <v>1.1735290000551568</v>
      </c>
      <c r="O1087">
        <f t="shared" ca="1" si="531"/>
        <v>4.5807502857230418</v>
      </c>
      <c r="P1087">
        <f t="shared" ca="1" si="532"/>
        <v>634.18946770439879</v>
      </c>
      <c r="Q1087">
        <f t="shared" ca="1" si="533"/>
        <v>635.25895155659816</v>
      </c>
      <c r="R1087">
        <f t="shared" ca="1" si="534"/>
        <v>3.8141460404132466E-3</v>
      </c>
      <c r="S1087">
        <f t="shared" ca="1" si="535"/>
        <v>1.0000000000000004</v>
      </c>
      <c r="T1087">
        <f t="shared" ca="1" si="536"/>
        <v>35.686426155594638</v>
      </c>
      <c r="U1087">
        <f t="shared" ref="U1087:U1150" ca="1" si="557">IF($D$20=0,0,IFERROR(Q1086-(((R1086+R1087)/2)*J1087)-(IF(O1086&gt;O1087,$D$8*((O1086^2-O1087^2)/(2*$I$5)),$D$9*((O1087^2-O1086^2)/(2*$I$5)))+($D$10*(ABS(I1087)/90)*(MAX(O1086^2,O1087^2)/(2*$I$5))))-Q1087,0))</f>
        <v>-3.3141460404522149E-3</v>
      </c>
      <c r="V1087">
        <f t="shared" ref="V1087:V1150" ca="1" si="558">IF($D$20=0,1,IFERROR(IF(ROUND(S1087,3)=1,1,IF(AND(ABS(U1087)&lt;$D$19,S1087&gt;1),1,0)),0))</f>
        <v>1</v>
      </c>
      <c r="W1087">
        <f t="shared" ca="1" si="537"/>
        <v>1.68813602923481</v>
      </c>
      <c r="X1087">
        <f t="shared" ca="1" si="538"/>
        <v>8.7783073520210131</v>
      </c>
      <c r="Y1087">
        <f t="shared" ca="1" si="539"/>
        <v>1.0235574725444805</v>
      </c>
      <c r="Z1087">
        <f t="shared" ca="1" si="540"/>
        <v>5.804080212373731</v>
      </c>
      <c r="AA1087">
        <f t="shared" ca="1" si="541"/>
        <v>633.73863602923484</v>
      </c>
      <c r="AB1087">
        <f t="shared" ca="1" si="542"/>
        <v>635.45562619802524</v>
      </c>
      <c r="AC1087">
        <f t="shared" ca="1" si="543"/>
        <v>7.3479526994258164E-3</v>
      </c>
      <c r="AD1087">
        <f t="shared" ca="1" si="544"/>
        <v>1.4262484406088052</v>
      </c>
      <c r="AE1087">
        <f t="shared" ca="1" si="545"/>
        <v>37.554023302403451</v>
      </c>
      <c r="AF1087">
        <f t="shared" ca="1" si="546"/>
        <v>7.0110667653580094E-3</v>
      </c>
      <c r="AG1087">
        <f t="shared" ca="1" si="547"/>
        <v>0</v>
      </c>
      <c r="AH1087">
        <f ca="1">IFERROR(IF(V32="Supercritical",MAX($D$16,IFERROR(L1087,MAX($D$16,POWER((ABS(K1087)^2)/($I$5*MAX(F1087,0.1)^2),1/3)))),IF(V32="Subcritical",MAX($D$16,IFERROR(W1087,MAX($D$16,POWER((ABS(K1087)^2)/($I$5*MAX(F1087,0.1)^2),1/3)))),IF(AND(IFERROR(V1087,0)=1,IFERROR(AG1087,0)=1),IF(IFERROR(T1087,-1E+99)&gt;=IFERROR(AE1087,-1E+99),MAX($D$16,IFERROR(L1087,MAX($D$16,POWER((ABS(K1087)^2)/($I$5*MAX(F1087,0.1)^2),1/3)))),MAX($D$16,IFERROR(W1087,MAX($D$16,POWER((ABS(K1087)^2)/($I$5*MAX(F1087,0.1)^2),1/3))))),IF(IFERROR(V1087,0)=1,MAX($D$16,IFERROR(L1087,MAX($D$16,POWER((ABS(K1087)^2)/($I$5*MAX(F1087,0.1)^2),1/3)))),IF(IFERROR(AG1087,0)=1,MAX($D$16,IFERROR(W1087,MAX($D$16,POWER((ABS(K1087)^2)/($I$5*MAX(F1087,0.1)^2),1/3)))),MAX($D$16,POWER((ABS(K1087)^2)/($I$5*MAX(F1087,0.1)^2),1/3))))))),MAX($D$16,POWER((ABS(K1087)^2)/($I$5*MAX(F1087,0.1)^2),1/3)))</f>
        <v>2.1389677043987478</v>
      </c>
      <c r="AI1087">
        <f t="shared" ca="1" si="548"/>
        <v>634.18946770439879</v>
      </c>
      <c r="AJ1087">
        <f t="shared" ca="1" si="549"/>
        <v>635.25895155659816</v>
      </c>
      <c r="AM1087">
        <v>0</v>
      </c>
      <c r="AN1087">
        <v>0</v>
      </c>
      <c r="AO1087">
        <f t="shared" si="550"/>
        <v>0</v>
      </c>
      <c r="AP1087">
        <f t="shared" ref="AP1087:AP1150" si="559">AP1086+AO1087</f>
        <v>0</v>
      </c>
      <c r="AQ1087">
        <f t="shared" ca="1" si="551"/>
        <v>1.0000000000000004</v>
      </c>
      <c r="AR1087" t="str">
        <f t="shared" ca="1" si="552"/>
        <v>Supercritical</v>
      </c>
      <c r="AS1087">
        <f t="shared" ca="1" si="553"/>
        <v>3.8141460404132466E-3</v>
      </c>
    </row>
    <row r="1088" spans="1:45" x14ac:dyDescent="0.35">
      <c r="A1088">
        <v>1027</v>
      </c>
      <c r="B1088">
        <v>1025.9960000000001</v>
      </c>
      <c r="C1088">
        <v>616080.19499999995</v>
      </c>
      <c r="D1088">
        <v>3096981.08</v>
      </c>
      <c r="E1088">
        <v>632.04999999999995</v>
      </c>
      <c r="F1088">
        <v>5.2</v>
      </c>
      <c r="G1088">
        <v>0</v>
      </c>
      <c r="H1088" t="s">
        <v>154</v>
      </c>
      <c r="I1088">
        <v>5.7000000000000002E-2</v>
      </c>
      <c r="J1088">
        <f t="shared" si="554"/>
        <v>1</v>
      </c>
      <c r="K1088">
        <f t="shared" ca="1" si="555"/>
        <v>50.95</v>
      </c>
      <c r="L1088">
        <f t="shared" ca="1" si="556"/>
        <v>2.1389677043987478</v>
      </c>
      <c r="M1088">
        <f t="shared" ca="1" si="529"/>
        <v>11.122632062873489</v>
      </c>
      <c r="N1088">
        <f t="shared" ca="1" si="530"/>
        <v>1.1735290000551568</v>
      </c>
      <c r="O1088">
        <f t="shared" ca="1" si="531"/>
        <v>4.5807502857230418</v>
      </c>
      <c r="P1088">
        <f t="shared" ca="1" si="532"/>
        <v>634.18896770439869</v>
      </c>
      <c r="Q1088">
        <f t="shared" ca="1" si="533"/>
        <v>635.25845155659806</v>
      </c>
      <c r="R1088">
        <f t="shared" ca="1" si="534"/>
        <v>3.8141460404132466E-3</v>
      </c>
      <c r="S1088">
        <f t="shared" ca="1" si="535"/>
        <v>1.0000000000000004</v>
      </c>
      <c r="T1088">
        <f t="shared" ca="1" si="536"/>
        <v>35.686426155594638</v>
      </c>
      <c r="U1088">
        <f t="shared" ca="1" si="557"/>
        <v>-3.4157470063291839E-3</v>
      </c>
      <c r="V1088">
        <f t="shared" ca="1" si="558"/>
        <v>1</v>
      </c>
      <c r="W1088">
        <f t="shared" ca="1" si="537"/>
        <v>1.6876922837967792</v>
      </c>
      <c r="X1088">
        <f t="shared" ca="1" si="538"/>
        <v>8.7759998757432527</v>
      </c>
      <c r="Y1088">
        <f t="shared" ca="1" si="539"/>
        <v>1.023394322035168</v>
      </c>
      <c r="Z1088">
        <f t="shared" ca="1" si="540"/>
        <v>5.8056062809236275</v>
      </c>
      <c r="AA1088">
        <f t="shared" ca="1" si="541"/>
        <v>633.73769228379672</v>
      </c>
      <c r="AB1088">
        <f t="shared" ca="1" si="542"/>
        <v>635.45558546876612</v>
      </c>
      <c r="AC1088">
        <f t="shared" ca="1" si="543"/>
        <v>7.3533799594526789E-3</v>
      </c>
      <c r="AD1088">
        <f t="shared" ca="1" si="544"/>
        <v>1.4268109834771143</v>
      </c>
      <c r="AE1088">
        <f t="shared" ca="1" si="545"/>
        <v>37.558054392110172</v>
      </c>
      <c r="AF1088">
        <f t="shared" ca="1" si="546"/>
        <v>7.0092264320464892E-3</v>
      </c>
      <c r="AG1088">
        <f t="shared" ca="1" si="547"/>
        <v>0</v>
      </c>
      <c r="AH1088">
        <f ca="1">IFERROR(IF(V32="Supercritical",MAX($D$16,IFERROR(L1088,MAX($D$16,POWER((ABS(K1088)^2)/($I$5*MAX(F1088,0.1)^2),1/3)))),IF(V32="Subcritical",MAX($D$16,IFERROR(W1088,MAX($D$16,POWER((ABS(K1088)^2)/($I$5*MAX(F1088,0.1)^2),1/3)))),IF(AND(IFERROR(V1088,0)=1,IFERROR(AG1088,0)=1),IF(IFERROR(T1088,-1E+99)&gt;=IFERROR(AE1088,-1E+99),MAX($D$16,IFERROR(L1088,MAX($D$16,POWER((ABS(K1088)^2)/($I$5*MAX(F1088,0.1)^2),1/3)))),MAX($D$16,IFERROR(W1088,MAX($D$16,POWER((ABS(K1088)^2)/($I$5*MAX(F1088,0.1)^2),1/3))))),IF(IFERROR(V1088,0)=1,MAX($D$16,IFERROR(L1088,MAX($D$16,POWER((ABS(K1088)^2)/($I$5*MAX(F1088,0.1)^2),1/3)))),IF(IFERROR(AG1088,0)=1,MAX($D$16,IFERROR(W1088,MAX($D$16,POWER((ABS(K1088)^2)/($I$5*MAX(F1088,0.1)^2),1/3)))),MAX($D$16,POWER((ABS(K1088)^2)/($I$5*MAX(F1088,0.1)^2),1/3))))))),MAX($D$16,POWER((ABS(K1088)^2)/($I$5*MAX(F1088,0.1)^2),1/3)))</f>
        <v>2.1389677043987478</v>
      </c>
      <c r="AI1088">
        <f t="shared" ca="1" si="548"/>
        <v>634.18896770439869</v>
      </c>
      <c r="AJ1088">
        <f t="shared" ca="1" si="549"/>
        <v>635.25845155659806</v>
      </c>
      <c r="AM1088">
        <v>0</v>
      </c>
      <c r="AN1088">
        <v>0</v>
      </c>
      <c r="AO1088">
        <f t="shared" si="550"/>
        <v>0</v>
      </c>
      <c r="AP1088">
        <f t="shared" si="559"/>
        <v>0</v>
      </c>
      <c r="AQ1088">
        <f t="shared" ca="1" si="551"/>
        <v>1.0000000000000004</v>
      </c>
      <c r="AR1088" t="str">
        <f t="shared" ca="1" si="552"/>
        <v>Supercritical</v>
      </c>
      <c r="AS1088">
        <f t="shared" ca="1" si="553"/>
        <v>3.8141460404132466E-3</v>
      </c>
    </row>
    <row r="1089" spans="1:45" x14ac:dyDescent="0.35">
      <c r="A1089">
        <v>1028</v>
      </c>
      <c r="B1089">
        <v>1026.9949999999999</v>
      </c>
      <c r="C1089">
        <v>616080.152</v>
      </c>
      <c r="D1089">
        <v>3096980.0809999998</v>
      </c>
      <c r="E1089">
        <v>632.04949999999997</v>
      </c>
      <c r="F1089">
        <v>5.2</v>
      </c>
      <c r="G1089">
        <v>0</v>
      </c>
      <c r="H1089" t="s">
        <v>154</v>
      </c>
      <c r="I1089">
        <v>5.7000000000000002E-2</v>
      </c>
      <c r="J1089">
        <f t="shared" si="554"/>
        <v>0.99899999999979627</v>
      </c>
      <c r="K1089">
        <f t="shared" ca="1" si="555"/>
        <v>50.95</v>
      </c>
      <c r="L1089">
        <f t="shared" ca="1" si="556"/>
        <v>2.1389677043987478</v>
      </c>
      <c r="M1089">
        <f t="shared" ca="1" si="529"/>
        <v>11.122632062873489</v>
      </c>
      <c r="N1089">
        <f t="shared" ca="1" si="530"/>
        <v>1.1735290000551568</v>
      </c>
      <c r="O1089">
        <f t="shared" ca="1" si="531"/>
        <v>4.5807502857230418</v>
      </c>
      <c r="P1089">
        <f t="shared" ca="1" si="532"/>
        <v>634.1884677043987</v>
      </c>
      <c r="Q1089">
        <f t="shared" ca="1" si="533"/>
        <v>635.25795155659807</v>
      </c>
      <c r="R1089">
        <f t="shared" ca="1" si="534"/>
        <v>3.8141460404132466E-3</v>
      </c>
      <c r="S1089">
        <f t="shared" ca="1" si="535"/>
        <v>1.0000000000000004</v>
      </c>
      <c r="T1089">
        <f t="shared" ca="1" si="536"/>
        <v>35.686426155594638</v>
      </c>
      <c r="U1089">
        <f t="shared" ca="1" si="557"/>
        <v>-3.411932860331035E-3</v>
      </c>
      <c r="V1089">
        <f t="shared" ca="1" si="558"/>
        <v>1</v>
      </c>
      <c r="W1089">
        <f t="shared" ca="1" si="537"/>
        <v>1.6872763861973434</v>
      </c>
      <c r="X1089">
        <f t="shared" ca="1" si="538"/>
        <v>8.7738372082261868</v>
      </c>
      <c r="Y1089">
        <f t="shared" ca="1" si="539"/>
        <v>1.0232413795939403</v>
      </c>
      <c r="Z1089">
        <f t="shared" ca="1" si="540"/>
        <v>5.8070373077164268</v>
      </c>
      <c r="AA1089">
        <f t="shared" ca="1" si="541"/>
        <v>633.73677638619733</v>
      </c>
      <c r="AB1089">
        <f t="shared" ca="1" si="542"/>
        <v>635.45551656424072</v>
      </c>
      <c r="AC1089">
        <f t="shared" ca="1" si="543"/>
        <v>7.3584717076168576E-3</v>
      </c>
      <c r="AD1089">
        <f t="shared" ca="1" si="544"/>
        <v>1.4273385590126424</v>
      </c>
      <c r="AE1089">
        <f t="shared" ca="1" si="545"/>
        <v>37.56183721966984</v>
      </c>
      <c r="AF1089">
        <f t="shared" ca="1" si="546"/>
        <v>6.858471707573699E-3</v>
      </c>
      <c r="AG1089">
        <f t="shared" ca="1" si="547"/>
        <v>0</v>
      </c>
      <c r="AH1089">
        <f ca="1">IFERROR(IF(V32="Supercritical",MAX($D$16,IFERROR(L1089,MAX($D$16,POWER((ABS(K1089)^2)/($I$5*MAX(F1089,0.1)^2),1/3)))),IF(V32="Subcritical",MAX($D$16,IFERROR(W1089,MAX($D$16,POWER((ABS(K1089)^2)/($I$5*MAX(F1089,0.1)^2),1/3)))),IF(AND(IFERROR(V1089,0)=1,IFERROR(AG1089,0)=1),IF(IFERROR(T1089,-1E+99)&gt;=IFERROR(AE1089,-1E+99),MAX($D$16,IFERROR(L1089,MAX($D$16,POWER((ABS(K1089)^2)/($I$5*MAX(F1089,0.1)^2),1/3)))),MAX($D$16,IFERROR(W1089,MAX($D$16,POWER((ABS(K1089)^2)/($I$5*MAX(F1089,0.1)^2),1/3))))),IF(IFERROR(V1089,0)=1,MAX($D$16,IFERROR(L1089,MAX($D$16,POWER((ABS(K1089)^2)/($I$5*MAX(F1089,0.1)^2),1/3)))),IF(IFERROR(AG1089,0)=1,MAX($D$16,IFERROR(W1089,MAX($D$16,POWER((ABS(K1089)^2)/($I$5*MAX(F1089,0.1)^2),1/3)))),MAX($D$16,POWER((ABS(K1089)^2)/($I$5*MAX(F1089,0.1)^2),1/3))))))),MAX($D$16,POWER((ABS(K1089)^2)/($I$5*MAX(F1089,0.1)^2),1/3)))</f>
        <v>2.1389677043987478</v>
      </c>
      <c r="AI1089">
        <f t="shared" ca="1" si="548"/>
        <v>634.1884677043987</v>
      </c>
      <c r="AJ1089">
        <f t="shared" ca="1" si="549"/>
        <v>635.25795155659807</v>
      </c>
      <c r="AM1089">
        <v>0</v>
      </c>
      <c r="AN1089">
        <v>0</v>
      </c>
      <c r="AO1089">
        <f t="shared" si="550"/>
        <v>0</v>
      </c>
      <c r="AP1089">
        <f t="shared" si="559"/>
        <v>0</v>
      </c>
      <c r="AQ1089">
        <f t="shared" ca="1" si="551"/>
        <v>1.0000000000000004</v>
      </c>
      <c r="AR1089" t="str">
        <f t="shared" ca="1" si="552"/>
        <v>Supercritical</v>
      </c>
      <c r="AS1089">
        <f t="shared" ca="1" si="553"/>
        <v>3.8141460404132466E-3</v>
      </c>
    </row>
    <row r="1090" spans="1:45" x14ac:dyDescent="0.35">
      <c r="A1090">
        <v>1029</v>
      </c>
      <c r="B1090">
        <v>1027.9949999999999</v>
      </c>
      <c r="C1090">
        <v>616080.11</v>
      </c>
      <c r="D1090">
        <v>3096979.0819999999</v>
      </c>
      <c r="E1090">
        <v>632.04899999999998</v>
      </c>
      <c r="F1090">
        <v>5.2</v>
      </c>
      <c r="G1090">
        <v>0</v>
      </c>
      <c r="H1090" t="s">
        <v>154</v>
      </c>
      <c r="I1090">
        <v>0</v>
      </c>
      <c r="J1090">
        <f t="shared" si="554"/>
        <v>1</v>
      </c>
      <c r="K1090">
        <f t="shared" ca="1" si="555"/>
        <v>50.95</v>
      </c>
      <c r="L1090">
        <f t="shared" ca="1" si="556"/>
        <v>2.1389677043987478</v>
      </c>
      <c r="M1090">
        <f t="shared" ca="1" si="529"/>
        <v>11.122632062873489</v>
      </c>
      <c r="N1090">
        <f t="shared" ca="1" si="530"/>
        <v>1.1735290000551568</v>
      </c>
      <c r="O1090">
        <f t="shared" ca="1" si="531"/>
        <v>4.5807502857230418</v>
      </c>
      <c r="P1090">
        <f t="shared" ca="1" si="532"/>
        <v>634.18796770439872</v>
      </c>
      <c r="Q1090">
        <f t="shared" ca="1" si="533"/>
        <v>635.25745155659808</v>
      </c>
      <c r="R1090">
        <f t="shared" ca="1" si="534"/>
        <v>3.8141460404132466E-3</v>
      </c>
      <c r="S1090">
        <f t="shared" ca="1" si="535"/>
        <v>1.0000000000000004</v>
      </c>
      <c r="T1090">
        <f t="shared" ca="1" si="536"/>
        <v>35.686426155594638</v>
      </c>
      <c r="U1090">
        <f t="shared" ca="1" si="557"/>
        <v>-3.3141460404522149E-3</v>
      </c>
      <c r="V1090">
        <f t="shared" ca="1" si="558"/>
        <v>1</v>
      </c>
      <c r="W1090">
        <f t="shared" ca="1" si="537"/>
        <v>1.6868866563496492</v>
      </c>
      <c r="X1090">
        <f t="shared" ca="1" si="538"/>
        <v>8.7718106130181752</v>
      </c>
      <c r="Y1090">
        <f t="shared" ca="1" si="539"/>
        <v>1.0230980331641786</v>
      </c>
      <c r="Z1090">
        <f t="shared" ca="1" si="540"/>
        <v>5.808378936543102</v>
      </c>
      <c r="AA1090">
        <f t="shared" ca="1" si="541"/>
        <v>633.73588665634963</v>
      </c>
      <c r="AB1090">
        <f t="shared" ca="1" si="542"/>
        <v>635.45542110438623</v>
      </c>
      <c r="AC1090">
        <f t="shared" ca="1" si="543"/>
        <v>7.3632475588995289E-3</v>
      </c>
      <c r="AD1090">
        <f t="shared" ca="1" si="544"/>
        <v>1.4278332353138439</v>
      </c>
      <c r="AE1090">
        <f t="shared" ca="1" si="545"/>
        <v>37.565386179038434</v>
      </c>
      <c r="AF1090">
        <f t="shared" ca="1" si="546"/>
        <v>7.0208715500257313E-3</v>
      </c>
      <c r="AG1090">
        <f t="shared" ca="1" si="547"/>
        <v>0</v>
      </c>
      <c r="AH1090">
        <f ca="1">IFERROR(IF(V32="Supercritical",MAX($D$16,IFERROR(L1090,MAX($D$16,POWER((ABS(K1090)^2)/($I$5*MAX(F1090,0.1)^2),1/3)))),IF(V32="Subcritical",MAX($D$16,IFERROR(W1090,MAX($D$16,POWER((ABS(K1090)^2)/($I$5*MAX(F1090,0.1)^2),1/3)))),IF(AND(IFERROR(V1090,0)=1,IFERROR(AG1090,0)=1),IF(IFERROR(T1090,-1E+99)&gt;=IFERROR(AE1090,-1E+99),MAX($D$16,IFERROR(L1090,MAX($D$16,POWER((ABS(K1090)^2)/($I$5*MAX(F1090,0.1)^2),1/3)))),MAX($D$16,IFERROR(W1090,MAX($D$16,POWER((ABS(K1090)^2)/($I$5*MAX(F1090,0.1)^2),1/3))))),IF(IFERROR(V1090,0)=1,MAX($D$16,IFERROR(L1090,MAX($D$16,POWER((ABS(K1090)^2)/($I$5*MAX(F1090,0.1)^2),1/3)))),IF(IFERROR(AG1090,0)=1,MAX($D$16,IFERROR(W1090,MAX($D$16,POWER((ABS(K1090)^2)/($I$5*MAX(F1090,0.1)^2),1/3)))),MAX($D$16,POWER((ABS(K1090)^2)/($I$5*MAX(F1090,0.1)^2),1/3))))))),MAX($D$16,POWER((ABS(K1090)^2)/($I$5*MAX(F1090,0.1)^2),1/3)))</f>
        <v>2.1389677043987478</v>
      </c>
      <c r="AI1090">
        <f t="shared" ca="1" si="548"/>
        <v>634.18796770439872</v>
      </c>
      <c r="AJ1090">
        <f t="shared" ca="1" si="549"/>
        <v>635.25745155659808</v>
      </c>
      <c r="AM1090">
        <v>0</v>
      </c>
      <c r="AN1090">
        <v>0</v>
      </c>
      <c r="AO1090">
        <f t="shared" si="550"/>
        <v>0</v>
      </c>
      <c r="AP1090">
        <f t="shared" si="559"/>
        <v>0</v>
      </c>
      <c r="AQ1090">
        <f t="shared" ca="1" si="551"/>
        <v>1.0000000000000004</v>
      </c>
      <c r="AR1090" t="str">
        <f t="shared" ca="1" si="552"/>
        <v>Supercritical</v>
      </c>
      <c r="AS1090">
        <f t="shared" ca="1" si="553"/>
        <v>3.8141460404132466E-3</v>
      </c>
    </row>
    <row r="1091" spans="1:45" x14ac:dyDescent="0.35">
      <c r="A1091">
        <v>1030</v>
      </c>
      <c r="B1091">
        <v>1028.9949999999999</v>
      </c>
      <c r="C1091">
        <v>616080.06799999997</v>
      </c>
      <c r="D1091">
        <v>3096978.0830000001</v>
      </c>
      <c r="E1091">
        <v>632.04849999999999</v>
      </c>
      <c r="F1091">
        <v>5.2</v>
      </c>
      <c r="G1091">
        <v>0</v>
      </c>
      <c r="H1091" t="s">
        <v>154</v>
      </c>
      <c r="I1091">
        <v>5.5E-2</v>
      </c>
      <c r="J1091">
        <f t="shared" si="554"/>
        <v>1</v>
      </c>
      <c r="K1091">
        <f t="shared" ca="1" si="555"/>
        <v>50.95</v>
      </c>
      <c r="L1091">
        <f t="shared" ca="1" si="556"/>
        <v>2.1389677043987478</v>
      </c>
      <c r="M1091">
        <f t="shared" ca="1" si="529"/>
        <v>11.122632062873489</v>
      </c>
      <c r="N1091">
        <f t="shared" ca="1" si="530"/>
        <v>1.1735290000551568</v>
      </c>
      <c r="O1091">
        <f t="shared" ca="1" si="531"/>
        <v>4.5807502857230418</v>
      </c>
      <c r="P1091">
        <f t="shared" ca="1" si="532"/>
        <v>634.18746770439873</v>
      </c>
      <c r="Q1091">
        <f t="shared" ca="1" si="533"/>
        <v>635.2569515565981</v>
      </c>
      <c r="R1091">
        <f t="shared" ca="1" si="534"/>
        <v>3.8141460404132466E-3</v>
      </c>
      <c r="S1091">
        <f t="shared" ca="1" si="535"/>
        <v>1.0000000000000004</v>
      </c>
      <c r="T1091">
        <f t="shared" ca="1" si="536"/>
        <v>35.686426155594638</v>
      </c>
      <c r="U1091">
        <f t="shared" ca="1" si="557"/>
        <v>-3.4121820602877051E-3</v>
      </c>
      <c r="V1091">
        <f t="shared" ca="1" si="558"/>
        <v>1</v>
      </c>
      <c r="W1091">
        <f t="shared" ca="1" si="537"/>
        <v>1.6865215071852315</v>
      </c>
      <c r="X1091">
        <f t="shared" ca="1" si="538"/>
        <v>8.769911837363205</v>
      </c>
      <c r="Y1091">
        <f t="shared" ca="1" si="539"/>
        <v>1.0229637040969868</v>
      </c>
      <c r="Z1091">
        <f t="shared" ca="1" si="540"/>
        <v>5.8096365100197884</v>
      </c>
      <c r="AA1091">
        <f t="shared" ca="1" si="541"/>
        <v>633.73502150718525</v>
      </c>
      <c r="AB1091">
        <f t="shared" ca="1" si="542"/>
        <v>635.45530062943578</v>
      </c>
      <c r="AC1091">
        <f t="shared" ca="1" si="543"/>
        <v>7.3677261204096378E-3</v>
      </c>
      <c r="AD1091">
        <f t="shared" ca="1" si="544"/>
        <v>1.4282969711720839</v>
      </c>
      <c r="AE1091">
        <f t="shared" ca="1" si="545"/>
        <v>37.568714940502673</v>
      </c>
      <c r="AF1091">
        <f t="shared" ca="1" si="546"/>
        <v>7.0327860994439106E-3</v>
      </c>
      <c r="AG1091">
        <f t="shared" ca="1" si="547"/>
        <v>0</v>
      </c>
      <c r="AH1091">
        <f ca="1">IFERROR(IF(V32="Supercritical",MAX($D$16,IFERROR(L1091,MAX($D$16,POWER((ABS(K1091)^2)/($I$5*MAX(F1091,0.1)^2),1/3)))),IF(V32="Subcritical",MAX($D$16,IFERROR(W1091,MAX($D$16,POWER((ABS(K1091)^2)/($I$5*MAX(F1091,0.1)^2),1/3)))),IF(AND(IFERROR(V1091,0)=1,IFERROR(AG1091,0)=1),IF(IFERROR(T1091,-1E+99)&gt;=IFERROR(AE1091,-1E+99),MAX($D$16,IFERROR(L1091,MAX($D$16,POWER((ABS(K1091)^2)/($I$5*MAX(F1091,0.1)^2),1/3)))),MAX($D$16,IFERROR(W1091,MAX($D$16,POWER((ABS(K1091)^2)/($I$5*MAX(F1091,0.1)^2),1/3))))),IF(IFERROR(V1091,0)=1,MAX($D$16,IFERROR(L1091,MAX($D$16,POWER((ABS(K1091)^2)/($I$5*MAX(F1091,0.1)^2),1/3)))),IF(IFERROR(AG1091,0)=1,MAX($D$16,IFERROR(W1091,MAX($D$16,POWER((ABS(K1091)^2)/($I$5*MAX(F1091,0.1)^2),1/3)))),MAX($D$16,POWER((ABS(K1091)^2)/($I$5*MAX(F1091,0.1)^2),1/3))))))),MAX($D$16,POWER((ABS(K1091)^2)/($I$5*MAX(F1091,0.1)^2),1/3)))</f>
        <v>2.1389677043987478</v>
      </c>
      <c r="AI1091">
        <f t="shared" ca="1" si="548"/>
        <v>634.18746770439873</v>
      </c>
      <c r="AJ1091">
        <f t="shared" ca="1" si="549"/>
        <v>635.2569515565981</v>
      </c>
      <c r="AM1091">
        <v>0</v>
      </c>
      <c r="AN1091">
        <v>0</v>
      </c>
      <c r="AO1091">
        <f t="shared" si="550"/>
        <v>0</v>
      </c>
      <c r="AP1091">
        <f t="shared" si="559"/>
        <v>0</v>
      </c>
      <c r="AQ1091">
        <f t="shared" ca="1" si="551"/>
        <v>1.0000000000000004</v>
      </c>
      <c r="AR1091" t="str">
        <f t="shared" ca="1" si="552"/>
        <v>Supercritical</v>
      </c>
      <c r="AS1091">
        <f t="shared" ca="1" si="553"/>
        <v>3.8141460404132466E-3</v>
      </c>
    </row>
    <row r="1092" spans="1:45" x14ac:dyDescent="0.35">
      <c r="A1092">
        <v>1031</v>
      </c>
      <c r="B1092">
        <v>1029.9960000000001</v>
      </c>
      <c r="C1092">
        <v>616080.02500000002</v>
      </c>
      <c r="D1092">
        <v>3096977.0830000001</v>
      </c>
      <c r="E1092">
        <v>632.048</v>
      </c>
      <c r="F1092">
        <v>5.2</v>
      </c>
      <c r="G1092">
        <v>0</v>
      </c>
      <c r="H1092" t="s">
        <v>154</v>
      </c>
      <c r="I1092">
        <v>5.5E-2</v>
      </c>
      <c r="J1092">
        <f t="shared" si="554"/>
        <v>1.0010000000002037</v>
      </c>
      <c r="K1092">
        <f t="shared" ca="1" si="555"/>
        <v>50.95</v>
      </c>
      <c r="L1092">
        <f t="shared" ca="1" si="556"/>
        <v>2.1389677043987478</v>
      </c>
      <c r="M1092">
        <f t="shared" ca="1" si="529"/>
        <v>11.122632062873489</v>
      </c>
      <c r="N1092">
        <f t="shared" ca="1" si="530"/>
        <v>1.1735290000551568</v>
      </c>
      <c r="O1092">
        <f t="shared" ca="1" si="531"/>
        <v>4.5807502857230418</v>
      </c>
      <c r="P1092">
        <f t="shared" ca="1" si="532"/>
        <v>634.18696770439874</v>
      </c>
      <c r="Q1092">
        <f t="shared" ca="1" si="533"/>
        <v>635.25645155659811</v>
      </c>
      <c r="R1092">
        <f t="shared" ca="1" si="534"/>
        <v>3.8141460404132466E-3</v>
      </c>
      <c r="S1092">
        <f t="shared" ca="1" si="535"/>
        <v>1.0000000000000004</v>
      </c>
      <c r="T1092">
        <f t="shared" ca="1" si="536"/>
        <v>35.686426155594638</v>
      </c>
      <c r="U1092">
        <f t="shared" ca="1" si="557"/>
        <v>-3.415996206285854E-3</v>
      </c>
      <c r="V1092">
        <f t="shared" ca="1" si="558"/>
        <v>1</v>
      </c>
      <c r="W1092">
        <f t="shared" ca="1" si="537"/>
        <v>1.6861794405465029</v>
      </c>
      <c r="X1092">
        <f t="shared" ca="1" si="538"/>
        <v>8.7681330908418147</v>
      </c>
      <c r="Y1092">
        <f t="shared" ca="1" si="539"/>
        <v>1.022837845739357</v>
      </c>
      <c r="Z1092">
        <f t="shared" ca="1" si="540"/>
        <v>5.8108150814015955</v>
      </c>
      <c r="AA1092">
        <f t="shared" ca="1" si="541"/>
        <v>633.73417944054654</v>
      </c>
      <c r="AB1092">
        <f t="shared" ca="1" si="542"/>
        <v>635.4551566021288</v>
      </c>
      <c r="AC1092">
        <f t="shared" ca="1" si="543"/>
        <v>7.3719250256874943E-3</v>
      </c>
      <c r="AD1092">
        <f t="shared" ca="1" si="544"/>
        <v>1.4287316202165585</v>
      </c>
      <c r="AE1092">
        <f t="shared" ca="1" si="545"/>
        <v>37.571836472981595</v>
      </c>
      <c r="AF1092">
        <f t="shared" ca="1" si="546"/>
        <v>6.8719250257345266E-3</v>
      </c>
      <c r="AG1092">
        <f t="shared" ca="1" si="547"/>
        <v>0</v>
      </c>
      <c r="AH1092">
        <f ca="1">IFERROR(IF(V32="Supercritical",MAX($D$16,IFERROR(L1092,MAX($D$16,POWER((ABS(K1092)^2)/($I$5*MAX(F1092,0.1)^2),1/3)))),IF(V32="Subcritical",MAX($D$16,IFERROR(W1092,MAX($D$16,POWER((ABS(K1092)^2)/($I$5*MAX(F1092,0.1)^2),1/3)))),IF(AND(IFERROR(V1092,0)=1,IFERROR(AG1092,0)=1),IF(IFERROR(T1092,-1E+99)&gt;=IFERROR(AE1092,-1E+99),MAX($D$16,IFERROR(L1092,MAX($D$16,POWER((ABS(K1092)^2)/($I$5*MAX(F1092,0.1)^2),1/3)))),MAX($D$16,IFERROR(W1092,MAX($D$16,POWER((ABS(K1092)^2)/($I$5*MAX(F1092,0.1)^2),1/3))))),IF(IFERROR(V1092,0)=1,MAX($D$16,IFERROR(L1092,MAX($D$16,POWER((ABS(K1092)^2)/($I$5*MAX(F1092,0.1)^2),1/3)))),IF(IFERROR(AG1092,0)=1,MAX($D$16,IFERROR(W1092,MAX($D$16,POWER((ABS(K1092)^2)/($I$5*MAX(F1092,0.1)^2),1/3)))),MAX($D$16,POWER((ABS(K1092)^2)/($I$5*MAX(F1092,0.1)^2),1/3))))))),MAX($D$16,POWER((ABS(K1092)^2)/($I$5*MAX(F1092,0.1)^2),1/3)))</f>
        <v>2.1389677043987478</v>
      </c>
      <c r="AI1092">
        <f t="shared" ca="1" si="548"/>
        <v>634.18696770439874</v>
      </c>
      <c r="AJ1092">
        <f t="shared" ca="1" si="549"/>
        <v>635.25645155659811</v>
      </c>
      <c r="AM1092">
        <v>0</v>
      </c>
      <c r="AN1092">
        <v>0</v>
      </c>
      <c r="AO1092">
        <f t="shared" si="550"/>
        <v>0</v>
      </c>
      <c r="AP1092">
        <f t="shared" si="559"/>
        <v>0</v>
      </c>
      <c r="AQ1092">
        <f t="shared" ca="1" si="551"/>
        <v>1.0000000000000004</v>
      </c>
      <c r="AR1092" t="str">
        <f t="shared" ca="1" si="552"/>
        <v>Supercritical</v>
      </c>
      <c r="AS1092">
        <f t="shared" ca="1" si="553"/>
        <v>3.8141460404132466E-3</v>
      </c>
    </row>
    <row r="1093" spans="1:45" x14ac:dyDescent="0.35">
      <c r="A1093">
        <v>1032</v>
      </c>
      <c r="B1093">
        <v>1030.9960000000001</v>
      </c>
      <c r="C1093">
        <v>616079.98300000001</v>
      </c>
      <c r="D1093">
        <v>3096976.0839999998</v>
      </c>
      <c r="E1093">
        <v>632.04750000000001</v>
      </c>
      <c r="F1093">
        <v>5.2</v>
      </c>
      <c r="G1093">
        <v>0</v>
      </c>
      <c r="H1093" t="s">
        <v>154</v>
      </c>
      <c r="I1093">
        <v>0</v>
      </c>
      <c r="J1093">
        <f t="shared" si="554"/>
        <v>1</v>
      </c>
      <c r="K1093">
        <f t="shared" ca="1" si="555"/>
        <v>50.95</v>
      </c>
      <c r="L1093">
        <f t="shared" ca="1" si="556"/>
        <v>2.1389677043987478</v>
      </c>
      <c r="M1093">
        <f t="shared" ca="1" si="529"/>
        <v>11.122632062873489</v>
      </c>
      <c r="N1093">
        <f t="shared" ca="1" si="530"/>
        <v>1.1735290000551568</v>
      </c>
      <c r="O1093">
        <f t="shared" ca="1" si="531"/>
        <v>4.5807502857230418</v>
      </c>
      <c r="P1093">
        <f t="shared" ca="1" si="532"/>
        <v>634.18646770439875</v>
      </c>
      <c r="Q1093">
        <f t="shared" ca="1" si="533"/>
        <v>635.25595155659812</v>
      </c>
      <c r="R1093">
        <f t="shared" ca="1" si="534"/>
        <v>3.8141460404132466E-3</v>
      </c>
      <c r="S1093">
        <f t="shared" ca="1" si="535"/>
        <v>1.0000000000000004</v>
      </c>
      <c r="T1093">
        <f t="shared" ca="1" si="536"/>
        <v>35.686426155594638</v>
      </c>
      <c r="U1093">
        <f t="shared" ca="1" si="557"/>
        <v>-3.3141460404522149E-3</v>
      </c>
      <c r="V1093">
        <f t="shared" ca="1" si="558"/>
        <v>1</v>
      </c>
      <c r="W1093">
        <f t="shared" ca="1" si="537"/>
        <v>1.6858590431239218</v>
      </c>
      <c r="X1093">
        <f t="shared" ca="1" si="538"/>
        <v>8.7664670242443936</v>
      </c>
      <c r="Y1093">
        <f t="shared" ca="1" si="539"/>
        <v>1.0227199420276081</v>
      </c>
      <c r="Z1093">
        <f t="shared" ca="1" si="540"/>
        <v>5.8119194265025511</v>
      </c>
      <c r="AA1093">
        <f t="shared" ca="1" si="541"/>
        <v>633.73335904312398</v>
      </c>
      <c r="AB1093">
        <f t="shared" ca="1" si="542"/>
        <v>635.45499041010453</v>
      </c>
      <c r="AC1093">
        <f t="shared" ca="1" si="543"/>
        <v>7.375860970233788E-3</v>
      </c>
      <c r="AD1093">
        <f t="shared" ca="1" si="544"/>
        <v>1.4291389351216182</v>
      </c>
      <c r="AE1093">
        <f t="shared" ca="1" si="545"/>
        <v>37.574763067614029</v>
      </c>
      <c r="AF1093">
        <f t="shared" ca="1" si="546"/>
        <v>6.8758609702399553E-3</v>
      </c>
      <c r="AG1093">
        <f t="shared" ca="1" si="547"/>
        <v>0</v>
      </c>
      <c r="AH1093">
        <f ca="1">IFERROR(IF(V32="Supercritical",MAX($D$16,IFERROR(L1093,MAX($D$16,POWER((ABS(K1093)^2)/($I$5*MAX(F1093,0.1)^2),1/3)))),IF(V32="Subcritical",MAX($D$16,IFERROR(W1093,MAX($D$16,POWER((ABS(K1093)^2)/($I$5*MAX(F1093,0.1)^2),1/3)))),IF(AND(IFERROR(V1093,0)=1,IFERROR(AG1093,0)=1),IF(IFERROR(T1093,-1E+99)&gt;=IFERROR(AE1093,-1E+99),MAX($D$16,IFERROR(L1093,MAX($D$16,POWER((ABS(K1093)^2)/($I$5*MAX(F1093,0.1)^2),1/3)))),MAX($D$16,IFERROR(W1093,MAX($D$16,POWER((ABS(K1093)^2)/($I$5*MAX(F1093,0.1)^2),1/3))))),IF(IFERROR(V1093,0)=1,MAX($D$16,IFERROR(L1093,MAX($D$16,POWER((ABS(K1093)^2)/($I$5*MAX(F1093,0.1)^2),1/3)))),IF(IFERROR(AG1093,0)=1,MAX($D$16,IFERROR(W1093,MAX($D$16,POWER((ABS(K1093)^2)/($I$5*MAX(F1093,0.1)^2),1/3)))),MAX($D$16,POWER((ABS(K1093)^2)/($I$5*MAX(F1093,0.1)^2),1/3))))))),MAX($D$16,POWER((ABS(K1093)^2)/($I$5*MAX(F1093,0.1)^2),1/3)))</f>
        <v>2.1389677043987478</v>
      </c>
      <c r="AI1093">
        <f t="shared" ca="1" si="548"/>
        <v>634.18646770439875</v>
      </c>
      <c r="AJ1093">
        <f t="shared" ca="1" si="549"/>
        <v>635.25595155659812</v>
      </c>
      <c r="AM1093">
        <v>0</v>
      </c>
      <c r="AN1093">
        <v>0</v>
      </c>
      <c r="AO1093">
        <f t="shared" si="550"/>
        <v>0</v>
      </c>
      <c r="AP1093">
        <f t="shared" si="559"/>
        <v>0</v>
      </c>
      <c r="AQ1093">
        <f t="shared" ca="1" si="551"/>
        <v>1.0000000000000004</v>
      </c>
      <c r="AR1093" t="str">
        <f t="shared" ca="1" si="552"/>
        <v>Supercritical</v>
      </c>
      <c r="AS1093">
        <f t="shared" ca="1" si="553"/>
        <v>3.8141460404132466E-3</v>
      </c>
    </row>
    <row r="1094" spans="1:45" x14ac:dyDescent="0.35">
      <c r="A1094">
        <v>1033</v>
      </c>
      <c r="B1094">
        <v>1031.9960000000001</v>
      </c>
      <c r="C1094">
        <v>616079.94099999999</v>
      </c>
      <c r="D1094">
        <v>3096975.085</v>
      </c>
      <c r="E1094">
        <v>632.04700000000003</v>
      </c>
      <c r="F1094">
        <v>5.2</v>
      </c>
      <c r="G1094">
        <v>0</v>
      </c>
      <c r="H1094" t="s">
        <v>154</v>
      </c>
      <c r="I1094">
        <v>0</v>
      </c>
      <c r="J1094">
        <f t="shared" si="554"/>
        <v>1</v>
      </c>
      <c r="K1094">
        <f t="shared" ca="1" si="555"/>
        <v>50.95</v>
      </c>
      <c r="L1094">
        <f t="shared" ca="1" si="556"/>
        <v>2.1389677043987478</v>
      </c>
      <c r="M1094">
        <f t="shared" ca="1" si="529"/>
        <v>11.122632062873489</v>
      </c>
      <c r="N1094">
        <f t="shared" ca="1" si="530"/>
        <v>1.1735290000551568</v>
      </c>
      <c r="O1094">
        <f t="shared" ca="1" si="531"/>
        <v>4.5807502857230418</v>
      </c>
      <c r="P1094">
        <f t="shared" ca="1" si="532"/>
        <v>634.18596770439876</v>
      </c>
      <c r="Q1094">
        <f t="shared" ca="1" si="533"/>
        <v>635.25545155659813</v>
      </c>
      <c r="R1094">
        <f t="shared" ca="1" si="534"/>
        <v>3.8141460404132466E-3</v>
      </c>
      <c r="S1094">
        <f t="shared" ca="1" si="535"/>
        <v>1.0000000000000004</v>
      </c>
      <c r="T1094">
        <f t="shared" ca="1" si="536"/>
        <v>35.686426155594638</v>
      </c>
      <c r="U1094">
        <f t="shared" ca="1" si="557"/>
        <v>-3.3141460404522149E-3</v>
      </c>
      <c r="V1094">
        <f t="shared" ca="1" si="558"/>
        <v>1</v>
      </c>
      <c r="W1094">
        <f t="shared" ca="1" si="537"/>
        <v>1.6855589824589325</v>
      </c>
      <c r="X1094">
        <f t="shared" ca="1" si="538"/>
        <v>8.7649067087864498</v>
      </c>
      <c r="Y1094">
        <f t="shared" ca="1" si="539"/>
        <v>1.0226095060949778</v>
      </c>
      <c r="Z1094">
        <f t="shared" ca="1" si="540"/>
        <v>5.812954055623293</v>
      </c>
      <c r="AA1094">
        <f t="shared" ca="1" si="541"/>
        <v>633.73255898245895</v>
      </c>
      <c r="AB1094">
        <f t="shared" ca="1" si="542"/>
        <v>635.45480336843184</v>
      </c>
      <c r="AC1094">
        <f t="shared" ca="1" si="543"/>
        <v>7.3795497478329778E-3</v>
      </c>
      <c r="AD1094">
        <f t="shared" ca="1" si="544"/>
        <v>1.4295205718379627</v>
      </c>
      <c r="AE1094">
        <f t="shared" ca="1" si="545"/>
        <v>37.577506362271222</v>
      </c>
      <c r="AF1094">
        <f t="shared" ca="1" si="546"/>
        <v>7.0431629644645E-3</v>
      </c>
      <c r="AG1094">
        <f t="shared" ca="1" si="547"/>
        <v>0</v>
      </c>
      <c r="AH1094">
        <f ca="1">IFERROR(IF(V32="Supercritical",MAX($D$16,IFERROR(L1094,MAX($D$16,POWER((ABS(K1094)^2)/($I$5*MAX(F1094,0.1)^2),1/3)))),IF(V32="Subcritical",MAX($D$16,IFERROR(W1094,MAX($D$16,POWER((ABS(K1094)^2)/($I$5*MAX(F1094,0.1)^2),1/3)))),IF(AND(IFERROR(V1094,0)=1,IFERROR(AG1094,0)=1),IF(IFERROR(T1094,-1E+99)&gt;=IFERROR(AE1094,-1E+99),MAX($D$16,IFERROR(L1094,MAX($D$16,POWER((ABS(K1094)^2)/($I$5*MAX(F1094,0.1)^2),1/3)))),MAX($D$16,IFERROR(W1094,MAX($D$16,POWER((ABS(K1094)^2)/($I$5*MAX(F1094,0.1)^2),1/3))))),IF(IFERROR(V1094,0)=1,MAX($D$16,IFERROR(L1094,MAX($D$16,POWER((ABS(K1094)^2)/($I$5*MAX(F1094,0.1)^2),1/3)))),IF(IFERROR(AG1094,0)=1,MAX($D$16,IFERROR(W1094,MAX($D$16,POWER((ABS(K1094)^2)/($I$5*MAX(F1094,0.1)^2),1/3)))),MAX($D$16,POWER((ABS(K1094)^2)/($I$5*MAX(F1094,0.1)^2),1/3))))))),MAX($D$16,POWER((ABS(K1094)^2)/($I$5*MAX(F1094,0.1)^2),1/3)))</f>
        <v>2.1389677043987478</v>
      </c>
      <c r="AI1094">
        <f t="shared" ca="1" si="548"/>
        <v>634.18596770439876</v>
      </c>
      <c r="AJ1094">
        <f t="shared" ca="1" si="549"/>
        <v>635.25545155659813</v>
      </c>
      <c r="AM1094">
        <v>0</v>
      </c>
      <c r="AN1094">
        <v>0</v>
      </c>
      <c r="AO1094">
        <f t="shared" si="550"/>
        <v>0</v>
      </c>
      <c r="AP1094">
        <f t="shared" si="559"/>
        <v>0</v>
      </c>
      <c r="AQ1094">
        <f t="shared" ca="1" si="551"/>
        <v>1.0000000000000004</v>
      </c>
      <c r="AR1094" t="str">
        <f t="shared" ca="1" si="552"/>
        <v>Supercritical</v>
      </c>
      <c r="AS1094">
        <f t="shared" ca="1" si="553"/>
        <v>3.8141460404132466E-3</v>
      </c>
    </row>
    <row r="1095" spans="1:45" x14ac:dyDescent="0.35">
      <c r="A1095">
        <v>1034</v>
      </c>
      <c r="B1095">
        <v>1032.9960000000001</v>
      </c>
      <c r="C1095">
        <v>616079.89899999998</v>
      </c>
      <c r="D1095">
        <v>3096974.0860000001</v>
      </c>
      <c r="E1095">
        <v>632.04650000000004</v>
      </c>
      <c r="F1095">
        <v>5.2</v>
      </c>
      <c r="G1095">
        <v>0</v>
      </c>
      <c r="H1095" t="s">
        <v>154</v>
      </c>
      <c r="I1095">
        <v>5.7000000000000002E-2</v>
      </c>
      <c r="J1095">
        <f t="shared" si="554"/>
        <v>1</v>
      </c>
      <c r="K1095">
        <f t="shared" ca="1" si="555"/>
        <v>50.95</v>
      </c>
      <c r="L1095">
        <f t="shared" ca="1" si="556"/>
        <v>2.1389677043987478</v>
      </c>
      <c r="M1095">
        <f t="shared" ca="1" si="529"/>
        <v>11.122632062873489</v>
      </c>
      <c r="N1095">
        <f t="shared" ca="1" si="530"/>
        <v>1.1735290000551568</v>
      </c>
      <c r="O1095">
        <f t="shared" ca="1" si="531"/>
        <v>4.5807502857230418</v>
      </c>
      <c r="P1095">
        <f t="shared" ca="1" si="532"/>
        <v>634.18546770439877</v>
      </c>
      <c r="Q1095">
        <f t="shared" ca="1" si="533"/>
        <v>635.25495155659814</v>
      </c>
      <c r="R1095">
        <f t="shared" ca="1" si="534"/>
        <v>3.8141460404132466E-3</v>
      </c>
      <c r="S1095">
        <f t="shared" ca="1" si="535"/>
        <v>1.0000000000000004</v>
      </c>
      <c r="T1095">
        <f t="shared" ca="1" si="536"/>
        <v>35.686426155594638</v>
      </c>
      <c r="U1095">
        <f t="shared" ca="1" si="557"/>
        <v>-3.4157470064428708E-3</v>
      </c>
      <c r="V1095">
        <f t="shared" ca="1" si="558"/>
        <v>1</v>
      </c>
      <c r="W1095">
        <f t="shared" ca="1" si="537"/>
        <v>1.6852780030300589</v>
      </c>
      <c r="X1095">
        <f t="shared" ca="1" si="538"/>
        <v>8.7634456157563072</v>
      </c>
      <c r="Y1095">
        <f t="shared" ca="1" si="539"/>
        <v>1.0225060789008087</v>
      </c>
      <c r="Z1095">
        <f t="shared" ca="1" si="540"/>
        <v>5.8139232254028075</v>
      </c>
      <c r="AA1095">
        <f t="shared" ca="1" si="541"/>
        <v>633.73177800303006</v>
      </c>
      <c r="AB1095">
        <f t="shared" ca="1" si="542"/>
        <v>635.45459672223899</v>
      </c>
      <c r="AC1095">
        <f t="shared" ca="1" si="543"/>
        <v>7.3830062872981186E-3</v>
      </c>
      <c r="AD1095">
        <f t="shared" ca="1" si="544"/>
        <v>1.4298780938147577</v>
      </c>
      <c r="AE1095">
        <f t="shared" ca="1" si="545"/>
        <v>37.58007736668003</v>
      </c>
      <c r="AF1095">
        <f t="shared" ca="1" si="546"/>
        <v>7.0466740656911497E-3</v>
      </c>
      <c r="AG1095">
        <f t="shared" ca="1" si="547"/>
        <v>0</v>
      </c>
      <c r="AH1095">
        <f ca="1">IFERROR(IF(V32="Supercritical",MAX($D$16,IFERROR(L1095,MAX($D$16,POWER((ABS(K1095)^2)/($I$5*MAX(F1095,0.1)^2),1/3)))),IF(V32="Subcritical",MAX($D$16,IFERROR(W1095,MAX($D$16,POWER((ABS(K1095)^2)/($I$5*MAX(F1095,0.1)^2),1/3)))),IF(AND(IFERROR(V1095,0)=1,IFERROR(AG1095,0)=1),IF(IFERROR(T1095,-1E+99)&gt;=IFERROR(AE1095,-1E+99),MAX($D$16,IFERROR(L1095,MAX($D$16,POWER((ABS(K1095)^2)/($I$5*MAX(F1095,0.1)^2),1/3)))),MAX($D$16,IFERROR(W1095,MAX($D$16,POWER((ABS(K1095)^2)/($I$5*MAX(F1095,0.1)^2),1/3))))),IF(IFERROR(V1095,0)=1,MAX($D$16,IFERROR(L1095,MAX($D$16,POWER((ABS(K1095)^2)/($I$5*MAX(F1095,0.1)^2),1/3)))),IF(IFERROR(AG1095,0)=1,MAX($D$16,IFERROR(W1095,MAX($D$16,POWER((ABS(K1095)^2)/($I$5*MAX(F1095,0.1)^2),1/3)))),MAX($D$16,POWER((ABS(K1095)^2)/($I$5*MAX(F1095,0.1)^2),1/3))))))),MAX($D$16,POWER((ABS(K1095)^2)/($I$5*MAX(F1095,0.1)^2),1/3)))</f>
        <v>2.1389677043987478</v>
      </c>
      <c r="AI1095">
        <f t="shared" ca="1" si="548"/>
        <v>634.18546770439877</v>
      </c>
      <c r="AJ1095">
        <f t="shared" ca="1" si="549"/>
        <v>635.25495155659814</v>
      </c>
      <c r="AM1095">
        <v>0</v>
      </c>
      <c r="AN1095">
        <v>0</v>
      </c>
      <c r="AO1095">
        <f t="shared" si="550"/>
        <v>0</v>
      </c>
      <c r="AP1095">
        <f t="shared" si="559"/>
        <v>0</v>
      </c>
      <c r="AQ1095">
        <f t="shared" ca="1" si="551"/>
        <v>1.0000000000000004</v>
      </c>
      <c r="AR1095" t="str">
        <f t="shared" ca="1" si="552"/>
        <v>Supercritical</v>
      </c>
      <c r="AS1095">
        <f t="shared" ca="1" si="553"/>
        <v>3.8141460404132466E-3</v>
      </c>
    </row>
    <row r="1096" spans="1:45" x14ac:dyDescent="0.35">
      <c r="A1096">
        <v>1035</v>
      </c>
      <c r="B1096">
        <v>1033.9960000000001</v>
      </c>
      <c r="C1096">
        <v>616079.85600000003</v>
      </c>
      <c r="D1096">
        <v>3096973.0869999998</v>
      </c>
      <c r="E1096">
        <v>632.04600000000005</v>
      </c>
      <c r="F1096">
        <v>5.2</v>
      </c>
      <c r="G1096">
        <v>0</v>
      </c>
      <c r="H1096" t="s">
        <v>154</v>
      </c>
      <c r="I1096">
        <v>5.7000000000000002E-2</v>
      </c>
      <c r="J1096">
        <f t="shared" si="554"/>
        <v>1</v>
      </c>
      <c r="K1096">
        <f t="shared" ca="1" si="555"/>
        <v>50.95</v>
      </c>
      <c r="L1096">
        <f t="shared" ca="1" si="556"/>
        <v>2.1389677043987478</v>
      </c>
      <c r="M1096">
        <f t="shared" ca="1" si="529"/>
        <v>11.122632062873489</v>
      </c>
      <c r="N1096">
        <f t="shared" ca="1" si="530"/>
        <v>1.1735290000551568</v>
      </c>
      <c r="O1096">
        <f t="shared" ca="1" si="531"/>
        <v>4.5807502857230418</v>
      </c>
      <c r="P1096">
        <f t="shared" ca="1" si="532"/>
        <v>634.18496770439879</v>
      </c>
      <c r="Q1096">
        <f t="shared" ca="1" si="533"/>
        <v>635.25445155659816</v>
      </c>
      <c r="R1096">
        <f t="shared" ca="1" si="534"/>
        <v>3.8141460404132466E-3</v>
      </c>
      <c r="S1096">
        <f t="shared" ca="1" si="535"/>
        <v>1.0000000000000004</v>
      </c>
      <c r="T1096">
        <f t="shared" ca="1" si="536"/>
        <v>35.686426155594638</v>
      </c>
      <c r="U1096">
        <f t="shared" ca="1" si="557"/>
        <v>-3.4157470064428708E-3</v>
      </c>
      <c r="V1096">
        <f t="shared" ca="1" si="558"/>
        <v>1</v>
      </c>
      <c r="W1096">
        <f t="shared" ca="1" si="537"/>
        <v>1.6850149224361797</v>
      </c>
      <c r="X1096">
        <f t="shared" ca="1" si="538"/>
        <v>8.762077596668135</v>
      </c>
      <c r="Y1096">
        <f t="shared" ca="1" si="539"/>
        <v>1.0224092278874248</v>
      </c>
      <c r="Z1096">
        <f t="shared" ca="1" si="540"/>
        <v>5.8148309505241356</v>
      </c>
      <c r="AA1096">
        <f t="shared" ca="1" si="541"/>
        <v>633.7310149224362</v>
      </c>
      <c r="AB1096">
        <f t="shared" ca="1" si="542"/>
        <v>635.45437164940734</v>
      </c>
      <c r="AC1096">
        <f t="shared" ca="1" si="543"/>
        <v>7.3862446893182849E-3</v>
      </c>
      <c r="AD1096">
        <f t="shared" ca="1" si="544"/>
        <v>1.4302129761849143</v>
      </c>
      <c r="AE1096">
        <f t="shared" ca="1" si="545"/>
        <v>37.582486487886761</v>
      </c>
      <c r="AF1096">
        <f t="shared" ca="1" si="546"/>
        <v>6.8862446892126172E-3</v>
      </c>
      <c r="AG1096">
        <f t="shared" ca="1" si="547"/>
        <v>0</v>
      </c>
      <c r="AH1096">
        <f ca="1">IFERROR(IF(V32="Supercritical",MAX($D$16,IFERROR(L1096,MAX($D$16,POWER((ABS(K1096)^2)/($I$5*MAX(F1096,0.1)^2),1/3)))),IF(V32="Subcritical",MAX($D$16,IFERROR(W1096,MAX($D$16,POWER((ABS(K1096)^2)/($I$5*MAX(F1096,0.1)^2),1/3)))),IF(AND(IFERROR(V1096,0)=1,IFERROR(AG1096,0)=1),IF(IFERROR(T1096,-1E+99)&gt;=IFERROR(AE1096,-1E+99),MAX($D$16,IFERROR(L1096,MAX($D$16,POWER((ABS(K1096)^2)/($I$5*MAX(F1096,0.1)^2),1/3)))),MAX($D$16,IFERROR(W1096,MAX($D$16,POWER((ABS(K1096)^2)/($I$5*MAX(F1096,0.1)^2),1/3))))),IF(IFERROR(V1096,0)=1,MAX($D$16,IFERROR(L1096,MAX($D$16,POWER((ABS(K1096)^2)/($I$5*MAX(F1096,0.1)^2),1/3)))),IF(IFERROR(AG1096,0)=1,MAX($D$16,IFERROR(W1096,MAX($D$16,POWER((ABS(K1096)^2)/($I$5*MAX(F1096,0.1)^2),1/3)))),MAX($D$16,POWER((ABS(K1096)^2)/($I$5*MAX(F1096,0.1)^2),1/3))))))),MAX($D$16,POWER((ABS(K1096)^2)/($I$5*MAX(F1096,0.1)^2),1/3)))</f>
        <v>2.1389677043987478</v>
      </c>
      <c r="AI1096">
        <f t="shared" ca="1" si="548"/>
        <v>634.18496770439879</v>
      </c>
      <c r="AJ1096">
        <f t="shared" ca="1" si="549"/>
        <v>635.25445155659816</v>
      </c>
      <c r="AM1096">
        <v>0</v>
      </c>
      <c r="AN1096">
        <v>0</v>
      </c>
      <c r="AO1096">
        <f t="shared" si="550"/>
        <v>0</v>
      </c>
      <c r="AP1096">
        <f t="shared" si="559"/>
        <v>0</v>
      </c>
      <c r="AQ1096">
        <f t="shared" ca="1" si="551"/>
        <v>1.0000000000000004</v>
      </c>
      <c r="AR1096" t="str">
        <f t="shared" ca="1" si="552"/>
        <v>Supercritical</v>
      </c>
      <c r="AS1096">
        <f t="shared" ca="1" si="553"/>
        <v>3.8141460404132466E-3</v>
      </c>
    </row>
    <row r="1097" spans="1:45" x14ac:dyDescent="0.35">
      <c r="A1097">
        <v>1036</v>
      </c>
      <c r="B1097">
        <v>1034.9960000000001</v>
      </c>
      <c r="C1097">
        <v>616079.81400000001</v>
      </c>
      <c r="D1097">
        <v>3096972.088</v>
      </c>
      <c r="E1097">
        <v>632.04549999999995</v>
      </c>
      <c r="F1097">
        <v>5.2</v>
      </c>
      <c r="G1097">
        <v>0</v>
      </c>
      <c r="H1097" t="s">
        <v>154</v>
      </c>
      <c r="I1097">
        <v>0</v>
      </c>
      <c r="J1097">
        <f t="shared" si="554"/>
        <v>1</v>
      </c>
      <c r="K1097">
        <f t="shared" ca="1" si="555"/>
        <v>50.95</v>
      </c>
      <c r="L1097">
        <f t="shared" ca="1" si="556"/>
        <v>2.1389677043987478</v>
      </c>
      <c r="M1097">
        <f t="shared" ca="1" si="529"/>
        <v>11.122632062873489</v>
      </c>
      <c r="N1097">
        <f t="shared" ca="1" si="530"/>
        <v>1.1735290000551568</v>
      </c>
      <c r="O1097">
        <f t="shared" ca="1" si="531"/>
        <v>4.5807502857230418</v>
      </c>
      <c r="P1097">
        <f t="shared" ca="1" si="532"/>
        <v>634.18446770439868</v>
      </c>
      <c r="Q1097">
        <f t="shared" ca="1" si="533"/>
        <v>635.25395155659805</v>
      </c>
      <c r="R1097">
        <f t="shared" ca="1" si="534"/>
        <v>3.8141460404132466E-3</v>
      </c>
      <c r="S1097">
        <f t="shared" ca="1" si="535"/>
        <v>1.0000000000000004</v>
      </c>
      <c r="T1097">
        <f t="shared" ca="1" si="536"/>
        <v>35.686426155594638</v>
      </c>
      <c r="U1097">
        <f t="shared" ca="1" si="557"/>
        <v>-3.3141460403385281E-3</v>
      </c>
      <c r="V1097">
        <f t="shared" ca="1" si="558"/>
        <v>1</v>
      </c>
      <c r="W1097">
        <f t="shared" ca="1" si="537"/>
        <v>1.6847686276880931</v>
      </c>
      <c r="X1097">
        <f t="shared" ca="1" si="538"/>
        <v>8.7607968639780847</v>
      </c>
      <c r="Y1097">
        <f t="shared" ca="1" si="539"/>
        <v>1.022318545669652</v>
      </c>
      <c r="Z1097">
        <f t="shared" ca="1" si="540"/>
        <v>5.8156810152158611</v>
      </c>
      <c r="AA1097">
        <f t="shared" ca="1" si="541"/>
        <v>633.73026862768802</v>
      </c>
      <c r="AB1097">
        <f t="shared" ca="1" si="542"/>
        <v>635.45412926330175</v>
      </c>
      <c r="AC1097">
        <f t="shared" ca="1" si="543"/>
        <v>7.3892782631375829E-3</v>
      </c>
      <c r="AD1097">
        <f t="shared" ca="1" si="544"/>
        <v>1.430526609890304</v>
      </c>
      <c r="AE1097">
        <f t="shared" ca="1" si="545"/>
        <v>37.584743555830038</v>
      </c>
      <c r="AF1097">
        <f t="shared" ca="1" si="546"/>
        <v>6.8818889849353582E-3</v>
      </c>
      <c r="AG1097">
        <f t="shared" ca="1" si="547"/>
        <v>0</v>
      </c>
      <c r="AH1097">
        <f ca="1">IFERROR(IF(V32="Supercritical",MAX($D$16,IFERROR(L1097,MAX($D$16,POWER((ABS(K1097)^2)/($I$5*MAX(F1097,0.1)^2),1/3)))),IF(V32="Subcritical",MAX($D$16,IFERROR(W1097,MAX($D$16,POWER((ABS(K1097)^2)/($I$5*MAX(F1097,0.1)^2),1/3)))),IF(AND(IFERROR(V1097,0)=1,IFERROR(AG1097,0)=1),IF(IFERROR(T1097,-1E+99)&gt;=IFERROR(AE1097,-1E+99),MAX($D$16,IFERROR(L1097,MAX($D$16,POWER((ABS(K1097)^2)/($I$5*MAX(F1097,0.1)^2),1/3)))),MAX($D$16,IFERROR(W1097,MAX($D$16,POWER((ABS(K1097)^2)/($I$5*MAX(F1097,0.1)^2),1/3))))),IF(IFERROR(V1097,0)=1,MAX($D$16,IFERROR(L1097,MAX($D$16,POWER((ABS(K1097)^2)/($I$5*MAX(F1097,0.1)^2),1/3)))),IF(IFERROR(AG1097,0)=1,MAX($D$16,IFERROR(W1097,MAX($D$16,POWER((ABS(K1097)^2)/($I$5*MAX(F1097,0.1)^2),1/3)))),MAX($D$16,POWER((ABS(K1097)^2)/($I$5*MAX(F1097,0.1)^2),1/3))))))),MAX($D$16,POWER((ABS(K1097)^2)/($I$5*MAX(F1097,0.1)^2),1/3)))</f>
        <v>2.1389677043987478</v>
      </c>
      <c r="AI1097">
        <f t="shared" ca="1" si="548"/>
        <v>634.18446770439868</v>
      </c>
      <c r="AJ1097">
        <f t="shared" ca="1" si="549"/>
        <v>635.25395155659805</v>
      </c>
      <c r="AM1097">
        <v>0</v>
      </c>
      <c r="AN1097">
        <v>0</v>
      </c>
      <c r="AO1097">
        <f t="shared" si="550"/>
        <v>0</v>
      </c>
      <c r="AP1097">
        <f t="shared" si="559"/>
        <v>0</v>
      </c>
      <c r="AQ1097">
        <f t="shared" ca="1" si="551"/>
        <v>1.0000000000000004</v>
      </c>
      <c r="AR1097" t="str">
        <f t="shared" ca="1" si="552"/>
        <v>Supercritical</v>
      </c>
      <c r="AS1097">
        <f t="shared" ca="1" si="553"/>
        <v>3.8141460404132466E-3</v>
      </c>
    </row>
    <row r="1098" spans="1:45" x14ac:dyDescent="0.35">
      <c r="A1098">
        <v>1037</v>
      </c>
      <c r="B1098">
        <v>1035.9949999999999</v>
      </c>
      <c r="C1098">
        <v>616079.772</v>
      </c>
      <c r="D1098">
        <v>3096971.0890000002</v>
      </c>
      <c r="E1098">
        <v>632.04499999999996</v>
      </c>
      <c r="F1098">
        <v>5.2</v>
      </c>
      <c r="G1098">
        <v>0</v>
      </c>
      <c r="H1098" t="s">
        <v>154</v>
      </c>
      <c r="I1098">
        <v>0</v>
      </c>
      <c r="J1098">
        <f t="shared" si="554"/>
        <v>0.99899999999979627</v>
      </c>
      <c r="K1098">
        <f t="shared" ca="1" si="555"/>
        <v>50.95</v>
      </c>
      <c r="L1098">
        <f t="shared" ca="1" si="556"/>
        <v>2.1389677043987478</v>
      </c>
      <c r="M1098">
        <f t="shared" ca="1" si="529"/>
        <v>11.122632062873489</v>
      </c>
      <c r="N1098">
        <f t="shared" ca="1" si="530"/>
        <v>1.1735290000551568</v>
      </c>
      <c r="O1098">
        <f t="shared" ca="1" si="531"/>
        <v>4.5807502857230418</v>
      </c>
      <c r="P1098">
        <f t="shared" ca="1" si="532"/>
        <v>634.1839677043987</v>
      </c>
      <c r="Q1098">
        <f t="shared" ca="1" si="533"/>
        <v>635.25345155659807</v>
      </c>
      <c r="R1098">
        <f t="shared" ca="1" si="534"/>
        <v>3.8141460404132466E-3</v>
      </c>
      <c r="S1098">
        <f t="shared" ca="1" si="535"/>
        <v>1.0000000000000004</v>
      </c>
      <c r="T1098">
        <f t="shared" ca="1" si="536"/>
        <v>35.686426155594638</v>
      </c>
      <c r="U1098">
        <f t="shared" ca="1" si="557"/>
        <v>-3.3103318943403792E-3</v>
      </c>
      <c r="V1098">
        <f t="shared" ca="1" si="558"/>
        <v>1</v>
      </c>
      <c r="W1098">
        <f t="shared" ca="1" si="537"/>
        <v>1.6845380716172182</v>
      </c>
      <c r="X1098">
        <f t="shared" ca="1" si="538"/>
        <v>8.7595979724095354</v>
      </c>
      <c r="Y1098">
        <f t="shared" ca="1" si="539"/>
        <v>1.0222336487610186</v>
      </c>
      <c r="Z1098">
        <f t="shared" ca="1" si="540"/>
        <v>5.8164769845008077</v>
      </c>
      <c r="AA1098">
        <f t="shared" ca="1" si="541"/>
        <v>633.72953807161718</v>
      </c>
      <c r="AB1098">
        <f t="shared" ca="1" si="542"/>
        <v>635.45387061551253</v>
      </c>
      <c r="AC1098">
        <f t="shared" ca="1" si="543"/>
        <v>7.3921195628343815E-3</v>
      </c>
      <c r="AD1098">
        <f t="shared" ca="1" si="544"/>
        <v>1.4308203057273989</v>
      </c>
      <c r="AE1098">
        <f t="shared" ca="1" si="545"/>
        <v>37.586857848824138</v>
      </c>
      <c r="AF1098">
        <f t="shared" ca="1" si="546"/>
        <v>7.0559311544684533E-3</v>
      </c>
      <c r="AG1098">
        <f t="shared" ca="1" si="547"/>
        <v>0</v>
      </c>
      <c r="AH1098">
        <f ca="1">IFERROR(IF(V32="Supercritical",MAX($D$16,IFERROR(L1098,MAX($D$16,POWER((ABS(K1098)^2)/($I$5*MAX(F1098,0.1)^2),1/3)))),IF(V32="Subcritical",MAX($D$16,IFERROR(W1098,MAX($D$16,POWER((ABS(K1098)^2)/($I$5*MAX(F1098,0.1)^2),1/3)))),IF(AND(IFERROR(V1098,0)=1,IFERROR(AG1098,0)=1),IF(IFERROR(T1098,-1E+99)&gt;=IFERROR(AE1098,-1E+99),MAX($D$16,IFERROR(L1098,MAX($D$16,POWER((ABS(K1098)^2)/($I$5*MAX(F1098,0.1)^2),1/3)))),MAX($D$16,IFERROR(W1098,MAX($D$16,POWER((ABS(K1098)^2)/($I$5*MAX(F1098,0.1)^2),1/3))))),IF(IFERROR(V1098,0)=1,MAX($D$16,IFERROR(L1098,MAX($D$16,POWER((ABS(K1098)^2)/($I$5*MAX(F1098,0.1)^2),1/3)))),IF(IFERROR(AG1098,0)=1,MAX($D$16,IFERROR(W1098,MAX($D$16,POWER((ABS(K1098)^2)/($I$5*MAX(F1098,0.1)^2),1/3)))),MAX($D$16,POWER((ABS(K1098)^2)/($I$5*MAX(F1098,0.1)^2),1/3))))))),MAX($D$16,POWER((ABS(K1098)^2)/($I$5*MAX(F1098,0.1)^2),1/3)))</f>
        <v>2.1389677043987478</v>
      </c>
      <c r="AI1098">
        <f t="shared" ca="1" si="548"/>
        <v>634.1839677043987</v>
      </c>
      <c r="AJ1098">
        <f t="shared" ca="1" si="549"/>
        <v>635.25345155659807</v>
      </c>
      <c r="AM1098">
        <v>0</v>
      </c>
      <c r="AN1098">
        <v>0</v>
      </c>
      <c r="AO1098">
        <f t="shared" si="550"/>
        <v>0</v>
      </c>
      <c r="AP1098">
        <f t="shared" si="559"/>
        <v>0</v>
      </c>
      <c r="AQ1098">
        <f t="shared" ca="1" si="551"/>
        <v>1.0000000000000004</v>
      </c>
      <c r="AR1098" t="str">
        <f t="shared" ca="1" si="552"/>
        <v>Supercritical</v>
      </c>
      <c r="AS1098">
        <f t="shared" ca="1" si="553"/>
        <v>3.8141460404132466E-3</v>
      </c>
    </row>
    <row r="1099" spans="1:45" x14ac:dyDescent="0.35">
      <c r="A1099">
        <v>1038</v>
      </c>
      <c r="B1099">
        <v>1036.9949999999999</v>
      </c>
      <c r="C1099">
        <v>616079.73</v>
      </c>
      <c r="D1099">
        <v>3096970.09</v>
      </c>
      <c r="E1099">
        <v>632.04449999999997</v>
      </c>
      <c r="F1099">
        <v>5.2</v>
      </c>
      <c r="G1099">
        <v>0</v>
      </c>
      <c r="H1099" t="s">
        <v>154</v>
      </c>
      <c r="I1099">
        <v>5.7000000000000002E-2</v>
      </c>
      <c r="J1099">
        <f t="shared" si="554"/>
        <v>1</v>
      </c>
      <c r="K1099">
        <f t="shared" ca="1" si="555"/>
        <v>50.95</v>
      </c>
      <c r="L1099">
        <f t="shared" ca="1" si="556"/>
        <v>2.1389677043987478</v>
      </c>
      <c r="M1099">
        <f t="shared" ca="1" si="529"/>
        <v>11.122632062873489</v>
      </c>
      <c r="N1099">
        <f t="shared" ca="1" si="530"/>
        <v>1.1735290000551568</v>
      </c>
      <c r="O1099">
        <f t="shared" ca="1" si="531"/>
        <v>4.5807502857230418</v>
      </c>
      <c r="P1099">
        <f t="shared" ca="1" si="532"/>
        <v>634.18346770439871</v>
      </c>
      <c r="Q1099">
        <f t="shared" ca="1" si="533"/>
        <v>635.25295155659808</v>
      </c>
      <c r="R1099">
        <f t="shared" ca="1" si="534"/>
        <v>3.8141460404132466E-3</v>
      </c>
      <c r="S1099">
        <f t="shared" ca="1" si="535"/>
        <v>1.0000000000000004</v>
      </c>
      <c r="T1099">
        <f t="shared" ca="1" si="536"/>
        <v>35.686426155594638</v>
      </c>
      <c r="U1099">
        <f t="shared" ca="1" si="557"/>
        <v>-3.4157470064428708E-3</v>
      </c>
      <c r="V1099">
        <f t="shared" ca="1" si="558"/>
        <v>1</v>
      </c>
      <c r="W1099">
        <f t="shared" ca="1" si="537"/>
        <v>1.6843222694078104</v>
      </c>
      <c r="X1099">
        <f t="shared" ca="1" si="538"/>
        <v>8.7584758009206141</v>
      </c>
      <c r="Y1099">
        <f t="shared" ca="1" si="539"/>
        <v>1.0221541763396842</v>
      </c>
      <c r="Z1099">
        <f t="shared" ca="1" si="540"/>
        <v>5.8172222151535298</v>
      </c>
      <c r="AA1099">
        <f t="shared" ca="1" si="541"/>
        <v>633.72882226940783</v>
      </c>
      <c r="AB1099">
        <f t="shared" ca="1" si="542"/>
        <v>635.45359669858601</v>
      </c>
      <c r="AC1099">
        <f t="shared" ca="1" si="543"/>
        <v>7.3947804230108114E-3</v>
      </c>
      <c r="AD1099">
        <f t="shared" ca="1" si="544"/>
        <v>1.431095298297695</v>
      </c>
      <c r="AE1099">
        <f t="shared" ca="1" si="545"/>
        <v>37.588838118787372</v>
      </c>
      <c r="AF1099">
        <f t="shared" ca="1" si="546"/>
        <v>7.0586339938927267E-3</v>
      </c>
      <c r="AG1099">
        <f t="shared" ca="1" si="547"/>
        <v>0</v>
      </c>
      <c r="AH1099">
        <f ca="1">IFERROR(IF(V32="Supercritical",MAX($D$16,IFERROR(L1099,MAX($D$16,POWER((ABS(K1099)^2)/($I$5*MAX(F1099,0.1)^2),1/3)))),IF(V32="Subcritical",MAX($D$16,IFERROR(W1099,MAX($D$16,POWER((ABS(K1099)^2)/($I$5*MAX(F1099,0.1)^2),1/3)))),IF(AND(IFERROR(V1099,0)=1,IFERROR(AG1099,0)=1),IF(IFERROR(T1099,-1E+99)&gt;=IFERROR(AE1099,-1E+99),MAX($D$16,IFERROR(L1099,MAX($D$16,POWER((ABS(K1099)^2)/($I$5*MAX(F1099,0.1)^2),1/3)))),MAX($D$16,IFERROR(W1099,MAX($D$16,POWER((ABS(K1099)^2)/($I$5*MAX(F1099,0.1)^2),1/3))))),IF(IFERROR(V1099,0)=1,MAX($D$16,IFERROR(L1099,MAX($D$16,POWER((ABS(K1099)^2)/($I$5*MAX(F1099,0.1)^2),1/3)))),IF(IFERROR(AG1099,0)=1,MAX($D$16,IFERROR(W1099,MAX($D$16,POWER((ABS(K1099)^2)/($I$5*MAX(F1099,0.1)^2),1/3)))),MAX($D$16,POWER((ABS(K1099)^2)/($I$5*MAX(F1099,0.1)^2),1/3))))))),MAX($D$16,POWER((ABS(K1099)^2)/($I$5*MAX(F1099,0.1)^2),1/3)))</f>
        <v>2.1389677043987478</v>
      </c>
      <c r="AI1099">
        <f t="shared" ca="1" si="548"/>
        <v>634.18346770439871</v>
      </c>
      <c r="AJ1099">
        <f t="shared" ca="1" si="549"/>
        <v>635.25295155659808</v>
      </c>
      <c r="AM1099">
        <v>0</v>
      </c>
      <c r="AN1099">
        <v>0</v>
      </c>
      <c r="AO1099">
        <f t="shared" si="550"/>
        <v>0</v>
      </c>
      <c r="AP1099">
        <f t="shared" si="559"/>
        <v>0</v>
      </c>
      <c r="AQ1099">
        <f t="shared" ca="1" si="551"/>
        <v>1.0000000000000004</v>
      </c>
      <c r="AR1099" t="str">
        <f t="shared" ca="1" si="552"/>
        <v>Supercritical</v>
      </c>
      <c r="AS1099">
        <f t="shared" ca="1" si="553"/>
        <v>3.8141460404132466E-3</v>
      </c>
    </row>
    <row r="1100" spans="1:45" x14ac:dyDescent="0.35">
      <c r="A1100">
        <v>1039</v>
      </c>
      <c r="B1100">
        <v>1037.9949999999999</v>
      </c>
      <c r="C1100">
        <v>616079.68700000003</v>
      </c>
      <c r="D1100">
        <v>3096969.091</v>
      </c>
      <c r="E1100">
        <v>632.04399999999998</v>
      </c>
      <c r="F1100">
        <v>5.2</v>
      </c>
      <c r="G1100">
        <v>0</v>
      </c>
      <c r="H1100" t="s">
        <v>154</v>
      </c>
      <c r="I1100">
        <v>5.7000000000000002E-2</v>
      </c>
      <c r="J1100">
        <f t="shared" si="554"/>
        <v>1</v>
      </c>
      <c r="K1100">
        <f t="shared" ca="1" si="555"/>
        <v>50.95</v>
      </c>
      <c r="L1100">
        <f t="shared" ca="1" si="556"/>
        <v>2.1389677043987478</v>
      </c>
      <c r="M1100">
        <f t="shared" ca="1" si="529"/>
        <v>11.122632062873489</v>
      </c>
      <c r="N1100">
        <f t="shared" ca="1" si="530"/>
        <v>1.1735290000551568</v>
      </c>
      <c r="O1100">
        <f t="shared" ca="1" si="531"/>
        <v>4.5807502857230418</v>
      </c>
      <c r="P1100">
        <f t="shared" ca="1" si="532"/>
        <v>634.18296770439872</v>
      </c>
      <c r="Q1100">
        <f t="shared" ca="1" si="533"/>
        <v>635.25245155659809</v>
      </c>
      <c r="R1100">
        <f t="shared" ca="1" si="534"/>
        <v>3.8141460404132466E-3</v>
      </c>
      <c r="S1100">
        <f t="shared" ca="1" si="535"/>
        <v>1.0000000000000004</v>
      </c>
      <c r="T1100">
        <f t="shared" ca="1" si="536"/>
        <v>35.686426155594638</v>
      </c>
      <c r="U1100">
        <f t="shared" ca="1" si="557"/>
        <v>-3.4157470064428708E-3</v>
      </c>
      <c r="V1100">
        <f t="shared" ca="1" si="558"/>
        <v>1</v>
      </c>
      <c r="W1100">
        <f t="shared" ca="1" si="537"/>
        <v>1.6841202952571772</v>
      </c>
      <c r="X1100">
        <f t="shared" ca="1" si="538"/>
        <v>8.7574255353373225</v>
      </c>
      <c r="Y1100">
        <f t="shared" ca="1" si="539"/>
        <v>1.0220797890563913</v>
      </c>
      <c r="Z1100">
        <f t="shared" ca="1" si="540"/>
        <v>5.8179198663363216</v>
      </c>
      <c r="AA1100">
        <f t="shared" ca="1" si="541"/>
        <v>633.72812029525721</v>
      </c>
      <c r="AB1100">
        <f t="shared" ca="1" si="542"/>
        <v>635.45330844872876</v>
      </c>
      <c r="AC1100">
        <f t="shared" ca="1" si="543"/>
        <v>7.3972719937361407E-3</v>
      </c>
      <c r="AD1100">
        <f t="shared" ca="1" si="544"/>
        <v>1.4313527498504339</v>
      </c>
      <c r="AE1100">
        <f t="shared" ca="1" si="545"/>
        <v>37.590692616078037</v>
      </c>
      <c r="AF1100">
        <f t="shared" ca="1" si="546"/>
        <v>6.9030226209179091E-3</v>
      </c>
      <c r="AG1100">
        <f t="shared" ca="1" si="547"/>
        <v>0</v>
      </c>
      <c r="AH1100">
        <f ca="1">IFERROR(IF(V32="Supercritical",MAX($D$16,IFERROR(L1100,MAX($D$16,POWER((ABS(K1100)^2)/($I$5*MAX(F1100,0.1)^2),1/3)))),IF(V32="Subcritical",MAX($D$16,IFERROR(W1100,MAX($D$16,POWER((ABS(K1100)^2)/($I$5*MAX(F1100,0.1)^2),1/3)))),IF(AND(IFERROR(V1100,0)=1,IFERROR(AG1100,0)=1),IF(IFERROR(T1100,-1E+99)&gt;=IFERROR(AE1100,-1E+99),MAX($D$16,IFERROR(L1100,MAX($D$16,POWER((ABS(K1100)^2)/($I$5*MAX(F1100,0.1)^2),1/3)))),MAX($D$16,IFERROR(W1100,MAX($D$16,POWER((ABS(K1100)^2)/($I$5*MAX(F1100,0.1)^2),1/3))))),IF(IFERROR(V1100,0)=1,MAX($D$16,IFERROR(L1100,MAX($D$16,POWER((ABS(K1100)^2)/($I$5*MAX(F1100,0.1)^2),1/3)))),IF(IFERROR(AG1100,0)=1,MAX($D$16,IFERROR(W1100,MAX($D$16,POWER((ABS(K1100)^2)/($I$5*MAX(F1100,0.1)^2),1/3)))),MAX($D$16,POWER((ABS(K1100)^2)/($I$5*MAX(F1100,0.1)^2),1/3))))))),MAX($D$16,POWER((ABS(K1100)^2)/($I$5*MAX(F1100,0.1)^2),1/3)))</f>
        <v>2.1389677043987478</v>
      </c>
      <c r="AI1100">
        <f t="shared" ca="1" si="548"/>
        <v>634.18296770439872</v>
      </c>
      <c r="AJ1100">
        <f t="shared" ca="1" si="549"/>
        <v>635.25245155659809</v>
      </c>
      <c r="AM1100">
        <v>0</v>
      </c>
      <c r="AN1100">
        <v>0</v>
      </c>
      <c r="AO1100">
        <f t="shared" si="550"/>
        <v>0</v>
      </c>
      <c r="AP1100">
        <f t="shared" si="559"/>
        <v>0</v>
      </c>
      <c r="AQ1100">
        <f t="shared" ca="1" si="551"/>
        <v>1.0000000000000004</v>
      </c>
      <c r="AR1100" t="str">
        <f t="shared" ca="1" si="552"/>
        <v>Supercritical</v>
      </c>
      <c r="AS1100">
        <f t="shared" ca="1" si="553"/>
        <v>3.8141460404132466E-3</v>
      </c>
    </row>
    <row r="1101" spans="1:45" x14ac:dyDescent="0.35">
      <c r="A1101">
        <v>1040</v>
      </c>
      <c r="B1101">
        <v>1038.9949999999999</v>
      </c>
      <c r="C1101">
        <v>616079.64500000002</v>
      </c>
      <c r="D1101">
        <v>3096968.0920000002</v>
      </c>
      <c r="E1101">
        <v>632.04349999999999</v>
      </c>
      <c r="F1101">
        <v>5.2</v>
      </c>
      <c r="G1101">
        <v>0</v>
      </c>
      <c r="H1101" t="s">
        <v>154</v>
      </c>
      <c r="I1101">
        <v>2E-3</v>
      </c>
      <c r="J1101">
        <f t="shared" si="554"/>
        <v>1</v>
      </c>
      <c r="K1101">
        <f t="shared" ca="1" si="555"/>
        <v>50.95</v>
      </c>
      <c r="L1101">
        <f t="shared" ca="1" si="556"/>
        <v>2.1389677043987478</v>
      </c>
      <c r="M1101">
        <f t="shared" ca="1" si="529"/>
        <v>11.122632062873489</v>
      </c>
      <c r="N1101">
        <f t="shared" ca="1" si="530"/>
        <v>1.1735290000551568</v>
      </c>
      <c r="O1101">
        <f t="shared" ca="1" si="531"/>
        <v>4.5807502857230418</v>
      </c>
      <c r="P1101">
        <f t="shared" ca="1" si="532"/>
        <v>634.18246770439873</v>
      </c>
      <c r="Q1101">
        <f t="shared" ca="1" si="533"/>
        <v>635.2519515565981</v>
      </c>
      <c r="R1101">
        <f t="shared" ca="1" si="534"/>
        <v>3.8141460404132466E-3</v>
      </c>
      <c r="S1101">
        <f t="shared" ca="1" si="535"/>
        <v>1.0000000000000004</v>
      </c>
      <c r="T1101">
        <f t="shared" ca="1" si="536"/>
        <v>35.686426155594638</v>
      </c>
      <c r="U1101">
        <f t="shared" ca="1" si="557"/>
        <v>-3.3177109866073806E-3</v>
      </c>
      <c r="V1101">
        <f t="shared" ca="1" si="558"/>
        <v>1</v>
      </c>
      <c r="W1101">
        <f t="shared" ca="1" si="537"/>
        <v>1.6839312791669652</v>
      </c>
      <c r="X1101">
        <f t="shared" ca="1" si="538"/>
        <v>8.7564426516682197</v>
      </c>
      <c r="Y1101">
        <f t="shared" ca="1" si="539"/>
        <v>1.0220101678861384</v>
      </c>
      <c r="Z1101">
        <f t="shared" ca="1" si="540"/>
        <v>5.8185729098897649</v>
      </c>
      <c r="AA1101">
        <f t="shared" ca="1" si="541"/>
        <v>633.72743127916692</v>
      </c>
      <c r="AB1101">
        <f t="shared" ca="1" si="542"/>
        <v>635.45300674846885</v>
      </c>
      <c r="AC1101">
        <f t="shared" ca="1" si="543"/>
        <v>7.3996047746149422E-3</v>
      </c>
      <c r="AD1101">
        <f t="shared" ca="1" si="544"/>
        <v>1.4315937540075758</v>
      </c>
      <c r="AE1101">
        <f t="shared" ca="1" si="545"/>
        <v>37.592429113822831</v>
      </c>
      <c r="AF1101">
        <f t="shared" ca="1" si="546"/>
        <v>6.9127562976518675E-3</v>
      </c>
      <c r="AG1101">
        <f t="shared" ca="1" si="547"/>
        <v>0</v>
      </c>
      <c r="AH1101">
        <f ca="1">IFERROR(IF(V32="Supercritical",MAX($D$16,IFERROR(L1101,MAX($D$16,POWER((ABS(K1101)^2)/($I$5*MAX(F1101,0.1)^2),1/3)))),IF(V32="Subcritical",MAX($D$16,IFERROR(W1101,MAX($D$16,POWER((ABS(K1101)^2)/($I$5*MAX(F1101,0.1)^2),1/3)))),IF(AND(IFERROR(V1101,0)=1,IFERROR(AG1101,0)=1),IF(IFERROR(T1101,-1E+99)&gt;=IFERROR(AE1101,-1E+99),MAX($D$16,IFERROR(L1101,MAX($D$16,POWER((ABS(K1101)^2)/($I$5*MAX(F1101,0.1)^2),1/3)))),MAX($D$16,IFERROR(W1101,MAX($D$16,POWER((ABS(K1101)^2)/($I$5*MAX(F1101,0.1)^2),1/3))))),IF(IFERROR(V1101,0)=1,MAX($D$16,IFERROR(L1101,MAX($D$16,POWER((ABS(K1101)^2)/($I$5*MAX(F1101,0.1)^2),1/3)))),IF(IFERROR(AG1101,0)=1,MAX($D$16,IFERROR(W1101,MAX($D$16,POWER((ABS(K1101)^2)/($I$5*MAX(F1101,0.1)^2),1/3)))),MAX($D$16,POWER((ABS(K1101)^2)/($I$5*MAX(F1101,0.1)^2),1/3))))))),MAX($D$16,POWER((ABS(K1101)^2)/($I$5*MAX(F1101,0.1)^2),1/3)))</f>
        <v>2.1389677043987478</v>
      </c>
      <c r="AI1101">
        <f t="shared" ca="1" si="548"/>
        <v>634.18246770439873</v>
      </c>
      <c r="AJ1101">
        <f t="shared" ca="1" si="549"/>
        <v>635.2519515565981</v>
      </c>
      <c r="AM1101">
        <v>0</v>
      </c>
      <c r="AN1101">
        <v>0</v>
      </c>
      <c r="AO1101">
        <f t="shared" si="550"/>
        <v>0</v>
      </c>
      <c r="AP1101">
        <f t="shared" si="559"/>
        <v>0</v>
      </c>
      <c r="AQ1101">
        <f t="shared" ca="1" si="551"/>
        <v>1.0000000000000004</v>
      </c>
      <c r="AR1101" t="str">
        <f t="shared" ca="1" si="552"/>
        <v>Supercritical</v>
      </c>
      <c r="AS1101">
        <f t="shared" ca="1" si="553"/>
        <v>3.8141460404132466E-3</v>
      </c>
    </row>
    <row r="1102" spans="1:45" x14ac:dyDescent="0.35">
      <c r="A1102">
        <v>1041</v>
      </c>
      <c r="B1102">
        <v>1039.9960000000001</v>
      </c>
      <c r="C1102">
        <v>616079.603</v>
      </c>
      <c r="D1102">
        <v>3096967.0920000002</v>
      </c>
      <c r="E1102">
        <v>632.04300000000001</v>
      </c>
      <c r="F1102">
        <v>5.2</v>
      </c>
      <c r="G1102">
        <v>0</v>
      </c>
      <c r="H1102" t="s">
        <v>154</v>
      </c>
      <c r="I1102">
        <v>2E-3</v>
      </c>
      <c r="J1102">
        <f t="shared" si="554"/>
        <v>1.0010000000002037</v>
      </c>
      <c r="K1102">
        <f t="shared" ca="1" si="555"/>
        <v>50.95</v>
      </c>
      <c r="L1102">
        <f t="shared" ca="1" si="556"/>
        <v>2.1389677043987478</v>
      </c>
      <c r="M1102">
        <f t="shared" ca="1" si="529"/>
        <v>11.122632062873489</v>
      </c>
      <c r="N1102">
        <f t="shared" ca="1" si="530"/>
        <v>1.1735290000551568</v>
      </c>
      <c r="O1102">
        <f t="shared" ca="1" si="531"/>
        <v>4.5807502857230418</v>
      </c>
      <c r="P1102">
        <f t="shared" ca="1" si="532"/>
        <v>634.18196770439874</v>
      </c>
      <c r="Q1102">
        <f t="shared" ca="1" si="533"/>
        <v>635.25145155659811</v>
      </c>
      <c r="R1102">
        <f t="shared" ca="1" si="534"/>
        <v>3.8141460404132466E-3</v>
      </c>
      <c r="S1102">
        <f t="shared" ca="1" si="535"/>
        <v>1.0000000000000004</v>
      </c>
      <c r="T1102">
        <f t="shared" ca="1" si="536"/>
        <v>35.686426155594638</v>
      </c>
      <c r="U1102">
        <f t="shared" ca="1" si="557"/>
        <v>-3.3215251326055295E-3</v>
      </c>
      <c r="V1102">
        <f t="shared" ca="1" si="558"/>
        <v>1</v>
      </c>
      <c r="W1102">
        <f t="shared" ca="1" si="537"/>
        <v>1.6837544038668437</v>
      </c>
      <c r="X1102">
        <f t="shared" ca="1" si="538"/>
        <v>8.7555229001075876</v>
      </c>
      <c r="Y1102">
        <f t="shared" ca="1" si="539"/>
        <v>1.0219450130245777</v>
      </c>
      <c r="Z1102">
        <f t="shared" ca="1" si="540"/>
        <v>5.8191841402612212</v>
      </c>
      <c r="AA1102">
        <f t="shared" ca="1" si="541"/>
        <v>633.72675440386683</v>
      </c>
      <c r="AB1102">
        <f t="shared" ca="1" si="542"/>
        <v>635.4526924292627</v>
      </c>
      <c r="AC1102">
        <f t="shared" ca="1" si="543"/>
        <v>7.4017886478813088E-3</v>
      </c>
      <c r="AD1102">
        <f t="shared" ca="1" si="544"/>
        <v>1.4318193393638181</v>
      </c>
      <c r="AE1102">
        <f t="shared" ca="1" si="545"/>
        <v>37.594054931647264</v>
      </c>
      <c r="AF1102">
        <f t="shared" ca="1" si="546"/>
        <v>7.0657527602406844E-3</v>
      </c>
      <c r="AG1102">
        <f t="shared" ca="1" si="547"/>
        <v>0</v>
      </c>
      <c r="AH1102">
        <f ca="1">IFERROR(IF(V32="Supercritical",MAX($D$16,IFERROR(L1102,MAX($D$16,POWER((ABS(K1102)^2)/($I$5*MAX(F1102,0.1)^2),1/3)))),IF(V32="Subcritical",MAX($D$16,IFERROR(W1102,MAX($D$16,POWER((ABS(K1102)^2)/($I$5*MAX(F1102,0.1)^2),1/3)))),IF(AND(IFERROR(V1102,0)=1,IFERROR(AG1102,0)=1),IF(IFERROR(T1102,-1E+99)&gt;=IFERROR(AE1102,-1E+99),MAX($D$16,IFERROR(L1102,MAX($D$16,POWER((ABS(K1102)^2)/($I$5*MAX(F1102,0.1)^2),1/3)))),MAX($D$16,IFERROR(W1102,MAX($D$16,POWER((ABS(K1102)^2)/($I$5*MAX(F1102,0.1)^2),1/3))))),IF(IFERROR(V1102,0)=1,MAX($D$16,IFERROR(L1102,MAX($D$16,POWER((ABS(K1102)^2)/($I$5*MAX(F1102,0.1)^2),1/3)))),IF(IFERROR(AG1102,0)=1,MAX($D$16,IFERROR(W1102,MAX($D$16,POWER((ABS(K1102)^2)/($I$5*MAX(F1102,0.1)^2),1/3)))),MAX($D$16,POWER((ABS(K1102)^2)/($I$5*MAX(F1102,0.1)^2),1/3))))))),MAX($D$16,POWER((ABS(K1102)^2)/($I$5*MAX(F1102,0.1)^2),1/3)))</f>
        <v>2.1389677043987478</v>
      </c>
      <c r="AI1102">
        <f t="shared" ca="1" si="548"/>
        <v>634.18196770439874</v>
      </c>
      <c r="AJ1102">
        <f t="shared" ca="1" si="549"/>
        <v>635.25145155659811</v>
      </c>
      <c r="AM1102">
        <v>0</v>
      </c>
      <c r="AN1102">
        <v>0</v>
      </c>
      <c r="AO1102">
        <f t="shared" si="550"/>
        <v>0</v>
      </c>
      <c r="AP1102">
        <f t="shared" si="559"/>
        <v>0</v>
      </c>
      <c r="AQ1102">
        <f t="shared" ca="1" si="551"/>
        <v>1.0000000000000004</v>
      </c>
      <c r="AR1102" t="str">
        <f t="shared" ca="1" si="552"/>
        <v>Supercritical</v>
      </c>
      <c r="AS1102">
        <f t="shared" ca="1" si="553"/>
        <v>3.8141460404132466E-3</v>
      </c>
    </row>
    <row r="1103" spans="1:45" x14ac:dyDescent="0.35">
      <c r="A1103">
        <v>1042</v>
      </c>
      <c r="B1103">
        <v>1040.9960000000001</v>
      </c>
      <c r="C1103">
        <v>616079.56099999999</v>
      </c>
      <c r="D1103">
        <v>3096966.0929999999</v>
      </c>
      <c r="E1103">
        <v>632.04250000000002</v>
      </c>
      <c r="F1103">
        <v>5.2</v>
      </c>
      <c r="G1103">
        <v>0</v>
      </c>
      <c r="H1103" t="s">
        <v>154</v>
      </c>
      <c r="I1103">
        <v>5.7000000000000002E-2</v>
      </c>
      <c r="J1103">
        <f t="shared" si="554"/>
        <v>1</v>
      </c>
      <c r="K1103">
        <f t="shared" ca="1" si="555"/>
        <v>50.95</v>
      </c>
      <c r="L1103">
        <f t="shared" ca="1" si="556"/>
        <v>2.1389677043987478</v>
      </c>
      <c r="M1103">
        <f t="shared" ca="1" si="529"/>
        <v>11.122632062873489</v>
      </c>
      <c r="N1103">
        <f t="shared" ca="1" si="530"/>
        <v>1.1735290000551568</v>
      </c>
      <c r="O1103">
        <f t="shared" ca="1" si="531"/>
        <v>4.5807502857230418</v>
      </c>
      <c r="P1103">
        <f t="shared" ca="1" si="532"/>
        <v>634.18146770439876</v>
      </c>
      <c r="Q1103">
        <f t="shared" ca="1" si="533"/>
        <v>635.25095155659812</v>
      </c>
      <c r="R1103">
        <f t="shared" ca="1" si="534"/>
        <v>3.8141460404132466E-3</v>
      </c>
      <c r="S1103">
        <f t="shared" ca="1" si="535"/>
        <v>1.0000000000000004</v>
      </c>
      <c r="T1103">
        <f t="shared" ca="1" si="536"/>
        <v>35.686426155594638</v>
      </c>
      <c r="U1103">
        <f t="shared" ca="1" si="557"/>
        <v>-3.4157470064428708E-3</v>
      </c>
      <c r="V1103">
        <f t="shared" ca="1" si="558"/>
        <v>1</v>
      </c>
      <c r="W1103">
        <f t="shared" ca="1" si="537"/>
        <v>1.6835889018710515</v>
      </c>
      <c r="X1103">
        <f t="shared" ca="1" si="538"/>
        <v>8.7546622897294686</v>
      </c>
      <c r="Y1103">
        <f t="shared" ca="1" si="539"/>
        <v>1.0218840428297722</v>
      </c>
      <c r="Z1103">
        <f t="shared" ca="1" si="540"/>
        <v>5.8197561840588632</v>
      </c>
      <c r="AA1103">
        <f t="shared" ca="1" si="541"/>
        <v>633.72608890187109</v>
      </c>
      <c r="AB1103">
        <f t="shared" ca="1" si="542"/>
        <v>635.45236627403676</v>
      </c>
      <c r="AC1103">
        <f t="shared" ca="1" si="543"/>
        <v>7.4038329104392873E-3</v>
      </c>
      <c r="AD1103">
        <f t="shared" ca="1" si="544"/>
        <v>1.4320304729561235</v>
      </c>
      <c r="AE1103">
        <f t="shared" ca="1" si="545"/>
        <v>37.595576958733751</v>
      </c>
      <c r="AF1103">
        <f t="shared" ca="1" si="546"/>
        <v>7.0678292607908588E-3</v>
      </c>
      <c r="AG1103">
        <f t="shared" ca="1" si="547"/>
        <v>0</v>
      </c>
      <c r="AH1103">
        <f ca="1">IFERROR(IF(V32="Supercritical",MAX($D$16,IFERROR(L1103,MAX($D$16,POWER((ABS(K1103)^2)/($I$5*MAX(F1103,0.1)^2),1/3)))),IF(V32="Subcritical",MAX($D$16,IFERROR(W1103,MAX($D$16,POWER((ABS(K1103)^2)/($I$5*MAX(F1103,0.1)^2),1/3)))),IF(AND(IFERROR(V1103,0)=1,IFERROR(AG1103,0)=1),IF(IFERROR(T1103,-1E+99)&gt;=IFERROR(AE1103,-1E+99),MAX($D$16,IFERROR(L1103,MAX($D$16,POWER((ABS(K1103)^2)/($I$5*MAX(F1103,0.1)^2),1/3)))),MAX($D$16,IFERROR(W1103,MAX($D$16,POWER((ABS(K1103)^2)/($I$5*MAX(F1103,0.1)^2),1/3))))),IF(IFERROR(V1103,0)=1,MAX($D$16,IFERROR(L1103,MAX($D$16,POWER((ABS(K1103)^2)/($I$5*MAX(F1103,0.1)^2),1/3)))),IF(IFERROR(AG1103,0)=1,MAX($D$16,IFERROR(W1103,MAX($D$16,POWER((ABS(K1103)^2)/($I$5*MAX(F1103,0.1)^2),1/3)))),MAX($D$16,POWER((ABS(K1103)^2)/($I$5*MAX(F1103,0.1)^2),1/3))))))),MAX($D$16,POWER((ABS(K1103)^2)/($I$5*MAX(F1103,0.1)^2),1/3)))</f>
        <v>2.1389677043987478</v>
      </c>
      <c r="AI1103">
        <f t="shared" ca="1" si="548"/>
        <v>634.18146770439876</v>
      </c>
      <c r="AJ1103">
        <f t="shared" ca="1" si="549"/>
        <v>635.25095155659812</v>
      </c>
      <c r="AM1103">
        <v>0</v>
      </c>
      <c r="AN1103">
        <v>0</v>
      </c>
      <c r="AO1103">
        <f t="shared" si="550"/>
        <v>0</v>
      </c>
      <c r="AP1103">
        <f t="shared" si="559"/>
        <v>0</v>
      </c>
      <c r="AQ1103">
        <f t="shared" ca="1" si="551"/>
        <v>1.0000000000000004</v>
      </c>
      <c r="AR1103" t="str">
        <f t="shared" ca="1" si="552"/>
        <v>Supercritical</v>
      </c>
      <c r="AS1103">
        <f t="shared" ca="1" si="553"/>
        <v>3.8141460404132466E-3</v>
      </c>
    </row>
    <row r="1104" spans="1:45" x14ac:dyDescent="0.35">
      <c r="A1104">
        <v>1043</v>
      </c>
      <c r="B1104">
        <v>1041.9960000000001</v>
      </c>
      <c r="C1104">
        <v>616079.51800000004</v>
      </c>
      <c r="D1104">
        <v>3096965.094</v>
      </c>
      <c r="E1104">
        <v>632.04200000000003</v>
      </c>
      <c r="F1104">
        <v>5.2</v>
      </c>
      <c r="G1104">
        <v>0</v>
      </c>
      <c r="H1104" t="s">
        <v>154</v>
      </c>
      <c r="I1104">
        <v>5.7000000000000002E-2</v>
      </c>
      <c r="J1104">
        <f t="shared" si="554"/>
        <v>1</v>
      </c>
      <c r="K1104">
        <f t="shared" ca="1" si="555"/>
        <v>50.95</v>
      </c>
      <c r="L1104">
        <f t="shared" ca="1" si="556"/>
        <v>2.1389677043987478</v>
      </c>
      <c r="M1104">
        <f t="shared" ca="1" si="529"/>
        <v>11.122632062873489</v>
      </c>
      <c r="N1104">
        <f t="shared" ca="1" si="530"/>
        <v>1.1735290000551568</v>
      </c>
      <c r="O1104">
        <f t="shared" ca="1" si="531"/>
        <v>4.5807502857230418</v>
      </c>
      <c r="P1104">
        <f t="shared" ca="1" si="532"/>
        <v>634.18096770439877</v>
      </c>
      <c r="Q1104">
        <f t="shared" ca="1" si="533"/>
        <v>635.25045155659814</v>
      </c>
      <c r="R1104">
        <f t="shared" ca="1" si="534"/>
        <v>3.8141460404132466E-3</v>
      </c>
      <c r="S1104">
        <f t="shared" ca="1" si="535"/>
        <v>1.0000000000000004</v>
      </c>
      <c r="T1104">
        <f t="shared" ca="1" si="536"/>
        <v>35.686426155594638</v>
      </c>
      <c r="U1104">
        <f t="shared" ca="1" si="557"/>
        <v>-3.4157470064428708E-3</v>
      </c>
      <c r="V1104">
        <f t="shared" ca="1" si="558"/>
        <v>1</v>
      </c>
      <c r="W1104">
        <f t="shared" ca="1" si="537"/>
        <v>1.6834340526670513</v>
      </c>
      <c r="X1104">
        <f t="shared" ca="1" si="538"/>
        <v>8.7538570738686676</v>
      </c>
      <c r="Y1104">
        <f t="shared" ca="1" si="539"/>
        <v>1.0218269928094421</v>
      </c>
      <c r="Z1104">
        <f t="shared" ca="1" si="540"/>
        <v>5.8202915092241998</v>
      </c>
      <c r="AA1104">
        <f t="shared" ca="1" si="541"/>
        <v>633.72543405266708</v>
      </c>
      <c r="AB1104">
        <f t="shared" ca="1" si="542"/>
        <v>635.45202901965729</v>
      </c>
      <c r="AC1104">
        <f t="shared" ca="1" si="543"/>
        <v>7.4057463047924295E-3</v>
      </c>
      <c r="AD1104">
        <f t="shared" ca="1" si="544"/>
        <v>1.4322280635992675</v>
      </c>
      <c r="AE1104">
        <f t="shared" ca="1" si="545"/>
        <v>37.597001676151457</v>
      </c>
      <c r="AF1104">
        <f t="shared" ca="1" si="546"/>
        <v>6.9057463048238787E-3</v>
      </c>
      <c r="AG1104">
        <f t="shared" ca="1" si="547"/>
        <v>0</v>
      </c>
      <c r="AH1104">
        <f ca="1">IFERROR(IF(V32="Supercritical",MAX($D$16,IFERROR(L1104,MAX($D$16,POWER((ABS(K1104)^2)/($I$5*MAX(F1104,0.1)^2),1/3)))),IF(V32="Subcritical",MAX($D$16,IFERROR(W1104,MAX($D$16,POWER((ABS(K1104)^2)/($I$5*MAX(F1104,0.1)^2),1/3)))),IF(AND(IFERROR(V1104,0)=1,IFERROR(AG1104,0)=1),IF(IFERROR(T1104,-1E+99)&gt;=IFERROR(AE1104,-1E+99),MAX($D$16,IFERROR(L1104,MAX($D$16,POWER((ABS(K1104)^2)/($I$5*MAX(F1104,0.1)^2),1/3)))),MAX($D$16,IFERROR(W1104,MAX($D$16,POWER((ABS(K1104)^2)/($I$5*MAX(F1104,0.1)^2),1/3))))),IF(IFERROR(V1104,0)=1,MAX($D$16,IFERROR(L1104,MAX($D$16,POWER((ABS(K1104)^2)/($I$5*MAX(F1104,0.1)^2),1/3)))),IF(IFERROR(AG1104,0)=1,MAX($D$16,IFERROR(W1104,MAX($D$16,POWER((ABS(K1104)^2)/($I$5*MAX(F1104,0.1)^2),1/3)))),MAX($D$16,POWER((ABS(K1104)^2)/($I$5*MAX(F1104,0.1)^2),1/3))))))),MAX($D$16,POWER((ABS(K1104)^2)/($I$5*MAX(F1104,0.1)^2),1/3)))</f>
        <v>2.1389677043987478</v>
      </c>
      <c r="AI1104">
        <f t="shared" ca="1" si="548"/>
        <v>634.18096770439877</v>
      </c>
      <c r="AJ1104">
        <f t="shared" ca="1" si="549"/>
        <v>635.25045155659814</v>
      </c>
      <c r="AM1104">
        <v>0</v>
      </c>
      <c r="AN1104">
        <v>0</v>
      </c>
      <c r="AO1104">
        <f t="shared" si="550"/>
        <v>0</v>
      </c>
      <c r="AP1104">
        <f t="shared" si="559"/>
        <v>0</v>
      </c>
      <c r="AQ1104">
        <f t="shared" ca="1" si="551"/>
        <v>1.0000000000000004</v>
      </c>
      <c r="AR1104" t="str">
        <f t="shared" ca="1" si="552"/>
        <v>Supercritical</v>
      </c>
      <c r="AS1104">
        <f t="shared" ca="1" si="553"/>
        <v>3.8141460404132466E-3</v>
      </c>
    </row>
    <row r="1105" spans="1:45" x14ac:dyDescent="0.35">
      <c r="A1105">
        <v>1044</v>
      </c>
      <c r="B1105">
        <v>1042.9960000000001</v>
      </c>
      <c r="C1105">
        <v>616079.47600000002</v>
      </c>
      <c r="D1105">
        <v>3096964.0950000002</v>
      </c>
      <c r="E1105">
        <v>632.04150000000004</v>
      </c>
      <c r="F1105">
        <v>5.2</v>
      </c>
      <c r="G1105">
        <v>0</v>
      </c>
      <c r="H1105" t="s">
        <v>154</v>
      </c>
      <c r="I1105">
        <v>0</v>
      </c>
      <c r="J1105">
        <f t="shared" si="554"/>
        <v>1</v>
      </c>
      <c r="K1105">
        <f t="shared" ca="1" si="555"/>
        <v>50.95</v>
      </c>
      <c r="L1105">
        <f t="shared" ca="1" si="556"/>
        <v>2.1389677043987478</v>
      </c>
      <c r="M1105">
        <f t="shared" ca="1" si="529"/>
        <v>11.122632062873489</v>
      </c>
      <c r="N1105">
        <f t="shared" ca="1" si="530"/>
        <v>1.1735290000551568</v>
      </c>
      <c r="O1105">
        <f t="shared" ca="1" si="531"/>
        <v>4.5807502857230418</v>
      </c>
      <c r="P1105">
        <f t="shared" ca="1" si="532"/>
        <v>634.18046770439878</v>
      </c>
      <c r="Q1105">
        <f t="shared" ca="1" si="533"/>
        <v>635.24995155659815</v>
      </c>
      <c r="R1105">
        <f t="shared" ca="1" si="534"/>
        <v>3.8141460404132466E-3</v>
      </c>
      <c r="S1105">
        <f t="shared" ca="1" si="535"/>
        <v>1.0000000000000004</v>
      </c>
      <c r="T1105">
        <f t="shared" ca="1" si="536"/>
        <v>35.686426155594638</v>
      </c>
      <c r="U1105">
        <f t="shared" ca="1" si="557"/>
        <v>-3.3141460404522149E-3</v>
      </c>
      <c r="V1105">
        <f t="shared" ca="1" si="558"/>
        <v>1</v>
      </c>
      <c r="W1105">
        <f t="shared" ca="1" si="537"/>
        <v>1.6832891800344367</v>
      </c>
      <c r="X1105">
        <f t="shared" ca="1" si="538"/>
        <v>8.7531037361790709</v>
      </c>
      <c r="Y1105">
        <f t="shared" ca="1" si="539"/>
        <v>1.0217736146533885</v>
      </c>
      <c r="Z1105">
        <f t="shared" ca="1" si="540"/>
        <v>5.8207924338208334</v>
      </c>
      <c r="AA1105">
        <f t="shared" ca="1" si="541"/>
        <v>633.72478918003446</v>
      </c>
      <c r="AB1105">
        <f t="shared" ca="1" si="542"/>
        <v>635.45168135932227</v>
      </c>
      <c r="AC1105">
        <f t="shared" ca="1" si="543"/>
        <v>7.4075370488257321E-3</v>
      </c>
      <c r="AD1105">
        <f t="shared" ca="1" si="544"/>
        <v>1.4324129650858097</v>
      </c>
      <c r="AE1105">
        <f t="shared" ca="1" si="545"/>
        <v>37.598335178418836</v>
      </c>
      <c r="AF1105">
        <f t="shared" ca="1" si="546"/>
        <v>6.9075370488462795E-3</v>
      </c>
      <c r="AG1105">
        <f t="shared" ca="1" si="547"/>
        <v>0</v>
      </c>
      <c r="AH1105">
        <f ca="1">IFERROR(IF(V32="Supercritical",MAX($D$16,IFERROR(L1105,MAX($D$16,POWER((ABS(K1105)^2)/($I$5*MAX(F1105,0.1)^2),1/3)))),IF(V32="Subcritical",MAX($D$16,IFERROR(W1105,MAX($D$16,POWER((ABS(K1105)^2)/($I$5*MAX(F1105,0.1)^2),1/3)))),IF(AND(IFERROR(V1105,0)=1,IFERROR(AG1105,0)=1),IF(IFERROR(T1105,-1E+99)&gt;=IFERROR(AE1105,-1E+99),MAX($D$16,IFERROR(L1105,MAX($D$16,POWER((ABS(K1105)^2)/($I$5*MAX(F1105,0.1)^2),1/3)))),MAX($D$16,IFERROR(W1105,MAX($D$16,POWER((ABS(K1105)^2)/($I$5*MAX(F1105,0.1)^2),1/3))))),IF(IFERROR(V1105,0)=1,MAX($D$16,IFERROR(L1105,MAX($D$16,POWER((ABS(K1105)^2)/($I$5*MAX(F1105,0.1)^2),1/3)))),IF(IFERROR(AG1105,0)=1,MAX($D$16,IFERROR(W1105,MAX($D$16,POWER((ABS(K1105)^2)/($I$5*MAX(F1105,0.1)^2),1/3)))),MAX($D$16,POWER((ABS(K1105)^2)/($I$5*MAX(F1105,0.1)^2),1/3))))))),MAX($D$16,POWER((ABS(K1105)^2)/($I$5*MAX(F1105,0.1)^2),1/3)))</f>
        <v>2.1389677043987478</v>
      </c>
      <c r="AI1105">
        <f t="shared" ca="1" si="548"/>
        <v>634.18046770439878</v>
      </c>
      <c r="AJ1105">
        <f t="shared" ca="1" si="549"/>
        <v>635.24995155659815</v>
      </c>
      <c r="AM1105">
        <v>0</v>
      </c>
      <c r="AN1105">
        <v>0</v>
      </c>
      <c r="AO1105">
        <f t="shared" si="550"/>
        <v>0</v>
      </c>
      <c r="AP1105">
        <f t="shared" si="559"/>
        <v>0</v>
      </c>
      <c r="AQ1105">
        <f t="shared" ca="1" si="551"/>
        <v>1.0000000000000004</v>
      </c>
      <c r="AR1105" t="str">
        <f t="shared" ca="1" si="552"/>
        <v>Supercritical</v>
      </c>
      <c r="AS1105">
        <f t="shared" ca="1" si="553"/>
        <v>3.8141460404132466E-3</v>
      </c>
    </row>
    <row r="1106" spans="1:45" x14ac:dyDescent="0.35">
      <c r="A1106">
        <v>1045</v>
      </c>
      <c r="B1106">
        <v>1043.9960000000001</v>
      </c>
      <c r="C1106">
        <v>616079.43400000001</v>
      </c>
      <c r="D1106">
        <v>3096963.0959999999</v>
      </c>
      <c r="E1106">
        <v>632.04100000000005</v>
      </c>
      <c r="F1106">
        <v>5.2</v>
      </c>
      <c r="G1106">
        <v>0</v>
      </c>
      <c r="H1106" t="s">
        <v>154</v>
      </c>
      <c r="I1106">
        <v>0</v>
      </c>
      <c r="J1106">
        <f t="shared" si="554"/>
        <v>1</v>
      </c>
      <c r="K1106">
        <f t="shared" ca="1" si="555"/>
        <v>50.95</v>
      </c>
      <c r="L1106">
        <f t="shared" ca="1" si="556"/>
        <v>2.1389677043987478</v>
      </c>
      <c r="M1106">
        <f t="shared" ca="1" si="529"/>
        <v>11.122632062873489</v>
      </c>
      <c r="N1106">
        <f t="shared" ca="1" si="530"/>
        <v>1.1735290000551568</v>
      </c>
      <c r="O1106">
        <f t="shared" ca="1" si="531"/>
        <v>4.5807502857230418</v>
      </c>
      <c r="P1106">
        <f t="shared" ca="1" si="532"/>
        <v>634.17996770439879</v>
      </c>
      <c r="Q1106">
        <f t="shared" ca="1" si="533"/>
        <v>635.24945155659816</v>
      </c>
      <c r="R1106">
        <f t="shared" ca="1" si="534"/>
        <v>3.8141460404132466E-3</v>
      </c>
      <c r="S1106">
        <f t="shared" ca="1" si="535"/>
        <v>1.0000000000000004</v>
      </c>
      <c r="T1106">
        <f t="shared" ca="1" si="536"/>
        <v>35.686426155594638</v>
      </c>
      <c r="U1106">
        <f t="shared" ca="1" si="557"/>
        <v>-3.3141460404522149E-3</v>
      </c>
      <c r="V1106">
        <f t="shared" ca="1" si="558"/>
        <v>1</v>
      </c>
      <c r="W1106">
        <f t="shared" ca="1" si="537"/>
        <v>1.6831536494923836</v>
      </c>
      <c r="X1106">
        <f t="shared" ca="1" si="538"/>
        <v>8.7523989773603947</v>
      </c>
      <c r="Y1106">
        <f t="shared" ca="1" si="539"/>
        <v>1.0217236753107937</v>
      </c>
      <c r="Z1106">
        <f t="shared" ca="1" si="540"/>
        <v>5.8212611344376617</v>
      </c>
      <c r="AA1106">
        <f t="shared" ca="1" si="541"/>
        <v>633.72415364949245</v>
      </c>
      <c r="AB1106">
        <f t="shared" ca="1" si="542"/>
        <v>635.45132394487041</v>
      </c>
      <c r="AC1106">
        <f t="shared" ca="1" si="543"/>
        <v>7.4092128644079403E-3</v>
      </c>
      <c r="AD1106">
        <f t="shared" ca="1" si="544"/>
        <v>1.4325859792491156</v>
      </c>
      <c r="AE1106">
        <f t="shared" ca="1" si="545"/>
        <v>37.59958319426439</v>
      </c>
      <c r="AF1106">
        <f t="shared" ca="1" si="546"/>
        <v>7.0732940423567925E-3</v>
      </c>
      <c r="AG1106">
        <f t="shared" ca="1" si="547"/>
        <v>0</v>
      </c>
      <c r="AH1106">
        <f ca="1">IFERROR(IF(V32="Supercritical",MAX($D$16,IFERROR(L1106,MAX($D$16,POWER((ABS(K1106)^2)/($I$5*MAX(F1106,0.1)^2),1/3)))),IF(V32="Subcritical",MAX($D$16,IFERROR(W1106,MAX($D$16,POWER((ABS(K1106)^2)/($I$5*MAX(F1106,0.1)^2),1/3)))),IF(AND(IFERROR(V1106,0)=1,IFERROR(AG1106,0)=1),IF(IFERROR(T1106,-1E+99)&gt;=IFERROR(AE1106,-1E+99),MAX($D$16,IFERROR(L1106,MAX($D$16,POWER((ABS(K1106)^2)/($I$5*MAX(F1106,0.1)^2),1/3)))),MAX($D$16,IFERROR(W1106,MAX($D$16,POWER((ABS(K1106)^2)/($I$5*MAX(F1106,0.1)^2),1/3))))),IF(IFERROR(V1106,0)=1,MAX($D$16,IFERROR(L1106,MAX($D$16,POWER((ABS(K1106)^2)/($I$5*MAX(F1106,0.1)^2),1/3)))),IF(IFERROR(AG1106,0)=1,MAX($D$16,IFERROR(W1106,MAX($D$16,POWER((ABS(K1106)^2)/($I$5*MAX(F1106,0.1)^2),1/3)))),MAX($D$16,POWER((ABS(K1106)^2)/($I$5*MAX(F1106,0.1)^2),1/3))))))),MAX($D$16,POWER((ABS(K1106)^2)/($I$5*MAX(F1106,0.1)^2),1/3)))</f>
        <v>2.1389677043987478</v>
      </c>
      <c r="AI1106">
        <f t="shared" ca="1" si="548"/>
        <v>634.17996770439879</v>
      </c>
      <c r="AJ1106">
        <f t="shared" ca="1" si="549"/>
        <v>635.24945155659816</v>
      </c>
      <c r="AM1106">
        <v>0</v>
      </c>
      <c r="AN1106">
        <v>0</v>
      </c>
      <c r="AO1106">
        <f t="shared" si="550"/>
        <v>0</v>
      </c>
      <c r="AP1106">
        <f t="shared" si="559"/>
        <v>0</v>
      </c>
      <c r="AQ1106">
        <f t="shared" ca="1" si="551"/>
        <v>1.0000000000000004</v>
      </c>
      <c r="AR1106" t="str">
        <f t="shared" ca="1" si="552"/>
        <v>Supercritical</v>
      </c>
      <c r="AS1106">
        <f t="shared" ca="1" si="553"/>
        <v>3.8141460404132466E-3</v>
      </c>
    </row>
    <row r="1107" spans="1:45" x14ac:dyDescent="0.35">
      <c r="A1107">
        <v>1046</v>
      </c>
      <c r="B1107">
        <v>1044.9960000000001</v>
      </c>
      <c r="C1107">
        <v>616079.39199999999</v>
      </c>
      <c r="D1107">
        <v>3096962.0970000001</v>
      </c>
      <c r="E1107">
        <v>632.04049999999995</v>
      </c>
      <c r="F1107">
        <v>5.2</v>
      </c>
      <c r="G1107">
        <v>0</v>
      </c>
      <c r="H1107" t="s">
        <v>154</v>
      </c>
      <c r="I1107">
        <v>5.7000000000000002E-2</v>
      </c>
      <c r="J1107">
        <f t="shared" si="554"/>
        <v>1</v>
      </c>
      <c r="K1107">
        <f t="shared" ca="1" si="555"/>
        <v>50.95</v>
      </c>
      <c r="L1107">
        <f t="shared" ca="1" si="556"/>
        <v>2.1389677043987478</v>
      </c>
      <c r="M1107">
        <f t="shared" ca="1" si="529"/>
        <v>11.122632062873489</v>
      </c>
      <c r="N1107">
        <f t="shared" ca="1" si="530"/>
        <v>1.1735290000551568</v>
      </c>
      <c r="O1107">
        <f t="shared" ca="1" si="531"/>
        <v>4.5807502857230418</v>
      </c>
      <c r="P1107">
        <f t="shared" ca="1" si="532"/>
        <v>634.17946770439869</v>
      </c>
      <c r="Q1107">
        <f t="shared" ca="1" si="533"/>
        <v>635.24895155659806</v>
      </c>
      <c r="R1107">
        <f t="shared" ca="1" si="534"/>
        <v>3.8141460404132466E-3</v>
      </c>
      <c r="S1107">
        <f t="shared" ca="1" si="535"/>
        <v>1.0000000000000004</v>
      </c>
      <c r="T1107">
        <f t="shared" ca="1" si="536"/>
        <v>35.686426155594638</v>
      </c>
      <c r="U1107">
        <f t="shared" ca="1" si="557"/>
        <v>-3.4157470063291839E-3</v>
      </c>
      <c r="V1107">
        <f t="shared" ca="1" si="558"/>
        <v>1</v>
      </c>
      <c r="W1107">
        <f t="shared" ca="1" si="537"/>
        <v>1.6830268658723053</v>
      </c>
      <c r="X1107">
        <f t="shared" ca="1" si="538"/>
        <v>8.7517397025359873</v>
      </c>
      <c r="Y1107">
        <f t="shared" ca="1" si="539"/>
        <v>1.0216769561114531</v>
      </c>
      <c r="Z1107">
        <f t="shared" ca="1" si="540"/>
        <v>5.8216996542111792</v>
      </c>
      <c r="AA1107">
        <f t="shared" ca="1" si="541"/>
        <v>633.72352686587226</v>
      </c>
      <c r="AB1107">
        <f t="shared" ca="1" si="542"/>
        <v>635.45095738900386</v>
      </c>
      <c r="AC1107">
        <f t="shared" ca="1" si="543"/>
        <v>7.4107810048078763E-3</v>
      </c>
      <c r="AD1107">
        <f t="shared" ca="1" si="544"/>
        <v>1.4327478588905338</v>
      </c>
      <c r="AE1107">
        <f t="shared" ca="1" si="545"/>
        <v>37.600751106571856</v>
      </c>
      <c r="AF1107">
        <f t="shared" ca="1" si="546"/>
        <v>7.0674761234386096E-3</v>
      </c>
      <c r="AG1107">
        <f t="shared" ca="1" si="547"/>
        <v>0</v>
      </c>
      <c r="AH1107">
        <f ca="1">IFERROR(IF(V32="Supercritical",MAX($D$16,IFERROR(L1107,MAX($D$16,POWER((ABS(K1107)^2)/($I$5*MAX(F1107,0.1)^2),1/3)))),IF(V32="Subcritical",MAX($D$16,IFERROR(W1107,MAX($D$16,POWER((ABS(K1107)^2)/($I$5*MAX(F1107,0.1)^2),1/3)))),IF(AND(IFERROR(V1107,0)=1,IFERROR(AG1107,0)=1),IF(IFERROR(T1107,-1E+99)&gt;=IFERROR(AE1107,-1E+99),MAX($D$16,IFERROR(L1107,MAX($D$16,POWER((ABS(K1107)^2)/($I$5*MAX(F1107,0.1)^2),1/3)))),MAX($D$16,IFERROR(W1107,MAX($D$16,POWER((ABS(K1107)^2)/($I$5*MAX(F1107,0.1)^2),1/3))))),IF(IFERROR(V1107,0)=1,MAX($D$16,IFERROR(L1107,MAX($D$16,POWER((ABS(K1107)^2)/($I$5*MAX(F1107,0.1)^2),1/3)))),IF(IFERROR(AG1107,0)=1,MAX($D$16,IFERROR(W1107,MAX($D$16,POWER((ABS(K1107)^2)/($I$5*MAX(F1107,0.1)^2),1/3)))),MAX($D$16,POWER((ABS(K1107)^2)/($I$5*MAX(F1107,0.1)^2),1/3))))))),MAX($D$16,POWER((ABS(K1107)^2)/($I$5*MAX(F1107,0.1)^2),1/3)))</f>
        <v>2.1389677043987478</v>
      </c>
      <c r="AI1107">
        <f t="shared" ca="1" si="548"/>
        <v>634.17946770439869</v>
      </c>
      <c r="AJ1107">
        <f t="shared" ca="1" si="549"/>
        <v>635.24895155659806</v>
      </c>
      <c r="AM1107">
        <v>0</v>
      </c>
      <c r="AN1107">
        <v>0</v>
      </c>
      <c r="AO1107">
        <f t="shared" si="550"/>
        <v>0</v>
      </c>
      <c r="AP1107">
        <f t="shared" si="559"/>
        <v>0</v>
      </c>
      <c r="AQ1107">
        <f t="shared" ca="1" si="551"/>
        <v>1.0000000000000004</v>
      </c>
      <c r="AR1107" t="str">
        <f t="shared" ca="1" si="552"/>
        <v>Supercritical</v>
      </c>
      <c r="AS1107">
        <f t="shared" ca="1" si="553"/>
        <v>3.8141460404132466E-3</v>
      </c>
    </row>
    <row r="1108" spans="1:45" x14ac:dyDescent="0.35">
      <c r="A1108">
        <v>1047</v>
      </c>
      <c r="B1108">
        <v>1045.9949999999999</v>
      </c>
      <c r="C1108">
        <v>616079.34900000005</v>
      </c>
      <c r="D1108">
        <v>3096961.0980000002</v>
      </c>
      <c r="E1108">
        <v>632.04</v>
      </c>
      <c r="F1108">
        <v>5.2</v>
      </c>
      <c r="G1108">
        <v>0</v>
      </c>
      <c r="H1108" t="s">
        <v>154</v>
      </c>
      <c r="I1108">
        <v>5.7000000000000002E-2</v>
      </c>
      <c r="J1108">
        <f t="shared" si="554"/>
        <v>0.99899999999979627</v>
      </c>
      <c r="K1108">
        <f t="shared" ca="1" si="555"/>
        <v>50.95</v>
      </c>
      <c r="L1108">
        <f t="shared" ca="1" si="556"/>
        <v>2.1389677043987478</v>
      </c>
      <c r="M1108">
        <f t="shared" ca="1" si="529"/>
        <v>11.122632062873489</v>
      </c>
      <c r="N1108">
        <f t="shared" ca="1" si="530"/>
        <v>1.1735290000551568</v>
      </c>
      <c r="O1108">
        <f t="shared" ca="1" si="531"/>
        <v>4.5807502857230418</v>
      </c>
      <c r="P1108">
        <f t="shared" ca="1" si="532"/>
        <v>634.1789677043987</v>
      </c>
      <c r="Q1108">
        <f t="shared" ca="1" si="533"/>
        <v>635.24845155659807</v>
      </c>
      <c r="R1108">
        <f t="shared" ca="1" si="534"/>
        <v>3.8141460404132466E-3</v>
      </c>
      <c r="S1108">
        <f t="shared" ca="1" si="535"/>
        <v>1.0000000000000004</v>
      </c>
      <c r="T1108">
        <f t="shared" ca="1" si="536"/>
        <v>35.686426155594638</v>
      </c>
      <c r="U1108">
        <f t="shared" ca="1" si="557"/>
        <v>-3.411932860331035E-3</v>
      </c>
      <c r="V1108">
        <f t="shared" ca="1" si="558"/>
        <v>1</v>
      </c>
      <c r="W1108">
        <f t="shared" ca="1" si="537"/>
        <v>1.6829082710128129</v>
      </c>
      <c r="X1108">
        <f t="shared" ca="1" si="538"/>
        <v>8.7511230092666281</v>
      </c>
      <c r="Y1108">
        <f t="shared" ca="1" si="539"/>
        <v>1.0216332519301401</v>
      </c>
      <c r="Z1108">
        <f t="shared" ca="1" si="540"/>
        <v>5.8221099104707674</v>
      </c>
      <c r="AA1108">
        <f t="shared" ca="1" si="541"/>
        <v>633.72290827101278</v>
      </c>
      <c r="AB1108">
        <f t="shared" ca="1" si="542"/>
        <v>635.45058226742469</v>
      </c>
      <c r="AC1108">
        <f t="shared" ca="1" si="543"/>
        <v>7.4122482809182919E-3</v>
      </c>
      <c r="AD1108">
        <f t="shared" ca="1" si="544"/>
        <v>1.4328993105716059</v>
      </c>
      <c r="AE1108">
        <f t="shared" ca="1" si="545"/>
        <v>37.601843971496692</v>
      </c>
      <c r="AF1108">
        <f t="shared" ca="1" si="546"/>
        <v>6.9122482809689245E-3</v>
      </c>
      <c r="AG1108">
        <f t="shared" ca="1" si="547"/>
        <v>0</v>
      </c>
      <c r="AH1108">
        <f ca="1">IFERROR(IF(V32="Supercritical",MAX($D$16,IFERROR(L1108,MAX($D$16,POWER((ABS(K1108)^2)/($I$5*MAX(F1108,0.1)^2),1/3)))),IF(V32="Subcritical",MAX($D$16,IFERROR(W1108,MAX($D$16,POWER((ABS(K1108)^2)/($I$5*MAX(F1108,0.1)^2),1/3)))),IF(AND(IFERROR(V1108,0)=1,IFERROR(AG1108,0)=1),IF(IFERROR(T1108,-1E+99)&gt;=IFERROR(AE1108,-1E+99),MAX($D$16,IFERROR(L1108,MAX($D$16,POWER((ABS(K1108)^2)/($I$5*MAX(F1108,0.1)^2),1/3)))),MAX($D$16,IFERROR(W1108,MAX($D$16,POWER((ABS(K1108)^2)/($I$5*MAX(F1108,0.1)^2),1/3))))),IF(IFERROR(V1108,0)=1,MAX($D$16,IFERROR(L1108,MAX($D$16,POWER((ABS(K1108)^2)/($I$5*MAX(F1108,0.1)^2),1/3)))),IF(IFERROR(AG1108,0)=1,MAX($D$16,IFERROR(W1108,MAX($D$16,POWER((ABS(K1108)^2)/($I$5*MAX(F1108,0.1)^2),1/3)))),MAX($D$16,POWER((ABS(K1108)^2)/($I$5*MAX(F1108,0.1)^2),1/3))))))),MAX($D$16,POWER((ABS(K1108)^2)/($I$5*MAX(F1108,0.1)^2),1/3)))</f>
        <v>2.1389677043987478</v>
      </c>
      <c r="AI1108">
        <f t="shared" ca="1" si="548"/>
        <v>634.1789677043987</v>
      </c>
      <c r="AJ1108">
        <f t="shared" ca="1" si="549"/>
        <v>635.24845155659807</v>
      </c>
      <c r="AM1108">
        <v>0</v>
      </c>
      <c r="AN1108">
        <v>0</v>
      </c>
      <c r="AO1108">
        <f t="shared" si="550"/>
        <v>0</v>
      </c>
      <c r="AP1108">
        <f t="shared" si="559"/>
        <v>0</v>
      </c>
      <c r="AQ1108">
        <f t="shared" ca="1" si="551"/>
        <v>1.0000000000000004</v>
      </c>
      <c r="AR1108" t="str">
        <f t="shared" ca="1" si="552"/>
        <v>Supercritical</v>
      </c>
      <c r="AS1108">
        <f t="shared" ca="1" si="553"/>
        <v>3.8141460404132466E-3</v>
      </c>
    </row>
    <row r="1109" spans="1:45" x14ac:dyDescent="0.35">
      <c r="A1109">
        <v>1048</v>
      </c>
      <c r="B1109">
        <v>1046.9949999999999</v>
      </c>
      <c r="C1109">
        <v>616079.30700000003</v>
      </c>
      <c r="D1109">
        <v>3096960.0989999999</v>
      </c>
      <c r="E1109">
        <v>632.03949999999998</v>
      </c>
      <c r="F1109">
        <v>5.2</v>
      </c>
      <c r="G1109">
        <v>0</v>
      </c>
      <c r="H1109" t="s">
        <v>154</v>
      </c>
      <c r="I1109">
        <v>0</v>
      </c>
      <c r="J1109">
        <f t="shared" si="554"/>
        <v>1</v>
      </c>
      <c r="K1109">
        <f t="shared" ca="1" si="555"/>
        <v>50.95</v>
      </c>
      <c r="L1109">
        <f t="shared" ca="1" si="556"/>
        <v>2.1389677043987478</v>
      </c>
      <c r="M1109">
        <f t="shared" ca="1" si="529"/>
        <v>11.122632062873489</v>
      </c>
      <c r="N1109">
        <f t="shared" ca="1" si="530"/>
        <v>1.1735290000551568</v>
      </c>
      <c r="O1109">
        <f t="shared" ca="1" si="531"/>
        <v>4.5807502857230418</v>
      </c>
      <c r="P1109">
        <f t="shared" ca="1" si="532"/>
        <v>634.17846770439871</v>
      </c>
      <c r="Q1109">
        <f t="shared" ca="1" si="533"/>
        <v>635.24795155659808</v>
      </c>
      <c r="R1109">
        <f t="shared" ca="1" si="534"/>
        <v>3.8141460404132466E-3</v>
      </c>
      <c r="S1109">
        <f t="shared" ca="1" si="535"/>
        <v>1.0000000000000004</v>
      </c>
      <c r="T1109">
        <f t="shared" ca="1" si="536"/>
        <v>35.686426155594638</v>
      </c>
      <c r="U1109">
        <f t="shared" ca="1" si="557"/>
        <v>-3.3141460404522149E-3</v>
      </c>
      <c r="V1109">
        <f t="shared" ca="1" si="558"/>
        <v>1</v>
      </c>
      <c r="W1109">
        <f t="shared" ca="1" si="537"/>
        <v>1.6827973415731416</v>
      </c>
      <c r="X1109">
        <f t="shared" ca="1" si="538"/>
        <v>8.750546176180336</v>
      </c>
      <c r="Y1109">
        <f t="shared" ca="1" si="539"/>
        <v>1.021592370392912</v>
      </c>
      <c r="Z1109">
        <f t="shared" ca="1" si="540"/>
        <v>5.8224937020148353</v>
      </c>
      <c r="AA1109">
        <f t="shared" ca="1" si="541"/>
        <v>633.72229734157315</v>
      </c>
      <c r="AB1109">
        <f t="shared" ca="1" si="542"/>
        <v>635.45019912088014</v>
      </c>
      <c r="AC1109">
        <f t="shared" ca="1" si="543"/>
        <v>7.4136210862970767E-3</v>
      </c>
      <c r="AD1109">
        <f t="shared" ca="1" si="544"/>
        <v>1.4330409972737119</v>
      </c>
      <c r="AE1109">
        <f t="shared" ca="1" si="545"/>
        <v>37.602866536753957</v>
      </c>
      <c r="AF1109">
        <f t="shared" ca="1" si="546"/>
        <v>6.9193807588590062E-3</v>
      </c>
      <c r="AG1109">
        <f t="shared" ca="1" si="547"/>
        <v>0</v>
      </c>
      <c r="AH1109">
        <f ca="1">IFERROR(IF(V32="Supercritical",MAX($D$16,IFERROR(L1109,MAX($D$16,POWER((ABS(K1109)^2)/($I$5*MAX(F1109,0.1)^2),1/3)))),IF(V32="Subcritical",MAX($D$16,IFERROR(W1109,MAX($D$16,POWER((ABS(K1109)^2)/($I$5*MAX(F1109,0.1)^2),1/3)))),IF(AND(IFERROR(V1109,0)=1,IFERROR(AG1109,0)=1),IF(IFERROR(T1109,-1E+99)&gt;=IFERROR(AE1109,-1E+99),MAX($D$16,IFERROR(L1109,MAX($D$16,POWER((ABS(K1109)^2)/($I$5*MAX(F1109,0.1)^2),1/3)))),MAX($D$16,IFERROR(W1109,MAX($D$16,POWER((ABS(K1109)^2)/($I$5*MAX(F1109,0.1)^2),1/3))))),IF(IFERROR(V1109,0)=1,MAX($D$16,IFERROR(L1109,MAX($D$16,POWER((ABS(K1109)^2)/($I$5*MAX(F1109,0.1)^2),1/3)))),IF(IFERROR(AG1109,0)=1,MAX($D$16,IFERROR(W1109,MAX($D$16,POWER((ABS(K1109)^2)/($I$5*MAX(F1109,0.1)^2),1/3)))),MAX($D$16,POWER((ABS(K1109)^2)/($I$5*MAX(F1109,0.1)^2),1/3))))))),MAX($D$16,POWER((ABS(K1109)^2)/($I$5*MAX(F1109,0.1)^2),1/3)))</f>
        <v>2.1389677043987478</v>
      </c>
      <c r="AI1109">
        <f t="shared" ca="1" si="548"/>
        <v>634.17846770439871</v>
      </c>
      <c r="AJ1109">
        <f t="shared" ca="1" si="549"/>
        <v>635.24795155659808</v>
      </c>
      <c r="AM1109">
        <v>0</v>
      </c>
      <c r="AN1109">
        <v>0</v>
      </c>
      <c r="AO1109">
        <f t="shared" si="550"/>
        <v>0</v>
      </c>
      <c r="AP1109">
        <f t="shared" si="559"/>
        <v>0</v>
      </c>
      <c r="AQ1109">
        <f t="shared" ca="1" si="551"/>
        <v>1.0000000000000004</v>
      </c>
      <c r="AR1109" t="str">
        <f t="shared" ca="1" si="552"/>
        <v>Supercritical</v>
      </c>
      <c r="AS1109">
        <f t="shared" ca="1" si="553"/>
        <v>3.8141460404132466E-3</v>
      </c>
    </row>
    <row r="1110" spans="1:45" x14ac:dyDescent="0.35">
      <c r="A1110">
        <v>1049</v>
      </c>
      <c r="B1110">
        <v>1047.9949999999999</v>
      </c>
      <c r="C1110">
        <v>616079.26500000001</v>
      </c>
      <c r="D1110">
        <v>3096959.1</v>
      </c>
      <c r="E1110">
        <v>632.03899999999999</v>
      </c>
      <c r="F1110">
        <v>5.2</v>
      </c>
      <c r="G1110">
        <v>0</v>
      </c>
      <c r="H1110" t="s">
        <v>154</v>
      </c>
      <c r="I1110">
        <v>2E-3</v>
      </c>
      <c r="J1110">
        <f t="shared" si="554"/>
        <v>1</v>
      </c>
      <c r="K1110">
        <f t="shared" ca="1" si="555"/>
        <v>50.95</v>
      </c>
      <c r="L1110">
        <f t="shared" ca="1" si="556"/>
        <v>2.1389677043987478</v>
      </c>
      <c r="M1110">
        <f t="shared" ca="1" si="529"/>
        <v>11.122632062873489</v>
      </c>
      <c r="N1110">
        <f t="shared" ca="1" si="530"/>
        <v>1.1735290000551568</v>
      </c>
      <c r="O1110">
        <f t="shared" ca="1" si="531"/>
        <v>4.5807502857230418</v>
      </c>
      <c r="P1110">
        <f t="shared" ca="1" si="532"/>
        <v>634.17796770439872</v>
      </c>
      <c r="Q1110">
        <f t="shared" ca="1" si="533"/>
        <v>635.24745155659809</v>
      </c>
      <c r="R1110">
        <f t="shared" ca="1" si="534"/>
        <v>3.8141460404132466E-3</v>
      </c>
      <c r="S1110">
        <f t="shared" ca="1" si="535"/>
        <v>1.0000000000000004</v>
      </c>
      <c r="T1110">
        <f t="shared" ca="1" si="536"/>
        <v>35.686426155594638</v>
      </c>
      <c r="U1110">
        <f t="shared" ca="1" si="557"/>
        <v>-3.3177109866073806E-3</v>
      </c>
      <c r="V1110">
        <f t="shared" ca="1" si="558"/>
        <v>1</v>
      </c>
      <c r="W1110">
        <f t="shared" ca="1" si="537"/>
        <v>1.6826935869611059</v>
      </c>
      <c r="X1110">
        <f t="shared" ca="1" si="538"/>
        <v>8.7500066521977509</v>
      </c>
      <c r="Y1110">
        <f t="shared" ca="1" si="539"/>
        <v>1.0215541311241159</v>
      </c>
      <c r="Z1110">
        <f t="shared" ca="1" si="540"/>
        <v>5.822852716026544</v>
      </c>
      <c r="AA1110">
        <f t="shared" ca="1" si="541"/>
        <v>633.72169358696112</v>
      </c>
      <c r="AB1110">
        <f t="shared" ca="1" si="542"/>
        <v>635.44980845712109</v>
      </c>
      <c r="AC1110">
        <f t="shared" ca="1" si="543"/>
        <v>7.4149054210408925E-3</v>
      </c>
      <c r="AD1110">
        <f t="shared" ca="1" si="544"/>
        <v>1.4331735409279449</v>
      </c>
      <c r="AE1110">
        <f t="shared" ca="1" si="545"/>
        <v>37.603823259082453</v>
      </c>
      <c r="AF1110">
        <f t="shared" ca="1" si="546"/>
        <v>7.0951318134575558E-3</v>
      </c>
      <c r="AG1110">
        <f t="shared" ca="1" si="547"/>
        <v>0</v>
      </c>
      <c r="AH1110">
        <f ca="1">IFERROR(IF(V32="Supercritical",MAX($D$16,IFERROR(L1110,MAX($D$16,POWER((ABS(K1110)^2)/($I$5*MAX(F1110,0.1)^2),1/3)))),IF(V32="Subcritical",MAX($D$16,IFERROR(W1110,MAX($D$16,POWER((ABS(K1110)^2)/($I$5*MAX(F1110,0.1)^2),1/3)))),IF(AND(IFERROR(V1110,0)=1,IFERROR(AG1110,0)=1),IF(IFERROR(T1110,-1E+99)&gt;=IFERROR(AE1110,-1E+99),MAX($D$16,IFERROR(L1110,MAX($D$16,POWER((ABS(K1110)^2)/($I$5*MAX(F1110,0.1)^2),1/3)))),MAX($D$16,IFERROR(W1110,MAX($D$16,POWER((ABS(K1110)^2)/($I$5*MAX(F1110,0.1)^2),1/3))))),IF(IFERROR(V1110,0)=1,MAX($D$16,IFERROR(L1110,MAX($D$16,POWER((ABS(K1110)^2)/($I$5*MAX(F1110,0.1)^2),1/3)))),IF(IFERROR(AG1110,0)=1,MAX($D$16,IFERROR(W1110,MAX($D$16,POWER((ABS(K1110)^2)/($I$5*MAX(F1110,0.1)^2),1/3)))),MAX($D$16,POWER((ABS(K1110)^2)/($I$5*MAX(F1110,0.1)^2),1/3))))))),MAX($D$16,POWER((ABS(K1110)^2)/($I$5*MAX(F1110,0.1)^2),1/3)))</f>
        <v>2.1389677043987478</v>
      </c>
      <c r="AI1110">
        <f t="shared" ca="1" si="548"/>
        <v>634.17796770439872</v>
      </c>
      <c r="AJ1110">
        <f t="shared" ca="1" si="549"/>
        <v>635.24745155659809</v>
      </c>
      <c r="AM1110">
        <v>0</v>
      </c>
      <c r="AN1110">
        <v>0</v>
      </c>
      <c r="AO1110">
        <f t="shared" si="550"/>
        <v>0</v>
      </c>
      <c r="AP1110">
        <f t="shared" si="559"/>
        <v>0</v>
      </c>
      <c r="AQ1110">
        <f t="shared" ca="1" si="551"/>
        <v>1.0000000000000004</v>
      </c>
      <c r="AR1110" t="str">
        <f t="shared" ca="1" si="552"/>
        <v>Supercritical</v>
      </c>
      <c r="AS1110">
        <f t="shared" ca="1" si="553"/>
        <v>3.8141460404132466E-3</v>
      </c>
    </row>
    <row r="1111" spans="1:45" x14ac:dyDescent="0.35">
      <c r="A1111">
        <v>1050</v>
      </c>
      <c r="B1111">
        <v>1048.9960000000001</v>
      </c>
      <c r="C1111">
        <v>616079.223</v>
      </c>
      <c r="D1111">
        <v>3096958.1</v>
      </c>
      <c r="E1111">
        <v>632.0385</v>
      </c>
      <c r="F1111">
        <v>5.2</v>
      </c>
      <c r="G1111">
        <v>0</v>
      </c>
      <c r="H1111" t="s">
        <v>154</v>
      </c>
      <c r="I1111">
        <v>0.06</v>
      </c>
      <c r="J1111">
        <f t="shared" si="554"/>
        <v>1.0010000000002037</v>
      </c>
      <c r="K1111">
        <f t="shared" ca="1" si="555"/>
        <v>50.95</v>
      </c>
      <c r="L1111">
        <f t="shared" ca="1" si="556"/>
        <v>2.1389677043987478</v>
      </c>
      <c r="M1111">
        <f t="shared" ca="1" si="529"/>
        <v>11.122632062873489</v>
      </c>
      <c r="N1111">
        <f t="shared" ca="1" si="530"/>
        <v>1.1735290000551568</v>
      </c>
      <c r="O1111">
        <f t="shared" ca="1" si="531"/>
        <v>4.5807502857230418</v>
      </c>
      <c r="P1111">
        <f t="shared" ca="1" si="532"/>
        <v>634.17746770439874</v>
      </c>
      <c r="Q1111">
        <f t="shared" ca="1" si="533"/>
        <v>635.24695155659811</v>
      </c>
      <c r="R1111">
        <f t="shared" ca="1" si="534"/>
        <v>3.8141460404132466E-3</v>
      </c>
      <c r="S1111">
        <f t="shared" ca="1" si="535"/>
        <v>1.0000000000000004</v>
      </c>
      <c r="T1111">
        <f t="shared" ca="1" si="536"/>
        <v>35.686426155594638</v>
      </c>
      <c r="U1111">
        <f t="shared" ca="1" si="557"/>
        <v>-3.4249085716737682E-3</v>
      </c>
      <c r="V1111">
        <f t="shared" ca="1" si="558"/>
        <v>1</v>
      </c>
      <c r="W1111">
        <f t="shared" ca="1" si="537"/>
        <v>1.6825965473717115</v>
      </c>
      <c r="X1111">
        <f t="shared" ca="1" si="538"/>
        <v>8.7495020463328999</v>
      </c>
      <c r="Y1111">
        <f t="shared" ca="1" si="539"/>
        <v>1.0215183650328432</v>
      </c>
      <c r="Z1111">
        <f t="shared" ca="1" si="540"/>
        <v>5.8231885346382901</v>
      </c>
      <c r="AA1111">
        <f t="shared" ca="1" si="541"/>
        <v>633.72109654737176</v>
      </c>
      <c r="AB1111">
        <f t="shared" ca="1" si="542"/>
        <v>635.44941075277154</v>
      </c>
      <c r="AC1111">
        <f t="shared" ca="1" si="543"/>
        <v>7.4161069145095657E-3</v>
      </c>
      <c r="AD1111">
        <f t="shared" ca="1" si="544"/>
        <v>1.4332975248182029</v>
      </c>
      <c r="AE1111">
        <f t="shared" ca="1" si="545"/>
        <v>37.60471832089317</v>
      </c>
      <c r="AF1111">
        <f t="shared" ca="1" si="546"/>
        <v>7.0802967641157011E-3</v>
      </c>
      <c r="AG1111">
        <f t="shared" ca="1" si="547"/>
        <v>0</v>
      </c>
      <c r="AH1111">
        <f ca="1">IFERROR(IF(V32="Supercritical",MAX($D$16,IFERROR(L1111,MAX($D$16,POWER((ABS(K1111)^2)/($I$5*MAX(F1111,0.1)^2),1/3)))),IF(V32="Subcritical",MAX($D$16,IFERROR(W1111,MAX($D$16,POWER((ABS(K1111)^2)/($I$5*MAX(F1111,0.1)^2),1/3)))),IF(AND(IFERROR(V1111,0)=1,IFERROR(AG1111,0)=1),IF(IFERROR(T1111,-1E+99)&gt;=IFERROR(AE1111,-1E+99),MAX($D$16,IFERROR(L1111,MAX($D$16,POWER((ABS(K1111)^2)/($I$5*MAX(F1111,0.1)^2),1/3)))),MAX($D$16,IFERROR(W1111,MAX($D$16,POWER((ABS(K1111)^2)/($I$5*MAX(F1111,0.1)^2),1/3))))),IF(IFERROR(V1111,0)=1,MAX($D$16,IFERROR(L1111,MAX($D$16,POWER((ABS(K1111)^2)/($I$5*MAX(F1111,0.1)^2),1/3)))),IF(IFERROR(AG1111,0)=1,MAX($D$16,IFERROR(W1111,MAX($D$16,POWER((ABS(K1111)^2)/($I$5*MAX(F1111,0.1)^2),1/3)))),MAX($D$16,POWER((ABS(K1111)^2)/($I$5*MAX(F1111,0.1)^2),1/3))))))),MAX($D$16,POWER((ABS(K1111)^2)/($I$5*MAX(F1111,0.1)^2),1/3)))</f>
        <v>2.1389677043987478</v>
      </c>
      <c r="AI1111">
        <f t="shared" ca="1" si="548"/>
        <v>634.17746770439874</v>
      </c>
      <c r="AJ1111">
        <f t="shared" ca="1" si="549"/>
        <v>635.24695155659811</v>
      </c>
      <c r="AM1111">
        <v>0</v>
      </c>
      <c r="AN1111">
        <v>0</v>
      </c>
      <c r="AO1111">
        <f t="shared" si="550"/>
        <v>0</v>
      </c>
      <c r="AP1111">
        <f t="shared" si="559"/>
        <v>0</v>
      </c>
      <c r="AQ1111">
        <f t="shared" ca="1" si="551"/>
        <v>1.0000000000000004</v>
      </c>
      <c r="AR1111" t="str">
        <f t="shared" ca="1" si="552"/>
        <v>Supercritical</v>
      </c>
      <c r="AS1111">
        <f t="shared" ca="1" si="553"/>
        <v>3.8141460404132466E-3</v>
      </c>
    </row>
    <row r="1112" spans="1:45" x14ac:dyDescent="0.35">
      <c r="A1112">
        <v>1051</v>
      </c>
      <c r="B1112">
        <v>1049.9960000000001</v>
      </c>
      <c r="C1112">
        <v>616079.18000000005</v>
      </c>
      <c r="D1112">
        <v>3096957.1009999998</v>
      </c>
      <c r="E1112">
        <v>632.03800000000001</v>
      </c>
      <c r="F1112">
        <v>5.2</v>
      </c>
      <c r="G1112">
        <v>0</v>
      </c>
      <c r="H1112" t="s">
        <v>154</v>
      </c>
      <c r="I1112">
        <v>5.7000000000000002E-2</v>
      </c>
      <c r="J1112">
        <f t="shared" si="554"/>
        <v>1</v>
      </c>
      <c r="K1112">
        <f t="shared" ca="1" si="555"/>
        <v>50.95</v>
      </c>
      <c r="L1112">
        <f t="shared" ca="1" si="556"/>
        <v>2.1389677043987478</v>
      </c>
      <c r="M1112">
        <f t="shared" ca="1" si="529"/>
        <v>11.122632062873489</v>
      </c>
      <c r="N1112">
        <f t="shared" ca="1" si="530"/>
        <v>1.1735290000551568</v>
      </c>
      <c r="O1112">
        <f t="shared" ca="1" si="531"/>
        <v>4.5807502857230418</v>
      </c>
      <c r="P1112">
        <f t="shared" ca="1" si="532"/>
        <v>634.17696770439875</v>
      </c>
      <c r="Q1112">
        <f t="shared" ca="1" si="533"/>
        <v>635.24645155659812</v>
      </c>
      <c r="R1112">
        <f t="shared" ca="1" si="534"/>
        <v>3.8141460404132466E-3</v>
      </c>
      <c r="S1112">
        <f t="shared" ca="1" si="535"/>
        <v>1.0000000000000004</v>
      </c>
      <c r="T1112">
        <f t="shared" ca="1" si="536"/>
        <v>35.686426155594638</v>
      </c>
      <c r="U1112">
        <f t="shared" ca="1" si="557"/>
        <v>-3.4157470064428708E-3</v>
      </c>
      <c r="V1112">
        <f t="shared" ca="1" si="558"/>
        <v>1</v>
      </c>
      <c r="W1112">
        <f t="shared" ca="1" si="537"/>
        <v>1.6825057919320936</v>
      </c>
      <c r="X1112">
        <f t="shared" ca="1" si="538"/>
        <v>8.7490301180468872</v>
      </c>
      <c r="Y1112">
        <f t="shared" ca="1" si="539"/>
        <v>1.0214849136374056</v>
      </c>
      <c r="Z1112">
        <f t="shared" ca="1" si="540"/>
        <v>5.8235026411560646</v>
      </c>
      <c r="AA1112">
        <f t="shared" ca="1" si="541"/>
        <v>633.72050579193206</v>
      </c>
      <c r="AB1112">
        <f t="shared" ca="1" si="542"/>
        <v>635.44900645511007</v>
      </c>
      <c r="AC1112">
        <f t="shared" ca="1" si="543"/>
        <v>7.4172308469282874E-3</v>
      </c>
      <c r="AD1112">
        <f t="shared" ca="1" si="544"/>
        <v>1.4334134958612623</v>
      </c>
      <c r="AE1112">
        <f t="shared" ca="1" si="545"/>
        <v>37.605555646117168</v>
      </c>
      <c r="AF1112">
        <f t="shared" ca="1" si="546"/>
        <v>6.9172308469660493E-3</v>
      </c>
      <c r="AG1112">
        <f t="shared" ca="1" si="547"/>
        <v>0</v>
      </c>
      <c r="AH1112">
        <f ca="1">IFERROR(IF(V32="Supercritical",MAX($D$16,IFERROR(L1112,MAX($D$16,POWER((ABS(K1112)^2)/($I$5*MAX(F1112,0.1)^2),1/3)))),IF(V32="Subcritical",MAX($D$16,IFERROR(W1112,MAX($D$16,POWER((ABS(K1112)^2)/($I$5*MAX(F1112,0.1)^2),1/3)))),IF(AND(IFERROR(V1112,0)=1,IFERROR(AG1112,0)=1),IF(IFERROR(T1112,-1E+99)&gt;=IFERROR(AE1112,-1E+99),MAX($D$16,IFERROR(L1112,MAX($D$16,POWER((ABS(K1112)^2)/($I$5*MAX(F1112,0.1)^2),1/3)))),MAX($D$16,IFERROR(W1112,MAX($D$16,POWER((ABS(K1112)^2)/($I$5*MAX(F1112,0.1)^2),1/3))))),IF(IFERROR(V1112,0)=1,MAX($D$16,IFERROR(L1112,MAX($D$16,POWER((ABS(K1112)^2)/($I$5*MAX(F1112,0.1)^2),1/3)))),IF(IFERROR(AG1112,0)=1,MAX($D$16,IFERROR(W1112,MAX($D$16,POWER((ABS(K1112)^2)/($I$5*MAX(F1112,0.1)^2),1/3)))),MAX($D$16,POWER((ABS(K1112)^2)/($I$5*MAX(F1112,0.1)^2),1/3))))))),MAX($D$16,POWER((ABS(K1112)^2)/($I$5*MAX(F1112,0.1)^2),1/3)))</f>
        <v>2.1389677043987478</v>
      </c>
      <c r="AI1112">
        <f t="shared" ca="1" si="548"/>
        <v>634.17696770439875</v>
      </c>
      <c r="AJ1112">
        <f t="shared" ca="1" si="549"/>
        <v>635.24645155659812</v>
      </c>
      <c r="AM1112">
        <v>0</v>
      </c>
      <c r="AN1112">
        <v>0</v>
      </c>
      <c r="AO1112">
        <f t="shared" si="550"/>
        <v>0</v>
      </c>
      <c r="AP1112">
        <f t="shared" si="559"/>
        <v>0</v>
      </c>
      <c r="AQ1112">
        <f t="shared" ca="1" si="551"/>
        <v>1.0000000000000004</v>
      </c>
      <c r="AR1112" t="str">
        <f t="shared" ca="1" si="552"/>
        <v>Supercritical</v>
      </c>
      <c r="AS1112">
        <f t="shared" ca="1" si="553"/>
        <v>3.8141460404132466E-3</v>
      </c>
    </row>
    <row r="1113" spans="1:45" x14ac:dyDescent="0.35">
      <c r="A1113">
        <v>1052</v>
      </c>
      <c r="B1113">
        <v>1050.9960000000001</v>
      </c>
      <c r="C1113">
        <v>616079.13800000004</v>
      </c>
      <c r="D1113">
        <v>3096956.102</v>
      </c>
      <c r="E1113">
        <v>632.03750000000002</v>
      </c>
      <c r="F1113">
        <v>5.2</v>
      </c>
      <c r="G1113">
        <v>0</v>
      </c>
      <c r="H1113" t="s">
        <v>154</v>
      </c>
      <c r="I1113">
        <v>0</v>
      </c>
      <c r="J1113">
        <f t="shared" si="554"/>
        <v>1</v>
      </c>
      <c r="K1113">
        <f t="shared" ca="1" si="555"/>
        <v>50.95</v>
      </c>
      <c r="L1113">
        <f t="shared" ca="1" si="556"/>
        <v>2.1389677043987478</v>
      </c>
      <c r="M1113">
        <f t="shared" ca="1" si="529"/>
        <v>11.122632062873489</v>
      </c>
      <c r="N1113">
        <f t="shared" ca="1" si="530"/>
        <v>1.1735290000551568</v>
      </c>
      <c r="O1113">
        <f t="shared" ca="1" si="531"/>
        <v>4.5807502857230418</v>
      </c>
      <c r="P1113">
        <f t="shared" ca="1" si="532"/>
        <v>634.17646770439876</v>
      </c>
      <c r="Q1113">
        <f t="shared" ca="1" si="533"/>
        <v>635.24595155659813</v>
      </c>
      <c r="R1113">
        <f t="shared" ca="1" si="534"/>
        <v>3.8141460404132466E-3</v>
      </c>
      <c r="S1113">
        <f t="shared" ca="1" si="535"/>
        <v>1.0000000000000004</v>
      </c>
      <c r="T1113">
        <f t="shared" ca="1" si="536"/>
        <v>35.686426155594638</v>
      </c>
      <c r="U1113">
        <f t="shared" ca="1" si="557"/>
        <v>-3.3141460404522149E-3</v>
      </c>
      <c r="V1113">
        <f t="shared" ca="1" si="558"/>
        <v>1</v>
      </c>
      <c r="W1113">
        <f t="shared" ca="1" si="537"/>
        <v>1.6824209169482951</v>
      </c>
      <c r="X1113">
        <f t="shared" ca="1" si="538"/>
        <v>8.7485887681311354</v>
      </c>
      <c r="Y1113">
        <f t="shared" ca="1" si="539"/>
        <v>1.0214536284263114</v>
      </c>
      <c r="Z1113">
        <f t="shared" ca="1" si="540"/>
        <v>5.8237964259558961</v>
      </c>
      <c r="AA1113">
        <f t="shared" ca="1" si="541"/>
        <v>633.71992091694835</v>
      </c>
      <c r="AB1113">
        <f t="shared" ca="1" si="542"/>
        <v>635.44859598376672</v>
      </c>
      <c r="AC1113">
        <f t="shared" ca="1" si="543"/>
        <v>7.4182821698999318E-3</v>
      </c>
      <c r="AD1113">
        <f t="shared" ca="1" si="544"/>
        <v>1.433521966768029</v>
      </c>
      <c r="AE1113">
        <f t="shared" ca="1" si="545"/>
        <v>37.606338915272659</v>
      </c>
      <c r="AF1113">
        <f t="shared" ca="1" si="546"/>
        <v>6.9182821698632324E-3</v>
      </c>
      <c r="AG1113">
        <f t="shared" ca="1" si="547"/>
        <v>0</v>
      </c>
      <c r="AH1113">
        <f ca="1">IFERROR(IF(V32="Supercritical",MAX($D$16,IFERROR(L1113,MAX($D$16,POWER((ABS(K1113)^2)/($I$5*MAX(F1113,0.1)^2),1/3)))),IF(V32="Subcritical",MAX($D$16,IFERROR(W1113,MAX($D$16,POWER((ABS(K1113)^2)/($I$5*MAX(F1113,0.1)^2),1/3)))),IF(AND(IFERROR(V1113,0)=1,IFERROR(AG1113,0)=1),IF(IFERROR(T1113,-1E+99)&gt;=IFERROR(AE1113,-1E+99),MAX($D$16,IFERROR(L1113,MAX($D$16,POWER((ABS(K1113)^2)/($I$5*MAX(F1113,0.1)^2),1/3)))),MAX($D$16,IFERROR(W1113,MAX($D$16,POWER((ABS(K1113)^2)/($I$5*MAX(F1113,0.1)^2),1/3))))),IF(IFERROR(V1113,0)=1,MAX($D$16,IFERROR(L1113,MAX($D$16,POWER((ABS(K1113)^2)/($I$5*MAX(F1113,0.1)^2),1/3)))),IF(IFERROR(AG1113,0)=1,MAX($D$16,IFERROR(W1113,MAX($D$16,POWER((ABS(K1113)^2)/($I$5*MAX(F1113,0.1)^2),1/3)))),MAX($D$16,POWER((ABS(K1113)^2)/($I$5*MAX(F1113,0.1)^2),1/3))))))),MAX($D$16,POWER((ABS(K1113)^2)/($I$5*MAX(F1113,0.1)^2),1/3)))</f>
        <v>2.1389677043987478</v>
      </c>
      <c r="AI1113">
        <f t="shared" ca="1" si="548"/>
        <v>634.17646770439876</v>
      </c>
      <c r="AJ1113">
        <f t="shared" ca="1" si="549"/>
        <v>635.24595155659813</v>
      </c>
      <c r="AM1113">
        <v>0</v>
      </c>
      <c r="AN1113">
        <v>0</v>
      </c>
      <c r="AO1113">
        <f t="shared" si="550"/>
        <v>0</v>
      </c>
      <c r="AP1113">
        <f t="shared" si="559"/>
        <v>0</v>
      </c>
      <c r="AQ1113">
        <f t="shared" ca="1" si="551"/>
        <v>1.0000000000000004</v>
      </c>
      <c r="AR1113" t="str">
        <f t="shared" ca="1" si="552"/>
        <v>Supercritical</v>
      </c>
      <c r="AS1113">
        <f t="shared" ca="1" si="553"/>
        <v>3.8141460404132466E-3</v>
      </c>
    </row>
    <row r="1114" spans="1:45" x14ac:dyDescent="0.35">
      <c r="A1114">
        <v>1053</v>
      </c>
      <c r="B1114">
        <v>1051.9960000000001</v>
      </c>
      <c r="C1114">
        <v>616079.09600000002</v>
      </c>
      <c r="D1114">
        <v>3096955.1030000001</v>
      </c>
      <c r="E1114">
        <v>632.03700000000003</v>
      </c>
      <c r="F1114">
        <v>5.2</v>
      </c>
      <c r="G1114">
        <v>0</v>
      </c>
      <c r="H1114" t="s">
        <v>154</v>
      </c>
      <c r="I1114">
        <v>0</v>
      </c>
      <c r="J1114">
        <f t="shared" si="554"/>
        <v>1</v>
      </c>
      <c r="K1114">
        <f t="shared" ca="1" si="555"/>
        <v>50.95</v>
      </c>
      <c r="L1114">
        <f t="shared" ca="1" si="556"/>
        <v>2.1389677043987478</v>
      </c>
      <c r="M1114">
        <f t="shared" ca="1" si="529"/>
        <v>11.122632062873489</v>
      </c>
      <c r="N1114">
        <f t="shared" ca="1" si="530"/>
        <v>1.1735290000551568</v>
      </c>
      <c r="O1114">
        <f t="shared" ca="1" si="531"/>
        <v>4.5807502857230418</v>
      </c>
      <c r="P1114">
        <f t="shared" ca="1" si="532"/>
        <v>634.17596770439877</v>
      </c>
      <c r="Q1114">
        <f t="shared" ca="1" si="533"/>
        <v>635.24545155659814</v>
      </c>
      <c r="R1114">
        <f t="shared" ca="1" si="534"/>
        <v>3.8141460404132466E-3</v>
      </c>
      <c r="S1114">
        <f t="shared" ca="1" si="535"/>
        <v>1.0000000000000004</v>
      </c>
      <c r="T1114">
        <f t="shared" ca="1" si="536"/>
        <v>35.686426155594638</v>
      </c>
      <c r="U1114">
        <f t="shared" ca="1" si="557"/>
        <v>-3.3141460404522149E-3</v>
      </c>
      <c r="V1114">
        <f t="shared" ca="1" si="558"/>
        <v>1</v>
      </c>
      <c r="W1114">
        <f t="shared" ca="1" si="537"/>
        <v>1.6823415442499463</v>
      </c>
      <c r="X1114">
        <f t="shared" ca="1" si="538"/>
        <v>8.7481760300997209</v>
      </c>
      <c r="Y1114">
        <f t="shared" ca="1" si="539"/>
        <v>1.0214243702544243</v>
      </c>
      <c r="Z1114">
        <f t="shared" ca="1" si="540"/>
        <v>5.8240711920630179</v>
      </c>
      <c r="AA1114">
        <f t="shared" ca="1" si="541"/>
        <v>633.71934154425003</v>
      </c>
      <c r="AB1114">
        <f t="shared" ca="1" si="542"/>
        <v>635.44817973233455</v>
      </c>
      <c r="AC1114">
        <f t="shared" ca="1" si="543"/>
        <v>7.419265525855449E-3</v>
      </c>
      <c r="AD1114">
        <f t="shared" ca="1" si="544"/>
        <v>1.4336234180896272</v>
      </c>
      <c r="AE1114">
        <f t="shared" ca="1" si="545"/>
        <v>37.607071579768274</v>
      </c>
      <c r="AF1114">
        <f t="shared" ca="1" si="546"/>
        <v>7.0835051537869731E-3</v>
      </c>
      <c r="AG1114">
        <f t="shared" ca="1" si="547"/>
        <v>0</v>
      </c>
      <c r="AH1114">
        <f ca="1">IFERROR(IF(V32="Supercritical",MAX($D$16,IFERROR(L1114,MAX($D$16,POWER((ABS(K1114)^2)/($I$5*MAX(F1114,0.1)^2),1/3)))),IF(V32="Subcritical",MAX($D$16,IFERROR(W1114,MAX($D$16,POWER((ABS(K1114)^2)/($I$5*MAX(F1114,0.1)^2),1/3)))),IF(AND(IFERROR(V1114,0)=1,IFERROR(AG1114,0)=1),IF(IFERROR(T1114,-1E+99)&gt;=IFERROR(AE1114,-1E+99),MAX($D$16,IFERROR(L1114,MAX($D$16,POWER((ABS(K1114)^2)/($I$5*MAX(F1114,0.1)^2),1/3)))),MAX($D$16,IFERROR(W1114,MAX($D$16,POWER((ABS(K1114)^2)/($I$5*MAX(F1114,0.1)^2),1/3))))),IF(IFERROR(V1114,0)=1,MAX($D$16,IFERROR(L1114,MAX($D$16,POWER((ABS(K1114)^2)/($I$5*MAX(F1114,0.1)^2),1/3)))),IF(IFERROR(AG1114,0)=1,MAX($D$16,IFERROR(W1114,MAX($D$16,POWER((ABS(K1114)^2)/($I$5*MAX(F1114,0.1)^2),1/3)))),MAX($D$16,POWER((ABS(K1114)^2)/($I$5*MAX(F1114,0.1)^2),1/3))))))),MAX($D$16,POWER((ABS(K1114)^2)/($I$5*MAX(F1114,0.1)^2),1/3)))</f>
        <v>2.1389677043987478</v>
      </c>
      <c r="AI1114">
        <f t="shared" ca="1" si="548"/>
        <v>634.17596770439877</v>
      </c>
      <c r="AJ1114">
        <f t="shared" ca="1" si="549"/>
        <v>635.24545155659814</v>
      </c>
      <c r="AM1114">
        <v>0</v>
      </c>
      <c r="AN1114">
        <v>0</v>
      </c>
      <c r="AO1114">
        <f t="shared" si="550"/>
        <v>0</v>
      </c>
      <c r="AP1114">
        <f t="shared" si="559"/>
        <v>0</v>
      </c>
      <c r="AQ1114">
        <f t="shared" ca="1" si="551"/>
        <v>1.0000000000000004</v>
      </c>
      <c r="AR1114" t="str">
        <f t="shared" ca="1" si="552"/>
        <v>Supercritical</v>
      </c>
      <c r="AS1114">
        <f t="shared" ca="1" si="553"/>
        <v>3.8141460404132466E-3</v>
      </c>
    </row>
    <row r="1115" spans="1:45" x14ac:dyDescent="0.35">
      <c r="A1115">
        <v>1054</v>
      </c>
      <c r="B1115">
        <v>1052.9960000000001</v>
      </c>
      <c r="C1115">
        <v>616079.054</v>
      </c>
      <c r="D1115">
        <v>3096954.1039999998</v>
      </c>
      <c r="E1115">
        <v>632.03650000000005</v>
      </c>
      <c r="F1115">
        <v>5.2</v>
      </c>
      <c r="G1115">
        <v>0</v>
      </c>
      <c r="H1115" t="s">
        <v>154</v>
      </c>
      <c r="I1115">
        <v>5.7000000000000002E-2</v>
      </c>
      <c r="J1115">
        <f t="shared" si="554"/>
        <v>1</v>
      </c>
      <c r="K1115">
        <f t="shared" ca="1" si="555"/>
        <v>50.95</v>
      </c>
      <c r="L1115">
        <f t="shared" ca="1" si="556"/>
        <v>2.1389677043987478</v>
      </c>
      <c r="M1115">
        <f t="shared" ca="1" si="529"/>
        <v>11.122632062873489</v>
      </c>
      <c r="N1115">
        <f t="shared" ca="1" si="530"/>
        <v>1.1735290000551568</v>
      </c>
      <c r="O1115">
        <f t="shared" ca="1" si="531"/>
        <v>4.5807502857230418</v>
      </c>
      <c r="P1115">
        <f t="shared" ca="1" si="532"/>
        <v>634.17546770439878</v>
      </c>
      <c r="Q1115">
        <f t="shared" ca="1" si="533"/>
        <v>635.24495155659815</v>
      </c>
      <c r="R1115">
        <f t="shared" ca="1" si="534"/>
        <v>3.8141460404132466E-3</v>
      </c>
      <c r="S1115">
        <f t="shared" ca="1" si="535"/>
        <v>1.0000000000000004</v>
      </c>
      <c r="T1115">
        <f t="shared" ca="1" si="536"/>
        <v>35.686426155594638</v>
      </c>
      <c r="U1115">
        <f t="shared" ca="1" si="557"/>
        <v>-3.4157470064428708E-3</v>
      </c>
      <c r="V1115">
        <f t="shared" ca="1" si="558"/>
        <v>1</v>
      </c>
      <c r="W1115">
        <f t="shared" ca="1" si="537"/>
        <v>1.6822673196280884</v>
      </c>
      <c r="X1115">
        <f t="shared" ca="1" si="538"/>
        <v>8.7477900620660591</v>
      </c>
      <c r="Y1115">
        <f t="shared" ca="1" si="539"/>
        <v>1.0213970087726563</v>
      </c>
      <c r="Z1115">
        <f t="shared" ca="1" si="540"/>
        <v>5.8243281604275943</v>
      </c>
      <c r="AA1115">
        <f t="shared" ca="1" si="541"/>
        <v>633.71876731962811</v>
      </c>
      <c r="AB1115">
        <f t="shared" ca="1" si="542"/>
        <v>635.44775806990083</v>
      </c>
      <c r="AC1115">
        <f t="shared" ca="1" si="543"/>
        <v>7.4201852664831109E-3</v>
      </c>
      <c r="AD1115">
        <f t="shared" ca="1" si="544"/>
        <v>1.4337183001531932</v>
      </c>
      <c r="AE1115">
        <f t="shared" ca="1" si="545"/>
        <v>37.607756875469441</v>
      </c>
      <c r="AF1115">
        <f t="shared" ca="1" si="546"/>
        <v>7.084439387654129E-3</v>
      </c>
      <c r="AG1115">
        <f t="shared" ca="1" si="547"/>
        <v>0</v>
      </c>
      <c r="AH1115">
        <f ca="1">IFERROR(IF(V32="Supercritical",MAX($D$16,IFERROR(L1115,MAX($D$16,POWER((ABS(K1115)^2)/($I$5*MAX(F1115,0.1)^2),1/3)))),IF(V32="Subcritical",MAX($D$16,IFERROR(W1115,MAX($D$16,POWER((ABS(K1115)^2)/($I$5*MAX(F1115,0.1)^2),1/3)))),IF(AND(IFERROR(V1115,0)=1,IFERROR(AG1115,0)=1),IF(IFERROR(T1115,-1E+99)&gt;=IFERROR(AE1115,-1E+99),MAX($D$16,IFERROR(L1115,MAX($D$16,POWER((ABS(K1115)^2)/($I$5*MAX(F1115,0.1)^2),1/3)))),MAX($D$16,IFERROR(W1115,MAX($D$16,POWER((ABS(K1115)^2)/($I$5*MAX(F1115,0.1)^2),1/3))))),IF(IFERROR(V1115,0)=1,MAX($D$16,IFERROR(L1115,MAX($D$16,POWER((ABS(K1115)^2)/($I$5*MAX(F1115,0.1)^2),1/3)))),IF(IFERROR(AG1115,0)=1,MAX($D$16,IFERROR(W1115,MAX($D$16,POWER((ABS(K1115)^2)/($I$5*MAX(F1115,0.1)^2),1/3)))),MAX($D$16,POWER((ABS(K1115)^2)/($I$5*MAX(F1115,0.1)^2),1/3))))))),MAX($D$16,POWER((ABS(K1115)^2)/($I$5*MAX(F1115,0.1)^2),1/3)))</f>
        <v>2.1389677043987478</v>
      </c>
      <c r="AI1115">
        <f t="shared" ca="1" si="548"/>
        <v>634.17546770439878</v>
      </c>
      <c r="AJ1115">
        <f t="shared" ca="1" si="549"/>
        <v>635.24495155659815</v>
      </c>
      <c r="AM1115">
        <v>0</v>
      </c>
      <c r="AN1115">
        <v>0</v>
      </c>
      <c r="AO1115">
        <f t="shared" si="550"/>
        <v>0</v>
      </c>
      <c r="AP1115">
        <f t="shared" si="559"/>
        <v>0</v>
      </c>
      <c r="AQ1115">
        <f t="shared" ca="1" si="551"/>
        <v>1.0000000000000004</v>
      </c>
      <c r="AR1115" t="str">
        <f t="shared" ca="1" si="552"/>
        <v>Supercritical</v>
      </c>
      <c r="AS1115">
        <f t="shared" ca="1" si="553"/>
        <v>3.8141460404132466E-3</v>
      </c>
    </row>
    <row r="1116" spans="1:45" x14ac:dyDescent="0.35">
      <c r="A1116">
        <v>1055</v>
      </c>
      <c r="B1116">
        <v>1053.9960000000001</v>
      </c>
      <c r="C1116">
        <v>616079.01100000006</v>
      </c>
      <c r="D1116">
        <v>3096953.105</v>
      </c>
      <c r="E1116">
        <v>632.03599999999994</v>
      </c>
      <c r="F1116">
        <v>5.2</v>
      </c>
      <c r="G1116">
        <v>0</v>
      </c>
      <c r="H1116" t="s">
        <v>154</v>
      </c>
      <c r="I1116">
        <v>5.7000000000000002E-2</v>
      </c>
      <c r="J1116">
        <f t="shared" si="554"/>
        <v>1</v>
      </c>
      <c r="K1116">
        <f t="shared" ca="1" si="555"/>
        <v>50.95</v>
      </c>
      <c r="L1116">
        <f t="shared" ca="1" si="556"/>
        <v>2.1389677043987478</v>
      </c>
      <c r="M1116">
        <f t="shared" ca="1" si="529"/>
        <v>11.122632062873489</v>
      </c>
      <c r="N1116">
        <f t="shared" ca="1" si="530"/>
        <v>1.1735290000551568</v>
      </c>
      <c r="O1116">
        <f t="shared" ca="1" si="531"/>
        <v>4.5807502857230418</v>
      </c>
      <c r="P1116">
        <f t="shared" ca="1" si="532"/>
        <v>634.17496770439868</v>
      </c>
      <c r="Q1116">
        <f t="shared" ca="1" si="533"/>
        <v>635.24445155659805</v>
      </c>
      <c r="R1116">
        <f t="shared" ca="1" si="534"/>
        <v>3.8141460404132466E-3</v>
      </c>
      <c r="S1116">
        <f t="shared" ca="1" si="535"/>
        <v>1.0000000000000004</v>
      </c>
      <c r="T1116">
        <f t="shared" ca="1" si="536"/>
        <v>35.686426155594638</v>
      </c>
      <c r="U1116">
        <f t="shared" ca="1" si="557"/>
        <v>-3.4157470063291839E-3</v>
      </c>
      <c r="V1116">
        <f t="shared" ca="1" si="558"/>
        <v>1</v>
      </c>
      <c r="W1116">
        <f t="shared" ca="1" si="537"/>
        <v>1.6821979113621675</v>
      </c>
      <c r="X1116">
        <f t="shared" ca="1" si="538"/>
        <v>8.7474291390832715</v>
      </c>
      <c r="Y1116">
        <f t="shared" ca="1" si="539"/>
        <v>1.0213714218898295</v>
      </c>
      <c r="Z1116">
        <f t="shared" ca="1" si="540"/>
        <v>5.8245684749084523</v>
      </c>
      <c r="AA1116">
        <f t="shared" ca="1" si="541"/>
        <v>633.71819791136215</v>
      </c>
      <c r="AB1116">
        <f t="shared" ca="1" si="542"/>
        <v>635.44733134249861</v>
      </c>
      <c r="AC1116">
        <f t="shared" ca="1" si="543"/>
        <v>7.4210454701695424E-3</v>
      </c>
      <c r="AD1116">
        <f t="shared" ca="1" si="544"/>
        <v>1.4338070348913863</v>
      </c>
      <c r="AE1116">
        <f t="shared" ca="1" si="545"/>
        <v>37.608397835549454</v>
      </c>
      <c r="AF1116">
        <f t="shared" ca="1" si="546"/>
        <v>6.9136244246692513E-3</v>
      </c>
      <c r="AG1116">
        <f t="shared" ca="1" si="547"/>
        <v>0</v>
      </c>
      <c r="AH1116">
        <f ca="1">IFERROR(IF(V32="Supercritical",MAX($D$16,IFERROR(L1116,MAX($D$16,POWER((ABS(K1116)^2)/($I$5*MAX(F1116,0.1)^2),1/3)))),IF(V32="Subcritical",MAX($D$16,IFERROR(W1116,MAX($D$16,POWER((ABS(K1116)^2)/($I$5*MAX(F1116,0.1)^2),1/3)))),IF(AND(IFERROR(V1116,0)=1,IFERROR(AG1116,0)=1),IF(IFERROR(T1116,-1E+99)&gt;=IFERROR(AE1116,-1E+99),MAX($D$16,IFERROR(L1116,MAX($D$16,POWER((ABS(K1116)^2)/($I$5*MAX(F1116,0.1)^2),1/3)))),MAX($D$16,IFERROR(W1116,MAX($D$16,POWER((ABS(K1116)^2)/($I$5*MAX(F1116,0.1)^2),1/3))))),IF(IFERROR(V1116,0)=1,MAX($D$16,IFERROR(L1116,MAX($D$16,POWER((ABS(K1116)^2)/($I$5*MAX(F1116,0.1)^2),1/3)))),IF(IFERROR(AG1116,0)=1,MAX($D$16,IFERROR(W1116,MAX($D$16,POWER((ABS(K1116)^2)/($I$5*MAX(F1116,0.1)^2),1/3)))),MAX($D$16,POWER((ABS(K1116)^2)/($I$5*MAX(F1116,0.1)^2),1/3))))))),MAX($D$16,POWER((ABS(K1116)^2)/($I$5*MAX(F1116,0.1)^2),1/3)))</f>
        <v>2.1389677043987478</v>
      </c>
      <c r="AI1116">
        <f t="shared" ca="1" si="548"/>
        <v>634.17496770439868</v>
      </c>
      <c r="AJ1116">
        <f t="shared" ca="1" si="549"/>
        <v>635.24445155659805</v>
      </c>
      <c r="AM1116">
        <v>0</v>
      </c>
      <c r="AN1116">
        <v>0</v>
      </c>
      <c r="AO1116">
        <f t="shared" si="550"/>
        <v>0</v>
      </c>
      <c r="AP1116">
        <f t="shared" si="559"/>
        <v>0</v>
      </c>
      <c r="AQ1116">
        <f t="shared" ca="1" si="551"/>
        <v>1.0000000000000004</v>
      </c>
      <c r="AR1116" t="str">
        <f t="shared" ca="1" si="552"/>
        <v>Supercritical</v>
      </c>
      <c r="AS1116">
        <f t="shared" ca="1" si="553"/>
        <v>3.8141460404132466E-3</v>
      </c>
    </row>
    <row r="1117" spans="1:45" x14ac:dyDescent="0.35">
      <c r="A1117">
        <v>1056</v>
      </c>
      <c r="B1117">
        <v>1054.9949999999999</v>
      </c>
      <c r="C1117">
        <v>616078.96900000004</v>
      </c>
      <c r="D1117">
        <v>3096952.1060000001</v>
      </c>
      <c r="E1117">
        <v>632.03549999999996</v>
      </c>
      <c r="F1117">
        <v>5.2</v>
      </c>
      <c r="G1117">
        <v>0</v>
      </c>
      <c r="H1117" t="s">
        <v>154</v>
      </c>
      <c r="I1117">
        <v>0</v>
      </c>
      <c r="J1117">
        <f t="shared" si="554"/>
        <v>0.99899999999979627</v>
      </c>
      <c r="K1117">
        <f t="shared" ca="1" si="555"/>
        <v>50.95</v>
      </c>
      <c r="L1117">
        <f t="shared" ca="1" si="556"/>
        <v>2.1389677043987478</v>
      </c>
      <c r="M1117">
        <f t="shared" ca="1" si="529"/>
        <v>11.122632062873489</v>
      </c>
      <c r="N1117">
        <f t="shared" ca="1" si="530"/>
        <v>1.1735290000551568</v>
      </c>
      <c r="O1117">
        <f t="shared" ca="1" si="531"/>
        <v>4.5807502857230418</v>
      </c>
      <c r="P1117">
        <f t="shared" ca="1" si="532"/>
        <v>634.17446770439869</v>
      </c>
      <c r="Q1117">
        <f t="shared" ca="1" si="533"/>
        <v>635.24395155659806</v>
      </c>
      <c r="R1117">
        <f t="shared" ca="1" si="534"/>
        <v>3.8141460404132466E-3</v>
      </c>
      <c r="S1117">
        <f t="shared" ca="1" si="535"/>
        <v>1.0000000000000004</v>
      </c>
      <c r="T1117">
        <f t="shared" ca="1" si="536"/>
        <v>35.686426155594638</v>
      </c>
      <c r="U1117">
        <f t="shared" ca="1" si="557"/>
        <v>-3.3103318943403792E-3</v>
      </c>
      <c r="V1117">
        <f t="shared" ca="1" si="558"/>
        <v>1</v>
      </c>
      <c r="W1117">
        <f t="shared" ca="1" si="537"/>
        <v>1.6821330088317816</v>
      </c>
      <c r="X1117">
        <f t="shared" ca="1" si="538"/>
        <v>8.7470916459252646</v>
      </c>
      <c r="Y1117">
        <f t="shared" ca="1" si="539"/>
        <v>1.0213474952651667</v>
      </c>
      <c r="Z1117">
        <f t="shared" ca="1" si="540"/>
        <v>5.8247932069780584</v>
      </c>
      <c r="AA1117">
        <f t="shared" ca="1" si="541"/>
        <v>633.71763300883174</v>
      </c>
      <c r="AB1117">
        <f t="shared" ca="1" si="542"/>
        <v>635.44689987448203</v>
      </c>
      <c r="AC1117">
        <f t="shared" ca="1" si="543"/>
        <v>7.4218499584931341E-3</v>
      </c>
      <c r="AD1117">
        <f t="shared" ca="1" si="544"/>
        <v>1.433890017570322</v>
      </c>
      <c r="AE1117">
        <f t="shared" ca="1" si="545"/>
        <v>37.60899730265298</v>
      </c>
      <c r="AF1117">
        <f t="shared" ca="1" si="546"/>
        <v>7.0861303107676576E-3</v>
      </c>
      <c r="AG1117">
        <f t="shared" ca="1" si="547"/>
        <v>0</v>
      </c>
      <c r="AH1117">
        <f ca="1">IFERROR(IF(V32="Supercritical",MAX($D$16,IFERROR(L1117,MAX($D$16,POWER((ABS(K1117)^2)/($I$5*MAX(F1117,0.1)^2),1/3)))),IF(V32="Subcritical",MAX($D$16,IFERROR(W1117,MAX($D$16,POWER((ABS(K1117)^2)/($I$5*MAX(F1117,0.1)^2),1/3)))),IF(AND(IFERROR(V1117,0)=1,IFERROR(AG1117,0)=1),IF(IFERROR(T1117,-1E+99)&gt;=IFERROR(AE1117,-1E+99),MAX($D$16,IFERROR(L1117,MAX($D$16,POWER((ABS(K1117)^2)/($I$5*MAX(F1117,0.1)^2),1/3)))),MAX($D$16,IFERROR(W1117,MAX($D$16,POWER((ABS(K1117)^2)/($I$5*MAX(F1117,0.1)^2),1/3))))),IF(IFERROR(V1117,0)=1,MAX($D$16,IFERROR(L1117,MAX($D$16,POWER((ABS(K1117)^2)/($I$5*MAX(F1117,0.1)^2),1/3)))),IF(IFERROR(AG1117,0)=1,MAX($D$16,IFERROR(W1117,MAX($D$16,POWER((ABS(K1117)^2)/($I$5*MAX(F1117,0.1)^2),1/3)))),MAX($D$16,POWER((ABS(K1117)^2)/($I$5*MAX(F1117,0.1)^2),1/3))))))),MAX($D$16,POWER((ABS(K1117)^2)/($I$5*MAX(F1117,0.1)^2),1/3)))</f>
        <v>2.1389677043987478</v>
      </c>
      <c r="AI1117">
        <f t="shared" ca="1" si="548"/>
        <v>634.17446770439869</v>
      </c>
      <c r="AJ1117">
        <f t="shared" ca="1" si="549"/>
        <v>635.24395155659806</v>
      </c>
      <c r="AM1117">
        <v>0</v>
      </c>
      <c r="AN1117">
        <v>0</v>
      </c>
      <c r="AO1117">
        <f t="shared" si="550"/>
        <v>0</v>
      </c>
      <c r="AP1117">
        <f t="shared" si="559"/>
        <v>0</v>
      </c>
      <c r="AQ1117">
        <f t="shared" ca="1" si="551"/>
        <v>1.0000000000000004</v>
      </c>
      <c r="AR1117" t="str">
        <f t="shared" ca="1" si="552"/>
        <v>Supercritical</v>
      </c>
      <c r="AS1117">
        <f t="shared" ca="1" si="553"/>
        <v>3.8141460404132466E-3</v>
      </c>
    </row>
    <row r="1118" spans="1:45" x14ac:dyDescent="0.35">
      <c r="A1118">
        <v>1057</v>
      </c>
      <c r="B1118">
        <v>1055.9949999999999</v>
      </c>
      <c r="C1118">
        <v>616078.92700000003</v>
      </c>
      <c r="D1118">
        <v>3096951.1069999998</v>
      </c>
      <c r="E1118">
        <v>632.03499999999997</v>
      </c>
      <c r="F1118">
        <v>5.2</v>
      </c>
      <c r="G1118">
        <v>0</v>
      </c>
      <c r="H1118" t="s">
        <v>154</v>
      </c>
      <c r="I1118">
        <v>5.7000000000000002E-2</v>
      </c>
      <c r="J1118">
        <f t="shared" si="554"/>
        <v>1</v>
      </c>
      <c r="K1118">
        <f t="shared" ca="1" si="555"/>
        <v>50.95</v>
      </c>
      <c r="L1118">
        <f t="shared" ca="1" si="556"/>
        <v>2.1389677043987478</v>
      </c>
      <c r="M1118">
        <f t="shared" ca="1" si="529"/>
        <v>11.122632062873489</v>
      </c>
      <c r="N1118">
        <f t="shared" ca="1" si="530"/>
        <v>1.1735290000551568</v>
      </c>
      <c r="O1118">
        <f t="shared" ca="1" si="531"/>
        <v>4.5807502857230418</v>
      </c>
      <c r="P1118">
        <f t="shared" ca="1" si="532"/>
        <v>634.17396770439871</v>
      </c>
      <c r="Q1118">
        <f t="shared" ca="1" si="533"/>
        <v>635.24345155659807</v>
      </c>
      <c r="R1118">
        <f t="shared" ca="1" si="534"/>
        <v>3.8141460404132466E-3</v>
      </c>
      <c r="S1118">
        <f t="shared" ca="1" si="535"/>
        <v>1.0000000000000004</v>
      </c>
      <c r="T1118">
        <f t="shared" ca="1" si="536"/>
        <v>35.686426155594638</v>
      </c>
      <c r="U1118">
        <f t="shared" ca="1" si="557"/>
        <v>-3.4157470064428708E-3</v>
      </c>
      <c r="V1118">
        <f t="shared" ca="1" si="558"/>
        <v>1</v>
      </c>
      <c r="W1118">
        <f t="shared" ca="1" si="537"/>
        <v>1.6820723212091573</v>
      </c>
      <c r="X1118">
        <f t="shared" ca="1" si="538"/>
        <v>8.7467760702876181</v>
      </c>
      <c r="Y1118">
        <f t="shared" ca="1" si="539"/>
        <v>1.021325121829999</v>
      </c>
      <c r="Z1118">
        <f t="shared" ca="1" si="540"/>
        <v>5.8250033601608626</v>
      </c>
      <c r="AA1118">
        <f t="shared" ca="1" si="541"/>
        <v>633.71707232120912</v>
      </c>
      <c r="AB1118">
        <f t="shared" ca="1" si="542"/>
        <v>635.44646396982716</v>
      </c>
      <c r="AC1118">
        <f t="shared" ca="1" si="543"/>
        <v>7.4226023118069799E-3</v>
      </c>
      <c r="AD1118">
        <f t="shared" ca="1" si="544"/>
        <v>1.4339676184202352</v>
      </c>
      <c r="AE1118">
        <f t="shared" ca="1" si="545"/>
        <v>37.60955794039721</v>
      </c>
      <c r="AF1118">
        <f t="shared" ca="1" si="546"/>
        <v>7.0868945184656695E-3</v>
      </c>
      <c r="AG1118">
        <f t="shared" ca="1" si="547"/>
        <v>0</v>
      </c>
      <c r="AH1118">
        <f ca="1">IFERROR(IF(V32="Supercritical",MAX($D$16,IFERROR(L1118,MAX($D$16,POWER((ABS(K1118)^2)/($I$5*MAX(F1118,0.1)^2),1/3)))),IF(V32="Subcritical",MAX($D$16,IFERROR(W1118,MAX($D$16,POWER((ABS(K1118)^2)/($I$5*MAX(F1118,0.1)^2),1/3)))),IF(AND(IFERROR(V1118,0)=1,IFERROR(AG1118,0)=1),IF(IFERROR(T1118,-1E+99)&gt;=IFERROR(AE1118,-1E+99),MAX($D$16,IFERROR(L1118,MAX($D$16,POWER((ABS(K1118)^2)/($I$5*MAX(F1118,0.1)^2),1/3)))),MAX($D$16,IFERROR(W1118,MAX($D$16,POWER((ABS(K1118)^2)/($I$5*MAX(F1118,0.1)^2),1/3))))),IF(IFERROR(V1118,0)=1,MAX($D$16,IFERROR(L1118,MAX($D$16,POWER((ABS(K1118)^2)/($I$5*MAX(F1118,0.1)^2),1/3)))),IF(IFERROR(AG1118,0)=1,MAX($D$16,IFERROR(W1118,MAX($D$16,POWER((ABS(K1118)^2)/($I$5*MAX(F1118,0.1)^2),1/3)))),MAX($D$16,POWER((ABS(K1118)^2)/($I$5*MAX(F1118,0.1)^2),1/3))))))),MAX($D$16,POWER((ABS(K1118)^2)/($I$5*MAX(F1118,0.1)^2),1/3)))</f>
        <v>2.1389677043987478</v>
      </c>
      <c r="AI1118">
        <f t="shared" ca="1" si="548"/>
        <v>634.17396770439871</v>
      </c>
      <c r="AJ1118">
        <f t="shared" ca="1" si="549"/>
        <v>635.24345155659807</v>
      </c>
      <c r="AM1118">
        <v>0</v>
      </c>
      <c r="AN1118">
        <v>0</v>
      </c>
      <c r="AO1118">
        <f t="shared" si="550"/>
        <v>0</v>
      </c>
      <c r="AP1118">
        <f t="shared" si="559"/>
        <v>0</v>
      </c>
      <c r="AQ1118">
        <f t="shared" ca="1" si="551"/>
        <v>1.0000000000000004</v>
      </c>
      <c r="AR1118" t="str">
        <f t="shared" ca="1" si="552"/>
        <v>Supercritical</v>
      </c>
      <c r="AS1118">
        <f t="shared" ca="1" si="553"/>
        <v>3.8141460404132466E-3</v>
      </c>
    </row>
    <row r="1119" spans="1:45" x14ac:dyDescent="0.35">
      <c r="A1119">
        <v>1058</v>
      </c>
      <c r="B1119">
        <v>1056.9949999999999</v>
      </c>
      <c r="C1119">
        <v>616078.88399999996</v>
      </c>
      <c r="D1119">
        <v>3096950.108</v>
      </c>
      <c r="E1119">
        <v>632.03449999999998</v>
      </c>
      <c r="F1119">
        <v>5.2</v>
      </c>
      <c r="G1119">
        <v>0</v>
      </c>
      <c r="H1119" t="s">
        <v>154</v>
      </c>
      <c r="I1119">
        <v>5.7000000000000002E-2</v>
      </c>
      <c r="J1119">
        <f t="shared" si="554"/>
        <v>1</v>
      </c>
      <c r="K1119">
        <f t="shared" ca="1" si="555"/>
        <v>50.95</v>
      </c>
      <c r="L1119">
        <f t="shared" ca="1" si="556"/>
        <v>2.1389677043987478</v>
      </c>
      <c r="M1119">
        <f t="shared" ca="1" si="529"/>
        <v>11.122632062873489</v>
      </c>
      <c r="N1119">
        <f t="shared" ca="1" si="530"/>
        <v>1.1735290000551568</v>
      </c>
      <c r="O1119">
        <f t="shared" ca="1" si="531"/>
        <v>4.5807502857230418</v>
      </c>
      <c r="P1119">
        <f t="shared" ca="1" si="532"/>
        <v>634.17346770439872</v>
      </c>
      <c r="Q1119">
        <f t="shared" ca="1" si="533"/>
        <v>635.24295155659809</v>
      </c>
      <c r="R1119">
        <f t="shared" ca="1" si="534"/>
        <v>3.8141460404132466E-3</v>
      </c>
      <c r="S1119">
        <f t="shared" ca="1" si="535"/>
        <v>1.0000000000000004</v>
      </c>
      <c r="T1119">
        <f t="shared" ca="1" si="536"/>
        <v>35.686426155594638</v>
      </c>
      <c r="U1119">
        <f t="shared" ca="1" si="557"/>
        <v>-3.4157470064428708E-3</v>
      </c>
      <c r="V1119">
        <f t="shared" ca="1" si="558"/>
        <v>1</v>
      </c>
      <c r="W1119">
        <f t="shared" ca="1" si="537"/>
        <v>1.6820155762282447</v>
      </c>
      <c r="X1119">
        <f t="shared" ca="1" si="538"/>
        <v>8.7464809963868735</v>
      </c>
      <c r="Y1119">
        <f t="shared" ca="1" si="539"/>
        <v>1.0213042013372464</v>
      </c>
      <c r="Z1119">
        <f t="shared" ca="1" si="540"/>
        <v>5.8251998742176641</v>
      </c>
      <c r="AA1119">
        <f t="shared" ca="1" si="541"/>
        <v>633.71651557622818</v>
      </c>
      <c r="AB1119">
        <f t="shared" ca="1" si="542"/>
        <v>635.44602391336298</v>
      </c>
      <c r="AC1119">
        <f t="shared" ca="1" si="543"/>
        <v>7.4233058839513156E-3</v>
      </c>
      <c r="AD1119">
        <f t="shared" ca="1" si="544"/>
        <v>1.4340401841734012</v>
      </c>
      <c r="AE1119">
        <f t="shared" ca="1" si="545"/>
        <v>37.610082244238541</v>
      </c>
      <c r="AF1119">
        <f t="shared" ca="1" si="546"/>
        <v>6.9290709118376981E-3</v>
      </c>
      <c r="AG1119">
        <f t="shared" ca="1" si="547"/>
        <v>0</v>
      </c>
      <c r="AH1119">
        <f ca="1">IFERROR(IF(V32="Supercritical",MAX($D$16,IFERROR(L1119,MAX($D$16,POWER((ABS(K1119)^2)/($I$5*MAX(F1119,0.1)^2),1/3)))),IF(V32="Subcritical",MAX($D$16,IFERROR(W1119,MAX($D$16,POWER((ABS(K1119)^2)/($I$5*MAX(F1119,0.1)^2),1/3)))),IF(AND(IFERROR(V1119,0)=1,IFERROR(AG1119,0)=1),IF(IFERROR(T1119,-1E+99)&gt;=IFERROR(AE1119,-1E+99),MAX($D$16,IFERROR(L1119,MAX($D$16,POWER((ABS(K1119)^2)/($I$5*MAX(F1119,0.1)^2),1/3)))),MAX($D$16,IFERROR(W1119,MAX($D$16,POWER((ABS(K1119)^2)/($I$5*MAX(F1119,0.1)^2),1/3))))),IF(IFERROR(V1119,0)=1,MAX($D$16,IFERROR(L1119,MAX($D$16,POWER((ABS(K1119)^2)/($I$5*MAX(F1119,0.1)^2),1/3)))),IF(IFERROR(AG1119,0)=1,MAX($D$16,IFERROR(W1119,MAX($D$16,POWER((ABS(K1119)^2)/($I$5*MAX(F1119,0.1)^2),1/3)))),MAX($D$16,POWER((ABS(K1119)^2)/($I$5*MAX(F1119,0.1)^2),1/3))))))),MAX($D$16,POWER((ABS(K1119)^2)/($I$5*MAX(F1119,0.1)^2),1/3)))</f>
        <v>2.1389677043987478</v>
      </c>
      <c r="AI1119">
        <f t="shared" ca="1" si="548"/>
        <v>634.17346770439872</v>
      </c>
      <c r="AJ1119">
        <f t="shared" ca="1" si="549"/>
        <v>635.24295155659809</v>
      </c>
      <c r="AM1119">
        <v>0</v>
      </c>
      <c r="AN1119">
        <v>0</v>
      </c>
      <c r="AO1119">
        <f t="shared" si="550"/>
        <v>0</v>
      </c>
      <c r="AP1119">
        <f t="shared" si="559"/>
        <v>0</v>
      </c>
      <c r="AQ1119">
        <f t="shared" ca="1" si="551"/>
        <v>1.0000000000000004</v>
      </c>
      <c r="AR1119" t="str">
        <f t="shared" ca="1" si="552"/>
        <v>Supercritical</v>
      </c>
      <c r="AS1119">
        <f t="shared" ca="1" si="553"/>
        <v>3.8141460404132466E-3</v>
      </c>
    </row>
    <row r="1120" spans="1:45" x14ac:dyDescent="0.35">
      <c r="A1120">
        <v>1059</v>
      </c>
      <c r="B1120">
        <v>1057.9949999999999</v>
      </c>
      <c r="C1120">
        <v>616078.84199999995</v>
      </c>
      <c r="D1120">
        <v>3096949.1090000002</v>
      </c>
      <c r="E1120">
        <v>632.03399999999999</v>
      </c>
      <c r="F1120">
        <v>5.2</v>
      </c>
      <c r="G1120">
        <v>0</v>
      </c>
      <c r="H1120" t="s">
        <v>154</v>
      </c>
      <c r="I1120">
        <v>2E-3</v>
      </c>
      <c r="J1120">
        <f t="shared" si="554"/>
        <v>1</v>
      </c>
      <c r="K1120">
        <f t="shared" ca="1" si="555"/>
        <v>50.95</v>
      </c>
      <c r="L1120">
        <f t="shared" ca="1" si="556"/>
        <v>2.1389677043987478</v>
      </c>
      <c r="M1120">
        <f t="shared" ca="1" si="529"/>
        <v>11.122632062873489</v>
      </c>
      <c r="N1120">
        <f t="shared" ca="1" si="530"/>
        <v>1.1735290000551568</v>
      </c>
      <c r="O1120">
        <f t="shared" ca="1" si="531"/>
        <v>4.5807502857230418</v>
      </c>
      <c r="P1120">
        <f t="shared" ca="1" si="532"/>
        <v>634.17296770439873</v>
      </c>
      <c r="Q1120">
        <f t="shared" ca="1" si="533"/>
        <v>635.2424515565981</v>
      </c>
      <c r="R1120">
        <f t="shared" ca="1" si="534"/>
        <v>3.8141460404132466E-3</v>
      </c>
      <c r="S1120">
        <f t="shared" ca="1" si="535"/>
        <v>1.0000000000000004</v>
      </c>
      <c r="T1120">
        <f t="shared" ca="1" si="536"/>
        <v>35.686426155594638</v>
      </c>
      <c r="U1120">
        <f t="shared" ca="1" si="557"/>
        <v>-3.3177109866073806E-3</v>
      </c>
      <c r="V1120">
        <f t="shared" ca="1" si="558"/>
        <v>1</v>
      </c>
      <c r="W1120">
        <f t="shared" ca="1" si="537"/>
        <v>1.6819625190265448</v>
      </c>
      <c r="X1120">
        <f t="shared" ca="1" si="538"/>
        <v>8.7462050989380327</v>
      </c>
      <c r="Y1120">
        <f t="shared" ca="1" si="539"/>
        <v>1.0212846399372948</v>
      </c>
      <c r="Z1120">
        <f t="shared" ca="1" si="540"/>
        <v>5.8253836290880452</v>
      </c>
      <c r="AA1120">
        <f t="shared" ca="1" si="541"/>
        <v>633.71596251902656</v>
      </c>
      <c r="AB1120">
        <f t="shared" ca="1" si="542"/>
        <v>635.44557997193419</v>
      </c>
      <c r="AC1120">
        <f t="shared" ca="1" si="543"/>
        <v>7.4239638161337903E-3</v>
      </c>
      <c r="AD1120">
        <f t="shared" ca="1" si="544"/>
        <v>1.4341080395136345</v>
      </c>
      <c r="AE1120">
        <f t="shared" ca="1" si="545"/>
        <v>37.610572551731543</v>
      </c>
      <c r="AF1120">
        <f t="shared" ca="1" si="546"/>
        <v>6.9371531715205492E-3</v>
      </c>
      <c r="AG1120">
        <f t="shared" ca="1" si="547"/>
        <v>0</v>
      </c>
      <c r="AH1120">
        <f ca="1">IFERROR(IF(V32="Supercritical",MAX($D$16,IFERROR(L1120,MAX($D$16,POWER((ABS(K1120)^2)/($I$5*MAX(F1120,0.1)^2),1/3)))),IF(V32="Subcritical",MAX($D$16,IFERROR(W1120,MAX($D$16,POWER((ABS(K1120)^2)/($I$5*MAX(F1120,0.1)^2),1/3)))),IF(AND(IFERROR(V1120,0)=1,IFERROR(AG1120,0)=1),IF(IFERROR(T1120,-1E+99)&gt;=IFERROR(AE1120,-1E+99),MAX($D$16,IFERROR(L1120,MAX($D$16,POWER((ABS(K1120)^2)/($I$5*MAX(F1120,0.1)^2),1/3)))),MAX($D$16,IFERROR(W1120,MAX($D$16,POWER((ABS(K1120)^2)/($I$5*MAX(F1120,0.1)^2),1/3))))),IF(IFERROR(V1120,0)=1,MAX($D$16,IFERROR(L1120,MAX($D$16,POWER((ABS(K1120)^2)/($I$5*MAX(F1120,0.1)^2),1/3)))),IF(IFERROR(AG1120,0)=1,MAX($D$16,IFERROR(W1120,MAX($D$16,POWER((ABS(K1120)^2)/($I$5*MAX(F1120,0.1)^2),1/3)))),MAX($D$16,POWER((ABS(K1120)^2)/($I$5*MAX(F1120,0.1)^2),1/3))))))),MAX($D$16,POWER((ABS(K1120)^2)/($I$5*MAX(F1120,0.1)^2),1/3)))</f>
        <v>2.1389677043987478</v>
      </c>
      <c r="AI1120">
        <f t="shared" ca="1" si="548"/>
        <v>634.17296770439873</v>
      </c>
      <c r="AJ1120">
        <f t="shared" ca="1" si="549"/>
        <v>635.2424515565981</v>
      </c>
      <c r="AM1120">
        <v>0</v>
      </c>
      <c r="AN1120">
        <v>0</v>
      </c>
      <c r="AO1120">
        <f t="shared" si="550"/>
        <v>0</v>
      </c>
      <c r="AP1120">
        <f t="shared" si="559"/>
        <v>0</v>
      </c>
      <c r="AQ1120">
        <f t="shared" ca="1" si="551"/>
        <v>1.0000000000000004</v>
      </c>
      <c r="AR1120" t="str">
        <f t="shared" ca="1" si="552"/>
        <v>Supercritical</v>
      </c>
      <c r="AS1120">
        <f t="shared" ca="1" si="553"/>
        <v>3.8141460404132466E-3</v>
      </c>
    </row>
    <row r="1121" spans="1:45" x14ac:dyDescent="0.35">
      <c r="A1121">
        <v>1060</v>
      </c>
      <c r="B1121">
        <v>1058.9960000000001</v>
      </c>
      <c r="C1121">
        <v>616078.80000000005</v>
      </c>
      <c r="D1121">
        <v>3096948.1090000002</v>
      </c>
      <c r="E1121">
        <v>632.0335</v>
      </c>
      <c r="F1121">
        <v>5.2</v>
      </c>
      <c r="G1121">
        <v>0</v>
      </c>
      <c r="H1121" t="s">
        <v>154</v>
      </c>
      <c r="I1121">
        <v>2E-3</v>
      </c>
      <c r="J1121">
        <f t="shared" si="554"/>
        <v>1.0010000000002037</v>
      </c>
      <c r="K1121">
        <f t="shared" ca="1" si="555"/>
        <v>50.95</v>
      </c>
      <c r="L1121">
        <f t="shared" ca="1" si="556"/>
        <v>2.1389677043987478</v>
      </c>
      <c r="M1121">
        <f t="shared" ca="1" si="529"/>
        <v>11.122632062873489</v>
      </c>
      <c r="N1121">
        <f t="shared" ca="1" si="530"/>
        <v>1.1735290000551568</v>
      </c>
      <c r="O1121">
        <f t="shared" ca="1" si="531"/>
        <v>4.5807502857230418</v>
      </c>
      <c r="P1121">
        <f t="shared" ca="1" si="532"/>
        <v>634.17246770439874</v>
      </c>
      <c r="Q1121">
        <f t="shared" ca="1" si="533"/>
        <v>635.24195155659811</v>
      </c>
      <c r="R1121">
        <f t="shared" ca="1" si="534"/>
        <v>3.8141460404132466E-3</v>
      </c>
      <c r="S1121">
        <f t="shared" ca="1" si="535"/>
        <v>1.0000000000000004</v>
      </c>
      <c r="T1121">
        <f t="shared" ca="1" si="536"/>
        <v>35.686426155594638</v>
      </c>
      <c r="U1121">
        <f t="shared" ca="1" si="557"/>
        <v>-3.3215251326055295E-3</v>
      </c>
      <c r="V1121">
        <f t="shared" ca="1" si="558"/>
        <v>1</v>
      </c>
      <c r="W1121">
        <f t="shared" ca="1" si="537"/>
        <v>1.6819129110558471</v>
      </c>
      <c r="X1121">
        <f t="shared" ca="1" si="538"/>
        <v>8.7459471374904059</v>
      </c>
      <c r="Y1121">
        <f t="shared" ca="1" si="539"/>
        <v>1.0212663497789127</v>
      </c>
      <c r="Z1121">
        <f t="shared" ca="1" si="540"/>
        <v>5.8255554486028807</v>
      </c>
      <c r="AA1121">
        <f t="shared" ca="1" si="541"/>
        <v>633.71541291105586</v>
      </c>
      <c r="AB1121">
        <f t="shared" ca="1" si="542"/>
        <v>635.44513239549758</v>
      </c>
      <c r="AC1121">
        <f t="shared" ca="1" si="543"/>
        <v>7.4245790500163996E-3</v>
      </c>
      <c r="AD1121">
        <f t="shared" ca="1" si="544"/>
        <v>1.4341714884416878</v>
      </c>
      <c r="AE1121">
        <f t="shared" ca="1" si="545"/>
        <v>37.611031052207551</v>
      </c>
      <c r="AF1121">
        <f t="shared" ca="1" si="546"/>
        <v>7.0889024010512003E-3</v>
      </c>
      <c r="AG1121">
        <f t="shared" ca="1" si="547"/>
        <v>0</v>
      </c>
      <c r="AH1121">
        <f ca="1">IFERROR(IF(V32="Supercritical",MAX($D$16,IFERROR(L1121,MAX($D$16,POWER((ABS(K1121)^2)/($I$5*MAX(F1121,0.1)^2),1/3)))),IF(V32="Subcritical",MAX($D$16,IFERROR(W1121,MAX($D$16,POWER((ABS(K1121)^2)/($I$5*MAX(F1121,0.1)^2),1/3)))),IF(AND(IFERROR(V1121,0)=1,IFERROR(AG1121,0)=1),IF(IFERROR(T1121,-1E+99)&gt;=IFERROR(AE1121,-1E+99),MAX($D$16,IFERROR(L1121,MAX($D$16,POWER((ABS(K1121)^2)/($I$5*MAX(F1121,0.1)^2),1/3)))),MAX($D$16,IFERROR(W1121,MAX($D$16,POWER((ABS(K1121)^2)/($I$5*MAX(F1121,0.1)^2),1/3))))),IF(IFERROR(V1121,0)=1,MAX($D$16,IFERROR(L1121,MAX($D$16,POWER((ABS(K1121)^2)/($I$5*MAX(F1121,0.1)^2),1/3)))),IF(IFERROR(AG1121,0)=1,MAX($D$16,IFERROR(W1121,MAX($D$16,POWER((ABS(K1121)^2)/($I$5*MAX(F1121,0.1)^2),1/3)))),MAX($D$16,POWER((ABS(K1121)^2)/($I$5*MAX(F1121,0.1)^2),1/3))))))),MAX($D$16,POWER((ABS(K1121)^2)/($I$5*MAX(F1121,0.1)^2),1/3)))</f>
        <v>2.1389677043987478</v>
      </c>
      <c r="AI1121">
        <f t="shared" ca="1" si="548"/>
        <v>634.17246770439874</v>
      </c>
      <c r="AJ1121">
        <f t="shared" ca="1" si="549"/>
        <v>635.24195155659811</v>
      </c>
      <c r="AM1121">
        <v>0</v>
      </c>
      <c r="AN1121">
        <v>0</v>
      </c>
      <c r="AO1121">
        <f t="shared" si="550"/>
        <v>0</v>
      </c>
      <c r="AP1121">
        <f t="shared" si="559"/>
        <v>0</v>
      </c>
      <c r="AQ1121">
        <f t="shared" ca="1" si="551"/>
        <v>1.0000000000000004</v>
      </c>
      <c r="AR1121" t="str">
        <f t="shared" ca="1" si="552"/>
        <v>Supercritical</v>
      </c>
      <c r="AS1121">
        <f t="shared" ca="1" si="553"/>
        <v>3.8141460404132466E-3</v>
      </c>
    </row>
    <row r="1122" spans="1:45" x14ac:dyDescent="0.35">
      <c r="A1122">
        <v>1061</v>
      </c>
      <c r="B1122">
        <v>1059.9960000000001</v>
      </c>
      <c r="C1122">
        <v>616078.75800000003</v>
      </c>
      <c r="D1122">
        <v>3096947.11</v>
      </c>
      <c r="E1122">
        <v>632.03300000000002</v>
      </c>
      <c r="F1122">
        <v>5.2</v>
      </c>
      <c r="G1122">
        <v>0</v>
      </c>
      <c r="H1122" t="s">
        <v>154</v>
      </c>
      <c r="I1122">
        <v>5.7000000000000002E-2</v>
      </c>
      <c r="J1122">
        <f t="shared" si="554"/>
        <v>1</v>
      </c>
      <c r="K1122">
        <f t="shared" ca="1" si="555"/>
        <v>50.95</v>
      </c>
      <c r="L1122">
        <f t="shared" ca="1" si="556"/>
        <v>2.1389677043987478</v>
      </c>
      <c r="M1122">
        <f t="shared" ca="1" si="529"/>
        <v>11.122632062873489</v>
      </c>
      <c r="N1122">
        <f t="shared" ca="1" si="530"/>
        <v>1.1735290000551568</v>
      </c>
      <c r="O1122">
        <f t="shared" ca="1" si="531"/>
        <v>4.5807502857230418</v>
      </c>
      <c r="P1122">
        <f t="shared" ca="1" si="532"/>
        <v>634.17196770439875</v>
      </c>
      <c r="Q1122">
        <f t="shared" ca="1" si="533"/>
        <v>635.24145155659812</v>
      </c>
      <c r="R1122">
        <f t="shared" ca="1" si="534"/>
        <v>3.8141460404132466E-3</v>
      </c>
      <c r="S1122">
        <f t="shared" ca="1" si="535"/>
        <v>1.0000000000000004</v>
      </c>
      <c r="T1122">
        <f t="shared" ca="1" si="536"/>
        <v>35.686426155594638</v>
      </c>
      <c r="U1122">
        <f t="shared" ca="1" si="557"/>
        <v>-3.4157470064428708E-3</v>
      </c>
      <c r="V1122">
        <f t="shared" ca="1" si="558"/>
        <v>1</v>
      </c>
      <c r="W1122">
        <f t="shared" ca="1" si="537"/>
        <v>1.6818665290580761</v>
      </c>
      <c r="X1122">
        <f t="shared" ca="1" si="538"/>
        <v>8.7457059511019963</v>
      </c>
      <c r="Y1122">
        <f t="shared" ca="1" si="539"/>
        <v>1.0212492486338516</v>
      </c>
      <c r="Z1122">
        <f t="shared" ca="1" si="540"/>
        <v>5.8257161039790146</v>
      </c>
      <c r="AA1122">
        <f t="shared" ca="1" si="541"/>
        <v>633.7148665290581</v>
      </c>
      <c r="AB1122">
        <f t="shared" ca="1" si="542"/>
        <v>635.44468141815901</v>
      </c>
      <c r="AC1122">
        <f t="shared" ca="1" si="543"/>
        <v>7.4251543400485932E-3</v>
      </c>
      <c r="AD1122">
        <f t="shared" ca="1" si="544"/>
        <v>1.4342308155609129</v>
      </c>
      <c r="AE1122">
        <f t="shared" ca="1" si="545"/>
        <v>37.611459795901077</v>
      </c>
      <c r="AF1122">
        <f t="shared" ca="1" si="546"/>
        <v>7.089486754466634E-3</v>
      </c>
      <c r="AG1122">
        <f t="shared" ca="1" si="547"/>
        <v>0</v>
      </c>
      <c r="AH1122">
        <f ca="1">IFERROR(IF(V32="Supercritical",MAX($D$16,IFERROR(L1122,MAX($D$16,POWER((ABS(K1122)^2)/($I$5*MAX(F1122,0.1)^2),1/3)))),IF(V32="Subcritical",MAX($D$16,IFERROR(W1122,MAX($D$16,POWER((ABS(K1122)^2)/($I$5*MAX(F1122,0.1)^2),1/3)))),IF(AND(IFERROR(V1122,0)=1,IFERROR(AG1122,0)=1),IF(IFERROR(T1122,-1E+99)&gt;=IFERROR(AE1122,-1E+99),MAX($D$16,IFERROR(L1122,MAX($D$16,POWER((ABS(K1122)^2)/($I$5*MAX(F1122,0.1)^2),1/3)))),MAX($D$16,IFERROR(W1122,MAX($D$16,POWER((ABS(K1122)^2)/($I$5*MAX(F1122,0.1)^2),1/3))))),IF(IFERROR(V1122,0)=1,MAX($D$16,IFERROR(L1122,MAX($D$16,POWER((ABS(K1122)^2)/($I$5*MAX(F1122,0.1)^2),1/3)))),IF(IFERROR(AG1122,0)=1,MAX($D$16,IFERROR(W1122,MAX($D$16,POWER((ABS(K1122)^2)/($I$5*MAX(F1122,0.1)^2),1/3)))),MAX($D$16,POWER((ABS(K1122)^2)/($I$5*MAX(F1122,0.1)^2),1/3))))))),MAX($D$16,POWER((ABS(K1122)^2)/($I$5*MAX(F1122,0.1)^2),1/3)))</f>
        <v>2.1389677043987478</v>
      </c>
      <c r="AI1122">
        <f t="shared" ca="1" si="548"/>
        <v>634.17196770439875</v>
      </c>
      <c r="AJ1122">
        <f t="shared" ca="1" si="549"/>
        <v>635.24145155659812</v>
      </c>
      <c r="AM1122">
        <v>0</v>
      </c>
      <c r="AN1122">
        <v>0</v>
      </c>
      <c r="AO1122">
        <f t="shared" si="550"/>
        <v>0</v>
      </c>
      <c r="AP1122">
        <f t="shared" si="559"/>
        <v>0</v>
      </c>
      <c r="AQ1122">
        <f t="shared" ca="1" si="551"/>
        <v>1.0000000000000004</v>
      </c>
      <c r="AR1122" t="str">
        <f t="shared" ca="1" si="552"/>
        <v>Supercritical</v>
      </c>
      <c r="AS1122">
        <f t="shared" ca="1" si="553"/>
        <v>3.8141460404132466E-3</v>
      </c>
    </row>
    <row r="1123" spans="1:45" x14ac:dyDescent="0.35">
      <c r="A1123">
        <v>1062</v>
      </c>
      <c r="B1123">
        <v>1060.9960000000001</v>
      </c>
      <c r="C1123">
        <v>616078.71499999997</v>
      </c>
      <c r="D1123">
        <v>3096946.111</v>
      </c>
      <c r="E1123">
        <v>632.03250000000003</v>
      </c>
      <c r="F1123">
        <v>5.2</v>
      </c>
      <c r="G1123">
        <v>0</v>
      </c>
      <c r="H1123" t="s">
        <v>154</v>
      </c>
      <c r="I1123">
        <v>5.7000000000000002E-2</v>
      </c>
      <c r="J1123">
        <f t="shared" si="554"/>
        <v>1</v>
      </c>
      <c r="K1123">
        <f t="shared" ca="1" si="555"/>
        <v>50.95</v>
      </c>
      <c r="L1123">
        <f t="shared" ca="1" si="556"/>
        <v>2.1389677043987478</v>
      </c>
      <c r="M1123">
        <f t="shared" ca="1" si="529"/>
        <v>11.122632062873489</v>
      </c>
      <c r="N1123">
        <f t="shared" ca="1" si="530"/>
        <v>1.1735290000551568</v>
      </c>
      <c r="O1123">
        <f t="shared" ca="1" si="531"/>
        <v>4.5807502857230418</v>
      </c>
      <c r="P1123">
        <f t="shared" ca="1" si="532"/>
        <v>634.17146770439876</v>
      </c>
      <c r="Q1123">
        <f t="shared" ca="1" si="533"/>
        <v>635.24095155659813</v>
      </c>
      <c r="R1123">
        <f t="shared" ca="1" si="534"/>
        <v>3.8141460404132466E-3</v>
      </c>
      <c r="S1123">
        <f t="shared" ca="1" si="535"/>
        <v>1.0000000000000004</v>
      </c>
      <c r="T1123">
        <f t="shared" ca="1" si="536"/>
        <v>35.686426155594638</v>
      </c>
      <c r="U1123">
        <f t="shared" ca="1" si="557"/>
        <v>-3.4157470064428708E-3</v>
      </c>
      <c r="V1123">
        <f t="shared" ca="1" si="558"/>
        <v>1</v>
      </c>
      <c r="W1123">
        <f t="shared" ca="1" si="537"/>
        <v>1.6818231641030914</v>
      </c>
      <c r="X1123">
        <f t="shared" ca="1" si="538"/>
        <v>8.745480453336075</v>
      </c>
      <c r="Y1123">
        <f t="shared" ca="1" si="539"/>
        <v>1.0212332595440079</v>
      </c>
      <c r="Z1123">
        <f t="shared" ca="1" si="540"/>
        <v>5.8258663171060521</v>
      </c>
      <c r="AA1123">
        <f t="shared" ca="1" si="541"/>
        <v>633.71432316410312</v>
      </c>
      <c r="AB1123">
        <f t="shared" ca="1" si="542"/>
        <v>635.44422725914853</v>
      </c>
      <c r="AC1123">
        <f t="shared" ca="1" si="543"/>
        <v>7.4256922650790405E-3</v>
      </c>
      <c r="AD1123">
        <f t="shared" ca="1" si="544"/>
        <v>1.434286287286775</v>
      </c>
      <c r="AE1123">
        <f t="shared" ca="1" si="545"/>
        <v>37.611860702546934</v>
      </c>
      <c r="AF1123">
        <f t="shared" ca="1" si="546"/>
        <v>6.9256922650993147E-3</v>
      </c>
      <c r="AG1123">
        <f t="shared" ca="1" si="547"/>
        <v>0</v>
      </c>
      <c r="AH1123">
        <f ca="1">IFERROR(IF(V32="Supercritical",MAX($D$16,IFERROR(L1123,MAX($D$16,POWER((ABS(K1123)^2)/($I$5*MAX(F1123,0.1)^2),1/3)))),IF(V32="Subcritical",MAX($D$16,IFERROR(W1123,MAX($D$16,POWER((ABS(K1123)^2)/($I$5*MAX(F1123,0.1)^2),1/3)))),IF(AND(IFERROR(V1123,0)=1,IFERROR(AG1123,0)=1),IF(IFERROR(T1123,-1E+99)&gt;=IFERROR(AE1123,-1E+99),MAX($D$16,IFERROR(L1123,MAX($D$16,POWER((ABS(K1123)^2)/($I$5*MAX(F1123,0.1)^2),1/3)))),MAX($D$16,IFERROR(W1123,MAX($D$16,POWER((ABS(K1123)^2)/($I$5*MAX(F1123,0.1)^2),1/3))))),IF(IFERROR(V1123,0)=1,MAX($D$16,IFERROR(L1123,MAX($D$16,POWER((ABS(K1123)^2)/($I$5*MAX(F1123,0.1)^2),1/3)))),IF(IFERROR(AG1123,0)=1,MAX($D$16,IFERROR(W1123,MAX($D$16,POWER((ABS(K1123)^2)/($I$5*MAX(F1123,0.1)^2),1/3)))),MAX($D$16,POWER((ABS(K1123)^2)/($I$5*MAX(F1123,0.1)^2),1/3))))))),MAX($D$16,POWER((ABS(K1123)^2)/($I$5*MAX(F1123,0.1)^2),1/3)))</f>
        <v>2.1389677043987478</v>
      </c>
      <c r="AI1123">
        <f t="shared" ca="1" si="548"/>
        <v>634.17146770439876</v>
      </c>
      <c r="AJ1123">
        <f t="shared" ca="1" si="549"/>
        <v>635.24095155659813</v>
      </c>
      <c r="AM1123">
        <v>0</v>
      </c>
      <c r="AN1123">
        <v>0</v>
      </c>
      <c r="AO1123">
        <f t="shared" si="550"/>
        <v>0</v>
      </c>
      <c r="AP1123">
        <f t="shared" si="559"/>
        <v>0</v>
      </c>
      <c r="AQ1123">
        <f t="shared" ca="1" si="551"/>
        <v>1.0000000000000004</v>
      </c>
      <c r="AR1123" t="str">
        <f t="shared" ca="1" si="552"/>
        <v>Supercritical</v>
      </c>
      <c r="AS1123">
        <f t="shared" ca="1" si="553"/>
        <v>3.8141460404132466E-3</v>
      </c>
    </row>
    <row r="1124" spans="1:45" x14ac:dyDescent="0.35">
      <c r="A1124">
        <v>1063</v>
      </c>
      <c r="B1124">
        <v>1061.9960000000001</v>
      </c>
      <c r="C1124">
        <v>616078.67299999995</v>
      </c>
      <c r="D1124">
        <v>3096945.1120000002</v>
      </c>
      <c r="E1124">
        <v>632.03200000000004</v>
      </c>
      <c r="F1124">
        <v>5.2</v>
      </c>
      <c r="G1124">
        <v>0</v>
      </c>
      <c r="H1124" t="s">
        <v>154</v>
      </c>
      <c r="I1124">
        <v>0</v>
      </c>
      <c r="J1124">
        <f t="shared" si="554"/>
        <v>1</v>
      </c>
      <c r="K1124">
        <f t="shared" ca="1" si="555"/>
        <v>50.95</v>
      </c>
      <c r="L1124">
        <f t="shared" ca="1" si="556"/>
        <v>2.1389677043987478</v>
      </c>
      <c r="M1124">
        <f t="shared" ca="1" si="529"/>
        <v>11.122632062873489</v>
      </c>
      <c r="N1124">
        <f t="shared" ca="1" si="530"/>
        <v>1.1735290000551568</v>
      </c>
      <c r="O1124">
        <f t="shared" ca="1" si="531"/>
        <v>4.5807502857230418</v>
      </c>
      <c r="P1124">
        <f t="shared" ca="1" si="532"/>
        <v>634.17096770439878</v>
      </c>
      <c r="Q1124">
        <f t="shared" ca="1" si="533"/>
        <v>635.24045155659815</v>
      </c>
      <c r="R1124">
        <f t="shared" ca="1" si="534"/>
        <v>3.8141460404132466E-3</v>
      </c>
      <c r="S1124">
        <f t="shared" ca="1" si="535"/>
        <v>1.0000000000000004</v>
      </c>
      <c r="T1124">
        <f t="shared" ca="1" si="536"/>
        <v>35.686426155594638</v>
      </c>
      <c r="U1124">
        <f t="shared" ca="1" si="557"/>
        <v>-3.3141460404522149E-3</v>
      </c>
      <c r="V1124">
        <f t="shared" ca="1" si="558"/>
        <v>1</v>
      </c>
      <c r="W1124">
        <f t="shared" ca="1" si="537"/>
        <v>1.6817826206846556</v>
      </c>
      <c r="X1124">
        <f t="shared" ca="1" si="538"/>
        <v>8.7452696275602086</v>
      </c>
      <c r="Y1124">
        <f t="shared" ca="1" si="539"/>
        <v>1.0212183104897843</v>
      </c>
      <c r="Z1124">
        <f t="shared" ca="1" si="540"/>
        <v>5.8260067636375714</v>
      </c>
      <c r="AA1124">
        <f t="shared" ca="1" si="541"/>
        <v>633.7137826206847</v>
      </c>
      <c r="AB1124">
        <f t="shared" ca="1" si="542"/>
        <v>635.44377012374025</v>
      </c>
      <c r="AC1124">
        <f t="shared" ca="1" si="543"/>
        <v>7.4261952392871648E-3</v>
      </c>
      <c r="AD1124">
        <f t="shared" ca="1" si="544"/>
        <v>1.4343381529846828</v>
      </c>
      <c r="AE1124">
        <f t="shared" ca="1" si="545"/>
        <v>37.612235569477662</v>
      </c>
      <c r="AF1124">
        <f t="shared" ca="1" si="546"/>
        <v>6.9261952393162574E-3</v>
      </c>
      <c r="AG1124">
        <f t="shared" ca="1" si="547"/>
        <v>0</v>
      </c>
      <c r="AH1124">
        <f ca="1">IFERROR(IF(V32="Supercritical",MAX($D$16,IFERROR(L1124,MAX($D$16,POWER((ABS(K1124)^2)/($I$5*MAX(F1124,0.1)^2),1/3)))),IF(V32="Subcritical",MAX($D$16,IFERROR(W1124,MAX($D$16,POWER((ABS(K1124)^2)/($I$5*MAX(F1124,0.1)^2),1/3)))),IF(AND(IFERROR(V1124,0)=1,IFERROR(AG1124,0)=1),IF(IFERROR(T1124,-1E+99)&gt;=IFERROR(AE1124,-1E+99),MAX($D$16,IFERROR(L1124,MAX($D$16,POWER((ABS(K1124)^2)/($I$5*MAX(F1124,0.1)^2),1/3)))),MAX($D$16,IFERROR(W1124,MAX($D$16,POWER((ABS(K1124)^2)/($I$5*MAX(F1124,0.1)^2),1/3))))),IF(IFERROR(V1124,0)=1,MAX($D$16,IFERROR(L1124,MAX($D$16,POWER((ABS(K1124)^2)/($I$5*MAX(F1124,0.1)^2),1/3)))),IF(IFERROR(AG1124,0)=1,MAX($D$16,IFERROR(W1124,MAX($D$16,POWER((ABS(K1124)^2)/($I$5*MAX(F1124,0.1)^2),1/3)))),MAX($D$16,POWER((ABS(K1124)^2)/($I$5*MAX(F1124,0.1)^2),1/3))))))),MAX($D$16,POWER((ABS(K1124)^2)/($I$5*MAX(F1124,0.1)^2),1/3)))</f>
        <v>2.1389677043987478</v>
      </c>
      <c r="AI1124">
        <f t="shared" ca="1" si="548"/>
        <v>634.17096770439878</v>
      </c>
      <c r="AJ1124">
        <f t="shared" ca="1" si="549"/>
        <v>635.24045155659815</v>
      </c>
      <c r="AM1124">
        <v>0</v>
      </c>
      <c r="AN1124">
        <v>0</v>
      </c>
      <c r="AO1124">
        <f t="shared" si="550"/>
        <v>0</v>
      </c>
      <c r="AP1124">
        <f t="shared" si="559"/>
        <v>0</v>
      </c>
      <c r="AQ1124">
        <f t="shared" ca="1" si="551"/>
        <v>1.0000000000000004</v>
      </c>
      <c r="AR1124" t="str">
        <f t="shared" ca="1" si="552"/>
        <v>Supercritical</v>
      </c>
      <c r="AS1124">
        <f t="shared" ca="1" si="553"/>
        <v>3.8141460404132466E-3</v>
      </c>
    </row>
    <row r="1125" spans="1:45" x14ac:dyDescent="0.35">
      <c r="A1125">
        <v>1064</v>
      </c>
      <c r="B1125">
        <v>1062.9960000000001</v>
      </c>
      <c r="C1125">
        <v>616078.63100000005</v>
      </c>
      <c r="D1125">
        <v>3096944.1129999999</v>
      </c>
      <c r="E1125">
        <v>632.03150000000005</v>
      </c>
      <c r="F1125">
        <v>5.2</v>
      </c>
      <c r="G1125">
        <v>0</v>
      </c>
      <c r="H1125" t="s">
        <v>154</v>
      </c>
      <c r="I1125">
        <v>0</v>
      </c>
      <c r="J1125">
        <f t="shared" si="554"/>
        <v>1</v>
      </c>
      <c r="K1125">
        <f t="shared" ca="1" si="555"/>
        <v>50.95</v>
      </c>
      <c r="L1125">
        <f t="shared" ca="1" si="556"/>
        <v>2.1389677043987478</v>
      </c>
      <c r="M1125">
        <f t="shared" ca="1" si="529"/>
        <v>11.122632062873489</v>
      </c>
      <c r="N1125">
        <f t="shared" ca="1" si="530"/>
        <v>1.1735290000551568</v>
      </c>
      <c r="O1125">
        <f t="shared" ca="1" si="531"/>
        <v>4.5807502857230418</v>
      </c>
      <c r="P1125">
        <f t="shared" ca="1" si="532"/>
        <v>634.17046770439879</v>
      </c>
      <c r="Q1125">
        <f t="shared" ca="1" si="533"/>
        <v>635.23995155659816</v>
      </c>
      <c r="R1125">
        <f t="shared" ca="1" si="534"/>
        <v>3.8141460404132466E-3</v>
      </c>
      <c r="S1125">
        <f t="shared" ca="1" si="535"/>
        <v>1.0000000000000004</v>
      </c>
      <c r="T1125">
        <f t="shared" ca="1" si="536"/>
        <v>35.686426155594638</v>
      </c>
      <c r="U1125">
        <f t="shared" ca="1" si="557"/>
        <v>-3.3141460404522149E-3</v>
      </c>
      <c r="V1125">
        <f t="shared" ca="1" si="558"/>
        <v>1</v>
      </c>
      <c r="W1125">
        <f t="shared" ca="1" si="537"/>
        <v>1.6817447158714496</v>
      </c>
      <c r="X1125">
        <f t="shared" ca="1" si="538"/>
        <v>8.7450725225315384</v>
      </c>
      <c r="Y1125">
        <f t="shared" ca="1" si="539"/>
        <v>1.0212043340785302</v>
      </c>
      <c r="Z1125">
        <f t="shared" ca="1" si="540"/>
        <v>5.8261380758968153</v>
      </c>
      <c r="AA1125">
        <f t="shared" ca="1" si="541"/>
        <v>633.7132447158715</v>
      </c>
      <c r="AB1125">
        <f t="shared" ca="1" si="542"/>
        <v>635.44331020411892</v>
      </c>
      <c r="AC1125">
        <f t="shared" ca="1" si="543"/>
        <v>7.4266655224680114E-3</v>
      </c>
      <c r="AD1125">
        <f t="shared" ca="1" si="544"/>
        <v>1.4343866460397825</v>
      </c>
      <c r="AE1125">
        <f t="shared" ca="1" si="545"/>
        <v>37.612586079245489</v>
      </c>
      <c r="AF1125">
        <f t="shared" ca="1" si="546"/>
        <v>7.0835950782566215E-3</v>
      </c>
      <c r="AG1125">
        <f t="shared" ca="1" si="547"/>
        <v>0</v>
      </c>
      <c r="AH1125">
        <f ca="1">IFERROR(IF(V32="Supercritical",MAX($D$16,IFERROR(L1125,MAX($D$16,POWER((ABS(K1125)^2)/($I$5*MAX(F1125,0.1)^2),1/3)))),IF(V32="Subcritical",MAX($D$16,IFERROR(W1125,MAX($D$16,POWER((ABS(K1125)^2)/($I$5*MAX(F1125,0.1)^2),1/3)))),IF(AND(IFERROR(V1125,0)=1,IFERROR(AG1125,0)=1),IF(IFERROR(T1125,-1E+99)&gt;=IFERROR(AE1125,-1E+99),MAX($D$16,IFERROR(L1125,MAX($D$16,POWER((ABS(K1125)^2)/($I$5*MAX(F1125,0.1)^2),1/3)))),MAX($D$16,IFERROR(W1125,MAX($D$16,POWER((ABS(K1125)^2)/($I$5*MAX(F1125,0.1)^2),1/3))))),IF(IFERROR(V1125,0)=1,MAX($D$16,IFERROR(L1125,MAX($D$16,POWER((ABS(K1125)^2)/($I$5*MAX(F1125,0.1)^2),1/3)))),IF(IFERROR(AG1125,0)=1,MAX($D$16,IFERROR(W1125,MAX($D$16,POWER((ABS(K1125)^2)/($I$5*MAX(F1125,0.1)^2),1/3)))),MAX($D$16,POWER((ABS(K1125)^2)/($I$5*MAX(F1125,0.1)^2),1/3))))))),MAX($D$16,POWER((ABS(K1125)^2)/($I$5*MAX(F1125,0.1)^2),1/3)))</f>
        <v>2.1389677043987478</v>
      </c>
      <c r="AI1125">
        <f t="shared" ca="1" si="548"/>
        <v>634.17046770439879</v>
      </c>
      <c r="AJ1125">
        <f t="shared" ca="1" si="549"/>
        <v>635.23995155659816</v>
      </c>
      <c r="AM1125">
        <v>0</v>
      </c>
      <c r="AN1125">
        <v>0</v>
      </c>
      <c r="AO1125">
        <f t="shared" si="550"/>
        <v>0</v>
      </c>
      <c r="AP1125">
        <f t="shared" si="559"/>
        <v>0</v>
      </c>
      <c r="AQ1125">
        <f t="shared" ca="1" si="551"/>
        <v>1.0000000000000004</v>
      </c>
      <c r="AR1125" t="str">
        <f t="shared" ca="1" si="552"/>
        <v>Supercritical</v>
      </c>
      <c r="AS1125">
        <f t="shared" ca="1" si="553"/>
        <v>3.8141460404132466E-3</v>
      </c>
    </row>
    <row r="1126" spans="1:45" x14ac:dyDescent="0.35">
      <c r="A1126">
        <v>1065</v>
      </c>
      <c r="B1126">
        <v>1063.9949999999999</v>
      </c>
      <c r="C1126">
        <v>616078.58900000004</v>
      </c>
      <c r="D1126">
        <v>3096943.1140000001</v>
      </c>
      <c r="E1126">
        <v>632.03099999999995</v>
      </c>
      <c r="F1126">
        <v>5.2</v>
      </c>
      <c r="G1126">
        <v>0</v>
      </c>
      <c r="H1126" t="s">
        <v>154</v>
      </c>
      <c r="I1126">
        <v>5.7000000000000002E-2</v>
      </c>
      <c r="J1126">
        <f t="shared" si="554"/>
        <v>0.99899999999979627</v>
      </c>
      <c r="K1126">
        <f t="shared" ca="1" si="555"/>
        <v>50.95</v>
      </c>
      <c r="L1126">
        <f t="shared" ca="1" si="556"/>
        <v>2.1389677043987478</v>
      </c>
      <c r="M1126">
        <f t="shared" ca="1" si="529"/>
        <v>11.122632062873489</v>
      </c>
      <c r="N1126">
        <f t="shared" ca="1" si="530"/>
        <v>1.1735290000551568</v>
      </c>
      <c r="O1126">
        <f t="shared" ca="1" si="531"/>
        <v>4.5807502857230418</v>
      </c>
      <c r="P1126">
        <f t="shared" ca="1" si="532"/>
        <v>634.16996770439869</v>
      </c>
      <c r="Q1126">
        <f t="shared" ca="1" si="533"/>
        <v>635.23945155659806</v>
      </c>
      <c r="R1126">
        <f t="shared" ca="1" si="534"/>
        <v>3.8141460404132466E-3</v>
      </c>
      <c r="S1126">
        <f t="shared" ca="1" si="535"/>
        <v>1.0000000000000004</v>
      </c>
      <c r="T1126">
        <f t="shared" ca="1" si="536"/>
        <v>35.686426155594638</v>
      </c>
      <c r="U1126">
        <f t="shared" ca="1" si="557"/>
        <v>-3.4119328602173482E-3</v>
      </c>
      <c r="V1126">
        <f t="shared" ca="1" si="558"/>
        <v>1</v>
      </c>
      <c r="W1126">
        <f t="shared" ca="1" si="537"/>
        <v>1.6817092785101844</v>
      </c>
      <c r="X1126">
        <f t="shared" ca="1" si="538"/>
        <v>8.7448882482529591</v>
      </c>
      <c r="Y1126">
        <f t="shared" ca="1" si="539"/>
        <v>1.021191267252004</v>
      </c>
      <c r="Z1126">
        <f t="shared" ca="1" si="540"/>
        <v>5.826260845606428</v>
      </c>
      <c r="AA1126">
        <f t="shared" ca="1" si="541"/>
        <v>633.71270927851015</v>
      </c>
      <c r="AB1126">
        <f t="shared" ca="1" si="542"/>
        <v>635.44284768019452</v>
      </c>
      <c r="AC1126">
        <f t="shared" ca="1" si="543"/>
        <v>7.4271052297024938E-3</v>
      </c>
      <c r="AD1126">
        <f t="shared" ca="1" si="544"/>
        <v>1.434431984862192</v>
      </c>
      <c r="AE1126">
        <f t="shared" ca="1" si="545"/>
        <v>37.612913806791724</v>
      </c>
      <c r="AF1126">
        <f t="shared" ca="1" si="546"/>
        <v>7.0914683778937615E-3</v>
      </c>
      <c r="AG1126">
        <f t="shared" ca="1" si="547"/>
        <v>0</v>
      </c>
      <c r="AH1126">
        <f ca="1">IFERROR(IF(V32="Supercritical",MAX($D$16,IFERROR(L1126,MAX($D$16,POWER((ABS(K1126)^2)/($I$5*MAX(F1126,0.1)^2),1/3)))),IF(V32="Subcritical",MAX($D$16,IFERROR(W1126,MAX($D$16,POWER((ABS(K1126)^2)/($I$5*MAX(F1126,0.1)^2),1/3)))),IF(AND(IFERROR(V1126,0)=1,IFERROR(AG1126,0)=1),IF(IFERROR(T1126,-1E+99)&gt;=IFERROR(AE1126,-1E+99),MAX($D$16,IFERROR(L1126,MAX($D$16,POWER((ABS(K1126)^2)/($I$5*MAX(F1126,0.1)^2),1/3)))),MAX($D$16,IFERROR(W1126,MAX($D$16,POWER((ABS(K1126)^2)/($I$5*MAX(F1126,0.1)^2),1/3))))),IF(IFERROR(V1126,0)=1,MAX($D$16,IFERROR(L1126,MAX($D$16,POWER((ABS(K1126)^2)/($I$5*MAX(F1126,0.1)^2),1/3)))),IF(IFERROR(AG1126,0)=1,MAX($D$16,IFERROR(W1126,MAX($D$16,POWER((ABS(K1126)^2)/($I$5*MAX(F1126,0.1)^2),1/3)))),MAX($D$16,POWER((ABS(K1126)^2)/($I$5*MAX(F1126,0.1)^2),1/3))))))),MAX($D$16,POWER((ABS(K1126)^2)/($I$5*MAX(F1126,0.1)^2),1/3)))</f>
        <v>2.1389677043987478</v>
      </c>
      <c r="AI1126">
        <f t="shared" ca="1" si="548"/>
        <v>634.16996770439869</v>
      </c>
      <c r="AJ1126">
        <f t="shared" ca="1" si="549"/>
        <v>635.23945155659806</v>
      </c>
      <c r="AM1126">
        <v>0</v>
      </c>
      <c r="AN1126">
        <v>0</v>
      </c>
      <c r="AO1126">
        <f t="shared" si="550"/>
        <v>0</v>
      </c>
      <c r="AP1126">
        <f t="shared" si="559"/>
        <v>0</v>
      </c>
      <c r="AQ1126">
        <f t="shared" ca="1" si="551"/>
        <v>1.0000000000000004</v>
      </c>
      <c r="AR1126" t="str">
        <f t="shared" ca="1" si="552"/>
        <v>Supercritical</v>
      </c>
      <c r="AS1126">
        <f t="shared" ca="1" si="553"/>
        <v>3.8141460404132466E-3</v>
      </c>
    </row>
    <row r="1127" spans="1:45" x14ac:dyDescent="0.35">
      <c r="A1127">
        <v>1066</v>
      </c>
      <c r="B1127">
        <v>1064.9949999999999</v>
      </c>
      <c r="C1127">
        <v>616078.54599999997</v>
      </c>
      <c r="D1127">
        <v>3096942.1150000002</v>
      </c>
      <c r="E1127">
        <v>632.03049999999996</v>
      </c>
      <c r="F1127">
        <v>5.2</v>
      </c>
      <c r="G1127">
        <v>0</v>
      </c>
      <c r="H1127" t="s">
        <v>154</v>
      </c>
      <c r="I1127">
        <v>5.7000000000000002E-2</v>
      </c>
      <c r="J1127">
        <f t="shared" si="554"/>
        <v>1</v>
      </c>
      <c r="K1127">
        <f t="shared" ca="1" si="555"/>
        <v>50.95</v>
      </c>
      <c r="L1127">
        <f t="shared" ca="1" si="556"/>
        <v>2.1389677043987478</v>
      </c>
      <c r="M1127">
        <f t="shared" ca="1" si="529"/>
        <v>11.122632062873489</v>
      </c>
      <c r="N1127">
        <f t="shared" ca="1" si="530"/>
        <v>1.1735290000551568</v>
      </c>
      <c r="O1127">
        <f t="shared" ca="1" si="531"/>
        <v>4.5807502857230418</v>
      </c>
      <c r="P1127">
        <f t="shared" ca="1" si="532"/>
        <v>634.1694677043987</v>
      </c>
      <c r="Q1127">
        <f t="shared" ca="1" si="533"/>
        <v>635.23895155659807</v>
      </c>
      <c r="R1127">
        <f t="shared" ca="1" si="534"/>
        <v>3.8141460404132466E-3</v>
      </c>
      <c r="S1127">
        <f t="shared" ca="1" si="535"/>
        <v>1.0000000000000004</v>
      </c>
      <c r="T1127">
        <f t="shared" ca="1" si="536"/>
        <v>35.686426155594638</v>
      </c>
      <c r="U1127">
        <f t="shared" ca="1" si="557"/>
        <v>-3.4157470064428708E-3</v>
      </c>
      <c r="V1127">
        <f t="shared" ca="1" si="558"/>
        <v>1</v>
      </c>
      <c r="W1127">
        <f t="shared" ca="1" si="537"/>
        <v>1.6816761484775706</v>
      </c>
      <c r="X1127">
        <f t="shared" ca="1" si="538"/>
        <v>8.7447159720833678</v>
      </c>
      <c r="Y1127">
        <f t="shared" ca="1" si="539"/>
        <v>1.0211790510116832</v>
      </c>
      <c r="Z1127">
        <f t="shared" ca="1" si="540"/>
        <v>5.8263756264529105</v>
      </c>
      <c r="AA1127">
        <f t="shared" ca="1" si="541"/>
        <v>633.71217614847751</v>
      </c>
      <c r="AB1127">
        <f t="shared" ca="1" si="542"/>
        <v>635.44238272036966</v>
      </c>
      <c r="AC1127">
        <f t="shared" ca="1" si="543"/>
        <v>7.4275163404492325E-3</v>
      </c>
      <c r="AD1127">
        <f t="shared" ca="1" si="544"/>
        <v>1.4344743738315604</v>
      </c>
      <c r="AE1127">
        <f t="shared" ca="1" si="545"/>
        <v>37.613220226190009</v>
      </c>
      <c r="AF1127">
        <f t="shared" ca="1" si="546"/>
        <v>6.9275163405109197E-3</v>
      </c>
      <c r="AG1127">
        <f t="shared" ca="1" si="547"/>
        <v>0</v>
      </c>
      <c r="AH1127">
        <f ca="1">IFERROR(IF(V32="Supercritical",MAX($D$16,IFERROR(L1127,MAX($D$16,POWER((ABS(K1127)^2)/($I$5*MAX(F1127,0.1)^2),1/3)))),IF(V32="Subcritical",MAX($D$16,IFERROR(W1127,MAX($D$16,POWER((ABS(K1127)^2)/($I$5*MAX(F1127,0.1)^2),1/3)))),IF(AND(IFERROR(V1127,0)=1,IFERROR(AG1127,0)=1),IF(IFERROR(T1127,-1E+99)&gt;=IFERROR(AE1127,-1E+99),MAX($D$16,IFERROR(L1127,MAX($D$16,POWER((ABS(K1127)^2)/($I$5*MAX(F1127,0.1)^2),1/3)))),MAX($D$16,IFERROR(W1127,MAX($D$16,POWER((ABS(K1127)^2)/($I$5*MAX(F1127,0.1)^2),1/3))))),IF(IFERROR(V1127,0)=1,MAX($D$16,IFERROR(L1127,MAX($D$16,POWER((ABS(K1127)^2)/($I$5*MAX(F1127,0.1)^2),1/3)))),IF(IFERROR(AG1127,0)=1,MAX($D$16,IFERROR(W1127,MAX($D$16,POWER((ABS(K1127)^2)/($I$5*MAX(F1127,0.1)^2),1/3)))),MAX($D$16,POWER((ABS(K1127)^2)/($I$5*MAX(F1127,0.1)^2),1/3))))))),MAX($D$16,POWER((ABS(K1127)^2)/($I$5*MAX(F1127,0.1)^2),1/3)))</f>
        <v>2.1389677043987478</v>
      </c>
      <c r="AI1127">
        <f t="shared" ca="1" si="548"/>
        <v>634.1694677043987</v>
      </c>
      <c r="AJ1127">
        <f t="shared" ca="1" si="549"/>
        <v>635.23895155659807</v>
      </c>
      <c r="AM1127">
        <v>0</v>
      </c>
      <c r="AN1127">
        <v>0</v>
      </c>
      <c r="AO1127">
        <f t="shared" si="550"/>
        <v>0</v>
      </c>
      <c r="AP1127">
        <f t="shared" si="559"/>
        <v>0</v>
      </c>
      <c r="AQ1127">
        <f t="shared" ca="1" si="551"/>
        <v>1.0000000000000004</v>
      </c>
      <c r="AR1127" t="str">
        <f t="shared" ca="1" si="552"/>
        <v>Supercritical</v>
      </c>
      <c r="AS1127">
        <f t="shared" ca="1" si="553"/>
        <v>3.8141460404132466E-3</v>
      </c>
    </row>
    <row r="1128" spans="1:45" x14ac:dyDescent="0.35">
      <c r="A1128">
        <v>1067</v>
      </c>
      <c r="B1128">
        <v>1065.9949999999999</v>
      </c>
      <c r="C1128">
        <v>616078.50399999996</v>
      </c>
      <c r="D1128">
        <v>3096941.1159999999</v>
      </c>
      <c r="E1128">
        <v>632.03</v>
      </c>
      <c r="F1128">
        <v>5.2</v>
      </c>
      <c r="G1128">
        <v>0</v>
      </c>
      <c r="H1128" t="s">
        <v>154</v>
      </c>
      <c r="I1128">
        <v>0</v>
      </c>
      <c r="J1128">
        <f t="shared" si="554"/>
        <v>1</v>
      </c>
      <c r="K1128">
        <f t="shared" ca="1" si="555"/>
        <v>50.95</v>
      </c>
      <c r="L1128">
        <f t="shared" ca="1" si="556"/>
        <v>2.1389677043987478</v>
      </c>
      <c r="M1128">
        <f t="shared" ca="1" si="529"/>
        <v>11.122632062873489</v>
      </c>
      <c r="N1128">
        <f t="shared" ca="1" si="530"/>
        <v>1.1735290000551568</v>
      </c>
      <c r="O1128">
        <f t="shared" ca="1" si="531"/>
        <v>4.5807502857230418</v>
      </c>
      <c r="P1128">
        <f t="shared" ca="1" si="532"/>
        <v>634.16896770439871</v>
      </c>
      <c r="Q1128">
        <f t="shared" ca="1" si="533"/>
        <v>635.23845155659808</v>
      </c>
      <c r="R1128">
        <f t="shared" ca="1" si="534"/>
        <v>3.8141460404132466E-3</v>
      </c>
      <c r="S1128">
        <f t="shared" ca="1" si="535"/>
        <v>1.0000000000000004</v>
      </c>
      <c r="T1128">
        <f t="shared" ca="1" si="536"/>
        <v>35.686426155594638</v>
      </c>
      <c r="U1128">
        <f t="shared" ca="1" si="557"/>
        <v>-3.3141460404522149E-3</v>
      </c>
      <c r="V1128">
        <f t="shared" ca="1" si="558"/>
        <v>1</v>
      </c>
      <c r="W1128">
        <f t="shared" ca="1" si="537"/>
        <v>1.6816451759785689</v>
      </c>
      <c r="X1128">
        <f t="shared" ca="1" si="538"/>
        <v>8.7445549150885586</v>
      </c>
      <c r="Y1128">
        <f t="shared" ca="1" si="539"/>
        <v>1.0211676301609922</v>
      </c>
      <c r="Z1128">
        <f t="shared" ca="1" si="540"/>
        <v>5.8264829364942035</v>
      </c>
      <c r="AA1128">
        <f t="shared" ca="1" si="541"/>
        <v>633.71164517597856</v>
      </c>
      <c r="AB1128">
        <f t="shared" ca="1" si="542"/>
        <v>635.44191548226081</v>
      </c>
      <c r="AC1128">
        <f t="shared" ca="1" si="543"/>
        <v>7.4279007070865303E-3</v>
      </c>
      <c r="AD1128">
        <f t="shared" ca="1" si="544"/>
        <v>1.434514004184015</v>
      </c>
      <c r="AE1128">
        <f t="shared" ca="1" si="545"/>
        <v>37.613506716983977</v>
      </c>
      <c r="AF1128">
        <f t="shared" ca="1" si="546"/>
        <v>6.9336682747689338E-3</v>
      </c>
      <c r="AG1128">
        <f t="shared" ca="1" si="547"/>
        <v>0</v>
      </c>
      <c r="AH1128">
        <f ca="1">IFERROR(IF(V32="Supercritical",MAX($D$16,IFERROR(L1128,MAX($D$16,POWER((ABS(K1128)^2)/($I$5*MAX(F1128,0.1)^2),1/3)))),IF(V32="Subcritical",MAX($D$16,IFERROR(W1128,MAX($D$16,POWER((ABS(K1128)^2)/($I$5*MAX(F1128,0.1)^2),1/3)))),IF(AND(IFERROR(V1128,0)=1,IFERROR(AG1128,0)=1),IF(IFERROR(T1128,-1E+99)&gt;=IFERROR(AE1128,-1E+99),MAX($D$16,IFERROR(L1128,MAX($D$16,POWER((ABS(K1128)^2)/($I$5*MAX(F1128,0.1)^2),1/3)))),MAX($D$16,IFERROR(W1128,MAX($D$16,POWER((ABS(K1128)^2)/($I$5*MAX(F1128,0.1)^2),1/3))))),IF(IFERROR(V1128,0)=1,MAX($D$16,IFERROR(L1128,MAX($D$16,POWER((ABS(K1128)^2)/($I$5*MAX(F1128,0.1)^2),1/3)))),IF(IFERROR(AG1128,0)=1,MAX($D$16,IFERROR(W1128,MAX($D$16,POWER((ABS(K1128)^2)/($I$5*MAX(F1128,0.1)^2),1/3)))),MAX($D$16,POWER((ABS(K1128)^2)/($I$5*MAX(F1128,0.1)^2),1/3))))))),MAX($D$16,POWER((ABS(K1128)^2)/($I$5*MAX(F1128,0.1)^2),1/3)))</f>
        <v>2.1389677043987478</v>
      </c>
      <c r="AI1128">
        <f t="shared" ca="1" si="548"/>
        <v>634.16896770439871</v>
      </c>
      <c r="AJ1128">
        <f t="shared" ca="1" si="549"/>
        <v>635.23845155659808</v>
      </c>
      <c r="AM1128">
        <v>0</v>
      </c>
      <c r="AN1128">
        <v>0</v>
      </c>
      <c r="AO1128">
        <f t="shared" si="550"/>
        <v>0</v>
      </c>
      <c r="AP1128">
        <f t="shared" si="559"/>
        <v>0</v>
      </c>
      <c r="AQ1128">
        <f t="shared" ca="1" si="551"/>
        <v>1.0000000000000004</v>
      </c>
      <c r="AR1128" t="str">
        <f t="shared" ca="1" si="552"/>
        <v>Supercritical</v>
      </c>
      <c r="AS1128">
        <f t="shared" ca="1" si="553"/>
        <v>3.8141460404132466E-3</v>
      </c>
    </row>
    <row r="1129" spans="1:45" x14ac:dyDescent="0.35">
      <c r="A1129">
        <v>1068</v>
      </c>
      <c r="B1129">
        <v>1066.9949999999999</v>
      </c>
      <c r="C1129">
        <v>616078.46200000006</v>
      </c>
      <c r="D1129">
        <v>3096940.1170000001</v>
      </c>
      <c r="E1129">
        <v>632.02949999999998</v>
      </c>
      <c r="F1129">
        <v>5.2</v>
      </c>
      <c r="G1129">
        <v>0</v>
      </c>
      <c r="H1129" t="s">
        <v>154</v>
      </c>
      <c r="I1129">
        <v>2E-3</v>
      </c>
      <c r="J1129">
        <f t="shared" si="554"/>
        <v>1</v>
      </c>
      <c r="K1129">
        <f t="shared" ca="1" si="555"/>
        <v>50.95</v>
      </c>
      <c r="L1129">
        <f t="shared" ca="1" si="556"/>
        <v>2.1389677043987478</v>
      </c>
      <c r="M1129">
        <f t="shared" ca="1" si="529"/>
        <v>11.122632062873489</v>
      </c>
      <c r="N1129">
        <f t="shared" ca="1" si="530"/>
        <v>1.1735290000551568</v>
      </c>
      <c r="O1129">
        <f t="shared" ca="1" si="531"/>
        <v>4.5807502857230418</v>
      </c>
      <c r="P1129">
        <f t="shared" ca="1" si="532"/>
        <v>634.16846770439872</v>
      </c>
      <c r="Q1129">
        <f t="shared" ca="1" si="533"/>
        <v>635.23795155659809</v>
      </c>
      <c r="R1129">
        <f t="shared" ca="1" si="534"/>
        <v>3.8141460404132466E-3</v>
      </c>
      <c r="S1129">
        <f t="shared" ca="1" si="535"/>
        <v>1.0000000000000004</v>
      </c>
      <c r="T1129">
        <f t="shared" ca="1" si="536"/>
        <v>35.686426155594638</v>
      </c>
      <c r="U1129">
        <f t="shared" ca="1" si="557"/>
        <v>-3.3177109866073806E-3</v>
      </c>
      <c r="V1129">
        <f t="shared" ca="1" si="558"/>
        <v>1</v>
      </c>
      <c r="W1129">
        <f t="shared" ca="1" si="537"/>
        <v>1.6816162208881773</v>
      </c>
      <c r="X1129">
        <f t="shared" ca="1" si="538"/>
        <v>8.7444043486185219</v>
      </c>
      <c r="Y1129">
        <f t="shared" ca="1" si="539"/>
        <v>1.0211569530634608</v>
      </c>
      <c r="Z1129">
        <f t="shared" ca="1" si="540"/>
        <v>5.8265832604194818</v>
      </c>
      <c r="AA1129">
        <f t="shared" ca="1" si="541"/>
        <v>633.71111622088813</v>
      </c>
      <c r="AB1129">
        <f t="shared" ca="1" si="542"/>
        <v>635.44144611337538</v>
      </c>
      <c r="AC1129">
        <f t="shared" ca="1" si="543"/>
        <v>7.4282600629354085E-3</v>
      </c>
      <c r="AD1129">
        <f t="shared" ca="1" si="544"/>
        <v>1.4345510548448106</v>
      </c>
      <c r="AE1129">
        <f t="shared" ca="1" si="545"/>
        <v>37.613774570141864</v>
      </c>
      <c r="AF1129">
        <f t="shared" ca="1" si="546"/>
        <v>7.1087213121927562E-3</v>
      </c>
      <c r="AG1129">
        <f t="shared" ca="1" si="547"/>
        <v>0</v>
      </c>
      <c r="AH1129">
        <f ca="1">IFERROR(IF(V32="Supercritical",MAX($D$16,IFERROR(L1129,MAX($D$16,POWER((ABS(K1129)^2)/($I$5*MAX(F1129,0.1)^2),1/3)))),IF(V32="Subcritical",MAX($D$16,IFERROR(W1129,MAX($D$16,POWER((ABS(K1129)^2)/($I$5*MAX(F1129,0.1)^2),1/3)))),IF(AND(IFERROR(V1129,0)=1,IFERROR(AG1129,0)=1),IF(IFERROR(T1129,-1E+99)&gt;=IFERROR(AE1129,-1E+99),MAX($D$16,IFERROR(L1129,MAX($D$16,POWER((ABS(K1129)^2)/($I$5*MAX(F1129,0.1)^2),1/3)))),MAX($D$16,IFERROR(W1129,MAX($D$16,POWER((ABS(K1129)^2)/($I$5*MAX(F1129,0.1)^2),1/3))))),IF(IFERROR(V1129,0)=1,MAX($D$16,IFERROR(L1129,MAX($D$16,POWER((ABS(K1129)^2)/($I$5*MAX(F1129,0.1)^2),1/3)))),IF(IFERROR(AG1129,0)=1,MAX($D$16,IFERROR(W1129,MAX($D$16,POWER((ABS(K1129)^2)/($I$5*MAX(F1129,0.1)^2),1/3)))),MAX($D$16,POWER((ABS(K1129)^2)/($I$5*MAX(F1129,0.1)^2),1/3))))))),MAX($D$16,POWER((ABS(K1129)^2)/($I$5*MAX(F1129,0.1)^2),1/3)))</f>
        <v>2.1389677043987478</v>
      </c>
      <c r="AI1129">
        <f t="shared" ca="1" si="548"/>
        <v>634.16846770439872</v>
      </c>
      <c r="AJ1129">
        <f t="shared" ca="1" si="549"/>
        <v>635.23795155659809</v>
      </c>
      <c r="AM1129">
        <v>0</v>
      </c>
      <c r="AN1129">
        <v>0</v>
      </c>
      <c r="AO1129">
        <f t="shared" si="550"/>
        <v>0</v>
      </c>
      <c r="AP1129">
        <f t="shared" si="559"/>
        <v>0</v>
      </c>
      <c r="AQ1129">
        <f t="shared" ca="1" si="551"/>
        <v>1.0000000000000004</v>
      </c>
      <c r="AR1129" t="str">
        <f t="shared" ca="1" si="552"/>
        <v>Supercritical</v>
      </c>
      <c r="AS1129">
        <f t="shared" ca="1" si="553"/>
        <v>3.8141460404132466E-3</v>
      </c>
    </row>
    <row r="1130" spans="1:45" x14ac:dyDescent="0.35">
      <c r="A1130">
        <v>1069</v>
      </c>
      <c r="B1130">
        <v>1067.9960000000001</v>
      </c>
      <c r="C1130">
        <v>616078.42000000004</v>
      </c>
      <c r="D1130">
        <v>3096939.1170000001</v>
      </c>
      <c r="E1130">
        <v>632.029</v>
      </c>
      <c r="F1130">
        <v>5.2</v>
      </c>
      <c r="G1130">
        <v>0</v>
      </c>
      <c r="H1130" t="s">
        <v>154</v>
      </c>
      <c r="I1130">
        <v>0.06</v>
      </c>
      <c r="J1130">
        <f t="shared" si="554"/>
        <v>1.0010000000002037</v>
      </c>
      <c r="K1130">
        <f t="shared" ca="1" si="555"/>
        <v>50.95</v>
      </c>
      <c r="L1130">
        <f t="shared" ca="1" si="556"/>
        <v>2.1389677043987478</v>
      </c>
      <c r="M1130">
        <f t="shared" ca="1" si="529"/>
        <v>11.122632062873489</v>
      </c>
      <c r="N1130">
        <f t="shared" ca="1" si="530"/>
        <v>1.1735290000551568</v>
      </c>
      <c r="O1130">
        <f t="shared" ca="1" si="531"/>
        <v>4.5807502857230418</v>
      </c>
      <c r="P1130">
        <f t="shared" ca="1" si="532"/>
        <v>634.16796770439873</v>
      </c>
      <c r="Q1130">
        <f t="shared" ca="1" si="533"/>
        <v>635.2374515565981</v>
      </c>
      <c r="R1130">
        <f t="shared" ca="1" si="534"/>
        <v>3.8141460404132466E-3</v>
      </c>
      <c r="S1130">
        <f t="shared" ca="1" si="535"/>
        <v>1.0000000000000004</v>
      </c>
      <c r="T1130">
        <f t="shared" ca="1" si="536"/>
        <v>35.686426155594638</v>
      </c>
      <c r="U1130">
        <f t="shared" ca="1" si="557"/>
        <v>-3.4249085716737682E-3</v>
      </c>
      <c r="V1130">
        <f t="shared" ca="1" si="558"/>
        <v>1</v>
      </c>
      <c r="W1130">
        <f t="shared" ca="1" si="537"/>
        <v>1.6815891521340613</v>
      </c>
      <c r="X1130">
        <f t="shared" ca="1" si="538"/>
        <v>8.7442635910971198</v>
      </c>
      <c r="Y1130">
        <f t="shared" ca="1" si="539"/>
        <v>1.0211469714158281</v>
      </c>
      <c r="Z1130">
        <f t="shared" ca="1" si="540"/>
        <v>5.8266770516701039</v>
      </c>
      <c r="AA1130">
        <f t="shared" ca="1" si="541"/>
        <v>633.71058915213405</v>
      </c>
      <c r="AB1130">
        <f t="shared" ca="1" si="542"/>
        <v>635.44097475174965</v>
      </c>
      <c r="AC1130">
        <f t="shared" ca="1" si="543"/>
        <v>7.4285960297944299E-3</v>
      </c>
      <c r="AD1130">
        <f t="shared" ca="1" si="544"/>
        <v>1.434585693209945</v>
      </c>
      <c r="AE1130">
        <f t="shared" ca="1" si="545"/>
        <v>37.614024993650609</v>
      </c>
      <c r="AF1130">
        <f t="shared" ca="1" si="546"/>
        <v>7.092982661674796E-3</v>
      </c>
      <c r="AG1130">
        <f t="shared" ca="1" si="547"/>
        <v>0</v>
      </c>
      <c r="AH1130">
        <f ca="1">IFERROR(IF(V32="Supercritical",MAX($D$16,IFERROR(L1130,MAX($D$16,POWER((ABS(K1130)^2)/($I$5*MAX(F1130,0.1)^2),1/3)))),IF(V32="Subcritical",MAX($D$16,IFERROR(W1130,MAX($D$16,POWER((ABS(K1130)^2)/($I$5*MAX(F1130,0.1)^2),1/3)))),IF(AND(IFERROR(V1130,0)=1,IFERROR(AG1130,0)=1),IF(IFERROR(T1130,-1E+99)&gt;=IFERROR(AE1130,-1E+99),MAX($D$16,IFERROR(L1130,MAX($D$16,POWER((ABS(K1130)^2)/($I$5*MAX(F1130,0.1)^2),1/3)))),MAX($D$16,IFERROR(W1130,MAX($D$16,POWER((ABS(K1130)^2)/($I$5*MAX(F1130,0.1)^2),1/3))))),IF(IFERROR(V1130,0)=1,MAX($D$16,IFERROR(L1130,MAX($D$16,POWER((ABS(K1130)^2)/($I$5*MAX(F1130,0.1)^2),1/3)))),IF(IFERROR(AG1130,0)=1,MAX($D$16,IFERROR(W1130,MAX($D$16,POWER((ABS(K1130)^2)/($I$5*MAX(F1130,0.1)^2),1/3)))),MAX($D$16,POWER((ABS(K1130)^2)/($I$5*MAX(F1130,0.1)^2),1/3))))))),MAX($D$16,POWER((ABS(K1130)^2)/($I$5*MAX(F1130,0.1)^2),1/3)))</f>
        <v>2.1389677043987478</v>
      </c>
      <c r="AI1130">
        <f t="shared" ca="1" si="548"/>
        <v>634.16796770439873</v>
      </c>
      <c r="AJ1130">
        <f t="shared" ca="1" si="549"/>
        <v>635.2374515565981</v>
      </c>
      <c r="AM1130">
        <v>0</v>
      </c>
      <c r="AN1130">
        <v>0</v>
      </c>
      <c r="AO1130">
        <f t="shared" si="550"/>
        <v>0</v>
      </c>
      <c r="AP1130">
        <f t="shared" si="559"/>
        <v>0</v>
      </c>
      <c r="AQ1130">
        <f t="shared" ca="1" si="551"/>
        <v>1.0000000000000004</v>
      </c>
      <c r="AR1130" t="str">
        <f t="shared" ca="1" si="552"/>
        <v>Supercritical</v>
      </c>
      <c r="AS1130">
        <f t="shared" ca="1" si="553"/>
        <v>3.8141460404132466E-3</v>
      </c>
    </row>
    <row r="1131" spans="1:45" x14ac:dyDescent="0.35">
      <c r="A1131">
        <v>1070</v>
      </c>
      <c r="B1131">
        <v>1068.9960000000001</v>
      </c>
      <c r="C1131">
        <v>616078.37699999998</v>
      </c>
      <c r="D1131">
        <v>3096938.1179999998</v>
      </c>
      <c r="E1131">
        <v>632.02850000000001</v>
      </c>
      <c r="F1131">
        <v>5.2</v>
      </c>
      <c r="G1131">
        <v>0</v>
      </c>
      <c r="H1131" t="s">
        <v>154</v>
      </c>
      <c r="I1131">
        <v>5.7000000000000002E-2</v>
      </c>
      <c r="J1131">
        <f t="shared" si="554"/>
        <v>1</v>
      </c>
      <c r="K1131">
        <f t="shared" ca="1" si="555"/>
        <v>50.95</v>
      </c>
      <c r="L1131">
        <f t="shared" ca="1" si="556"/>
        <v>2.1389677043987478</v>
      </c>
      <c r="M1131">
        <f t="shared" ca="1" si="529"/>
        <v>11.122632062873489</v>
      </c>
      <c r="N1131">
        <f t="shared" ca="1" si="530"/>
        <v>1.1735290000551568</v>
      </c>
      <c r="O1131">
        <f t="shared" ca="1" si="531"/>
        <v>4.5807502857230418</v>
      </c>
      <c r="P1131">
        <f t="shared" ca="1" si="532"/>
        <v>634.16746770439875</v>
      </c>
      <c r="Q1131">
        <f t="shared" ca="1" si="533"/>
        <v>635.23695155659811</v>
      </c>
      <c r="R1131">
        <f t="shared" ca="1" si="534"/>
        <v>3.8141460404132466E-3</v>
      </c>
      <c r="S1131">
        <f t="shared" ca="1" si="535"/>
        <v>1.0000000000000004</v>
      </c>
      <c r="T1131">
        <f t="shared" ca="1" si="536"/>
        <v>35.686426155594638</v>
      </c>
      <c r="U1131">
        <f t="shared" ca="1" si="557"/>
        <v>-3.4157470064428708E-3</v>
      </c>
      <c r="V1131">
        <f t="shared" ca="1" si="558"/>
        <v>1</v>
      </c>
      <c r="W1131">
        <f t="shared" ca="1" si="537"/>
        <v>1.6815638471177901</v>
      </c>
      <c r="X1131">
        <f t="shared" ca="1" si="538"/>
        <v>8.7441320050125082</v>
      </c>
      <c r="Y1131">
        <f t="shared" ca="1" si="539"/>
        <v>1.0211376400352845</v>
      </c>
      <c r="Z1131">
        <f t="shared" ca="1" si="540"/>
        <v>5.8267647344291342</v>
      </c>
      <c r="AA1131">
        <f t="shared" ca="1" si="541"/>
        <v>633.71006384711779</v>
      </c>
      <c r="AB1131">
        <f t="shared" ca="1" si="542"/>
        <v>635.44050152654631</v>
      </c>
      <c r="AC1131">
        <f t="shared" ca="1" si="543"/>
        <v>7.4289101250118641E-3</v>
      </c>
      <c r="AD1131">
        <f t="shared" ca="1" si="544"/>
        <v>1.4346180758794567</v>
      </c>
      <c r="AE1131">
        <f t="shared" ca="1" si="545"/>
        <v>37.614259117767823</v>
      </c>
      <c r="AF1131">
        <f t="shared" ca="1" si="546"/>
        <v>6.9289101249978557E-3</v>
      </c>
      <c r="AG1131">
        <f t="shared" ca="1" si="547"/>
        <v>0</v>
      </c>
      <c r="AH1131">
        <f ca="1">IFERROR(IF(V32="Supercritical",MAX($D$16,IFERROR(L1131,MAX($D$16,POWER((ABS(K1131)^2)/($I$5*MAX(F1131,0.1)^2),1/3)))),IF(V32="Subcritical",MAX($D$16,IFERROR(W1131,MAX($D$16,POWER((ABS(K1131)^2)/($I$5*MAX(F1131,0.1)^2),1/3)))),IF(AND(IFERROR(V1131,0)=1,IFERROR(AG1131,0)=1),IF(IFERROR(T1131,-1E+99)&gt;=IFERROR(AE1131,-1E+99),MAX($D$16,IFERROR(L1131,MAX($D$16,POWER((ABS(K1131)^2)/($I$5*MAX(F1131,0.1)^2),1/3)))),MAX($D$16,IFERROR(W1131,MAX($D$16,POWER((ABS(K1131)^2)/($I$5*MAX(F1131,0.1)^2),1/3))))),IF(IFERROR(V1131,0)=1,MAX($D$16,IFERROR(L1131,MAX($D$16,POWER((ABS(K1131)^2)/($I$5*MAX(F1131,0.1)^2),1/3)))),IF(IFERROR(AG1131,0)=1,MAX($D$16,IFERROR(W1131,MAX($D$16,POWER((ABS(K1131)^2)/($I$5*MAX(F1131,0.1)^2),1/3)))),MAX($D$16,POWER((ABS(K1131)^2)/($I$5*MAX(F1131,0.1)^2),1/3))))))),MAX($D$16,POWER((ABS(K1131)^2)/($I$5*MAX(F1131,0.1)^2),1/3)))</f>
        <v>2.1389677043987478</v>
      </c>
      <c r="AI1131">
        <f t="shared" ca="1" si="548"/>
        <v>634.16746770439875</v>
      </c>
      <c r="AJ1131">
        <f t="shared" ca="1" si="549"/>
        <v>635.23695155659811</v>
      </c>
      <c r="AM1131">
        <v>0</v>
      </c>
      <c r="AN1131">
        <v>0</v>
      </c>
      <c r="AO1131">
        <f t="shared" si="550"/>
        <v>0</v>
      </c>
      <c r="AP1131">
        <f t="shared" si="559"/>
        <v>0</v>
      </c>
      <c r="AQ1131">
        <f t="shared" ca="1" si="551"/>
        <v>1.0000000000000004</v>
      </c>
      <c r="AR1131" t="str">
        <f t="shared" ca="1" si="552"/>
        <v>Supercritical</v>
      </c>
      <c r="AS1131">
        <f t="shared" ca="1" si="553"/>
        <v>3.8141460404132466E-3</v>
      </c>
    </row>
    <row r="1132" spans="1:45" x14ac:dyDescent="0.35">
      <c r="A1132">
        <v>1071</v>
      </c>
      <c r="B1132">
        <v>1069.9960000000001</v>
      </c>
      <c r="C1132">
        <v>616078.33499999996</v>
      </c>
      <c r="D1132">
        <v>3096937.1189999999</v>
      </c>
      <c r="E1132">
        <v>632.02800000000002</v>
      </c>
      <c r="F1132">
        <v>5.2</v>
      </c>
      <c r="G1132">
        <v>0</v>
      </c>
      <c r="H1132" t="s">
        <v>154</v>
      </c>
      <c r="I1132">
        <v>0</v>
      </c>
      <c r="J1132">
        <f t="shared" si="554"/>
        <v>1</v>
      </c>
      <c r="K1132">
        <f t="shared" ca="1" si="555"/>
        <v>50.95</v>
      </c>
      <c r="L1132">
        <f t="shared" ca="1" si="556"/>
        <v>2.1389677043987478</v>
      </c>
      <c r="M1132">
        <f t="shared" ca="1" si="529"/>
        <v>11.122632062873489</v>
      </c>
      <c r="N1132">
        <f t="shared" ca="1" si="530"/>
        <v>1.1735290000551568</v>
      </c>
      <c r="O1132">
        <f t="shared" ca="1" si="531"/>
        <v>4.5807502857230418</v>
      </c>
      <c r="P1132">
        <f t="shared" ca="1" si="532"/>
        <v>634.16696770439876</v>
      </c>
      <c r="Q1132">
        <f t="shared" ca="1" si="533"/>
        <v>635.23645155659813</v>
      </c>
      <c r="R1132">
        <f t="shared" ca="1" si="534"/>
        <v>3.8141460404132466E-3</v>
      </c>
      <c r="S1132">
        <f t="shared" ca="1" si="535"/>
        <v>1.0000000000000004</v>
      </c>
      <c r="T1132">
        <f t="shared" ca="1" si="536"/>
        <v>35.686426155594638</v>
      </c>
      <c r="U1132">
        <f t="shared" ca="1" si="557"/>
        <v>-3.3141460404522149E-3</v>
      </c>
      <c r="V1132">
        <f t="shared" ca="1" si="558"/>
        <v>1</v>
      </c>
      <c r="W1132">
        <f t="shared" ca="1" si="537"/>
        <v>1.6815401911722954</v>
      </c>
      <c r="X1132">
        <f t="shared" ca="1" si="538"/>
        <v>8.7440089940959353</v>
      </c>
      <c r="Y1132">
        <f t="shared" ca="1" si="539"/>
        <v>1.0211289166599888</v>
      </c>
      <c r="Z1132">
        <f t="shared" ca="1" si="540"/>
        <v>5.8268467054873891</v>
      </c>
      <c r="AA1132">
        <f t="shared" ca="1" si="541"/>
        <v>633.70954019117232</v>
      </c>
      <c r="AB1132">
        <f t="shared" ca="1" si="542"/>
        <v>635.44002655861618</v>
      </c>
      <c r="AC1132">
        <f t="shared" ca="1" si="543"/>
        <v>7.4292037681224716E-3</v>
      </c>
      <c r="AD1132">
        <f t="shared" ca="1" si="544"/>
        <v>1.4346483493453046</v>
      </c>
      <c r="AE1132">
        <f t="shared" ca="1" si="545"/>
        <v>37.614477999951831</v>
      </c>
      <c r="AF1132">
        <f t="shared" ca="1" si="546"/>
        <v>6.929203768095249E-3</v>
      </c>
      <c r="AG1132">
        <f t="shared" ca="1" si="547"/>
        <v>0</v>
      </c>
      <c r="AH1132">
        <f ca="1">IFERROR(IF(V32="Supercritical",MAX($D$16,IFERROR(L1132,MAX($D$16,POWER((ABS(K1132)^2)/($I$5*MAX(F1132,0.1)^2),1/3)))),IF(V32="Subcritical",MAX($D$16,IFERROR(W1132,MAX($D$16,POWER((ABS(K1132)^2)/($I$5*MAX(F1132,0.1)^2),1/3)))),IF(AND(IFERROR(V1132,0)=1,IFERROR(AG1132,0)=1),IF(IFERROR(T1132,-1E+99)&gt;=IFERROR(AE1132,-1E+99),MAX($D$16,IFERROR(L1132,MAX($D$16,POWER((ABS(K1132)^2)/($I$5*MAX(F1132,0.1)^2),1/3)))),MAX($D$16,IFERROR(W1132,MAX($D$16,POWER((ABS(K1132)^2)/($I$5*MAX(F1132,0.1)^2),1/3))))),IF(IFERROR(V1132,0)=1,MAX($D$16,IFERROR(L1132,MAX($D$16,POWER((ABS(K1132)^2)/($I$5*MAX(F1132,0.1)^2),1/3)))),IF(IFERROR(AG1132,0)=1,MAX($D$16,IFERROR(W1132,MAX($D$16,POWER((ABS(K1132)^2)/($I$5*MAX(F1132,0.1)^2),1/3)))),MAX($D$16,POWER((ABS(K1132)^2)/($I$5*MAX(F1132,0.1)^2),1/3))))))),MAX($D$16,POWER((ABS(K1132)^2)/($I$5*MAX(F1132,0.1)^2),1/3)))</f>
        <v>2.1389677043987478</v>
      </c>
      <c r="AI1132">
        <f t="shared" ca="1" si="548"/>
        <v>634.16696770439876</v>
      </c>
      <c r="AJ1132">
        <f t="shared" ca="1" si="549"/>
        <v>635.23645155659813</v>
      </c>
      <c r="AM1132">
        <v>0</v>
      </c>
      <c r="AN1132">
        <v>0</v>
      </c>
      <c r="AO1132">
        <f t="shared" si="550"/>
        <v>0</v>
      </c>
      <c r="AP1132">
        <f t="shared" si="559"/>
        <v>0</v>
      </c>
      <c r="AQ1132">
        <f t="shared" ca="1" si="551"/>
        <v>1.0000000000000004</v>
      </c>
      <c r="AR1132" t="str">
        <f t="shared" ca="1" si="552"/>
        <v>Supercritical</v>
      </c>
      <c r="AS1132">
        <f t="shared" ca="1" si="553"/>
        <v>3.8141460404132466E-3</v>
      </c>
    </row>
    <row r="1133" spans="1:45" x14ac:dyDescent="0.35">
      <c r="A1133">
        <v>1072</v>
      </c>
      <c r="B1133">
        <v>1070.9960000000001</v>
      </c>
      <c r="C1133">
        <v>616078.29299999995</v>
      </c>
      <c r="D1133">
        <v>3096936.12</v>
      </c>
      <c r="E1133">
        <v>632.02750000000003</v>
      </c>
      <c r="F1133">
        <v>5.2</v>
      </c>
      <c r="G1133">
        <v>0</v>
      </c>
      <c r="H1133" t="s">
        <v>154</v>
      </c>
      <c r="I1133">
        <v>0</v>
      </c>
      <c r="J1133">
        <f t="shared" si="554"/>
        <v>1</v>
      </c>
      <c r="K1133">
        <f t="shared" ca="1" si="555"/>
        <v>50.95</v>
      </c>
      <c r="L1133">
        <f t="shared" ca="1" si="556"/>
        <v>2.1389677043987478</v>
      </c>
      <c r="M1133">
        <f t="shared" ca="1" si="529"/>
        <v>11.122632062873489</v>
      </c>
      <c r="N1133">
        <f t="shared" ca="1" si="530"/>
        <v>1.1735290000551568</v>
      </c>
      <c r="O1133">
        <f t="shared" ca="1" si="531"/>
        <v>4.5807502857230418</v>
      </c>
      <c r="P1133">
        <f t="shared" ca="1" si="532"/>
        <v>634.16646770439877</v>
      </c>
      <c r="Q1133">
        <f t="shared" ca="1" si="533"/>
        <v>635.23595155659814</v>
      </c>
      <c r="R1133">
        <f t="shared" ca="1" si="534"/>
        <v>3.8141460404132466E-3</v>
      </c>
      <c r="S1133">
        <f t="shared" ca="1" si="535"/>
        <v>1.0000000000000004</v>
      </c>
      <c r="T1133">
        <f t="shared" ca="1" si="536"/>
        <v>35.686426155594638</v>
      </c>
      <c r="U1133">
        <f t="shared" ca="1" si="557"/>
        <v>-3.3141460404522149E-3</v>
      </c>
      <c r="V1133">
        <f t="shared" ca="1" si="558"/>
        <v>1</v>
      </c>
      <c r="W1133">
        <f t="shared" ca="1" si="537"/>
        <v>1.6815180770533498</v>
      </c>
      <c r="X1133">
        <f t="shared" ca="1" si="538"/>
        <v>8.74389400067742</v>
      </c>
      <c r="Y1133">
        <f t="shared" ca="1" si="539"/>
        <v>1.0211207617620515</v>
      </c>
      <c r="Z1133">
        <f t="shared" ca="1" si="540"/>
        <v>5.8269233359934063</v>
      </c>
      <c r="AA1133">
        <f t="shared" ca="1" si="541"/>
        <v>633.70901807705343</v>
      </c>
      <c r="AB1133">
        <f t="shared" ca="1" si="542"/>
        <v>635.43954996102616</v>
      </c>
      <c r="AC1133">
        <f t="shared" ca="1" si="543"/>
        <v>7.4294782870746538E-3</v>
      </c>
      <c r="AD1133">
        <f t="shared" ca="1" si="544"/>
        <v>1.4346766506365463</v>
      </c>
      <c r="AE1133">
        <f t="shared" ca="1" si="545"/>
        <v>37.614682629488605</v>
      </c>
      <c r="AF1133">
        <f t="shared" ca="1" si="546"/>
        <v>7.093878816135657E-3</v>
      </c>
      <c r="AG1133">
        <f t="shared" ca="1" si="547"/>
        <v>0</v>
      </c>
      <c r="AH1133">
        <f ca="1">IFERROR(IF(V32="Supercritical",MAX($D$16,IFERROR(L1133,MAX($D$16,POWER((ABS(K1133)^2)/($I$5*MAX(F1133,0.1)^2),1/3)))),IF(V32="Subcritical",MAX($D$16,IFERROR(W1133,MAX($D$16,POWER((ABS(K1133)^2)/($I$5*MAX(F1133,0.1)^2),1/3)))),IF(AND(IFERROR(V1133,0)=1,IFERROR(AG1133,0)=1),IF(IFERROR(T1133,-1E+99)&gt;=IFERROR(AE1133,-1E+99),MAX($D$16,IFERROR(L1133,MAX($D$16,POWER((ABS(K1133)^2)/($I$5*MAX(F1133,0.1)^2),1/3)))),MAX($D$16,IFERROR(W1133,MAX($D$16,POWER((ABS(K1133)^2)/($I$5*MAX(F1133,0.1)^2),1/3))))),IF(IFERROR(V1133,0)=1,MAX($D$16,IFERROR(L1133,MAX($D$16,POWER((ABS(K1133)^2)/($I$5*MAX(F1133,0.1)^2),1/3)))),IF(IFERROR(AG1133,0)=1,MAX($D$16,IFERROR(W1133,MAX($D$16,POWER((ABS(K1133)^2)/($I$5*MAX(F1133,0.1)^2),1/3)))),MAX($D$16,POWER((ABS(K1133)^2)/($I$5*MAX(F1133,0.1)^2),1/3))))))),MAX($D$16,POWER((ABS(K1133)^2)/($I$5*MAX(F1133,0.1)^2),1/3)))</f>
        <v>2.1389677043987478</v>
      </c>
      <c r="AI1133">
        <f t="shared" ca="1" si="548"/>
        <v>634.16646770439877</v>
      </c>
      <c r="AJ1133">
        <f t="shared" ca="1" si="549"/>
        <v>635.23595155659814</v>
      </c>
      <c r="AM1133">
        <v>0</v>
      </c>
      <c r="AN1133">
        <v>0</v>
      </c>
      <c r="AO1133">
        <f t="shared" si="550"/>
        <v>0</v>
      </c>
      <c r="AP1133">
        <f t="shared" si="559"/>
        <v>0</v>
      </c>
      <c r="AQ1133">
        <f t="shared" ca="1" si="551"/>
        <v>1.0000000000000004</v>
      </c>
      <c r="AR1133" t="str">
        <f t="shared" ca="1" si="552"/>
        <v>Supercritical</v>
      </c>
      <c r="AS1133">
        <f t="shared" ca="1" si="553"/>
        <v>3.8141460404132466E-3</v>
      </c>
    </row>
    <row r="1134" spans="1:45" x14ac:dyDescent="0.35">
      <c r="A1134">
        <v>1073</v>
      </c>
      <c r="B1134">
        <v>1071.9960000000001</v>
      </c>
      <c r="C1134">
        <v>616078.25100000005</v>
      </c>
      <c r="D1134">
        <v>3096935.1209999998</v>
      </c>
      <c r="E1134">
        <v>632.02700000000004</v>
      </c>
      <c r="F1134">
        <v>5.2</v>
      </c>
      <c r="G1134">
        <v>0</v>
      </c>
      <c r="H1134" t="s">
        <v>154</v>
      </c>
      <c r="I1134">
        <v>5.7000000000000002E-2</v>
      </c>
      <c r="J1134">
        <f t="shared" si="554"/>
        <v>1</v>
      </c>
      <c r="K1134">
        <f t="shared" ca="1" si="555"/>
        <v>50.95</v>
      </c>
      <c r="L1134">
        <f t="shared" ca="1" si="556"/>
        <v>2.1389677043987478</v>
      </c>
      <c r="M1134">
        <f t="shared" ca="1" si="529"/>
        <v>11.122632062873489</v>
      </c>
      <c r="N1134">
        <f t="shared" ca="1" si="530"/>
        <v>1.1735290000551568</v>
      </c>
      <c r="O1134">
        <f t="shared" ca="1" si="531"/>
        <v>4.5807502857230418</v>
      </c>
      <c r="P1134">
        <f t="shared" ca="1" si="532"/>
        <v>634.16596770439878</v>
      </c>
      <c r="Q1134">
        <f t="shared" ca="1" si="533"/>
        <v>635.23545155659815</v>
      </c>
      <c r="R1134">
        <f t="shared" ca="1" si="534"/>
        <v>3.8141460404132466E-3</v>
      </c>
      <c r="S1134">
        <f t="shared" ca="1" si="535"/>
        <v>1.0000000000000004</v>
      </c>
      <c r="T1134">
        <f t="shared" ca="1" si="536"/>
        <v>35.686426155594638</v>
      </c>
      <c r="U1134">
        <f t="shared" ca="1" si="557"/>
        <v>-3.4157470064428708E-3</v>
      </c>
      <c r="V1134">
        <f t="shared" ca="1" si="558"/>
        <v>1</v>
      </c>
      <c r="W1134">
        <f t="shared" ca="1" si="537"/>
        <v>1.6814974044631736</v>
      </c>
      <c r="X1134">
        <f t="shared" ca="1" si="538"/>
        <v>8.7437865032085025</v>
      </c>
      <c r="Y1134">
        <f t="shared" ca="1" si="539"/>
        <v>1.0211131383723007</v>
      </c>
      <c r="Z1134">
        <f t="shared" ca="1" si="540"/>
        <v>5.8269949730936448</v>
      </c>
      <c r="AA1134">
        <f t="shared" ca="1" si="541"/>
        <v>633.70849740446317</v>
      </c>
      <c r="AB1134">
        <f t="shared" ca="1" si="542"/>
        <v>635.43907183955275</v>
      </c>
      <c r="AC1134">
        <f t="shared" ca="1" si="543"/>
        <v>7.4297349240698011E-3</v>
      </c>
      <c r="AD1134">
        <f t="shared" ca="1" si="544"/>
        <v>1.4347031079241208</v>
      </c>
      <c r="AE1134">
        <f t="shared" ca="1" si="545"/>
        <v>37.61487393183144</v>
      </c>
      <c r="AF1134">
        <f t="shared" ca="1" si="546"/>
        <v>7.0941394953933923E-3</v>
      </c>
      <c r="AG1134">
        <f t="shared" ca="1" si="547"/>
        <v>0</v>
      </c>
      <c r="AH1134">
        <f ca="1">IFERROR(IF(V32="Supercritical",MAX($D$16,IFERROR(L1134,MAX($D$16,POWER((ABS(K1134)^2)/($I$5*MAX(F1134,0.1)^2),1/3)))),IF(V32="Subcritical",MAX($D$16,IFERROR(W1134,MAX($D$16,POWER((ABS(K1134)^2)/($I$5*MAX(F1134,0.1)^2),1/3)))),IF(AND(IFERROR(V1134,0)=1,IFERROR(AG1134,0)=1),IF(IFERROR(T1134,-1E+99)&gt;=IFERROR(AE1134,-1E+99),MAX($D$16,IFERROR(L1134,MAX($D$16,POWER((ABS(K1134)^2)/($I$5*MAX(F1134,0.1)^2),1/3)))),MAX($D$16,IFERROR(W1134,MAX($D$16,POWER((ABS(K1134)^2)/($I$5*MAX(F1134,0.1)^2),1/3))))),IF(IFERROR(V1134,0)=1,MAX($D$16,IFERROR(L1134,MAX($D$16,POWER((ABS(K1134)^2)/($I$5*MAX(F1134,0.1)^2),1/3)))),IF(IFERROR(AG1134,0)=1,MAX($D$16,IFERROR(W1134,MAX($D$16,POWER((ABS(K1134)^2)/($I$5*MAX(F1134,0.1)^2),1/3)))),MAX($D$16,POWER((ABS(K1134)^2)/($I$5*MAX(F1134,0.1)^2),1/3))))))),MAX($D$16,POWER((ABS(K1134)^2)/($I$5*MAX(F1134,0.1)^2),1/3)))</f>
        <v>2.1389677043987478</v>
      </c>
      <c r="AI1134">
        <f t="shared" ca="1" si="548"/>
        <v>634.16596770439878</v>
      </c>
      <c r="AJ1134">
        <f t="shared" ca="1" si="549"/>
        <v>635.23545155659815</v>
      </c>
      <c r="AM1134">
        <v>0</v>
      </c>
      <c r="AN1134">
        <v>0</v>
      </c>
      <c r="AO1134">
        <f t="shared" si="550"/>
        <v>0</v>
      </c>
      <c r="AP1134">
        <f t="shared" si="559"/>
        <v>0</v>
      </c>
      <c r="AQ1134">
        <f t="shared" ca="1" si="551"/>
        <v>1.0000000000000004</v>
      </c>
      <c r="AR1134" t="str">
        <f t="shared" ca="1" si="552"/>
        <v>Supercritical</v>
      </c>
      <c r="AS1134">
        <f t="shared" ca="1" si="553"/>
        <v>3.8141460404132466E-3</v>
      </c>
    </row>
    <row r="1135" spans="1:45" x14ac:dyDescent="0.35">
      <c r="A1135">
        <v>1074</v>
      </c>
      <c r="B1135">
        <v>1072.9960000000001</v>
      </c>
      <c r="C1135">
        <v>616078.20799999998</v>
      </c>
      <c r="D1135">
        <v>3096934.122</v>
      </c>
      <c r="E1135">
        <v>632.02650000000006</v>
      </c>
      <c r="F1135">
        <v>5.2</v>
      </c>
      <c r="G1135">
        <v>0</v>
      </c>
      <c r="H1135" t="s">
        <v>154</v>
      </c>
      <c r="I1135">
        <v>5.7000000000000002E-2</v>
      </c>
      <c r="J1135">
        <f t="shared" si="554"/>
        <v>1</v>
      </c>
      <c r="K1135">
        <f t="shared" ca="1" si="555"/>
        <v>50.95</v>
      </c>
      <c r="L1135">
        <f t="shared" ca="1" si="556"/>
        <v>2.1389677043987478</v>
      </c>
      <c r="M1135">
        <f t="shared" ca="1" si="529"/>
        <v>11.122632062873489</v>
      </c>
      <c r="N1135">
        <f t="shared" ca="1" si="530"/>
        <v>1.1735290000551568</v>
      </c>
      <c r="O1135">
        <f t="shared" ca="1" si="531"/>
        <v>4.5807502857230418</v>
      </c>
      <c r="P1135">
        <f t="shared" ca="1" si="532"/>
        <v>634.16546770439879</v>
      </c>
      <c r="Q1135">
        <f t="shared" ca="1" si="533"/>
        <v>635.23495155659816</v>
      </c>
      <c r="R1135">
        <f t="shared" ca="1" si="534"/>
        <v>3.8141460404132466E-3</v>
      </c>
      <c r="S1135">
        <f t="shared" ca="1" si="535"/>
        <v>1.0000000000000004</v>
      </c>
      <c r="T1135">
        <f t="shared" ca="1" si="536"/>
        <v>35.686426155594638</v>
      </c>
      <c r="U1135">
        <f t="shared" ca="1" si="557"/>
        <v>-3.4157470064428708E-3</v>
      </c>
      <c r="V1135">
        <f t="shared" ca="1" si="558"/>
        <v>1</v>
      </c>
      <c r="W1135">
        <f t="shared" ca="1" si="537"/>
        <v>1.6814780796039526</v>
      </c>
      <c r="X1135">
        <f t="shared" ca="1" si="538"/>
        <v>8.7436860139405539</v>
      </c>
      <c r="Y1135">
        <f t="shared" ca="1" si="539"/>
        <v>1.0211060119160258</v>
      </c>
      <c r="Z1135">
        <f t="shared" ca="1" si="540"/>
        <v>5.8270619414703972</v>
      </c>
      <c r="AA1135">
        <f t="shared" ca="1" si="541"/>
        <v>633.707978079604</v>
      </c>
      <c r="AB1135">
        <f t="shared" ca="1" si="542"/>
        <v>635.43859229314796</v>
      </c>
      <c r="AC1135">
        <f t="shared" ca="1" si="543"/>
        <v>7.429974841039814E-3</v>
      </c>
      <c r="AD1135">
        <f t="shared" ca="1" si="544"/>
        <v>1.4347278410879793</v>
      </c>
      <c r="AE1135">
        <f t="shared" ca="1" si="545"/>
        <v>37.615052772672684</v>
      </c>
      <c r="AF1135">
        <f t="shared" ca="1" si="546"/>
        <v>6.9225448661427436E-3</v>
      </c>
      <c r="AG1135">
        <f t="shared" ca="1" si="547"/>
        <v>0</v>
      </c>
      <c r="AH1135">
        <f ca="1">IFERROR(IF(V32="Supercritical",MAX($D$16,IFERROR(L1135,MAX($D$16,POWER((ABS(K1135)^2)/($I$5*MAX(F1135,0.1)^2),1/3)))),IF(V32="Subcritical",MAX($D$16,IFERROR(W1135,MAX($D$16,POWER((ABS(K1135)^2)/($I$5*MAX(F1135,0.1)^2),1/3)))),IF(AND(IFERROR(V1135,0)=1,IFERROR(AG1135,0)=1),IF(IFERROR(T1135,-1E+99)&gt;=IFERROR(AE1135,-1E+99),MAX($D$16,IFERROR(L1135,MAX($D$16,POWER((ABS(K1135)^2)/($I$5*MAX(F1135,0.1)^2),1/3)))),MAX($D$16,IFERROR(W1135,MAX($D$16,POWER((ABS(K1135)^2)/($I$5*MAX(F1135,0.1)^2),1/3))))),IF(IFERROR(V1135,0)=1,MAX($D$16,IFERROR(L1135,MAX($D$16,POWER((ABS(K1135)^2)/($I$5*MAX(F1135,0.1)^2),1/3)))),IF(IFERROR(AG1135,0)=1,MAX($D$16,IFERROR(W1135,MAX($D$16,POWER((ABS(K1135)^2)/($I$5*MAX(F1135,0.1)^2),1/3)))),MAX($D$16,POWER((ABS(K1135)^2)/($I$5*MAX(F1135,0.1)^2),1/3))))))),MAX($D$16,POWER((ABS(K1135)^2)/($I$5*MAX(F1135,0.1)^2),1/3)))</f>
        <v>2.1389677043987478</v>
      </c>
      <c r="AI1135">
        <f t="shared" ca="1" si="548"/>
        <v>634.16546770439879</v>
      </c>
      <c r="AJ1135">
        <f t="shared" ca="1" si="549"/>
        <v>635.23495155659816</v>
      </c>
      <c r="AM1135">
        <v>0</v>
      </c>
      <c r="AN1135">
        <v>0</v>
      </c>
      <c r="AO1135">
        <f t="shared" si="550"/>
        <v>0</v>
      </c>
      <c r="AP1135">
        <f t="shared" si="559"/>
        <v>0</v>
      </c>
      <c r="AQ1135">
        <f t="shared" ca="1" si="551"/>
        <v>1.0000000000000004</v>
      </c>
      <c r="AR1135" t="str">
        <f t="shared" ca="1" si="552"/>
        <v>Supercritical</v>
      </c>
      <c r="AS1135">
        <f t="shared" ca="1" si="553"/>
        <v>3.8141460404132466E-3</v>
      </c>
    </row>
    <row r="1136" spans="1:45" x14ac:dyDescent="0.35">
      <c r="A1136">
        <v>1075</v>
      </c>
      <c r="B1136">
        <v>1073.9949999999999</v>
      </c>
      <c r="C1136">
        <v>616078.16599999997</v>
      </c>
      <c r="D1136">
        <v>3096933.1230000001</v>
      </c>
      <c r="E1136">
        <v>632.02599999999995</v>
      </c>
      <c r="F1136">
        <v>5.2</v>
      </c>
      <c r="G1136">
        <v>0</v>
      </c>
      <c r="H1136" t="s">
        <v>154</v>
      </c>
      <c r="I1136">
        <v>0</v>
      </c>
      <c r="J1136">
        <f t="shared" si="554"/>
        <v>0.99899999999979627</v>
      </c>
      <c r="K1136">
        <f t="shared" ca="1" si="555"/>
        <v>50.95</v>
      </c>
      <c r="L1136">
        <f t="shared" ca="1" si="556"/>
        <v>2.1389677043987478</v>
      </c>
      <c r="M1136">
        <f t="shared" ca="1" si="529"/>
        <v>11.122632062873489</v>
      </c>
      <c r="N1136">
        <f t="shared" ca="1" si="530"/>
        <v>1.1735290000551568</v>
      </c>
      <c r="O1136">
        <f t="shared" ca="1" si="531"/>
        <v>4.5807502857230418</v>
      </c>
      <c r="P1136">
        <f t="shared" ca="1" si="532"/>
        <v>634.16496770439869</v>
      </c>
      <c r="Q1136">
        <f t="shared" ca="1" si="533"/>
        <v>635.23445155659806</v>
      </c>
      <c r="R1136">
        <f t="shared" ca="1" si="534"/>
        <v>3.8141460404132466E-3</v>
      </c>
      <c r="S1136">
        <f t="shared" ca="1" si="535"/>
        <v>1.0000000000000004</v>
      </c>
      <c r="T1136">
        <f t="shared" ca="1" si="536"/>
        <v>35.686426155594638</v>
      </c>
      <c r="U1136">
        <f t="shared" ca="1" si="557"/>
        <v>-3.3103318942266924E-3</v>
      </c>
      <c r="V1136">
        <f t="shared" ca="1" si="558"/>
        <v>1</v>
      </c>
      <c r="W1136">
        <f t="shared" ca="1" si="537"/>
        <v>1.6814600147597998</v>
      </c>
      <c r="X1136">
        <f t="shared" ca="1" si="538"/>
        <v>8.743592076750959</v>
      </c>
      <c r="Y1136">
        <f t="shared" ca="1" si="539"/>
        <v>1.0210993500591521</v>
      </c>
      <c r="Z1136">
        <f t="shared" ca="1" si="540"/>
        <v>5.8271245447823512</v>
      </c>
      <c r="AA1136">
        <f t="shared" ca="1" si="541"/>
        <v>633.7074600147597</v>
      </c>
      <c r="AB1136">
        <f t="shared" ca="1" si="542"/>
        <v>635.43811141437254</v>
      </c>
      <c r="AC1136">
        <f t="shared" ca="1" si="543"/>
        <v>7.4301991247800927E-3</v>
      </c>
      <c r="AD1136">
        <f t="shared" ca="1" si="544"/>
        <v>1.4347509622483725</v>
      </c>
      <c r="AE1136">
        <f t="shared" ca="1" si="545"/>
        <v>37.615219961760133</v>
      </c>
      <c r="AF1136">
        <f t="shared" ca="1" si="546"/>
        <v>6.9301991247812111E-3</v>
      </c>
      <c r="AG1136">
        <f t="shared" ca="1" si="547"/>
        <v>0</v>
      </c>
      <c r="AH1136">
        <f ca="1">IFERROR(IF(V32="Supercritical",MAX($D$16,IFERROR(L1136,MAX($D$16,POWER((ABS(K1136)^2)/($I$5*MAX(F1136,0.1)^2),1/3)))),IF(V32="Subcritical",MAX($D$16,IFERROR(W1136,MAX($D$16,POWER((ABS(K1136)^2)/($I$5*MAX(F1136,0.1)^2),1/3)))),IF(AND(IFERROR(V1136,0)=1,IFERROR(AG1136,0)=1),IF(IFERROR(T1136,-1E+99)&gt;=IFERROR(AE1136,-1E+99),MAX($D$16,IFERROR(L1136,MAX($D$16,POWER((ABS(K1136)^2)/($I$5*MAX(F1136,0.1)^2),1/3)))),MAX($D$16,IFERROR(W1136,MAX($D$16,POWER((ABS(K1136)^2)/($I$5*MAX(F1136,0.1)^2),1/3))))),IF(IFERROR(V1136,0)=1,MAX($D$16,IFERROR(L1136,MAX($D$16,POWER((ABS(K1136)^2)/($I$5*MAX(F1136,0.1)^2),1/3)))),IF(IFERROR(AG1136,0)=1,MAX($D$16,IFERROR(W1136,MAX($D$16,POWER((ABS(K1136)^2)/($I$5*MAX(F1136,0.1)^2),1/3)))),MAX($D$16,POWER((ABS(K1136)^2)/($I$5*MAX(F1136,0.1)^2),1/3))))))),MAX($D$16,POWER((ABS(K1136)^2)/($I$5*MAX(F1136,0.1)^2),1/3)))</f>
        <v>2.1389677043987478</v>
      </c>
      <c r="AI1136">
        <f t="shared" ca="1" si="548"/>
        <v>634.16496770439869</v>
      </c>
      <c r="AJ1136">
        <f t="shared" ca="1" si="549"/>
        <v>635.23445155659806</v>
      </c>
      <c r="AM1136">
        <v>0</v>
      </c>
      <c r="AN1136">
        <v>0</v>
      </c>
      <c r="AO1136">
        <f t="shared" si="550"/>
        <v>0</v>
      </c>
      <c r="AP1136">
        <f t="shared" si="559"/>
        <v>0</v>
      </c>
      <c r="AQ1136">
        <f t="shared" ca="1" si="551"/>
        <v>1.0000000000000004</v>
      </c>
      <c r="AR1136" t="str">
        <f t="shared" ca="1" si="552"/>
        <v>Supercritical</v>
      </c>
      <c r="AS1136">
        <f t="shared" ca="1" si="553"/>
        <v>3.8141460404132466E-3</v>
      </c>
    </row>
    <row r="1137" spans="1:45" x14ac:dyDescent="0.35">
      <c r="A1137">
        <v>1076</v>
      </c>
      <c r="B1137">
        <v>1074.9949999999999</v>
      </c>
      <c r="C1137">
        <v>616078.12399999995</v>
      </c>
      <c r="D1137">
        <v>3096932.1239999998</v>
      </c>
      <c r="E1137">
        <v>632.02549999999997</v>
      </c>
      <c r="F1137">
        <v>5.2</v>
      </c>
      <c r="G1137">
        <v>0</v>
      </c>
      <c r="H1137" t="s">
        <v>154</v>
      </c>
      <c r="I1137">
        <v>0</v>
      </c>
      <c r="J1137">
        <f t="shared" si="554"/>
        <v>1</v>
      </c>
      <c r="K1137">
        <f t="shared" ca="1" si="555"/>
        <v>50.95</v>
      </c>
      <c r="L1137">
        <f t="shared" ca="1" si="556"/>
        <v>2.1389677043987478</v>
      </c>
      <c r="M1137">
        <f t="shared" ca="1" si="529"/>
        <v>11.122632062873489</v>
      </c>
      <c r="N1137">
        <f t="shared" ca="1" si="530"/>
        <v>1.1735290000551568</v>
      </c>
      <c r="O1137">
        <f t="shared" ca="1" si="531"/>
        <v>4.5807502857230418</v>
      </c>
      <c r="P1137">
        <f t="shared" ca="1" si="532"/>
        <v>634.1644677043987</v>
      </c>
      <c r="Q1137">
        <f t="shared" ca="1" si="533"/>
        <v>635.23395155659807</v>
      </c>
      <c r="R1137">
        <f t="shared" ca="1" si="534"/>
        <v>3.8141460404132466E-3</v>
      </c>
      <c r="S1137">
        <f t="shared" ca="1" si="535"/>
        <v>1.0000000000000004</v>
      </c>
      <c r="T1137">
        <f t="shared" ca="1" si="536"/>
        <v>35.686426155594638</v>
      </c>
      <c r="U1137">
        <f t="shared" ca="1" si="557"/>
        <v>-3.3141460404522149E-3</v>
      </c>
      <c r="V1137">
        <f t="shared" ca="1" si="558"/>
        <v>1</v>
      </c>
      <c r="W1137">
        <f t="shared" ca="1" si="537"/>
        <v>1.6814431279049797</v>
      </c>
      <c r="X1137">
        <f t="shared" ca="1" si="538"/>
        <v>8.7435042651058943</v>
      </c>
      <c r="Y1137">
        <f t="shared" ca="1" si="539"/>
        <v>1.0210931225640634</v>
      </c>
      <c r="Z1137">
        <f t="shared" ca="1" si="540"/>
        <v>5.8271830670151719</v>
      </c>
      <c r="AA1137">
        <f t="shared" ca="1" si="541"/>
        <v>633.70694312790499</v>
      </c>
      <c r="AB1137">
        <f t="shared" ca="1" si="542"/>
        <v>635.43762928980652</v>
      </c>
      <c r="AC1137">
        <f t="shared" ca="1" si="543"/>
        <v>7.4304087917637139E-3</v>
      </c>
      <c r="AD1137">
        <f t="shared" ca="1" si="544"/>
        <v>1.4347725762640049</v>
      </c>
      <c r="AE1137">
        <f t="shared" ca="1" si="545"/>
        <v>37.615376256476935</v>
      </c>
      <c r="AF1137">
        <f t="shared" ca="1" si="546"/>
        <v>7.089055023243418E-3</v>
      </c>
      <c r="AG1137">
        <f t="shared" ca="1" si="547"/>
        <v>0</v>
      </c>
      <c r="AH1137">
        <f ca="1">IFERROR(IF(V32="Supercritical",MAX($D$16,IFERROR(L1137,MAX($D$16,POWER((ABS(K1137)^2)/($I$5*MAX(F1137,0.1)^2),1/3)))),IF(V32="Subcritical",MAX($D$16,IFERROR(W1137,MAX($D$16,POWER((ABS(K1137)^2)/($I$5*MAX(F1137,0.1)^2),1/3)))),IF(AND(IFERROR(V1137,0)=1,IFERROR(AG1137,0)=1),IF(IFERROR(T1137,-1E+99)&gt;=IFERROR(AE1137,-1E+99),MAX($D$16,IFERROR(L1137,MAX($D$16,POWER((ABS(K1137)^2)/($I$5*MAX(F1137,0.1)^2),1/3)))),MAX($D$16,IFERROR(W1137,MAX($D$16,POWER((ABS(K1137)^2)/($I$5*MAX(F1137,0.1)^2),1/3))))),IF(IFERROR(V1137,0)=1,MAX($D$16,IFERROR(L1137,MAX($D$16,POWER((ABS(K1137)^2)/($I$5*MAX(F1137,0.1)^2),1/3)))),IF(IFERROR(AG1137,0)=1,MAX($D$16,IFERROR(W1137,MAX($D$16,POWER((ABS(K1137)^2)/($I$5*MAX(F1137,0.1)^2),1/3)))),MAX($D$16,POWER((ABS(K1137)^2)/($I$5*MAX(F1137,0.1)^2),1/3))))))),MAX($D$16,POWER((ABS(K1137)^2)/($I$5*MAX(F1137,0.1)^2),1/3)))</f>
        <v>2.1389677043987478</v>
      </c>
      <c r="AI1137">
        <f t="shared" ca="1" si="548"/>
        <v>634.1644677043987</v>
      </c>
      <c r="AJ1137">
        <f t="shared" ca="1" si="549"/>
        <v>635.23395155659807</v>
      </c>
      <c r="AM1137">
        <v>0</v>
      </c>
      <c r="AN1137">
        <v>0</v>
      </c>
      <c r="AO1137">
        <f t="shared" si="550"/>
        <v>0</v>
      </c>
      <c r="AP1137">
        <f t="shared" si="559"/>
        <v>0</v>
      </c>
      <c r="AQ1137">
        <f t="shared" ca="1" si="551"/>
        <v>1.0000000000000004</v>
      </c>
      <c r="AR1137" t="str">
        <f t="shared" ca="1" si="552"/>
        <v>Supercritical</v>
      </c>
      <c r="AS1137">
        <f t="shared" ca="1" si="553"/>
        <v>3.8141460404132466E-3</v>
      </c>
    </row>
    <row r="1138" spans="1:45" x14ac:dyDescent="0.35">
      <c r="A1138">
        <v>1077</v>
      </c>
      <c r="B1138">
        <v>1075.9949999999999</v>
      </c>
      <c r="C1138">
        <v>616078.08200000005</v>
      </c>
      <c r="D1138">
        <v>3096931.125</v>
      </c>
      <c r="E1138">
        <v>632.02499999999998</v>
      </c>
      <c r="F1138">
        <v>5.2</v>
      </c>
      <c r="G1138">
        <v>0</v>
      </c>
      <c r="H1138" t="s">
        <v>154</v>
      </c>
      <c r="I1138">
        <v>5.5E-2</v>
      </c>
      <c r="J1138">
        <f t="shared" si="554"/>
        <v>1</v>
      </c>
      <c r="K1138">
        <f t="shared" ca="1" si="555"/>
        <v>50.95</v>
      </c>
      <c r="L1138">
        <f t="shared" ca="1" si="556"/>
        <v>2.1389677043987478</v>
      </c>
      <c r="M1138">
        <f t="shared" ca="1" si="529"/>
        <v>11.122632062873489</v>
      </c>
      <c r="N1138">
        <f t="shared" ca="1" si="530"/>
        <v>1.1735290000551568</v>
      </c>
      <c r="O1138">
        <f t="shared" ca="1" si="531"/>
        <v>4.5807502857230418</v>
      </c>
      <c r="P1138">
        <f t="shared" ca="1" si="532"/>
        <v>634.16396770439871</v>
      </c>
      <c r="Q1138">
        <f t="shared" ca="1" si="533"/>
        <v>635.23345155659808</v>
      </c>
      <c r="R1138">
        <f t="shared" ca="1" si="534"/>
        <v>3.8141460404132466E-3</v>
      </c>
      <c r="S1138">
        <f t="shared" ca="1" si="535"/>
        <v>1.0000000000000004</v>
      </c>
      <c r="T1138">
        <f t="shared" ca="1" si="536"/>
        <v>35.686426155594638</v>
      </c>
      <c r="U1138">
        <f t="shared" ca="1" si="557"/>
        <v>-3.4121820602877051E-3</v>
      </c>
      <c r="V1138">
        <f t="shared" ca="1" si="558"/>
        <v>1</v>
      </c>
      <c r="W1138">
        <f t="shared" ca="1" si="537"/>
        <v>1.681427342337217</v>
      </c>
      <c r="X1138">
        <f t="shared" ca="1" si="538"/>
        <v>8.7434221801535283</v>
      </c>
      <c r="Y1138">
        <f t="shared" ca="1" si="539"/>
        <v>1.0210873011546335</v>
      </c>
      <c r="Z1138">
        <f t="shared" ca="1" si="540"/>
        <v>5.827237773746087</v>
      </c>
      <c r="AA1138">
        <f t="shared" ca="1" si="541"/>
        <v>633.70642734233718</v>
      </c>
      <c r="AB1138">
        <f t="shared" ca="1" si="542"/>
        <v>635.43714600042961</v>
      </c>
      <c r="AC1138">
        <f t="shared" ca="1" si="543"/>
        <v>7.4306047926506885E-3</v>
      </c>
      <c r="AD1138">
        <f t="shared" ca="1" si="544"/>
        <v>1.4347927811985095</v>
      </c>
      <c r="AE1138">
        <f t="shared" ca="1" si="545"/>
        <v>37.61552236519551</v>
      </c>
      <c r="AF1138">
        <f t="shared" ca="1" si="546"/>
        <v>7.0966846077453738E-3</v>
      </c>
      <c r="AG1138">
        <f t="shared" ca="1" si="547"/>
        <v>0</v>
      </c>
      <c r="AH1138">
        <f ca="1">IFERROR(IF(V32="Supercritical",MAX($D$16,IFERROR(L1138,MAX($D$16,POWER((ABS(K1138)^2)/($I$5*MAX(F1138,0.1)^2),1/3)))),IF(V32="Subcritical",MAX($D$16,IFERROR(W1138,MAX($D$16,POWER((ABS(K1138)^2)/($I$5*MAX(F1138,0.1)^2),1/3)))),IF(AND(IFERROR(V1138,0)=1,IFERROR(AG1138,0)=1),IF(IFERROR(T1138,-1E+99)&gt;=IFERROR(AE1138,-1E+99),MAX($D$16,IFERROR(L1138,MAX($D$16,POWER((ABS(K1138)^2)/($I$5*MAX(F1138,0.1)^2),1/3)))),MAX($D$16,IFERROR(W1138,MAX($D$16,POWER((ABS(K1138)^2)/($I$5*MAX(F1138,0.1)^2),1/3))))),IF(IFERROR(V1138,0)=1,MAX($D$16,IFERROR(L1138,MAX($D$16,POWER((ABS(K1138)^2)/($I$5*MAX(F1138,0.1)^2),1/3)))),IF(IFERROR(AG1138,0)=1,MAX($D$16,IFERROR(W1138,MAX($D$16,POWER((ABS(K1138)^2)/($I$5*MAX(F1138,0.1)^2),1/3)))),MAX($D$16,POWER((ABS(K1138)^2)/($I$5*MAX(F1138,0.1)^2),1/3))))))),MAX($D$16,POWER((ABS(K1138)^2)/($I$5*MAX(F1138,0.1)^2),1/3)))</f>
        <v>2.1389677043987478</v>
      </c>
      <c r="AI1138">
        <f t="shared" ca="1" si="548"/>
        <v>634.16396770439871</v>
      </c>
      <c r="AJ1138">
        <f t="shared" ca="1" si="549"/>
        <v>635.23345155659808</v>
      </c>
      <c r="AM1138">
        <v>0</v>
      </c>
      <c r="AN1138">
        <v>0</v>
      </c>
      <c r="AO1138">
        <f t="shared" si="550"/>
        <v>0</v>
      </c>
      <c r="AP1138">
        <f t="shared" si="559"/>
        <v>0</v>
      </c>
      <c r="AQ1138">
        <f t="shared" ca="1" si="551"/>
        <v>1.0000000000000004</v>
      </c>
      <c r="AR1138" t="str">
        <f t="shared" ca="1" si="552"/>
        <v>Supercritical</v>
      </c>
      <c r="AS1138">
        <f t="shared" ca="1" si="553"/>
        <v>3.8141460404132466E-3</v>
      </c>
    </row>
    <row r="1139" spans="1:45" x14ac:dyDescent="0.35">
      <c r="A1139">
        <v>1078</v>
      </c>
      <c r="B1139">
        <v>1076.9960000000001</v>
      </c>
      <c r="C1139">
        <v>616078.03899999999</v>
      </c>
      <c r="D1139">
        <v>3096930.125</v>
      </c>
      <c r="E1139">
        <v>632.02449999999999</v>
      </c>
      <c r="F1139">
        <v>5.2</v>
      </c>
      <c r="G1139">
        <v>0</v>
      </c>
      <c r="H1139" t="s">
        <v>154</v>
      </c>
      <c r="I1139">
        <v>5.5E-2</v>
      </c>
      <c r="J1139">
        <f t="shared" si="554"/>
        <v>1.0010000000002037</v>
      </c>
      <c r="K1139">
        <f t="shared" ca="1" si="555"/>
        <v>50.95</v>
      </c>
      <c r="L1139">
        <f t="shared" ca="1" si="556"/>
        <v>2.1389677043987478</v>
      </c>
      <c r="M1139">
        <f t="shared" ca="1" si="529"/>
        <v>11.122632062873489</v>
      </c>
      <c r="N1139">
        <f t="shared" ca="1" si="530"/>
        <v>1.1735290000551568</v>
      </c>
      <c r="O1139">
        <f t="shared" ca="1" si="531"/>
        <v>4.5807502857230418</v>
      </c>
      <c r="P1139">
        <f t="shared" ca="1" si="532"/>
        <v>634.16346770439873</v>
      </c>
      <c r="Q1139">
        <f t="shared" ca="1" si="533"/>
        <v>635.2329515565981</v>
      </c>
      <c r="R1139">
        <f t="shared" ca="1" si="534"/>
        <v>3.8141460404132466E-3</v>
      </c>
      <c r="S1139">
        <f t="shared" ca="1" si="535"/>
        <v>1.0000000000000004</v>
      </c>
      <c r="T1139">
        <f t="shared" ca="1" si="536"/>
        <v>35.686426155594638</v>
      </c>
      <c r="U1139">
        <f t="shared" ca="1" si="557"/>
        <v>-3.415996206285854E-3</v>
      </c>
      <c r="V1139">
        <f t="shared" ca="1" si="558"/>
        <v>1</v>
      </c>
      <c r="W1139">
        <f t="shared" ca="1" si="537"/>
        <v>1.6814125863342653</v>
      </c>
      <c r="X1139">
        <f t="shared" ca="1" si="538"/>
        <v>8.7433454489381806</v>
      </c>
      <c r="Y1139">
        <f t="shared" ca="1" si="539"/>
        <v>1.0210818593898014</v>
      </c>
      <c r="Z1139">
        <f t="shared" ca="1" si="540"/>
        <v>5.8272889133286538</v>
      </c>
      <c r="AA1139">
        <f t="shared" ca="1" si="541"/>
        <v>633.70591258633431</v>
      </c>
      <c r="AB1139">
        <f t="shared" ca="1" si="542"/>
        <v>635.43666162198178</v>
      </c>
      <c r="AC1139">
        <f t="shared" ca="1" si="543"/>
        <v>7.4307880165140365E-3</v>
      </c>
      <c r="AD1139">
        <f t="shared" ca="1" si="544"/>
        <v>1.434811668757521</v>
      </c>
      <c r="AE1139">
        <f t="shared" ca="1" si="545"/>
        <v>37.615658950421157</v>
      </c>
      <c r="AF1139">
        <f t="shared" ca="1" si="546"/>
        <v>6.9307880165752067E-3</v>
      </c>
      <c r="AG1139">
        <f t="shared" ca="1" si="547"/>
        <v>0</v>
      </c>
      <c r="AH1139">
        <f ca="1">IFERROR(IF(V32="Supercritical",MAX($D$16,IFERROR(L1139,MAX($D$16,POWER((ABS(K1139)^2)/($I$5*MAX(F1139,0.1)^2),1/3)))),IF(V32="Subcritical",MAX($D$16,IFERROR(W1139,MAX($D$16,POWER((ABS(K1139)^2)/($I$5*MAX(F1139,0.1)^2),1/3)))),IF(AND(IFERROR(V1139,0)=1,IFERROR(AG1139,0)=1),IF(IFERROR(T1139,-1E+99)&gt;=IFERROR(AE1139,-1E+99),MAX($D$16,IFERROR(L1139,MAX($D$16,POWER((ABS(K1139)^2)/($I$5*MAX(F1139,0.1)^2),1/3)))),MAX($D$16,IFERROR(W1139,MAX($D$16,POWER((ABS(K1139)^2)/($I$5*MAX(F1139,0.1)^2),1/3))))),IF(IFERROR(V1139,0)=1,MAX($D$16,IFERROR(L1139,MAX($D$16,POWER((ABS(K1139)^2)/($I$5*MAX(F1139,0.1)^2),1/3)))),IF(IFERROR(AG1139,0)=1,MAX($D$16,IFERROR(W1139,MAX($D$16,POWER((ABS(K1139)^2)/($I$5*MAX(F1139,0.1)^2),1/3)))),MAX($D$16,POWER((ABS(K1139)^2)/($I$5*MAX(F1139,0.1)^2),1/3))))))),MAX($D$16,POWER((ABS(K1139)^2)/($I$5*MAX(F1139,0.1)^2),1/3)))</f>
        <v>2.1389677043987478</v>
      </c>
      <c r="AI1139">
        <f t="shared" ca="1" si="548"/>
        <v>634.16346770439873</v>
      </c>
      <c r="AJ1139">
        <f t="shared" ca="1" si="549"/>
        <v>635.2329515565981</v>
      </c>
      <c r="AM1139">
        <v>0</v>
      </c>
      <c r="AN1139">
        <v>0</v>
      </c>
      <c r="AO1139">
        <f t="shared" si="550"/>
        <v>0</v>
      </c>
      <c r="AP1139">
        <f t="shared" si="559"/>
        <v>0</v>
      </c>
      <c r="AQ1139">
        <f t="shared" ca="1" si="551"/>
        <v>1.0000000000000004</v>
      </c>
      <c r="AR1139" t="str">
        <f t="shared" ca="1" si="552"/>
        <v>Supercritical</v>
      </c>
      <c r="AS1139">
        <f t="shared" ca="1" si="553"/>
        <v>3.8141460404132466E-3</v>
      </c>
    </row>
    <row r="1140" spans="1:45" x14ac:dyDescent="0.35">
      <c r="A1140">
        <v>1079</v>
      </c>
      <c r="B1140">
        <v>1077.9960000000001</v>
      </c>
      <c r="C1140">
        <v>616077.99699999997</v>
      </c>
      <c r="D1140">
        <v>3096929.1260000002</v>
      </c>
      <c r="E1140">
        <v>632.024</v>
      </c>
      <c r="F1140">
        <v>5.2</v>
      </c>
      <c r="G1140">
        <v>0</v>
      </c>
      <c r="H1140" t="s">
        <v>154</v>
      </c>
      <c r="I1140">
        <v>0</v>
      </c>
      <c r="J1140">
        <f t="shared" si="554"/>
        <v>1</v>
      </c>
      <c r="K1140">
        <f t="shared" ca="1" si="555"/>
        <v>50.95</v>
      </c>
      <c r="L1140">
        <f t="shared" ca="1" si="556"/>
        <v>2.1389677043987478</v>
      </c>
      <c r="M1140">
        <f t="shared" ca="1" si="529"/>
        <v>11.122632062873489</v>
      </c>
      <c r="N1140">
        <f t="shared" ca="1" si="530"/>
        <v>1.1735290000551568</v>
      </c>
      <c r="O1140">
        <f t="shared" ca="1" si="531"/>
        <v>4.5807502857230418</v>
      </c>
      <c r="P1140">
        <f t="shared" ca="1" si="532"/>
        <v>634.16296770439874</v>
      </c>
      <c r="Q1140">
        <f t="shared" ca="1" si="533"/>
        <v>635.23245155659811</v>
      </c>
      <c r="R1140">
        <f t="shared" ca="1" si="534"/>
        <v>3.8141460404132466E-3</v>
      </c>
      <c r="S1140">
        <f t="shared" ca="1" si="535"/>
        <v>1.0000000000000004</v>
      </c>
      <c r="T1140">
        <f t="shared" ca="1" si="536"/>
        <v>35.686426155594638</v>
      </c>
      <c r="U1140">
        <f t="shared" ca="1" si="557"/>
        <v>-3.3141460404522149E-3</v>
      </c>
      <c r="V1140">
        <f t="shared" ca="1" si="558"/>
        <v>1</v>
      </c>
      <c r="W1140">
        <f t="shared" ca="1" si="537"/>
        <v>1.6813987928323726</v>
      </c>
      <c r="X1140">
        <f t="shared" ca="1" si="538"/>
        <v>8.7432737227283379</v>
      </c>
      <c r="Y1140">
        <f t="shared" ca="1" si="539"/>
        <v>1.0210767725451941</v>
      </c>
      <c r="Z1140">
        <f t="shared" ca="1" si="540"/>
        <v>5.827336718002357</v>
      </c>
      <c r="AA1140">
        <f t="shared" ca="1" si="541"/>
        <v>633.7053987928324</v>
      </c>
      <c r="AB1140">
        <f t="shared" ca="1" si="542"/>
        <v>635.43617622529814</v>
      </c>
      <c r="AC1140">
        <f t="shared" ca="1" si="543"/>
        <v>7.4309592947988936E-3</v>
      </c>
      <c r="AD1140">
        <f t="shared" ca="1" si="544"/>
        <v>1.4348293246980475</v>
      </c>
      <c r="AE1140">
        <f t="shared" ca="1" si="545"/>
        <v>37.615786631737656</v>
      </c>
      <c r="AF1140">
        <f t="shared" ca="1" si="546"/>
        <v>6.9309592947774945E-3</v>
      </c>
      <c r="AG1140">
        <f t="shared" ca="1" si="547"/>
        <v>0</v>
      </c>
      <c r="AH1140">
        <f ca="1">IFERROR(IF(V32="Supercritical",MAX($D$16,IFERROR(L1140,MAX($D$16,POWER((ABS(K1140)^2)/($I$5*MAX(F1140,0.1)^2),1/3)))),IF(V32="Subcritical",MAX($D$16,IFERROR(W1140,MAX($D$16,POWER((ABS(K1140)^2)/($I$5*MAX(F1140,0.1)^2),1/3)))),IF(AND(IFERROR(V1140,0)=1,IFERROR(AG1140,0)=1),IF(IFERROR(T1140,-1E+99)&gt;=IFERROR(AE1140,-1E+99),MAX($D$16,IFERROR(L1140,MAX($D$16,POWER((ABS(K1140)^2)/($I$5*MAX(F1140,0.1)^2),1/3)))),MAX($D$16,IFERROR(W1140,MAX($D$16,POWER((ABS(K1140)^2)/($I$5*MAX(F1140,0.1)^2),1/3))))),IF(IFERROR(V1140,0)=1,MAX($D$16,IFERROR(L1140,MAX($D$16,POWER((ABS(K1140)^2)/($I$5*MAX(F1140,0.1)^2),1/3)))),IF(IFERROR(AG1140,0)=1,MAX($D$16,IFERROR(W1140,MAX($D$16,POWER((ABS(K1140)^2)/($I$5*MAX(F1140,0.1)^2),1/3)))),MAX($D$16,POWER((ABS(K1140)^2)/($I$5*MAX(F1140,0.1)^2),1/3))))))),MAX($D$16,POWER((ABS(K1140)^2)/($I$5*MAX(F1140,0.1)^2),1/3)))</f>
        <v>2.1389677043987478</v>
      </c>
      <c r="AI1140">
        <f t="shared" ca="1" si="548"/>
        <v>634.16296770439874</v>
      </c>
      <c r="AJ1140">
        <f t="shared" ca="1" si="549"/>
        <v>635.23245155659811</v>
      </c>
      <c r="AM1140">
        <v>0</v>
      </c>
      <c r="AN1140">
        <v>0</v>
      </c>
      <c r="AO1140">
        <f t="shared" si="550"/>
        <v>0</v>
      </c>
      <c r="AP1140">
        <f t="shared" si="559"/>
        <v>0</v>
      </c>
      <c r="AQ1140">
        <f t="shared" ca="1" si="551"/>
        <v>1.0000000000000004</v>
      </c>
      <c r="AR1140" t="str">
        <f t="shared" ca="1" si="552"/>
        <v>Supercritical</v>
      </c>
      <c r="AS1140">
        <f t="shared" ca="1" si="553"/>
        <v>3.8141460404132466E-3</v>
      </c>
    </row>
    <row r="1141" spans="1:45" x14ac:dyDescent="0.35">
      <c r="A1141">
        <v>1080</v>
      </c>
      <c r="B1141">
        <v>1078.9960000000001</v>
      </c>
      <c r="C1141">
        <v>616077.95499999996</v>
      </c>
      <c r="D1141">
        <v>3096928.1269999999</v>
      </c>
      <c r="E1141">
        <v>632.02350000000001</v>
      </c>
      <c r="F1141">
        <v>5.2</v>
      </c>
      <c r="G1141">
        <v>0</v>
      </c>
      <c r="H1141" t="s">
        <v>154</v>
      </c>
      <c r="I1141">
        <v>0</v>
      </c>
      <c r="J1141">
        <f t="shared" si="554"/>
        <v>1</v>
      </c>
      <c r="K1141">
        <f t="shared" ca="1" si="555"/>
        <v>50.95</v>
      </c>
      <c r="L1141">
        <f t="shared" ca="1" si="556"/>
        <v>2.1389677043987478</v>
      </c>
      <c r="M1141">
        <f t="shared" ca="1" si="529"/>
        <v>11.122632062873489</v>
      </c>
      <c r="N1141">
        <f t="shared" ca="1" si="530"/>
        <v>1.1735290000551568</v>
      </c>
      <c r="O1141">
        <f t="shared" ca="1" si="531"/>
        <v>4.5807502857230418</v>
      </c>
      <c r="P1141">
        <f t="shared" ca="1" si="532"/>
        <v>634.16246770439875</v>
      </c>
      <c r="Q1141">
        <f t="shared" ca="1" si="533"/>
        <v>635.23195155659812</v>
      </c>
      <c r="R1141">
        <f t="shared" ca="1" si="534"/>
        <v>3.8141460404132466E-3</v>
      </c>
      <c r="S1141">
        <f t="shared" ca="1" si="535"/>
        <v>1.0000000000000004</v>
      </c>
      <c r="T1141">
        <f t="shared" ca="1" si="536"/>
        <v>35.686426155594638</v>
      </c>
      <c r="U1141">
        <f t="shared" ca="1" si="557"/>
        <v>-3.3141460404522149E-3</v>
      </c>
      <c r="V1141">
        <f t="shared" ca="1" si="558"/>
        <v>1</v>
      </c>
      <c r="W1141">
        <f t="shared" ca="1" si="537"/>
        <v>1.6813858991252275</v>
      </c>
      <c r="X1141">
        <f t="shared" ca="1" si="538"/>
        <v>8.7432066754511837</v>
      </c>
      <c r="Y1141">
        <f t="shared" ca="1" si="539"/>
        <v>1.0210720175022758</v>
      </c>
      <c r="Z1141">
        <f t="shared" ca="1" si="540"/>
        <v>5.8273814049318222</v>
      </c>
      <c r="AA1141">
        <f t="shared" ca="1" si="541"/>
        <v>633.7048858991252</v>
      </c>
      <c r="AB1141">
        <f t="shared" ca="1" si="542"/>
        <v>635.43568987662491</v>
      </c>
      <c r="AC1141">
        <f t="shared" ca="1" si="543"/>
        <v>7.431119405031654E-3</v>
      </c>
      <c r="AD1141">
        <f t="shared" ca="1" si="544"/>
        <v>1.4348458292119066</v>
      </c>
      <c r="AE1141">
        <f t="shared" ca="1" si="545"/>
        <v>37.615905988567206</v>
      </c>
      <c r="AF1141">
        <f t="shared" ca="1" si="546"/>
        <v>7.0955457829313673E-3</v>
      </c>
      <c r="AG1141">
        <f t="shared" ca="1" si="547"/>
        <v>0</v>
      </c>
      <c r="AH1141">
        <f ca="1">IFERROR(IF(V32="Supercritical",MAX($D$16,IFERROR(L1141,MAX($D$16,POWER((ABS(K1141)^2)/($I$5*MAX(F1141,0.1)^2),1/3)))),IF(V32="Subcritical",MAX($D$16,IFERROR(W1141,MAX($D$16,POWER((ABS(K1141)^2)/($I$5*MAX(F1141,0.1)^2),1/3)))),IF(AND(IFERROR(V1141,0)=1,IFERROR(AG1141,0)=1),IF(IFERROR(T1141,-1E+99)&gt;=IFERROR(AE1141,-1E+99),MAX($D$16,IFERROR(L1141,MAX($D$16,POWER((ABS(K1141)^2)/($I$5*MAX(F1141,0.1)^2),1/3)))),MAX($D$16,IFERROR(W1141,MAX($D$16,POWER((ABS(K1141)^2)/($I$5*MAX(F1141,0.1)^2),1/3))))),IF(IFERROR(V1141,0)=1,MAX($D$16,IFERROR(L1141,MAX($D$16,POWER((ABS(K1141)^2)/($I$5*MAX(F1141,0.1)^2),1/3)))),IF(IFERROR(AG1141,0)=1,MAX($D$16,IFERROR(W1141,MAX($D$16,POWER((ABS(K1141)^2)/($I$5*MAX(F1141,0.1)^2),1/3)))),MAX($D$16,POWER((ABS(K1141)^2)/($I$5*MAX(F1141,0.1)^2),1/3))))))),MAX($D$16,POWER((ABS(K1141)^2)/($I$5*MAX(F1141,0.1)^2),1/3)))</f>
        <v>2.1389677043987478</v>
      </c>
      <c r="AI1141">
        <f t="shared" ca="1" si="548"/>
        <v>634.16246770439875</v>
      </c>
      <c r="AJ1141">
        <f t="shared" ca="1" si="549"/>
        <v>635.23195155659812</v>
      </c>
      <c r="AM1141">
        <v>0</v>
      </c>
      <c r="AN1141">
        <v>0</v>
      </c>
      <c r="AO1141">
        <f t="shared" si="550"/>
        <v>0</v>
      </c>
      <c r="AP1141">
        <f t="shared" si="559"/>
        <v>0</v>
      </c>
      <c r="AQ1141">
        <f t="shared" ca="1" si="551"/>
        <v>1.0000000000000004</v>
      </c>
      <c r="AR1141" t="str">
        <f t="shared" ca="1" si="552"/>
        <v>Supercritical</v>
      </c>
      <c r="AS1141">
        <f t="shared" ca="1" si="553"/>
        <v>3.8141460404132466E-3</v>
      </c>
    </row>
    <row r="1142" spans="1:45" x14ac:dyDescent="0.35">
      <c r="A1142">
        <v>1081</v>
      </c>
      <c r="B1142">
        <v>1079.9960000000001</v>
      </c>
      <c r="C1142">
        <v>616077.91299999994</v>
      </c>
      <c r="D1142">
        <v>3096927.128</v>
      </c>
      <c r="E1142">
        <v>632.02300000000002</v>
      </c>
      <c r="F1142">
        <v>5.2</v>
      </c>
      <c r="G1142">
        <v>0</v>
      </c>
      <c r="H1142" t="s">
        <v>154</v>
      </c>
      <c r="I1142">
        <v>5.7000000000000002E-2</v>
      </c>
      <c r="J1142">
        <f t="shared" si="554"/>
        <v>1</v>
      </c>
      <c r="K1142">
        <f t="shared" ca="1" si="555"/>
        <v>50.95</v>
      </c>
      <c r="L1142">
        <f t="shared" ca="1" si="556"/>
        <v>2.1389677043987478</v>
      </c>
      <c r="M1142">
        <f t="shared" ca="1" si="529"/>
        <v>11.122632062873489</v>
      </c>
      <c r="N1142">
        <f t="shared" ca="1" si="530"/>
        <v>1.1735290000551568</v>
      </c>
      <c r="O1142">
        <f t="shared" ca="1" si="531"/>
        <v>4.5807502857230418</v>
      </c>
      <c r="P1142">
        <f t="shared" ca="1" si="532"/>
        <v>634.16196770439876</v>
      </c>
      <c r="Q1142">
        <f t="shared" ca="1" si="533"/>
        <v>635.23145155659813</v>
      </c>
      <c r="R1142">
        <f t="shared" ca="1" si="534"/>
        <v>3.8141460404132466E-3</v>
      </c>
      <c r="S1142">
        <f t="shared" ca="1" si="535"/>
        <v>1.0000000000000004</v>
      </c>
      <c r="T1142">
        <f t="shared" ca="1" si="536"/>
        <v>35.686426155594638</v>
      </c>
      <c r="U1142">
        <f t="shared" ca="1" si="557"/>
        <v>-3.4157470064428708E-3</v>
      </c>
      <c r="V1142">
        <f t="shared" ca="1" si="558"/>
        <v>1</v>
      </c>
      <c r="W1142">
        <f t="shared" ca="1" si="537"/>
        <v>1.6813738465823107</v>
      </c>
      <c r="X1142">
        <f t="shared" ca="1" si="538"/>
        <v>8.743144002228016</v>
      </c>
      <c r="Y1142">
        <f t="shared" ca="1" si="539"/>
        <v>1.0210675726446314</v>
      </c>
      <c r="Z1142">
        <f t="shared" ca="1" si="540"/>
        <v>5.8274231771793321</v>
      </c>
      <c r="AA1142">
        <f t="shared" ca="1" si="541"/>
        <v>633.70437384658237</v>
      </c>
      <c r="AB1142">
        <f t="shared" ca="1" si="542"/>
        <v>635.43520263791402</v>
      </c>
      <c r="AC1142">
        <f t="shared" ca="1" si="543"/>
        <v>7.431269074291918E-3</v>
      </c>
      <c r="AD1142">
        <f t="shared" ca="1" si="544"/>
        <v>1.4348612572845765</v>
      </c>
      <c r="AE1142">
        <f t="shared" ca="1" si="545"/>
        <v>37.616017562754244</v>
      </c>
      <c r="AF1142">
        <f t="shared" ca="1" si="546"/>
        <v>7.0956978095182421E-3</v>
      </c>
      <c r="AG1142">
        <f t="shared" ca="1" si="547"/>
        <v>0</v>
      </c>
      <c r="AH1142">
        <f ca="1">IFERROR(IF(V32="Supercritical",MAX($D$16,IFERROR(L1142,MAX($D$16,POWER((ABS(K1142)^2)/($I$5*MAX(F1142,0.1)^2),1/3)))),IF(V32="Subcritical",MAX($D$16,IFERROR(W1142,MAX($D$16,POWER((ABS(K1142)^2)/($I$5*MAX(F1142,0.1)^2),1/3)))),IF(AND(IFERROR(V1142,0)=1,IFERROR(AG1142,0)=1),IF(IFERROR(T1142,-1E+99)&gt;=IFERROR(AE1142,-1E+99),MAX($D$16,IFERROR(L1142,MAX($D$16,POWER((ABS(K1142)^2)/($I$5*MAX(F1142,0.1)^2),1/3)))),MAX($D$16,IFERROR(W1142,MAX($D$16,POWER((ABS(K1142)^2)/($I$5*MAX(F1142,0.1)^2),1/3))))),IF(IFERROR(V1142,0)=1,MAX($D$16,IFERROR(L1142,MAX($D$16,POWER((ABS(K1142)^2)/($I$5*MAX(F1142,0.1)^2),1/3)))),IF(IFERROR(AG1142,0)=1,MAX($D$16,IFERROR(W1142,MAX($D$16,POWER((ABS(K1142)^2)/($I$5*MAX(F1142,0.1)^2),1/3)))),MAX($D$16,POWER((ABS(K1142)^2)/($I$5*MAX(F1142,0.1)^2),1/3))))))),MAX($D$16,POWER((ABS(K1142)^2)/($I$5*MAX(F1142,0.1)^2),1/3)))</f>
        <v>2.1389677043987478</v>
      </c>
      <c r="AI1142">
        <f t="shared" ca="1" si="548"/>
        <v>634.16196770439876</v>
      </c>
      <c r="AJ1142">
        <f t="shared" ca="1" si="549"/>
        <v>635.23145155659813</v>
      </c>
      <c r="AM1142">
        <v>0</v>
      </c>
      <c r="AN1142">
        <v>0</v>
      </c>
      <c r="AO1142">
        <f t="shared" si="550"/>
        <v>0</v>
      </c>
      <c r="AP1142">
        <f t="shared" si="559"/>
        <v>0</v>
      </c>
      <c r="AQ1142">
        <f t="shared" ca="1" si="551"/>
        <v>1.0000000000000004</v>
      </c>
      <c r="AR1142" t="str">
        <f t="shared" ca="1" si="552"/>
        <v>Supercritical</v>
      </c>
      <c r="AS1142">
        <f t="shared" ca="1" si="553"/>
        <v>3.8141460404132466E-3</v>
      </c>
    </row>
    <row r="1143" spans="1:45" x14ac:dyDescent="0.35">
      <c r="A1143">
        <v>1082</v>
      </c>
      <c r="B1143">
        <v>1080.9960000000001</v>
      </c>
      <c r="C1143">
        <v>616077.87</v>
      </c>
      <c r="D1143">
        <v>3096926.1290000002</v>
      </c>
      <c r="E1143">
        <v>632.02250000000004</v>
      </c>
      <c r="F1143">
        <v>5.2</v>
      </c>
      <c r="G1143">
        <v>0</v>
      </c>
      <c r="H1143" t="s">
        <v>154</v>
      </c>
      <c r="I1143">
        <v>5.7000000000000002E-2</v>
      </c>
      <c r="J1143">
        <f t="shared" si="554"/>
        <v>1</v>
      </c>
      <c r="K1143">
        <f t="shared" ca="1" si="555"/>
        <v>50.95</v>
      </c>
      <c r="L1143">
        <f t="shared" ca="1" si="556"/>
        <v>2.1389677043987478</v>
      </c>
      <c r="M1143">
        <f t="shared" ca="1" si="529"/>
        <v>11.122632062873489</v>
      </c>
      <c r="N1143">
        <f t="shared" ca="1" si="530"/>
        <v>1.1735290000551568</v>
      </c>
      <c r="O1143">
        <f t="shared" ca="1" si="531"/>
        <v>4.5807502857230418</v>
      </c>
      <c r="P1143">
        <f t="shared" ca="1" si="532"/>
        <v>634.16146770439877</v>
      </c>
      <c r="Q1143">
        <f t="shared" ca="1" si="533"/>
        <v>635.23095155659814</v>
      </c>
      <c r="R1143">
        <f t="shared" ca="1" si="534"/>
        <v>3.8141460404132466E-3</v>
      </c>
      <c r="S1143">
        <f t="shared" ca="1" si="535"/>
        <v>1.0000000000000004</v>
      </c>
      <c r="T1143">
        <f t="shared" ca="1" si="536"/>
        <v>35.686426155594638</v>
      </c>
      <c r="U1143">
        <f t="shared" ca="1" si="557"/>
        <v>-3.4157470064428708E-3</v>
      </c>
      <c r="V1143">
        <f t="shared" ca="1" si="558"/>
        <v>1</v>
      </c>
      <c r="W1143">
        <f t="shared" ca="1" si="537"/>
        <v>1.6813625803851366</v>
      </c>
      <c r="X1143">
        <f t="shared" ca="1" si="538"/>
        <v>8.7430854180027104</v>
      </c>
      <c r="Y1143">
        <f t="shared" ca="1" si="539"/>
        <v>1.0210634177608255</v>
      </c>
      <c r="Z1143">
        <f t="shared" ca="1" si="540"/>
        <v>5.8274622246157959</v>
      </c>
      <c r="AA1143">
        <f t="shared" ca="1" si="541"/>
        <v>633.70386258038513</v>
      </c>
      <c r="AB1143">
        <f t="shared" ca="1" si="542"/>
        <v>635.43471456709892</v>
      </c>
      <c r="AC1143">
        <f t="shared" ca="1" si="543"/>
        <v>7.4314089824655772E-3</v>
      </c>
      <c r="AD1143">
        <f t="shared" ca="1" si="544"/>
        <v>1.4348756790313579</v>
      </c>
      <c r="AE1143">
        <f t="shared" ca="1" si="545"/>
        <v>37.616121860986638</v>
      </c>
      <c r="AF1143">
        <f t="shared" ca="1" si="546"/>
        <v>6.9314089824956682E-3</v>
      </c>
      <c r="AG1143">
        <f t="shared" ca="1" si="547"/>
        <v>0</v>
      </c>
      <c r="AH1143">
        <f ca="1">IFERROR(IF(V32="Supercritical",MAX($D$16,IFERROR(L1143,MAX($D$16,POWER((ABS(K1143)^2)/($I$5*MAX(F1143,0.1)^2),1/3)))),IF(V32="Subcritical",MAX($D$16,IFERROR(W1143,MAX($D$16,POWER((ABS(K1143)^2)/($I$5*MAX(F1143,0.1)^2),1/3)))),IF(AND(IFERROR(V1143,0)=1,IFERROR(AG1143,0)=1),IF(IFERROR(T1143,-1E+99)&gt;=IFERROR(AE1143,-1E+99),MAX($D$16,IFERROR(L1143,MAX($D$16,POWER((ABS(K1143)^2)/($I$5*MAX(F1143,0.1)^2),1/3)))),MAX($D$16,IFERROR(W1143,MAX($D$16,POWER((ABS(K1143)^2)/($I$5*MAX(F1143,0.1)^2),1/3))))),IF(IFERROR(V1143,0)=1,MAX($D$16,IFERROR(L1143,MAX($D$16,POWER((ABS(K1143)^2)/($I$5*MAX(F1143,0.1)^2),1/3)))),IF(IFERROR(AG1143,0)=1,MAX($D$16,IFERROR(W1143,MAX($D$16,POWER((ABS(K1143)^2)/($I$5*MAX(F1143,0.1)^2),1/3)))),MAX($D$16,POWER((ABS(K1143)^2)/($I$5*MAX(F1143,0.1)^2),1/3))))))),MAX($D$16,POWER((ABS(K1143)^2)/($I$5*MAX(F1143,0.1)^2),1/3)))</f>
        <v>2.1389677043987478</v>
      </c>
      <c r="AI1143">
        <f t="shared" ca="1" si="548"/>
        <v>634.16146770439877</v>
      </c>
      <c r="AJ1143">
        <f t="shared" ca="1" si="549"/>
        <v>635.23095155659814</v>
      </c>
      <c r="AM1143">
        <v>0</v>
      </c>
      <c r="AN1143">
        <v>0</v>
      </c>
      <c r="AO1143">
        <f t="shared" si="550"/>
        <v>0</v>
      </c>
      <c r="AP1143">
        <f t="shared" si="559"/>
        <v>0</v>
      </c>
      <c r="AQ1143">
        <f t="shared" ca="1" si="551"/>
        <v>1.0000000000000004</v>
      </c>
      <c r="AR1143" t="str">
        <f t="shared" ca="1" si="552"/>
        <v>Supercritical</v>
      </c>
      <c r="AS1143">
        <f t="shared" ca="1" si="553"/>
        <v>3.8141460404132466E-3</v>
      </c>
    </row>
    <row r="1144" spans="1:45" x14ac:dyDescent="0.35">
      <c r="A1144">
        <v>1083</v>
      </c>
      <c r="B1144">
        <v>1081.9960000000001</v>
      </c>
      <c r="C1144">
        <v>616077.82799999998</v>
      </c>
      <c r="D1144">
        <v>3096925.13</v>
      </c>
      <c r="E1144">
        <v>632.02200000000005</v>
      </c>
      <c r="F1144">
        <v>5.2</v>
      </c>
      <c r="G1144">
        <v>0</v>
      </c>
      <c r="H1144" t="s">
        <v>154</v>
      </c>
      <c r="I1144">
        <v>0</v>
      </c>
      <c r="J1144">
        <f t="shared" si="554"/>
        <v>1</v>
      </c>
      <c r="K1144">
        <f t="shared" ca="1" si="555"/>
        <v>50.95</v>
      </c>
      <c r="L1144">
        <f t="shared" ca="1" si="556"/>
        <v>2.1389677043987478</v>
      </c>
      <c r="M1144">
        <f t="shared" ca="1" si="529"/>
        <v>11.122632062873489</v>
      </c>
      <c r="N1144">
        <f t="shared" ca="1" si="530"/>
        <v>1.1735290000551568</v>
      </c>
      <c r="O1144">
        <f t="shared" ca="1" si="531"/>
        <v>4.5807502857230418</v>
      </c>
      <c r="P1144">
        <f t="shared" ca="1" si="532"/>
        <v>634.16096770439879</v>
      </c>
      <c r="Q1144">
        <f t="shared" ca="1" si="533"/>
        <v>635.23045155659815</v>
      </c>
      <c r="R1144">
        <f t="shared" ca="1" si="534"/>
        <v>3.8141460404132466E-3</v>
      </c>
      <c r="S1144">
        <f t="shared" ca="1" si="535"/>
        <v>1.0000000000000004</v>
      </c>
      <c r="T1144">
        <f t="shared" ca="1" si="536"/>
        <v>35.686426155594638</v>
      </c>
      <c r="U1144">
        <f t="shared" ca="1" si="557"/>
        <v>-3.3141460404522149E-3</v>
      </c>
      <c r="V1144">
        <f t="shared" ca="1" si="558"/>
        <v>1</v>
      </c>
      <c r="W1144">
        <f t="shared" ca="1" si="537"/>
        <v>1.6813520492803762</v>
      </c>
      <c r="X1144">
        <f t="shared" ca="1" si="538"/>
        <v>8.7430306562579556</v>
      </c>
      <c r="Y1144">
        <f t="shared" ca="1" si="539"/>
        <v>1.0210595339534754</v>
      </c>
      <c r="Z1144">
        <f t="shared" ca="1" si="540"/>
        <v>5.8274987247736316</v>
      </c>
      <c r="AA1144">
        <f t="shared" ca="1" si="541"/>
        <v>633.7033520492804</v>
      </c>
      <c r="AB1144">
        <f t="shared" ca="1" si="542"/>
        <v>635.4342257183547</v>
      </c>
      <c r="AC1144">
        <f t="shared" ca="1" si="543"/>
        <v>7.4315397652911395E-3</v>
      </c>
      <c r="AD1144">
        <f t="shared" ca="1" si="544"/>
        <v>1.4348891600121223</v>
      </c>
      <c r="AE1144">
        <f t="shared" ca="1" si="545"/>
        <v>37.616219357063294</v>
      </c>
      <c r="AF1144">
        <f t="shared" ca="1" si="546"/>
        <v>7.0885412239931611E-3</v>
      </c>
      <c r="AG1144">
        <f t="shared" ca="1" si="547"/>
        <v>0</v>
      </c>
      <c r="AH1144">
        <f ca="1">IFERROR(IF(V32="Supercritical",MAX($D$16,IFERROR(L1144,MAX($D$16,POWER((ABS(K1144)^2)/($I$5*MAX(F1144,0.1)^2),1/3)))),IF(V32="Subcritical",MAX($D$16,IFERROR(W1144,MAX($D$16,POWER((ABS(K1144)^2)/($I$5*MAX(F1144,0.1)^2),1/3)))),IF(AND(IFERROR(V1144,0)=1,IFERROR(AG1144,0)=1),IF(IFERROR(T1144,-1E+99)&gt;=IFERROR(AE1144,-1E+99),MAX($D$16,IFERROR(L1144,MAX($D$16,POWER((ABS(K1144)^2)/($I$5*MAX(F1144,0.1)^2),1/3)))),MAX($D$16,IFERROR(W1144,MAX($D$16,POWER((ABS(K1144)^2)/($I$5*MAX(F1144,0.1)^2),1/3))))),IF(IFERROR(V1144,0)=1,MAX($D$16,IFERROR(L1144,MAX($D$16,POWER((ABS(K1144)^2)/($I$5*MAX(F1144,0.1)^2),1/3)))),IF(IFERROR(AG1144,0)=1,MAX($D$16,IFERROR(W1144,MAX($D$16,POWER((ABS(K1144)^2)/($I$5*MAX(F1144,0.1)^2),1/3)))),MAX($D$16,POWER((ABS(K1144)^2)/($I$5*MAX(F1144,0.1)^2),1/3))))))),MAX($D$16,POWER((ABS(K1144)^2)/($I$5*MAX(F1144,0.1)^2),1/3)))</f>
        <v>2.1389677043987478</v>
      </c>
      <c r="AI1144">
        <f t="shared" ca="1" si="548"/>
        <v>634.16096770439879</v>
      </c>
      <c r="AJ1144">
        <f t="shared" ca="1" si="549"/>
        <v>635.23045155659815</v>
      </c>
      <c r="AM1144">
        <v>0</v>
      </c>
      <c r="AN1144">
        <v>0</v>
      </c>
      <c r="AO1144">
        <f t="shared" si="550"/>
        <v>0</v>
      </c>
      <c r="AP1144">
        <f t="shared" si="559"/>
        <v>0</v>
      </c>
      <c r="AQ1144">
        <f t="shared" ca="1" si="551"/>
        <v>1.0000000000000004</v>
      </c>
      <c r="AR1144" t="str">
        <f t="shared" ca="1" si="552"/>
        <v>Supercritical</v>
      </c>
      <c r="AS1144">
        <f t="shared" ca="1" si="553"/>
        <v>3.8141460404132466E-3</v>
      </c>
    </row>
    <row r="1145" spans="1:45" x14ac:dyDescent="0.35">
      <c r="A1145">
        <v>1084</v>
      </c>
      <c r="B1145">
        <v>1082.9949999999999</v>
      </c>
      <c r="C1145">
        <v>616077.78599999996</v>
      </c>
      <c r="D1145">
        <v>3096924.1310000001</v>
      </c>
      <c r="E1145">
        <v>632.02149999999995</v>
      </c>
      <c r="F1145">
        <v>5.2</v>
      </c>
      <c r="G1145">
        <v>0</v>
      </c>
      <c r="H1145" t="s">
        <v>154</v>
      </c>
      <c r="I1145">
        <v>5.7000000000000002E-2</v>
      </c>
      <c r="J1145">
        <f t="shared" si="554"/>
        <v>0.99899999999979627</v>
      </c>
      <c r="K1145">
        <f t="shared" ca="1" si="555"/>
        <v>50.95</v>
      </c>
      <c r="L1145">
        <f t="shared" ca="1" si="556"/>
        <v>2.1389677043987478</v>
      </c>
      <c r="M1145">
        <f t="shared" ca="1" si="529"/>
        <v>11.122632062873489</v>
      </c>
      <c r="N1145">
        <f t="shared" ca="1" si="530"/>
        <v>1.1735290000551568</v>
      </c>
      <c r="O1145">
        <f t="shared" ca="1" si="531"/>
        <v>4.5807502857230418</v>
      </c>
      <c r="P1145">
        <f t="shared" ca="1" si="532"/>
        <v>634.16046770439868</v>
      </c>
      <c r="Q1145">
        <f t="shared" ca="1" si="533"/>
        <v>635.22995155659805</v>
      </c>
      <c r="R1145">
        <f t="shared" ca="1" si="534"/>
        <v>3.8141460404132466E-3</v>
      </c>
      <c r="S1145">
        <f t="shared" ca="1" si="535"/>
        <v>1.0000000000000004</v>
      </c>
      <c r="T1145">
        <f t="shared" ca="1" si="536"/>
        <v>35.686426155594638</v>
      </c>
      <c r="U1145">
        <f t="shared" ca="1" si="557"/>
        <v>-3.4119328602173482E-3</v>
      </c>
      <c r="V1145">
        <f t="shared" ca="1" si="558"/>
        <v>1</v>
      </c>
      <c r="W1145">
        <f t="shared" ca="1" si="537"/>
        <v>1.6813422053490443</v>
      </c>
      <c r="X1145">
        <f t="shared" ca="1" si="538"/>
        <v>8.7429794678150312</v>
      </c>
      <c r="Y1145">
        <f t="shared" ca="1" si="539"/>
        <v>1.021055903554227</v>
      </c>
      <c r="Z1145">
        <f t="shared" ca="1" si="540"/>
        <v>5.8275328436443168</v>
      </c>
      <c r="AA1145">
        <f t="shared" ca="1" si="541"/>
        <v>633.70284220534904</v>
      </c>
      <c r="AB1145">
        <f t="shared" ca="1" si="542"/>
        <v>635.43373614233951</v>
      </c>
      <c r="AC1145">
        <f t="shared" ca="1" si="543"/>
        <v>7.4316620172091294E-3</v>
      </c>
      <c r="AD1145">
        <f t="shared" ca="1" si="544"/>
        <v>1.4349017615256534</v>
      </c>
      <c r="AE1145">
        <f t="shared" ca="1" si="545"/>
        <v>37.616310494015345</v>
      </c>
      <c r="AF1145">
        <f t="shared" ca="1" si="546"/>
        <v>7.0960969412681152E-3</v>
      </c>
      <c r="AG1145">
        <f t="shared" ca="1" si="547"/>
        <v>0</v>
      </c>
      <c r="AH1145">
        <f ca="1">IFERROR(IF(V32="Supercritical",MAX($D$16,IFERROR(L1145,MAX($D$16,POWER((ABS(K1145)^2)/($I$5*MAX(F1145,0.1)^2),1/3)))),IF(V32="Subcritical",MAX($D$16,IFERROR(W1145,MAX($D$16,POWER((ABS(K1145)^2)/($I$5*MAX(F1145,0.1)^2),1/3)))),IF(AND(IFERROR(V1145,0)=1,IFERROR(AG1145,0)=1),IF(IFERROR(T1145,-1E+99)&gt;=IFERROR(AE1145,-1E+99),MAX($D$16,IFERROR(L1145,MAX($D$16,POWER((ABS(K1145)^2)/($I$5*MAX(F1145,0.1)^2),1/3)))),MAX($D$16,IFERROR(W1145,MAX($D$16,POWER((ABS(K1145)^2)/($I$5*MAX(F1145,0.1)^2),1/3))))),IF(IFERROR(V1145,0)=1,MAX($D$16,IFERROR(L1145,MAX($D$16,POWER((ABS(K1145)^2)/($I$5*MAX(F1145,0.1)^2),1/3)))),IF(IFERROR(AG1145,0)=1,MAX($D$16,IFERROR(W1145,MAX($D$16,POWER((ABS(K1145)^2)/($I$5*MAX(F1145,0.1)^2),1/3)))),MAX($D$16,POWER((ABS(K1145)^2)/($I$5*MAX(F1145,0.1)^2),1/3))))))),MAX($D$16,POWER((ABS(K1145)^2)/($I$5*MAX(F1145,0.1)^2),1/3)))</f>
        <v>2.1389677043987478</v>
      </c>
      <c r="AI1145">
        <f t="shared" ca="1" si="548"/>
        <v>634.16046770439868</v>
      </c>
      <c r="AJ1145">
        <f t="shared" ca="1" si="549"/>
        <v>635.22995155659805</v>
      </c>
      <c r="AM1145">
        <v>0</v>
      </c>
      <c r="AN1145">
        <v>0</v>
      </c>
      <c r="AO1145">
        <f t="shared" si="550"/>
        <v>0</v>
      </c>
      <c r="AP1145">
        <f t="shared" si="559"/>
        <v>0</v>
      </c>
      <c r="AQ1145">
        <f t="shared" ca="1" si="551"/>
        <v>1.0000000000000004</v>
      </c>
      <c r="AR1145" t="str">
        <f t="shared" ca="1" si="552"/>
        <v>Supercritical</v>
      </c>
      <c r="AS1145">
        <f t="shared" ca="1" si="553"/>
        <v>3.8141460404132466E-3</v>
      </c>
    </row>
    <row r="1146" spans="1:45" x14ac:dyDescent="0.35">
      <c r="A1146">
        <v>1085</v>
      </c>
      <c r="B1146">
        <v>1083.9949999999999</v>
      </c>
      <c r="C1146">
        <v>616077.74300000002</v>
      </c>
      <c r="D1146">
        <v>3096923.1320000002</v>
      </c>
      <c r="E1146">
        <v>632.02099999999996</v>
      </c>
      <c r="F1146">
        <v>5.2</v>
      </c>
      <c r="G1146">
        <v>0</v>
      </c>
      <c r="H1146" t="s">
        <v>154</v>
      </c>
      <c r="I1146">
        <v>5.7000000000000002E-2</v>
      </c>
      <c r="J1146">
        <f t="shared" si="554"/>
        <v>1</v>
      </c>
      <c r="K1146">
        <f t="shared" ca="1" si="555"/>
        <v>50.95</v>
      </c>
      <c r="L1146">
        <f t="shared" ca="1" si="556"/>
        <v>2.1389677043987478</v>
      </c>
      <c r="M1146">
        <f t="shared" ca="1" si="529"/>
        <v>11.122632062873489</v>
      </c>
      <c r="N1146">
        <f t="shared" ca="1" si="530"/>
        <v>1.1735290000551568</v>
      </c>
      <c r="O1146">
        <f t="shared" ca="1" si="531"/>
        <v>4.5807502857230418</v>
      </c>
      <c r="P1146">
        <f t="shared" ca="1" si="532"/>
        <v>634.1599677043987</v>
      </c>
      <c r="Q1146">
        <f t="shared" ca="1" si="533"/>
        <v>635.22945155659806</v>
      </c>
      <c r="R1146">
        <f t="shared" ca="1" si="534"/>
        <v>3.8141460404132466E-3</v>
      </c>
      <c r="S1146">
        <f t="shared" ca="1" si="535"/>
        <v>1.0000000000000004</v>
      </c>
      <c r="T1146">
        <f t="shared" ca="1" si="536"/>
        <v>35.686426155594638</v>
      </c>
      <c r="U1146">
        <f t="shared" ca="1" si="557"/>
        <v>-3.4157470064428708E-3</v>
      </c>
      <c r="V1146">
        <f t="shared" ca="1" si="558"/>
        <v>1</v>
      </c>
      <c r="W1146">
        <f t="shared" ca="1" si="537"/>
        <v>1.6813330037903358</v>
      </c>
      <c r="X1146">
        <f t="shared" ca="1" si="538"/>
        <v>8.7429316197097471</v>
      </c>
      <c r="Y1146">
        <f t="shared" ca="1" si="539"/>
        <v>1.0210525100441243</v>
      </c>
      <c r="Z1146">
        <f t="shared" ca="1" si="540"/>
        <v>5.8275647364254999</v>
      </c>
      <c r="AA1146">
        <f t="shared" ca="1" si="541"/>
        <v>633.70233300379027</v>
      </c>
      <c r="AB1146">
        <f t="shared" ca="1" si="542"/>
        <v>635.43324588642179</v>
      </c>
      <c r="AC1146">
        <f t="shared" ca="1" si="543"/>
        <v>7.431776294031728E-3</v>
      </c>
      <c r="AD1146">
        <f t="shared" ca="1" si="544"/>
        <v>1.4349135408853944</v>
      </c>
      <c r="AE1146">
        <f t="shared" ca="1" si="545"/>
        <v>37.616395686093796</v>
      </c>
      <c r="AF1146">
        <f t="shared" ca="1" si="546"/>
        <v>6.9317762940954708E-3</v>
      </c>
      <c r="AG1146">
        <f t="shared" ca="1" si="547"/>
        <v>0</v>
      </c>
      <c r="AH1146">
        <f ca="1">IFERROR(IF(V32="Supercritical",MAX($D$16,IFERROR(L1146,MAX($D$16,POWER((ABS(K1146)^2)/($I$5*MAX(F1146,0.1)^2),1/3)))),IF(V32="Subcritical",MAX($D$16,IFERROR(W1146,MAX($D$16,POWER((ABS(K1146)^2)/($I$5*MAX(F1146,0.1)^2),1/3)))),IF(AND(IFERROR(V1146,0)=1,IFERROR(AG1146,0)=1),IF(IFERROR(T1146,-1E+99)&gt;=IFERROR(AE1146,-1E+99),MAX($D$16,IFERROR(L1146,MAX($D$16,POWER((ABS(K1146)^2)/($I$5*MAX(F1146,0.1)^2),1/3)))),MAX($D$16,IFERROR(W1146,MAX($D$16,POWER((ABS(K1146)^2)/($I$5*MAX(F1146,0.1)^2),1/3))))),IF(IFERROR(V1146,0)=1,MAX($D$16,IFERROR(L1146,MAX($D$16,POWER((ABS(K1146)^2)/($I$5*MAX(F1146,0.1)^2),1/3)))),IF(IFERROR(AG1146,0)=1,MAX($D$16,IFERROR(W1146,MAX($D$16,POWER((ABS(K1146)^2)/($I$5*MAX(F1146,0.1)^2),1/3)))),MAX($D$16,POWER((ABS(K1146)^2)/($I$5*MAX(F1146,0.1)^2),1/3))))))),MAX($D$16,POWER((ABS(K1146)^2)/($I$5*MAX(F1146,0.1)^2),1/3)))</f>
        <v>2.1389677043987478</v>
      </c>
      <c r="AI1146">
        <f t="shared" ca="1" si="548"/>
        <v>634.1599677043987</v>
      </c>
      <c r="AJ1146">
        <f t="shared" ca="1" si="549"/>
        <v>635.22945155659806</v>
      </c>
      <c r="AM1146">
        <v>0</v>
      </c>
      <c r="AN1146">
        <v>0</v>
      </c>
      <c r="AO1146">
        <f t="shared" si="550"/>
        <v>0</v>
      </c>
      <c r="AP1146">
        <f t="shared" si="559"/>
        <v>0</v>
      </c>
      <c r="AQ1146">
        <f t="shared" ca="1" si="551"/>
        <v>1.0000000000000004</v>
      </c>
      <c r="AR1146" t="str">
        <f t="shared" ca="1" si="552"/>
        <v>Supercritical</v>
      </c>
      <c r="AS1146">
        <f t="shared" ca="1" si="553"/>
        <v>3.8141460404132466E-3</v>
      </c>
    </row>
    <row r="1147" spans="1:45" x14ac:dyDescent="0.35">
      <c r="A1147">
        <v>1086</v>
      </c>
      <c r="B1147">
        <v>1084.9949999999999</v>
      </c>
      <c r="C1147">
        <v>616077.701</v>
      </c>
      <c r="D1147">
        <v>3096922.1329999999</v>
      </c>
      <c r="E1147">
        <v>632.02049999999997</v>
      </c>
      <c r="F1147">
        <v>5.2</v>
      </c>
      <c r="G1147">
        <v>0</v>
      </c>
      <c r="H1147" t="s">
        <v>154</v>
      </c>
      <c r="I1147">
        <v>0</v>
      </c>
      <c r="J1147">
        <f t="shared" si="554"/>
        <v>1</v>
      </c>
      <c r="K1147">
        <f t="shared" ca="1" si="555"/>
        <v>50.95</v>
      </c>
      <c r="L1147">
        <f t="shared" ca="1" si="556"/>
        <v>2.1389677043987478</v>
      </c>
      <c r="M1147">
        <f t="shared" ca="1" si="529"/>
        <v>11.122632062873489</v>
      </c>
      <c r="N1147">
        <f t="shared" ca="1" si="530"/>
        <v>1.1735290000551568</v>
      </c>
      <c r="O1147">
        <f t="shared" ca="1" si="531"/>
        <v>4.5807502857230418</v>
      </c>
      <c r="P1147">
        <f t="shared" ca="1" si="532"/>
        <v>634.15946770439871</v>
      </c>
      <c r="Q1147">
        <f t="shared" ca="1" si="533"/>
        <v>635.22895155659808</v>
      </c>
      <c r="R1147">
        <f t="shared" ca="1" si="534"/>
        <v>3.8141460404132466E-3</v>
      </c>
      <c r="S1147">
        <f t="shared" ca="1" si="535"/>
        <v>1.0000000000000004</v>
      </c>
      <c r="T1147">
        <f t="shared" ca="1" si="536"/>
        <v>35.686426155594638</v>
      </c>
      <c r="U1147">
        <f t="shared" ca="1" si="557"/>
        <v>-3.3141460404522149E-3</v>
      </c>
      <c r="V1147">
        <f t="shared" ca="1" si="558"/>
        <v>1</v>
      </c>
      <c r="W1147">
        <f t="shared" ca="1" si="537"/>
        <v>1.6813244027193592</v>
      </c>
      <c r="X1147">
        <f t="shared" ca="1" si="538"/>
        <v>8.7428868941406677</v>
      </c>
      <c r="Y1147">
        <f t="shared" ca="1" si="539"/>
        <v>1.0210493379790919</v>
      </c>
      <c r="Z1147">
        <f t="shared" ca="1" si="540"/>
        <v>5.8275945482202012</v>
      </c>
      <c r="AA1147">
        <f t="shared" ca="1" si="541"/>
        <v>633.70182440271935</v>
      </c>
      <c r="AB1147">
        <f t="shared" ca="1" si="542"/>
        <v>635.43275499489289</v>
      </c>
      <c r="AC1147">
        <f t="shared" ca="1" si="543"/>
        <v>7.4318831154417805E-3</v>
      </c>
      <c r="AD1147">
        <f t="shared" ca="1" si="544"/>
        <v>1.4349245516775193</v>
      </c>
      <c r="AE1147">
        <f t="shared" ca="1" si="545"/>
        <v>37.616475320630215</v>
      </c>
      <c r="AF1147">
        <f t="shared" ca="1" si="546"/>
        <v>6.9376528841758045E-3</v>
      </c>
      <c r="AG1147">
        <f t="shared" ca="1" si="547"/>
        <v>0</v>
      </c>
      <c r="AH1147">
        <f ca="1">IFERROR(IF(V32="Supercritical",MAX($D$16,IFERROR(L1147,MAX($D$16,POWER((ABS(K1147)^2)/($I$5*MAX(F1147,0.1)^2),1/3)))),IF(V32="Subcritical",MAX($D$16,IFERROR(W1147,MAX($D$16,POWER((ABS(K1147)^2)/($I$5*MAX(F1147,0.1)^2),1/3)))),IF(AND(IFERROR(V1147,0)=1,IFERROR(AG1147,0)=1),IF(IFERROR(T1147,-1E+99)&gt;=IFERROR(AE1147,-1E+99),MAX($D$16,IFERROR(L1147,MAX($D$16,POWER((ABS(K1147)^2)/($I$5*MAX(F1147,0.1)^2),1/3)))),MAX($D$16,IFERROR(W1147,MAX($D$16,POWER((ABS(K1147)^2)/($I$5*MAX(F1147,0.1)^2),1/3))))),IF(IFERROR(V1147,0)=1,MAX($D$16,IFERROR(L1147,MAX($D$16,POWER((ABS(K1147)^2)/($I$5*MAX(F1147,0.1)^2),1/3)))),IF(IFERROR(AG1147,0)=1,MAX($D$16,IFERROR(W1147,MAX($D$16,POWER((ABS(K1147)^2)/($I$5*MAX(F1147,0.1)^2),1/3)))),MAX($D$16,POWER((ABS(K1147)^2)/($I$5*MAX(F1147,0.1)^2),1/3))))))),MAX($D$16,POWER((ABS(K1147)^2)/($I$5*MAX(F1147,0.1)^2),1/3)))</f>
        <v>2.1389677043987478</v>
      </c>
      <c r="AI1147">
        <f t="shared" ca="1" si="548"/>
        <v>634.15946770439871</v>
      </c>
      <c r="AJ1147">
        <f t="shared" ca="1" si="549"/>
        <v>635.22895155659808</v>
      </c>
      <c r="AM1147">
        <v>0</v>
      </c>
      <c r="AN1147">
        <v>0</v>
      </c>
      <c r="AO1147">
        <f t="shared" si="550"/>
        <v>0</v>
      </c>
      <c r="AP1147">
        <f t="shared" si="559"/>
        <v>0</v>
      </c>
      <c r="AQ1147">
        <f t="shared" ca="1" si="551"/>
        <v>1.0000000000000004</v>
      </c>
      <c r="AR1147" t="str">
        <f t="shared" ca="1" si="552"/>
        <v>Supercritical</v>
      </c>
      <c r="AS1147">
        <f t="shared" ca="1" si="553"/>
        <v>3.8141460404132466E-3</v>
      </c>
    </row>
    <row r="1148" spans="1:45" x14ac:dyDescent="0.35">
      <c r="A1148">
        <v>1087</v>
      </c>
      <c r="B1148">
        <v>1085.9949999999999</v>
      </c>
      <c r="C1148">
        <v>616077.65899999999</v>
      </c>
      <c r="D1148">
        <v>3096921.1340000001</v>
      </c>
      <c r="E1148">
        <v>632.02</v>
      </c>
      <c r="F1148">
        <v>5.2</v>
      </c>
      <c r="G1148">
        <v>0</v>
      </c>
      <c r="H1148" t="s">
        <v>154</v>
      </c>
      <c r="I1148">
        <v>2E-3</v>
      </c>
      <c r="J1148">
        <f t="shared" si="554"/>
        <v>1</v>
      </c>
      <c r="K1148">
        <f t="shared" ca="1" si="555"/>
        <v>50.95</v>
      </c>
      <c r="L1148">
        <f t="shared" ca="1" si="556"/>
        <v>2.1389677043987478</v>
      </c>
      <c r="M1148">
        <f t="shared" ca="1" si="529"/>
        <v>11.122632062873489</v>
      </c>
      <c r="N1148">
        <f t="shared" ca="1" si="530"/>
        <v>1.1735290000551568</v>
      </c>
      <c r="O1148">
        <f t="shared" ca="1" si="531"/>
        <v>4.5807502857230418</v>
      </c>
      <c r="P1148">
        <f t="shared" ca="1" si="532"/>
        <v>634.15896770439872</v>
      </c>
      <c r="Q1148">
        <f t="shared" ca="1" si="533"/>
        <v>635.22845155659809</v>
      </c>
      <c r="R1148">
        <f t="shared" ca="1" si="534"/>
        <v>3.8141460404132466E-3</v>
      </c>
      <c r="S1148">
        <f t="shared" ca="1" si="535"/>
        <v>1.0000000000000004</v>
      </c>
      <c r="T1148">
        <f t="shared" ca="1" si="536"/>
        <v>35.686426155594638</v>
      </c>
      <c r="U1148">
        <f t="shared" ca="1" si="557"/>
        <v>-3.3177109866073806E-3</v>
      </c>
      <c r="V1148">
        <f t="shared" ca="1" si="558"/>
        <v>1</v>
      </c>
      <c r="W1148">
        <f t="shared" ca="1" si="537"/>
        <v>1.6813163629780363</v>
      </c>
      <c r="X1148">
        <f t="shared" ca="1" si="538"/>
        <v>8.7428450874857884</v>
      </c>
      <c r="Y1148">
        <f t="shared" ca="1" si="539"/>
        <v>1.0210463729202626</v>
      </c>
      <c r="Z1148">
        <f t="shared" ca="1" si="540"/>
        <v>5.8276224146906257</v>
      </c>
      <c r="AA1148">
        <f t="shared" ca="1" si="541"/>
        <v>633.70131636297799</v>
      </c>
      <c r="AB1148">
        <f t="shared" ca="1" si="542"/>
        <v>635.43226350916575</v>
      </c>
      <c r="AC1148">
        <f t="shared" ca="1" si="543"/>
        <v>7.431982967329929E-3</v>
      </c>
      <c r="AD1148">
        <f t="shared" ca="1" si="544"/>
        <v>1.4349348440022645</v>
      </c>
      <c r="AE1148">
        <f t="shared" ca="1" si="545"/>
        <v>37.616549759777065</v>
      </c>
      <c r="AF1148">
        <f t="shared" ca="1" si="546"/>
        <v>7.1125096649211628E-3</v>
      </c>
      <c r="AG1148">
        <f t="shared" ca="1" si="547"/>
        <v>0</v>
      </c>
      <c r="AH1148">
        <f ca="1">IFERROR(IF(V32="Supercritical",MAX($D$16,IFERROR(L1148,MAX($D$16,POWER((ABS(K1148)^2)/($I$5*MAX(F1148,0.1)^2),1/3)))),IF(V32="Subcritical",MAX($D$16,IFERROR(W1148,MAX($D$16,POWER((ABS(K1148)^2)/($I$5*MAX(F1148,0.1)^2),1/3)))),IF(AND(IFERROR(V1148,0)=1,IFERROR(AG1148,0)=1),IF(IFERROR(T1148,-1E+99)&gt;=IFERROR(AE1148,-1E+99),MAX($D$16,IFERROR(L1148,MAX($D$16,POWER((ABS(K1148)^2)/($I$5*MAX(F1148,0.1)^2),1/3)))),MAX($D$16,IFERROR(W1148,MAX($D$16,POWER((ABS(K1148)^2)/($I$5*MAX(F1148,0.1)^2),1/3))))),IF(IFERROR(V1148,0)=1,MAX($D$16,IFERROR(L1148,MAX($D$16,POWER((ABS(K1148)^2)/($I$5*MAX(F1148,0.1)^2),1/3)))),IF(IFERROR(AG1148,0)=1,MAX($D$16,IFERROR(W1148,MAX($D$16,POWER((ABS(K1148)^2)/($I$5*MAX(F1148,0.1)^2),1/3)))),MAX($D$16,POWER((ABS(K1148)^2)/($I$5*MAX(F1148,0.1)^2),1/3))))))),MAX($D$16,POWER((ABS(K1148)^2)/($I$5*MAX(F1148,0.1)^2),1/3)))</f>
        <v>2.1389677043987478</v>
      </c>
      <c r="AI1148">
        <f t="shared" ca="1" si="548"/>
        <v>634.15896770439872</v>
      </c>
      <c r="AJ1148">
        <f t="shared" ca="1" si="549"/>
        <v>635.22845155659809</v>
      </c>
      <c r="AM1148">
        <v>0</v>
      </c>
      <c r="AN1148">
        <v>0</v>
      </c>
      <c r="AO1148">
        <f t="shared" si="550"/>
        <v>0</v>
      </c>
      <c r="AP1148">
        <f t="shared" si="559"/>
        <v>0</v>
      </c>
      <c r="AQ1148">
        <f t="shared" ca="1" si="551"/>
        <v>1.0000000000000004</v>
      </c>
      <c r="AR1148" t="str">
        <f t="shared" ca="1" si="552"/>
        <v>Supercritical</v>
      </c>
      <c r="AS1148">
        <f t="shared" ca="1" si="553"/>
        <v>3.8141460404132466E-3</v>
      </c>
    </row>
    <row r="1149" spans="1:45" x14ac:dyDescent="0.35">
      <c r="A1149">
        <v>1088</v>
      </c>
      <c r="B1149">
        <v>1086.9960000000001</v>
      </c>
      <c r="C1149">
        <v>616077.61699999997</v>
      </c>
      <c r="D1149">
        <v>3096920.1340000001</v>
      </c>
      <c r="E1149">
        <v>632.01949999999999</v>
      </c>
      <c r="F1149">
        <v>5.2</v>
      </c>
      <c r="G1149">
        <v>0</v>
      </c>
      <c r="H1149" t="s">
        <v>154</v>
      </c>
      <c r="I1149">
        <v>0.06</v>
      </c>
      <c r="J1149">
        <f t="shared" si="554"/>
        <v>1.0010000000002037</v>
      </c>
      <c r="K1149">
        <f t="shared" ca="1" si="555"/>
        <v>50.95</v>
      </c>
      <c r="L1149">
        <f t="shared" ca="1" si="556"/>
        <v>2.1389677043987478</v>
      </c>
      <c r="M1149">
        <f t="shared" ca="1" si="529"/>
        <v>11.122632062873489</v>
      </c>
      <c r="N1149">
        <f t="shared" ca="1" si="530"/>
        <v>1.1735290000551568</v>
      </c>
      <c r="O1149">
        <f t="shared" ca="1" si="531"/>
        <v>4.5807502857230418</v>
      </c>
      <c r="P1149">
        <f t="shared" ca="1" si="532"/>
        <v>634.15846770439873</v>
      </c>
      <c r="Q1149">
        <f t="shared" ca="1" si="533"/>
        <v>635.2279515565981</v>
      </c>
      <c r="R1149">
        <f t="shared" ca="1" si="534"/>
        <v>3.8141460404132466E-3</v>
      </c>
      <c r="S1149">
        <f t="shared" ca="1" si="535"/>
        <v>1.0000000000000004</v>
      </c>
      <c r="T1149">
        <f t="shared" ca="1" si="536"/>
        <v>35.686426155594638</v>
      </c>
      <c r="U1149">
        <f t="shared" ca="1" si="557"/>
        <v>-3.4249085716737682E-3</v>
      </c>
      <c r="V1149">
        <f t="shared" ca="1" si="558"/>
        <v>1</v>
      </c>
      <c r="W1149">
        <f t="shared" ca="1" si="537"/>
        <v>1.6813088479581255</v>
      </c>
      <c r="X1149">
        <f t="shared" ca="1" si="538"/>
        <v>8.7428060093822531</v>
      </c>
      <c r="Y1149">
        <f t="shared" ca="1" si="539"/>
        <v>1.0210436013687658</v>
      </c>
      <c r="Z1149">
        <f t="shared" ca="1" si="540"/>
        <v>5.8276484626701688</v>
      </c>
      <c r="AA1149">
        <f t="shared" ca="1" si="541"/>
        <v>633.70080884795811</v>
      </c>
      <c r="AB1149">
        <f t="shared" ca="1" si="542"/>
        <v>635.43177146796131</v>
      </c>
      <c r="AC1149">
        <f t="shared" ca="1" si="543"/>
        <v>7.4320763039827436E-3</v>
      </c>
      <c r="AD1149">
        <f t="shared" ca="1" si="544"/>
        <v>1.4349444646998413</v>
      </c>
      <c r="AE1149">
        <f t="shared" ca="1" si="545"/>
        <v>37.616619342137263</v>
      </c>
      <c r="AF1149">
        <f t="shared" ca="1" si="546"/>
        <v>7.0965177528705681E-3</v>
      </c>
      <c r="AG1149">
        <f t="shared" ca="1" si="547"/>
        <v>0</v>
      </c>
      <c r="AH1149">
        <f ca="1">IFERROR(IF(V32="Supercritical",MAX($D$16,IFERROR(L1149,MAX($D$16,POWER((ABS(K1149)^2)/($I$5*MAX(F1149,0.1)^2),1/3)))),IF(V32="Subcritical",MAX($D$16,IFERROR(W1149,MAX($D$16,POWER((ABS(K1149)^2)/($I$5*MAX(F1149,0.1)^2),1/3)))),IF(AND(IFERROR(V1149,0)=1,IFERROR(AG1149,0)=1),IF(IFERROR(T1149,-1E+99)&gt;=IFERROR(AE1149,-1E+99),MAX($D$16,IFERROR(L1149,MAX($D$16,POWER((ABS(K1149)^2)/($I$5*MAX(F1149,0.1)^2),1/3)))),MAX($D$16,IFERROR(W1149,MAX($D$16,POWER((ABS(K1149)^2)/($I$5*MAX(F1149,0.1)^2),1/3))))),IF(IFERROR(V1149,0)=1,MAX($D$16,IFERROR(L1149,MAX($D$16,POWER((ABS(K1149)^2)/($I$5*MAX(F1149,0.1)^2),1/3)))),IF(IFERROR(AG1149,0)=1,MAX($D$16,IFERROR(W1149,MAX($D$16,POWER((ABS(K1149)^2)/($I$5*MAX(F1149,0.1)^2),1/3)))),MAX($D$16,POWER((ABS(K1149)^2)/($I$5*MAX(F1149,0.1)^2),1/3))))))),MAX($D$16,POWER((ABS(K1149)^2)/($I$5*MAX(F1149,0.1)^2),1/3)))</f>
        <v>2.1389677043987478</v>
      </c>
      <c r="AI1149">
        <f t="shared" ca="1" si="548"/>
        <v>634.15846770439873</v>
      </c>
      <c r="AJ1149">
        <f t="shared" ca="1" si="549"/>
        <v>635.2279515565981</v>
      </c>
      <c r="AM1149">
        <v>0</v>
      </c>
      <c r="AN1149">
        <v>0</v>
      </c>
      <c r="AO1149">
        <f t="shared" si="550"/>
        <v>0</v>
      </c>
      <c r="AP1149">
        <f t="shared" si="559"/>
        <v>0</v>
      </c>
      <c r="AQ1149">
        <f t="shared" ca="1" si="551"/>
        <v>1.0000000000000004</v>
      </c>
      <c r="AR1149" t="str">
        <f t="shared" ca="1" si="552"/>
        <v>Supercritical</v>
      </c>
      <c r="AS1149">
        <f t="shared" ca="1" si="553"/>
        <v>3.8141460404132466E-3</v>
      </c>
    </row>
    <row r="1150" spans="1:45" x14ac:dyDescent="0.35">
      <c r="A1150">
        <v>1089</v>
      </c>
      <c r="B1150">
        <v>1087.9960000000001</v>
      </c>
      <c r="C1150">
        <v>616077.57400000002</v>
      </c>
      <c r="D1150">
        <v>3096919.1349999998</v>
      </c>
      <c r="E1150">
        <v>632.01900000000001</v>
      </c>
      <c r="F1150">
        <v>5.2</v>
      </c>
      <c r="G1150">
        <v>0</v>
      </c>
      <c r="H1150" t="s">
        <v>154</v>
      </c>
      <c r="I1150">
        <v>5.7000000000000002E-2</v>
      </c>
      <c r="J1150">
        <f t="shared" si="554"/>
        <v>1</v>
      </c>
      <c r="K1150">
        <f t="shared" ca="1" si="555"/>
        <v>50.95</v>
      </c>
      <c r="L1150">
        <f t="shared" ca="1" si="556"/>
        <v>2.1389677043987478</v>
      </c>
      <c r="M1150">
        <f t="shared" ref="M1150:M1213" ca="1" si="560">((F1150)+(G1150)*(L1150))*(L1150)</f>
        <v>11.122632062873489</v>
      </c>
      <c r="N1150">
        <f t="shared" ref="N1150:N1213" ca="1" si="561">(((F1150)+(G1150)*(L1150))*(L1150))/MAX((F1150)+2*(L1150)*SQRT(1+(G1150)^2),0.000001)</f>
        <v>1.1735290000551568</v>
      </c>
      <c r="O1150">
        <f t="shared" ref="O1150:O1213" ca="1" si="562">ABS(K1150)/MAX(((F1150)+(G1150)*(L1150))*(L1150),0.000001)</f>
        <v>4.5807502857230418</v>
      </c>
      <c r="P1150">
        <f t="shared" ref="P1150:P1213" ca="1" si="563">E1150+L1150</f>
        <v>634.15796770439874</v>
      </c>
      <c r="Q1150">
        <f t="shared" ref="Q1150:Q1213" ca="1" si="564">P1150+((ABS(K1150)/MAX(((F1150)+(G1150)*(L1150))*(L1150),0.000001))^2)/(2*$I$5)</f>
        <v>635.22745155659811</v>
      </c>
      <c r="R1150">
        <f t="shared" ref="R1150:R1213" ca="1" si="565">((ABS(K1150)*$D$6)/(MAX(((F1150)+(G1150)*(L1150))*(L1150),0.000001)*MAX(((((F1150)+(G1150)*(L1150))*(L1150))/MAX((F1150)+2*(L1150)*SQRT(1+(G1150)^2),0.000001))^(2/3),0.000001)))^2</f>
        <v>3.8141460404132466E-3</v>
      </c>
      <c r="S1150">
        <f t="shared" ref="S1150:S1213" ca="1" si="566">ABS(ABS(K1150)/MAX(((F1150)+(G1150)*(L1150))*(L1150),0.000001))/SQRT($I$5*MAX((((F1150)+(G1150)*(L1150))*(L1150))/MAX((F1150)+2*(G1150)*(L1150),0.000001),0.000001))</f>
        <v>1.0000000000000004</v>
      </c>
      <c r="T1150">
        <f t="shared" ref="T1150:T1213" ca="1" si="567">((F1150)*(L1150)^2)/2+(G1150)*(L1150)^3/3+(ABS(K1150)^2)/($I$5*MAX(((F1150)+(G1150)*(L1150))*(L1150),0.000001))</f>
        <v>35.686426155594638</v>
      </c>
      <c r="U1150">
        <f t="shared" ca="1" si="557"/>
        <v>-3.4157470064428708E-3</v>
      </c>
      <c r="V1150">
        <f t="shared" ca="1" si="558"/>
        <v>1</v>
      </c>
      <c r="W1150">
        <f t="shared" ref="W1150:W1213" ca="1" si="568">IF($D$20=0,IFERROR(W1151,MAX($D$16,POWER((ABS(K1150)^2)/($I$5*MAX(F1150,0.1)^2),1/3))),IF(IFERROR(AG1151,0)=0,IFERROR(W1151,MAX($D$16,POWER((ABS(K1150)^2)/($I$5*MAX(F1150,0.1)^2),1/3))),IF(OR(IFERROR(W1150,0)=0,IFERROR(AD1151,0)&gt;1),MAX($D$16,POWER((ABS(K1150)^2)/($I$5*MAX(F1150,0.1)^2),1/3)),IF(IFERROR(AF1150,0)&gt;0,MAX($D$16,IFERROR(W1150,0)+((IFERROR(AF1150,0))*$D$18*IF((IFERROR(AD1150,0))&lt;1,1,-1))),IF(IFERROR(AF1150,0)&lt;0,IF(ABS((MAX($D$16,POWER((ABS(K1150)^2)/($I$5*MAX(F1150,0.1)^2),1/3)))-IFERROR(W1150,0))&gt;$D$19,MAX($D$16,IF((MAX($D$16,POWER((ABS(K1150)^2)/($I$5*MAX(F1150,0.1)^2),1/3)))&gt;IFERROR(W1150,0),MIN((MAX($D$16,POWER((ABS(K1150)^2)/($I$5*MAX(F1150,0.1)^2),1/3))),IFERROR(W1150,0)+(MIN(ABS(IFERROR(AF1150,0))*$D$18,ABS((MAX($D$16,POWER((ABS(K1150)^2)/($I$5*MAX(F1150,0.1)^2),1/3)))-IFERROR(W1150,0))))),MAX((MAX($D$16,POWER((ABS(K1150)^2)/($I$5*MAX(F1150,0.1)^2),1/3))),IFERROR(W1150,0)-(MIN(ABS(IFERROR(AF1150,0))*$D$18,ABS((MAX($D$16,POWER((ABS(K1150)^2)/($I$5*MAX(F1150,0.1)^2),1/3)))-IFERROR(W1150,0))))))),MAX($D$16,POWER((ABS(K1150)^2)/($I$5*MAX(F1150,0.1)^2),1/3))),MAX($D$16,IFERROR(W1150,0)))))))</f>
        <v>1.6813018234356023</v>
      </c>
      <c r="X1150">
        <f t="shared" ref="X1150:X1213" ca="1" si="569">((F1150)+(G1150)*(W1150))*(W1150)</f>
        <v>8.7427694818651318</v>
      </c>
      <c r="Y1150">
        <f t="shared" ref="Y1150:Y1213" ca="1" si="570">(((F1150)+(G1150)*(W1150))*(W1150))/MAX((F1150)+2*(W1150)*SQRT(1+(G1150)^2),0.000001)</f>
        <v>1.0210410107047008</v>
      </c>
      <c r="Z1150">
        <f t="shared" ref="Z1150:Z1213" ca="1" si="571">ABS(K1150)/MAX(((F1150)+(G1150)*(W1150))*(W1150),0.000001)</f>
        <v>5.8276728107362414</v>
      </c>
      <c r="AA1150">
        <f t="shared" ref="AA1150:AA1213" ca="1" si="572">E1150+W1150</f>
        <v>633.70030182343555</v>
      </c>
      <c r="AB1150">
        <f t="shared" ref="AB1150:AB1213" ca="1" si="573">AA1150+((ABS(K1150)/MAX(((F1150)+(G1150)*(W1150))*(W1150),0.000001))^2)/(2*$I$5)</f>
        <v>635.43127890748212</v>
      </c>
      <c r="AC1150">
        <f t="shared" ref="AC1150:AC1213" ca="1" si="574">((ABS(K1150)*$D$6)/(MAX(((F1150)+(G1150)*(W1150))*(W1150),0.000001)*MAX(((((F1150)+(G1150)*(W1150))*(W1150))/MAX((F1150)+2*(W1150)*SQRT(1+(G1150)^2),0.000001))^(2/3),0.000001)))^2</f>
        <v>7.4321635501309827E-3</v>
      </c>
      <c r="AD1150">
        <f t="shared" ref="AD1150:AD1213" ca="1" si="575">ABS(ABS(K1150)/MAX(((F1150)+(G1150)*(W1150))*(W1150),0.000001))/SQRT($I$5*MAX((((F1150)+(G1150)*(W1150))*(W1150))/MAX((F1150)+2*(G1150)*(W1150),0.000001),0.000001))</f>
        <v>1.4349534575618901</v>
      </c>
      <c r="AE1150">
        <f t="shared" ref="AE1150:AE1213" ca="1" si="576">((F1150)*(W1150)^2)/2+(G1150)*(W1150)^3/3+(ABS(K1150)^2)/($I$5*MAX(((F1150)+(G1150)*(W1150))*(W1150),0.000001))</f>
        <v>37.616684384289641</v>
      </c>
      <c r="AF1150">
        <f t="shared" ref="AF1150:AF1213" ca="1" si="577">IF($D$20=0,0,IFERROR(AB1151+(((AC1150+AC1151)/2)*J1151)+(IF(Z1150&gt;Z1151,$D$8*((Z1150^2-Z1151^2)/(2*$I$5)),$D$9*((Z1151^2-Z1150^2)/(2*$I$5)))+($D$10*(ABS(I1151)/90)*(MAX(Z1150^2,Z1151^2)/(2*$I$5))))-AB1150,0))</f>
        <v>6.9321635501182755E-3</v>
      </c>
      <c r="AG1150">
        <f t="shared" ref="AG1150:AG1213" ca="1" si="578">IF($D$20=0,1,IFERROR(IF(ROUND(AD1150,3)=1,1,IF(AND(ABS(AF1150)&lt;$D$19,AD1150&lt;1),1,0)),0))</f>
        <v>0</v>
      </c>
      <c r="AH1150">
        <f ca="1">IFERROR(IF(V32="Supercritical",MAX($D$16,IFERROR(L1150,MAX($D$16,POWER((ABS(K1150)^2)/($I$5*MAX(F1150,0.1)^2),1/3)))),IF(V32="Subcritical",MAX($D$16,IFERROR(W1150,MAX($D$16,POWER((ABS(K1150)^2)/($I$5*MAX(F1150,0.1)^2),1/3)))),IF(AND(IFERROR(V1150,0)=1,IFERROR(AG1150,0)=1),IF(IFERROR(T1150,-1E+99)&gt;=IFERROR(AE1150,-1E+99),MAX($D$16,IFERROR(L1150,MAX($D$16,POWER((ABS(K1150)^2)/($I$5*MAX(F1150,0.1)^2),1/3)))),MAX($D$16,IFERROR(W1150,MAX($D$16,POWER((ABS(K1150)^2)/($I$5*MAX(F1150,0.1)^2),1/3))))),IF(IFERROR(V1150,0)=1,MAX($D$16,IFERROR(L1150,MAX($D$16,POWER((ABS(K1150)^2)/($I$5*MAX(F1150,0.1)^2),1/3)))),IF(IFERROR(AG1150,0)=1,MAX($D$16,IFERROR(W1150,MAX($D$16,POWER((ABS(K1150)^2)/($I$5*MAX(F1150,0.1)^2),1/3)))),MAX($D$16,POWER((ABS(K1150)^2)/($I$5*MAX(F1150,0.1)^2),1/3))))))),MAX($D$16,POWER((ABS(K1150)^2)/($I$5*MAX(F1150,0.1)^2),1/3)))</f>
        <v>2.1389677043987478</v>
      </c>
      <c r="AI1150">
        <f t="shared" ref="AI1150:AI1213" ca="1" si="579">E1150+AH1150</f>
        <v>634.15796770439874</v>
      </c>
      <c r="AJ1150">
        <f t="shared" ref="AJ1150:AJ1213" ca="1" si="580">AI1150+((ABS(K1150)/MAX(((F1150)+(G1150)*(AH1150))*(AH1150),0.000001))^2)/(2*$I$5)</f>
        <v>635.22745155659811</v>
      </c>
      <c r="AM1150">
        <v>0</v>
      </c>
      <c r="AN1150">
        <v>0</v>
      </c>
      <c r="AO1150">
        <f t="shared" ref="AO1150:AO1213" si="581">AM1150+AN1150</f>
        <v>0</v>
      </c>
      <c r="AP1150">
        <f t="shared" si="559"/>
        <v>0</v>
      </c>
      <c r="AQ1150">
        <f t="shared" ref="AQ1150:AQ1213" ca="1" si="582">ABS(ABS(K1150)/MAX(((F1150)+(G1150)*(AH1150))*(AH1150),0.000001))/SQRT($I$5*MAX((((F1150)+(G1150)*(AH1150))*(AH1150))/MAX((F1150)+2*(G1150)*(AH1150),0.000001),0.000001))</f>
        <v>1.0000000000000004</v>
      </c>
      <c r="AR1150" t="str">
        <f t="shared" ref="AR1150:AR1213" ca="1" si="583">IF(AQ1150&lt;1,"Subcritical","Supercritical")</f>
        <v>Supercritical</v>
      </c>
      <c r="AS1150">
        <f t="shared" ref="AS1150:AS1213" ca="1" si="584">((ABS(K1150)*$D$6)/(MAX(((F1150)+(G1150)*(AH1150))*(AH1150),0.000001)*MAX(((((F1150)+(G1150)*(AH1150))*(AH1150))/MAX((F1150)+2*(AH1150)*SQRT(1+(G1150)^2),0.000001))^(2/3),0.000001)))^2</f>
        <v>3.8141460404132466E-3</v>
      </c>
    </row>
    <row r="1151" spans="1:45" x14ac:dyDescent="0.35">
      <c r="A1151">
        <v>1090</v>
      </c>
      <c r="B1151">
        <v>1088.9960000000001</v>
      </c>
      <c r="C1151">
        <v>616077.53200000001</v>
      </c>
      <c r="D1151">
        <v>3096918.1359999999</v>
      </c>
      <c r="E1151">
        <v>632.01850000000002</v>
      </c>
      <c r="F1151">
        <v>5.2</v>
      </c>
      <c r="G1151">
        <v>0</v>
      </c>
      <c r="H1151" t="s">
        <v>154</v>
      </c>
      <c r="I1151">
        <v>0</v>
      </c>
      <c r="J1151">
        <f t="shared" ref="J1151:J1214" si="585">B1151-B1150</f>
        <v>1</v>
      </c>
      <c r="K1151">
        <f t="shared" ref="K1151:K1214" ca="1" si="586">MAX(0,K1150-AO1150)</f>
        <v>50.95</v>
      </c>
      <c r="L1151">
        <f t="shared" ref="L1151:L1214" ca="1" si="587">IF($D$20=0,IFERROR(L1150,MAX($D$16,POWER((ABS(K1151)^2)/($I$5*MAX(F1151,0.1)^2),1/3))),IF(IFERROR(V1150,0)=0,IFERROR(L1150,MAX($D$16,POWER((ABS(K1151)^2)/($I$5*MAX(F1151,0.1)^2),1/3))),IF(OR(IFERROR(L1151,0)=0,IFERROR(S1150,0)&lt;1,IFERROR(S1151,0)&lt;1),MAX($D$16,POWER((ABS(K1151)^2)/($I$5*MAX(F1151,0.1)^2),1/3)),IF(IFERROR(U1151,0)&gt;0,MAX($D$16,IFERROR(L1151,0)+((IFERROR(U1151,0))*$D$18*IF((IFERROR(S1151,0))&lt;1,1,-1))),IF(IFERROR(U1151,0)&lt;0,IF(ABS((MAX($D$16,POWER((ABS(K1151)^2)/($I$5*MAX(F1151,0.1)^2),1/3)))-IFERROR(L1151,0))&gt;$D$19,MAX($D$16,IF((MAX($D$16,POWER((ABS(K1151)^2)/($I$5*MAX(F1151,0.1)^2),1/3)))&gt;IFERROR(L1151,0),MIN((MAX($D$16,POWER((ABS(K1151)^2)/($I$5*MAX(F1151,0.1)^2),1/3))),IFERROR(L1151,0)+(MIN(ABS(IFERROR(U1151,0))*$D$18,ABS((MAX($D$16,POWER((ABS(K1151)^2)/($I$5*MAX(F1151,0.1)^2),1/3)))-IFERROR(L1151,0))))),MAX((MAX($D$16,POWER((ABS(K1151)^2)/($I$5*MAX(F1151,0.1)^2),1/3))),IFERROR(L1151,0)-(MIN(ABS(IFERROR(U1151,0))*$D$18,ABS((MAX($D$16,POWER((ABS(K1151)^2)/($I$5*MAX(F1151,0.1)^2),1/3)))-IFERROR(L1151,0))))))),MAX($D$16,POWER((ABS(K1151)^2)/($I$5*MAX(F1151,0.1)^2),1/3))),MAX($D$16,IFERROR(L1151,0)))))))</f>
        <v>2.1389677043987478</v>
      </c>
      <c r="M1151">
        <f t="shared" ca="1" si="560"/>
        <v>11.122632062873489</v>
      </c>
      <c r="N1151">
        <f t="shared" ca="1" si="561"/>
        <v>1.1735290000551568</v>
      </c>
      <c r="O1151">
        <f t="shared" ca="1" si="562"/>
        <v>4.5807502857230418</v>
      </c>
      <c r="P1151">
        <f t="shared" ca="1" si="563"/>
        <v>634.15746770439875</v>
      </c>
      <c r="Q1151">
        <f t="shared" ca="1" si="564"/>
        <v>635.22695155659812</v>
      </c>
      <c r="R1151">
        <f t="shared" ca="1" si="565"/>
        <v>3.8141460404132466E-3</v>
      </c>
      <c r="S1151">
        <f t="shared" ca="1" si="566"/>
        <v>1.0000000000000004</v>
      </c>
      <c r="T1151">
        <f t="shared" ca="1" si="567"/>
        <v>35.686426155594638</v>
      </c>
      <c r="U1151">
        <f t="shared" ref="U1151:U1214" ca="1" si="588">IF($D$20=0,0,IFERROR(Q1150-(((R1150+R1151)/2)*J1151)-(IF(O1150&gt;O1151,$D$8*((O1150^2-O1151^2)/(2*$I$5)),$D$9*((O1151^2-O1150^2)/(2*$I$5)))+($D$10*(ABS(I1151)/90)*(MAX(O1150^2,O1151^2)/(2*$I$5))))-Q1151,0))</f>
        <v>-3.3141460404522149E-3</v>
      </c>
      <c r="V1151">
        <f t="shared" ref="V1151:V1214" ca="1" si="589">IF($D$20=0,1,IFERROR(IF(ROUND(S1151,3)=1,1,IF(AND(ABS(U1151)&lt;$D$19,S1151&gt;1),1,0)),0))</f>
        <v>1</v>
      </c>
      <c r="W1151">
        <f t="shared" ca="1" si="568"/>
        <v>1.6812952574157849</v>
      </c>
      <c r="X1151">
        <f t="shared" ca="1" si="569"/>
        <v>8.7427353385620812</v>
      </c>
      <c r="Y1151">
        <f t="shared" ca="1" si="570"/>
        <v>1.0210385891300624</v>
      </c>
      <c r="Z1151">
        <f t="shared" ca="1" si="571"/>
        <v>5.8276955697459965</v>
      </c>
      <c r="AA1151">
        <f t="shared" ca="1" si="572"/>
        <v>633.69979525741576</v>
      </c>
      <c r="AB1151">
        <f t="shared" ca="1" si="573"/>
        <v>635.43078586157662</v>
      </c>
      <c r="AC1151">
        <f t="shared" ca="1" si="574"/>
        <v>7.4322451028655994E-3</v>
      </c>
      <c r="AD1151">
        <f t="shared" ca="1" si="575"/>
        <v>1.4349618635292505</v>
      </c>
      <c r="AE1151">
        <f t="shared" ca="1" si="576"/>
        <v>37.616745182215986</v>
      </c>
      <c r="AF1151">
        <f t="shared" ca="1" si="577"/>
        <v>6.9322451029165677E-3</v>
      </c>
      <c r="AG1151">
        <f t="shared" ca="1" si="578"/>
        <v>0</v>
      </c>
      <c r="AH1151">
        <f ca="1">IFERROR(IF(V32="Supercritical",MAX($D$16,IFERROR(L1151,MAX($D$16,POWER((ABS(K1151)^2)/($I$5*MAX(F1151,0.1)^2),1/3)))),IF(V32="Subcritical",MAX($D$16,IFERROR(W1151,MAX($D$16,POWER((ABS(K1151)^2)/($I$5*MAX(F1151,0.1)^2),1/3)))),IF(AND(IFERROR(V1151,0)=1,IFERROR(AG1151,0)=1),IF(IFERROR(T1151,-1E+99)&gt;=IFERROR(AE1151,-1E+99),MAX($D$16,IFERROR(L1151,MAX($D$16,POWER((ABS(K1151)^2)/($I$5*MAX(F1151,0.1)^2),1/3)))),MAX($D$16,IFERROR(W1151,MAX($D$16,POWER((ABS(K1151)^2)/($I$5*MAX(F1151,0.1)^2),1/3))))),IF(IFERROR(V1151,0)=1,MAX($D$16,IFERROR(L1151,MAX($D$16,POWER((ABS(K1151)^2)/($I$5*MAX(F1151,0.1)^2),1/3)))),IF(IFERROR(AG1151,0)=1,MAX($D$16,IFERROR(W1151,MAX($D$16,POWER((ABS(K1151)^2)/($I$5*MAX(F1151,0.1)^2),1/3)))),MAX($D$16,POWER((ABS(K1151)^2)/($I$5*MAX(F1151,0.1)^2),1/3))))))),MAX($D$16,POWER((ABS(K1151)^2)/($I$5*MAX(F1151,0.1)^2),1/3)))</f>
        <v>2.1389677043987478</v>
      </c>
      <c r="AI1151">
        <f t="shared" ca="1" si="579"/>
        <v>634.15746770439875</v>
      </c>
      <c r="AJ1151">
        <f t="shared" ca="1" si="580"/>
        <v>635.22695155659812</v>
      </c>
      <c r="AM1151">
        <v>0</v>
      </c>
      <c r="AN1151">
        <v>0</v>
      </c>
      <c r="AO1151">
        <f t="shared" si="581"/>
        <v>0</v>
      </c>
      <c r="AP1151">
        <f t="shared" ref="AP1151:AP1214" si="590">AP1150+AO1151</f>
        <v>0</v>
      </c>
      <c r="AQ1151">
        <f t="shared" ca="1" si="582"/>
        <v>1.0000000000000004</v>
      </c>
      <c r="AR1151" t="str">
        <f t="shared" ca="1" si="583"/>
        <v>Supercritical</v>
      </c>
      <c r="AS1151">
        <f t="shared" ca="1" si="584"/>
        <v>3.8141460404132466E-3</v>
      </c>
    </row>
    <row r="1152" spans="1:45" x14ac:dyDescent="0.35">
      <c r="A1152">
        <v>1091</v>
      </c>
      <c r="B1152">
        <v>1089.9960000000001</v>
      </c>
      <c r="C1152">
        <v>616077.49</v>
      </c>
      <c r="D1152">
        <v>3096917.1370000001</v>
      </c>
      <c r="E1152">
        <v>632.01800000000003</v>
      </c>
      <c r="F1152">
        <v>5.2</v>
      </c>
      <c r="G1152">
        <v>0</v>
      </c>
      <c r="H1152" t="s">
        <v>154</v>
      </c>
      <c r="I1152">
        <v>0</v>
      </c>
      <c r="J1152">
        <f t="shared" si="585"/>
        <v>1</v>
      </c>
      <c r="K1152">
        <f t="shared" ca="1" si="586"/>
        <v>50.95</v>
      </c>
      <c r="L1152">
        <f t="shared" ca="1" si="587"/>
        <v>2.1389677043987478</v>
      </c>
      <c r="M1152">
        <f t="shared" ca="1" si="560"/>
        <v>11.122632062873489</v>
      </c>
      <c r="N1152">
        <f t="shared" ca="1" si="561"/>
        <v>1.1735290000551568</v>
      </c>
      <c r="O1152">
        <f t="shared" ca="1" si="562"/>
        <v>4.5807502857230418</v>
      </c>
      <c r="P1152">
        <f t="shared" ca="1" si="563"/>
        <v>634.15696770439877</v>
      </c>
      <c r="Q1152">
        <f t="shared" ca="1" si="564"/>
        <v>635.22645155659814</v>
      </c>
      <c r="R1152">
        <f t="shared" ca="1" si="565"/>
        <v>3.8141460404132466E-3</v>
      </c>
      <c r="S1152">
        <f t="shared" ca="1" si="566"/>
        <v>1.0000000000000004</v>
      </c>
      <c r="T1152">
        <f t="shared" ca="1" si="567"/>
        <v>35.686426155594638</v>
      </c>
      <c r="U1152">
        <f t="shared" ca="1" si="588"/>
        <v>-3.3141460404522149E-3</v>
      </c>
      <c r="V1152">
        <f t="shared" ca="1" si="589"/>
        <v>1</v>
      </c>
      <c r="W1152">
        <f t="shared" ca="1" si="568"/>
        <v>1.6812891199885358</v>
      </c>
      <c r="X1152">
        <f t="shared" ca="1" si="569"/>
        <v>8.7427034239403874</v>
      </c>
      <c r="Y1152">
        <f t="shared" ca="1" si="570"/>
        <v>1.0210363256153789</v>
      </c>
      <c r="Z1152">
        <f t="shared" ca="1" si="571"/>
        <v>5.8277168433372912</v>
      </c>
      <c r="AA1152">
        <f t="shared" ca="1" si="572"/>
        <v>633.69928911998852</v>
      </c>
      <c r="AB1152">
        <f t="shared" ca="1" si="573"/>
        <v>635.43029236189057</v>
      </c>
      <c r="AC1152">
        <f t="shared" ca="1" si="574"/>
        <v>7.4323213334295413E-3</v>
      </c>
      <c r="AD1152">
        <f t="shared" ca="1" si="575"/>
        <v>1.4349697208769028</v>
      </c>
      <c r="AE1152">
        <f t="shared" ca="1" si="576"/>
        <v>37.616802012635723</v>
      </c>
      <c r="AF1152">
        <f t="shared" ca="1" si="577"/>
        <v>7.0967666414389896E-3</v>
      </c>
      <c r="AG1152">
        <f t="shared" ca="1" si="578"/>
        <v>0</v>
      </c>
      <c r="AH1152">
        <f ca="1">IFERROR(IF(V32="Supercritical",MAX($D$16,IFERROR(L1152,MAX($D$16,POWER((ABS(K1152)^2)/($I$5*MAX(F1152,0.1)^2),1/3)))),IF(V32="Subcritical",MAX($D$16,IFERROR(W1152,MAX($D$16,POWER((ABS(K1152)^2)/($I$5*MAX(F1152,0.1)^2),1/3)))),IF(AND(IFERROR(V1152,0)=1,IFERROR(AG1152,0)=1),IF(IFERROR(T1152,-1E+99)&gt;=IFERROR(AE1152,-1E+99),MAX($D$16,IFERROR(L1152,MAX($D$16,POWER((ABS(K1152)^2)/($I$5*MAX(F1152,0.1)^2),1/3)))),MAX($D$16,IFERROR(W1152,MAX($D$16,POWER((ABS(K1152)^2)/($I$5*MAX(F1152,0.1)^2),1/3))))),IF(IFERROR(V1152,0)=1,MAX($D$16,IFERROR(L1152,MAX($D$16,POWER((ABS(K1152)^2)/($I$5*MAX(F1152,0.1)^2),1/3)))),IF(IFERROR(AG1152,0)=1,MAX($D$16,IFERROR(W1152,MAX($D$16,POWER((ABS(K1152)^2)/($I$5*MAX(F1152,0.1)^2),1/3)))),MAX($D$16,POWER((ABS(K1152)^2)/($I$5*MAX(F1152,0.1)^2),1/3))))))),MAX($D$16,POWER((ABS(K1152)^2)/($I$5*MAX(F1152,0.1)^2),1/3)))</f>
        <v>2.1389677043987478</v>
      </c>
      <c r="AI1152">
        <f t="shared" ca="1" si="579"/>
        <v>634.15696770439877</v>
      </c>
      <c r="AJ1152">
        <f t="shared" ca="1" si="580"/>
        <v>635.22645155659814</v>
      </c>
      <c r="AM1152">
        <v>0</v>
      </c>
      <c r="AN1152">
        <v>0</v>
      </c>
      <c r="AO1152">
        <f t="shared" si="581"/>
        <v>0</v>
      </c>
      <c r="AP1152">
        <f t="shared" si="590"/>
        <v>0</v>
      </c>
      <c r="AQ1152">
        <f t="shared" ca="1" si="582"/>
        <v>1.0000000000000004</v>
      </c>
      <c r="AR1152" t="str">
        <f t="shared" ca="1" si="583"/>
        <v>Supercritical</v>
      </c>
      <c r="AS1152">
        <f t="shared" ca="1" si="584"/>
        <v>3.8141460404132466E-3</v>
      </c>
    </row>
    <row r="1153" spans="1:45" x14ac:dyDescent="0.35">
      <c r="A1153">
        <v>1092</v>
      </c>
      <c r="B1153">
        <v>1090.9960000000001</v>
      </c>
      <c r="C1153">
        <v>616077.44799999997</v>
      </c>
      <c r="D1153">
        <v>3096916.1379999998</v>
      </c>
      <c r="E1153">
        <v>632.01750000000004</v>
      </c>
      <c r="F1153">
        <v>5.2</v>
      </c>
      <c r="G1153">
        <v>0</v>
      </c>
      <c r="H1153" t="s">
        <v>154</v>
      </c>
      <c r="I1153">
        <v>5.7000000000000002E-2</v>
      </c>
      <c r="J1153">
        <f t="shared" si="585"/>
        <v>1</v>
      </c>
      <c r="K1153">
        <f t="shared" ca="1" si="586"/>
        <v>50.95</v>
      </c>
      <c r="L1153">
        <f t="shared" ca="1" si="587"/>
        <v>2.1389677043987478</v>
      </c>
      <c r="M1153">
        <f t="shared" ca="1" si="560"/>
        <v>11.122632062873489</v>
      </c>
      <c r="N1153">
        <f t="shared" ca="1" si="561"/>
        <v>1.1735290000551568</v>
      </c>
      <c r="O1153">
        <f t="shared" ca="1" si="562"/>
        <v>4.5807502857230418</v>
      </c>
      <c r="P1153">
        <f t="shared" ca="1" si="563"/>
        <v>634.15646770439878</v>
      </c>
      <c r="Q1153">
        <f t="shared" ca="1" si="564"/>
        <v>635.22595155659815</v>
      </c>
      <c r="R1153">
        <f t="shared" ca="1" si="565"/>
        <v>3.8141460404132466E-3</v>
      </c>
      <c r="S1153">
        <f t="shared" ca="1" si="566"/>
        <v>1.0000000000000004</v>
      </c>
      <c r="T1153">
        <f t="shared" ca="1" si="567"/>
        <v>35.686426155594638</v>
      </c>
      <c r="U1153">
        <f t="shared" ca="1" si="588"/>
        <v>-3.4157470064428708E-3</v>
      </c>
      <c r="V1153">
        <f t="shared" ca="1" si="589"/>
        <v>1</v>
      </c>
      <c r="W1153">
        <f t="shared" ca="1" si="568"/>
        <v>1.6812833831927252</v>
      </c>
      <c r="X1153">
        <f t="shared" ca="1" si="569"/>
        <v>8.7426735926021717</v>
      </c>
      <c r="Y1153">
        <f t="shared" ca="1" si="570"/>
        <v>1.0210342098497587</v>
      </c>
      <c r="Z1153">
        <f t="shared" ca="1" si="571"/>
        <v>5.8277367283976611</v>
      </c>
      <c r="AA1153">
        <f t="shared" ca="1" si="572"/>
        <v>633.69878338319279</v>
      </c>
      <c r="AB1153">
        <f t="shared" ca="1" si="573"/>
        <v>635.42979843801004</v>
      </c>
      <c r="AC1153">
        <f t="shared" ca="1" si="574"/>
        <v>7.4323925888954458E-3</v>
      </c>
      <c r="AD1153">
        <f t="shared" ca="1" si="575"/>
        <v>1.4349770653871037</v>
      </c>
      <c r="AE1153">
        <f t="shared" ca="1" si="576"/>
        <v>37.616855134255637</v>
      </c>
      <c r="AF1153">
        <f t="shared" ca="1" si="577"/>
        <v>7.0968390190273567E-3</v>
      </c>
      <c r="AG1153">
        <f t="shared" ca="1" si="578"/>
        <v>0</v>
      </c>
      <c r="AH1153">
        <f ca="1">IFERROR(IF(V32="Supercritical",MAX($D$16,IFERROR(L1153,MAX($D$16,POWER((ABS(K1153)^2)/($I$5*MAX(F1153,0.1)^2),1/3)))),IF(V32="Subcritical",MAX($D$16,IFERROR(W1153,MAX($D$16,POWER((ABS(K1153)^2)/($I$5*MAX(F1153,0.1)^2),1/3)))),IF(AND(IFERROR(V1153,0)=1,IFERROR(AG1153,0)=1),IF(IFERROR(T1153,-1E+99)&gt;=IFERROR(AE1153,-1E+99),MAX($D$16,IFERROR(L1153,MAX($D$16,POWER((ABS(K1153)^2)/($I$5*MAX(F1153,0.1)^2),1/3)))),MAX($D$16,IFERROR(W1153,MAX($D$16,POWER((ABS(K1153)^2)/($I$5*MAX(F1153,0.1)^2),1/3))))),IF(IFERROR(V1153,0)=1,MAX($D$16,IFERROR(L1153,MAX($D$16,POWER((ABS(K1153)^2)/($I$5*MAX(F1153,0.1)^2),1/3)))),IF(IFERROR(AG1153,0)=1,MAX($D$16,IFERROR(W1153,MAX($D$16,POWER((ABS(K1153)^2)/($I$5*MAX(F1153,0.1)^2),1/3)))),MAX($D$16,POWER((ABS(K1153)^2)/($I$5*MAX(F1153,0.1)^2),1/3))))))),MAX($D$16,POWER((ABS(K1153)^2)/($I$5*MAX(F1153,0.1)^2),1/3)))</f>
        <v>2.1389677043987478</v>
      </c>
      <c r="AI1153">
        <f t="shared" ca="1" si="579"/>
        <v>634.15646770439878</v>
      </c>
      <c r="AJ1153">
        <f t="shared" ca="1" si="580"/>
        <v>635.22595155659815</v>
      </c>
      <c r="AM1153">
        <v>0</v>
      </c>
      <c r="AN1153">
        <v>0</v>
      </c>
      <c r="AO1153">
        <f t="shared" si="581"/>
        <v>0</v>
      </c>
      <c r="AP1153">
        <f t="shared" si="590"/>
        <v>0</v>
      </c>
      <c r="AQ1153">
        <f t="shared" ca="1" si="582"/>
        <v>1.0000000000000004</v>
      </c>
      <c r="AR1153" t="str">
        <f t="shared" ca="1" si="583"/>
        <v>Supercritical</v>
      </c>
      <c r="AS1153">
        <f t="shared" ca="1" si="584"/>
        <v>3.8141460404132466E-3</v>
      </c>
    </row>
    <row r="1154" spans="1:45" x14ac:dyDescent="0.35">
      <c r="A1154">
        <v>1093</v>
      </c>
      <c r="B1154">
        <v>1091.9960000000001</v>
      </c>
      <c r="C1154">
        <v>616077.40500000003</v>
      </c>
      <c r="D1154">
        <v>3096915.139</v>
      </c>
      <c r="E1154">
        <v>632.01700000000005</v>
      </c>
      <c r="F1154">
        <v>5.2</v>
      </c>
      <c r="G1154">
        <v>0</v>
      </c>
      <c r="H1154" t="s">
        <v>154</v>
      </c>
      <c r="I1154">
        <v>5.7000000000000002E-2</v>
      </c>
      <c r="J1154">
        <f t="shared" si="585"/>
        <v>1</v>
      </c>
      <c r="K1154">
        <f t="shared" ca="1" si="586"/>
        <v>50.95</v>
      </c>
      <c r="L1154">
        <f t="shared" ca="1" si="587"/>
        <v>2.1389677043987478</v>
      </c>
      <c r="M1154">
        <f t="shared" ca="1" si="560"/>
        <v>11.122632062873489</v>
      </c>
      <c r="N1154">
        <f t="shared" ca="1" si="561"/>
        <v>1.1735290000551568</v>
      </c>
      <c r="O1154">
        <f t="shared" ca="1" si="562"/>
        <v>4.5807502857230418</v>
      </c>
      <c r="P1154">
        <f t="shared" ca="1" si="563"/>
        <v>634.15596770439879</v>
      </c>
      <c r="Q1154">
        <f t="shared" ca="1" si="564"/>
        <v>635.22545155659816</v>
      </c>
      <c r="R1154">
        <f t="shared" ca="1" si="565"/>
        <v>3.8141460404132466E-3</v>
      </c>
      <c r="S1154">
        <f t="shared" ca="1" si="566"/>
        <v>1.0000000000000004</v>
      </c>
      <c r="T1154">
        <f t="shared" ca="1" si="567"/>
        <v>35.686426155594638</v>
      </c>
      <c r="U1154">
        <f t="shared" ca="1" si="588"/>
        <v>-3.4157470064428708E-3</v>
      </c>
      <c r="V1154">
        <f t="shared" ca="1" si="589"/>
        <v>1</v>
      </c>
      <c r="W1154">
        <f t="shared" ca="1" si="568"/>
        <v>1.6812780208894922</v>
      </c>
      <c r="X1154">
        <f t="shared" ca="1" si="569"/>
        <v>8.7426457086253588</v>
      </c>
      <c r="Y1154">
        <f t="shared" ca="1" si="570"/>
        <v>1.02103223219418</v>
      </c>
      <c r="Z1154">
        <f t="shared" ca="1" si="571"/>
        <v>5.8277553155028947</v>
      </c>
      <c r="AA1154">
        <f t="shared" ca="1" si="572"/>
        <v>633.69827802088957</v>
      </c>
      <c r="AB1154">
        <f t="shared" ca="1" si="573"/>
        <v>635.42930411759562</v>
      </c>
      <c r="AC1154">
        <f t="shared" ca="1" si="574"/>
        <v>7.4324591937347008E-3</v>
      </c>
      <c r="AD1154">
        <f t="shared" ca="1" si="575"/>
        <v>1.4349839305113101</v>
      </c>
      <c r="AE1154">
        <f t="shared" ca="1" si="576"/>
        <v>37.616904788938719</v>
      </c>
      <c r="AF1154">
        <f t="shared" ca="1" si="577"/>
        <v>6.9250267343932137E-3</v>
      </c>
      <c r="AG1154">
        <f t="shared" ca="1" si="578"/>
        <v>0</v>
      </c>
      <c r="AH1154">
        <f ca="1">IFERROR(IF(V32="Supercritical",MAX($D$16,IFERROR(L1154,MAX($D$16,POWER((ABS(K1154)^2)/($I$5*MAX(F1154,0.1)^2),1/3)))),IF(V32="Subcritical",MAX($D$16,IFERROR(W1154,MAX($D$16,POWER((ABS(K1154)^2)/($I$5*MAX(F1154,0.1)^2),1/3)))),IF(AND(IFERROR(V1154,0)=1,IFERROR(AG1154,0)=1),IF(IFERROR(T1154,-1E+99)&gt;=IFERROR(AE1154,-1E+99),MAX($D$16,IFERROR(L1154,MAX($D$16,POWER((ABS(K1154)^2)/($I$5*MAX(F1154,0.1)^2),1/3)))),MAX($D$16,IFERROR(W1154,MAX($D$16,POWER((ABS(K1154)^2)/($I$5*MAX(F1154,0.1)^2),1/3))))),IF(IFERROR(V1154,0)=1,MAX($D$16,IFERROR(L1154,MAX($D$16,POWER((ABS(K1154)^2)/($I$5*MAX(F1154,0.1)^2),1/3)))),IF(IFERROR(AG1154,0)=1,MAX($D$16,IFERROR(W1154,MAX($D$16,POWER((ABS(K1154)^2)/($I$5*MAX(F1154,0.1)^2),1/3)))),MAX($D$16,POWER((ABS(K1154)^2)/($I$5*MAX(F1154,0.1)^2),1/3))))))),MAX($D$16,POWER((ABS(K1154)^2)/($I$5*MAX(F1154,0.1)^2),1/3)))</f>
        <v>2.1389677043987478</v>
      </c>
      <c r="AI1154">
        <f t="shared" ca="1" si="579"/>
        <v>634.15596770439879</v>
      </c>
      <c r="AJ1154">
        <f t="shared" ca="1" si="580"/>
        <v>635.22545155659816</v>
      </c>
      <c r="AM1154">
        <v>0</v>
      </c>
      <c r="AN1154">
        <v>0</v>
      </c>
      <c r="AO1154">
        <f t="shared" si="581"/>
        <v>0</v>
      </c>
      <c r="AP1154">
        <f t="shared" si="590"/>
        <v>0</v>
      </c>
      <c r="AQ1154">
        <f t="shared" ca="1" si="582"/>
        <v>1.0000000000000004</v>
      </c>
      <c r="AR1154" t="str">
        <f t="shared" ca="1" si="583"/>
        <v>Supercritical</v>
      </c>
      <c r="AS1154">
        <f t="shared" ca="1" si="584"/>
        <v>3.8141460404132466E-3</v>
      </c>
    </row>
    <row r="1155" spans="1:45" x14ac:dyDescent="0.35">
      <c r="A1155">
        <v>1094</v>
      </c>
      <c r="B1155">
        <v>1092.9949999999999</v>
      </c>
      <c r="C1155">
        <v>616077.36300000001</v>
      </c>
      <c r="D1155">
        <v>3096914.14</v>
      </c>
      <c r="E1155">
        <v>632.01649999999995</v>
      </c>
      <c r="F1155">
        <v>5.2</v>
      </c>
      <c r="G1155">
        <v>0</v>
      </c>
      <c r="H1155" t="s">
        <v>154</v>
      </c>
      <c r="I1155">
        <v>0</v>
      </c>
      <c r="J1155">
        <f t="shared" si="585"/>
        <v>0.99899999999979627</v>
      </c>
      <c r="K1155">
        <f t="shared" ca="1" si="586"/>
        <v>50.95</v>
      </c>
      <c r="L1155">
        <f t="shared" ca="1" si="587"/>
        <v>2.1389677043987478</v>
      </c>
      <c r="M1155">
        <f t="shared" ca="1" si="560"/>
        <v>11.122632062873489</v>
      </c>
      <c r="N1155">
        <f t="shared" ca="1" si="561"/>
        <v>1.1735290000551568</v>
      </c>
      <c r="O1155">
        <f t="shared" ca="1" si="562"/>
        <v>4.5807502857230418</v>
      </c>
      <c r="P1155">
        <f t="shared" ca="1" si="563"/>
        <v>634.15546770439869</v>
      </c>
      <c r="Q1155">
        <f t="shared" ca="1" si="564"/>
        <v>635.22495155659806</v>
      </c>
      <c r="R1155">
        <f t="shared" ca="1" si="565"/>
        <v>3.8141460404132466E-3</v>
      </c>
      <c r="S1155">
        <f t="shared" ca="1" si="566"/>
        <v>1.0000000000000004</v>
      </c>
      <c r="T1155">
        <f t="shared" ca="1" si="567"/>
        <v>35.686426155594638</v>
      </c>
      <c r="U1155">
        <f t="shared" ca="1" si="588"/>
        <v>-3.3103318942266924E-3</v>
      </c>
      <c r="V1155">
        <f t="shared" ca="1" si="589"/>
        <v>1</v>
      </c>
      <c r="W1155">
        <f t="shared" ca="1" si="568"/>
        <v>1.6812730086437442</v>
      </c>
      <c r="X1155">
        <f t="shared" ca="1" si="569"/>
        <v>8.7426196449474709</v>
      </c>
      <c r="Y1155">
        <f t="shared" ca="1" si="570"/>
        <v>1.021030383637813</v>
      </c>
      <c r="Z1155">
        <f t="shared" ca="1" si="571"/>
        <v>5.827772689327162</v>
      </c>
      <c r="AA1155">
        <f t="shared" ca="1" si="572"/>
        <v>633.69777300864371</v>
      </c>
      <c r="AB1155">
        <f t="shared" ca="1" si="573"/>
        <v>635.42880942650652</v>
      </c>
      <c r="AC1155">
        <f t="shared" ca="1" si="574"/>
        <v>7.4325214512849418E-3</v>
      </c>
      <c r="AD1155">
        <f t="shared" ca="1" si="575"/>
        <v>1.4349903475215999</v>
      </c>
      <c r="AE1155">
        <f t="shared" ca="1" si="576"/>
        <v>37.616951202797466</v>
      </c>
      <c r="AF1155">
        <f t="shared" ca="1" si="577"/>
        <v>6.9325214512900857E-3</v>
      </c>
      <c r="AG1155">
        <f t="shared" ca="1" si="578"/>
        <v>0</v>
      </c>
      <c r="AH1155">
        <f ca="1">IFERROR(IF(V32="Supercritical",MAX($D$16,IFERROR(L1155,MAX($D$16,POWER((ABS(K1155)^2)/($I$5*MAX(F1155,0.1)^2),1/3)))),IF(V32="Subcritical",MAX($D$16,IFERROR(W1155,MAX($D$16,POWER((ABS(K1155)^2)/($I$5*MAX(F1155,0.1)^2),1/3)))),IF(AND(IFERROR(V1155,0)=1,IFERROR(AG1155,0)=1),IF(IFERROR(T1155,-1E+99)&gt;=IFERROR(AE1155,-1E+99),MAX($D$16,IFERROR(L1155,MAX($D$16,POWER((ABS(K1155)^2)/($I$5*MAX(F1155,0.1)^2),1/3)))),MAX($D$16,IFERROR(W1155,MAX($D$16,POWER((ABS(K1155)^2)/($I$5*MAX(F1155,0.1)^2),1/3))))),IF(IFERROR(V1155,0)=1,MAX($D$16,IFERROR(L1155,MAX($D$16,POWER((ABS(K1155)^2)/($I$5*MAX(F1155,0.1)^2),1/3)))),IF(IFERROR(AG1155,0)=1,MAX($D$16,IFERROR(W1155,MAX($D$16,POWER((ABS(K1155)^2)/($I$5*MAX(F1155,0.1)^2),1/3)))),MAX($D$16,POWER((ABS(K1155)^2)/($I$5*MAX(F1155,0.1)^2),1/3))))))),MAX($D$16,POWER((ABS(K1155)^2)/($I$5*MAX(F1155,0.1)^2),1/3)))</f>
        <v>2.1389677043987478</v>
      </c>
      <c r="AI1155">
        <f t="shared" ca="1" si="579"/>
        <v>634.15546770439869</v>
      </c>
      <c r="AJ1155">
        <f t="shared" ca="1" si="580"/>
        <v>635.22495155659806</v>
      </c>
      <c r="AM1155">
        <v>0</v>
      </c>
      <c r="AN1155">
        <v>0</v>
      </c>
      <c r="AO1155">
        <f t="shared" si="581"/>
        <v>0</v>
      </c>
      <c r="AP1155">
        <f t="shared" si="590"/>
        <v>0</v>
      </c>
      <c r="AQ1155">
        <f t="shared" ca="1" si="582"/>
        <v>1.0000000000000004</v>
      </c>
      <c r="AR1155" t="str">
        <f t="shared" ca="1" si="583"/>
        <v>Supercritical</v>
      </c>
      <c r="AS1155">
        <f t="shared" ca="1" si="584"/>
        <v>3.8141460404132466E-3</v>
      </c>
    </row>
    <row r="1156" spans="1:45" x14ac:dyDescent="0.35">
      <c r="A1156">
        <v>1095</v>
      </c>
      <c r="B1156">
        <v>1093.9949999999999</v>
      </c>
      <c r="C1156">
        <v>616077.321</v>
      </c>
      <c r="D1156">
        <v>3096913.1409999998</v>
      </c>
      <c r="E1156">
        <v>632.01599999999996</v>
      </c>
      <c r="F1156">
        <v>5.2</v>
      </c>
      <c r="G1156">
        <v>0</v>
      </c>
      <c r="H1156" t="s">
        <v>154</v>
      </c>
      <c r="I1156">
        <v>0</v>
      </c>
      <c r="J1156">
        <f t="shared" si="585"/>
        <v>1</v>
      </c>
      <c r="K1156">
        <f t="shared" ca="1" si="586"/>
        <v>50.95</v>
      </c>
      <c r="L1156">
        <f t="shared" ca="1" si="587"/>
        <v>2.1389677043987478</v>
      </c>
      <c r="M1156">
        <f t="shared" ca="1" si="560"/>
        <v>11.122632062873489</v>
      </c>
      <c r="N1156">
        <f t="shared" ca="1" si="561"/>
        <v>1.1735290000551568</v>
      </c>
      <c r="O1156">
        <f t="shared" ca="1" si="562"/>
        <v>4.5807502857230418</v>
      </c>
      <c r="P1156">
        <f t="shared" ca="1" si="563"/>
        <v>634.1549677043987</v>
      </c>
      <c r="Q1156">
        <f t="shared" ca="1" si="564"/>
        <v>635.22445155659807</v>
      </c>
      <c r="R1156">
        <f t="shared" ca="1" si="565"/>
        <v>3.8141460404132466E-3</v>
      </c>
      <c r="S1156">
        <f t="shared" ca="1" si="566"/>
        <v>1.0000000000000004</v>
      </c>
      <c r="T1156">
        <f t="shared" ca="1" si="567"/>
        <v>35.686426155594638</v>
      </c>
      <c r="U1156">
        <f t="shared" ca="1" si="588"/>
        <v>-3.3141460404522149E-3</v>
      </c>
      <c r="V1156">
        <f t="shared" ca="1" si="589"/>
        <v>1</v>
      </c>
      <c r="W1156">
        <f t="shared" ca="1" si="568"/>
        <v>1.681268323613277</v>
      </c>
      <c r="X1156">
        <f t="shared" ca="1" si="569"/>
        <v>8.7425952827890416</v>
      </c>
      <c r="Y1156">
        <f t="shared" ca="1" si="570"/>
        <v>1.0210286557571475</v>
      </c>
      <c r="Z1156">
        <f t="shared" ca="1" si="571"/>
        <v>5.8277889290268119</v>
      </c>
      <c r="AA1156">
        <f t="shared" ca="1" si="572"/>
        <v>633.69726832361323</v>
      </c>
      <c r="AB1156">
        <f t="shared" ca="1" si="573"/>
        <v>635.42831438891835</v>
      </c>
      <c r="AC1156">
        <f t="shared" ca="1" si="574"/>
        <v>7.4325796451234416E-3</v>
      </c>
      <c r="AD1156">
        <f t="shared" ca="1" si="575"/>
        <v>1.4349963456523749</v>
      </c>
      <c r="AE1156">
        <f t="shared" ca="1" si="576"/>
        <v>37.616994587217086</v>
      </c>
      <c r="AF1156">
        <f t="shared" ca="1" si="577"/>
        <v>7.0912588677174426E-3</v>
      </c>
      <c r="AG1156">
        <f t="shared" ca="1" si="578"/>
        <v>0</v>
      </c>
      <c r="AH1156">
        <f ca="1">IFERROR(IF(V32="Supercritical",MAX($D$16,IFERROR(L1156,MAX($D$16,POWER((ABS(K1156)^2)/($I$5*MAX(F1156,0.1)^2),1/3)))),IF(V32="Subcritical",MAX($D$16,IFERROR(W1156,MAX($D$16,POWER((ABS(K1156)^2)/($I$5*MAX(F1156,0.1)^2),1/3)))),IF(AND(IFERROR(V1156,0)=1,IFERROR(AG1156,0)=1),IF(IFERROR(T1156,-1E+99)&gt;=IFERROR(AE1156,-1E+99),MAX($D$16,IFERROR(L1156,MAX($D$16,POWER((ABS(K1156)^2)/($I$5*MAX(F1156,0.1)^2),1/3)))),MAX($D$16,IFERROR(W1156,MAX($D$16,POWER((ABS(K1156)^2)/($I$5*MAX(F1156,0.1)^2),1/3))))),IF(IFERROR(V1156,0)=1,MAX($D$16,IFERROR(L1156,MAX($D$16,POWER((ABS(K1156)^2)/($I$5*MAX(F1156,0.1)^2),1/3)))),IF(IFERROR(AG1156,0)=1,MAX($D$16,IFERROR(W1156,MAX($D$16,POWER((ABS(K1156)^2)/($I$5*MAX(F1156,0.1)^2),1/3)))),MAX($D$16,POWER((ABS(K1156)^2)/($I$5*MAX(F1156,0.1)^2),1/3))))))),MAX($D$16,POWER((ABS(K1156)^2)/($I$5*MAX(F1156,0.1)^2),1/3)))</f>
        <v>2.1389677043987478</v>
      </c>
      <c r="AI1156">
        <f t="shared" ca="1" si="579"/>
        <v>634.1549677043987</v>
      </c>
      <c r="AJ1156">
        <f t="shared" ca="1" si="580"/>
        <v>635.22445155659807</v>
      </c>
      <c r="AM1156">
        <v>0</v>
      </c>
      <c r="AN1156">
        <v>0</v>
      </c>
      <c r="AO1156">
        <f t="shared" si="581"/>
        <v>0</v>
      </c>
      <c r="AP1156">
        <f t="shared" si="590"/>
        <v>0</v>
      </c>
      <c r="AQ1156">
        <f t="shared" ca="1" si="582"/>
        <v>1.0000000000000004</v>
      </c>
      <c r="AR1156" t="str">
        <f t="shared" ca="1" si="583"/>
        <v>Supercritical</v>
      </c>
      <c r="AS1156">
        <f t="shared" ca="1" si="584"/>
        <v>3.8141460404132466E-3</v>
      </c>
    </row>
    <row r="1157" spans="1:45" x14ac:dyDescent="0.35">
      <c r="A1157">
        <v>1096</v>
      </c>
      <c r="B1157">
        <v>1094.9949999999999</v>
      </c>
      <c r="C1157">
        <v>616077.27899999998</v>
      </c>
      <c r="D1157">
        <v>3096912.142</v>
      </c>
      <c r="E1157">
        <v>632.01549999999997</v>
      </c>
      <c r="F1157">
        <v>5.2</v>
      </c>
      <c r="G1157">
        <v>0</v>
      </c>
      <c r="H1157" t="s">
        <v>154</v>
      </c>
      <c r="I1157">
        <v>5.5E-2</v>
      </c>
      <c r="J1157">
        <f t="shared" si="585"/>
        <v>1</v>
      </c>
      <c r="K1157">
        <f t="shared" ca="1" si="586"/>
        <v>50.95</v>
      </c>
      <c r="L1157">
        <f t="shared" ca="1" si="587"/>
        <v>2.1389677043987478</v>
      </c>
      <c r="M1157">
        <f t="shared" ca="1" si="560"/>
        <v>11.122632062873489</v>
      </c>
      <c r="N1157">
        <f t="shared" ca="1" si="561"/>
        <v>1.1735290000551568</v>
      </c>
      <c r="O1157">
        <f t="shared" ca="1" si="562"/>
        <v>4.5807502857230418</v>
      </c>
      <c r="P1157">
        <f t="shared" ca="1" si="563"/>
        <v>634.15446770439871</v>
      </c>
      <c r="Q1157">
        <f t="shared" ca="1" si="564"/>
        <v>635.22395155659808</v>
      </c>
      <c r="R1157">
        <f t="shared" ca="1" si="565"/>
        <v>3.8141460404132466E-3</v>
      </c>
      <c r="S1157">
        <f t="shared" ca="1" si="566"/>
        <v>1.0000000000000004</v>
      </c>
      <c r="T1157">
        <f t="shared" ca="1" si="567"/>
        <v>35.686426155594638</v>
      </c>
      <c r="U1157">
        <f t="shared" ca="1" si="588"/>
        <v>-3.4121820602877051E-3</v>
      </c>
      <c r="V1157">
        <f t="shared" ca="1" si="589"/>
        <v>1</v>
      </c>
      <c r="W1157">
        <f t="shared" ca="1" si="568"/>
        <v>1.6812639444451278</v>
      </c>
      <c r="X1157">
        <f t="shared" ca="1" si="569"/>
        <v>8.7425725111146644</v>
      </c>
      <c r="Y1157">
        <f t="shared" ca="1" si="570"/>
        <v>1.0210270406777904</v>
      </c>
      <c r="Z1157">
        <f t="shared" ca="1" si="571"/>
        <v>5.827804108599147</v>
      </c>
      <c r="AA1157">
        <f t="shared" ca="1" si="572"/>
        <v>633.69676394444514</v>
      </c>
      <c r="AB1157">
        <f t="shared" ca="1" si="573"/>
        <v>635.42781902743218</v>
      </c>
      <c r="AC1157">
        <f t="shared" ca="1" si="574"/>
        <v>7.4326340403511153E-3</v>
      </c>
      <c r="AD1157">
        <f t="shared" ca="1" si="575"/>
        <v>1.4350019522328326</v>
      </c>
      <c r="AE1157">
        <f t="shared" ca="1" si="576"/>
        <v>37.617035139812153</v>
      </c>
      <c r="AF1157">
        <f t="shared" ca="1" si="577"/>
        <v>7.0987467236136581E-3</v>
      </c>
      <c r="AG1157">
        <f t="shared" ca="1" si="578"/>
        <v>0</v>
      </c>
      <c r="AH1157">
        <f ca="1">IFERROR(IF(V32="Supercritical",MAX($D$16,IFERROR(L1157,MAX($D$16,POWER((ABS(K1157)^2)/($I$5*MAX(F1157,0.1)^2),1/3)))),IF(V32="Subcritical",MAX($D$16,IFERROR(W1157,MAX($D$16,POWER((ABS(K1157)^2)/($I$5*MAX(F1157,0.1)^2),1/3)))),IF(AND(IFERROR(V1157,0)=1,IFERROR(AG1157,0)=1),IF(IFERROR(T1157,-1E+99)&gt;=IFERROR(AE1157,-1E+99),MAX($D$16,IFERROR(L1157,MAX($D$16,POWER((ABS(K1157)^2)/($I$5*MAX(F1157,0.1)^2),1/3)))),MAX($D$16,IFERROR(W1157,MAX($D$16,POWER((ABS(K1157)^2)/($I$5*MAX(F1157,0.1)^2),1/3))))),IF(IFERROR(V1157,0)=1,MAX($D$16,IFERROR(L1157,MAX($D$16,POWER((ABS(K1157)^2)/($I$5*MAX(F1157,0.1)^2),1/3)))),IF(IFERROR(AG1157,0)=1,MAX($D$16,IFERROR(W1157,MAX($D$16,POWER((ABS(K1157)^2)/($I$5*MAX(F1157,0.1)^2),1/3)))),MAX($D$16,POWER((ABS(K1157)^2)/($I$5*MAX(F1157,0.1)^2),1/3))))))),MAX($D$16,POWER((ABS(K1157)^2)/($I$5*MAX(F1157,0.1)^2),1/3)))</f>
        <v>2.1389677043987478</v>
      </c>
      <c r="AI1157">
        <f t="shared" ca="1" si="579"/>
        <v>634.15446770439871</v>
      </c>
      <c r="AJ1157">
        <f t="shared" ca="1" si="580"/>
        <v>635.22395155659808</v>
      </c>
      <c r="AM1157">
        <v>0</v>
      </c>
      <c r="AN1157">
        <v>0</v>
      </c>
      <c r="AO1157">
        <f t="shared" si="581"/>
        <v>0</v>
      </c>
      <c r="AP1157">
        <f t="shared" si="590"/>
        <v>0</v>
      </c>
      <c r="AQ1157">
        <f t="shared" ca="1" si="582"/>
        <v>1.0000000000000004</v>
      </c>
      <c r="AR1157" t="str">
        <f t="shared" ca="1" si="583"/>
        <v>Supercritical</v>
      </c>
      <c r="AS1157">
        <f t="shared" ca="1" si="584"/>
        <v>3.8141460404132466E-3</v>
      </c>
    </row>
    <row r="1158" spans="1:45" x14ac:dyDescent="0.35">
      <c r="A1158">
        <v>1097</v>
      </c>
      <c r="B1158">
        <v>1095.9960000000001</v>
      </c>
      <c r="C1158">
        <v>616077.23600000003</v>
      </c>
      <c r="D1158">
        <v>3096911.142</v>
      </c>
      <c r="E1158">
        <v>632.01499999999999</v>
      </c>
      <c r="F1158">
        <v>5.2</v>
      </c>
      <c r="G1158">
        <v>0</v>
      </c>
      <c r="H1158" t="s">
        <v>154</v>
      </c>
      <c r="I1158">
        <v>5.5E-2</v>
      </c>
      <c r="J1158">
        <f t="shared" si="585"/>
        <v>1.0010000000002037</v>
      </c>
      <c r="K1158">
        <f t="shared" ca="1" si="586"/>
        <v>50.95</v>
      </c>
      <c r="L1158">
        <f t="shared" ca="1" si="587"/>
        <v>2.1389677043987478</v>
      </c>
      <c r="M1158">
        <f t="shared" ca="1" si="560"/>
        <v>11.122632062873489</v>
      </c>
      <c r="N1158">
        <f t="shared" ca="1" si="561"/>
        <v>1.1735290000551568</v>
      </c>
      <c r="O1158">
        <f t="shared" ca="1" si="562"/>
        <v>4.5807502857230418</v>
      </c>
      <c r="P1158">
        <f t="shared" ca="1" si="563"/>
        <v>634.15396770439872</v>
      </c>
      <c r="Q1158">
        <f t="shared" ca="1" si="564"/>
        <v>635.22345155659809</v>
      </c>
      <c r="R1158">
        <f t="shared" ca="1" si="565"/>
        <v>3.8141460404132466E-3</v>
      </c>
      <c r="S1158">
        <f t="shared" ca="1" si="566"/>
        <v>1.0000000000000004</v>
      </c>
      <c r="T1158">
        <f t="shared" ca="1" si="567"/>
        <v>35.686426155594638</v>
      </c>
      <c r="U1158">
        <f t="shared" ca="1" si="588"/>
        <v>-3.415996206285854E-3</v>
      </c>
      <c r="V1158">
        <f t="shared" ca="1" si="589"/>
        <v>1</v>
      </c>
      <c r="W1158">
        <f t="shared" ca="1" si="568"/>
        <v>1.6812598511787471</v>
      </c>
      <c r="X1158">
        <f t="shared" ca="1" si="569"/>
        <v>8.7425512261294855</v>
      </c>
      <c r="Y1158">
        <f t="shared" ca="1" si="570"/>
        <v>1.0210255310387693</v>
      </c>
      <c r="Z1158">
        <f t="shared" ca="1" si="571"/>
        <v>5.8278182972176484</v>
      </c>
      <c r="AA1158">
        <f t="shared" ca="1" si="572"/>
        <v>633.69625985117875</v>
      </c>
      <c r="AB1158">
        <f t="shared" ca="1" si="573"/>
        <v>635.4273233631759</v>
      </c>
      <c r="AC1158">
        <f t="shared" ca="1" si="574"/>
        <v>7.4326848847923255E-3</v>
      </c>
      <c r="AD1158">
        <f t="shared" ca="1" si="575"/>
        <v>1.4350071928107404</v>
      </c>
      <c r="AE1158">
        <f t="shared" ca="1" si="576"/>
        <v>37.617073045320552</v>
      </c>
      <c r="AF1158">
        <f t="shared" ca="1" si="577"/>
        <v>6.9326848847595102E-3</v>
      </c>
      <c r="AG1158">
        <f t="shared" ca="1" si="578"/>
        <v>0</v>
      </c>
      <c r="AH1158">
        <f ca="1">IFERROR(IF(V32="Supercritical",MAX($D$16,IFERROR(L1158,MAX($D$16,POWER((ABS(K1158)^2)/($I$5*MAX(F1158,0.1)^2),1/3)))),IF(V32="Subcritical",MAX($D$16,IFERROR(W1158,MAX($D$16,POWER((ABS(K1158)^2)/($I$5*MAX(F1158,0.1)^2),1/3)))),IF(AND(IFERROR(V1158,0)=1,IFERROR(AG1158,0)=1),IF(IFERROR(T1158,-1E+99)&gt;=IFERROR(AE1158,-1E+99),MAX($D$16,IFERROR(L1158,MAX($D$16,POWER((ABS(K1158)^2)/($I$5*MAX(F1158,0.1)^2),1/3)))),MAX($D$16,IFERROR(W1158,MAX($D$16,POWER((ABS(K1158)^2)/($I$5*MAX(F1158,0.1)^2),1/3))))),IF(IFERROR(V1158,0)=1,MAX($D$16,IFERROR(L1158,MAX($D$16,POWER((ABS(K1158)^2)/($I$5*MAX(F1158,0.1)^2),1/3)))),IF(IFERROR(AG1158,0)=1,MAX($D$16,IFERROR(W1158,MAX($D$16,POWER((ABS(K1158)^2)/($I$5*MAX(F1158,0.1)^2),1/3)))),MAX($D$16,POWER((ABS(K1158)^2)/($I$5*MAX(F1158,0.1)^2),1/3))))))),MAX($D$16,POWER((ABS(K1158)^2)/($I$5*MAX(F1158,0.1)^2),1/3)))</f>
        <v>2.1389677043987478</v>
      </c>
      <c r="AI1158">
        <f t="shared" ca="1" si="579"/>
        <v>634.15396770439872</v>
      </c>
      <c r="AJ1158">
        <f t="shared" ca="1" si="580"/>
        <v>635.22345155659809</v>
      </c>
      <c r="AM1158">
        <v>0</v>
      </c>
      <c r="AN1158">
        <v>0</v>
      </c>
      <c r="AO1158">
        <f t="shared" si="581"/>
        <v>0</v>
      </c>
      <c r="AP1158">
        <f t="shared" si="590"/>
        <v>0</v>
      </c>
      <c r="AQ1158">
        <f t="shared" ca="1" si="582"/>
        <v>1.0000000000000004</v>
      </c>
      <c r="AR1158" t="str">
        <f t="shared" ca="1" si="583"/>
        <v>Supercritical</v>
      </c>
      <c r="AS1158">
        <f t="shared" ca="1" si="584"/>
        <v>3.8141460404132466E-3</v>
      </c>
    </row>
    <row r="1159" spans="1:45" x14ac:dyDescent="0.35">
      <c r="A1159">
        <v>1098</v>
      </c>
      <c r="B1159">
        <v>1096.9960000000001</v>
      </c>
      <c r="C1159">
        <v>616077.19400000002</v>
      </c>
      <c r="D1159">
        <v>3096910.1430000002</v>
      </c>
      <c r="E1159">
        <v>632.0145</v>
      </c>
      <c r="F1159">
        <v>5.2</v>
      </c>
      <c r="G1159">
        <v>0</v>
      </c>
      <c r="H1159" t="s">
        <v>154</v>
      </c>
      <c r="I1159">
        <v>0</v>
      </c>
      <c r="J1159">
        <f t="shared" si="585"/>
        <v>1</v>
      </c>
      <c r="K1159">
        <f t="shared" ca="1" si="586"/>
        <v>50.95</v>
      </c>
      <c r="L1159">
        <f t="shared" ca="1" si="587"/>
        <v>2.1389677043987478</v>
      </c>
      <c r="M1159">
        <f t="shared" ca="1" si="560"/>
        <v>11.122632062873489</v>
      </c>
      <c r="N1159">
        <f t="shared" ca="1" si="561"/>
        <v>1.1735290000551568</v>
      </c>
      <c r="O1159">
        <f t="shared" ca="1" si="562"/>
        <v>4.5807502857230418</v>
      </c>
      <c r="P1159">
        <f t="shared" ca="1" si="563"/>
        <v>634.15346770439874</v>
      </c>
      <c r="Q1159">
        <f t="shared" ca="1" si="564"/>
        <v>635.2229515565981</v>
      </c>
      <c r="R1159">
        <f t="shared" ca="1" si="565"/>
        <v>3.8141460404132466E-3</v>
      </c>
      <c r="S1159">
        <f t="shared" ca="1" si="566"/>
        <v>1.0000000000000004</v>
      </c>
      <c r="T1159">
        <f t="shared" ca="1" si="567"/>
        <v>35.686426155594638</v>
      </c>
      <c r="U1159">
        <f t="shared" ca="1" si="588"/>
        <v>-3.3141460404522149E-3</v>
      </c>
      <c r="V1159">
        <f t="shared" ca="1" si="589"/>
        <v>1</v>
      </c>
      <c r="W1159">
        <f t="shared" ca="1" si="568"/>
        <v>1.6812560251551063</v>
      </c>
      <c r="X1159">
        <f t="shared" ca="1" si="569"/>
        <v>8.7425313308065533</v>
      </c>
      <c r="Y1159">
        <f t="shared" ca="1" si="570"/>
        <v>1.0210241199590275</v>
      </c>
      <c r="Z1159">
        <f t="shared" ca="1" si="571"/>
        <v>5.8278315595466728</v>
      </c>
      <c r="AA1159">
        <f t="shared" ca="1" si="572"/>
        <v>633.69575602515511</v>
      </c>
      <c r="AB1159">
        <f t="shared" ca="1" si="573"/>
        <v>635.4268274159017</v>
      </c>
      <c r="AC1159">
        <f t="shared" ca="1" si="574"/>
        <v>7.4327324101213137E-3</v>
      </c>
      <c r="AD1159">
        <f t="shared" ca="1" si="575"/>
        <v>1.4350120912686366</v>
      </c>
      <c r="AE1159">
        <f t="shared" ca="1" si="576"/>
        <v>37.617108476442873</v>
      </c>
      <c r="AF1159">
        <f t="shared" ca="1" si="577"/>
        <v>6.9327324101777776E-3</v>
      </c>
      <c r="AG1159">
        <f t="shared" ca="1" si="578"/>
        <v>0</v>
      </c>
      <c r="AH1159">
        <f ca="1">IFERROR(IF(V32="Supercritical",MAX($D$16,IFERROR(L1159,MAX($D$16,POWER((ABS(K1159)^2)/($I$5*MAX(F1159,0.1)^2),1/3)))),IF(V32="Subcritical",MAX($D$16,IFERROR(W1159,MAX($D$16,POWER((ABS(K1159)^2)/($I$5*MAX(F1159,0.1)^2),1/3)))),IF(AND(IFERROR(V1159,0)=1,IFERROR(AG1159,0)=1),IF(IFERROR(T1159,-1E+99)&gt;=IFERROR(AE1159,-1E+99),MAX($D$16,IFERROR(L1159,MAX($D$16,POWER((ABS(K1159)^2)/($I$5*MAX(F1159,0.1)^2),1/3)))),MAX($D$16,IFERROR(W1159,MAX($D$16,POWER((ABS(K1159)^2)/($I$5*MAX(F1159,0.1)^2),1/3))))),IF(IFERROR(V1159,0)=1,MAX($D$16,IFERROR(L1159,MAX($D$16,POWER((ABS(K1159)^2)/($I$5*MAX(F1159,0.1)^2),1/3)))),IF(IFERROR(AG1159,0)=1,MAX($D$16,IFERROR(W1159,MAX($D$16,POWER((ABS(K1159)^2)/($I$5*MAX(F1159,0.1)^2),1/3)))),MAX($D$16,POWER((ABS(K1159)^2)/($I$5*MAX(F1159,0.1)^2),1/3))))))),MAX($D$16,POWER((ABS(K1159)^2)/($I$5*MAX(F1159,0.1)^2),1/3)))</f>
        <v>2.1389677043987478</v>
      </c>
      <c r="AI1159">
        <f t="shared" ca="1" si="579"/>
        <v>634.15346770439874</v>
      </c>
      <c r="AJ1159">
        <f t="shared" ca="1" si="580"/>
        <v>635.2229515565981</v>
      </c>
      <c r="AM1159">
        <v>0</v>
      </c>
      <c r="AN1159">
        <v>0</v>
      </c>
      <c r="AO1159">
        <f t="shared" si="581"/>
        <v>0</v>
      </c>
      <c r="AP1159">
        <f t="shared" si="590"/>
        <v>0</v>
      </c>
      <c r="AQ1159">
        <f t="shared" ca="1" si="582"/>
        <v>1.0000000000000004</v>
      </c>
      <c r="AR1159" t="str">
        <f t="shared" ca="1" si="583"/>
        <v>Supercritical</v>
      </c>
      <c r="AS1159">
        <f t="shared" ca="1" si="584"/>
        <v>3.8141460404132466E-3</v>
      </c>
    </row>
    <row r="1160" spans="1:45" x14ac:dyDescent="0.35">
      <c r="A1160">
        <v>1099</v>
      </c>
      <c r="B1160">
        <v>1097.9960000000001</v>
      </c>
      <c r="C1160">
        <v>616077.152</v>
      </c>
      <c r="D1160">
        <v>3096909.1439999999</v>
      </c>
      <c r="E1160">
        <v>632.01400000000001</v>
      </c>
      <c r="F1160">
        <v>5.2</v>
      </c>
      <c r="G1160">
        <v>0</v>
      </c>
      <c r="H1160" t="s">
        <v>154</v>
      </c>
      <c r="I1160">
        <v>0</v>
      </c>
      <c r="J1160">
        <f t="shared" si="585"/>
        <v>1</v>
      </c>
      <c r="K1160">
        <f t="shared" ca="1" si="586"/>
        <v>50.95</v>
      </c>
      <c r="L1160">
        <f t="shared" ca="1" si="587"/>
        <v>2.1389677043987478</v>
      </c>
      <c r="M1160">
        <f t="shared" ca="1" si="560"/>
        <v>11.122632062873489</v>
      </c>
      <c r="N1160">
        <f t="shared" ca="1" si="561"/>
        <v>1.1735290000551568</v>
      </c>
      <c r="O1160">
        <f t="shared" ca="1" si="562"/>
        <v>4.5807502857230418</v>
      </c>
      <c r="P1160">
        <f t="shared" ca="1" si="563"/>
        <v>634.15296770439875</v>
      </c>
      <c r="Q1160">
        <f t="shared" ca="1" si="564"/>
        <v>635.22245155659812</v>
      </c>
      <c r="R1160">
        <f t="shared" ca="1" si="565"/>
        <v>3.8141460404132466E-3</v>
      </c>
      <c r="S1160">
        <f t="shared" ca="1" si="566"/>
        <v>1.0000000000000004</v>
      </c>
      <c r="T1160">
        <f t="shared" ca="1" si="567"/>
        <v>35.686426155594638</v>
      </c>
      <c r="U1160">
        <f t="shared" ca="1" si="588"/>
        <v>-3.3141460404522149E-3</v>
      </c>
      <c r="V1160">
        <f t="shared" ca="1" si="589"/>
        <v>1</v>
      </c>
      <c r="W1160">
        <f t="shared" ca="1" si="568"/>
        <v>1.6812524489322342</v>
      </c>
      <c r="X1160">
        <f t="shared" ca="1" si="569"/>
        <v>8.7425127344476188</v>
      </c>
      <c r="Y1160">
        <f t="shared" ca="1" si="570"/>
        <v>1.0210228010062856</v>
      </c>
      <c r="Z1160">
        <f t="shared" ca="1" si="571"/>
        <v>5.827843956033905</v>
      </c>
      <c r="AA1160">
        <f t="shared" ca="1" si="572"/>
        <v>633.69525244893225</v>
      </c>
      <c r="AB1160">
        <f t="shared" ca="1" si="573"/>
        <v>635.42633120407402</v>
      </c>
      <c r="AC1160">
        <f t="shared" ca="1" si="574"/>
        <v>7.4327768329091092E-3</v>
      </c>
      <c r="AD1160">
        <f t="shared" ca="1" si="575"/>
        <v>1.4350166699318183</v>
      </c>
      <c r="AE1160">
        <f t="shared" ca="1" si="576"/>
        <v>37.617141594622417</v>
      </c>
      <c r="AF1160">
        <f t="shared" ca="1" si="577"/>
        <v>7.0972293146951415E-3</v>
      </c>
      <c r="AG1160">
        <f t="shared" ca="1" si="578"/>
        <v>0</v>
      </c>
      <c r="AH1160">
        <f ca="1">IFERROR(IF(V32="Supercritical",MAX($D$16,IFERROR(L1160,MAX($D$16,POWER((ABS(K1160)^2)/($I$5*MAX(F1160,0.1)^2),1/3)))),IF(V32="Subcritical",MAX($D$16,IFERROR(W1160,MAX($D$16,POWER((ABS(K1160)^2)/($I$5*MAX(F1160,0.1)^2),1/3)))),IF(AND(IFERROR(V1160,0)=1,IFERROR(AG1160,0)=1),IF(IFERROR(T1160,-1E+99)&gt;=IFERROR(AE1160,-1E+99),MAX($D$16,IFERROR(L1160,MAX($D$16,POWER((ABS(K1160)^2)/($I$5*MAX(F1160,0.1)^2),1/3)))),MAX($D$16,IFERROR(W1160,MAX($D$16,POWER((ABS(K1160)^2)/($I$5*MAX(F1160,0.1)^2),1/3))))),IF(IFERROR(V1160,0)=1,MAX($D$16,IFERROR(L1160,MAX($D$16,POWER((ABS(K1160)^2)/($I$5*MAX(F1160,0.1)^2),1/3)))),IF(IFERROR(AG1160,0)=1,MAX($D$16,IFERROR(W1160,MAX($D$16,POWER((ABS(K1160)^2)/($I$5*MAX(F1160,0.1)^2),1/3)))),MAX($D$16,POWER((ABS(K1160)^2)/($I$5*MAX(F1160,0.1)^2),1/3))))))),MAX($D$16,POWER((ABS(K1160)^2)/($I$5*MAX(F1160,0.1)^2),1/3)))</f>
        <v>2.1389677043987478</v>
      </c>
      <c r="AI1160">
        <f t="shared" ca="1" si="579"/>
        <v>634.15296770439875</v>
      </c>
      <c r="AJ1160">
        <f t="shared" ca="1" si="580"/>
        <v>635.22245155659812</v>
      </c>
      <c r="AM1160">
        <v>0</v>
      </c>
      <c r="AN1160">
        <v>0</v>
      </c>
      <c r="AO1160">
        <f t="shared" si="581"/>
        <v>0</v>
      </c>
      <c r="AP1160">
        <f t="shared" si="590"/>
        <v>0</v>
      </c>
      <c r="AQ1160">
        <f t="shared" ca="1" si="582"/>
        <v>1.0000000000000004</v>
      </c>
      <c r="AR1160" t="str">
        <f t="shared" ca="1" si="583"/>
        <v>Supercritical</v>
      </c>
      <c r="AS1160">
        <f t="shared" ca="1" si="584"/>
        <v>3.8141460404132466E-3</v>
      </c>
    </row>
    <row r="1161" spans="1:45" x14ac:dyDescent="0.35">
      <c r="A1161">
        <v>1100</v>
      </c>
      <c r="B1161">
        <v>1098.9960000000001</v>
      </c>
      <c r="C1161">
        <v>616077.11</v>
      </c>
      <c r="D1161">
        <v>3096908.145</v>
      </c>
      <c r="E1161">
        <v>632.01350000000002</v>
      </c>
      <c r="F1161">
        <v>5.2</v>
      </c>
      <c r="G1161">
        <v>0</v>
      </c>
      <c r="H1161" t="s">
        <v>154</v>
      </c>
      <c r="I1161">
        <v>5.7000000000000002E-2</v>
      </c>
      <c r="J1161">
        <f t="shared" si="585"/>
        <v>1</v>
      </c>
      <c r="K1161">
        <f t="shared" ca="1" si="586"/>
        <v>50.95</v>
      </c>
      <c r="L1161">
        <f t="shared" ca="1" si="587"/>
        <v>2.1389677043987478</v>
      </c>
      <c r="M1161">
        <f t="shared" ca="1" si="560"/>
        <v>11.122632062873489</v>
      </c>
      <c r="N1161">
        <f t="shared" ca="1" si="561"/>
        <v>1.1735290000551568</v>
      </c>
      <c r="O1161">
        <f t="shared" ca="1" si="562"/>
        <v>4.5807502857230418</v>
      </c>
      <c r="P1161">
        <f t="shared" ca="1" si="563"/>
        <v>634.15246770439876</v>
      </c>
      <c r="Q1161">
        <f t="shared" ca="1" si="564"/>
        <v>635.22195155659813</v>
      </c>
      <c r="R1161">
        <f t="shared" ca="1" si="565"/>
        <v>3.8141460404132466E-3</v>
      </c>
      <c r="S1161">
        <f t="shared" ca="1" si="566"/>
        <v>1.0000000000000004</v>
      </c>
      <c r="T1161">
        <f t="shared" ca="1" si="567"/>
        <v>35.686426155594638</v>
      </c>
      <c r="U1161">
        <f t="shared" ca="1" si="588"/>
        <v>-3.4157470064428708E-3</v>
      </c>
      <c r="V1161">
        <f t="shared" ca="1" si="589"/>
        <v>1</v>
      </c>
      <c r="W1161">
        <f t="shared" ca="1" si="568"/>
        <v>1.6812491062056991</v>
      </c>
      <c r="X1161">
        <f t="shared" ca="1" si="569"/>
        <v>8.7424953522696356</v>
      </c>
      <c r="Y1161">
        <f t="shared" ca="1" si="570"/>
        <v>1.0210215681677259</v>
      </c>
      <c r="Z1161">
        <f t="shared" ca="1" si="571"/>
        <v>5.8278555431857217</v>
      </c>
      <c r="AA1161">
        <f t="shared" ca="1" si="572"/>
        <v>633.69474910620568</v>
      </c>
      <c r="AB1161">
        <f t="shared" ca="1" si="573"/>
        <v>635.42583474495393</v>
      </c>
      <c r="AC1161">
        <f t="shared" ca="1" si="574"/>
        <v>7.4328183556093179E-3</v>
      </c>
      <c r="AD1161">
        <f t="shared" ca="1" si="575"/>
        <v>1.435020949670021</v>
      </c>
      <c r="AE1161">
        <f t="shared" ca="1" si="576"/>
        <v>37.61717255077987</v>
      </c>
      <c r="AF1161">
        <f t="shared" ca="1" si="577"/>
        <v>7.097271491261381E-3</v>
      </c>
      <c r="AG1161">
        <f t="shared" ca="1" si="578"/>
        <v>0</v>
      </c>
      <c r="AH1161">
        <f ca="1">IFERROR(IF(V32="Supercritical",MAX($D$16,IFERROR(L1161,MAX($D$16,POWER((ABS(K1161)^2)/($I$5*MAX(F1161,0.1)^2),1/3)))),IF(V32="Subcritical",MAX($D$16,IFERROR(W1161,MAX($D$16,POWER((ABS(K1161)^2)/($I$5*MAX(F1161,0.1)^2),1/3)))),IF(AND(IFERROR(V1161,0)=1,IFERROR(AG1161,0)=1),IF(IFERROR(T1161,-1E+99)&gt;=IFERROR(AE1161,-1E+99),MAX($D$16,IFERROR(L1161,MAX($D$16,POWER((ABS(K1161)^2)/($I$5*MAX(F1161,0.1)^2),1/3)))),MAX($D$16,IFERROR(W1161,MAX($D$16,POWER((ABS(K1161)^2)/($I$5*MAX(F1161,0.1)^2),1/3))))),IF(IFERROR(V1161,0)=1,MAX($D$16,IFERROR(L1161,MAX($D$16,POWER((ABS(K1161)^2)/($I$5*MAX(F1161,0.1)^2),1/3)))),IF(IFERROR(AG1161,0)=1,MAX($D$16,IFERROR(W1161,MAX($D$16,POWER((ABS(K1161)^2)/($I$5*MAX(F1161,0.1)^2),1/3)))),MAX($D$16,POWER((ABS(K1161)^2)/($I$5*MAX(F1161,0.1)^2),1/3))))))),MAX($D$16,POWER((ABS(K1161)^2)/($I$5*MAX(F1161,0.1)^2),1/3)))</f>
        <v>2.1389677043987478</v>
      </c>
      <c r="AI1161">
        <f t="shared" ca="1" si="579"/>
        <v>634.15246770439876</v>
      </c>
      <c r="AJ1161">
        <f t="shared" ca="1" si="580"/>
        <v>635.22195155659813</v>
      </c>
      <c r="AM1161">
        <v>0</v>
      </c>
      <c r="AN1161">
        <v>0</v>
      </c>
      <c r="AO1161">
        <f t="shared" si="581"/>
        <v>0</v>
      </c>
      <c r="AP1161">
        <f t="shared" si="590"/>
        <v>0</v>
      </c>
      <c r="AQ1161">
        <f t="shared" ca="1" si="582"/>
        <v>1.0000000000000004</v>
      </c>
      <c r="AR1161" t="str">
        <f t="shared" ca="1" si="583"/>
        <v>Supercritical</v>
      </c>
      <c r="AS1161">
        <f t="shared" ca="1" si="584"/>
        <v>3.8141460404132466E-3</v>
      </c>
    </row>
    <row r="1162" spans="1:45" x14ac:dyDescent="0.35">
      <c r="A1162">
        <v>1101</v>
      </c>
      <c r="B1162">
        <v>1099.9960000000001</v>
      </c>
      <c r="C1162">
        <v>616077.06700000004</v>
      </c>
      <c r="D1162">
        <v>3096907.1460000002</v>
      </c>
      <c r="E1162">
        <v>632.01300000000003</v>
      </c>
      <c r="F1162">
        <v>5.2</v>
      </c>
      <c r="G1162">
        <v>0</v>
      </c>
      <c r="H1162" t="s">
        <v>154</v>
      </c>
      <c r="I1162">
        <v>5.7000000000000002E-2</v>
      </c>
      <c r="J1162">
        <f t="shared" si="585"/>
        <v>1</v>
      </c>
      <c r="K1162">
        <f t="shared" ca="1" si="586"/>
        <v>50.95</v>
      </c>
      <c r="L1162">
        <f t="shared" ca="1" si="587"/>
        <v>2.1389677043987478</v>
      </c>
      <c r="M1162">
        <f t="shared" ca="1" si="560"/>
        <v>11.122632062873489</v>
      </c>
      <c r="N1162">
        <f t="shared" ca="1" si="561"/>
        <v>1.1735290000551568</v>
      </c>
      <c r="O1162">
        <f t="shared" ca="1" si="562"/>
        <v>4.5807502857230418</v>
      </c>
      <c r="P1162">
        <f t="shared" ca="1" si="563"/>
        <v>634.15196770439877</v>
      </c>
      <c r="Q1162">
        <f t="shared" ca="1" si="564"/>
        <v>635.22145155659814</v>
      </c>
      <c r="R1162">
        <f t="shared" ca="1" si="565"/>
        <v>3.8141460404132466E-3</v>
      </c>
      <c r="S1162">
        <f t="shared" ca="1" si="566"/>
        <v>1.0000000000000004</v>
      </c>
      <c r="T1162">
        <f t="shared" ca="1" si="567"/>
        <v>35.686426155594638</v>
      </c>
      <c r="U1162">
        <f t="shared" ca="1" si="588"/>
        <v>-3.4157470064428708E-3</v>
      </c>
      <c r="V1162">
        <f t="shared" ca="1" si="589"/>
        <v>1</v>
      </c>
      <c r="W1162">
        <f t="shared" ca="1" si="568"/>
        <v>1.6812459817346663</v>
      </c>
      <c r="X1162">
        <f t="shared" ca="1" si="569"/>
        <v>8.7424791050202657</v>
      </c>
      <c r="Y1162">
        <f t="shared" ca="1" si="570"/>
        <v>1.0210204158227327</v>
      </c>
      <c r="Z1162">
        <f t="shared" ca="1" si="571"/>
        <v>5.8278663738232517</v>
      </c>
      <c r="AA1162">
        <f t="shared" ca="1" si="572"/>
        <v>633.69424598173475</v>
      </c>
      <c r="AB1162">
        <f t="shared" ca="1" si="573"/>
        <v>635.4253380546777</v>
      </c>
      <c r="AC1162">
        <f t="shared" ca="1" si="574"/>
        <v>7.4328571674748744E-3</v>
      </c>
      <c r="AD1162">
        <f t="shared" ca="1" si="575"/>
        <v>1.4350249499919732</v>
      </c>
      <c r="AE1162">
        <f t="shared" ca="1" si="576"/>
        <v>37.617201485996411</v>
      </c>
      <c r="AF1162">
        <f t="shared" ca="1" si="577"/>
        <v>6.9328571674986961E-3</v>
      </c>
      <c r="AG1162">
        <f t="shared" ca="1" si="578"/>
        <v>0</v>
      </c>
      <c r="AH1162">
        <f ca="1">IFERROR(IF(V32="Supercritical",MAX($D$16,IFERROR(L1162,MAX($D$16,POWER((ABS(K1162)^2)/($I$5*MAX(F1162,0.1)^2),1/3)))),IF(V32="Subcritical",MAX($D$16,IFERROR(W1162,MAX($D$16,POWER((ABS(K1162)^2)/($I$5*MAX(F1162,0.1)^2),1/3)))),IF(AND(IFERROR(V1162,0)=1,IFERROR(AG1162,0)=1),IF(IFERROR(T1162,-1E+99)&gt;=IFERROR(AE1162,-1E+99),MAX($D$16,IFERROR(L1162,MAX($D$16,POWER((ABS(K1162)^2)/($I$5*MAX(F1162,0.1)^2),1/3)))),MAX($D$16,IFERROR(W1162,MAX($D$16,POWER((ABS(K1162)^2)/($I$5*MAX(F1162,0.1)^2),1/3))))),IF(IFERROR(V1162,0)=1,MAX($D$16,IFERROR(L1162,MAX($D$16,POWER((ABS(K1162)^2)/($I$5*MAX(F1162,0.1)^2),1/3)))),IF(IFERROR(AG1162,0)=1,MAX($D$16,IFERROR(W1162,MAX($D$16,POWER((ABS(K1162)^2)/($I$5*MAX(F1162,0.1)^2),1/3)))),MAX($D$16,POWER((ABS(K1162)^2)/($I$5*MAX(F1162,0.1)^2),1/3))))))),MAX($D$16,POWER((ABS(K1162)^2)/($I$5*MAX(F1162,0.1)^2),1/3)))</f>
        <v>2.1389677043987478</v>
      </c>
      <c r="AI1162">
        <f t="shared" ca="1" si="579"/>
        <v>634.15196770439877</v>
      </c>
      <c r="AJ1162">
        <f t="shared" ca="1" si="580"/>
        <v>635.22145155659814</v>
      </c>
      <c r="AM1162">
        <v>0</v>
      </c>
      <c r="AN1162">
        <v>0</v>
      </c>
      <c r="AO1162">
        <f t="shared" si="581"/>
        <v>0</v>
      </c>
      <c r="AP1162">
        <f t="shared" si="590"/>
        <v>0</v>
      </c>
      <c r="AQ1162">
        <f t="shared" ca="1" si="582"/>
        <v>1.0000000000000004</v>
      </c>
      <c r="AR1162" t="str">
        <f t="shared" ca="1" si="583"/>
        <v>Supercritical</v>
      </c>
      <c r="AS1162">
        <f t="shared" ca="1" si="584"/>
        <v>3.8141460404132466E-3</v>
      </c>
    </row>
    <row r="1163" spans="1:45" x14ac:dyDescent="0.35">
      <c r="A1163">
        <v>1102</v>
      </c>
      <c r="B1163">
        <v>1100.9960000000001</v>
      </c>
      <c r="C1163">
        <v>616077.02500000002</v>
      </c>
      <c r="D1163">
        <v>3096906.1469999999</v>
      </c>
      <c r="E1163">
        <v>632.01250000000005</v>
      </c>
      <c r="F1163">
        <v>5.2</v>
      </c>
      <c r="G1163">
        <v>0</v>
      </c>
      <c r="H1163" t="s">
        <v>154</v>
      </c>
      <c r="I1163">
        <v>0</v>
      </c>
      <c r="J1163">
        <f t="shared" si="585"/>
        <v>1</v>
      </c>
      <c r="K1163">
        <f t="shared" ca="1" si="586"/>
        <v>50.95</v>
      </c>
      <c r="L1163">
        <f t="shared" ca="1" si="587"/>
        <v>2.1389677043987478</v>
      </c>
      <c r="M1163">
        <f t="shared" ca="1" si="560"/>
        <v>11.122632062873489</v>
      </c>
      <c r="N1163">
        <f t="shared" ca="1" si="561"/>
        <v>1.1735290000551568</v>
      </c>
      <c r="O1163">
        <f t="shared" ca="1" si="562"/>
        <v>4.5807502857230418</v>
      </c>
      <c r="P1163">
        <f t="shared" ca="1" si="563"/>
        <v>634.15146770439878</v>
      </c>
      <c r="Q1163">
        <f t="shared" ca="1" si="564"/>
        <v>635.22095155659815</v>
      </c>
      <c r="R1163">
        <f t="shared" ca="1" si="565"/>
        <v>3.8141460404132466E-3</v>
      </c>
      <c r="S1163">
        <f t="shared" ca="1" si="566"/>
        <v>1.0000000000000004</v>
      </c>
      <c r="T1163">
        <f t="shared" ca="1" si="567"/>
        <v>35.686426155594638</v>
      </c>
      <c r="U1163">
        <f t="shared" ca="1" si="588"/>
        <v>-3.3141460404522149E-3</v>
      </c>
      <c r="V1163">
        <f t="shared" ca="1" si="589"/>
        <v>1</v>
      </c>
      <c r="W1163">
        <f t="shared" ca="1" si="568"/>
        <v>1.6812430612725435</v>
      </c>
      <c r="X1163">
        <f t="shared" ca="1" si="569"/>
        <v>8.7424639186172275</v>
      </c>
      <c r="Y1163">
        <f t="shared" ca="1" si="570"/>
        <v>1.0210193387173216</v>
      </c>
      <c r="Z1163">
        <f t="shared" ca="1" si="571"/>
        <v>5.8278764973225794</v>
      </c>
      <c r="AA1163">
        <f t="shared" ca="1" si="572"/>
        <v>633.69374306127258</v>
      </c>
      <c r="AB1163">
        <f t="shared" ca="1" si="573"/>
        <v>635.42484114832894</v>
      </c>
      <c r="AC1163">
        <f t="shared" ca="1" si="574"/>
        <v>7.4328934454180699E-3</v>
      </c>
      <c r="AD1163">
        <f t="shared" ca="1" si="575"/>
        <v>1.4350286891340949</v>
      </c>
      <c r="AE1163">
        <f t="shared" ca="1" si="576"/>
        <v>37.61722853215467</v>
      </c>
      <c r="AF1163">
        <f t="shared" ca="1" si="577"/>
        <v>6.9254605518835888E-3</v>
      </c>
      <c r="AG1163">
        <f t="shared" ca="1" si="578"/>
        <v>0</v>
      </c>
      <c r="AH1163">
        <f ca="1">IFERROR(IF(V32="Supercritical",MAX($D$16,IFERROR(L1163,MAX($D$16,POWER((ABS(K1163)^2)/($I$5*MAX(F1163,0.1)^2),1/3)))),IF(V32="Subcritical",MAX($D$16,IFERROR(W1163,MAX($D$16,POWER((ABS(K1163)^2)/($I$5*MAX(F1163,0.1)^2),1/3)))),IF(AND(IFERROR(V1163,0)=1,IFERROR(AG1163,0)=1),IF(IFERROR(T1163,-1E+99)&gt;=IFERROR(AE1163,-1E+99),MAX($D$16,IFERROR(L1163,MAX($D$16,POWER((ABS(K1163)^2)/($I$5*MAX(F1163,0.1)^2),1/3)))),MAX($D$16,IFERROR(W1163,MAX($D$16,POWER((ABS(K1163)^2)/($I$5*MAX(F1163,0.1)^2),1/3))))),IF(IFERROR(V1163,0)=1,MAX($D$16,IFERROR(L1163,MAX($D$16,POWER((ABS(K1163)^2)/($I$5*MAX(F1163,0.1)^2),1/3)))),IF(IFERROR(AG1163,0)=1,MAX($D$16,IFERROR(W1163,MAX($D$16,POWER((ABS(K1163)^2)/($I$5*MAX(F1163,0.1)^2),1/3)))),MAX($D$16,POWER((ABS(K1163)^2)/($I$5*MAX(F1163,0.1)^2),1/3))))))),MAX($D$16,POWER((ABS(K1163)^2)/($I$5*MAX(F1163,0.1)^2),1/3)))</f>
        <v>2.1389677043987478</v>
      </c>
      <c r="AI1163">
        <f t="shared" ca="1" si="579"/>
        <v>634.15146770439878</v>
      </c>
      <c r="AJ1163">
        <f t="shared" ca="1" si="580"/>
        <v>635.22095155659815</v>
      </c>
      <c r="AM1163">
        <v>0</v>
      </c>
      <c r="AN1163">
        <v>0</v>
      </c>
      <c r="AO1163">
        <f t="shared" si="581"/>
        <v>0</v>
      </c>
      <c r="AP1163">
        <f t="shared" si="590"/>
        <v>0</v>
      </c>
      <c r="AQ1163">
        <f t="shared" ca="1" si="582"/>
        <v>1.0000000000000004</v>
      </c>
      <c r="AR1163" t="str">
        <f t="shared" ca="1" si="583"/>
        <v>Supercritical</v>
      </c>
      <c r="AS1163">
        <f t="shared" ca="1" si="584"/>
        <v>3.8141460404132466E-3</v>
      </c>
    </row>
    <row r="1164" spans="1:45" x14ac:dyDescent="0.35">
      <c r="A1164">
        <v>1103</v>
      </c>
      <c r="B1164">
        <v>1101.9949999999999</v>
      </c>
      <c r="C1164">
        <v>616076.98300000001</v>
      </c>
      <c r="D1164">
        <v>3096905.148</v>
      </c>
      <c r="E1164">
        <v>632.01199999999994</v>
      </c>
      <c r="F1164">
        <v>5.2</v>
      </c>
      <c r="G1164">
        <v>0</v>
      </c>
      <c r="H1164" t="s">
        <v>154</v>
      </c>
      <c r="I1164">
        <v>0</v>
      </c>
      <c r="J1164">
        <f t="shared" si="585"/>
        <v>0.99899999999979627</v>
      </c>
      <c r="K1164">
        <f t="shared" ca="1" si="586"/>
        <v>50.95</v>
      </c>
      <c r="L1164">
        <f t="shared" ca="1" si="587"/>
        <v>2.1389677043987478</v>
      </c>
      <c r="M1164">
        <f t="shared" ca="1" si="560"/>
        <v>11.122632062873489</v>
      </c>
      <c r="N1164">
        <f t="shared" ca="1" si="561"/>
        <v>1.1735290000551568</v>
      </c>
      <c r="O1164">
        <f t="shared" ca="1" si="562"/>
        <v>4.5807502857230418</v>
      </c>
      <c r="P1164">
        <f t="shared" ca="1" si="563"/>
        <v>634.15096770439868</v>
      </c>
      <c r="Q1164">
        <f t="shared" ca="1" si="564"/>
        <v>635.22045155659805</v>
      </c>
      <c r="R1164">
        <f t="shared" ca="1" si="565"/>
        <v>3.8141460404132466E-3</v>
      </c>
      <c r="S1164">
        <f t="shared" ca="1" si="566"/>
        <v>1.0000000000000004</v>
      </c>
      <c r="T1164">
        <f t="shared" ca="1" si="567"/>
        <v>35.686426155594638</v>
      </c>
      <c r="U1164">
        <f t="shared" ca="1" si="588"/>
        <v>-3.3103318942266924E-3</v>
      </c>
      <c r="V1164">
        <f t="shared" ca="1" si="589"/>
        <v>1</v>
      </c>
      <c r="W1164">
        <f t="shared" ca="1" si="568"/>
        <v>1.6812403315021456</v>
      </c>
      <c r="X1164">
        <f t="shared" ca="1" si="569"/>
        <v>8.7424497238111574</v>
      </c>
      <c r="Y1164">
        <f t="shared" ca="1" si="570"/>
        <v>1.0210183319402348</v>
      </c>
      <c r="Z1164">
        <f t="shared" ca="1" si="571"/>
        <v>5.8278859598392989</v>
      </c>
      <c r="AA1164">
        <f t="shared" ca="1" si="572"/>
        <v>633.69324033150212</v>
      </c>
      <c r="AB1164">
        <f t="shared" ca="1" si="573"/>
        <v>635.42434404000835</v>
      </c>
      <c r="AC1164">
        <f t="shared" ca="1" si="574"/>
        <v>7.4329273548146306E-3</v>
      </c>
      <c r="AD1164">
        <f t="shared" ca="1" si="575"/>
        <v>1.4350321841434217</v>
      </c>
      <c r="AE1164">
        <f t="shared" ca="1" si="576"/>
        <v>37.617253812537889</v>
      </c>
      <c r="AF1164">
        <f t="shared" ca="1" si="577"/>
        <v>7.0973822071209725E-3</v>
      </c>
      <c r="AG1164">
        <f t="shared" ca="1" si="578"/>
        <v>0</v>
      </c>
      <c r="AH1164">
        <f ca="1">IFERROR(IF(V32="Supercritical",MAX($D$16,IFERROR(L1164,MAX($D$16,POWER((ABS(K1164)^2)/($I$5*MAX(F1164,0.1)^2),1/3)))),IF(V32="Subcritical",MAX($D$16,IFERROR(W1164,MAX($D$16,POWER((ABS(K1164)^2)/($I$5*MAX(F1164,0.1)^2),1/3)))),IF(AND(IFERROR(V1164,0)=1,IFERROR(AG1164,0)=1),IF(IFERROR(T1164,-1E+99)&gt;=IFERROR(AE1164,-1E+99),MAX($D$16,IFERROR(L1164,MAX($D$16,POWER((ABS(K1164)^2)/($I$5*MAX(F1164,0.1)^2),1/3)))),MAX($D$16,IFERROR(W1164,MAX($D$16,POWER((ABS(K1164)^2)/($I$5*MAX(F1164,0.1)^2),1/3))))),IF(IFERROR(V1164,0)=1,MAX($D$16,IFERROR(L1164,MAX($D$16,POWER((ABS(K1164)^2)/($I$5*MAX(F1164,0.1)^2),1/3)))),IF(IFERROR(AG1164,0)=1,MAX($D$16,IFERROR(W1164,MAX($D$16,POWER((ABS(K1164)^2)/($I$5*MAX(F1164,0.1)^2),1/3)))),MAX($D$16,POWER((ABS(K1164)^2)/($I$5*MAX(F1164,0.1)^2),1/3))))))),MAX($D$16,POWER((ABS(K1164)^2)/($I$5*MAX(F1164,0.1)^2),1/3)))</f>
        <v>2.1389677043987478</v>
      </c>
      <c r="AI1164">
        <f t="shared" ca="1" si="579"/>
        <v>634.15096770439868</v>
      </c>
      <c r="AJ1164">
        <f t="shared" ca="1" si="580"/>
        <v>635.22045155659805</v>
      </c>
      <c r="AM1164">
        <v>0</v>
      </c>
      <c r="AN1164">
        <v>0</v>
      </c>
      <c r="AO1164">
        <f t="shared" si="581"/>
        <v>0</v>
      </c>
      <c r="AP1164">
        <f t="shared" si="590"/>
        <v>0</v>
      </c>
      <c r="AQ1164">
        <f t="shared" ca="1" si="582"/>
        <v>1.0000000000000004</v>
      </c>
      <c r="AR1164" t="str">
        <f t="shared" ca="1" si="583"/>
        <v>Supercritical</v>
      </c>
      <c r="AS1164">
        <f t="shared" ca="1" si="584"/>
        <v>3.8141460404132466E-3</v>
      </c>
    </row>
    <row r="1165" spans="1:45" x14ac:dyDescent="0.35">
      <c r="A1165">
        <v>1104</v>
      </c>
      <c r="B1165">
        <v>1102.9949999999999</v>
      </c>
      <c r="C1165">
        <v>616076.94099999999</v>
      </c>
      <c r="D1165">
        <v>3096904.1490000002</v>
      </c>
      <c r="E1165">
        <v>632.01149999999996</v>
      </c>
      <c r="F1165">
        <v>5.2</v>
      </c>
      <c r="G1165">
        <v>0</v>
      </c>
      <c r="H1165" t="s">
        <v>154</v>
      </c>
      <c r="I1165">
        <v>5.7000000000000002E-2</v>
      </c>
      <c r="J1165">
        <f t="shared" si="585"/>
        <v>1</v>
      </c>
      <c r="K1165">
        <f t="shared" ca="1" si="586"/>
        <v>50.95</v>
      </c>
      <c r="L1165">
        <f t="shared" ca="1" si="587"/>
        <v>2.1389677043987478</v>
      </c>
      <c r="M1165">
        <f t="shared" ca="1" si="560"/>
        <v>11.122632062873489</v>
      </c>
      <c r="N1165">
        <f t="shared" ca="1" si="561"/>
        <v>1.1735290000551568</v>
      </c>
      <c r="O1165">
        <f t="shared" ca="1" si="562"/>
        <v>4.5807502857230418</v>
      </c>
      <c r="P1165">
        <f t="shared" ca="1" si="563"/>
        <v>634.15046770439869</v>
      </c>
      <c r="Q1165">
        <f t="shared" ca="1" si="564"/>
        <v>635.21995155659806</v>
      </c>
      <c r="R1165">
        <f t="shared" ca="1" si="565"/>
        <v>3.8141460404132466E-3</v>
      </c>
      <c r="S1165">
        <f t="shared" ca="1" si="566"/>
        <v>1.0000000000000004</v>
      </c>
      <c r="T1165">
        <f t="shared" ca="1" si="567"/>
        <v>35.686426155594638</v>
      </c>
      <c r="U1165">
        <f t="shared" ca="1" si="588"/>
        <v>-3.4157470064428708E-3</v>
      </c>
      <c r="V1165">
        <f t="shared" ca="1" si="589"/>
        <v>1</v>
      </c>
      <c r="W1165">
        <f t="shared" ca="1" si="568"/>
        <v>1.6812377799752412</v>
      </c>
      <c r="X1165">
        <f t="shared" ca="1" si="569"/>
        <v>8.7424364558712551</v>
      </c>
      <c r="Y1165">
        <f t="shared" ca="1" si="570"/>
        <v>1.0210173909006537</v>
      </c>
      <c r="Z1165">
        <f t="shared" ca="1" si="571"/>
        <v>5.8278948045179035</v>
      </c>
      <c r="AA1165">
        <f t="shared" ca="1" si="572"/>
        <v>633.69273777997523</v>
      </c>
      <c r="AB1165">
        <f t="shared" ca="1" si="573"/>
        <v>635.42384674289713</v>
      </c>
      <c r="AC1165">
        <f t="shared" ca="1" si="574"/>
        <v>7.4329590502534796E-3</v>
      </c>
      <c r="AD1165">
        <f t="shared" ca="1" si="575"/>
        <v>1.4350354509549272</v>
      </c>
      <c r="AE1165">
        <f t="shared" ca="1" si="576"/>
        <v>37.617277442388797</v>
      </c>
      <c r="AF1165">
        <f t="shared" ca="1" si="577"/>
        <v>7.1060699465306243E-3</v>
      </c>
      <c r="AG1165">
        <f t="shared" ca="1" si="578"/>
        <v>0</v>
      </c>
      <c r="AH1165">
        <f ca="1">IFERROR(IF(V32="Supercritical",MAX($D$16,IFERROR(L1165,MAX($D$16,POWER((ABS(K1165)^2)/($I$5*MAX(F1165,0.1)^2),1/3)))),IF(V32="Subcritical",MAX($D$16,IFERROR(W1165,MAX($D$16,POWER((ABS(K1165)^2)/($I$5*MAX(F1165,0.1)^2),1/3)))),IF(AND(IFERROR(V1165,0)=1,IFERROR(AG1165,0)=1),IF(IFERROR(T1165,-1E+99)&gt;=IFERROR(AE1165,-1E+99),MAX($D$16,IFERROR(L1165,MAX($D$16,POWER((ABS(K1165)^2)/($I$5*MAX(F1165,0.1)^2),1/3)))),MAX($D$16,IFERROR(W1165,MAX($D$16,POWER((ABS(K1165)^2)/($I$5*MAX(F1165,0.1)^2),1/3))))),IF(IFERROR(V1165,0)=1,MAX($D$16,IFERROR(L1165,MAX($D$16,POWER((ABS(K1165)^2)/($I$5*MAX(F1165,0.1)^2),1/3)))),IF(IFERROR(AG1165,0)=1,MAX($D$16,IFERROR(W1165,MAX($D$16,POWER((ABS(K1165)^2)/($I$5*MAX(F1165,0.1)^2),1/3)))),MAX($D$16,POWER((ABS(K1165)^2)/($I$5*MAX(F1165,0.1)^2),1/3))))))),MAX($D$16,POWER((ABS(K1165)^2)/($I$5*MAX(F1165,0.1)^2),1/3)))</f>
        <v>2.1389677043987478</v>
      </c>
      <c r="AI1165">
        <f t="shared" ca="1" si="579"/>
        <v>634.15046770439869</v>
      </c>
      <c r="AJ1165">
        <f t="shared" ca="1" si="580"/>
        <v>635.21995155659806</v>
      </c>
      <c r="AM1165">
        <v>0</v>
      </c>
      <c r="AN1165">
        <v>0</v>
      </c>
      <c r="AO1165">
        <f t="shared" si="581"/>
        <v>0</v>
      </c>
      <c r="AP1165">
        <f t="shared" si="590"/>
        <v>0</v>
      </c>
      <c r="AQ1165">
        <f t="shared" ca="1" si="582"/>
        <v>1.0000000000000004</v>
      </c>
      <c r="AR1165" t="str">
        <f t="shared" ca="1" si="583"/>
        <v>Supercritical</v>
      </c>
      <c r="AS1165">
        <f t="shared" ca="1" si="584"/>
        <v>3.8141460404132466E-3</v>
      </c>
    </row>
    <row r="1166" spans="1:45" x14ac:dyDescent="0.35">
      <c r="A1166">
        <v>1105</v>
      </c>
      <c r="B1166">
        <v>1103.9949999999999</v>
      </c>
      <c r="C1166">
        <v>616076.89800000004</v>
      </c>
      <c r="D1166">
        <v>3096903.15</v>
      </c>
      <c r="E1166">
        <v>632.01099999999997</v>
      </c>
      <c r="F1166">
        <v>5.2</v>
      </c>
      <c r="G1166">
        <v>0</v>
      </c>
      <c r="H1166" t="s">
        <v>154</v>
      </c>
      <c r="I1166">
        <v>0.06</v>
      </c>
      <c r="J1166">
        <f t="shared" si="585"/>
        <v>1</v>
      </c>
      <c r="K1166">
        <f t="shared" ca="1" si="586"/>
        <v>50.95</v>
      </c>
      <c r="L1166">
        <f t="shared" ca="1" si="587"/>
        <v>2.1389677043987478</v>
      </c>
      <c r="M1166">
        <f t="shared" ca="1" si="560"/>
        <v>11.122632062873489</v>
      </c>
      <c r="N1166">
        <f t="shared" ca="1" si="561"/>
        <v>1.1735290000551568</v>
      </c>
      <c r="O1166">
        <f t="shared" ca="1" si="562"/>
        <v>4.5807502857230418</v>
      </c>
      <c r="P1166">
        <f t="shared" ca="1" si="563"/>
        <v>634.1499677043987</v>
      </c>
      <c r="Q1166">
        <f t="shared" ca="1" si="564"/>
        <v>635.21945155659807</v>
      </c>
      <c r="R1166">
        <f t="shared" ca="1" si="565"/>
        <v>3.8141460404132466E-3</v>
      </c>
      <c r="S1166">
        <f t="shared" ca="1" si="566"/>
        <v>1.0000000000000004</v>
      </c>
      <c r="T1166">
        <f t="shared" ca="1" si="567"/>
        <v>35.686426155594638</v>
      </c>
      <c r="U1166">
        <f t="shared" ca="1" si="588"/>
        <v>-3.4210944256756193E-3</v>
      </c>
      <c r="V1166">
        <f t="shared" ca="1" si="589"/>
        <v>1</v>
      </c>
      <c r="W1166">
        <f t="shared" ca="1" si="568"/>
        <v>1.6812353950557835</v>
      </c>
      <c r="X1166">
        <f t="shared" ca="1" si="569"/>
        <v>8.7424240542900744</v>
      </c>
      <c r="Y1166">
        <f t="shared" ca="1" si="570"/>
        <v>1.0210165113072651</v>
      </c>
      <c r="Z1166">
        <f t="shared" ca="1" si="571"/>
        <v>5.8279030716884366</v>
      </c>
      <c r="AA1166">
        <f t="shared" ca="1" si="572"/>
        <v>633.69223539505572</v>
      </c>
      <c r="AB1166">
        <f t="shared" ca="1" si="573"/>
        <v>635.42334926931642</v>
      </c>
      <c r="AC1166">
        <f t="shared" ca="1" si="574"/>
        <v>7.4329886762409831E-3</v>
      </c>
      <c r="AD1166">
        <f t="shared" ca="1" si="575"/>
        <v>1.4350385044641447</v>
      </c>
      <c r="AE1166">
        <f t="shared" ca="1" si="576"/>
        <v>37.617299529434348</v>
      </c>
      <c r="AF1166">
        <f t="shared" ca="1" si="577"/>
        <v>6.9461920445519354E-3</v>
      </c>
      <c r="AG1166">
        <f t="shared" ca="1" si="578"/>
        <v>0</v>
      </c>
      <c r="AH1166">
        <f ca="1">IFERROR(IF(V32="Supercritical",MAX($D$16,IFERROR(L1166,MAX($D$16,POWER((ABS(K1166)^2)/($I$5*MAX(F1166,0.1)^2),1/3)))),IF(V32="Subcritical",MAX($D$16,IFERROR(W1166,MAX($D$16,POWER((ABS(K1166)^2)/($I$5*MAX(F1166,0.1)^2),1/3)))),IF(AND(IFERROR(V1166,0)=1,IFERROR(AG1166,0)=1),IF(IFERROR(T1166,-1E+99)&gt;=IFERROR(AE1166,-1E+99),MAX($D$16,IFERROR(L1166,MAX($D$16,POWER((ABS(K1166)^2)/($I$5*MAX(F1166,0.1)^2),1/3)))),MAX($D$16,IFERROR(W1166,MAX($D$16,POWER((ABS(K1166)^2)/($I$5*MAX(F1166,0.1)^2),1/3))))),IF(IFERROR(V1166,0)=1,MAX($D$16,IFERROR(L1166,MAX($D$16,POWER((ABS(K1166)^2)/($I$5*MAX(F1166,0.1)^2),1/3)))),IF(IFERROR(AG1166,0)=1,MAX($D$16,IFERROR(W1166,MAX($D$16,POWER((ABS(K1166)^2)/($I$5*MAX(F1166,0.1)^2),1/3)))),MAX($D$16,POWER((ABS(K1166)^2)/($I$5*MAX(F1166,0.1)^2),1/3))))))),MAX($D$16,POWER((ABS(K1166)^2)/($I$5*MAX(F1166,0.1)^2),1/3)))</f>
        <v>2.1389677043987478</v>
      </c>
      <c r="AI1166">
        <f t="shared" ca="1" si="579"/>
        <v>634.1499677043987</v>
      </c>
      <c r="AJ1166">
        <f t="shared" ca="1" si="580"/>
        <v>635.21945155659807</v>
      </c>
      <c r="AM1166">
        <v>0</v>
      </c>
      <c r="AN1166">
        <v>0</v>
      </c>
      <c r="AO1166">
        <f t="shared" si="581"/>
        <v>0</v>
      </c>
      <c r="AP1166">
        <f t="shared" si="590"/>
        <v>0</v>
      </c>
      <c r="AQ1166">
        <f t="shared" ca="1" si="582"/>
        <v>1.0000000000000004</v>
      </c>
      <c r="AR1166" t="str">
        <f t="shared" ca="1" si="583"/>
        <v>Supercritical</v>
      </c>
      <c r="AS1166">
        <f t="shared" ca="1" si="584"/>
        <v>3.8141460404132466E-3</v>
      </c>
    </row>
    <row r="1167" spans="1:45" x14ac:dyDescent="0.35">
      <c r="A1167">
        <v>1106</v>
      </c>
      <c r="B1167">
        <v>1104.9960000000001</v>
      </c>
      <c r="C1167">
        <v>616076.85600000003</v>
      </c>
      <c r="D1167">
        <v>3096902.15</v>
      </c>
      <c r="E1167">
        <v>632.01049999999998</v>
      </c>
      <c r="F1167">
        <v>5.2</v>
      </c>
      <c r="G1167">
        <v>0</v>
      </c>
      <c r="H1167" t="s">
        <v>154</v>
      </c>
      <c r="I1167">
        <v>2E-3</v>
      </c>
      <c r="J1167">
        <f t="shared" si="585"/>
        <v>1.0010000000002037</v>
      </c>
      <c r="K1167">
        <f t="shared" ca="1" si="586"/>
        <v>50.95</v>
      </c>
      <c r="L1167">
        <f t="shared" ca="1" si="587"/>
        <v>2.1389677043987478</v>
      </c>
      <c r="M1167">
        <f t="shared" ca="1" si="560"/>
        <v>11.122632062873489</v>
      </c>
      <c r="N1167">
        <f t="shared" ca="1" si="561"/>
        <v>1.1735290000551568</v>
      </c>
      <c r="O1167">
        <f t="shared" ca="1" si="562"/>
        <v>4.5807502857230418</v>
      </c>
      <c r="P1167">
        <f t="shared" ca="1" si="563"/>
        <v>634.14946770439872</v>
      </c>
      <c r="Q1167">
        <f t="shared" ca="1" si="564"/>
        <v>635.21895155659809</v>
      </c>
      <c r="R1167">
        <f t="shared" ca="1" si="565"/>
        <v>3.8141460404132466E-3</v>
      </c>
      <c r="S1167">
        <f t="shared" ca="1" si="566"/>
        <v>1.0000000000000004</v>
      </c>
      <c r="T1167">
        <f t="shared" ca="1" si="567"/>
        <v>35.686426155594638</v>
      </c>
      <c r="U1167">
        <f t="shared" ca="1" si="588"/>
        <v>-3.3215251326055295E-3</v>
      </c>
      <c r="V1167">
        <f t="shared" ca="1" si="589"/>
        <v>1</v>
      </c>
      <c r="W1167">
        <f t="shared" ca="1" si="568"/>
        <v>1.6812331658670288</v>
      </c>
      <c r="X1167">
        <f t="shared" ca="1" si="569"/>
        <v>8.7424124625085504</v>
      </c>
      <c r="Y1167">
        <f t="shared" ca="1" si="570"/>
        <v>1.0210156891487654</v>
      </c>
      <c r="Z1167">
        <f t="shared" ca="1" si="571"/>
        <v>5.8279107990496701</v>
      </c>
      <c r="AA1167">
        <f t="shared" ca="1" si="572"/>
        <v>633.69173316586705</v>
      </c>
      <c r="AB1167">
        <f t="shared" ca="1" si="573"/>
        <v>635.42285163078452</v>
      </c>
      <c r="AC1167">
        <f t="shared" ca="1" si="574"/>
        <v>7.4330163678569365E-3</v>
      </c>
      <c r="AD1167">
        <f t="shared" ca="1" si="575"/>
        <v>1.4350413585948105</v>
      </c>
      <c r="AE1167">
        <f t="shared" ca="1" si="576"/>
        <v>37.61732017437474</v>
      </c>
      <c r="AF1167">
        <f t="shared" ca="1" si="577"/>
        <v>6.933016367838718E-3</v>
      </c>
      <c r="AG1167">
        <f t="shared" ca="1" si="578"/>
        <v>0</v>
      </c>
      <c r="AH1167">
        <f ca="1">IFERROR(IF(V32="Supercritical",MAX($D$16,IFERROR(L1167,MAX($D$16,POWER((ABS(K1167)^2)/($I$5*MAX(F1167,0.1)^2),1/3)))),IF(V32="Subcritical",MAX($D$16,IFERROR(W1167,MAX($D$16,POWER((ABS(K1167)^2)/($I$5*MAX(F1167,0.1)^2),1/3)))),IF(AND(IFERROR(V1167,0)=1,IFERROR(AG1167,0)=1),IF(IFERROR(T1167,-1E+99)&gt;=IFERROR(AE1167,-1E+99),MAX($D$16,IFERROR(L1167,MAX($D$16,POWER((ABS(K1167)^2)/($I$5*MAX(F1167,0.1)^2),1/3)))),MAX($D$16,IFERROR(W1167,MAX($D$16,POWER((ABS(K1167)^2)/($I$5*MAX(F1167,0.1)^2),1/3))))),IF(IFERROR(V1167,0)=1,MAX($D$16,IFERROR(L1167,MAX($D$16,POWER((ABS(K1167)^2)/($I$5*MAX(F1167,0.1)^2),1/3)))),IF(IFERROR(AG1167,0)=1,MAX($D$16,IFERROR(W1167,MAX($D$16,POWER((ABS(K1167)^2)/($I$5*MAX(F1167,0.1)^2),1/3)))),MAX($D$16,POWER((ABS(K1167)^2)/($I$5*MAX(F1167,0.1)^2),1/3))))))),MAX($D$16,POWER((ABS(K1167)^2)/($I$5*MAX(F1167,0.1)^2),1/3)))</f>
        <v>2.1389677043987478</v>
      </c>
      <c r="AI1167">
        <f t="shared" ca="1" si="579"/>
        <v>634.14946770439872</v>
      </c>
      <c r="AJ1167">
        <f t="shared" ca="1" si="580"/>
        <v>635.21895155659809</v>
      </c>
      <c r="AM1167">
        <v>0</v>
      </c>
      <c r="AN1167">
        <v>0</v>
      </c>
      <c r="AO1167">
        <f t="shared" si="581"/>
        <v>0</v>
      </c>
      <c r="AP1167">
        <f t="shared" si="590"/>
        <v>0</v>
      </c>
      <c r="AQ1167">
        <f t="shared" ca="1" si="582"/>
        <v>1.0000000000000004</v>
      </c>
      <c r="AR1167" t="str">
        <f t="shared" ca="1" si="583"/>
        <v>Supercritical</v>
      </c>
      <c r="AS1167">
        <f t="shared" ca="1" si="584"/>
        <v>3.8141460404132466E-3</v>
      </c>
    </row>
    <row r="1168" spans="1:45" x14ac:dyDescent="0.35">
      <c r="A1168">
        <v>1107</v>
      </c>
      <c r="B1168">
        <v>1105.9960000000001</v>
      </c>
      <c r="C1168">
        <v>616076.81400000001</v>
      </c>
      <c r="D1168">
        <v>3096901.1510000001</v>
      </c>
      <c r="E1168">
        <v>632.01</v>
      </c>
      <c r="F1168">
        <v>5.2</v>
      </c>
      <c r="G1168">
        <v>0</v>
      </c>
      <c r="H1168" t="s">
        <v>154</v>
      </c>
      <c r="I1168">
        <v>0</v>
      </c>
      <c r="J1168">
        <f t="shared" si="585"/>
        <v>1</v>
      </c>
      <c r="K1168">
        <f t="shared" ca="1" si="586"/>
        <v>50.95</v>
      </c>
      <c r="L1168">
        <f t="shared" ca="1" si="587"/>
        <v>2.1389677043987478</v>
      </c>
      <c r="M1168">
        <f t="shared" ca="1" si="560"/>
        <v>11.122632062873489</v>
      </c>
      <c r="N1168">
        <f t="shared" ca="1" si="561"/>
        <v>1.1735290000551568</v>
      </c>
      <c r="O1168">
        <f t="shared" ca="1" si="562"/>
        <v>4.5807502857230418</v>
      </c>
      <c r="P1168">
        <f t="shared" ca="1" si="563"/>
        <v>634.14896770439873</v>
      </c>
      <c r="Q1168">
        <f t="shared" ca="1" si="564"/>
        <v>635.2184515565981</v>
      </c>
      <c r="R1168">
        <f t="shared" ca="1" si="565"/>
        <v>3.8141460404132466E-3</v>
      </c>
      <c r="S1168">
        <f t="shared" ca="1" si="566"/>
        <v>1.0000000000000004</v>
      </c>
      <c r="T1168">
        <f t="shared" ca="1" si="567"/>
        <v>35.686426155594638</v>
      </c>
      <c r="U1168">
        <f t="shared" ca="1" si="588"/>
        <v>-3.3141460404522149E-3</v>
      </c>
      <c r="V1168">
        <f t="shared" ca="1" si="589"/>
        <v>1</v>
      </c>
      <c r="W1168">
        <f t="shared" ca="1" si="568"/>
        <v>1.6812310822420484</v>
      </c>
      <c r="X1168">
        <f t="shared" ca="1" si="569"/>
        <v>8.7424016276586514</v>
      </c>
      <c r="Y1168">
        <f t="shared" ca="1" si="570"/>
        <v>1.0210149206756109</v>
      </c>
      <c r="Z1168">
        <f t="shared" ca="1" si="571"/>
        <v>5.8279180218405493</v>
      </c>
      <c r="AA1168">
        <f t="shared" ca="1" si="572"/>
        <v>633.69123108224198</v>
      </c>
      <c r="AB1168">
        <f t="shared" ca="1" si="573"/>
        <v>635.42235383806735</v>
      </c>
      <c r="AC1168">
        <f t="shared" ca="1" si="574"/>
        <v>7.4330422513685761E-3</v>
      </c>
      <c r="AD1168">
        <f t="shared" ca="1" si="575"/>
        <v>1.4350440263621815</v>
      </c>
      <c r="AE1168">
        <f t="shared" ca="1" si="576"/>
        <v>37.617339471340976</v>
      </c>
      <c r="AF1168">
        <f t="shared" ca="1" si="577"/>
        <v>7.0974989131400434E-3</v>
      </c>
      <c r="AG1168">
        <f t="shared" ca="1" si="578"/>
        <v>0</v>
      </c>
      <c r="AH1168">
        <f ca="1">IFERROR(IF(V32="Supercritical",MAX($D$16,IFERROR(L1168,MAX($D$16,POWER((ABS(K1168)^2)/($I$5*MAX(F1168,0.1)^2),1/3)))),IF(V32="Subcritical",MAX($D$16,IFERROR(W1168,MAX($D$16,POWER((ABS(K1168)^2)/($I$5*MAX(F1168,0.1)^2),1/3)))),IF(AND(IFERROR(V1168,0)=1,IFERROR(AG1168,0)=1),IF(IFERROR(T1168,-1E+99)&gt;=IFERROR(AE1168,-1E+99),MAX($D$16,IFERROR(L1168,MAX($D$16,POWER((ABS(K1168)^2)/($I$5*MAX(F1168,0.1)^2),1/3)))),MAX($D$16,IFERROR(W1168,MAX($D$16,POWER((ABS(K1168)^2)/($I$5*MAX(F1168,0.1)^2),1/3))))),IF(IFERROR(V1168,0)=1,MAX($D$16,IFERROR(L1168,MAX($D$16,POWER((ABS(K1168)^2)/($I$5*MAX(F1168,0.1)^2),1/3)))),IF(IFERROR(AG1168,0)=1,MAX($D$16,IFERROR(W1168,MAX($D$16,POWER((ABS(K1168)^2)/($I$5*MAX(F1168,0.1)^2),1/3)))),MAX($D$16,POWER((ABS(K1168)^2)/($I$5*MAX(F1168,0.1)^2),1/3))))))),MAX($D$16,POWER((ABS(K1168)^2)/($I$5*MAX(F1168,0.1)^2),1/3)))</f>
        <v>2.1389677043987478</v>
      </c>
      <c r="AI1168">
        <f t="shared" ca="1" si="579"/>
        <v>634.14896770439873</v>
      </c>
      <c r="AJ1168">
        <f t="shared" ca="1" si="580"/>
        <v>635.2184515565981</v>
      </c>
      <c r="AM1168">
        <v>0</v>
      </c>
      <c r="AN1168">
        <v>0</v>
      </c>
      <c r="AO1168">
        <f t="shared" si="581"/>
        <v>0</v>
      </c>
      <c r="AP1168">
        <f t="shared" si="590"/>
        <v>0</v>
      </c>
      <c r="AQ1168">
        <f t="shared" ca="1" si="582"/>
        <v>1.0000000000000004</v>
      </c>
      <c r="AR1168" t="str">
        <f t="shared" ca="1" si="583"/>
        <v>Supercritical</v>
      </c>
      <c r="AS1168">
        <f t="shared" ca="1" si="584"/>
        <v>3.8141460404132466E-3</v>
      </c>
    </row>
    <row r="1169" spans="1:45" x14ac:dyDescent="0.35">
      <c r="A1169">
        <v>1108</v>
      </c>
      <c r="B1169">
        <v>1106.9960000000001</v>
      </c>
      <c r="C1169">
        <v>616076.772</v>
      </c>
      <c r="D1169">
        <v>3096900.1519999998</v>
      </c>
      <c r="E1169">
        <v>632.0095</v>
      </c>
      <c r="F1169">
        <v>5.2</v>
      </c>
      <c r="G1169">
        <v>0</v>
      </c>
      <c r="H1169" t="s">
        <v>154</v>
      </c>
      <c r="I1169">
        <v>5.7000000000000002E-2</v>
      </c>
      <c r="J1169">
        <f t="shared" si="585"/>
        <v>1</v>
      </c>
      <c r="K1169">
        <f t="shared" ca="1" si="586"/>
        <v>50.95</v>
      </c>
      <c r="L1169">
        <f t="shared" ca="1" si="587"/>
        <v>2.1389677043987478</v>
      </c>
      <c r="M1169">
        <f t="shared" ca="1" si="560"/>
        <v>11.122632062873489</v>
      </c>
      <c r="N1169">
        <f t="shared" ca="1" si="561"/>
        <v>1.1735290000551568</v>
      </c>
      <c r="O1169">
        <f t="shared" ca="1" si="562"/>
        <v>4.5807502857230418</v>
      </c>
      <c r="P1169">
        <f t="shared" ca="1" si="563"/>
        <v>634.14846770439874</v>
      </c>
      <c r="Q1169">
        <f t="shared" ca="1" si="564"/>
        <v>635.21795155659811</v>
      </c>
      <c r="R1169">
        <f t="shared" ca="1" si="565"/>
        <v>3.8141460404132466E-3</v>
      </c>
      <c r="S1169">
        <f t="shared" ca="1" si="566"/>
        <v>1.0000000000000004</v>
      </c>
      <c r="T1169">
        <f t="shared" ca="1" si="567"/>
        <v>35.686426155594638</v>
      </c>
      <c r="U1169">
        <f t="shared" ca="1" si="588"/>
        <v>-3.4157470064428708E-3</v>
      </c>
      <c r="V1169">
        <f t="shared" ca="1" si="589"/>
        <v>1</v>
      </c>
      <c r="W1169">
        <f t="shared" ca="1" si="568"/>
        <v>1.6812291346773789</v>
      </c>
      <c r="X1169">
        <f t="shared" ca="1" si="569"/>
        <v>8.7423915003223698</v>
      </c>
      <c r="Y1169">
        <f t="shared" ca="1" si="570"/>
        <v>1.0210142023829298</v>
      </c>
      <c r="Z1169">
        <f t="shared" ca="1" si="571"/>
        <v>5.827924773000758</v>
      </c>
      <c r="AA1169">
        <f t="shared" ca="1" si="572"/>
        <v>633.69072913467733</v>
      </c>
      <c r="AB1169">
        <f t="shared" ca="1" si="573"/>
        <v>635.42185590122961</v>
      </c>
      <c r="AC1169">
        <f t="shared" ca="1" si="574"/>
        <v>7.4330664448056562E-3</v>
      </c>
      <c r="AD1169">
        <f t="shared" ca="1" si="575"/>
        <v>1.4350465199323292</v>
      </c>
      <c r="AE1169">
        <f t="shared" ca="1" si="576"/>
        <v>37.617357508323508</v>
      </c>
      <c r="AF1169">
        <f t="shared" ca="1" si="577"/>
        <v>7.0975234876868853E-3</v>
      </c>
      <c r="AG1169">
        <f t="shared" ca="1" si="578"/>
        <v>0</v>
      </c>
      <c r="AH1169">
        <f ca="1">IFERROR(IF(V32="Supercritical",MAX($D$16,IFERROR(L1169,MAX($D$16,POWER((ABS(K1169)^2)/($I$5*MAX(F1169,0.1)^2),1/3)))),IF(V32="Subcritical",MAX($D$16,IFERROR(W1169,MAX($D$16,POWER((ABS(K1169)^2)/($I$5*MAX(F1169,0.1)^2),1/3)))),IF(AND(IFERROR(V1169,0)=1,IFERROR(AG1169,0)=1),IF(IFERROR(T1169,-1E+99)&gt;=IFERROR(AE1169,-1E+99),MAX($D$16,IFERROR(L1169,MAX($D$16,POWER((ABS(K1169)^2)/($I$5*MAX(F1169,0.1)^2),1/3)))),MAX($D$16,IFERROR(W1169,MAX($D$16,POWER((ABS(K1169)^2)/($I$5*MAX(F1169,0.1)^2),1/3))))),IF(IFERROR(V1169,0)=1,MAX($D$16,IFERROR(L1169,MAX($D$16,POWER((ABS(K1169)^2)/($I$5*MAX(F1169,0.1)^2),1/3)))),IF(IFERROR(AG1169,0)=1,MAX($D$16,IFERROR(W1169,MAX($D$16,POWER((ABS(K1169)^2)/($I$5*MAX(F1169,0.1)^2),1/3)))),MAX($D$16,POWER((ABS(K1169)^2)/($I$5*MAX(F1169,0.1)^2),1/3))))))),MAX($D$16,POWER((ABS(K1169)^2)/($I$5*MAX(F1169,0.1)^2),1/3)))</f>
        <v>2.1389677043987478</v>
      </c>
      <c r="AI1169">
        <f t="shared" ca="1" si="579"/>
        <v>634.14846770439874</v>
      </c>
      <c r="AJ1169">
        <f t="shared" ca="1" si="580"/>
        <v>635.21795155659811</v>
      </c>
      <c r="AM1169">
        <v>0</v>
      </c>
      <c r="AN1169">
        <v>0</v>
      </c>
      <c r="AO1169">
        <f t="shared" si="581"/>
        <v>0</v>
      </c>
      <c r="AP1169">
        <f t="shared" si="590"/>
        <v>0</v>
      </c>
      <c r="AQ1169">
        <f t="shared" ca="1" si="582"/>
        <v>1.0000000000000004</v>
      </c>
      <c r="AR1169" t="str">
        <f t="shared" ca="1" si="583"/>
        <v>Supercritical</v>
      </c>
      <c r="AS1169">
        <f t="shared" ca="1" si="584"/>
        <v>3.8141460404132466E-3</v>
      </c>
    </row>
    <row r="1170" spans="1:45" x14ac:dyDescent="0.35">
      <c r="A1170">
        <v>1109</v>
      </c>
      <c r="B1170">
        <v>1107.9960000000001</v>
      </c>
      <c r="C1170">
        <v>616076.72900000005</v>
      </c>
      <c r="D1170">
        <v>3096899.1529999999</v>
      </c>
      <c r="E1170">
        <v>632.00900000000001</v>
      </c>
      <c r="F1170">
        <v>5.2</v>
      </c>
      <c r="G1170">
        <v>0</v>
      </c>
      <c r="H1170" t="s">
        <v>154</v>
      </c>
      <c r="I1170">
        <v>5.7000000000000002E-2</v>
      </c>
      <c r="J1170">
        <f t="shared" si="585"/>
        <v>1</v>
      </c>
      <c r="K1170">
        <f t="shared" ca="1" si="586"/>
        <v>50.95</v>
      </c>
      <c r="L1170">
        <f t="shared" ca="1" si="587"/>
        <v>2.1389677043987478</v>
      </c>
      <c r="M1170">
        <f t="shared" ca="1" si="560"/>
        <v>11.122632062873489</v>
      </c>
      <c r="N1170">
        <f t="shared" ca="1" si="561"/>
        <v>1.1735290000551568</v>
      </c>
      <c r="O1170">
        <f t="shared" ca="1" si="562"/>
        <v>4.5807502857230418</v>
      </c>
      <c r="P1170">
        <f t="shared" ca="1" si="563"/>
        <v>634.14796770439875</v>
      </c>
      <c r="Q1170">
        <f t="shared" ca="1" si="564"/>
        <v>635.21745155659812</v>
      </c>
      <c r="R1170">
        <f t="shared" ca="1" si="565"/>
        <v>3.8141460404132466E-3</v>
      </c>
      <c r="S1170">
        <f t="shared" ca="1" si="566"/>
        <v>1.0000000000000004</v>
      </c>
      <c r="T1170">
        <f t="shared" ca="1" si="567"/>
        <v>35.686426155594638</v>
      </c>
      <c r="U1170">
        <f t="shared" ca="1" si="588"/>
        <v>-3.4157470064428708E-3</v>
      </c>
      <c r="V1170">
        <f t="shared" ca="1" si="589"/>
        <v>1</v>
      </c>
      <c r="W1170">
        <f t="shared" ca="1" si="568"/>
        <v>1.6812273142898262</v>
      </c>
      <c r="X1170">
        <f t="shared" ca="1" si="569"/>
        <v>8.7423820343070968</v>
      </c>
      <c r="Y1170">
        <f t="shared" ca="1" si="570"/>
        <v>1.0210135309945918</v>
      </c>
      <c r="Z1170">
        <f t="shared" ca="1" si="571"/>
        <v>5.8279310833203821</v>
      </c>
      <c r="AA1170">
        <f t="shared" ca="1" si="572"/>
        <v>633.69022731428981</v>
      </c>
      <c r="AB1170">
        <f t="shared" ca="1" si="573"/>
        <v>635.42135782967875</v>
      </c>
      <c r="AC1170">
        <f t="shared" ca="1" si="574"/>
        <v>7.4330890584964927E-3</v>
      </c>
      <c r="AD1170">
        <f t="shared" ca="1" si="575"/>
        <v>1.4350488506774108</v>
      </c>
      <c r="AE1170">
        <f t="shared" ca="1" si="576"/>
        <v>37.617374367571763</v>
      </c>
      <c r="AF1170">
        <f t="shared" ca="1" si="577"/>
        <v>6.9330890585206362E-3</v>
      </c>
      <c r="AG1170">
        <f t="shared" ca="1" si="578"/>
        <v>0</v>
      </c>
      <c r="AH1170">
        <f ca="1">IFERROR(IF(V32="Supercritical",MAX($D$16,IFERROR(L1170,MAX($D$16,POWER((ABS(K1170)^2)/($I$5*MAX(F1170,0.1)^2),1/3)))),IF(V32="Subcritical",MAX($D$16,IFERROR(W1170,MAX($D$16,POWER((ABS(K1170)^2)/($I$5*MAX(F1170,0.1)^2),1/3)))),IF(AND(IFERROR(V1170,0)=1,IFERROR(AG1170,0)=1),IF(IFERROR(T1170,-1E+99)&gt;=IFERROR(AE1170,-1E+99),MAX($D$16,IFERROR(L1170,MAX($D$16,POWER((ABS(K1170)^2)/($I$5*MAX(F1170,0.1)^2),1/3)))),MAX($D$16,IFERROR(W1170,MAX($D$16,POWER((ABS(K1170)^2)/($I$5*MAX(F1170,0.1)^2),1/3))))),IF(IFERROR(V1170,0)=1,MAX($D$16,IFERROR(L1170,MAX($D$16,POWER((ABS(K1170)^2)/($I$5*MAX(F1170,0.1)^2),1/3)))),IF(IFERROR(AG1170,0)=1,MAX($D$16,IFERROR(W1170,MAX($D$16,POWER((ABS(K1170)^2)/($I$5*MAX(F1170,0.1)^2),1/3)))),MAX($D$16,POWER((ABS(K1170)^2)/($I$5*MAX(F1170,0.1)^2),1/3))))))),MAX($D$16,POWER((ABS(K1170)^2)/($I$5*MAX(F1170,0.1)^2),1/3)))</f>
        <v>2.1389677043987478</v>
      </c>
      <c r="AI1170">
        <f t="shared" ca="1" si="579"/>
        <v>634.14796770439875</v>
      </c>
      <c r="AJ1170">
        <f t="shared" ca="1" si="580"/>
        <v>635.21745155659812</v>
      </c>
      <c r="AM1170">
        <v>0</v>
      </c>
      <c r="AN1170">
        <v>0</v>
      </c>
      <c r="AO1170">
        <f t="shared" si="581"/>
        <v>0</v>
      </c>
      <c r="AP1170">
        <f t="shared" si="590"/>
        <v>0</v>
      </c>
      <c r="AQ1170">
        <f t="shared" ca="1" si="582"/>
        <v>1.0000000000000004</v>
      </c>
      <c r="AR1170" t="str">
        <f t="shared" ca="1" si="583"/>
        <v>Supercritical</v>
      </c>
      <c r="AS1170">
        <f t="shared" ca="1" si="584"/>
        <v>3.8141460404132466E-3</v>
      </c>
    </row>
    <row r="1171" spans="1:45" x14ac:dyDescent="0.35">
      <c r="A1171">
        <v>1110</v>
      </c>
      <c r="B1171">
        <v>1108.9960000000001</v>
      </c>
      <c r="C1171">
        <v>616076.68700000003</v>
      </c>
      <c r="D1171">
        <v>3096898.1540000001</v>
      </c>
      <c r="E1171">
        <v>632.00850000000003</v>
      </c>
      <c r="F1171">
        <v>5.2</v>
      </c>
      <c r="G1171">
        <v>0</v>
      </c>
      <c r="H1171" t="s">
        <v>154</v>
      </c>
      <c r="I1171">
        <v>0</v>
      </c>
      <c r="J1171">
        <f t="shared" si="585"/>
        <v>1</v>
      </c>
      <c r="K1171">
        <f t="shared" ca="1" si="586"/>
        <v>50.95</v>
      </c>
      <c r="L1171">
        <f t="shared" ca="1" si="587"/>
        <v>2.1389677043987478</v>
      </c>
      <c r="M1171">
        <f t="shared" ca="1" si="560"/>
        <v>11.122632062873489</v>
      </c>
      <c r="N1171">
        <f t="shared" ca="1" si="561"/>
        <v>1.1735290000551568</v>
      </c>
      <c r="O1171">
        <f t="shared" ca="1" si="562"/>
        <v>4.5807502857230418</v>
      </c>
      <c r="P1171">
        <f t="shared" ca="1" si="563"/>
        <v>634.14746770439876</v>
      </c>
      <c r="Q1171">
        <f t="shared" ca="1" si="564"/>
        <v>635.21695155659813</v>
      </c>
      <c r="R1171">
        <f t="shared" ca="1" si="565"/>
        <v>3.8141460404132466E-3</v>
      </c>
      <c r="S1171">
        <f t="shared" ca="1" si="566"/>
        <v>1.0000000000000004</v>
      </c>
      <c r="T1171">
        <f t="shared" ca="1" si="567"/>
        <v>35.686426155594638</v>
      </c>
      <c r="U1171">
        <f t="shared" ca="1" si="588"/>
        <v>-3.3141460404522149E-3</v>
      </c>
      <c r="V1171">
        <f t="shared" ca="1" si="589"/>
        <v>1</v>
      </c>
      <c r="W1171">
        <f t="shared" ca="1" si="568"/>
        <v>1.6812256127759653</v>
      </c>
      <c r="X1171">
        <f t="shared" ca="1" si="569"/>
        <v>8.7423731864350192</v>
      </c>
      <c r="Y1171">
        <f t="shared" ca="1" si="570"/>
        <v>1.0210129034482753</v>
      </c>
      <c r="Z1171">
        <f t="shared" ca="1" si="571"/>
        <v>5.8279369815802253</v>
      </c>
      <c r="AA1171">
        <f t="shared" ca="1" si="572"/>
        <v>633.68972561277599</v>
      </c>
      <c r="AB1171">
        <f t="shared" ca="1" si="573"/>
        <v>635.4208596322087</v>
      </c>
      <c r="AC1171">
        <f t="shared" ca="1" si="574"/>
        <v>7.4331101955705525E-3</v>
      </c>
      <c r="AD1171">
        <f t="shared" ca="1" si="575"/>
        <v>1.4350510292274907</v>
      </c>
      <c r="AE1171">
        <f t="shared" ca="1" si="576"/>
        <v>37.617390125968782</v>
      </c>
      <c r="AF1171">
        <f t="shared" ca="1" si="577"/>
        <v>7.0975679275306902E-3</v>
      </c>
      <c r="AG1171">
        <f t="shared" ca="1" si="578"/>
        <v>0</v>
      </c>
      <c r="AH1171">
        <f ca="1">IFERROR(IF(V32="Supercritical",MAX($D$16,IFERROR(L1171,MAX($D$16,POWER((ABS(K1171)^2)/($I$5*MAX(F1171,0.1)^2),1/3)))),IF(V32="Subcritical",MAX($D$16,IFERROR(W1171,MAX($D$16,POWER((ABS(K1171)^2)/($I$5*MAX(F1171,0.1)^2),1/3)))),IF(AND(IFERROR(V1171,0)=1,IFERROR(AG1171,0)=1),IF(IFERROR(T1171,-1E+99)&gt;=IFERROR(AE1171,-1E+99),MAX($D$16,IFERROR(L1171,MAX($D$16,POWER((ABS(K1171)^2)/($I$5*MAX(F1171,0.1)^2),1/3)))),MAX($D$16,IFERROR(W1171,MAX($D$16,POWER((ABS(K1171)^2)/($I$5*MAX(F1171,0.1)^2),1/3))))),IF(IFERROR(V1171,0)=1,MAX($D$16,IFERROR(L1171,MAX($D$16,POWER((ABS(K1171)^2)/($I$5*MAX(F1171,0.1)^2),1/3)))),IF(IFERROR(AG1171,0)=1,MAX($D$16,IFERROR(W1171,MAX($D$16,POWER((ABS(K1171)^2)/($I$5*MAX(F1171,0.1)^2),1/3)))),MAX($D$16,POWER((ABS(K1171)^2)/($I$5*MAX(F1171,0.1)^2),1/3))))))),MAX($D$16,POWER((ABS(K1171)^2)/($I$5*MAX(F1171,0.1)^2),1/3)))</f>
        <v>2.1389677043987478</v>
      </c>
      <c r="AI1171">
        <f t="shared" ca="1" si="579"/>
        <v>634.14746770439876</v>
      </c>
      <c r="AJ1171">
        <f t="shared" ca="1" si="580"/>
        <v>635.21695155659813</v>
      </c>
      <c r="AM1171">
        <v>0</v>
      </c>
      <c r="AN1171">
        <v>0</v>
      </c>
      <c r="AO1171">
        <f t="shared" si="581"/>
        <v>0</v>
      </c>
      <c r="AP1171">
        <f t="shared" si="590"/>
        <v>0</v>
      </c>
      <c r="AQ1171">
        <f t="shared" ca="1" si="582"/>
        <v>1.0000000000000004</v>
      </c>
      <c r="AR1171" t="str">
        <f t="shared" ca="1" si="583"/>
        <v>Supercritical</v>
      </c>
      <c r="AS1171">
        <f t="shared" ca="1" si="584"/>
        <v>3.8141460404132466E-3</v>
      </c>
    </row>
    <row r="1172" spans="1:45" x14ac:dyDescent="0.35">
      <c r="A1172">
        <v>1111</v>
      </c>
      <c r="B1172">
        <v>1109.9960000000001</v>
      </c>
      <c r="C1172">
        <v>616076.64500000002</v>
      </c>
      <c r="D1172">
        <v>3096897.1549999998</v>
      </c>
      <c r="E1172">
        <v>632.00800000000004</v>
      </c>
      <c r="F1172">
        <v>5.2</v>
      </c>
      <c r="G1172">
        <v>0</v>
      </c>
      <c r="H1172" t="s">
        <v>154</v>
      </c>
      <c r="I1172">
        <v>5.7000000000000002E-2</v>
      </c>
      <c r="J1172">
        <f t="shared" si="585"/>
        <v>1</v>
      </c>
      <c r="K1172">
        <f t="shared" ca="1" si="586"/>
        <v>50.95</v>
      </c>
      <c r="L1172">
        <f t="shared" ca="1" si="587"/>
        <v>2.1389677043987478</v>
      </c>
      <c r="M1172">
        <f t="shared" ca="1" si="560"/>
        <v>11.122632062873489</v>
      </c>
      <c r="N1172">
        <f t="shared" ca="1" si="561"/>
        <v>1.1735290000551568</v>
      </c>
      <c r="O1172">
        <f t="shared" ca="1" si="562"/>
        <v>4.5807502857230418</v>
      </c>
      <c r="P1172">
        <f t="shared" ca="1" si="563"/>
        <v>634.14696770439878</v>
      </c>
      <c r="Q1172">
        <f t="shared" ca="1" si="564"/>
        <v>635.21645155659814</v>
      </c>
      <c r="R1172">
        <f t="shared" ca="1" si="565"/>
        <v>3.8141460404132466E-3</v>
      </c>
      <c r="S1172">
        <f t="shared" ca="1" si="566"/>
        <v>1.0000000000000004</v>
      </c>
      <c r="T1172">
        <f t="shared" ca="1" si="567"/>
        <v>35.686426155594638</v>
      </c>
      <c r="U1172">
        <f t="shared" ca="1" si="588"/>
        <v>-3.4157470064428708E-3</v>
      </c>
      <c r="V1172">
        <f t="shared" ca="1" si="589"/>
        <v>1</v>
      </c>
      <c r="W1172">
        <f t="shared" ca="1" si="568"/>
        <v>1.68122402237435</v>
      </c>
      <c r="X1172">
        <f t="shared" ca="1" si="569"/>
        <v>8.7423649163466202</v>
      </c>
      <c r="Y1172">
        <f t="shared" ca="1" si="570"/>
        <v>1.0210123168815326</v>
      </c>
      <c r="Z1172">
        <f t="shared" ca="1" si="571"/>
        <v>5.8279424946827421</v>
      </c>
      <c r="AA1172">
        <f t="shared" ca="1" si="572"/>
        <v>633.68922402237433</v>
      </c>
      <c r="AB1172">
        <f t="shared" ca="1" si="573"/>
        <v>635.42036131703946</v>
      </c>
      <c r="AC1172">
        <f t="shared" ca="1" si="574"/>
        <v>7.4331299524274339E-3</v>
      </c>
      <c r="AD1172">
        <f t="shared" ca="1" si="575"/>
        <v>1.4350530655188929</v>
      </c>
      <c r="AE1172">
        <f t="shared" ca="1" si="576"/>
        <v>37.617404855380748</v>
      </c>
      <c r="AF1172">
        <f t="shared" ca="1" si="577"/>
        <v>7.097587995417598E-3</v>
      </c>
      <c r="AG1172">
        <f t="shared" ca="1" si="578"/>
        <v>0</v>
      </c>
      <c r="AH1172">
        <f ca="1">IFERROR(IF(V32="Supercritical",MAX($D$16,IFERROR(L1172,MAX($D$16,POWER((ABS(K1172)^2)/($I$5*MAX(F1172,0.1)^2),1/3)))),IF(V32="Subcritical",MAX($D$16,IFERROR(W1172,MAX($D$16,POWER((ABS(K1172)^2)/($I$5*MAX(F1172,0.1)^2),1/3)))),IF(AND(IFERROR(V1172,0)=1,IFERROR(AG1172,0)=1),IF(IFERROR(T1172,-1E+99)&gt;=IFERROR(AE1172,-1E+99),MAX($D$16,IFERROR(L1172,MAX($D$16,POWER((ABS(K1172)^2)/($I$5*MAX(F1172,0.1)^2),1/3)))),MAX($D$16,IFERROR(W1172,MAX($D$16,POWER((ABS(K1172)^2)/($I$5*MAX(F1172,0.1)^2),1/3))))),IF(IFERROR(V1172,0)=1,MAX($D$16,IFERROR(L1172,MAX($D$16,POWER((ABS(K1172)^2)/($I$5*MAX(F1172,0.1)^2),1/3)))),IF(IFERROR(AG1172,0)=1,MAX($D$16,IFERROR(W1172,MAX($D$16,POWER((ABS(K1172)^2)/($I$5*MAX(F1172,0.1)^2),1/3)))),MAX($D$16,POWER((ABS(K1172)^2)/($I$5*MAX(F1172,0.1)^2),1/3))))))),MAX($D$16,POWER((ABS(K1172)^2)/($I$5*MAX(F1172,0.1)^2),1/3)))</f>
        <v>2.1389677043987478</v>
      </c>
      <c r="AI1172">
        <f t="shared" ca="1" si="579"/>
        <v>634.14696770439878</v>
      </c>
      <c r="AJ1172">
        <f t="shared" ca="1" si="580"/>
        <v>635.21645155659814</v>
      </c>
      <c r="AM1172">
        <v>0</v>
      </c>
      <c r="AN1172">
        <v>0</v>
      </c>
      <c r="AO1172">
        <f t="shared" si="581"/>
        <v>0</v>
      </c>
      <c r="AP1172">
        <f t="shared" si="590"/>
        <v>0</v>
      </c>
      <c r="AQ1172">
        <f t="shared" ca="1" si="582"/>
        <v>1.0000000000000004</v>
      </c>
      <c r="AR1172" t="str">
        <f t="shared" ca="1" si="583"/>
        <v>Supercritical</v>
      </c>
      <c r="AS1172">
        <f t="shared" ca="1" si="584"/>
        <v>3.8141460404132466E-3</v>
      </c>
    </row>
    <row r="1173" spans="1:45" x14ac:dyDescent="0.35">
      <c r="A1173">
        <v>1112</v>
      </c>
      <c r="B1173">
        <v>1110.9960000000001</v>
      </c>
      <c r="C1173">
        <v>616076.60199999996</v>
      </c>
      <c r="D1173">
        <v>3096896.156</v>
      </c>
      <c r="E1173">
        <v>632.00750000000005</v>
      </c>
      <c r="F1173">
        <v>5.2</v>
      </c>
      <c r="G1173">
        <v>0</v>
      </c>
      <c r="H1173" t="s">
        <v>154</v>
      </c>
      <c r="I1173">
        <v>5.7000000000000002E-2</v>
      </c>
      <c r="J1173">
        <f t="shared" si="585"/>
        <v>1</v>
      </c>
      <c r="K1173">
        <f t="shared" ca="1" si="586"/>
        <v>50.95</v>
      </c>
      <c r="L1173">
        <f t="shared" ca="1" si="587"/>
        <v>2.1389677043987478</v>
      </c>
      <c r="M1173">
        <f t="shared" ca="1" si="560"/>
        <v>11.122632062873489</v>
      </c>
      <c r="N1173">
        <f t="shared" ca="1" si="561"/>
        <v>1.1735290000551568</v>
      </c>
      <c r="O1173">
        <f t="shared" ca="1" si="562"/>
        <v>4.5807502857230418</v>
      </c>
      <c r="P1173">
        <f t="shared" ca="1" si="563"/>
        <v>634.14646770439879</v>
      </c>
      <c r="Q1173">
        <f t="shared" ca="1" si="564"/>
        <v>635.21595155659816</v>
      </c>
      <c r="R1173">
        <f t="shared" ca="1" si="565"/>
        <v>3.8141460404132466E-3</v>
      </c>
      <c r="S1173">
        <f t="shared" ca="1" si="566"/>
        <v>1.0000000000000004</v>
      </c>
      <c r="T1173">
        <f t="shared" ca="1" si="567"/>
        <v>35.686426155594638</v>
      </c>
      <c r="U1173">
        <f t="shared" ca="1" si="588"/>
        <v>-3.4157470064428708E-3</v>
      </c>
      <c r="V1173">
        <f t="shared" ca="1" si="589"/>
        <v>1</v>
      </c>
      <c r="W1173">
        <f t="shared" ca="1" si="568"/>
        <v>1.6812225358301118</v>
      </c>
      <c r="X1173">
        <f t="shared" ca="1" si="569"/>
        <v>8.7423571863165819</v>
      </c>
      <c r="Y1173">
        <f t="shared" ca="1" si="570"/>
        <v>1.0210117686187354</v>
      </c>
      <c r="Z1173">
        <f t="shared" ca="1" si="571"/>
        <v>5.8279476477747041</v>
      </c>
      <c r="AA1173">
        <f t="shared" ca="1" si="572"/>
        <v>633.68872253583015</v>
      </c>
      <c r="AB1173">
        <f t="shared" ca="1" si="573"/>
        <v>635.41986289185479</v>
      </c>
      <c r="AC1173">
        <f t="shared" ca="1" si="574"/>
        <v>7.4331484191762793E-3</v>
      </c>
      <c r="AD1173">
        <f t="shared" ca="1" si="575"/>
        <v>1.4350549688395051</v>
      </c>
      <c r="AE1173">
        <f t="shared" ca="1" si="576"/>
        <v>37.617418622984545</v>
      </c>
      <c r="AF1173">
        <f t="shared" ca="1" si="577"/>
        <v>6.9257152706541092E-3</v>
      </c>
      <c r="AG1173">
        <f t="shared" ca="1" si="578"/>
        <v>0</v>
      </c>
      <c r="AH1173">
        <f ca="1">IFERROR(IF(V32="Supercritical",MAX($D$16,IFERROR(L1173,MAX($D$16,POWER((ABS(K1173)^2)/($I$5*MAX(F1173,0.1)^2),1/3)))),IF(V32="Subcritical",MAX($D$16,IFERROR(W1173,MAX($D$16,POWER((ABS(K1173)^2)/($I$5*MAX(F1173,0.1)^2),1/3)))),IF(AND(IFERROR(V1173,0)=1,IFERROR(AG1173,0)=1),IF(IFERROR(T1173,-1E+99)&gt;=IFERROR(AE1173,-1E+99),MAX($D$16,IFERROR(L1173,MAX($D$16,POWER((ABS(K1173)^2)/($I$5*MAX(F1173,0.1)^2),1/3)))),MAX($D$16,IFERROR(W1173,MAX($D$16,POWER((ABS(K1173)^2)/($I$5*MAX(F1173,0.1)^2),1/3))))),IF(IFERROR(V1173,0)=1,MAX($D$16,IFERROR(L1173,MAX($D$16,POWER((ABS(K1173)^2)/($I$5*MAX(F1173,0.1)^2),1/3)))),IF(IFERROR(AG1173,0)=1,MAX($D$16,IFERROR(W1173,MAX($D$16,POWER((ABS(K1173)^2)/($I$5*MAX(F1173,0.1)^2),1/3)))),MAX($D$16,POWER((ABS(K1173)^2)/($I$5*MAX(F1173,0.1)^2),1/3))))))),MAX($D$16,POWER((ABS(K1173)^2)/($I$5*MAX(F1173,0.1)^2),1/3)))</f>
        <v>2.1389677043987478</v>
      </c>
      <c r="AI1173">
        <f t="shared" ca="1" si="579"/>
        <v>634.14646770439879</v>
      </c>
      <c r="AJ1173">
        <f t="shared" ca="1" si="580"/>
        <v>635.21595155659816</v>
      </c>
      <c r="AM1173">
        <v>0</v>
      </c>
      <c r="AN1173">
        <v>0</v>
      </c>
      <c r="AO1173">
        <f t="shared" si="581"/>
        <v>0</v>
      </c>
      <c r="AP1173">
        <f t="shared" si="590"/>
        <v>0</v>
      </c>
      <c r="AQ1173">
        <f t="shared" ca="1" si="582"/>
        <v>1.0000000000000004</v>
      </c>
      <c r="AR1173" t="str">
        <f t="shared" ca="1" si="583"/>
        <v>Supercritical</v>
      </c>
      <c r="AS1173">
        <f t="shared" ca="1" si="584"/>
        <v>3.8141460404132466E-3</v>
      </c>
    </row>
    <row r="1174" spans="1:45" x14ac:dyDescent="0.35">
      <c r="A1174">
        <v>1113</v>
      </c>
      <c r="B1174">
        <v>1111.9949999999999</v>
      </c>
      <c r="C1174">
        <v>616076.56000000006</v>
      </c>
      <c r="D1174">
        <v>3096895.1570000001</v>
      </c>
      <c r="E1174">
        <v>632.00699999999995</v>
      </c>
      <c r="F1174">
        <v>5.2</v>
      </c>
      <c r="G1174">
        <v>0</v>
      </c>
      <c r="H1174" t="s">
        <v>154</v>
      </c>
      <c r="I1174">
        <v>0</v>
      </c>
      <c r="J1174">
        <f t="shared" si="585"/>
        <v>0.99899999999979627</v>
      </c>
      <c r="K1174">
        <f t="shared" ca="1" si="586"/>
        <v>50.95</v>
      </c>
      <c r="L1174">
        <f t="shared" ca="1" si="587"/>
        <v>2.1389677043987478</v>
      </c>
      <c r="M1174">
        <f t="shared" ca="1" si="560"/>
        <v>11.122632062873489</v>
      </c>
      <c r="N1174">
        <f t="shared" ca="1" si="561"/>
        <v>1.1735290000551568</v>
      </c>
      <c r="O1174">
        <f t="shared" ca="1" si="562"/>
        <v>4.5807502857230418</v>
      </c>
      <c r="P1174">
        <f t="shared" ca="1" si="563"/>
        <v>634.14596770439869</v>
      </c>
      <c r="Q1174">
        <f t="shared" ca="1" si="564"/>
        <v>635.21545155659805</v>
      </c>
      <c r="R1174">
        <f t="shared" ca="1" si="565"/>
        <v>3.8141460404132466E-3</v>
      </c>
      <c r="S1174">
        <f t="shared" ca="1" si="566"/>
        <v>1.0000000000000004</v>
      </c>
      <c r="T1174">
        <f t="shared" ca="1" si="567"/>
        <v>35.686426155594638</v>
      </c>
      <c r="U1174">
        <f t="shared" ca="1" si="588"/>
        <v>-3.3103318942266924E-3</v>
      </c>
      <c r="V1174">
        <f t="shared" ca="1" si="589"/>
        <v>1</v>
      </c>
      <c r="W1174">
        <f t="shared" ca="1" si="568"/>
        <v>1.6812211463619957</v>
      </c>
      <c r="X1174">
        <f t="shared" ca="1" si="569"/>
        <v>8.7423499610823772</v>
      </c>
      <c r="Y1174">
        <f t="shared" ca="1" si="570"/>
        <v>1.0210112561589191</v>
      </c>
      <c r="Z1174">
        <f t="shared" ca="1" si="571"/>
        <v>5.8279524643614202</v>
      </c>
      <c r="AA1174">
        <f t="shared" ca="1" si="572"/>
        <v>633.68822114636191</v>
      </c>
      <c r="AB1174">
        <f t="shared" ca="1" si="573"/>
        <v>635.41936436383673</v>
      </c>
      <c r="AC1174">
        <f t="shared" ca="1" si="574"/>
        <v>7.4331656800449199E-3</v>
      </c>
      <c r="AD1174">
        <f t="shared" ca="1" si="575"/>
        <v>1.4350567478709615</v>
      </c>
      <c r="AE1174">
        <f t="shared" ca="1" si="576"/>
        <v>37.617431491572695</v>
      </c>
      <c r="AF1174">
        <f t="shared" ca="1" si="577"/>
        <v>6.9331656800386554E-3</v>
      </c>
      <c r="AG1174">
        <f t="shared" ca="1" si="578"/>
        <v>0</v>
      </c>
      <c r="AH1174">
        <f ca="1">IFERROR(IF(V32="Supercritical",MAX($D$16,IFERROR(L1174,MAX($D$16,POWER((ABS(K1174)^2)/($I$5*MAX(F1174,0.1)^2),1/3)))),IF(V32="Subcritical",MAX($D$16,IFERROR(W1174,MAX($D$16,POWER((ABS(K1174)^2)/($I$5*MAX(F1174,0.1)^2),1/3)))),IF(AND(IFERROR(V1174,0)=1,IFERROR(AG1174,0)=1),IF(IFERROR(T1174,-1E+99)&gt;=IFERROR(AE1174,-1E+99),MAX($D$16,IFERROR(L1174,MAX($D$16,POWER((ABS(K1174)^2)/($I$5*MAX(F1174,0.1)^2),1/3)))),MAX($D$16,IFERROR(W1174,MAX($D$16,POWER((ABS(K1174)^2)/($I$5*MAX(F1174,0.1)^2),1/3))))),IF(IFERROR(V1174,0)=1,MAX($D$16,IFERROR(L1174,MAX($D$16,POWER((ABS(K1174)^2)/($I$5*MAX(F1174,0.1)^2),1/3)))),IF(IFERROR(AG1174,0)=1,MAX($D$16,IFERROR(W1174,MAX($D$16,POWER((ABS(K1174)^2)/($I$5*MAX(F1174,0.1)^2),1/3)))),MAX($D$16,POWER((ABS(K1174)^2)/($I$5*MAX(F1174,0.1)^2),1/3))))))),MAX($D$16,POWER((ABS(K1174)^2)/($I$5*MAX(F1174,0.1)^2),1/3)))</f>
        <v>2.1389677043987478</v>
      </c>
      <c r="AI1174">
        <f t="shared" ca="1" si="579"/>
        <v>634.14596770439869</v>
      </c>
      <c r="AJ1174">
        <f t="shared" ca="1" si="580"/>
        <v>635.21545155659805</v>
      </c>
      <c r="AM1174">
        <v>0</v>
      </c>
      <c r="AN1174">
        <v>0</v>
      </c>
      <c r="AO1174">
        <f t="shared" si="581"/>
        <v>0</v>
      </c>
      <c r="AP1174">
        <f t="shared" si="590"/>
        <v>0</v>
      </c>
      <c r="AQ1174">
        <f t="shared" ca="1" si="582"/>
        <v>1.0000000000000004</v>
      </c>
      <c r="AR1174" t="str">
        <f t="shared" ca="1" si="583"/>
        <v>Supercritical</v>
      </c>
      <c r="AS1174">
        <f t="shared" ca="1" si="584"/>
        <v>3.8141460404132466E-3</v>
      </c>
    </row>
    <row r="1175" spans="1:45" x14ac:dyDescent="0.35">
      <c r="A1175">
        <v>1114</v>
      </c>
      <c r="B1175">
        <v>1112.9949999999999</v>
      </c>
      <c r="C1175">
        <v>616076.51800000004</v>
      </c>
      <c r="D1175">
        <v>3096894.1579999998</v>
      </c>
      <c r="E1175">
        <v>632.00649999999996</v>
      </c>
      <c r="F1175">
        <v>5.2</v>
      </c>
      <c r="G1175">
        <v>0</v>
      </c>
      <c r="H1175" t="s">
        <v>154</v>
      </c>
      <c r="I1175">
        <v>0</v>
      </c>
      <c r="J1175">
        <f t="shared" si="585"/>
        <v>1</v>
      </c>
      <c r="K1175">
        <f t="shared" ca="1" si="586"/>
        <v>50.95</v>
      </c>
      <c r="L1175">
        <f t="shared" ca="1" si="587"/>
        <v>2.1389677043987478</v>
      </c>
      <c r="M1175">
        <f t="shared" ca="1" si="560"/>
        <v>11.122632062873489</v>
      </c>
      <c r="N1175">
        <f t="shared" ca="1" si="561"/>
        <v>1.1735290000551568</v>
      </c>
      <c r="O1175">
        <f t="shared" ca="1" si="562"/>
        <v>4.5807502857230418</v>
      </c>
      <c r="P1175">
        <f t="shared" ca="1" si="563"/>
        <v>634.1454677043987</v>
      </c>
      <c r="Q1175">
        <f t="shared" ca="1" si="564"/>
        <v>635.21495155659807</v>
      </c>
      <c r="R1175">
        <f t="shared" ca="1" si="565"/>
        <v>3.8141460404132466E-3</v>
      </c>
      <c r="S1175">
        <f t="shared" ca="1" si="566"/>
        <v>1.0000000000000004</v>
      </c>
      <c r="T1175">
        <f t="shared" ca="1" si="567"/>
        <v>35.686426155594638</v>
      </c>
      <c r="U1175">
        <f t="shared" ca="1" si="588"/>
        <v>-3.3141460404522149E-3</v>
      </c>
      <c r="V1175">
        <f t="shared" ca="1" si="589"/>
        <v>1</v>
      </c>
      <c r="W1175">
        <f t="shared" ca="1" si="568"/>
        <v>1.6812198476313751</v>
      </c>
      <c r="X1175">
        <f t="shared" ca="1" si="569"/>
        <v>8.7423432076831507</v>
      </c>
      <c r="Y1175">
        <f t="shared" ca="1" si="570"/>
        <v>1.021010777164356</v>
      </c>
      <c r="Z1175">
        <f t="shared" ca="1" si="571"/>
        <v>5.8279569664140993</v>
      </c>
      <c r="AA1175">
        <f t="shared" ca="1" si="572"/>
        <v>633.68771984763134</v>
      </c>
      <c r="AB1175">
        <f t="shared" ca="1" si="573"/>
        <v>635.41886573969941</v>
      </c>
      <c r="AC1175">
        <f t="shared" ca="1" si="574"/>
        <v>7.4331818137644938E-3</v>
      </c>
      <c r="AD1175">
        <f t="shared" ca="1" si="575"/>
        <v>1.4350584107282935</v>
      </c>
      <c r="AE1175">
        <f t="shared" ca="1" si="576"/>
        <v>37.61744351984008</v>
      </c>
      <c r="AF1175">
        <f t="shared" ca="1" si="577"/>
        <v>7.0918701871960366E-3</v>
      </c>
      <c r="AG1175">
        <f t="shared" ca="1" si="578"/>
        <v>0</v>
      </c>
      <c r="AH1175">
        <f ca="1">IFERROR(IF(V32="Supercritical",MAX($D$16,IFERROR(L1175,MAX($D$16,POWER((ABS(K1175)^2)/($I$5*MAX(F1175,0.1)^2),1/3)))),IF(V32="Subcritical",MAX($D$16,IFERROR(W1175,MAX($D$16,POWER((ABS(K1175)^2)/($I$5*MAX(F1175,0.1)^2),1/3)))),IF(AND(IFERROR(V1175,0)=1,IFERROR(AG1175,0)=1),IF(IFERROR(T1175,-1E+99)&gt;=IFERROR(AE1175,-1E+99),MAX($D$16,IFERROR(L1175,MAX($D$16,POWER((ABS(K1175)^2)/($I$5*MAX(F1175,0.1)^2),1/3)))),MAX($D$16,IFERROR(W1175,MAX($D$16,POWER((ABS(K1175)^2)/($I$5*MAX(F1175,0.1)^2),1/3))))),IF(IFERROR(V1175,0)=1,MAX($D$16,IFERROR(L1175,MAX($D$16,POWER((ABS(K1175)^2)/($I$5*MAX(F1175,0.1)^2),1/3)))),IF(IFERROR(AG1175,0)=1,MAX($D$16,IFERROR(W1175,MAX($D$16,POWER((ABS(K1175)^2)/($I$5*MAX(F1175,0.1)^2),1/3)))),MAX($D$16,POWER((ABS(K1175)^2)/($I$5*MAX(F1175,0.1)^2),1/3))))))),MAX($D$16,POWER((ABS(K1175)^2)/($I$5*MAX(F1175,0.1)^2),1/3)))</f>
        <v>2.1389677043987478</v>
      </c>
      <c r="AI1175">
        <f t="shared" ca="1" si="579"/>
        <v>634.1454677043987</v>
      </c>
      <c r="AJ1175">
        <f t="shared" ca="1" si="580"/>
        <v>635.21495155659807</v>
      </c>
      <c r="AM1175">
        <v>0</v>
      </c>
      <c r="AN1175">
        <v>0</v>
      </c>
      <c r="AO1175">
        <f t="shared" si="581"/>
        <v>0</v>
      </c>
      <c r="AP1175">
        <f t="shared" si="590"/>
        <v>0</v>
      </c>
      <c r="AQ1175">
        <f t="shared" ca="1" si="582"/>
        <v>1.0000000000000004</v>
      </c>
      <c r="AR1175" t="str">
        <f t="shared" ca="1" si="583"/>
        <v>Supercritical</v>
      </c>
      <c r="AS1175">
        <f t="shared" ca="1" si="584"/>
        <v>3.8141460404132466E-3</v>
      </c>
    </row>
    <row r="1176" spans="1:45" x14ac:dyDescent="0.35">
      <c r="A1176">
        <v>1115</v>
      </c>
      <c r="B1176">
        <v>1113.9949999999999</v>
      </c>
      <c r="C1176">
        <v>616076.47600000002</v>
      </c>
      <c r="D1176">
        <v>3096893.159</v>
      </c>
      <c r="E1176">
        <v>632.00599999999997</v>
      </c>
      <c r="F1176">
        <v>5.2</v>
      </c>
      <c r="G1176">
        <v>0</v>
      </c>
      <c r="H1176" t="s">
        <v>154</v>
      </c>
      <c r="I1176">
        <v>5.5E-2</v>
      </c>
      <c r="J1176">
        <f t="shared" si="585"/>
        <v>1</v>
      </c>
      <c r="K1176">
        <f t="shared" ca="1" si="586"/>
        <v>50.95</v>
      </c>
      <c r="L1176">
        <f t="shared" ca="1" si="587"/>
        <v>2.1389677043987478</v>
      </c>
      <c r="M1176">
        <f t="shared" ca="1" si="560"/>
        <v>11.122632062873489</v>
      </c>
      <c r="N1176">
        <f t="shared" ca="1" si="561"/>
        <v>1.1735290000551568</v>
      </c>
      <c r="O1176">
        <f t="shared" ca="1" si="562"/>
        <v>4.5807502857230418</v>
      </c>
      <c r="P1176">
        <f t="shared" ca="1" si="563"/>
        <v>634.14496770439871</v>
      </c>
      <c r="Q1176">
        <f t="shared" ca="1" si="564"/>
        <v>635.21445155659808</v>
      </c>
      <c r="R1176">
        <f t="shared" ca="1" si="565"/>
        <v>3.8141460404132466E-3</v>
      </c>
      <c r="S1176">
        <f t="shared" ca="1" si="566"/>
        <v>1.0000000000000004</v>
      </c>
      <c r="T1176">
        <f t="shared" ca="1" si="567"/>
        <v>35.686426155594638</v>
      </c>
      <c r="U1176">
        <f t="shared" ca="1" si="588"/>
        <v>-3.4121820602877051E-3</v>
      </c>
      <c r="V1176">
        <f t="shared" ca="1" si="589"/>
        <v>1</v>
      </c>
      <c r="W1176">
        <f t="shared" ca="1" si="568"/>
        <v>1.6812186337134147</v>
      </c>
      <c r="X1176">
        <f t="shared" ca="1" si="569"/>
        <v>8.7423368953097569</v>
      </c>
      <c r="Y1176">
        <f t="shared" ca="1" si="570"/>
        <v>1.021010329449922</v>
      </c>
      <c r="Z1176">
        <f t="shared" ca="1" si="571"/>
        <v>5.8279611744697872</v>
      </c>
      <c r="AA1176">
        <f t="shared" ca="1" si="572"/>
        <v>633.68721863371343</v>
      </c>
      <c r="AB1176">
        <f t="shared" ca="1" si="573"/>
        <v>635.41836702571788</v>
      </c>
      <c r="AC1176">
        <f t="shared" ca="1" si="574"/>
        <v>7.4331968939274386E-3</v>
      </c>
      <c r="AD1176">
        <f t="shared" ca="1" si="575"/>
        <v>1.435059964996839</v>
      </c>
      <c r="AE1176">
        <f t="shared" ca="1" si="576"/>
        <v>37.617454762650802</v>
      </c>
      <c r="AF1176">
        <f t="shared" ca="1" si="577"/>
        <v>7.0993186934629193E-3</v>
      </c>
      <c r="AG1176">
        <f t="shared" ca="1" si="578"/>
        <v>0</v>
      </c>
      <c r="AH1176">
        <f ca="1">IFERROR(IF(V32="Supercritical",MAX($D$16,IFERROR(L1176,MAX($D$16,POWER((ABS(K1176)^2)/($I$5*MAX(F1176,0.1)^2),1/3)))),IF(V32="Subcritical",MAX($D$16,IFERROR(W1176,MAX($D$16,POWER((ABS(K1176)^2)/($I$5*MAX(F1176,0.1)^2),1/3)))),IF(AND(IFERROR(V1176,0)=1,IFERROR(AG1176,0)=1),IF(IFERROR(T1176,-1E+99)&gt;=IFERROR(AE1176,-1E+99),MAX($D$16,IFERROR(L1176,MAX($D$16,POWER((ABS(K1176)^2)/($I$5*MAX(F1176,0.1)^2),1/3)))),MAX($D$16,IFERROR(W1176,MAX($D$16,POWER((ABS(K1176)^2)/($I$5*MAX(F1176,0.1)^2),1/3))))),IF(IFERROR(V1176,0)=1,MAX($D$16,IFERROR(L1176,MAX($D$16,POWER((ABS(K1176)^2)/($I$5*MAX(F1176,0.1)^2),1/3)))),IF(IFERROR(AG1176,0)=1,MAX($D$16,IFERROR(W1176,MAX($D$16,POWER((ABS(K1176)^2)/($I$5*MAX(F1176,0.1)^2),1/3)))),MAX($D$16,POWER((ABS(K1176)^2)/($I$5*MAX(F1176,0.1)^2),1/3))))))),MAX($D$16,POWER((ABS(K1176)^2)/($I$5*MAX(F1176,0.1)^2),1/3)))</f>
        <v>2.1389677043987478</v>
      </c>
      <c r="AI1176">
        <f t="shared" ca="1" si="579"/>
        <v>634.14496770439871</v>
      </c>
      <c r="AJ1176">
        <f t="shared" ca="1" si="580"/>
        <v>635.21445155659808</v>
      </c>
      <c r="AM1176">
        <v>0</v>
      </c>
      <c r="AN1176">
        <v>0</v>
      </c>
      <c r="AO1176">
        <f t="shared" si="581"/>
        <v>0</v>
      </c>
      <c r="AP1176">
        <f t="shared" si="590"/>
        <v>0</v>
      </c>
      <c r="AQ1176">
        <f t="shared" ca="1" si="582"/>
        <v>1.0000000000000004</v>
      </c>
      <c r="AR1176" t="str">
        <f t="shared" ca="1" si="583"/>
        <v>Supercritical</v>
      </c>
      <c r="AS1176">
        <f t="shared" ca="1" si="584"/>
        <v>3.8141460404132466E-3</v>
      </c>
    </row>
    <row r="1177" spans="1:45" x14ac:dyDescent="0.35">
      <c r="A1177">
        <v>1116</v>
      </c>
      <c r="B1177">
        <v>1114.9960000000001</v>
      </c>
      <c r="C1177">
        <v>616076.43299999996</v>
      </c>
      <c r="D1177">
        <v>3096892.159</v>
      </c>
      <c r="E1177">
        <v>632.00549999999998</v>
      </c>
      <c r="F1177">
        <v>5.2</v>
      </c>
      <c r="G1177">
        <v>0</v>
      </c>
      <c r="H1177" t="s">
        <v>154</v>
      </c>
      <c r="I1177">
        <v>5.5E-2</v>
      </c>
      <c r="J1177">
        <f t="shared" si="585"/>
        <v>1.0010000000002037</v>
      </c>
      <c r="K1177">
        <f t="shared" ca="1" si="586"/>
        <v>50.95</v>
      </c>
      <c r="L1177">
        <f t="shared" ca="1" si="587"/>
        <v>2.1389677043987478</v>
      </c>
      <c r="M1177">
        <f t="shared" ca="1" si="560"/>
        <v>11.122632062873489</v>
      </c>
      <c r="N1177">
        <f t="shared" ca="1" si="561"/>
        <v>1.1735290000551568</v>
      </c>
      <c r="O1177">
        <f t="shared" ca="1" si="562"/>
        <v>4.5807502857230418</v>
      </c>
      <c r="P1177">
        <f t="shared" ca="1" si="563"/>
        <v>634.14446770439872</v>
      </c>
      <c r="Q1177">
        <f t="shared" ca="1" si="564"/>
        <v>635.21395155659809</v>
      </c>
      <c r="R1177">
        <f t="shared" ca="1" si="565"/>
        <v>3.8141460404132466E-3</v>
      </c>
      <c r="S1177">
        <f t="shared" ca="1" si="566"/>
        <v>1.0000000000000004</v>
      </c>
      <c r="T1177">
        <f t="shared" ca="1" si="567"/>
        <v>35.686426155594638</v>
      </c>
      <c r="U1177">
        <f t="shared" ca="1" si="588"/>
        <v>-3.415996206285854E-3</v>
      </c>
      <c r="V1177">
        <f t="shared" ca="1" si="589"/>
        <v>1</v>
      </c>
      <c r="W1177">
        <f t="shared" ca="1" si="568"/>
        <v>1.6812174990700595</v>
      </c>
      <c r="X1177">
        <f t="shared" ca="1" si="569"/>
        <v>8.7423309951643091</v>
      </c>
      <c r="Y1177">
        <f t="shared" ca="1" si="570"/>
        <v>1.0210099109731363</v>
      </c>
      <c r="Z1177">
        <f t="shared" ca="1" si="571"/>
        <v>5.8279651077249577</v>
      </c>
      <c r="AA1177">
        <f t="shared" ca="1" si="572"/>
        <v>633.68671749907003</v>
      </c>
      <c r="AB1177">
        <f t="shared" ca="1" si="573"/>
        <v>635.41786822775805</v>
      </c>
      <c r="AC1177">
        <f t="shared" ca="1" si="574"/>
        <v>7.4332109893227834E-3</v>
      </c>
      <c r="AD1177">
        <f t="shared" ca="1" si="575"/>
        <v>1.4350614177668068</v>
      </c>
      <c r="AE1177">
        <f t="shared" ca="1" si="576"/>
        <v>37.617465271288076</v>
      </c>
      <c r="AF1177">
        <f t="shared" ca="1" si="577"/>
        <v>6.9332109893593952E-3</v>
      </c>
      <c r="AG1177">
        <f t="shared" ca="1" si="578"/>
        <v>0</v>
      </c>
      <c r="AH1177">
        <f ca="1">IFERROR(IF(V32="Supercritical",MAX($D$16,IFERROR(L1177,MAX($D$16,POWER((ABS(K1177)^2)/($I$5*MAX(F1177,0.1)^2),1/3)))),IF(V32="Subcritical",MAX($D$16,IFERROR(W1177,MAX($D$16,POWER((ABS(K1177)^2)/($I$5*MAX(F1177,0.1)^2),1/3)))),IF(AND(IFERROR(V1177,0)=1,IFERROR(AG1177,0)=1),IF(IFERROR(T1177,-1E+99)&gt;=IFERROR(AE1177,-1E+99),MAX($D$16,IFERROR(L1177,MAX($D$16,POWER((ABS(K1177)^2)/($I$5*MAX(F1177,0.1)^2),1/3)))),MAX($D$16,IFERROR(W1177,MAX($D$16,POWER((ABS(K1177)^2)/($I$5*MAX(F1177,0.1)^2),1/3))))),IF(IFERROR(V1177,0)=1,MAX($D$16,IFERROR(L1177,MAX($D$16,POWER((ABS(K1177)^2)/($I$5*MAX(F1177,0.1)^2),1/3)))),IF(IFERROR(AG1177,0)=1,MAX($D$16,IFERROR(W1177,MAX($D$16,POWER((ABS(K1177)^2)/($I$5*MAX(F1177,0.1)^2),1/3)))),MAX($D$16,POWER((ABS(K1177)^2)/($I$5*MAX(F1177,0.1)^2),1/3))))))),MAX($D$16,POWER((ABS(K1177)^2)/($I$5*MAX(F1177,0.1)^2),1/3)))</f>
        <v>2.1389677043987478</v>
      </c>
      <c r="AI1177">
        <f t="shared" ca="1" si="579"/>
        <v>634.14446770439872</v>
      </c>
      <c r="AJ1177">
        <f t="shared" ca="1" si="580"/>
        <v>635.21395155659809</v>
      </c>
      <c r="AM1177">
        <v>0</v>
      </c>
      <c r="AN1177">
        <v>0</v>
      </c>
      <c r="AO1177">
        <f t="shared" si="581"/>
        <v>0</v>
      </c>
      <c r="AP1177">
        <f t="shared" si="590"/>
        <v>0</v>
      </c>
      <c r="AQ1177">
        <f t="shared" ca="1" si="582"/>
        <v>1.0000000000000004</v>
      </c>
      <c r="AR1177" t="str">
        <f t="shared" ca="1" si="583"/>
        <v>Supercritical</v>
      </c>
      <c r="AS1177">
        <f t="shared" ca="1" si="584"/>
        <v>3.8141460404132466E-3</v>
      </c>
    </row>
    <row r="1178" spans="1:45" x14ac:dyDescent="0.35">
      <c r="A1178">
        <v>1117</v>
      </c>
      <c r="B1178">
        <v>1115.9960000000001</v>
      </c>
      <c r="C1178">
        <v>616076.39099999995</v>
      </c>
      <c r="D1178">
        <v>3096891.16</v>
      </c>
      <c r="E1178">
        <v>632.005</v>
      </c>
      <c r="F1178">
        <v>5.2</v>
      </c>
      <c r="G1178">
        <v>0</v>
      </c>
      <c r="H1178" t="s">
        <v>154</v>
      </c>
      <c r="I1178">
        <v>0</v>
      </c>
      <c r="J1178">
        <f t="shared" si="585"/>
        <v>1</v>
      </c>
      <c r="K1178">
        <f t="shared" ca="1" si="586"/>
        <v>50.95</v>
      </c>
      <c r="L1178">
        <f t="shared" ca="1" si="587"/>
        <v>2.1389677043987478</v>
      </c>
      <c r="M1178">
        <f t="shared" ca="1" si="560"/>
        <v>11.122632062873489</v>
      </c>
      <c r="N1178">
        <f t="shared" ca="1" si="561"/>
        <v>1.1735290000551568</v>
      </c>
      <c r="O1178">
        <f t="shared" ca="1" si="562"/>
        <v>4.5807502857230418</v>
      </c>
      <c r="P1178">
        <f t="shared" ca="1" si="563"/>
        <v>634.14396770439873</v>
      </c>
      <c r="Q1178">
        <f t="shared" ca="1" si="564"/>
        <v>635.2134515565981</v>
      </c>
      <c r="R1178">
        <f t="shared" ca="1" si="565"/>
        <v>3.8141460404132466E-3</v>
      </c>
      <c r="S1178">
        <f t="shared" ca="1" si="566"/>
        <v>1.0000000000000004</v>
      </c>
      <c r="T1178">
        <f t="shared" ca="1" si="567"/>
        <v>35.686426155594638</v>
      </c>
      <c r="U1178">
        <f t="shared" ca="1" si="588"/>
        <v>-3.3141460404522149E-3</v>
      </c>
      <c r="V1178">
        <f t="shared" ca="1" si="589"/>
        <v>1</v>
      </c>
      <c r="W1178">
        <f t="shared" ca="1" si="568"/>
        <v>1.6812164385248292</v>
      </c>
      <c r="X1178">
        <f t="shared" ca="1" si="569"/>
        <v>8.7423254803291126</v>
      </c>
      <c r="Y1178">
        <f t="shared" ca="1" si="570"/>
        <v>1.0210095198248654</v>
      </c>
      <c r="Z1178">
        <f t="shared" ca="1" si="571"/>
        <v>5.8279687841228656</v>
      </c>
      <c r="AA1178">
        <f t="shared" ca="1" si="572"/>
        <v>633.68621643852487</v>
      </c>
      <c r="AB1178">
        <f t="shared" ca="1" si="573"/>
        <v>635.41736935130314</v>
      </c>
      <c r="AC1178">
        <f t="shared" ca="1" si="574"/>
        <v>7.4332241642490809E-3</v>
      </c>
      <c r="AD1178">
        <f t="shared" ca="1" si="575"/>
        <v>1.4350627756655403</v>
      </c>
      <c r="AE1178">
        <f t="shared" ca="1" si="576"/>
        <v>37.617475093687538</v>
      </c>
      <c r="AF1178">
        <f t="shared" ca="1" si="577"/>
        <v>6.9332241642996451E-3</v>
      </c>
      <c r="AG1178">
        <f t="shared" ca="1" si="578"/>
        <v>0</v>
      </c>
      <c r="AH1178">
        <f ca="1">IFERROR(IF(V32="Supercritical",MAX($D$16,IFERROR(L1178,MAX($D$16,POWER((ABS(K1178)^2)/($I$5*MAX(F1178,0.1)^2),1/3)))),IF(V32="Subcritical",MAX($D$16,IFERROR(W1178,MAX($D$16,POWER((ABS(K1178)^2)/($I$5*MAX(F1178,0.1)^2),1/3)))),IF(AND(IFERROR(V1178,0)=1,IFERROR(AG1178,0)=1),IF(IFERROR(T1178,-1E+99)&gt;=IFERROR(AE1178,-1E+99),MAX($D$16,IFERROR(L1178,MAX($D$16,POWER((ABS(K1178)^2)/($I$5*MAX(F1178,0.1)^2),1/3)))),MAX($D$16,IFERROR(W1178,MAX($D$16,POWER((ABS(K1178)^2)/($I$5*MAX(F1178,0.1)^2),1/3))))),IF(IFERROR(V1178,0)=1,MAX($D$16,IFERROR(L1178,MAX($D$16,POWER((ABS(K1178)^2)/($I$5*MAX(F1178,0.1)^2),1/3)))),IF(IFERROR(AG1178,0)=1,MAX($D$16,IFERROR(W1178,MAX($D$16,POWER((ABS(K1178)^2)/($I$5*MAX(F1178,0.1)^2),1/3)))),MAX($D$16,POWER((ABS(K1178)^2)/($I$5*MAX(F1178,0.1)^2),1/3))))))),MAX($D$16,POWER((ABS(K1178)^2)/($I$5*MAX(F1178,0.1)^2),1/3)))</f>
        <v>2.1389677043987478</v>
      </c>
      <c r="AI1178">
        <f t="shared" ca="1" si="579"/>
        <v>634.14396770439873</v>
      </c>
      <c r="AJ1178">
        <f t="shared" ca="1" si="580"/>
        <v>635.2134515565981</v>
      </c>
      <c r="AM1178">
        <v>0</v>
      </c>
      <c r="AN1178">
        <v>0</v>
      </c>
      <c r="AO1178">
        <f t="shared" si="581"/>
        <v>0</v>
      </c>
      <c r="AP1178">
        <f t="shared" si="590"/>
        <v>0</v>
      </c>
      <c r="AQ1178">
        <f t="shared" ca="1" si="582"/>
        <v>1.0000000000000004</v>
      </c>
      <c r="AR1178" t="str">
        <f t="shared" ca="1" si="583"/>
        <v>Supercritical</v>
      </c>
      <c r="AS1178">
        <f t="shared" ca="1" si="584"/>
        <v>3.8141460404132466E-3</v>
      </c>
    </row>
    <row r="1179" spans="1:45" x14ac:dyDescent="0.35">
      <c r="A1179">
        <v>1118</v>
      </c>
      <c r="B1179">
        <v>1116.9960000000001</v>
      </c>
      <c r="C1179">
        <v>616076.34900000005</v>
      </c>
      <c r="D1179">
        <v>3096890.1609999998</v>
      </c>
      <c r="E1179">
        <v>632.00450000000001</v>
      </c>
      <c r="F1179">
        <v>5.2</v>
      </c>
      <c r="G1179">
        <v>0</v>
      </c>
      <c r="H1179" t="s">
        <v>154</v>
      </c>
      <c r="I1179">
        <v>0</v>
      </c>
      <c r="J1179">
        <f t="shared" si="585"/>
        <v>1</v>
      </c>
      <c r="K1179">
        <f t="shared" ca="1" si="586"/>
        <v>50.95</v>
      </c>
      <c r="L1179">
        <f t="shared" ca="1" si="587"/>
        <v>2.1389677043987478</v>
      </c>
      <c r="M1179">
        <f t="shared" ca="1" si="560"/>
        <v>11.122632062873489</v>
      </c>
      <c r="N1179">
        <f t="shared" ca="1" si="561"/>
        <v>1.1735290000551568</v>
      </c>
      <c r="O1179">
        <f t="shared" ca="1" si="562"/>
        <v>4.5807502857230418</v>
      </c>
      <c r="P1179">
        <f t="shared" ca="1" si="563"/>
        <v>634.14346770439874</v>
      </c>
      <c r="Q1179">
        <f t="shared" ca="1" si="564"/>
        <v>635.21295155659811</v>
      </c>
      <c r="R1179">
        <f t="shared" ca="1" si="565"/>
        <v>3.8141460404132466E-3</v>
      </c>
      <c r="S1179">
        <f t="shared" ca="1" si="566"/>
        <v>1.0000000000000004</v>
      </c>
      <c r="T1179">
        <f t="shared" ca="1" si="567"/>
        <v>35.686426155594638</v>
      </c>
      <c r="U1179">
        <f t="shared" ca="1" si="588"/>
        <v>-3.3141460404522149E-3</v>
      </c>
      <c r="V1179">
        <f t="shared" ca="1" si="589"/>
        <v>1</v>
      </c>
      <c r="W1179">
        <f t="shared" ca="1" si="568"/>
        <v>1.6812154472391665</v>
      </c>
      <c r="X1179">
        <f t="shared" ca="1" si="569"/>
        <v>8.7423203256436661</v>
      </c>
      <c r="Y1179">
        <f t="shared" ca="1" si="570"/>
        <v>1.021009154220601</v>
      </c>
      <c r="Z1179">
        <f t="shared" ca="1" si="571"/>
        <v>5.8279722204355098</v>
      </c>
      <c r="AA1179">
        <f t="shared" ca="1" si="572"/>
        <v>633.6857154472392</v>
      </c>
      <c r="AB1179">
        <f t="shared" ca="1" si="573"/>
        <v>635.41687040147815</v>
      </c>
      <c r="AC1179">
        <f t="shared" ca="1" si="574"/>
        <v>7.4332364788080819E-3</v>
      </c>
      <c r="AD1179">
        <f t="shared" ca="1" si="575"/>
        <v>1.4350640448877869</v>
      </c>
      <c r="AE1179">
        <f t="shared" ca="1" si="576"/>
        <v>37.617484274656164</v>
      </c>
      <c r="AF1179">
        <f t="shared" ca="1" si="577"/>
        <v>7.0976961994801968E-3</v>
      </c>
      <c r="AG1179">
        <f t="shared" ca="1" si="578"/>
        <v>0</v>
      </c>
      <c r="AH1179">
        <f ca="1">IFERROR(IF(V32="Supercritical",MAX($D$16,IFERROR(L1179,MAX($D$16,POWER((ABS(K1179)^2)/($I$5*MAX(F1179,0.1)^2),1/3)))),IF(V32="Subcritical",MAX($D$16,IFERROR(W1179,MAX($D$16,POWER((ABS(K1179)^2)/($I$5*MAX(F1179,0.1)^2),1/3)))),IF(AND(IFERROR(V1179,0)=1,IFERROR(AG1179,0)=1),IF(IFERROR(T1179,-1E+99)&gt;=IFERROR(AE1179,-1E+99),MAX($D$16,IFERROR(L1179,MAX($D$16,POWER((ABS(K1179)^2)/($I$5*MAX(F1179,0.1)^2),1/3)))),MAX($D$16,IFERROR(W1179,MAX($D$16,POWER((ABS(K1179)^2)/($I$5*MAX(F1179,0.1)^2),1/3))))),IF(IFERROR(V1179,0)=1,MAX($D$16,IFERROR(L1179,MAX($D$16,POWER((ABS(K1179)^2)/($I$5*MAX(F1179,0.1)^2),1/3)))),IF(IFERROR(AG1179,0)=1,MAX($D$16,IFERROR(W1179,MAX($D$16,POWER((ABS(K1179)^2)/($I$5*MAX(F1179,0.1)^2),1/3)))),MAX($D$16,POWER((ABS(K1179)^2)/($I$5*MAX(F1179,0.1)^2),1/3))))))),MAX($D$16,POWER((ABS(K1179)^2)/($I$5*MAX(F1179,0.1)^2),1/3)))</f>
        <v>2.1389677043987478</v>
      </c>
      <c r="AI1179">
        <f t="shared" ca="1" si="579"/>
        <v>634.14346770439874</v>
      </c>
      <c r="AJ1179">
        <f t="shared" ca="1" si="580"/>
        <v>635.21295155659811</v>
      </c>
      <c r="AM1179">
        <v>0</v>
      </c>
      <c r="AN1179">
        <v>0</v>
      </c>
      <c r="AO1179">
        <f t="shared" si="581"/>
        <v>0</v>
      </c>
      <c r="AP1179">
        <f t="shared" si="590"/>
        <v>0</v>
      </c>
      <c r="AQ1179">
        <f t="shared" ca="1" si="582"/>
        <v>1.0000000000000004</v>
      </c>
      <c r="AR1179" t="str">
        <f t="shared" ca="1" si="583"/>
        <v>Supercritical</v>
      </c>
      <c r="AS1179">
        <f t="shared" ca="1" si="584"/>
        <v>3.8141460404132466E-3</v>
      </c>
    </row>
    <row r="1180" spans="1:45" x14ac:dyDescent="0.35">
      <c r="A1180">
        <v>1119</v>
      </c>
      <c r="B1180">
        <v>1117.9960000000001</v>
      </c>
      <c r="C1180">
        <v>616076.30700000003</v>
      </c>
      <c r="D1180">
        <v>3096889.162</v>
      </c>
      <c r="E1180">
        <v>632.00400000000002</v>
      </c>
      <c r="F1180">
        <v>5.2</v>
      </c>
      <c r="G1180">
        <v>0</v>
      </c>
      <c r="H1180" t="s">
        <v>154</v>
      </c>
      <c r="I1180">
        <v>5.7000000000000002E-2</v>
      </c>
      <c r="J1180">
        <f t="shared" si="585"/>
        <v>1</v>
      </c>
      <c r="K1180">
        <f t="shared" ca="1" si="586"/>
        <v>50.95</v>
      </c>
      <c r="L1180">
        <f t="shared" ca="1" si="587"/>
        <v>2.1389677043987478</v>
      </c>
      <c r="M1180">
        <f t="shared" ca="1" si="560"/>
        <v>11.122632062873489</v>
      </c>
      <c r="N1180">
        <f t="shared" ca="1" si="561"/>
        <v>1.1735290000551568</v>
      </c>
      <c r="O1180">
        <f t="shared" ca="1" si="562"/>
        <v>4.5807502857230418</v>
      </c>
      <c r="P1180">
        <f t="shared" ca="1" si="563"/>
        <v>634.14296770439876</v>
      </c>
      <c r="Q1180">
        <f t="shared" ca="1" si="564"/>
        <v>635.21245155659813</v>
      </c>
      <c r="R1180">
        <f t="shared" ca="1" si="565"/>
        <v>3.8141460404132466E-3</v>
      </c>
      <c r="S1180">
        <f t="shared" ca="1" si="566"/>
        <v>1.0000000000000004</v>
      </c>
      <c r="T1180">
        <f t="shared" ca="1" si="567"/>
        <v>35.686426155594638</v>
      </c>
      <c r="U1180">
        <f t="shared" ca="1" si="588"/>
        <v>-3.4157470064428708E-3</v>
      </c>
      <c r="V1180">
        <f t="shared" ca="1" si="589"/>
        <v>1</v>
      </c>
      <c r="W1180">
        <f t="shared" ca="1" si="568"/>
        <v>1.6812145206904385</v>
      </c>
      <c r="X1180">
        <f t="shared" ca="1" si="569"/>
        <v>8.7423155075902805</v>
      </c>
      <c r="Y1180">
        <f t="shared" ca="1" si="570"/>
        <v>1.0210088124923478</v>
      </c>
      <c r="Z1180">
        <f t="shared" ca="1" si="571"/>
        <v>5.8279754323398683</v>
      </c>
      <c r="AA1180">
        <f t="shared" ca="1" si="572"/>
        <v>633.68521452069047</v>
      </c>
      <c r="AB1180">
        <f t="shared" ca="1" si="573"/>
        <v>635.41637138307362</v>
      </c>
      <c r="AC1180">
        <f t="shared" ca="1" si="574"/>
        <v>7.4332479891778391E-3</v>
      </c>
      <c r="AD1180">
        <f t="shared" ca="1" si="575"/>
        <v>1.4350652312238541</v>
      </c>
      <c r="AE1180">
        <f t="shared" ca="1" si="576"/>
        <v>37.617492856075785</v>
      </c>
      <c r="AF1180">
        <f t="shared" ca="1" si="577"/>
        <v>7.0977078911482749E-3</v>
      </c>
      <c r="AG1180">
        <f t="shared" ca="1" si="578"/>
        <v>0</v>
      </c>
      <c r="AH1180">
        <f ca="1">IFERROR(IF(V32="Supercritical",MAX($D$16,IFERROR(L1180,MAX($D$16,POWER((ABS(K1180)^2)/($I$5*MAX(F1180,0.1)^2),1/3)))),IF(V32="Subcritical",MAX($D$16,IFERROR(W1180,MAX($D$16,POWER((ABS(K1180)^2)/($I$5*MAX(F1180,0.1)^2),1/3)))),IF(AND(IFERROR(V1180,0)=1,IFERROR(AG1180,0)=1),IF(IFERROR(T1180,-1E+99)&gt;=IFERROR(AE1180,-1E+99),MAX($D$16,IFERROR(L1180,MAX($D$16,POWER((ABS(K1180)^2)/($I$5*MAX(F1180,0.1)^2),1/3)))),MAX($D$16,IFERROR(W1180,MAX($D$16,POWER((ABS(K1180)^2)/($I$5*MAX(F1180,0.1)^2),1/3))))),IF(IFERROR(V1180,0)=1,MAX($D$16,IFERROR(L1180,MAX($D$16,POWER((ABS(K1180)^2)/($I$5*MAX(F1180,0.1)^2),1/3)))),IF(IFERROR(AG1180,0)=1,MAX($D$16,IFERROR(W1180,MAX($D$16,POWER((ABS(K1180)^2)/($I$5*MAX(F1180,0.1)^2),1/3)))),MAX($D$16,POWER((ABS(K1180)^2)/($I$5*MAX(F1180,0.1)^2),1/3))))))),MAX($D$16,POWER((ABS(K1180)^2)/($I$5*MAX(F1180,0.1)^2),1/3)))</f>
        <v>2.1389677043987478</v>
      </c>
      <c r="AI1180">
        <f t="shared" ca="1" si="579"/>
        <v>634.14296770439876</v>
      </c>
      <c r="AJ1180">
        <f t="shared" ca="1" si="580"/>
        <v>635.21245155659813</v>
      </c>
      <c r="AM1180">
        <v>0</v>
      </c>
      <c r="AN1180">
        <v>0</v>
      </c>
      <c r="AO1180">
        <f t="shared" si="581"/>
        <v>0</v>
      </c>
      <c r="AP1180">
        <f t="shared" si="590"/>
        <v>0</v>
      </c>
      <c r="AQ1180">
        <f t="shared" ca="1" si="582"/>
        <v>1.0000000000000004</v>
      </c>
      <c r="AR1180" t="str">
        <f t="shared" ca="1" si="583"/>
        <v>Supercritical</v>
      </c>
      <c r="AS1180">
        <f t="shared" ca="1" si="584"/>
        <v>3.8141460404132466E-3</v>
      </c>
    </row>
    <row r="1181" spans="1:45" x14ac:dyDescent="0.35">
      <c r="A1181">
        <v>1120</v>
      </c>
      <c r="B1181">
        <v>1118.9960000000001</v>
      </c>
      <c r="C1181">
        <v>616076.26399999997</v>
      </c>
      <c r="D1181">
        <v>3096888.1630000002</v>
      </c>
      <c r="E1181">
        <v>632.00350000000003</v>
      </c>
      <c r="F1181">
        <v>5.2</v>
      </c>
      <c r="G1181">
        <v>0</v>
      </c>
      <c r="H1181" t="s">
        <v>154</v>
      </c>
      <c r="I1181">
        <v>5.7000000000000002E-2</v>
      </c>
      <c r="J1181">
        <f t="shared" si="585"/>
        <v>1</v>
      </c>
      <c r="K1181">
        <f t="shared" ca="1" si="586"/>
        <v>50.95</v>
      </c>
      <c r="L1181">
        <f t="shared" ca="1" si="587"/>
        <v>2.1389677043987478</v>
      </c>
      <c r="M1181">
        <f t="shared" ca="1" si="560"/>
        <v>11.122632062873489</v>
      </c>
      <c r="N1181">
        <f t="shared" ca="1" si="561"/>
        <v>1.1735290000551568</v>
      </c>
      <c r="O1181">
        <f t="shared" ca="1" si="562"/>
        <v>4.5807502857230418</v>
      </c>
      <c r="P1181">
        <f t="shared" ca="1" si="563"/>
        <v>634.14246770439877</v>
      </c>
      <c r="Q1181">
        <f t="shared" ca="1" si="564"/>
        <v>635.21195155659814</v>
      </c>
      <c r="R1181">
        <f t="shared" ca="1" si="565"/>
        <v>3.8141460404132466E-3</v>
      </c>
      <c r="S1181">
        <f t="shared" ca="1" si="566"/>
        <v>1.0000000000000004</v>
      </c>
      <c r="T1181">
        <f t="shared" ca="1" si="567"/>
        <v>35.686426155594638</v>
      </c>
      <c r="U1181">
        <f t="shared" ca="1" si="588"/>
        <v>-3.4157470064428708E-3</v>
      </c>
      <c r="V1181">
        <f t="shared" ca="1" si="589"/>
        <v>1</v>
      </c>
      <c r="W1181">
        <f t="shared" ca="1" si="568"/>
        <v>1.6812136546512686</v>
      </c>
      <c r="X1181">
        <f t="shared" ca="1" si="569"/>
        <v>8.7423110041865968</v>
      </c>
      <c r="Y1181">
        <f t="shared" ca="1" si="570"/>
        <v>1.0210084930810015</v>
      </c>
      <c r="Z1181">
        <f t="shared" ca="1" si="571"/>
        <v>5.8279784344895313</v>
      </c>
      <c r="AA1181">
        <f t="shared" ca="1" si="572"/>
        <v>633.68471365465132</v>
      </c>
      <c r="AB1181">
        <f t="shared" ca="1" si="573"/>
        <v>635.41587230056746</v>
      </c>
      <c r="AC1181">
        <f t="shared" ca="1" si="574"/>
        <v>7.433258747869328E-3</v>
      </c>
      <c r="AD1181">
        <f t="shared" ca="1" si="575"/>
        <v>1.4350663400860666</v>
      </c>
      <c r="AE1181">
        <f t="shared" ca="1" si="576"/>
        <v>37.617500877094486</v>
      </c>
      <c r="AF1181">
        <f t="shared" ca="1" si="577"/>
        <v>6.93325874783568E-3</v>
      </c>
      <c r="AG1181">
        <f t="shared" ca="1" si="578"/>
        <v>0</v>
      </c>
      <c r="AH1181">
        <f ca="1">IFERROR(IF(V32="Supercritical",MAX($D$16,IFERROR(L1181,MAX($D$16,POWER((ABS(K1181)^2)/($I$5*MAX(F1181,0.1)^2),1/3)))),IF(V32="Subcritical",MAX($D$16,IFERROR(W1181,MAX($D$16,POWER((ABS(K1181)^2)/($I$5*MAX(F1181,0.1)^2),1/3)))),IF(AND(IFERROR(V1181,0)=1,IFERROR(AG1181,0)=1),IF(IFERROR(T1181,-1E+99)&gt;=IFERROR(AE1181,-1E+99),MAX($D$16,IFERROR(L1181,MAX($D$16,POWER((ABS(K1181)^2)/($I$5*MAX(F1181,0.1)^2),1/3)))),MAX($D$16,IFERROR(W1181,MAX($D$16,POWER((ABS(K1181)^2)/($I$5*MAX(F1181,0.1)^2),1/3))))),IF(IFERROR(V1181,0)=1,MAX($D$16,IFERROR(L1181,MAX($D$16,POWER((ABS(K1181)^2)/($I$5*MAX(F1181,0.1)^2),1/3)))),IF(IFERROR(AG1181,0)=1,MAX($D$16,IFERROR(W1181,MAX($D$16,POWER((ABS(K1181)^2)/($I$5*MAX(F1181,0.1)^2),1/3)))),MAX($D$16,POWER((ABS(K1181)^2)/($I$5*MAX(F1181,0.1)^2),1/3))))))),MAX($D$16,POWER((ABS(K1181)^2)/($I$5*MAX(F1181,0.1)^2),1/3)))</f>
        <v>2.1389677043987478</v>
      </c>
      <c r="AI1181">
        <f t="shared" ca="1" si="579"/>
        <v>634.14246770439877</v>
      </c>
      <c r="AJ1181">
        <f t="shared" ca="1" si="580"/>
        <v>635.21195155659814</v>
      </c>
      <c r="AM1181">
        <v>0</v>
      </c>
      <c r="AN1181">
        <v>0</v>
      </c>
      <c r="AO1181">
        <f t="shared" si="581"/>
        <v>0</v>
      </c>
      <c r="AP1181">
        <f t="shared" si="590"/>
        <v>0</v>
      </c>
      <c r="AQ1181">
        <f t="shared" ca="1" si="582"/>
        <v>1.0000000000000004</v>
      </c>
      <c r="AR1181" t="str">
        <f t="shared" ca="1" si="583"/>
        <v>Supercritical</v>
      </c>
      <c r="AS1181">
        <f t="shared" ca="1" si="584"/>
        <v>3.8141460404132466E-3</v>
      </c>
    </row>
    <row r="1182" spans="1:45" x14ac:dyDescent="0.35">
      <c r="A1182">
        <v>1121</v>
      </c>
      <c r="B1182">
        <v>1119.9960000000001</v>
      </c>
      <c r="C1182">
        <v>616076.22199999995</v>
      </c>
      <c r="D1182">
        <v>3096887.1639999999</v>
      </c>
      <c r="E1182">
        <v>632.00300000000004</v>
      </c>
      <c r="F1182">
        <v>5.2</v>
      </c>
      <c r="G1182">
        <v>0</v>
      </c>
      <c r="H1182" t="s">
        <v>154</v>
      </c>
      <c r="I1182">
        <v>0</v>
      </c>
      <c r="J1182">
        <f t="shared" si="585"/>
        <v>1</v>
      </c>
      <c r="K1182">
        <f t="shared" ca="1" si="586"/>
        <v>50.95</v>
      </c>
      <c r="L1182">
        <f t="shared" ca="1" si="587"/>
        <v>2.1389677043987478</v>
      </c>
      <c r="M1182">
        <f t="shared" ca="1" si="560"/>
        <v>11.122632062873489</v>
      </c>
      <c r="N1182">
        <f t="shared" ca="1" si="561"/>
        <v>1.1735290000551568</v>
      </c>
      <c r="O1182">
        <f t="shared" ca="1" si="562"/>
        <v>4.5807502857230418</v>
      </c>
      <c r="P1182">
        <f t="shared" ca="1" si="563"/>
        <v>634.14196770439878</v>
      </c>
      <c r="Q1182">
        <f t="shared" ca="1" si="564"/>
        <v>635.21145155659815</v>
      </c>
      <c r="R1182">
        <f t="shared" ca="1" si="565"/>
        <v>3.8141460404132466E-3</v>
      </c>
      <c r="S1182">
        <f t="shared" ca="1" si="566"/>
        <v>1.0000000000000004</v>
      </c>
      <c r="T1182">
        <f t="shared" ca="1" si="567"/>
        <v>35.686426155594638</v>
      </c>
      <c r="U1182">
        <f t="shared" ca="1" si="588"/>
        <v>-3.3141460404522149E-3</v>
      </c>
      <c r="V1182">
        <f t="shared" ca="1" si="589"/>
        <v>1</v>
      </c>
      <c r="W1182">
        <f t="shared" ca="1" si="568"/>
        <v>1.6812128451702828</v>
      </c>
      <c r="X1182">
        <f t="shared" ca="1" si="569"/>
        <v>8.7423067948854705</v>
      </c>
      <c r="Y1182">
        <f t="shared" ca="1" si="570"/>
        <v>1.021008194529248</v>
      </c>
      <c r="Z1182">
        <f t="shared" ca="1" si="571"/>
        <v>5.82798124058142</v>
      </c>
      <c r="AA1182">
        <f t="shared" ca="1" si="572"/>
        <v>633.68421284517035</v>
      </c>
      <c r="AB1182">
        <f t="shared" ca="1" si="573"/>
        <v>635.41537315814537</v>
      </c>
      <c r="AC1182">
        <f t="shared" ca="1" si="574"/>
        <v>7.4332688039655441E-3</v>
      </c>
      <c r="AD1182">
        <f t="shared" ca="1" si="575"/>
        <v>1.4350673765334079</v>
      </c>
      <c r="AE1182">
        <f t="shared" ca="1" si="576"/>
        <v>37.617508374304755</v>
      </c>
      <c r="AF1182">
        <f t="shared" ca="1" si="577"/>
        <v>6.9258355351848877E-3</v>
      </c>
      <c r="AG1182">
        <f t="shared" ca="1" si="578"/>
        <v>0</v>
      </c>
      <c r="AH1182">
        <f ca="1">IFERROR(IF(V32="Supercritical",MAX($D$16,IFERROR(L1182,MAX($D$16,POWER((ABS(K1182)^2)/($I$5*MAX(F1182,0.1)^2),1/3)))),IF(V32="Subcritical",MAX($D$16,IFERROR(W1182,MAX($D$16,POWER((ABS(K1182)^2)/($I$5*MAX(F1182,0.1)^2),1/3)))),IF(AND(IFERROR(V1182,0)=1,IFERROR(AG1182,0)=1),IF(IFERROR(T1182,-1E+99)&gt;=IFERROR(AE1182,-1E+99),MAX($D$16,IFERROR(L1182,MAX($D$16,POWER((ABS(K1182)^2)/($I$5*MAX(F1182,0.1)^2),1/3)))),MAX($D$16,IFERROR(W1182,MAX($D$16,POWER((ABS(K1182)^2)/($I$5*MAX(F1182,0.1)^2),1/3))))),IF(IFERROR(V1182,0)=1,MAX($D$16,IFERROR(L1182,MAX($D$16,POWER((ABS(K1182)^2)/($I$5*MAX(F1182,0.1)^2),1/3)))),IF(IFERROR(AG1182,0)=1,MAX($D$16,IFERROR(W1182,MAX($D$16,POWER((ABS(K1182)^2)/($I$5*MAX(F1182,0.1)^2),1/3)))),MAX($D$16,POWER((ABS(K1182)^2)/($I$5*MAX(F1182,0.1)^2),1/3))))))),MAX($D$16,POWER((ABS(K1182)^2)/($I$5*MAX(F1182,0.1)^2),1/3)))</f>
        <v>2.1389677043987478</v>
      </c>
      <c r="AI1182">
        <f t="shared" ca="1" si="579"/>
        <v>634.14196770439878</v>
      </c>
      <c r="AJ1182">
        <f t="shared" ca="1" si="580"/>
        <v>635.21145155659815</v>
      </c>
      <c r="AM1182">
        <v>0</v>
      </c>
      <c r="AN1182">
        <v>0</v>
      </c>
      <c r="AO1182">
        <f t="shared" si="581"/>
        <v>0</v>
      </c>
      <c r="AP1182">
        <f t="shared" si="590"/>
        <v>0</v>
      </c>
      <c r="AQ1182">
        <f t="shared" ca="1" si="582"/>
        <v>1.0000000000000004</v>
      </c>
      <c r="AR1182" t="str">
        <f t="shared" ca="1" si="583"/>
        <v>Supercritical</v>
      </c>
      <c r="AS1182">
        <f t="shared" ca="1" si="584"/>
        <v>3.8141460404132466E-3</v>
      </c>
    </row>
    <row r="1183" spans="1:45" x14ac:dyDescent="0.35">
      <c r="A1183">
        <v>1122</v>
      </c>
      <c r="B1183">
        <v>1120.9949999999999</v>
      </c>
      <c r="C1183">
        <v>616076.18000000005</v>
      </c>
      <c r="D1183">
        <v>3096886.165</v>
      </c>
      <c r="E1183">
        <v>632.00250000000005</v>
      </c>
      <c r="F1183">
        <v>5.2</v>
      </c>
      <c r="G1183">
        <v>0</v>
      </c>
      <c r="H1183" t="s">
        <v>154</v>
      </c>
      <c r="I1183">
        <v>0</v>
      </c>
      <c r="J1183">
        <f t="shared" si="585"/>
        <v>0.99899999999979627</v>
      </c>
      <c r="K1183">
        <f t="shared" ca="1" si="586"/>
        <v>50.95</v>
      </c>
      <c r="L1183">
        <f t="shared" ca="1" si="587"/>
        <v>2.1389677043987478</v>
      </c>
      <c r="M1183">
        <f t="shared" ca="1" si="560"/>
        <v>11.122632062873489</v>
      </c>
      <c r="N1183">
        <f t="shared" ca="1" si="561"/>
        <v>1.1735290000551568</v>
      </c>
      <c r="O1183">
        <f t="shared" ca="1" si="562"/>
        <v>4.5807502857230418</v>
      </c>
      <c r="P1183">
        <f t="shared" ca="1" si="563"/>
        <v>634.14146770439879</v>
      </c>
      <c r="Q1183">
        <f t="shared" ca="1" si="564"/>
        <v>635.21095155659816</v>
      </c>
      <c r="R1183">
        <f t="shared" ca="1" si="565"/>
        <v>3.8141460404132466E-3</v>
      </c>
      <c r="S1183">
        <f t="shared" ca="1" si="566"/>
        <v>1.0000000000000004</v>
      </c>
      <c r="T1183">
        <f t="shared" ca="1" si="567"/>
        <v>35.686426155594638</v>
      </c>
      <c r="U1183">
        <f t="shared" ca="1" si="588"/>
        <v>-3.3103318943403792E-3</v>
      </c>
      <c r="V1183">
        <f t="shared" ca="1" si="589"/>
        <v>1</v>
      </c>
      <c r="W1183">
        <f t="shared" ca="1" si="568"/>
        <v>1.6812120885541371</v>
      </c>
      <c r="X1183">
        <f t="shared" ca="1" si="569"/>
        <v>8.7423028604815123</v>
      </c>
      <c r="Y1183">
        <f t="shared" ca="1" si="570"/>
        <v>1.0210079154749359</v>
      </c>
      <c r="Z1183">
        <f t="shared" ca="1" si="571"/>
        <v>5.8279838634180834</v>
      </c>
      <c r="AA1183">
        <f t="shared" ca="1" si="572"/>
        <v>633.68371208855422</v>
      </c>
      <c r="AB1183">
        <f t="shared" ca="1" si="573"/>
        <v>635.41487395971944</v>
      </c>
      <c r="AC1183">
        <f t="shared" ca="1" si="574"/>
        <v>7.4332782033446456E-3</v>
      </c>
      <c r="AD1183">
        <f t="shared" ca="1" si="575"/>
        <v>1.4350683452945272</v>
      </c>
      <c r="AE1183">
        <f t="shared" ca="1" si="576"/>
        <v>37.617515381909875</v>
      </c>
      <c r="AF1183">
        <f t="shared" ca="1" si="577"/>
        <v>7.0977385810238047E-3</v>
      </c>
      <c r="AG1183">
        <f t="shared" ca="1" si="578"/>
        <v>0</v>
      </c>
      <c r="AH1183">
        <f ca="1">IFERROR(IF(V32="Supercritical",MAX($D$16,IFERROR(L1183,MAX($D$16,POWER((ABS(K1183)^2)/($I$5*MAX(F1183,0.1)^2),1/3)))),IF(V32="Subcritical",MAX($D$16,IFERROR(W1183,MAX($D$16,POWER((ABS(K1183)^2)/($I$5*MAX(F1183,0.1)^2),1/3)))),IF(AND(IFERROR(V1183,0)=1,IFERROR(AG1183,0)=1),IF(IFERROR(T1183,-1E+99)&gt;=IFERROR(AE1183,-1E+99),MAX($D$16,IFERROR(L1183,MAX($D$16,POWER((ABS(K1183)^2)/($I$5*MAX(F1183,0.1)^2),1/3)))),MAX($D$16,IFERROR(W1183,MAX($D$16,POWER((ABS(K1183)^2)/($I$5*MAX(F1183,0.1)^2),1/3))))),IF(IFERROR(V1183,0)=1,MAX($D$16,IFERROR(L1183,MAX($D$16,POWER((ABS(K1183)^2)/($I$5*MAX(F1183,0.1)^2),1/3)))),IF(IFERROR(AG1183,0)=1,MAX($D$16,IFERROR(W1183,MAX($D$16,POWER((ABS(K1183)^2)/($I$5*MAX(F1183,0.1)^2),1/3)))),MAX($D$16,POWER((ABS(K1183)^2)/($I$5*MAX(F1183,0.1)^2),1/3))))))),MAX($D$16,POWER((ABS(K1183)^2)/($I$5*MAX(F1183,0.1)^2),1/3)))</f>
        <v>2.1389677043987478</v>
      </c>
      <c r="AI1183">
        <f t="shared" ca="1" si="579"/>
        <v>634.14146770439879</v>
      </c>
      <c r="AJ1183">
        <f t="shared" ca="1" si="580"/>
        <v>635.21095155659816</v>
      </c>
      <c r="AM1183">
        <v>0</v>
      </c>
      <c r="AN1183">
        <v>0</v>
      </c>
      <c r="AO1183">
        <f t="shared" si="581"/>
        <v>0</v>
      </c>
      <c r="AP1183">
        <f t="shared" si="590"/>
        <v>0</v>
      </c>
      <c r="AQ1183">
        <f t="shared" ca="1" si="582"/>
        <v>1.0000000000000004</v>
      </c>
      <c r="AR1183" t="str">
        <f t="shared" ca="1" si="583"/>
        <v>Supercritical</v>
      </c>
      <c r="AS1183">
        <f t="shared" ca="1" si="584"/>
        <v>3.8141460404132466E-3</v>
      </c>
    </row>
    <row r="1184" spans="1:45" x14ac:dyDescent="0.35">
      <c r="A1184">
        <v>1123</v>
      </c>
      <c r="B1184">
        <v>1121.9949999999999</v>
      </c>
      <c r="C1184">
        <v>616076.13800000004</v>
      </c>
      <c r="D1184">
        <v>3096885.1660000002</v>
      </c>
      <c r="E1184">
        <v>632.00199999999995</v>
      </c>
      <c r="F1184">
        <v>5.2</v>
      </c>
      <c r="G1184">
        <v>0</v>
      </c>
      <c r="H1184" t="s">
        <v>154</v>
      </c>
      <c r="I1184">
        <v>5.7000000000000002E-2</v>
      </c>
      <c r="J1184">
        <f t="shared" si="585"/>
        <v>1</v>
      </c>
      <c r="K1184">
        <f t="shared" ca="1" si="586"/>
        <v>50.95</v>
      </c>
      <c r="L1184">
        <f t="shared" ca="1" si="587"/>
        <v>2.1389677043987478</v>
      </c>
      <c r="M1184">
        <f t="shared" ca="1" si="560"/>
        <v>11.122632062873489</v>
      </c>
      <c r="N1184">
        <f t="shared" ca="1" si="561"/>
        <v>1.1735290000551568</v>
      </c>
      <c r="O1184">
        <f t="shared" ca="1" si="562"/>
        <v>4.5807502857230418</v>
      </c>
      <c r="P1184">
        <f t="shared" ca="1" si="563"/>
        <v>634.14096770439869</v>
      </c>
      <c r="Q1184">
        <f t="shared" ca="1" si="564"/>
        <v>635.21045155659806</v>
      </c>
      <c r="R1184">
        <f t="shared" ca="1" si="565"/>
        <v>3.8141460404132466E-3</v>
      </c>
      <c r="S1184">
        <f t="shared" ca="1" si="566"/>
        <v>1.0000000000000004</v>
      </c>
      <c r="T1184">
        <f t="shared" ca="1" si="567"/>
        <v>35.686426155594638</v>
      </c>
      <c r="U1184">
        <f t="shared" ca="1" si="588"/>
        <v>-3.4157470063291839E-3</v>
      </c>
      <c r="V1184">
        <f t="shared" ca="1" si="589"/>
        <v>1</v>
      </c>
      <c r="W1184">
        <f t="shared" ca="1" si="568"/>
        <v>1.6812113813505827</v>
      </c>
      <c r="X1184">
        <f t="shared" ca="1" si="569"/>
        <v>8.7422991830230306</v>
      </c>
      <c r="Y1184">
        <f t="shared" ca="1" si="570"/>
        <v>1.0210076546448308</v>
      </c>
      <c r="Z1184">
        <f t="shared" ca="1" si="571"/>
        <v>5.827986314966382</v>
      </c>
      <c r="AA1184">
        <f t="shared" ca="1" si="572"/>
        <v>633.68321138135059</v>
      </c>
      <c r="AB1184">
        <f t="shared" ca="1" si="573"/>
        <v>635.41437470894664</v>
      </c>
      <c r="AC1184">
        <f t="shared" ca="1" si="574"/>
        <v>7.4332869888902595E-3</v>
      </c>
      <c r="AD1184">
        <f t="shared" ca="1" si="575"/>
        <v>1.4350692507894149</v>
      </c>
      <c r="AE1184">
        <f t="shared" ca="1" si="576"/>
        <v>37.617521931880688</v>
      </c>
      <c r="AF1184">
        <f t="shared" ca="1" si="577"/>
        <v>7.1064033216998723E-3</v>
      </c>
      <c r="AG1184">
        <f t="shared" ca="1" si="578"/>
        <v>0</v>
      </c>
      <c r="AH1184">
        <f ca="1">IFERROR(IF(V32="Supercritical",MAX($D$16,IFERROR(L1184,MAX($D$16,POWER((ABS(K1184)^2)/($I$5*MAX(F1184,0.1)^2),1/3)))),IF(V32="Subcritical",MAX($D$16,IFERROR(W1184,MAX($D$16,POWER((ABS(K1184)^2)/($I$5*MAX(F1184,0.1)^2),1/3)))),IF(AND(IFERROR(V1184,0)=1,IFERROR(AG1184,0)=1),IF(IFERROR(T1184,-1E+99)&gt;=IFERROR(AE1184,-1E+99),MAX($D$16,IFERROR(L1184,MAX($D$16,POWER((ABS(K1184)^2)/($I$5*MAX(F1184,0.1)^2),1/3)))),MAX($D$16,IFERROR(W1184,MAX($D$16,POWER((ABS(K1184)^2)/($I$5*MAX(F1184,0.1)^2),1/3))))),IF(IFERROR(V1184,0)=1,MAX($D$16,IFERROR(L1184,MAX($D$16,POWER((ABS(K1184)^2)/($I$5*MAX(F1184,0.1)^2),1/3)))),IF(IFERROR(AG1184,0)=1,MAX($D$16,IFERROR(W1184,MAX($D$16,POWER((ABS(K1184)^2)/($I$5*MAX(F1184,0.1)^2),1/3)))),MAX($D$16,POWER((ABS(K1184)^2)/($I$5*MAX(F1184,0.1)^2),1/3))))))),MAX($D$16,POWER((ABS(K1184)^2)/($I$5*MAX(F1184,0.1)^2),1/3)))</f>
        <v>2.1389677043987478</v>
      </c>
      <c r="AI1184">
        <f t="shared" ca="1" si="579"/>
        <v>634.14096770439869</v>
      </c>
      <c r="AJ1184">
        <f t="shared" ca="1" si="580"/>
        <v>635.21045155659806</v>
      </c>
      <c r="AM1184">
        <v>0</v>
      </c>
      <c r="AN1184">
        <v>0</v>
      </c>
      <c r="AO1184">
        <f t="shared" si="581"/>
        <v>0</v>
      </c>
      <c r="AP1184">
        <f t="shared" si="590"/>
        <v>0</v>
      </c>
      <c r="AQ1184">
        <f t="shared" ca="1" si="582"/>
        <v>1.0000000000000004</v>
      </c>
      <c r="AR1184" t="str">
        <f t="shared" ca="1" si="583"/>
        <v>Supercritical</v>
      </c>
      <c r="AS1184">
        <f t="shared" ca="1" si="584"/>
        <v>3.8141460404132466E-3</v>
      </c>
    </row>
    <row r="1185" spans="1:45" x14ac:dyDescent="0.35">
      <c r="A1185">
        <v>1124</v>
      </c>
      <c r="B1185">
        <v>1122.9949999999999</v>
      </c>
      <c r="C1185">
        <v>616076.09499999997</v>
      </c>
      <c r="D1185">
        <v>3096884.1669999999</v>
      </c>
      <c r="E1185">
        <v>632.00149999999996</v>
      </c>
      <c r="F1185">
        <v>5.2</v>
      </c>
      <c r="G1185">
        <v>0</v>
      </c>
      <c r="H1185" t="s">
        <v>154</v>
      </c>
      <c r="I1185">
        <v>0.06</v>
      </c>
      <c r="J1185">
        <f t="shared" si="585"/>
        <v>1</v>
      </c>
      <c r="K1185">
        <f t="shared" ca="1" si="586"/>
        <v>50.95</v>
      </c>
      <c r="L1185">
        <f t="shared" ca="1" si="587"/>
        <v>2.1389677043987478</v>
      </c>
      <c r="M1185">
        <f t="shared" ca="1" si="560"/>
        <v>11.122632062873489</v>
      </c>
      <c r="N1185">
        <f t="shared" ca="1" si="561"/>
        <v>1.1735290000551568</v>
      </c>
      <c r="O1185">
        <f t="shared" ca="1" si="562"/>
        <v>4.5807502857230418</v>
      </c>
      <c r="P1185">
        <f t="shared" ca="1" si="563"/>
        <v>634.1404677043987</v>
      </c>
      <c r="Q1185">
        <f t="shared" ca="1" si="564"/>
        <v>635.20995155659807</v>
      </c>
      <c r="R1185">
        <f t="shared" ca="1" si="565"/>
        <v>3.8141460404132466E-3</v>
      </c>
      <c r="S1185">
        <f t="shared" ca="1" si="566"/>
        <v>1.0000000000000004</v>
      </c>
      <c r="T1185">
        <f t="shared" ca="1" si="567"/>
        <v>35.686426155594638</v>
      </c>
      <c r="U1185">
        <f t="shared" ca="1" si="588"/>
        <v>-3.4210944256756193E-3</v>
      </c>
      <c r="V1185">
        <f t="shared" ca="1" si="589"/>
        <v>1</v>
      </c>
      <c r="W1185">
        <f t="shared" ca="1" si="568"/>
        <v>1.6812107203328119</v>
      </c>
      <c r="X1185">
        <f t="shared" ca="1" si="569"/>
        <v>8.7422957457306225</v>
      </c>
      <c r="Y1185">
        <f t="shared" ca="1" si="570"/>
        <v>1.0210074108488423</v>
      </c>
      <c r="Z1185">
        <f t="shared" ca="1" si="571"/>
        <v>5.8279886064117523</v>
      </c>
      <c r="AA1185">
        <f t="shared" ca="1" si="572"/>
        <v>633.68271072033281</v>
      </c>
      <c r="AB1185">
        <f t="shared" ca="1" si="573"/>
        <v>635.41387540924541</v>
      </c>
      <c r="AC1185">
        <f t="shared" ca="1" si="574"/>
        <v>7.4332952006858763E-3</v>
      </c>
      <c r="AD1185">
        <f t="shared" ca="1" si="575"/>
        <v>1.4350700971494448</v>
      </c>
      <c r="AE1185">
        <f t="shared" ca="1" si="576"/>
        <v>37.617528054100511</v>
      </c>
      <c r="AF1185">
        <f t="shared" ca="1" si="577"/>
        <v>6.9464990448295794E-3</v>
      </c>
      <c r="AG1185">
        <f t="shared" ca="1" si="578"/>
        <v>0</v>
      </c>
      <c r="AH1185">
        <f ca="1">IFERROR(IF(V32="Supercritical",MAX($D$16,IFERROR(L1185,MAX($D$16,POWER((ABS(K1185)^2)/($I$5*MAX(F1185,0.1)^2),1/3)))),IF(V32="Subcritical",MAX($D$16,IFERROR(W1185,MAX($D$16,POWER((ABS(K1185)^2)/($I$5*MAX(F1185,0.1)^2),1/3)))),IF(AND(IFERROR(V1185,0)=1,IFERROR(AG1185,0)=1),IF(IFERROR(T1185,-1E+99)&gt;=IFERROR(AE1185,-1E+99),MAX($D$16,IFERROR(L1185,MAX($D$16,POWER((ABS(K1185)^2)/($I$5*MAX(F1185,0.1)^2),1/3)))),MAX($D$16,IFERROR(W1185,MAX($D$16,POWER((ABS(K1185)^2)/($I$5*MAX(F1185,0.1)^2),1/3))))),IF(IFERROR(V1185,0)=1,MAX($D$16,IFERROR(L1185,MAX($D$16,POWER((ABS(K1185)^2)/($I$5*MAX(F1185,0.1)^2),1/3)))),IF(IFERROR(AG1185,0)=1,MAX($D$16,IFERROR(W1185,MAX($D$16,POWER((ABS(K1185)^2)/($I$5*MAX(F1185,0.1)^2),1/3)))),MAX($D$16,POWER((ABS(K1185)^2)/($I$5*MAX(F1185,0.1)^2),1/3))))))),MAX($D$16,POWER((ABS(K1185)^2)/($I$5*MAX(F1185,0.1)^2),1/3)))</f>
        <v>2.1389677043987478</v>
      </c>
      <c r="AI1185">
        <f t="shared" ca="1" si="579"/>
        <v>634.1404677043987</v>
      </c>
      <c r="AJ1185">
        <f t="shared" ca="1" si="580"/>
        <v>635.20995155659807</v>
      </c>
      <c r="AM1185">
        <v>0</v>
      </c>
      <c r="AN1185">
        <v>0</v>
      </c>
      <c r="AO1185">
        <f t="shared" si="581"/>
        <v>0</v>
      </c>
      <c r="AP1185">
        <f t="shared" si="590"/>
        <v>0</v>
      </c>
      <c r="AQ1185">
        <f t="shared" ca="1" si="582"/>
        <v>1.0000000000000004</v>
      </c>
      <c r="AR1185" t="str">
        <f t="shared" ca="1" si="583"/>
        <v>Supercritical</v>
      </c>
      <c r="AS1185">
        <f t="shared" ca="1" si="584"/>
        <v>3.8141460404132466E-3</v>
      </c>
    </row>
    <row r="1186" spans="1:45" x14ac:dyDescent="0.35">
      <c r="A1186">
        <v>1125</v>
      </c>
      <c r="B1186">
        <v>1123.9960000000001</v>
      </c>
      <c r="C1186">
        <v>616076.05299999996</v>
      </c>
      <c r="D1186">
        <v>3096883.1669999999</v>
      </c>
      <c r="E1186">
        <v>632.00099999999998</v>
      </c>
      <c r="F1186">
        <v>5.2</v>
      </c>
      <c r="G1186">
        <v>0</v>
      </c>
      <c r="H1186" t="s">
        <v>154</v>
      </c>
      <c r="I1186">
        <v>2E-3</v>
      </c>
      <c r="J1186">
        <f t="shared" si="585"/>
        <v>1.0010000000002037</v>
      </c>
      <c r="K1186">
        <f t="shared" ca="1" si="586"/>
        <v>50.95</v>
      </c>
      <c r="L1186">
        <f t="shared" ca="1" si="587"/>
        <v>2.1389677043987478</v>
      </c>
      <c r="M1186">
        <f t="shared" ca="1" si="560"/>
        <v>11.122632062873489</v>
      </c>
      <c r="N1186">
        <f t="shared" ca="1" si="561"/>
        <v>1.1735290000551568</v>
      </c>
      <c r="O1186">
        <f t="shared" ca="1" si="562"/>
        <v>4.5807502857230418</v>
      </c>
      <c r="P1186">
        <f t="shared" ca="1" si="563"/>
        <v>634.13996770439871</v>
      </c>
      <c r="Q1186">
        <f t="shared" ca="1" si="564"/>
        <v>635.20945155659808</v>
      </c>
      <c r="R1186">
        <f t="shared" ca="1" si="565"/>
        <v>3.8141460404132466E-3</v>
      </c>
      <c r="S1186">
        <f t="shared" ca="1" si="566"/>
        <v>1.0000000000000004</v>
      </c>
      <c r="T1186">
        <f t="shared" ca="1" si="567"/>
        <v>35.686426155594638</v>
      </c>
      <c r="U1186">
        <f t="shared" ca="1" si="588"/>
        <v>-3.3215251326055295E-3</v>
      </c>
      <c r="V1186">
        <f t="shared" ca="1" si="589"/>
        <v>1</v>
      </c>
      <c r="W1186">
        <f t="shared" ca="1" si="568"/>
        <v>1.6812101024847246</v>
      </c>
      <c r="X1186">
        <f t="shared" ca="1" si="569"/>
        <v>8.742292532920569</v>
      </c>
      <c r="Y1186">
        <f t="shared" ca="1" si="570"/>
        <v>1.0210071829745901</v>
      </c>
      <c r="Z1186">
        <f t="shared" ca="1" si="571"/>
        <v>5.8279907482092632</v>
      </c>
      <c r="AA1186">
        <f t="shared" ca="1" si="572"/>
        <v>633.68221010248465</v>
      </c>
      <c r="AB1186">
        <f t="shared" ca="1" si="573"/>
        <v>635.41337606381046</v>
      </c>
      <c r="AC1186">
        <f t="shared" ca="1" si="574"/>
        <v>7.433302876197802E-3</v>
      </c>
      <c r="AD1186">
        <f t="shared" ca="1" si="575"/>
        <v>1.4350708882362291</v>
      </c>
      <c r="AE1186">
        <f t="shared" ca="1" si="576"/>
        <v>37.617533776501524</v>
      </c>
      <c r="AF1186">
        <f t="shared" ca="1" si="577"/>
        <v>6.9333028761775495E-3</v>
      </c>
      <c r="AG1186">
        <f t="shared" ca="1" si="578"/>
        <v>0</v>
      </c>
      <c r="AH1186">
        <f ca="1">IFERROR(IF(V32="Supercritical",MAX($D$16,IFERROR(L1186,MAX($D$16,POWER((ABS(K1186)^2)/($I$5*MAX(F1186,0.1)^2),1/3)))),IF(V32="Subcritical",MAX($D$16,IFERROR(W1186,MAX($D$16,POWER((ABS(K1186)^2)/($I$5*MAX(F1186,0.1)^2),1/3)))),IF(AND(IFERROR(V1186,0)=1,IFERROR(AG1186,0)=1),IF(IFERROR(T1186,-1E+99)&gt;=IFERROR(AE1186,-1E+99),MAX($D$16,IFERROR(L1186,MAX($D$16,POWER((ABS(K1186)^2)/($I$5*MAX(F1186,0.1)^2),1/3)))),MAX($D$16,IFERROR(W1186,MAX($D$16,POWER((ABS(K1186)^2)/($I$5*MAX(F1186,0.1)^2),1/3))))),IF(IFERROR(V1186,0)=1,MAX($D$16,IFERROR(L1186,MAX($D$16,POWER((ABS(K1186)^2)/($I$5*MAX(F1186,0.1)^2),1/3)))),IF(IFERROR(AG1186,0)=1,MAX($D$16,IFERROR(W1186,MAX($D$16,POWER((ABS(K1186)^2)/($I$5*MAX(F1186,0.1)^2),1/3)))),MAX($D$16,POWER((ABS(K1186)^2)/($I$5*MAX(F1186,0.1)^2),1/3))))))),MAX($D$16,POWER((ABS(K1186)^2)/($I$5*MAX(F1186,0.1)^2),1/3)))</f>
        <v>2.1389677043987478</v>
      </c>
      <c r="AI1186">
        <f t="shared" ca="1" si="579"/>
        <v>634.13996770439871</v>
      </c>
      <c r="AJ1186">
        <f t="shared" ca="1" si="580"/>
        <v>635.20945155659808</v>
      </c>
      <c r="AM1186">
        <v>0</v>
      </c>
      <c r="AN1186">
        <v>0</v>
      </c>
      <c r="AO1186">
        <f t="shared" si="581"/>
        <v>0</v>
      </c>
      <c r="AP1186">
        <f t="shared" si="590"/>
        <v>0</v>
      </c>
      <c r="AQ1186">
        <f t="shared" ca="1" si="582"/>
        <v>1.0000000000000004</v>
      </c>
      <c r="AR1186" t="str">
        <f t="shared" ca="1" si="583"/>
        <v>Supercritical</v>
      </c>
      <c r="AS1186">
        <f t="shared" ca="1" si="584"/>
        <v>3.8141460404132466E-3</v>
      </c>
    </row>
    <row r="1187" spans="1:45" x14ac:dyDescent="0.35">
      <c r="A1187">
        <v>1126</v>
      </c>
      <c r="B1187">
        <v>1124.9960000000001</v>
      </c>
      <c r="C1187">
        <v>616076.01100000006</v>
      </c>
      <c r="D1187">
        <v>3096882.1680000001</v>
      </c>
      <c r="E1187">
        <v>632.00049999999999</v>
      </c>
      <c r="F1187">
        <v>5.2</v>
      </c>
      <c r="G1187">
        <v>0</v>
      </c>
      <c r="H1187" t="s">
        <v>154</v>
      </c>
      <c r="I1187">
        <v>0</v>
      </c>
      <c r="J1187">
        <f t="shared" si="585"/>
        <v>1</v>
      </c>
      <c r="K1187">
        <f t="shared" ca="1" si="586"/>
        <v>50.95</v>
      </c>
      <c r="L1187">
        <f t="shared" ca="1" si="587"/>
        <v>2.1389677043987478</v>
      </c>
      <c r="M1187">
        <f t="shared" ca="1" si="560"/>
        <v>11.122632062873489</v>
      </c>
      <c r="N1187">
        <f t="shared" ca="1" si="561"/>
        <v>1.1735290000551568</v>
      </c>
      <c r="O1187">
        <f t="shared" ca="1" si="562"/>
        <v>4.5807502857230418</v>
      </c>
      <c r="P1187">
        <f t="shared" ca="1" si="563"/>
        <v>634.13946770439873</v>
      </c>
      <c r="Q1187">
        <f t="shared" ca="1" si="564"/>
        <v>635.20895155659809</v>
      </c>
      <c r="R1187">
        <f t="shared" ca="1" si="565"/>
        <v>3.8141460404132466E-3</v>
      </c>
      <c r="S1187">
        <f t="shared" ca="1" si="566"/>
        <v>1.0000000000000004</v>
      </c>
      <c r="T1187">
        <f t="shared" ca="1" si="567"/>
        <v>35.686426155594638</v>
      </c>
      <c r="U1187">
        <f t="shared" ca="1" si="588"/>
        <v>-3.3141460404522149E-3</v>
      </c>
      <c r="V1187">
        <f t="shared" ca="1" si="589"/>
        <v>1</v>
      </c>
      <c r="W1187">
        <f t="shared" ca="1" si="568"/>
        <v>1.6812095249871313</v>
      </c>
      <c r="X1187">
        <f t="shared" ca="1" si="569"/>
        <v>8.7422895299330836</v>
      </c>
      <c r="Y1187">
        <f t="shared" ca="1" si="570"/>
        <v>1.0210069699823161</v>
      </c>
      <c r="Z1187">
        <f t="shared" ca="1" si="571"/>
        <v>5.8279927501314397</v>
      </c>
      <c r="AA1187">
        <f t="shared" ca="1" si="572"/>
        <v>633.68170952498713</v>
      </c>
      <c r="AB1187">
        <f t="shared" ca="1" si="573"/>
        <v>635.41287667562858</v>
      </c>
      <c r="AC1187">
        <f t="shared" ca="1" si="574"/>
        <v>7.4333100504465248E-3</v>
      </c>
      <c r="AD1187">
        <f t="shared" ca="1" si="575"/>
        <v>1.4350716276592841</v>
      </c>
      <c r="AE1187">
        <f t="shared" ca="1" si="576"/>
        <v>37.617539125192494</v>
      </c>
      <c r="AF1187">
        <f t="shared" ca="1" si="577"/>
        <v>7.0977709298176705E-3</v>
      </c>
      <c r="AG1187">
        <f t="shared" ca="1" si="578"/>
        <v>0</v>
      </c>
      <c r="AH1187">
        <f ca="1">IFERROR(IF(V32="Supercritical",MAX($D$16,IFERROR(L1187,MAX($D$16,POWER((ABS(K1187)^2)/($I$5*MAX(F1187,0.1)^2),1/3)))),IF(V32="Subcritical",MAX($D$16,IFERROR(W1187,MAX($D$16,POWER((ABS(K1187)^2)/($I$5*MAX(F1187,0.1)^2),1/3)))),IF(AND(IFERROR(V1187,0)=1,IFERROR(AG1187,0)=1),IF(IFERROR(T1187,-1E+99)&gt;=IFERROR(AE1187,-1E+99),MAX($D$16,IFERROR(L1187,MAX($D$16,POWER((ABS(K1187)^2)/($I$5*MAX(F1187,0.1)^2),1/3)))),MAX($D$16,IFERROR(W1187,MAX($D$16,POWER((ABS(K1187)^2)/($I$5*MAX(F1187,0.1)^2),1/3))))),IF(IFERROR(V1187,0)=1,MAX($D$16,IFERROR(L1187,MAX($D$16,POWER((ABS(K1187)^2)/($I$5*MAX(F1187,0.1)^2),1/3)))),IF(IFERROR(AG1187,0)=1,MAX($D$16,IFERROR(W1187,MAX($D$16,POWER((ABS(K1187)^2)/($I$5*MAX(F1187,0.1)^2),1/3)))),MAX($D$16,POWER((ABS(K1187)^2)/($I$5*MAX(F1187,0.1)^2),1/3))))))),MAX($D$16,POWER((ABS(K1187)^2)/($I$5*MAX(F1187,0.1)^2),1/3)))</f>
        <v>2.1389677043987478</v>
      </c>
      <c r="AI1187">
        <f t="shared" ca="1" si="579"/>
        <v>634.13946770439873</v>
      </c>
      <c r="AJ1187">
        <f t="shared" ca="1" si="580"/>
        <v>635.20895155659809</v>
      </c>
      <c r="AM1187">
        <v>0</v>
      </c>
      <c r="AN1187">
        <v>0</v>
      </c>
      <c r="AO1187">
        <f t="shared" si="581"/>
        <v>0</v>
      </c>
      <c r="AP1187">
        <f t="shared" si="590"/>
        <v>0</v>
      </c>
      <c r="AQ1187">
        <f t="shared" ca="1" si="582"/>
        <v>1.0000000000000004</v>
      </c>
      <c r="AR1187" t="str">
        <f t="shared" ca="1" si="583"/>
        <v>Supercritical</v>
      </c>
      <c r="AS1187">
        <f t="shared" ca="1" si="584"/>
        <v>3.8141460404132466E-3</v>
      </c>
    </row>
    <row r="1188" spans="1:45" x14ac:dyDescent="0.35">
      <c r="A1188">
        <v>1127</v>
      </c>
      <c r="B1188">
        <v>1125.9960000000001</v>
      </c>
      <c r="C1188">
        <v>616075.96900000004</v>
      </c>
      <c r="D1188">
        <v>3096881.1690000002</v>
      </c>
      <c r="E1188">
        <v>632</v>
      </c>
      <c r="F1188">
        <v>5.2</v>
      </c>
      <c r="G1188">
        <v>0</v>
      </c>
      <c r="H1188" t="s">
        <v>154</v>
      </c>
      <c r="I1188">
        <v>5.7000000000000002E-2</v>
      </c>
      <c r="J1188">
        <f t="shared" si="585"/>
        <v>1</v>
      </c>
      <c r="K1188">
        <f t="shared" ca="1" si="586"/>
        <v>50.95</v>
      </c>
      <c r="L1188">
        <f t="shared" ca="1" si="587"/>
        <v>2.1389677043987478</v>
      </c>
      <c r="M1188">
        <f t="shared" ca="1" si="560"/>
        <v>11.122632062873489</v>
      </c>
      <c r="N1188">
        <f t="shared" ca="1" si="561"/>
        <v>1.1735290000551568</v>
      </c>
      <c r="O1188">
        <f t="shared" ca="1" si="562"/>
        <v>4.5807502857230418</v>
      </c>
      <c r="P1188">
        <f t="shared" ca="1" si="563"/>
        <v>634.13896770439874</v>
      </c>
      <c r="Q1188">
        <f t="shared" ca="1" si="564"/>
        <v>635.20845155659811</v>
      </c>
      <c r="R1188">
        <f t="shared" ca="1" si="565"/>
        <v>3.8141460404132466E-3</v>
      </c>
      <c r="S1188">
        <f t="shared" ca="1" si="566"/>
        <v>1.0000000000000004</v>
      </c>
      <c r="T1188">
        <f t="shared" ca="1" si="567"/>
        <v>35.686426155594638</v>
      </c>
      <c r="U1188">
        <f t="shared" ca="1" si="588"/>
        <v>-3.4157470064428708E-3</v>
      </c>
      <c r="V1188">
        <f t="shared" ca="1" si="589"/>
        <v>1</v>
      </c>
      <c r="W1188">
        <f t="shared" ca="1" si="568"/>
        <v>1.6812089852049987</v>
      </c>
      <c r="X1188">
        <f t="shared" ca="1" si="569"/>
        <v>8.7422867230659929</v>
      </c>
      <c r="Y1188">
        <f t="shared" ca="1" si="570"/>
        <v>1.0210067709001809</v>
      </c>
      <c r="Z1188">
        <f t="shared" ca="1" si="571"/>
        <v>5.8279946213124676</v>
      </c>
      <c r="AA1188">
        <f t="shared" ca="1" si="572"/>
        <v>633.68120898520499</v>
      </c>
      <c r="AB1188">
        <f t="shared" ca="1" si="573"/>
        <v>635.41237724749078</v>
      </c>
      <c r="AC1188">
        <f t="shared" ca="1" si="574"/>
        <v>7.4333167561650704E-3</v>
      </c>
      <c r="AD1188">
        <f t="shared" ca="1" si="575"/>
        <v>1.4350723187923553</v>
      </c>
      <c r="AE1188">
        <f t="shared" ca="1" si="576"/>
        <v>37.617544124576895</v>
      </c>
      <c r="AF1188">
        <f t="shared" ca="1" si="577"/>
        <v>7.097777741137179E-3</v>
      </c>
      <c r="AG1188">
        <f t="shared" ca="1" si="578"/>
        <v>0</v>
      </c>
      <c r="AH1188">
        <f ca="1">IFERROR(IF(V32="Supercritical",MAX($D$16,IFERROR(L1188,MAX($D$16,POWER((ABS(K1188)^2)/($I$5*MAX(F1188,0.1)^2),1/3)))),IF(V32="Subcritical",MAX($D$16,IFERROR(W1188,MAX($D$16,POWER((ABS(K1188)^2)/($I$5*MAX(F1188,0.1)^2),1/3)))),IF(AND(IFERROR(V1188,0)=1,IFERROR(AG1188,0)=1),IF(IFERROR(T1188,-1E+99)&gt;=IFERROR(AE1188,-1E+99),MAX($D$16,IFERROR(L1188,MAX($D$16,POWER((ABS(K1188)^2)/($I$5*MAX(F1188,0.1)^2),1/3)))),MAX($D$16,IFERROR(W1188,MAX($D$16,POWER((ABS(K1188)^2)/($I$5*MAX(F1188,0.1)^2),1/3))))),IF(IFERROR(V1188,0)=1,MAX($D$16,IFERROR(L1188,MAX($D$16,POWER((ABS(K1188)^2)/($I$5*MAX(F1188,0.1)^2),1/3)))),IF(IFERROR(AG1188,0)=1,MAX($D$16,IFERROR(W1188,MAX($D$16,POWER((ABS(K1188)^2)/($I$5*MAX(F1188,0.1)^2),1/3)))),MAX($D$16,POWER((ABS(K1188)^2)/($I$5*MAX(F1188,0.1)^2),1/3))))))),MAX($D$16,POWER((ABS(K1188)^2)/($I$5*MAX(F1188,0.1)^2),1/3)))</f>
        <v>2.1389677043987478</v>
      </c>
      <c r="AI1188">
        <f t="shared" ca="1" si="579"/>
        <v>634.13896770439874</v>
      </c>
      <c r="AJ1188">
        <f t="shared" ca="1" si="580"/>
        <v>635.20845155659811</v>
      </c>
      <c r="AM1188">
        <v>0</v>
      </c>
      <c r="AN1188">
        <v>0</v>
      </c>
      <c r="AO1188">
        <f t="shared" si="581"/>
        <v>0</v>
      </c>
      <c r="AP1188">
        <f t="shared" si="590"/>
        <v>0</v>
      </c>
      <c r="AQ1188">
        <f t="shared" ca="1" si="582"/>
        <v>1.0000000000000004</v>
      </c>
      <c r="AR1188" t="str">
        <f t="shared" ca="1" si="583"/>
        <v>Supercritical</v>
      </c>
      <c r="AS1188">
        <f t="shared" ca="1" si="584"/>
        <v>3.8141460404132466E-3</v>
      </c>
    </row>
    <row r="1189" spans="1:45" x14ac:dyDescent="0.35">
      <c r="A1189">
        <v>1128</v>
      </c>
      <c r="B1189">
        <v>1126.9960000000001</v>
      </c>
      <c r="C1189">
        <v>616075.92599999998</v>
      </c>
      <c r="D1189">
        <v>3096880.17</v>
      </c>
      <c r="E1189">
        <v>631.99950000000001</v>
      </c>
      <c r="F1189">
        <v>5.2</v>
      </c>
      <c r="G1189">
        <v>0</v>
      </c>
      <c r="H1189" t="s">
        <v>154</v>
      </c>
      <c r="I1189">
        <v>5.7000000000000002E-2</v>
      </c>
      <c r="J1189">
        <f t="shared" si="585"/>
        <v>1</v>
      </c>
      <c r="K1189">
        <f t="shared" ca="1" si="586"/>
        <v>50.95</v>
      </c>
      <c r="L1189">
        <f t="shared" ca="1" si="587"/>
        <v>2.1389677043987478</v>
      </c>
      <c r="M1189">
        <f t="shared" ca="1" si="560"/>
        <v>11.122632062873489</v>
      </c>
      <c r="N1189">
        <f t="shared" ca="1" si="561"/>
        <v>1.1735290000551568</v>
      </c>
      <c r="O1189">
        <f t="shared" ca="1" si="562"/>
        <v>4.5807502857230418</v>
      </c>
      <c r="P1189">
        <f t="shared" ca="1" si="563"/>
        <v>634.13846770439875</v>
      </c>
      <c r="Q1189">
        <f t="shared" ca="1" si="564"/>
        <v>635.20795155659812</v>
      </c>
      <c r="R1189">
        <f t="shared" ca="1" si="565"/>
        <v>3.8141460404132466E-3</v>
      </c>
      <c r="S1189">
        <f t="shared" ca="1" si="566"/>
        <v>1.0000000000000004</v>
      </c>
      <c r="T1189">
        <f t="shared" ca="1" si="567"/>
        <v>35.686426155594638</v>
      </c>
      <c r="U1189">
        <f t="shared" ca="1" si="588"/>
        <v>-3.4157470064428708E-3</v>
      </c>
      <c r="V1189">
        <f t="shared" ca="1" si="589"/>
        <v>1</v>
      </c>
      <c r="W1189">
        <f t="shared" ca="1" si="568"/>
        <v>1.681208480675273</v>
      </c>
      <c r="X1189">
        <f t="shared" ca="1" si="569"/>
        <v>8.7422840995114193</v>
      </c>
      <c r="Y1189">
        <f t="shared" ca="1" si="570"/>
        <v>1.0210065848197729</v>
      </c>
      <c r="Z1189">
        <f t="shared" ca="1" si="571"/>
        <v>5.8279963702903972</v>
      </c>
      <c r="AA1189">
        <f t="shared" ca="1" si="572"/>
        <v>633.68070848067532</v>
      </c>
      <c r="AB1189">
        <f t="shared" ca="1" si="573"/>
        <v>635.41187778200651</v>
      </c>
      <c r="AC1189">
        <f t="shared" ca="1" si="574"/>
        <v>7.4333230239502657E-3</v>
      </c>
      <c r="AD1189">
        <f t="shared" ca="1" si="575"/>
        <v>1.4350729647890055</v>
      </c>
      <c r="AE1189">
        <f t="shared" ca="1" si="576"/>
        <v>37.617548797465588</v>
      </c>
      <c r="AF1189">
        <f t="shared" ca="1" si="577"/>
        <v>6.9333230239863042E-3</v>
      </c>
      <c r="AG1189">
        <f t="shared" ca="1" si="578"/>
        <v>0</v>
      </c>
      <c r="AH1189">
        <f ca="1">IFERROR(IF(V32="Supercritical",MAX($D$16,IFERROR(L1189,MAX($D$16,POWER((ABS(K1189)^2)/($I$5*MAX(F1189,0.1)^2),1/3)))),IF(V32="Subcritical",MAX($D$16,IFERROR(W1189,MAX($D$16,POWER((ABS(K1189)^2)/($I$5*MAX(F1189,0.1)^2),1/3)))),IF(AND(IFERROR(V1189,0)=1,IFERROR(AG1189,0)=1),IF(IFERROR(T1189,-1E+99)&gt;=IFERROR(AE1189,-1E+99),MAX($D$16,IFERROR(L1189,MAX($D$16,POWER((ABS(K1189)^2)/($I$5*MAX(F1189,0.1)^2),1/3)))),MAX($D$16,IFERROR(W1189,MAX($D$16,POWER((ABS(K1189)^2)/($I$5*MAX(F1189,0.1)^2),1/3))))),IF(IFERROR(V1189,0)=1,MAX($D$16,IFERROR(L1189,MAX($D$16,POWER((ABS(K1189)^2)/($I$5*MAX(F1189,0.1)^2),1/3)))),IF(IFERROR(AG1189,0)=1,MAX($D$16,IFERROR(W1189,MAX($D$16,POWER((ABS(K1189)^2)/($I$5*MAX(F1189,0.1)^2),1/3)))),MAX($D$16,POWER((ABS(K1189)^2)/($I$5*MAX(F1189,0.1)^2),1/3))))))),MAX($D$16,POWER((ABS(K1189)^2)/($I$5*MAX(F1189,0.1)^2),1/3)))</f>
        <v>2.1389677043987478</v>
      </c>
      <c r="AI1189">
        <f t="shared" ca="1" si="579"/>
        <v>634.13846770439875</v>
      </c>
      <c r="AJ1189">
        <f t="shared" ca="1" si="580"/>
        <v>635.20795155659812</v>
      </c>
      <c r="AM1189">
        <v>0</v>
      </c>
      <c r="AN1189">
        <v>0</v>
      </c>
      <c r="AO1189">
        <f t="shared" si="581"/>
        <v>0</v>
      </c>
      <c r="AP1189">
        <f t="shared" si="590"/>
        <v>0</v>
      </c>
      <c r="AQ1189">
        <f t="shared" ca="1" si="582"/>
        <v>1.0000000000000004</v>
      </c>
      <c r="AR1189" t="str">
        <f t="shared" ca="1" si="583"/>
        <v>Supercritical</v>
      </c>
      <c r="AS1189">
        <f t="shared" ca="1" si="584"/>
        <v>3.8141460404132466E-3</v>
      </c>
    </row>
    <row r="1190" spans="1:45" x14ac:dyDescent="0.35">
      <c r="A1190">
        <v>1129</v>
      </c>
      <c r="B1190">
        <v>1127.9960000000001</v>
      </c>
      <c r="C1190">
        <v>616075.88399999996</v>
      </c>
      <c r="D1190">
        <v>3096879.1710000001</v>
      </c>
      <c r="E1190">
        <v>631.99900000000002</v>
      </c>
      <c r="F1190">
        <v>5.2</v>
      </c>
      <c r="G1190">
        <v>0</v>
      </c>
      <c r="H1190" t="s">
        <v>154</v>
      </c>
      <c r="I1190">
        <v>0</v>
      </c>
      <c r="J1190">
        <f t="shared" si="585"/>
        <v>1</v>
      </c>
      <c r="K1190">
        <f t="shared" ca="1" si="586"/>
        <v>50.95</v>
      </c>
      <c r="L1190">
        <f t="shared" ca="1" si="587"/>
        <v>2.1389677043987478</v>
      </c>
      <c r="M1190">
        <f t="shared" ca="1" si="560"/>
        <v>11.122632062873489</v>
      </c>
      <c r="N1190">
        <f t="shared" ca="1" si="561"/>
        <v>1.1735290000551568</v>
      </c>
      <c r="O1190">
        <f t="shared" ca="1" si="562"/>
        <v>4.5807502857230418</v>
      </c>
      <c r="P1190">
        <f t="shared" ca="1" si="563"/>
        <v>634.13796770439876</v>
      </c>
      <c r="Q1190">
        <f t="shared" ca="1" si="564"/>
        <v>635.20745155659813</v>
      </c>
      <c r="R1190">
        <f t="shared" ca="1" si="565"/>
        <v>3.8141460404132466E-3</v>
      </c>
      <c r="S1190">
        <f t="shared" ca="1" si="566"/>
        <v>1.0000000000000004</v>
      </c>
      <c r="T1190">
        <f t="shared" ca="1" si="567"/>
        <v>35.686426155594638</v>
      </c>
      <c r="U1190">
        <f t="shared" ca="1" si="588"/>
        <v>-3.3141460404522149E-3</v>
      </c>
      <c r="V1190">
        <f t="shared" ca="1" si="589"/>
        <v>1</v>
      </c>
      <c r="W1190">
        <f t="shared" ca="1" si="568"/>
        <v>1.6812080090957786</v>
      </c>
      <c r="X1190">
        <f t="shared" ca="1" si="569"/>
        <v>8.7422816472980482</v>
      </c>
      <c r="Y1190">
        <f t="shared" ca="1" si="570"/>
        <v>1.0210064108920136</v>
      </c>
      <c r="Z1190">
        <f t="shared" ca="1" si="571"/>
        <v>5.8279980050456244</v>
      </c>
      <c r="AA1190">
        <f t="shared" ca="1" si="572"/>
        <v>633.68020800909585</v>
      </c>
      <c r="AB1190">
        <f t="shared" ca="1" si="573"/>
        <v>635.41137828161447</v>
      </c>
      <c r="AC1190">
        <f t="shared" ca="1" si="574"/>
        <v>7.4333288824005982E-3</v>
      </c>
      <c r="AD1190">
        <f t="shared" ca="1" si="575"/>
        <v>1.4350735685968274</v>
      </c>
      <c r="AE1190">
        <f t="shared" ca="1" si="576"/>
        <v>37.617553165179643</v>
      </c>
      <c r="AF1190">
        <f t="shared" ca="1" si="577"/>
        <v>6.9333288823827388E-3</v>
      </c>
      <c r="AG1190">
        <f t="shared" ca="1" si="578"/>
        <v>0</v>
      </c>
      <c r="AH1190">
        <f ca="1">IFERROR(IF(V32="Supercritical",MAX($D$16,IFERROR(L1190,MAX($D$16,POWER((ABS(K1190)^2)/($I$5*MAX(F1190,0.1)^2),1/3)))),IF(V32="Subcritical",MAX($D$16,IFERROR(W1190,MAX($D$16,POWER((ABS(K1190)^2)/($I$5*MAX(F1190,0.1)^2),1/3)))),IF(AND(IFERROR(V1190,0)=1,IFERROR(AG1190,0)=1),IF(IFERROR(T1190,-1E+99)&gt;=IFERROR(AE1190,-1E+99),MAX($D$16,IFERROR(L1190,MAX($D$16,POWER((ABS(K1190)^2)/($I$5*MAX(F1190,0.1)^2),1/3)))),MAX($D$16,IFERROR(W1190,MAX($D$16,POWER((ABS(K1190)^2)/($I$5*MAX(F1190,0.1)^2),1/3))))),IF(IFERROR(V1190,0)=1,MAX($D$16,IFERROR(L1190,MAX($D$16,POWER((ABS(K1190)^2)/($I$5*MAX(F1190,0.1)^2),1/3)))),IF(IFERROR(AG1190,0)=1,MAX($D$16,IFERROR(W1190,MAX($D$16,POWER((ABS(K1190)^2)/($I$5*MAX(F1190,0.1)^2),1/3)))),MAX($D$16,POWER((ABS(K1190)^2)/($I$5*MAX(F1190,0.1)^2),1/3))))))),MAX($D$16,POWER((ABS(K1190)^2)/($I$5*MAX(F1190,0.1)^2),1/3)))</f>
        <v>2.1389677043987478</v>
      </c>
      <c r="AI1190">
        <f t="shared" ca="1" si="579"/>
        <v>634.13796770439876</v>
      </c>
      <c r="AJ1190">
        <f t="shared" ca="1" si="580"/>
        <v>635.20745155659813</v>
      </c>
      <c r="AM1190">
        <v>0</v>
      </c>
      <c r="AN1190">
        <v>0</v>
      </c>
      <c r="AO1190">
        <f t="shared" si="581"/>
        <v>0</v>
      </c>
      <c r="AP1190">
        <f t="shared" si="590"/>
        <v>0</v>
      </c>
      <c r="AQ1190">
        <f t="shared" ca="1" si="582"/>
        <v>1.0000000000000004</v>
      </c>
      <c r="AR1190" t="str">
        <f t="shared" ca="1" si="583"/>
        <v>Supercritical</v>
      </c>
      <c r="AS1190">
        <f t="shared" ca="1" si="584"/>
        <v>3.8141460404132466E-3</v>
      </c>
    </row>
    <row r="1191" spans="1:45" x14ac:dyDescent="0.35">
      <c r="A1191">
        <v>1130</v>
      </c>
      <c r="B1191">
        <v>1128.9960000000001</v>
      </c>
      <c r="C1191">
        <v>616075.84199999995</v>
      </c>
      <c r="D1191">
        <v>3096878.1719999998</v>
      </c>
      <c r="E1191">
        <v>631.99850000000004</v>
      </c>
      <c r="F1191">
        <v>5.2</v>
      </c>
      <c r="G1191">
        <v>0</v>
      </c>
      <c r="H1191" t="s">
        <v>154</v>
      </c>
      <c r="I1191">
        <v>0</v>
      </c>
      <c r="J1191">
        <f t="shared" si="585"/>
        <v>1</v>
      </c>
      <c r="K1191">
        <f t="shared" ca="1" si="586"/>
        <v>50.95</v>
      </c>
      <c r="L1191">
        <f t="shared" ca="1" si="587"/>
        <v>2.1389677043987478</v>
      </c>
      <c r="M1191">
        <f t="shared" ca="1" si="560"/>
        <v>11.122632062873489</v>
      </c>
      <c r="N1191">
        <f t="shared" ca="1" si="561"/>
        <v>1.1735290000551568</v>
      </c>
      <c r="O1191">
        <f t="shared" ca="1" si="562"/>
        <v>4.5807502857230418</v>
      </c>
      <c r="P1191">
        <f t="shared" ca="1" si="563"/>
        <v>634.13746770439877</v>
      </c>
      <c r="Q1191">
        <f t="shared" ca="1" si="564"/>
        <v>635.20695155659814</v>
      </c>
      <c r="R1191">
        <f t="shared" ca="1" si="565"/>
        <v>3.8141460404132466E-3</v>
      </c>
      <c r="S1191">
        <f t="shared" ca="1" si="566"/>
        <v>1.0000000000000004</v>
      </c>
      <c r="T1191">
        <f t="shared" ca="1" si="567"/>
        <v>35.686426155594638</v>
      </c>
      <c r="U1191">
        <f t="shared" ca="1" si="588"/>
        <v>-3.3141460404522149E-3</v>
      </c>
      <c r="V1191">
        <f t="shared" ca="1" si="589"/>
        <v>1</v>
      </c>
      <c r="W1191">
        <f t="shared" ca="1" si="568"/>
        <v>1.6812075683146455</v>
      </c>
      <c r="X1191">
        <f t="shared" ca="1" si="569"/>
        <v>8.7422793552361568</v>
      </c>
      <c r="Y1191">
        <f t="shared" ca="1" si="570"/>
        <v>1.0210062483232589</v>
      </c>
      <c r="Z1191">
        <f t="shared" ca="1" si="571"/>
        <v>5.8279995330375352</v>
      </c>
      <c r="AA1191">
        <f t="shared" ca="1" si="572"/>
        <v>633.67970756831471</v>
      </c>
      <c r="AB1191">
        <f t="shared" ca="1" si="573"/>
        <v>635.41087874859431</v>
      </c>
      <c r="AC1191">
        <f t="shared" ca="1" si="574"/>
        <v>7.4333343582475269E-3</v>
      </c>
      <c r="AD1191">
        <f t="shared" ca="1" si="575"/>
        <v>1.4350741329709775</v>
      </c>
      <c r="AE1191">
        <f t="shared" ca="1" si="576"/>
        <v>37.617557247648236</v>
      </c>
      <c r="AF1191">
        <f t="shared" ca="1" si="577"/>
        <v>7.0903622860214455E-3</v>
      </c>
      <c r="AG1191">
        <f t="shared" ca="1" si="578"/>
        <v>0</v>
      </c>
      <c r="AH1191">
        <f ca="1">IFERROR(IF(V32="Supercritical",MAX($D$16,IFERROR(L1191,MAX($D$16,POWER((ABS(K1191)^2)/($I$5*MAX(F1191,0.1)^2),1/3)))),IF(V32="Subcritical",MAX($D$16,IFERROR(W1191,MAX($D$16,POWER((ABS(K1191)^2)/($I$5*MAX(F1191,0.1)^2),1/3)))),IF(AND(IFERROR(V1191,0)=1,IFERROR(AG1191,0)=1),IF(IFERROR(T1191,-1E+99)&gt;=IFERROR(AE1191,-1E+99),MAX($D$16,IFERROR(L1191,MAX($D$16,POWER((ABS(K1191)^2)/($I$5*MAX(F1191,0.1)^2),1/3)))),MAX($D$16,IFERROR(W1191,MAX($D$16,POWER((ABS(K1191)^2)/($I$5*MAX(F1191,0.1)^2),1/3))))),IF(IFERROR(V1191,0)=1,MAX($D$16,IFERROR(L1191,MAX($D$16,POWER((ABS(K1191)^2)/($I$5*MAX(F1191,0.1)^2),1/3)))),IF(IFERROR(AG1191,0)=1,MAX($D$16,IFERROR(W1191,MAX($D$16,POWER((ABS(K1191)^2)/($I$5*MAX(F1191,0.1)^2),1/3)))),MAX($D$16,POWER((ABS(K1191)^2)/($I$5*MAX(F1191,0.1)^2),1/3))))))),MAX($D$16,POWER((ABS(K1191)^2)/($I$5*MAX(F1191,0.1)^2),1/3)))</f>
        <v>2.1389677043987478</v>
      </c>
      <c r="AI1191">
        <f t="shared" ca="1" si="579"/>
        <v>634.13746770439877</v>
      </c>
      <c r="AJ1191">
        <f t="shared" ca="1" si="580"/>
        <v>635.20695155659814</v>
      </c>
      <c r="AM1191">
        <v>0</v>
      </c>
      <c r="AN1191">
        <v>0</v>
      </c>
      <c r="AO1191">
        <f t="shared" si="581"/>
        <v>0</v>
      </c>
      <c r="AP1191">
        <f t="shared" si="590"/>
        <v>0</v>
      </c>
      <c r="AQ1191">
        <f t="shared" ca="1" si="582"/>
        <v>1.0000000000000004</v>
      </c>
      <c r="AR1191" t="str">
        <f t="shared" ca="1" si="583"/>
        <v>Supercritical</v>
      </c>
      <c r="AS1191">
        <f t="shared" ca="1" si="584"/>
        <v>3.8141460404132466E-3</v>
      </c>
    </row>
    <row r="1192" spans="1:45" x14ac:dyDescent="0.35">
      <c r="A1192">
        <v>1131</v>
      </c>
      <c r="B1192">
        <v>1129.9949999999999</v>
      </c>
      <c r="C1192">
        <v>616075.80000000005</v>
      </c>
      <c r="D1192">
        <v>3096877.173</v>
      </c>
      <c r="E1192">
        <v>631.99800000000005</v>
      </c>
      <c r="F1192">
        <v>5.2</v>
      </c>
      <c r="G1192">
        <v>0</v>
      </c>
      <c r="H1192" t="s">
        <v>154</v>
      </c>
      <c r="I1192">
        <v>5.7000000000000002E-2</v>
      </c>
      <c r="J1192">
        <f t="shared" si="585"/>
        <v>0.99899999999979627</v>
      </c>
      <c r="K1192">
        <f t="shared" ca="1" si="586"/>
        <v>50.95</v>
      </c>
      <c r="L1192">
        <f t="shared" ca="1" si="587"/>
        <v>2.1389677043987478</v>
      </c>
      <c r="M1192">
        <f t="shared" ca="1" si="560"/>
        <v>11.122632062873489</v>
      </c>
      <c r="N1192">
        <f t="shared" ca="1" si="561"/>
        <v>1.1735290000551568</v>
      </c>
      <c r="O1192">
        <f t="shared" ca="1" si="562"/>
        <v>4.5807502857230418</v>
      </c>
      <c r="P1192">
        <f t="shared" ca="1" si="563"/>
        <v>634.13696770439878</v>
      </c>
      <c r="Q1192">
        <f t="shared" ca="1" si="564"/>
        <v>635.20645155659815</v>
      </c>
      <c r="R1192">
        <f t="shared" ca="1" si="565"/>
        <v>3.8141460404132466E-3</v>
      </c>
      <c r="S1192">
        <f t="shared" ca="1" si="566"/>
        <v>1.0000000000000004</v>
      </c>
      <c r="T1192">
        <f t="shared" ca="1" si="567"/>
        <v>35.686426155594638</v>
      </c>
      <c r="U1192">
        <f t="shared" ca="1" si="588"/>
        <v>-3.411932860331035E-3</v>
      </c>
      <c r="V1192">
        <f t="shared" ca="1" si="589"/>
        <v>1</v>
      </c>
      <c r="W1192">
        <f t="shared" ca="1" si="568"/>
        <v>1.6812071563205544</v>
      </c>
      <c r="X1192">
        <f t="shared" ca="1" si="569"/>
        <v>8.7422772128668829</v>
      </c>
      <c r="Y1192">
        <f t="shared" ca="1" si="570"/>
        <v>1.0210060963717011</v>
      </c>
      <c r="Z1192">
        <f t="shared" ca="1" si="571"/>
        <v>5.8280009612383141</v>
      </c>
      <c r="AA1192">
        <f t="shared" ca="1" si="572"/>
        <v>633.67920715632056</v>
      </c>
      <c r="AB1192">
        <f t="shared" ca="1" si="573"/>
        <v>635.41037918507664</v>
      </c>
      <c r="AC1192">
        <f t="shared" ca="1" si="574"/>
        <v>7.4333394764766305E-3</v>
      </c>
      <c r="AD1192">
        <f t="shared" ca="1" si="575"/>
        <v>1.4350746604866649</v>
      </c>
      <c r="AE1192">
        <f t="shared" ca="1" si="576"/>
        <v>37.617561063498954</v>
      </c>
      <c r="AF1192">
        <f t="shared" ca="1" si="577"/>
        <v>7.0978008191104891E-3</v>
      </c>
      <c r="AG1192">
        <f t="shared" ca="1" si="578"/>
        <v>0</v>
      </c>
      <c r="AH1192">
        <f ca="1">IFERROR(IF(V32="Supercritical",MAX($D$16,IFERROR(L1192,MAX($D$16,POWER((ABS(K1192)^2)/($I$5*MAX(F1192,0.1)^2),1/3)))),IF(V32="Subcritical",MAX($D$16,IFERROR(W1192,MAX($D$16,POWER((ABS(K1192)^2)/($I$5*MAX(F1192,0.1)^2),1/3)))),IF(AND(IFERROR(V1192,0)=1,IFERROR(AG1192,0)=1),IF(IFERROR(T1192,-1E+99)&gt;=IFERROR(AE1192,-1E+99),MAX($D$16,IFERROR(L1192,MAX($D$16,POWER((ABS(K1192)^2)/($I$5*MAX(F1192,0.1)^2),1/3)))),MAX($D$16,IFERROR(W1192,MAX($D$16,POWER((ABS(K1192)^2)/($I$5*MAX(F1192,0.1)^2),1/3))))),IF(IFERROR(V1192,0)=1,MAX($D$16,IFERROR(L1192,MAX($D$16,POWER((ABS(K1192)^2)/($I$5*MAX(F1192,0.1)^2),1/3)))),IF(IFERROR(AG1192,0)=1,MAX($D$16,IFERROR(W1192,MAX($D$16,POWER((ABS(K1192)^2)/($I$5*MAX(F1192,0.1)^2),1/3)))),MAX($D$16,POWER((ABS(K1192)^2)/($I$5*MAX(F1192,0.1)^2),1/3))))))),MAX($D$16,POWER((ABS(K1192)^2)/($I$5*MAX(F1192,0.1)^2),1/3)))</f>
        <v>2.1389677043987478</v>
      </c>
      <c r="AI1192">
        <f t="shared" ca="1" si="579"/>
        <v>634.13696770439878</v>
      </c>
      <c r="AJ1192">
        <f t="shared" ca="1" si="580"/>
        <v>635.20645155659815</v>
      </c>
      <c r="AM1192">
        <v>0</v>
      </c>
      <c r="AN1192">
        <v>0</v>
      </c>
      <c r="AO1192">
        <f t="shared" si="581"/>
        <v>0</v>
      </c>
      <c r="AP1192">
        <f t="shared" si="590"/>
        <v>0</v>
      </c>
      <c r="AQ1192">
        <f t="shared" ca="1" si="582"/>
        <v>1.0000000000000004</v>
      </c>
      <c r="AR1192" t="str">
        <f t="shared" ca="1" si="583"/>
        <v>Supercritical</v>
      </c>
      <c r="AS1192">
        <f t="shared" ca="1" si="584"/>
        <v>3.8141460404132466E-3</v>
      </c>
    </row>
    <row r="1193" spans="1:45" x14ac:dyDescent="0.35">
      <c r="A1193">
        <v>1132</v>
      </c>
      <c r="B1193">
        <v>1130.9949999999999</v>
      </c>
      <c r="C1193">
        <v>616075.75699999998</v>
      </c>
      <c r="D1193">
        <v>3096876.1740000001</v>
      </c>
      <c r="E1193">
        <v>631.99749999999995</v>
      </c>
      <c r="F1193">
        <v>5.2</v>
      </c>
      <c r="G1193">
        <v>0</v>
      </c>
      <c r="H1193" t="s">
        <v>154</v>
      </c>
      <c r="I1193">
        <v>5.7000000000000002E-2</v>
      </c>
      <c r="J1193">
        <f t="shared" si="585"/>
        <v>1</v>
      </c>
      <c r="K1193">
        <f t="shared" ca="1" si="586"/>
        <v>50.95</v>
      </c>
      <c r="L1193">
        <f t="shared" ca="1" si="587"/>
        <v>2.1389677043987478</v>
      </c>
      <c r="M1193">
        <f t="shared" ca="1" si="560"/>
        <v>11.122632062873489</v>
      </c>
      <c r="N1193">
        <f t="shared" ca="1" si="561"/>
        <v>1.1735290000551568</v>
      </c>
      <c r="O1193">
        <f t="shared" ca="1" si="562"/>
        <v>4.5807502857230418</v>
      </c>
      <c r="P1193">
        <f t="shared" ca="1" si="563"/>
        <v>634.13646770439868</v>
      </c>
      <c r="Q1193">
        <f t="shared" ca="1" si="564"/>
        <v>635.20595155659805</v>
      </c>
      <c r="R1193">
        <f t="shared" ca="1" si="565"/>
        <v>3.8141460404132466E-3</v>
      </c>
      <c r="S1193">
        <f t="shared" ca="1" si="566"/>
        <v>1.0000000000000004</v>
      </c>
      <c r="T1193">
        <f t="shared" ca="1" si="567"/>
        <v>35.686426155594638</v>
      </c>
      <c r="U1193">
        <f t="shared" ca="1" si="588"/>
        <v>-3.4157470063291839E-3</v>
      </c>
      <c r="V1193">
        <f t="shared" ca="1" si="589"/>
        <v>1</v>
      </c>
      <c r="W1193">
        <f t="shared" ca="1" si="568"/>
        <v>1.6812067712335117</v>
      </c>
      <c r="X1193">
        <f t="shared" ca="1" si="569"/>
        <v>8.7422752104142614</v>
      </c>
      <c r="Y1193">
        <f t="shared" ca="1" si="570"/>
        <v>1.0210059543439682</v>
      </c>
      <c r="Z1193">
        <f t="shared" ca="1" si="571"/>
        <v>5.8280022961649234</v>
      </c>
      <c r="AA1193">
        <f t="shared" ca="1" si="572"/>
        <v>633.67870677123346</v>
      </c>
      <c r="AB1193">
        <f t="shared" ca="1" si="573"/>
        <v>635.40987959305323</v>
      </c>
      <c r="AC1193">
        <f t="shared" ca="1" si="574"/>
        <v>7.4333442604421788E-3</v>
      </c>
      <c r="AD1193">
        <f t="shared" ca="1" si="575"/>
        <v>1.4350751535509607</v>
      </c>
      <c r="AE1193">
        <f t="shared" ca="1" si="576"/>
        <v>37.617564630143178</v>
      </c>
      <c r="AF1193">
        <f t="shared" ca="1" si="577"/>
        <v>6.9333442604602169E-3</v>
      </c>
      <c r="AG1193">
        <f t="shared" ca="1" si="578"/>
        <v>0</v>
      </c>
      <c r="AH1193">
        <f ca="1">IFERROR(IF(V32="Supercritical",MAX($D$16,IFERROR(L1193,MAX($D$16,POWER((ABS(K1193)^2)/($I$5*MAX(F1193,0.1)^2),1/3)))),IF(V32="Subcritical",MAX($D$16,IFERROR(W1193,MAX($D$16,POWER((ABS(K1193)^2)/($I$5*MAX(F1193,0.1)^2),1/3)))),IF(AND(IFERROR(V1193,0)=1,IFERROR(AG1193,0)=1),IF(IFERROR(T1193,-1E+99)&gt;=IFERROR(AE1193,-1E+99),MAX($D$16,IFERROR(L1193,MAX($D$16,POWER((ABS(K1193)^2)/($I$5*MAX(F1193,0.1)^2),1/3)))),MAX($D$16,IFERROR(W1193,MAX($D$16,POWER((ABS(K1193)^2)/($I$5*MAX(F1193,0.1)^2),1/3))))),IF(IFERROR(V1193,0)=1,MAX($D$16,IFERROR(L1193,MAX($D$16,POWER((ABS(K1193)^2)/($I$5*MAX(F1193,0.1)^2),1/3)))),IF(IFERROR(AG1193,0)=1,MAX($D$16,IFERROR(W1193,MAX($D$16,POWER((ABS(K1193)^2)/($I$5*MAX(F1193,0.1)^2),1/3)))),MAX($D$16,POWER((ABS(K1193)^2)/($I$5*MAX(F1193,0.1)^2),1/3))))))),MAX($D$16,POWER((ABS(K1193)^2)/($I$5*MAX(F1193,0.1)^2),1/3)))</f>
        <v>2.1389677043987478</v>
      </c>
      <c r="AI1193">
        <f t="shared" ca="1" si="579"/>
        <v>634.13646770439868</v>
      </c>
      <c r="AJ1193">
        <f t="shared" ca="1" si="580"/>
        <v>635.20595155659805</v>
      </c>
      <c r="AM1193">
        <v>0</v>
      </c>
      <c r="AN1193">
        <v>0</v>
      </c>
      <c r="AO1193">
        <f t="shared" si="581"/>
        <v>0</v>
      </c>
      <c r="AP1193">
        <f t="shared" si="590"/>
        <v>0</v>
      </c>
      <c r="AQ1193">
        <f t="shared" ca="1" si="582"/>
        <v>1.0000000000000004</v>
      </c>
      <c r="AR1193" t="str">
        <f t="shared" ca="1" si="583"/>
        <v>Supercritical</v>
      </c>
      <c r="AS1193">
        <f t="shared" ca="1" si="584"/>
        <v>3.8141460404132466E-3</v>
      </c>
    </row>
    <row r="1194" spans="1:45" x14ac:dyDescent="0.35">
      <c r="A1194">
        <v>1133</v>
      </c>
      <c r="B1194">
        <v>1131.9949999999999</v>
      </c>
      <c r="C1194">
        <v>616075.71499999997</v>
      </c>
      <c r="D1194">
        <v>3096875.1749999998</v>
      </c>
      <c r="E1194">
        <v>631.99699999999996</v>
      </c>
      <c r="F1194">
        <v>5.2</v>
      </c>
      <c r="G1194">
        <v>0</v>
      </c>
      <c r="H1194" t="s">
        <v>154</v>
      </c>
      <c r="I1194">
        <v>0</v>
      </c>
      <c r="J1194">
        <f t="shared" si="585"/>
        <v>1</v>
      </c>
      <c r="K1194">
        <f t="shared" ca="1" si="586"/>
        <v>50.95</v>
      </c>
      <c r="L1194">
        <f t="shared" ca="1" si="587"/>
        <v>2.1389677043987478</v>
      </c>
      <c r="M1194">
        <f t="shared" ca="1" si="560"/>
        <v>11.122632062873489</v>
      </c>
      <c r="N1194">
        <f t="shared" ca="1" si="561"/>
        <v>1.1735290000551568</v>
      </c>
      <c r="O1194">
        <f t="shared" ca="1" si="562"/>
        <v>4.5807502857230418</v>
      </c>
      <c r="P1194">
        <f t="shared" ca="1" si="563"/>
        <v>634.13596770439869</v>
      </c>
      <c r="Q1194">
        <f t="shared" ca="1" si="564"/>
        <v>635.20545155659806</v>
      </c>
      <c r="R1194">
        <f t="shared" ca="1" si="565"/>
        <v>3.8141460404132466E-3</v>
      </c>
      <c r="S1194">
        <f t="shared" ca="1" si="566"/>
        <v>1.0000000000000004</v>
      </c>
      <c r="T1194">
        <f t="shared" ca="1" si="567"/>
        <v>35.686426155594638</v>
      </c>
      <c r="U1194">
        <f t="shared" ca="1" si="588"/>
        <v>-3.3141460404522149E-3</v>
      </c>
      <c r="V1194">
        <f t="shared" ca="1" si="589"/>
        <v>1</v>
      </c>
      <c r="W1194">
        <f t="shared" ca="1" si="568"/>
        <v>1.6812064112963052</v>
      </c>
      <c r="X1194">
        <f t="shared" ca="1" si="569"/>
        <v>8.7422733387407874</v>
      </c>
      <c r="Y1194">
        <f t="shared" ca="1" si="570"/>
        <v>1.02100582159197</v>
      </c>
      <c r="Z1194">
        <f t="shared" ca="1" si="571"/>
        <v>5.828003543908717</v>
      </c>
      <c r="AA1194">
        <f t="shared" ca="1" si="572"/>
        <v>633.67820641129629</v>
      </c>
      <c r="AB1194">
        <f t="shared" ca="1" si="573"/>
        <v>635.40937997438562</v>
      </c>
      <c r="AC1194">
        <f t="shared" ca="1" si="574"/>
        <v>7.4333487319732964E-3</v>
      </c>
      <c r="AD1194">
        <f t="shared" ca="1" si="575"/>
        <v>1.4350756144137369</v>
      </c>
      <c r="AE1194">
        <f t="shared" ca="1" si="576"/>
        <v>37.617567963855294</v>
      </c>
      <c r="AF1194">
        <f t="shared" ca="1" si="577"/>
        <v>6.9391193105730054E-3</v>
      </c>
      <c r="AG1194">
        <f t="shared" ca="1" si="578"/>
        <v>0</v>
      </c>
      <c r="AH1194">
        <f ca="1">IFERROR(IF(V32="Supercritical",MAX($D$16,IFERROR(L1194,MAX($D$16,POWER((ABS(K1194)^2)/($I$5*MAX(F1194,0.1)^2),1/3)))),IF(V32="Subcritical",MAX($D$16,IFERROR(W1194,MAX($D$16,POWER((ABS(K1194)^2)/($I$5*MAX(F1194,0.1)^2),1/3)))),IF(AND(IFERROR(V1194,0)=1,IFERROR(AG1194,0)=1),IF(IFERROR(T1194,-1E+99)&gt;=IFERROR(AE1194,-1E+99),MAX($D$16,IFERROR(L1194,MAX($D$16,POWER((ABS(K1194)^2)/($I$5*MAX(F1194,0.1)^2),1/3)))),MAX($D$16,IFERROR(W1194,MAX($D$16,POWER((ABS(K1194)^2)/($I$5*MAX(F1194,0.1)^2),1/3))))),IF(IFERROR(V1194,0)=1,MAX($D$16,IFERROR(L1194,MAX($D$16,POWER((ABS(K1194)^2)/($I$5*MAX(F1194,0.1)^2),1/3)))),IF(IFERROR(AG1194,0)=1,MAX($D$16,IFERROR(W1194,MAX($D$16,POWER((ABS(K1194)^2)/($I$5*MAX(F1194,0.1)^2),1/3)))),MAX($D$16,POWER((ABS(K1194)^2)/($I$5*MAX(F1194,0.1)^2),1/3))))))),MAX($D$16,POWER((ABS(K1194)^2)/($I$5*MAX(F1194,0.1)^2),1/3)))</f>
        <v>2.1389677043987478</v>
      </c>
      <c r="AI1194">
        <f t="shared" ca="1" si="579"/>
        <v>634.13596770439869</v>
      </c>
      <c r="AJ1194">
        <f t="shared" ca="1" si="580"/>
        <v>635.20545155659806</v>
      </c>
      <c r="AM1194">
        <v>0</v>
      </c>
      <c r="AN1194">
        <v>0</v>
      </c>
      <c r="AO1194">
        <f t="shared" si="581"/>
        <v>0</v>
      </c>
      <c r="AP1194">
        <f t="shared" si="590"/>
        <v>0</v>
      </c>
      <c r="AQ1194">
        <f t="shared" ca="1" si="582"/>
        <v>1.0000000000000004</v>
      </c>
      <c r="AR1194" t="str">
        <f t="shared" ca="1" si="583"/>
        <v>Supercritical</v>
      </c>
      <c r="AS1194">
        <f t="shared" ca="1" si="584"/>
        <v>3.8141460404132466E-3</v>
      </c>
    </row>
    <row r="1195" spans="1:45" x14ac:dyDescent="0.35">
      <c r="A1195">
        <v>1134</v>
      </c>
      <c r="B1195">
        <v>1132.9949999999999</v>
      </c>
      <c r="C1195">
        <v>616075.67299999995</v>
      </c>
      <c r="D1195">
        <v>3096874.176</v>
      </c>
      <c r="E1195">
        <v>631.99649999999997</v>
      </c>
      <c r="F1195">
        <v>5.2</v>
      </c>
      <c r="G1195">
        <v>0</v>
      </c>
      <c r="H1195" t="s">
        <v>154</v>
      </c>
      <c r="I1195">
        <v>2E-3</v>
      </c>
      <c r="J1195">
        <f t="shared" si="585"/>
        <v>1</v>
      </c>
      <c r="K1195">
        <f t="shared" ca="1" si="586"/>
        <v>50.95</v>
      </c>
      <c r="L1195">
        <f t="shared" ca="1" si="587"/>
        <v>2.1389677043987478</v>
      </c>
      <c r="M1195">
        <f t="shared" ca="1" si="560"/>
        <v>11.122632062873489</v>
      </c>
      <c r="N1195">
        <f t="shared" ca="1" si="561"/>
        <v>1.1735290000551568</v>
      </c>
      <c r="O1195">
        <f t="shared" ca="1" si="562"/>
        <v>4.5807502857230418</v>
      </c>
      <c r="P1195">
        <f t="shared" ca="1" si="563"/>
        <v>634.13546770439871</v>
      </c>
      <c r="Q1195">
        <f t="shared" ca="1" si="564"/>
        <v>635.20495155659808</v>
      </c>
      <c r="R1195">
        <f t="shared" ca="1" si="565"/>
        <v>3.8141460404132466E-3</v>
      </c>
      <c r="S1195">
        <f t="shared" ca="1" si="566"/>
        <v>1.0000000000000004</v>
      </c>
      <c r="T1195">
        <f t="shared" ca="1" si="567"/>
        <v>35.686426155594638</v>
      </c>
      <c r="U1195">
        <f t="shared" ca="1" si="588"/>
        <v>-3.3177109866073806E-3</v>
      </c>
      <c r="V1195">
        <f t="shared" ca="1" si="589"/>
        <v>1</v>
      </c>
      <c r="W1195">
        <f t="shared" ca="1" si="568"/>
        <v>1.6812060748664559</v>
      </c>
      <c r="X1195">
        <f t="shared" ca="1" si="569"/>
        <v>8.7422715893055702</v>
      </c>
      <c r="Y1195">
        <f t="shared" ca="1" si="570"/>
        <v>1.0210056975099322</v>
      </c>
      <c r="Z1195">
        <f t="shared" ca="1" si="571"/>
        <v>5.8280047101633388</v>
      </c>
      <c r="AA1195">
        <f t="shared" ca="1" si="572"/>
        <v>633.67770607486648</v>
      </c>
      <c r="AB1195">
        <f t="shared" ca="1" si="573"/>
        <v>635.40888033081376</v>
      </c>
      <c r="AC1195">
        <f t="shared" ca="1" si="574"/>
        <v>7.4333529114738806E-3</v>
      </c>
      <c r="AD1195">
        <f t="shared" ca="1" si="575"/>
        <v>1.4350760451779703</v>
      </c>
      <c r="AE1195">
        <f t="shared" ca="1" si="576"/>
        <v>37.617571079847089</v>
      </c>
      <c r="AF1195">
        <f t="shared" ca="1" si="577"/>
        <v>7.1139036899694474E-3</v>
      </c>
      <c r="AG1195">
        <f t="shared" ca="1" si="578"/>
        <v>0</v>
      </c>
      <c r="AH1195">
        <f ca="1">IFERROR(IF(V32="Supercritical",MAX($D$16,IFERROR(L1195,MAX($D$16,POWER((ABS(K1195)^2)/($I$5*MAX(F1195,0.1)^2),1/3)))),IF(V32="Subcritical",MAX($D$16,IFERROR(W1195,MAX($D$16,POWER((ABS(K1195)^2)/($I$5*MAX(F1195,0.1)^2),1/3)))),IF(AND(IFERROR(V1195,0)=1,IFERROR(AG1195,0)=1),IF(IFERROR(T1195,-1E+99)&gt;=IFERROR(AE1195,-1E+99),MAX($D$16,IFERROR(L1195,MAX($D$16,POWER((ABS(K1195)^2)/($I$5*MAX(F1195,0.1)^2),1/3)))),MAX($D$16,IFERROR(W1195,MAX($D$16,POWER((ABS(K1195)^2)/($I$5*MAX(F1195,0.1)^2),1/3))))),IF(IFERROR(V1195,0)=1,MAX($D$16,IFERROR(L1195,MAX($D$16,POWER((ABS(K1195)^2)/($I$5*MAX(F1195,0.1)^2),1/3)))),IF(IFERROR(AG1195,0)=1,MAX($D$16,IFERROR(W1195,MAX($D$16,POWER((ABS(K1195)^2)/($I$5*MAX(F1195,0.1)^2),1/3)))),MAX($D$16,POWER((ABS(K1195)^2)/($I$5*MAX(F1195,0.1)^2),1/3))))))),MAX($D$16,POWER((ABS(K1195)^2)/($I$5*MAX(F1195,0.1)^2),1/3)))</f>
        <v>2.1389677043987478</v>
      </c>
      <c r="AI1195">
        <f t="shared" ca="1" si="579"/>
        <v>634.13546770439871</v>
      </c>
      <c r="AJ1195">
        <f t="shared" ca="1" si="580"/>
        <v>635.20495155659808</v>
      </c>
      <c r="AM1195">
        <v>0</v>
      </c>
      <c r="AN1195">
        <v>0</v>
      </c>
      <c r="AO1195">
        <f t="shared" si="581"/>
        <v>0</v>
      </c>
      <c r="AP1195">
        <f t="shared" si="590"/>
        <v>0</v>
      </c>
      <c r="AQ1195">
        <f t="shared" ca="1" si="582"/>
        <v>1.0000000000000004</v>
      </c>
      <c r="AR1195" t="str">
        <f t="shared" ca="1" si="583"/>
        <v>Supercritical</v>
      </c>
      <c r="AS1195">
        <f t="shared" ca="1" si="584"/>
        <v>3.8141460404132466E-3</v>
      </c>
    </row>
    <row r="1196" spans="1:45" x14ac:dyDescent="0.35">
      <c r="A1196">
        <v>1135</v>
      </c>
      <c r="B1196">
        <v>1133.9960000000001</v>
      </c>
      <c r="C1196">
        <v>616075.63100000005</v>
      </c>
      <c r="D1196">
        <v>3096873.176</v>
      </c>
      <c r="E1196">
        <v>631.99599999999998</v>
      </c>
      <c r="F1196">
        <v>5.2</v>
      </c>
      <c r="G1196">
        <v>0</v>
      </c>
      <c r="H1196" t="s">
        <v>154</v>
      </c>
      <c r="I1196">
        <v>0.06</v>
      </c>
      <c r="J1196">
        <f t="shared" si="585"/>
        <v>1.0010000000002037</v>
      </c>
      <c r="K1196">
        <f t="shared" ca="1" si="586"/>
        <v>50.95</v>
      </c>
      <c r="L1196">
        <f t="shared" ca="1" si="587"/>
        <v>2.1389677043987478</v>
      </c>
      <c r="M1196">
        <f t="shared" ca="1" si="560"/>
        <v>11.122632062873489</v>
      </c>
      <c r="N1196">
        <f t="shared" ca="1" si="561"/>
        <v>1.1735290000551568</v>
      </c>
      <c r="O1196">
        <f t="shared" ca="1" si="562"/>
        <v>4.5807502857230418</v>
      </c>
      <c r="P1196">
        <f t="shared" ca="1" si="563"/>
        <v>634.13496770439872</v>
      </c>
      <c r="Q1196">
        <f t="shared" ca="1" si="564"/>
        <v>635.20445155659809</v>
      </c>
      <c r="R1196">
        <f t="shared" ca="1" si="565"/>
        <v>3.8141460404132466E-3</v>
      </c>
      <c r="S1196">
        <f t="shared" ca="1" si="566"/>
        <v>1.0000000000000004</v>
      </c>
      <c r="T1196">
        <f t="shared" ca="1" si="567"/>
        <v>35.686426155594638</v>
      </c>
      <c r="U1196">
        <f t="shared" ca="1" si="588"/>
        <v>-3.4249085716737682E-3</v>
      </c>
      <c r="V1196">
        <f t="shared" ca="1" si="589"/>
        <v>1</v>
      </c>
      <c r="W1196">
        <f t="shared" ca="1" si="568"/>
        <v>1.681205760408748</v>
      </c>
      <c r="X1196">
        <f t="shared" ca="1" si="569"/>
        <v>8.74226995412549</v>
      </c>
      <c r="Y1196">
        <f t="shared" ca="1" si="570"/>
        <v>1.021005581531641</v>
      </c>
      <c r="Z1196">
        <f t="shared" ca="1" si="571"/>
        <v>5.8280058002506117</v>
      </c>
      <c r="AA1196">
        <f t="shared" ca="1" si="572"/>
        <v>633.6772057604087</v>
      </c>
      <c r="AB1196">
        <f t="shared" ca="1" si="573"/>
        <v>635.40838066396395</v>
      </c>
      <c r="AC1196">
        <f t="shared" ca="1" si="574"/>
        <v>7.4333568180153806E-3</v>
      </c>
      <c r="AD1196">
        <f t="shared" ca="1" si="575"/>
        <v>1.4350764478093037</v>
      </c>
      <c r="AE1196">
        <f t="shared" ca="1" si="576"/>
        <v>37.617573992337036</v>
      </c>
      <c r="AF1196">
        <f t="shared" ca="1" si="577"/>
        <v>7.0978184338628125E-3</v>
      </c>
      <c r="AG1196">
        <f t="shared" ca="1" si="578"/>
        <v>0</v>
      </c>
      <c r="AH1196">
        <f ca="1">IFERROR(IF(V32="Supercritical",MAX($D$16,IFERROR(L1196,MAX($D$16,POWER((ABS(K1196)^2)/($I$5*MAX(F1196,0.1)^2),1/3)))),IF(V32="Subcritical",MAX($D$16,IFERROR(W1196,MAX($D$16,POWER((ABS(K1196)^2)/($I$5*MAX(F1196,0.1)^2),1/3)))),IF(AND(IFERROR(V1196,0)=1,IFERROR(AG1196,0)=1),IF(IFERROR(T1196,-1E+99)&gt;=IFERROR(AE1196,-1E+99),MAX($D$16,IFERROR(L1196,MAX($D$16,POWER((ABS(K1196)^2)/($I$5*MAX(F1196,0.1)^2),1/3)))),MAX($D$16,IFERROR(W1196,MAX($D$16,POWER((ABS(K1196)^2)/($I$5*MAX(F1196,0.1)^2),1/3))))),IF(IFERROR(V1196,0)=1,MAX($D$16,IFERROR(L1196,MAX($D$16,POWER((ABS(K1196)^2)/($I$5*MAX(F1196,0.1)^2),1/3)))),IF(IFERROR(AG1196,0)=1,MAX($D$16,IFERROR(W1196,MAX($D$16,POWER((ABS(K1196)^2)/($I$5*MAX(F1196,0.1)^2),1/3)))),MAX($D$16,POWER((ABS(K1196)^2)/($I$5*MAX(F1196,0.1)^2),1/3))))))),MAX($D$16,POWER((ABS(K1196)^2)/($I$5*MAX(F1196,0.1)^2),1/3)))</f>
        <v>2.1389677043987478</v>
      </c>
      <c r="AI1196">
        <f t="shared" ca="1" si="579"/>
        <v>634.13496770439872</v>
      </c>
      <c r="AJ1196">
        <f t="shared" ca="1" si="580"/>
        <v>635.20445155659809</v>
      </c>
      <c r="AM1196">
        <v>0</v>
      </c>
      <c r="AN1196">
        <v>0</v>
      </c>
      <c r="AO1196">
        <f t="shared" si="581"/>
        <v>0</v>
      </c>
      <c r="AP1196">
        <f t="shared" si="590"/>
        <v>0</v>
      </c>
      <c r="AQ1196">
        <f t="shared" ca="1" si="582"/>
        <v>1.0000000000000004</v>
      </c>
      <c r="AR1196" t="str">
        <f t="shared" ca="1" si="583"/>
        <v>Supercritical</v>
      </c>
      <c r="AS1196">
        <f t="shared" ca="1" si="584"/>
        <v>3.8141460404132466E-3</v>
      </c>
    </row>
    <row r="1197" spans="1:45" x14ac:dyDescent="0.35">
      <c r="A1197">
        <v>1136</v>
      </c>
      <c r="B1197">
        <v>1134.9960000000001</v>
      </c>
      <c r="C1197">
        <v>616075.58799999999</v>
      </c>
      <c r="D1197">
        <v>3096872.1770000001</v>
      </c>
      <c r="E1197">
        <v>631.99549999999999</v>
      </c>
      <c r="F1197">
        <v>5.2</v>
      </c>
      <c r="G1197">
        <v>0</v>
      </c>
      <c r="H1197" t="s">
        <v>154</v>
      </c>
      <c r="I1197">
        <v>5.7000000000000002E-2</v>
      </c>
      <c r="J1197">
        <f t="shared" si="585"/>
        <v>1</v>
      </c>
      <c r="K1197">
        <f t="shared" ca="1" si="586"/>
        <v>50.95</v>
      </c>
      <c r="L1197">
        <f t="shared" ca="1" si="587"/>
        <v>2.1389677043987478</v>
      </c>
      <c r="M1197">
        <f t="shared" ca="1" si="560"/>
        <v>11.122632062873489</v>
      </c>
      <c r="N1197">
        <f t="shared" ca="1" si="561"/>
        <v>1.1735290000551568</v>
      </c>
      <c r="O1197">
        <f t="shared" ca="1" si="562"/>
        <v>4.5807502857230418</v>
      </c>
      <c r="P1197">
        <f t="shared" ca="1" si="563"/>
        <v>634.13446770439873</v>
      </c>
      <c r="Q1197">
        <f t="shared" ca="1" si="564"/>
        <v>635.2039515565981</v>
      </c>
      <c r="R1197">
        <f t="shared" ca="1" si="565"/>
        <v>3.8141460404132466E-3</v>
      </c>
      <c r="S1197">
        <f t="shared" ca="1" si="566"/>
        <v>1.0000000000000004</v>
      </c>
      <c r="T1197">
        <f t="shared" ca="1" si="567"/>
        <v>35.686426155594638</v>
      </c>
      <c r="U1197">
        <f t="shared" ca="1" si="588"/>
        <v>-3.4157470064428708E-3</v>
      </c>
      <c r="V1197">
        <f t="shared" ca="1" si="589"/>
        <v>1</v>
      </c>
      <c r="W1197">
        <f t="shared" ca="1" si="568"/>
        <v>1.6812054664882206</v>
      </c>
      <c r="X1197">
        <f t="shared" ca="1" si="569"/>
        <v>8.7422684257387466</v>
      </c>
      <c r="Y1197">
        <f t="shared" ca="1" si="570"/>
        <v>1.0210054731278571</v>
      </c>
      <c r="Z1197">
        <f t="shared" ca="1" si="571"/>
        <v>5.8280068191448358</v>
      </c>
      <c r="AA1197">
        <f t="shared" ca="1" si="572"/>
        <v>633.67670546648822</v>
      </c>
      <c r="AB1197">
        <f t="shared" ca="1" si="573"/>
        <v>635.40788097535665</v>
      </c>
      <c r="AC1197">
        <f t="shared" ca="1" si="574"/>
        <v>7.433360469423906E-3</v>
      </c>
      <c r="AD1197">
        <f t="shared" ca="1" si="575"/>
        <v>1.4350768241450222</v>
      </c>
      <c r="AE1197">
        <f t="shared" ca="1" si="576"/>
        <v>37.617576714615133</v>
      </c>
      <c r="AF1197">
        <f t="shared" ca="1" si="577"/>
        <v>6.9333604694747919E-3</v>
      </c>
      <c r="AG1197">
        <f t="shared" ca="1" si="578"/>
        <v>0</v>
      </c>
      <c r="AH1197">
        <f ca="1">IFERROR(IF(V32="Supercritical",MAX($D$16,IFERROR(L1197,MAX($D$16,POWER((ABS(K1197)^2)/($I$5*MAX(F1197,0.1)^2),1/3)))),IF(V32="Subcritical",MAX($D$16,IFERROR(W1197,MAX($D$16,POWER((ABS(K1197)^2)/($I$5*MAX(F1197,0.1)^2),1/3)))),IF(AND(IFERROR(V1197,0)=1,IFERROR(AG1197,0)=1),IF(IFERROR(T1197,-1E+99)&gt;=IFERROR(AE1197,-1E+99),MAX($D$16,IFERROR(L1197,MAX($D$16,POWER((ABS(K1197)^2)/($I$5*MAX(F1197,0.1)^2),1/3)))),MAX($D$16,IFERROR(W1197,MAX($D$16,POWER((ABS(K1197)^2)/($I$5*MAX(F1197,0.1)^2),1/3))))),IF(IFERROR(V1197,0)=1,MAX($D$16,IFERROR(L1197,MAX($D$16,POWER((ABS(K1197)^2)/($I$5*MAX(F1197,0.1)^2),1/3)))),IF(IFERROR(AG1197,0)=1,MAX($D$16,IFERROR(W1197,MAX($D$16,POWER((ABS(K1197)^2)/($I$5*MAX(F1197,0.1)^2),1/3)))),MAX($D$16,POWER((ABS(K1197)^2)/($I$5*MAX(F1197,0.1)^2),1/3))))))),MAX($D$16,POWER((ABS(K1197)^2)/($I$5*MAX(F1197,0.1)^2),1/3)))</f>
        <v>2.1389677043987478</v>
      </c>
      <c r="AI1197">
        <f t="shared" ca="1" si="579"/>
        <v>634.13446770439873</v>
      </c>
      <c r="AJ1197">
        <f t="shared" ca="1" si="580"/>
        <v>635.2039515565981</v>
      </c>
      <c r="AM1197">
        <v>0</v>
      </c>
      <c r="AN1197">
        <v>0</v>
      </c>
      <c r="AO1197">
        <f t="shared" si="581"/>
        <v>0</v>
      </c>
      <c r="AP1197">
        <f t="shared" si="590"/>
        <v>0</v>
      </c>
      <c r="AQ1197">
        <f t="shared" ca="1" si="582"/>
        <v>1.0000000000000004</v>
      </c>
      <c r="AR1197" t="str">
        <f t="shared" ca="1" si="583"/>
        <v>Supercritical</v>
      </c>
      <c r="AS1197">
        <f t="shared" ca="1" si="584"/>
        <v>3.8141460404132466E-3</v>
      </c>
    </row>
    <row r="1198" spans="1:45" x14ac:dyDescent="0.35">
      <c r="A1198">
        <v>1137</v>
      </c>
      <c r="B1198">
        <v>1135.9960000000001</v>
      </c>
      <c r="C1198">
        <v>616075.54599999997</v>
      </c>
      <c r="D1198">
        <v>3096871.1779999998</v>
      </c>
      <c r="E1198">
        <v>631.995</v>
      </c>
      <c r="F1198">
        <v>5.2</v>
      </c>
      <c r="G1198">
        <v>0</v>
      </c>
      <c r="H1198" t="s">
        <v>154</v>
      </c>
      <c r="I1198">
        <v>0</v>
      </c>
      <c r="J1198">
        <f t="shared" si="585"/>
        <v>1</v>
      </c>
      <c r="K1198">
        <f t="shared" ca="1" si="586"/>
        <v>50.95</v>
      </c>
      <c r="L1198">
        <f t="shared" ca="1" si="587"/>
        <v>2.1389677043987478</v>
      </c>
      <c r="M1198">
        <f t="shared" ca="1" si="560"/>
        <v>11.122632062873489</v>
      </c>
      <c r="N1198">
        <f t="shared" ca="1" si="561"/>
        <v>1.1735290000551568</v>
      </c>
      <c r="O1198">
        <f t="shared" ca="1" si="562"/>
        <v>4.5807502857230418</v>
      </c>
      <c r="P1198">
        <f t="shared" ca="1" si="563"/>
        <v>634.13396770439874</v>
      </c>
      <c r="Q1198">
        <f t="shared" ca="1" si="564"/>
        <v>635.20345155659811</v>
      </c>
      <c r="R1198">
        <f t="shared" ca="1" si="565"/>
        <v>3.8141460404132466E-3</v>
      </c>
      <c r="S1198">
        <f t="shared" ca="1" si="566"/>
        <v>1.0000000000000004</v>
      </c>
      <c r="T1198">
        <f t="shared" ca="1" si="567"/>
        <v>35.686426155594638</v>
      </c>
      <c r="U1198">
        <f t="shared" ca="1" si="588"/>
        <v>-3.3141460404522149E-3</v>
      </c>
      <c r="V1198">
        <f t="shared" ca="1" si="589"/>
        <v>1</v>
      </c>
      <c r="W1198">
        <f t="shared" ca="1" si="568"/>
        <v>1.6812051917636532</v>
      </c>
      <c r="X1198">
        <f t="shared" ca="1" si="569"/>
        <v>8.7422669971709972</v>
      </c>
      <c r="Y1198">
        <f t="shared" ca="1" si="570"/>
        <v>1.0210053718039145</v>
      </c>
      <c r="Z1198">
        <f t="shared" ca="1" si="571"/>
        <v>5.8280077714953631</v>
      </c>
      <c r="AA1198">
        <f t="shared" ca="1" si="572"/>
        <v>633.67620519176364</v>
      </c>
      <c r="AB1198">
        <f t="shared" ca="1" si="573"/>
        <v>635.40738126641247</v>
      </c>
      <c r="AC1198">
        <f t="shared" ca="1" si="574"/>
        <v>7.4333638823610741E-3</v>
      </c>
      <c r="AD1198">
        <f t="shared" ca="1" si="575"/>
        <v>1.4350771759023906</v>
      </c>
      <c r="AE1198">
        <f t="shared" ca="1" si="576"/>
        <v>37.617579259103231</v>
      </c>
      <c r="AF1198">
        <f t="shared" ca="1" si="577"/>
        <v>7.097825609434949E-3</v>
      </c>
      <c r="AG1198">
        <f t="shared" ca="1" si="578"/>
        <v>0</v>
      </c>
      <c r="AH1198">
        <f ca="1">IFERROR(IF(V32="Supercritical",MAX($D$16,IFERROR(L1198,MAX($D$16,POWER((ABS(K1198)^2)/($I$5*MAX(F1198,0.1)^2),1/3)))),IF(V32="Subcritical",MAX($D$16,IFERROR(W1198,MAX($D$16,POWER((ABS(K1198)^2)/($I$5*MAX(F1198,0.1)^2),1/3)))),IF(AND(IFERROR(V1198,0)=1,IFERROR(AG1198,0)=1),IF(IFERROR(T1198,-1E+99)&gt;=IFERROR(AE1198,-1E+99),MAX($D$16,IFERROR(L1198,MAX($D$16,POWER((ABS(K1198)^2)/($I$5*MAX(F1198,0.1)^2),1/3)))),MAX($D$16,IFERROR(W1198,MAX($D$16,POWER((ABS(K1198)^2)/($I$5*MAX(F1198,0.1)^2),1/3))))),IF(IFERROR(V1198,0)=1,MAX($D$16,IFERROR(L1198,MAX($D$16,POWER((ABS(K1198)^2)/($I$5*MAX(F1198,0.1)^2),1/3)))),IF(IFERROR(AG1198,0)=1,MAX($D$16,IFERROR(W1198,MAX($D$16,POWER((ABS(K1198)^2)/($I$5*MAX(F1198,0.1)^2),1/3)))),MAX($D$16,POWER((ABS(K1198)^2)/($I$5*MAX(F1198,0.1)^2),1/3))))))),MAX($D$16,POWER((ABS(K1198)^2)/($I$5*MAX(F1198,0.1)^2),1/3)))</f>
        <v>2.1389677043987478</v>
      </c>
      <c r="AI1198">
        <f t="shared" ca="1" si="579"/>
        <v>634.13396770439874</v>
      </c>
      <c r="AJ1198">
        <f t="shared" ca="1" si="580"/>
        <v>635.20345155659811</v>
      </c>
      <c r="AM1198">
        <v>0</v>
      </c>
      <c r="AN1198">
        <v>0</v>
      </c>
      <c r="AO1198">
        <f t="shared" si="581"/>
        <v>0</v>
      </c>
      <c r="AP1198">
        <f t="shared" si="590"/>
        <v>0</v>
      </c>
      <c r="AQ1198">
        <f t="shared" ca="1" si="582"/>
        <v>1.0000000000000004</v>
      </c>
      <c r="AR1198" t="str">
        <f t="shared" ca="1" si="583"/>
        <v>Supercritical</v>
      </c>
      <c r="AS1198">
        <f t="shared" ca="1" si="584"/>
        <v>3.8141460404132466E-3</v>
      </c>
    </row>
    <row r="1199" spans="1:45" x14ac:dyDescent="0.35">
      <c r="A1199">
        <v>1138</v>
      </c>
      <c r="B1199">
        <v>1136.9960000000001</v>
      </c>
      <c r="C1199">
        <v>616075.50399999996</v>
      </c>
      <c r="D1199">
        <v>3096870.179</v>
      </c>
      <c r="E1199">
        <v>631.99450000000002</v>
      </c>
      <c r="F1199">
        <v>5.2</v>
      </c>
      <c r="G1199">
        <v>0</v>
      </c>
      <c r="H1199" t="s">
        <v>154</v>
      </c>
      <c r="I1199">
        <v>5.7000000000000002E-2</v>
      </c>
      <c r="J1199">
        <f t="shared" si="585"/>
        <v>1</v>
      </c>
      <c r="K1199">
        <f t="shared" ca="1" si="586"/>
        <v>50.95</v>
      </c>
      <c r="L1199">
        <f t="shared" ca="1" si="587"/>
        <v>2.1389677043987478</v>
      </c>
      <c r="M1199">
        <f t="shared" ca="1" si="560"/>
        <v>11.122632062873489</v>
      </c>
      <c r="N1199">
        <f t="shared" ca="1" si="561"/>
        <v>1.1735290000551568</v>
      </c>
      <c r="O1199">
        <f t="shared" ca="1" si="562"/>
        <v>4.5807502857230418</v>
      </c>
      <c r="P1199">
        <f t="shared" ca="1" si="563"/>
        <v>634.13346770439875</v>
      </c>
      <c r="Q1199">
        <f t="shared" ca="1" si="564"/>
        <v>635.20295155659812</v>
      </c>
      <c r="R1199">
        <f t="shared" ca="1" si="565"/>
        <v>3.8141460404132466E-3</v>
      </c>
      <c r="S1199">
        <f t="shared" ca="1" si="566"/>
        <v>1.0000000000000004</v>
      </c>
      <c r="T1199">
        <f t="shared" ca="1" si="567"/>
        <v>35.686426155594638</v>
      </c>
      <c r="U1199">
        <f t="shared" ca="1" si="588"/>
        <v>-3.4157470064428708E-3</v>
      </c>
      <c r="V1199">
        <f t="shared" ca="1" si="589"/>
        <v>1</v>
      </c>
      <c r="W1199">
        <f t="shared" ca="1" si="568"/>
        <v>1.6812049349813756</v>
      </c>
      <c r="X1199">
        <f t="shared" ca="1" si="569"/>
        <v>8.7422656619031525</v>
      </c>
      <c r="Y1199">
        <f t="shared" ca="1" si="570"/>
        <v>1.0210052770974374</v>
      </c>
      <c r="Z1199">
        <f t="shared" ca="1" si="571"/>
        <v>5.8280086616480622</v>
      </c>
      <c r="AA1199">
        <f t="shared" ca="1" si="572"/>
        <v>633.67570493498135</v>
      </c>
      <c r="AB1199">
        <f t="shared" ca="1" si="573"/>
        <v>635.40688153845963</v>
      </c>
      <c r="AC1199">
        <f t="shared" ca="1" si="574"/>
        <v>7.4333670724009409E-3</v>
      </c>
      <c r="AD1199">
        <f t="shared" ca="1" si="575"/>
        <v>1.4350775046865789</v>
      </c>
      <c r="AE1199">
        <f t="shared" ca="1" si="576"/>
        <v>37.617581637412371</v>
      </c>
      <c r="AF1199">
        <f t="shared" ca="1" si="577"/>
        <v>7.0978288497371977E-3</v>
      </c>
      <c r="AG1199">
        <f t="shared" ca="1" si="578"/>
        <v>0</v>
      </c>
      <c r="AH1199">
        <f ca="1">IFERROR(IF(V32="Supercritical",MAX($D$16,IFERROR(L1199,MAX($D$16,POWER((ABS(K1199)^2)/($I$5*MAX(F1199,0.1)^2),1/3)))),IF(V32="Subcritical",MAX($D$16,IFERROR(W1199,MAX($D$16,POWER((ABS(K1199)^2)/($I$5*MAX(F1199,0.1)^2),1/3)))),IF(AND(IFERROR(V1199,0)=1,IFERROR(AG1199,0)=1),IF(IFERROR(T1199,-1E+99)&gt;=IFERROR(AE1199,-1E+99),MAX($D$16,IFERROR(L1199,MAX($D$16,POWER((ABS(K1199)^2)/($I$5*MAX(F1199,0.1)^2),1/3)))),MAX($D$16,IFERROR(W1199,MAX($D$16,POWER((ABS(K1199)^2)/($I$5*MAX(F1199,0.1)^2),1/3))))),IF(IFERROR(V1199,0)=1,MAX($D$16,IFERROR(L1199,MAX($D$16,POWER((ABS(K1199)^2)/($I$5*MAX(F1199,0.1)^2),1/3)))),IF(IFERROR(AG1199,0)=1,MAX($D$16,IFERROR(W1199,MAX($D$16,POWER((ABS(K1199)^2)/($I$5*MAX(F1199,0.1)^2),1/3)))),MAX($D$16,POWER((ABS(K1199)^2)/($I$5*MAX(F1199,0.1)^2),1/3))))))),MAX($D$16,POWER((ABS(K1199)^2)/($I$5*MAX(F1199,0.1)^2),1/3)))</f>
        <v>2.1389677043987478</v>
      </c>
      <c r="AI1199">
        <f t="shared" ca="1" si="579"/>
        <v>634.13346770439875</v>
      </c>
      <c r="AJ1199">
        <f t="shared" ca="1" si="580"/>
        <v>635.20295155659812</v>
      </c>
      <c r="AM1199">
        <v>0</v>
      </c>
      <c r="AN1199">
        <v>0</v>
      </c>
      <c r="AO1199">
        <f t="shared" si="581"/>
        <v>0</v>
      </c>
      <c r="AP1199">
        <f t="shared" si="590"/>
        <v>0</v>
      </c>
      <c r="AQ1199">
        <f t="shared" ca="1" si="582"/>
        <v>1.0000000000000004</v>
      </c>
      <c r="AR1199" t="str">
        <f t="shared" ca="1" si="583"/>
        <v>Supercritical</v>
      </c>
      <c r="AS1199">
        <f t="shared" ca="1" si="584"/>
        <v>3.8141460404132466E-3</v>
      </c>
    </row>
    <row r="1200" spans="1:45" x14ac:dyDescent="0.35">
      <c r="A1200">
        <v>1139</v>
      </c>
      <c r="B1200">
        <v>1137.9960000000001</v>
      </c>
      <c r="C1200">
        <v>616075.46100000001</v>
      </c>
      <c r="D1200">
        <v>3096869.18</v>
      </c>
      <c r="E1200">
        <v>631.99400000000003</v>
      </c>
      <c r="F1200">
        <v>5.2</v>
      </c>
      <c r="G1200">
        <v>0</v>
      </c>
      <c r="H1200" t="s">
        <v>154</v>
      </c>
      <c r="I1200">
        <v>5.7000000000000002E-2</v>
      </c>
      <c r="J1200">
        <f t="shared" si="585"/>
        <v>1</v>
      </c>
      <c r="K1200">
        <f t="shared" ca="1" si="586"/>
        <v>50.95</v>
      </c>
      <c r="L1200">
        <f t="shared" ca="1" si="587"/>
        <v>2.1389677043987478</v>
      </c>
      <c r="M1200">
        <f t="shared" ca="1" si="560"/>
        <v>11.122632062873489</v>
      </c>
      <c r="N1200">
        <f t="shared" ca="1" si="561"/>
        <v>1.1735290000551568</v>
      </c>
      <c r="O1200">
        <f t="shared" ca="1" si="562"/>
        <v>4.5807502857230418</v>
      </c>
      <c r="P1200">
        <f t="shared" ca="1" si="563"/>
        <v>634.13296770439877</v>
      </c>
      <c r="Q1200">
        <f t="shared" ca="1" si="564"/>
        <v>635.20245155659813</v>
      </c>
      <c r="R1200">
        <f t="shared" ca="1" si="565"/>
        <v>3.8141460404132466E-3</v>
      </c>
      <c r="S1200">
        <f t="shared" ca="1" si="566"/>
        <v>1.0000000000000004</v>
      </c>
      <c r="T1200">
        <f t="shared" ca="1" si="567"/>
        <v>35.686426155594638</v>
      </c>
      <c r="U1200">
        <f t="shared" ca="1" si="588"/>
        <v>-3.4157470064428708E-3</v>
      </c>
      <c r="V1200">
        <f t="shared" ca="1" si="589"/>
        <v>1</v>
      </c>
      <c r="W1200">
        <f t="shared" ca="1" si="568"/>
        <v>1.6812046949695891</v>
      </c>
      <c r="X1200">
        <f t="shared" ca="1" si="569"/>
        <v>8.7422644138418644</v>
      </c>
      <c r="Y1200">
        <f t="shared" ca="1" si="570"/>
        <v>1.0210051885762452</v>
      </c>
      <c r="Z1200">
        <f t="shared" ca="1" si="571"/>
        <v>5.8280094936649922</v>
      </c>
      <c r="AA1200">
        <f t="shared" ca="1" si="572"/>
        <v>633.67520469496958</v>
      </c>
      <c r="AB1200">
        <f t="shared" ca="1" si="573"/>
        <v>635.40638179273969</v>
      </c>
      <c r="AC1200">
        <f t="shared" ca="1" si="574"/>
        <v>7.4333700541005278E-3</v>
      </c>
      <c r="AD1200">
        <f t="shared" ca="1" si="575"/>
        <v>1.4350778119979328</v>
      </c>
      <c r="AE1200">
        <f t="shared" ca="1" si="576"/>
        <v>37.617583860395342</v>
      </c>
      <c r="AF1200">
        <f t="shared" ca="1" si="577"/>
        <v>6.9333700540710197E-3</v>
      </c>
      <c r="AG1200">
        <f t="shared" ca="1" si="578"/>
        <v>0</v>
      </c>
      <c r="AH1200">
        <f ca="1">IFERROR(IF(V32="Supercritical",MAX($D$16,IFERROR(L1200,MAX($D$16,POWER((ABS(K1200)^2)/($I$5*MAX(F1200,0.1)^2),1/3)))),IF(V32="Subcritical",MAX($D$16,IFERROR(W1200,MAX($D$16,POWER((ABS(K1200)^2)/($I$5*MAX(F1200,0.1)^2),1/3)))),IF(AND(IFERROR(V1200,0)=1,IFERROR(AG1200,0)=1),IF(IFERROR(T1200,-1E+99)&gt;=IFERROR(AE1200,-1E+99),MAX($D$16,IFERROR(L1200,MAX($D$16,POWER((ABS(K1200)^2)/($I$5*MAX(F1200,0.1)^2),1/3)))),MAX($D$16,IFERROR(W1200,MAX($D$16,POWER((ABS(K1200)^2)/($I$5*MAX(F1200,0.1)^2),1/3))))),IF(IFERROR(V1200,0)=1,MAX($D$16,IFERROR(L1200,MAX($D$16,POWER((ABS(K1200)^2)/($I$5*MAX(F1200,0.1)^2),1/3)))),IF(IFERROR(AG1200,0)=1,MAX($D$16,IFERROR(W1200,MAX($D$16,POWER((ABS(K1200)^2)/($I$5*MAX(F1200,0.1)^2),1/3)))),MAX($D$16,POWER((ABS(K1200)^2)/($I$5*MAX(F1200,0.1)^2),1/3))))))),MAX($D$16,POWER((ABS(K1200)^2)/($I$5*MAX(F1200,0.1)^2),1/3)))</f>
        <v>2.1389677043987478</v>
      </c>
      <c r="AI1200">
        <f t="shared" ca="1" si="579"/>
        <v>634.13296770439877</v>
      </c>
      <c r="AJ1200">
        <f t="shared" ca="1" si="580"/>
        <v>635.20245155659813</v>
      </c>
      <c r="AM1200">
        <v>0</v>
      </c>
      <c r="AN1200">
        <v>0</v>
      </c>
      <c r="AO1200">
        <f t="shared" si="581"/>
        <v>0</v>
      </c>
      <c r="AP1200">
        <f t="shared" si="590"/>
        <v>0</v>
      </c>
      <c r="AQ1200">
        <f t="shared" ca="1" si="582"/>
        <v>1.0000000000000004</v>
      </c>
      <c r="AR1200" t="str">
        <f t="shared" ca="1" si="583"/>
        <v>Supercritical</v>
      </c>
      <c r="AS1200">
        <f t="shared" ca="1" si="584"/>
        <v>3.8141460404132466E-3</v>
      </c>
    </row>
    <row r="1201" spans="1:45" x14ac:dyDescent="0.35">
      <c r="A1201">
        <v>1140</v>
      </c>
      <c r="B1201">
        <v>1138.9960000000001</v>
      </c>
      <c r="C1201">
        <v>616075.41899999999</v>
      </c>
      <c r="D1201">
        <v>3096868.1809999999</v>
      </c>
      <c r="E1201">
        <v>631.99350000000004</v>
      </c>
      <c r="F1201">
        <v>5.2</v>
      </c>
      <c r="G1201">
        <v>0</v>
      </c>
      <c r="H1201" t="s">
        <v>154</v>
      </c>
      <c r="I1201">
        <v>0</v>
      </c>
      <c r="J1201">
        <f t="shared" si="585"/>
        <v>1</v>
      </c>
      <c r="K1201">
        <f t="shared" ca="1" si="586"/>
        <v>50.95</v>
      </c>
      <c r="L1201">
        <f t="shared" ca="1" si="587"/>
        <v>2.1389677043987478</v>
      </c>
      <c r="M1201">
        <f t="shared" ca="1" si="560"/>
        <v>11.122632062873489</v>
      </c>
      <c r="N1201">
        <f t="shared" ca="1" si="561"/>
        <v>1.1735290000551568</v>
      </c>
      <c r="O1201">
        <f t="shared" ca="1" si="562"/>
        <v>4.5807502857230418</v>
      </c>
      <c r="P1201">
        <f t="shared" ca="1" si="563"/>
        <v>634.13246770439878</v>
      </c>
      <c r="Q1201">
        <f t="shared" ca="1" si="564"/>
        <v>635.20195155659815</v>
      </c>
      <c r="R1201">
        <f t="shared" ca="1" si="565"/>
        <v>3.8141460404132466E-3</v>
      </c>
      <c r="S1201">
        <f t="shared" ca="1" si="566"/>
        <v>1.0000000000000004</v>
      </c>
      <c r="T1201">
        <f t="shared" ca="1" si="567"/>
        <v>35.686426155594638</v>
      </c>
      <c r="U1201">
        <f t="shared" ca="1" si="588"/>
        <v>-3.3141460404522149E-3</v>
      </c>
      <c r="V1201">
        <f t="shared" ca="1" si="589"/>
        <v>1</v>
      </c>
      <c r="W1201">
        <f t="shared" ca="1" si="568"/>
        <v>1.6812044706330462</v>
      </c>
      <c r="X1201">
        <f t="shared" ca="1" si="569"/>
        <v>8.7422632472918416</v>
      </c>
      <c r="Y1201">
        <f t="shared" ca="1" si="570"/>
        <v>1.0210051058363903</v>
      </c>
      <c r="Z1201">
        <f t="shared" ca="1" si="571"/>
        <v>5.8280102713428557</v>
      </c>
      <c r="AA1201">
        <f t="shared" ca="1" si="572"/>
        <v>633.67470447063306</v>
      </c>
      <c r="AB1201">
        <f t="shared" ca="1" si="573"/>
        <v>635.40588203041273</v>
      </c>
      <c r="AC1201">
        <f t="shared" ca="1" si="574"/>
        <v>7.433372841065905E-3</v>
      </c>
      <c r="AD1201">
        <f t="shared" ca="1" si="575"/>
        <v>1.435078099238787</v>
      </c>
      <c r="AE1201">
        <f t="shared" ca="1" si="576"/>
        <v>37.617585938196001</v>
      </c>
      <c r="AF1201">
        <f t="shared" ca="1" si="577"/>
        <v>6.925939468260367E-3</v>
      </c>
      <c r="AG1201">
        <f t="shared" ca="1" si="578"/>
        <v>0</v>
      </c>
      <c r="AH1201">
        <f ca="1">IFERROR(IF(V32="Supercritical",MAX($D$16,IFERROR(L1201,MAX($D$16,POWER((ABS(K1201)^2)/($I$5*MAX(F1201,0.1)^2),1/3)))),IF(V32="Subcritical",MAX($D$16,IFERROR(W1201,MAX($D$16,POWER((ABS(K1201)^2)/($I$5*MAX(F1201,0.1)^2),1/3)))),IF(AND(IFERROR(V1201,0)=1,IFERROR(AG1201,0)=1),IF(IFERROR(T1201,-1E+99)&gt;=IFERROR(AE1201,-1E+99),MAX($D$16,IFERROR(L1201,MAX($D$16,POWER((ABS(K1201)^2)/($I$5*MAX(F1201,0.1)^2),1/3)))),MAX($D$16,IFERROR(W1201,MAX($D$16,POWER((ABS(K1201)^2)/($I$5*MAX(F1201,0.1)^2),1/3))))),IF(IFERROR(V1201,0)=1,MAX($D$16,IFERROR(L1201,MAX($D$16,POWER((ABS(K1201)^2)/($I$5*MAX(F1201,0.1)^2),1/3)))),IF(IFERROR(AG1201,0)=1,MAX($D$16,IFERROR(W1201,MAX($D$16,POWER((ABS(K1201)^2)/($I$5*MAX(F1201,0.1)^2),1/3)))),MAX($D$16,POWER((ABS(K1201)^2)/($I$5*MAX(F1201,0.1)^2),1/3))))))),MAX($D$16,POWER((ABS(K1201)^2)/($I$5*MAX(F1201,0.1)^2),1/3)))</f>
        <v>2.1389677043987478</v>
      </c>
      <c r="AI1201">
        <f t="shared" ca="1" si="579"/>
        <v>634.13246770439878</v>
      </c>
      <c r="AJ1201">
        <f t="shared" ca="1" si="580"/>
        <v>635.20195155659815</v>
      </c>
      <c r="AM1201">
        <v>0</v>
      </c>
      <c r="AN1201">
        <v>0</v>
      </c>
      <c r="AO1201">
        <f t="shared" si="581"/>
        <v>0</v>
      </c>
      <c r="AP1201">
        <f t="shared" si="590"/>
        <v>0</v>
      </c>
      <c r="AQ1201">
        <f t="shared" ca="1" si="582"/>
        <v>1.0000000000000004</v>
      </c>
      <c r="AR1201" t="str">
        <f t="shared" ca="1" si="583"/>
        <v>Supercritical</v>
      </c>
      <c r="AS1201">
        <f t="shared" ca="1" si="584"/>
        <v>3.8141460404132466E-3</v>
      </c>
    </row>
    <row r="1202" spans="1:45" x14ac:dyDescent="0.35">
      <c r="A1202">
        <v>1141</v>
      </c>
      <c r="B1202">
        <v>1139.9949999999999</v>
      </c>
      <c r="C1202">
        <v>616075.37699999998</v>
      </c>
      <c r="D1202">
        <v>3096867.182</v>
      </c>
      <c r="E1202">
        <v>631.99300000000005</v>
      </c>
      <c r="F1202">
        <v>5.2</v>
      </c>
      <c r="G1202">
        <v>0</v>
      </c>
      <c r="H1202" t="s">
        <v>154</v>
      </c>
      <c r="I1202">
        <v>0</v>
      </c>
      <c r="J1202">
        <f t="shared" si="585"/>
        <v>0.99899999999979627</v>
      </c>
      <c r="K1202">
        <f t="shared" ca="1" si="586"/>
        <v>50.95</v>
      </c>
      <c r="L1202">
        <f t="shared" ca="1" si="587"/>
        <v>2.1389677043987478</v>
      </c>
      <c r="M1202">
        <f t="shared" ca="1" si="560"/>
        <v>11.122632062873489</v>
      </c>
      <c r="N1202">
        <f t="shared" ca="1" si="561"/>
        <v>1.1735290000551568</v>
      </c>
      <c r="O1202">
        <f t="shared" ca="1" si="562"/>
        <v>4.5807502857230418</v>
      </c>
      <c r="P1202">
        <f t="shared" ca="1" si="563"/>
        <v>634.13196770439879</v>
      </c>
      <c r="Q1202">
        <f t="shared" ca="1" si="564"/>
        <v>635.20145155659816</v>
      </c>
      <c r="R1202">
        <f t="shared" ca="1" si="565"/>
        <v>3.8141460404132466E-3</v>
      </c>
      <c r="S1202">
        <f t="shared" ca="1" si="566"/>
        <v>1.0000000000000004</v>
      </c>
      <c r="T1202">
        <f t="shared" ca="1" si="567"/>
        <v>35.686426155594638</v>
      </c>
      <c r="U1202">
        <f t="shared" ca="1" si="588"/>
        <v>-3.3103318943403792E-3</v>
      </c>
      <c r="V1202">
        <f t="shared" ca="1" si="589"/>
        <v>1</v>
      </c>
      <c r="W1202">
        <f t="shared" ca="1" si="568"/>
        <v>1.6812042609480025</v>
      </c>
      <c r="X1202">
        <f t="shared" ca="1" si="569"/>
        <v>8.7422621569296126</v>
      </c>
      <c r="Y1202">
        <f t="shared" ca="1" si="570"/>
        <v>1.0210050285002965</v>
      </c>
      <c r="Z1202">
        <f t="shared" ca="1" si="571"/>
        <v>5.828010998230492</v>
      </c>
      <c r="AA1202">
        <f t="shared" ca="1" si="572"/>
        <v>633.67420426094804</v>
      </c>
      <c r="AB1202">
        <f t="shared" ca="1" si="573"/>
        <v>635.40538225256353</v>
      </c>
      <c r="AC1202">
        <f t="shared" ca="1" si="574"/>
        <v>7.4333754460149132E-3</v>
      </c>
      <c r="AD1202">
        <f t="shared" ca="1" si="575"/>
        <v>1.4350783677199268</v>
      </c>
      <c r="AE1202">
        <f t="shared" ca="1" si="576"/>
        <v>37.617587880295979</v>
      </c>
      <c r="AF1202">
        <f t="shared" ca="1" si="577"/>
        <v>7.097837355104275E-3</v>
      </c>
      <c r="AG1202">
        <f t="shared" ca="1" si="578"/>
        <v>0</v>
      </c>
      <c r="AH1202">
        <f ca="1">IFERROR(IF(V32="Supercritical",MAX($D$16,IFERROR(L1202,MAX($D$16,POWER((ABS(K1202)^2)/($I$5*MAX(F1202,0.1)^2),1/3)))),IF(V32="Subcritical",MAX($D$16,IFERROR(W1202,MAX($D$16,POWER((ABS(K1202)^2)/($I$5*MAX(F1202,0.1)^2),1/3)))),IF(AND(IFERROR(V1202,0)=1,IFERROR(AG1202,0)=1),IF(IFERROR(T1202,-1E+99)&gt;=IFERROR(AE1202,-1E+99),MAX($D$16,IFERROR(L1202,MAX($D$16,POWER((ABS(K1202)^2)/($I$5*MAX(F1202,0.1)^2),1/3)))),MAX($D$16,IFERROR(W1202,MAX($D$16,POWER((ABS(K1202)^2)/($I$5*MAX(F1202,0.1)^2),1/3))))),IF(IFERROR(V1202,0)=1,MAX($D$16,IFERROR(L1202,MAX($D$16,POWER((ABS(K1202)^2)/($I$5*MAX(F1202,0.1)^2),1/3)))),IF(IFERROR(AG1202,0)=1,MAX($D$16,IFERROR(W1202,MAX($D$16,POWER((ABS(K1202)^2)/($I$5*MAX(F1202,0.1)^2),1/3)))),MAX($D$16,POWER((ABS(K1202)^2)/($I$5*MAX(F1202,0.1)^2),1/3))))))),MAX($D$16,POWER((ABS(K1202)^2)/($I$5*MAX(F1202,0.1)^2),1/3)))</f>
        <v>2.1389677043987478</v>
      </c>
      <c r="AI1202">
        <f t="shared" ca="1" si="579"/>
        <v>634.13196770439879</v>
      </c>
      <c r="AJ1202">
        <f t="shared" ca="1" si="580"/>
        <v>635.20145155659816</v>
      </c>
      <c r="AM1202">
        <v>0</v>
      </c>
      <c r="AN1202">
        <v>0</v>
      </c>
      <c r="AO1202">
        <f t="shared" si="581"/>
        <v>0</v>
      </c>
      <c r="AP1202">
        <f t="shared" si="590"/>
        <v>0</v>
      </c>
      <c r="AQ1202">
        <f t="shared" ca="1" si="582"/>
        <v>1.0000000000000004</v>
      </c>
      <c r="AR1202" t="str">
        <f t="shared" ca="1" si="583"/>
        <v>Supercritical</v>
      </c>
      <c r="AS1202">
        <f t="shared" ca="1" si="584"/>
        <v>3.8141460404132466E-3</v>
      </c>
    </row>
    <row r="1203" spans="1:45" x14ac:dyDescent="0.35">
      <c r="A1203">
        <v>1142</v>
      </c>
      <c r="B1203">
        <v>1140.9949999999999</v>
      </c>
      <c r="C1203">
        <v>616075.33499999996</v>
      </c>
      <c r="D1203">
        <v>3096866.1830000002</v>
      </c>
      <c r="E1203">
        <v>631.99249999999995</v>
      </c>
      <c r="F1203">
        <v>5.2</v>
      </c>
      <c r="G1203">
        <v>0</v>
      </c>
      <c r="H1203" t="s">
        <v>154</v>
      </c>
      <c r="I1203">
        <v>5.7000000000000002E-2</v>
      </c>
      <c r="J1203">
        <f t="shared" si="585"/>
        <v>1</v>
      </c>
      <c r="K1203">
        <f t="shared" ca="1" si="586"/>
        <v>50.95</v>
      </c>
      <c r="L1203">
        <f t="shared" ca="1" si="587"/>
        <v>2.1389677043987478</v>
      </c>
      <c r="M1203">
        <f t="shared" ca="1" si="560"/>
        <v>11.122632062873489</v>
      </c>
      <c r="N1203">
        <f t="shared" ca="1" si="561"/>
        <v>1.1735290000551568</v>
      </c>
      <c r="O1203">
        <f t="shared" ca="1" si="562"/>
        <v>4.5807502857230418</v>
      </c>
      <c r="P1203">
        <f t="shared" ca="1" si="563"/>
        <v>634.13146770439869</v>
      </c>
      <c r="Q1203">
        <f t="shared" ca="1" si="564"/>
        <v>635.20095155659806</v>
      </c>
      <c r="R1203">
        <f t="shared" ca="1" si="565"/>
        <v>3.8141460404132466E-3</v>
      </c>
      <c r="S1203">
        <f t="shared" ca="1" si="566"/>
        <v>1.0000000000000004</v>
      </c>
      <c r="T1203">
        <f t="shared" ca="1" si="567"/>
        <v>35.686426155594638</v>
      </c>
      <c r="U1203">
        <f t="shared" ca="1" si="588"/>
        <v>-3.4157470063291839E-3</v>
      </c>
      <c r="V1203">
        <f t="shared" ca="1" si="589"/>
        <v>1</v>
      </c>
      <c r="W1203">
        <f t="shared" ca="1" si="568"/>
        <v>1.6812040649575957</v>
      </c>
      <c r="X1203">
        <f t="shared" ca="1" si="569"/>
        <v>8.7422611377794972</v>
      </c>
      <c r="Y1203">
        <f t="shared" ca="1" si="570"/>
        <v>1.0210049562150558</v>
      </c>
      <c r="Z1203">
        <f t="shared" ca="1" si="571"/>
        <v>5.8280116776448887</v>
      </c>
      <c r="AA1203">
        <f t="shared" ca="1" si="572"/>
        <v>633.67370406495752</v>
      </c>
      <c r="AB1203">
        <f t="shared" ca="1" si="573"/>
        <v>635.4048824602055</v>
      </c>
      <c r="AC1203">
        <f t="shared" ca="1" si="574"/>
        <v>7.4333778808345213E-3</v>
      </c>
      <c r="AD1203">
        <f t="shared" ca="1" si="575"/>
        <v>1.4350786186665017</v>
      </c>
      <c r="AE1203">
        <f t="shared" ca="1" si="576"/>
        <v>37.617589695557477</v>
      </c>
      <c r="AF1203">
        <f t="shared" ca="1" si="577"/>
        <v>7.1064957203361701E-3</v>
      </c>
      <c r="AG1203">
        <f t="shared" ca="1" si="578"/>
        <v>0</v>
      </c>
      <c r="AH1203">
        <f ca="1">IFERROR(IF(V32="Supercritical",MAX($D$16,IFERROR(L1203,MAX($D$16,POWER((ABS(K1203)^2)/($I$5*MAX(F1203,0.1)^2),1/3)))),IF(V32="Subcritical",MAX($D$16,IFERROR(W1203,MAX($D$16,POWER((ABS(K1203)^2)/($I$5*MAX(F1203,0.1)^2),1/3)))),IF(AND(IFERROR(V1203,0)=1,IFERROR(AG1203,0)=1),IF(IFERROR(T1203,-1E+99)&gt;=IFERROR(AE1203,-1E+99),MAX($D$16,IFERROR(L1203,MAX($D$16,POWER((ABS(K1203)^2)/($I$5*MAX(F1203,0.1)^2),1/3)))),MAX($D$16,IFERROR(W1203,MAX($D$16,POWER((ABS(K1203)^2)/($I$5*MAX(F1203,0.1)^2),1/3))))),IF(IFERROR(V1203,0)=1,MAX($D$16,IFERROR(L1203,MAX($D$16,POWER((ABS(K1203)^2)/($I$5*MAX(F1203,0.1)^2),1/3)))),IF(IFERROR(AG1203,0)=1,MAX($D$16,IFERROR(W1203,MAX($D$16,POWER((ABS(K1203)^2)/($I$5*MAX(F1203,0.1)^2),1/3)))),MAX($D$16,POWER((ABS(K1203)^2)/($I$5*MAX(F1203,0.1)^2),1/3))))))),MAX($D$16,POWER((ABS(K1203)^2)/($I$5*MAX(F1203,0.1)^2),1/3)))</f>
        <v>2.1389677043987478</v>
      </c>
      <c r="AI1203">
        <f t="shared" ca="1" si="579"/>
        <v>634.13146770439869</v>
      </c>
      <c r="AJ1203">
        <f t="shared" ca="1" si="580"/>
        <v>635.20095155659806</v>
      </c>
      <c r="AM1203">
        <v>0</v>
      </c>
      <c r="AN1203">
        <v>0</v>
      </c>
      <c r="AO1203">
        <f t="shared" si="581"/>
        <v>0</v>
      </c>
      <c r="AP1203">
        <f t="shared" si="590"/>
        <v>0</v>
      </c>
      <c r="AQ1203">
        <f t="shared" ca="1" si="582"/>
        <v>1.0000000000000004</v>
      </c>
      <c r="AR1203" t="str">
        <f t="shared" ca="1" si="583"/>
        <v>Supercritical</v>
      </c>
      <c r="AS1203">
        <f t="shared" ca="1" si="584"/>
        <v>3.8141460404132466E-3</v>
      </c>
    </row>
    <row r="1204" spans="1:45" x14ac:dyDescent="0.35">
      <c r="A1204">
        <v>1143</v>
      </c>
      <c r="B1204">
        <v>1141.9949999999999</v>
      </c>
      <c r="C1204">
        <v>616075.29200000002</v>
      </c>
      <c r="D1204">
        <v>3096865.1839999999</v>
      </c>
      <c r="E1204">
        <v>631.99199999999996</v>
      </c>
      <c r="F1204">
        <v>5.2</v>
      </c>
      <c r="G1204">
        <v>0</v>
      </c>
      <c r="H1204" t="s">
        <v>154</v>
      </c>
      <c r="I1204">
        <v>0.06</v>
      </c>
      <c r="J1204">
        <f t="shared" si="585"/>
        <v>1</v>
      </c>
      <c r="K1204">
        <f t="shared" ca="1" si="586"/>
        <v>50.95</v>
      </c>
      <c r="L1204">
        <f t="shared" ca="1" si="587"/>
        <v>2.1389677043987478</v>
      </c>
      <c r="M1204">
        <f t="shared" ca="1" si="560"/>
        <v>11.122632062873489</v>
      </c>
      <c r="N1204">
        <f t="shared" ca="1" si="561"/>
        <v>1.1735290000551568</v>
      </c>
      <c r="O1204">
        <f t="shared" ca="1" si="562"/>
        <v>4.5807502857230418</v>
      </c>
      <c r="P1204">
        <f t="shared" ca="1" si="563"/>
        <v>634.1309677043987</v>
      </c>
      <c r="Q1204">
        <f t="shared" ca="1" si="564"/>
        <v>635.20045155659807</v>
      </c>
      <c r="R1204">
        <f t="shared" ca="1" si="565"/>
        <v>3.8141460404132466E-3</v>
      </c>
      <c r="S1204">
        <f t="shared" ca="1" si="566"/>
        <v>1.0000000000000004</v>
      </c>
      <c r="T1204">
        <f t="shared" ca="1" si="567"/>
        <v>35.686426155594638</v>
      </c>
      <c r="U1204">
        <f t="shared" ca="1" si="588"/>
        <v>-3.4210944256756193E-3</v>
      </c>
      <c r="V1204">
        <f t="shared" ca="1" si="589"/>
        <v>1</v>
      </c>
      <c r="W1204">
        <f t="shared" ca="1" si="568"/>
        <v>1.6812038817674286</v>
      </c>
      <c r="X1204">
        <f t="shared" ca="1" si="569"/>
        <v>8.742260185190629</v>
      </c>
      <c r="Y1204">
        <f t="shared" ca="1" si="570"/>
        <v>1.0210048886507972</v>
      </c>
      <c r="Z1204">
        <f t="shared" ca="1" si="571"/>
        <v>5.8280123126865062</v>
      </c>
      <c r="AA1204">
        <f t="shared" ca="1" si="572"/>
        <v>633.67320388176734</v>
      </c>
      <c r="AB1204">
        <f t="shared" ca="1" si="573"/>
        <v>635.40438265428645</v>
      </c>
      <c r="AC1204">
        <f t="shared" ca="1" si="574"/>
        <v>7.4333801566357502E-3</v>
      </c>
      <c r="AD1204">
        <f t="shared" ca="1" si="575"/>
        <v>1.435078853223686</v>
      </c>
      <c r="AE1204">
        <f t="shared" ca="1" si="576"/>
        <v>37.617591392264181</v>
      </c>
      <c r="AF1204">
        <f t="shared" ca="1" si="577"/>
        <v>6.9465841327200906E-3</v>
      </c>
      <c r="AG1204">
        <f t="shared" ca="1" si="578"/>
        <v>0</v>
      </c>
      <c r="AH1204">
        <f ca="1">IFERROR(IF(V32="Supercritical",MAX($D$16,IFERROR(L1204,MAX($D$16,POWER((ABS(K1204)^2)/($I$5*MAX(F1204,0.1)^2),1/3)))),IF(V32="Subcritical",MAX($D$16,IFERROR(W1204,MAX($D$16,POWER((ABS(K1204)^2)/($I$5*MAX(F1204,0.1)^2),1/3)))),IF(AND(IFERROR(V1204,0)=1,IFERROR(AG1204,0)=1),IF(IFERROR(T1204,-1E+99)&gt;=IFERROR(AE1204,-1E+99),MAX($D$16,IFERROR(L1204,MAX($D$16,POWER((ABS(K1204)^2)/($I$5*MAX(F1204,0.1)^2),1/3)))),MAX($D$16,IFERROR(W1204,MAX($D$16,POWER((ABS(K1204)^2)/($I$5*MAX(F1204,0.1)^2),1/3))))),IF(IFERROR(V1204,0)=1,MAX($D$16,IFERROR(L1204,MAX($D$16,POWER((ABS(K1204)^2)/($I$5*MAX(F1204,0.1)^2),1/3)))),IF(IFERROR(AG1204,0)=1,MAX($D$16,IFERROR(W1204,MAX($D$16,POWER((ABS(K1204)^2)/($I$5*MAX(F1204,0.1)^2),1/3)))),MAX($D$16,POWER((ABS(K1204)^2)/($I$5*MAX(F1204,0.1)^2),1/3))))))),MAX($D$16,POWER((ABS(K1204)^2)/($I$5*MAX(F1204,0.1)^2),1/3)))</f>
        <v>2.1389677043987478</v>
      </c>
      <c r="AI1204">
        <f t="shared" ca="1" si="579"/>
        <v>634.1309677043987</v>
      </c>
      <c r="AJ1204">
        <f t="shared" ca="1" si="580"/>
        <v>635.20045155659807</v>
      </c>
      <c r="AM1204">
        <v>0</v>
      </c>
      <c r="AN1204">
        <v>0</v>
      </c>
      <c r="AO1204">
        <f t="shared" si="581"/>
        <v>0</v>
      </c>
      <c r="AP1204">
        <f t="shared" si="590"/>
        <v>0</v>
      </c>
      <c r="AQ1204">
        <f t="shared" ca="1" si="582"/>
        <v>1.0000000000000004</v>
      </c>
      <c r="AR1204" t="str">
        <f t="shared" ca="1" si="583"/>
        <v>Supercritical</v>
      </c>
      <c r="AS1204">
        <f t="shared" ca="1" si="584"/>
        <v>3.8141460404132466E-3</v>
      </c>
    </row>
    <row r="1205" spans="1:45" x14ac:dyDescent="0.35">
      <c r="A1205">
        <v>1144</v>
      </c>
      <c r="B1205">
        <v>1142.9960000000001</v>
      </c>
      <c r="C1205">
        <v>616075.25</v>
      </c>
      <c r="D1205">
        <v>3096864.1839999999</v>
      </c>
      <c r="E1205">
        <v>631.99149999999997</v>
      </c>
      <c r="F1205">
        <v>5.2</v>
      </c>
      <c r="G1205">
        <v>0</v>
      </c>
      <c r="H1205" t="s">
        <v>154</v>
      </c>
      <c r="I1205">
        <v>2E-3</v>
      </c>
      <c r="J1205">
        <f t="shared" si="585"/>
        <v>1.0010000000002037</v>
      </c>
      <c r="K1205">
        <f t="shared" ca="1" si="586"/>
        <v>50.95</v>
      </c>
      <c r="L1205">
        <f t="shared" ca="1" si="587"/>
        <v>2.1389677043987478</v>
      </c>
      <c r="M1205">
        <f t="shared" ca="1" si="560"/>
        <v>11.122632062873489</v>
      </c>
      <c r="N1205">
        <f t="shared" ca="1" si="561"/>
        <v>1.1735290000551568</v>
      </c>
      <c r="O1205">
        <f t="shared" ca="1" si="562"/>
        <v>4.5807502857230418</v>
      </c>
      <c r="P1205">
        <f t="shared" ca="1" si="563"/>
        <v>634.13046770439871</v>
      </c>
      <c r="Q1205">
        <f t="shared" ca="1" si="564"/>
        <v>635.19995155659808</v>
      </c>
      <c r="R1205">
        <f t="shared" ca="1" si="565"/>
        <v>3.8141460404132466E-3</v>
      </c>
      <c r="S1205">
        <f t="shared" ca="1" si="566"/>
        <v>1.0000000000000004</v>
      </c>
      <c r="T1205">
        <f t="shared" ca="1" si="567"/>
        <v>35.686426155594638</v>
      </c>
      <c r="U1205">
        <f t="shared" ca="1" si="588"/>
        <v>-3.3215251326055295E-3</v>
      </c>
      <c r="V1205">
        <f t="shared" ca="1" si="589"/>
        <v>1</v>
      </c>
      <c r="W1205">
        <f t="shared" ca="1" si="568"/>
        <v>1.681203710541511</v>
      </c>
      <c r="X1205">
        <f t="shared" ca="1" si="569"/>
        <v>8.7422592948158577</v>
      </c>
      <c r="Y1205">
        <f t="shared" ca="1" si="570"/>
        <v>1.0210048254991919</v>
      </c>
      <c r="Z1205">
        <f t="shared" ca="1" si="571"/>
        <v>5.8280129062533357</v>
      </c>
      <c r="AA1205">
        <f t="shared" ca="1" si="572"/>
        <v>633.67270371054144</v>
      </c>
      <c r="AB1205">
        <f t="shared" ca="1" si="573"/>
        <v>635.40388283569212</v>
      </c>
      <c r="AC1205">
        <f t="shared" ca="1" si="574"/>
        <v>7.4333822838040416E-3</v>
      </c>
      <c r="AD1205">
        <f t="shared" ca="1" si="575"/>
        <v>1.4350790724618707</v>
      </c>
      <c r="AE1205">
        <f t="shared" ca="1" si="576"/>
        <v>37.617592978158854</v>
      </c>
      <c r="AF1205">
        <f t="shared" ca="1" si="577"/>
        <v>6.9333822838189008E-3</v>
      </c>
      <c r="AG1205">
        <f t="shared" ca="1" si="578"/>
        <v>0</v>
      </c>
      <c r="AH1205">
        <f ca="1">IFERROR(IF(V32="Supercritical",MAX($D$16,IFERROR(L1205,MAX($D$16,POWER((ABS(K1205)^2)/($I$5*MAX(F1205,0.1)^2),1/3)))),IF(V32="Subcritical",MAX($D$16,IFERROR(W1205,MAX($D$16,POWER((ABS(K1205)^2)/($I$5*MAX(F1205,0.1)^2),1/3)))),IF(AND(IFERROR(V1205,0)=1,IFERROR(AG1205,0)=1),IF(IFERROR(T1205,-1E+99)&gt;=IFERROR(AE1205,-1E+99),MAX($D$16,IFERROR(L1205,MAX($D$16,POWER((ABS(K1205)^2)/($I$5*MAX(F1205,0.1)^2),1/3)))),MAX($D$16,IFERROR(W1205,MAX($D$16,POWER((ABS(K1205)^2)/($I$5*MAX(F1205,0.1)^2),1/3))))),IF(IFERROR(V1205,0)=1,MAX($D$16,IFERROR(L1205,MAX($D$16,POWER((ABS(K1205)^2)/($I$5*MAX(F1205,0.1)^2),1/3)))),IF(IFERROR(AG1205,0)=1,MAX($D$16,IFERROR(W1205,MAX($D$16,POWER((ABS(K1205)^2)/($I$5*MAX(F1205,0.1)^2),1/3)))),MAX($D$16,POWER((ABS(K1205)^2)/($I$5*MAX(F1205,0.1)^2),1/3))))))),MAX($D$16,POWER((ABS(K1205)^2)/($I$5*MAX(F1205,0.1)^2),1/3)))</f>
        <v>2.1389677043987478</v>
      </c>
      <c r="AI1205">
        <f t="shared" ca="1" si="579"/>
        <v>634.13046770439871</v>
      </c>
      <c r="AJ1205">
        <f t="shared" ca="1" si="580"/>
        <v>635.19995155659808</v>
      </c>
      <c r="AM1205">
        <v>0</v>
      </c>
      <c r="AN1205">
        <v>0</v>
      </c>
      <c r="AO1205">
        <f t="shared" si="581"/>
        <v>0</v>
      </c>
      <c r="AP1205">
        <f t="shared" si="590"/>
        <v>0</v>
      </c>
      <c r="AQ1205">
        <f t="shared" ca="1" si="582"/>
        <v>1.0000000000000004</v>
      </c>
      <c r="AR1205" t="str">
        <f t="shared" ca="1" si="583"/>
        <v>Supercritical</v>
      </c>
      <c r="AS1205">
        <f t="shared" ca="1" si="584"/>
        <v>3.8141460404132466E-3</v>
      </c>
    </row>
    <row r="1206" spans="1:45" x14ac:dyDescent="0.35">
      <c r="A1206">
        <v>1145</v>
      </c>
      <c r="B1206">
        <v>1143.9960000000001</v>
      </c>
      <c r="C1206">
        <v>616075.20799999998</v>
      </c>
      <c r="D1206">
        <v>3096863.1850000001</v>
      </c>
      <c r="E1206">
        <v>631.99099999999999</v>
      </c>
      <c r="F1206">
        <v>5.2</v>
      </c>
      <c r="G1206">
        <v>0</v>
      </c>
      <c r="H1206" t="s">
        <v>154</v>
      </c>
      <c r="I1206">
        <v>0</v>
      </c>
      <c r="J1206">
        <f t="shared" si="585"/>
        <v>1</v>
      </c>
      <c r="K1206">
        <f t="shared" ca="1" si="586"/>
        <v>50.95</v>
      </c>
      <c r="L1206">
        <f t="shared" ca="1" si="587"/>
        <v>2.1389677043987478</v>
      </c>
      <c r="M1206">
        <f t="shared" ca="1" si="560"/>
        <v>11.122632062873489</v>
      </c>
      <c r="N1206">
        <f t="shared" ca="1" si="561"/>
        <v>1.1735290000551568</v>
      </c>
      <c r="O1206">
        <f t="shared" ca="1" si="562"/>
        <v>4.5807502857230418</v>
      </c>
      <c r="P1206">
        <f t="shared" ca="1" si="563"/>
        <v>634.12996770439872</v>
      </c>
      <c r="Q1206">
        <f t="shared" ca="1" si="564"/>
        <v>635.19945155659809</v>
      </c>
      <c r="R1206">
        <f t="shared" ca="1" si="565"/>
        <v>3.8141460404132466E-3</v>
      </c>
      <c r="S1206">
        <f t="shared" ca="1" si="566"/>
        <v>1.0000000000000004</v>
      </c>
      <c r="T1206">
        <f t="shared" ca="1" si="567"/>
        <v>35.686426155594638</v>
      </c>
      <c r="U1206">
        <f t="shared" ca="1" si="588"/>
        <v>-3.3141460404522149E-3</v>
      </c>
      <c r="V1206">
        <f t="shared" ca="1" si="589"/>
        <v>1</v>
      </c>
      <c r="W1206">
        <f t="shared" ca="1" si="568"/>
        <v>1.6812035504984899</v>
      </c>
      <c r="X1206">
        <f t="shared" ca="1" si="569"/>
        <v>8.7422584625921473</v>
      </c>
      <c r="Y1206">
        <f t="shared" ca="1" si="570"/>
        <v>1.0210047664720621</v>
      </c>
      <c r="Z1206">
        <f t="shared" ca="1" si="571"/>
        <v>5.8280134610539678</v>
      </c>
      <c r="AA1206">
        <f t="shared" ca="1" si="572"/>
        <v>633.67220355049847</v>
      </c>
      <c r="AB1206">
        <f t="shared" ca="1" si="573"/>
        <v>635.40338300525002</v>
      </c>
      <c r="AC1206">
        <f t="shared" ca="1" si="574"/>
        <v>7.4333842720461039E-3</v>
      </c>
      <c r="AD1206">
        <f t="shared" ca="1" si="575"/>
        <v>1.4350792773814911</v>
      </c>
      <c r="AE1206">
        <f t="shared" ca="1" si="576"/>
        <v>37.617594460478237</v>
      </c>
      <c r="AF1206">
        <f t="shared" ca="1" si="577"/>
        <v>7.3978463203729916E-3</v>
      </c>
      <c r="AG1206">
        <f t="shared" ca="1" si="578"/>
        <v>0</v>
      </c>
      <c r="AH1206">
        <f ca="1">IFERROR(IF(V32="Supercritical",MAX($D$16,IFERROR(L1206,MAX($D$16,POWER((ABS(K1206)^2)/($I$5*MAX(F1206,0.1)^2),1/3)))),IF(V32="Subcritical",MAX($D$16,IFERROR(W1206,MAX($D$16,POWER((ABS(K1206)^2)/($I$5*MAX(F1206,0.1)^2),1/3)))),IF(AND(IFERROR(V1206,0)=1,IFERROR(AG1206,0)=1),IF(IFERROR(T1206,-1E+99)&gt;=IFERROR(AE1206,-1E+99),MAX($D$16,IFERROR(L1206,MAX($D$16,POWER((ABS(K1206)^2)/($I$5*MAX(F1206,0.1)^2),1/3)))),MAX($D$16,IFERROR(W1206,MAX($D$16,POWER((ABS(K1206)^2)/($I$5*MAX(F1206,0.1)^2),1/3))))),IF(IFERROR(V1206,0)=1,MAX($D$16,IFERROR(L1206,MAX($D$16,POWER((ABS(K1206)^2)/($I$5*MAX(F1206,0.1)^2),1/3)))),IF(IFERROR(AG1206,0)=1,MAX($D$16,IFERROR(W1206,MAX($D$16,POWER((ABS(K1206)^2)/($I$5*MAX(F1206,0.1)^2),1/3)))),MAX($D$16,POWER((ABS(K1206)^2)/($I$5*MAX(F1206,0.1)^2),1/3))))))),MAX($D$16,POWER((ABS(K1206)^2)/($I$5*MAX(F1206,0.1)^2),1/3)))</f>
        <v>2.1389677043987478</v>
      </c>
      <c r="AI1206">
        <f t="shared" ca="1" si="579"/>
        <v>634.12996770439872</v>
      </c>
      <c r="AJ1206">
        <f t="shared" ca="1" si="580"/>
        <v>635.19945155659809</v>
      </c>
      <c r="AM1206">
        <v>0</v>
      </c>
      <c r="AN1206">
        <v>0</v>
      </c>
      <c r="AO1206">
        <f t="shared" si="581"/>
        <v>0</v>
      </c>
      <c r="AP1206">
        <f t="shared" si="590"/>
        <v>0</v>
      </c>
      <c r="AQ1206">
        <f t="shared" ca="1" si="582"/>
        <v>1.0000000000000004</v>
      </c>
      <c r="AR1206" t="str">
        <f t="shared" ca="1" si="583"/>
        <v>Supercritical</v>
      </c>
      <c r="AS1206">
        <f t="shared" ca="1" si="584"/>
        <v>3.8141460404132466E-3</v>
      </c>
    </row>
    <row r="1207" spans="1:45" x14ac:dyDescent="0.35">
      <c r="A1207">
        <v>1146</v>
      </c>
      <c r="B1207">
        <v>1144.9960000000001</v>
      </c>
      <c r="C1207">
        <v>616075.16599999997</v>
      </c>
      <c r="D1207">
        <v>3096862.1860000002</v>
      </c>
      <c r="E1207">
        <v>631.99080000000004</v>
      </c>
      <c r="F1207">
        <v>5.2</v>
      </c>
      <c r="G1207">
        <v>0</v>
      </c>
      <c r="H1207" t="s">
        <v>154</v>
      </c>
      <c r="I1207">
        <v>5.7000000000000002E-2</v>
      </c>
      <c r="J1207">
        <f t="shared" si="585"/>
        <v>1</v>
      </c>
      <c r="K1207">
        <f t="shared" ca="1" si="586"/>
        <v>50.95</v>
      </c>
      <c r="L1207">
        <f t="shared" ca="1" si="587"/>
        <v>2.1389677043987478</v>
      </c>
      <c r="M1207">
        <f t="shared" ca="1" si="560"/>
        <v>11.122632062873489</v>
      </c>
      <c r="N1207">
        <f t="shared" ca="1" si="561"/>
        <v>1.1735290000551568</v>
      </c>
      <c r="O1207">
        <f t="shared" ca="1" si="562"/>
        <v>4.5807502857230418</v>
      </c>
      <c r="P1207">
        <f t="shared" ca="1" si="563"/>
        <v>634.12976770439877</v>
      </c>
      <c r="Q1207">
        <f t="shared" ca="1" si="564"/>
        <v>635.19925155659814</v>
      </c>
      <c r="R1207">
        <f t="shared" ca="1" si="565"/>
        <v>3.8141460404132466E-3</v>
      </c>
      <c r="S1207">
        <f t="shared" ca="1" si="566"/>
        <v>1.0000000000000004</v>
      </c>
      <c r="T1207">
        <f t="shared" ca="1" si="567"/>
        <v>35.686426155594638</v>
      </c>
      <c r="U1207">
        <f t="shared" ca="1" si="588"/>
        <v>-3.7157470064812514E-3</v>
      </c>
      <c r="V1207">
        <f t="shared" ca="1" si="589"/>
        <v>1</v>
      </c>
      <c r="W1207">
        <f t="shared" ca="1" si="568"/>
        <v>1.6812034009079846</v>
      </c>
      <c r="X1207">
        <f t="shared" ca="1" si="569"/>
        <v>8.7422576847215208</v>
      </c>
      <c r="Y1207">
        <f t="shared" ca="1" si="570"/>
        <v>1.0210047113000293</v>
      </c>
      <c r="Z1207">
        <f t="shared" ca="1" si="571"/>
        <v>5.8280139796202981</v>
      </c>
      <c r="AA1207">
        <f t="shared" ca="1" si="572"/>
        <v>633.67200340090801</v>
      </c>
      <c r="AB1207">
        <f t="shared" ca="1" si="573"/>
        <v>635.40318316373418</v>
      </c>
      <c r="AC1207">
        <f t="shared" ca="1" si="574"/>
        <v>7.433386130435423E-3</v>
      </c>
      <c r="AD1207">
        <f t="shared" ca="1" si="575"/>
        <v>1.4350794689177193</v>
      </c>
      <c r="AE1207">
        <f t="shared" ca="1" si="576"/>
        <v>37.617595845986962</v>
      </c>
      <c r="AF1207">
        <f t="shared" ca="1" si="577"/>
        <v>7.2978482078269735E-3</v>
      </c>
      <c r="AG1207">
        <f t="shared" ca="1" si="578"/>
        <v>0</v>
      </c>
      <c r="AH1207">
        <f ca="1">IFERROR(IF(V32="Supercritical",MAX($D$16,IFERROR(L1207,MAX($D$16,POWER((ABS(K1207)^2)/($I$5*MAX(F1207,0.1)^2),1/3)))),IF(V32="Subcritical",MAX($D$16,IFERROR(W1207,MAX($D$16,POWER((ABS(K1207)^2)/($I$5*MAX(F1207,0.1)^2),1/3)))),IF(AND(IFERROR(V1207,0)=1,IFERROR(AG1207,0)=1),IF(IFERROR(T1207,-1E+99)&gt;=IFERROR(AE1207,-1E+99),MAX($D$16,IFERROR(L1207,MAX($D$16,POWER((ABS(K1207)^2)/($I$5*MAX(F1207,0.1)^2),1/3)))),MAX($D$16,IFERROR(W1207,MAX($D$16,POWER((ABS(K1207)^2)/($I$5*MAX(F1207,0.1)^2),1/3))))),IF(IFERROR(V1207,0)=1,MAX($D$16,IFERROR(L1207,MAX($D$16,POWER((ABS(K1207)^2)/($I$5*MAX(F1207,0.1)^2),1/3)))),IF(IFERROR(AG1207,0)=1,MAX($D$16,IFERROR(W1207,MAX($D$16,POWER((ABS(K1207)^2)/($I$5*MAX(F1207,0.1)^2),1/3)))),MAX($D$16,POWER((ABS(K1207)^2)/($I$5*MAX(F1207,0.1)^2),1/3))))))),MAX($D$16,POWER((ABS(K1207)^2)/($I$5*MAX(F1207,0.1)^2),1/3)))</f>
        <v>2.1389677043987478</v>
      </c>
      <c r="AI1207">
        <f t="shared" ca="1" si="579"/>
        <v>634.12976770439877</v>
      </c>
      <c r="AJ1207">
        <f t="shared" ca="1" si="580"/>
        <v>635.19925155659814</v>
      </c>
      <c r="AM1207">
        <v>0</v>
      </c>
      <c r="AN1207">
        <v>0</v>
      </c>
      <c r="AO1207">
        <f t="shared" si="581"/>
        <v>0</v>
      </c>
      <c r="AP1207">
        <f t="shared" si="590"/>
        <v>0</v>
      </c>
      <c r="AQ1207">
        <f t="shared" ca="1" si="582"/>
        <v>1.0000000000000004</v>
      </c>
      <c r="AR1207" t="str">
        <f t="shared" ca="1" si="583"/>
        <v>Supercritical</v>
      </c>
      <c r="AS1207">
        <f t="shared" ca="1" si="584"/>
        <v>3.8141460404132466E-3</v>
      </c>
    </row>
    <row r="1208" spans="1:45" x14ac:dyDescent="0.35">
      <c r="A1208">
        <v>1147</v>
      </c>
      <c r="B1208">
        <v>1145.9960000000001</v>
      </c>
      <c r="C1208">
        <v>616075.12300000002</v>
      </c>
      <c r="D1208">
        <v>3096861.1869999999</v>
      </c>
      <c r="E1208">
        <v>631.9905</v>
      </c>
      <c r="F1208">
        <v>5.2</v>
      </c>
      <c r="G1208">
        <v>0</v>
      </c>
      <c r="H1208" t="s">
        <v>154</v>
      </c>
      <c r="I1208">
        <v>5.7000000000000002E-2</v>
      </c>
      <c r="J1208">
        <f t="shared" si="585"/>
        <v>1</v>
      </c>
      <c r="K1208">
        <f t="shared" ca="1" si="586"/>
        <v>50.95</v>
      </c>
      <c r="L1208">
        <f t="shared" ca="1" si="587"/>
        <v>2.1389677043987478</v>
      </c>
      <c r="M1208">
        <f t="shared" ca="1" si="560"/>
        <v>11.122632062873489</v>
      </c>
      <c r="N1208">
        <f t="shared" ca="1" si="561"/>
        <v>1.1735290000551568</v>
      </c>
      <c r="O1208">
        <f t="shared" ca="1" si="562"/>
        <v>4.5807502857230418</v>
      </c>
      <c r="P1208">
        <f t="shared" ca="1" si="563"/>
        <v>634.12946770439873</v>
      </c>
      <c r="Q1208">
        <f t="shared" ca="1" si="564"/>
        <v>635.1989515565981</v>
      </c>
      <c r="R1208">
        <f t="shared" ca="1" si="565"/>
        <v>3.8141460404132466E-3</v>
      </c>
      <c r="S1208">
        <f t="shared" ca="1" si="566"/>
        <v>1.0000000000000004</v>
      </c>
      <c r="T1208">
        <f t="shared" ca="1" si="567"/>
        <v>35.686426155594638</v>
      </c>
      <c r="U1208">
        <f t="shared" ca="1" si="588"/>
        <v>-3.6157470063926667E-3</v>
      </c>
      <c r="V1208">
        <f t="shared" ca="1" si="589"/>
        <v>1</v>
      </c>
      <c r="W1208">
        <f t="shared" ca="1" si="568"/>
        <v>1.6812032610873624</v>
      </c>
      <c r="X1208">
        <f t="shared" ca="1" si="569"/>
        <v>8.7422569576542841</v>
      </c>
      <c r="Y1208">
        <f t="shared" ca="1" si="570"/>
        <v>1.0210046597313249</v>
      </c>
      <c r="Z1208">
        <f t="shared" ca="1" si="571"/>
        <v>5.8280144643187048</v>
      </c>
      <c r="AA1208">
        <f t="shared" ca="1" si="572"/>
        <v>633.67170326108737</v>
      </c>
      <c r="AB1208">
        <f t="shared" ca="1" si="573"/>
        <v>635.40288331186764</v>
      </c>
      <c r="AC1208">
        <f t="shared" ca="1" si="574"/>
        <v>7.433387867452357E-3</v>
      </c>
      <c r="AD1208">
        <f t="shared" ca="1" si="575"/>
        <v>1.4350796479445926</v>
      </c>
      <c r="AE1208">
        <f t="shared" ca="1" si="576"/>
        <v>37.617597141007494</v>
      </c>
      <c r="AF1208">
        <f t="shared" ca="1" si="577"/>
        <v>6.9333878674342486E-3</v>
      </c>
      <c r="AG1208">
        <f t="shared" ca="1" si="578"/>
        <v>0</v>
      </c>
      <c r="AH1208">
        <f ca="1">IFERROR(IF(V32="Supercritical",MAX($D$16,IFERROR(L1208,MAX($D$16,POWER((ABS(K1208)^2)/($I$5*MAX(F1208,0.1)^2),1/3)))),IF(V32="Subcritical",MAX($D$16,IFERROR(W1208,MAX($D$16,POWER((ABS(K1208)^2)/($I$5*MAX(F1208,0.1)^2),1/3)))),IF(AND(IFERROR(V1208,0)=1,IFERROR(AG1208,0)=1),IF(IFERROR(T1208,-1E+99)&gt;=IFERROR(AE1208,-1E+99),MAX($D$16,IFERROR(L1208,MAX($D$16,POWER((ABS(K1208)^2)/($I$5*MAX(F1208,0.1)^2),1/3)))),MAX($D$16,IFERROR(W1208,MAX($D$16,POWER((ABS(K1208)^2)/($I$5*MAX(F1208,0.1)^2),1/3))))),IF(IFERROR(V1208,0)=1,MAX($D$16,IFERROR(L1208,MAX($D$16,POWER((ABS(K1208)^2)/($I$5*MAX(F1208,0.1)^2),1/3)))),IF(IFERROR(AG1208,0)=1,MAX($D$16,IFERROR(W1208,MAX($D$16,POWER((ABS(K1208)^2)/($I$5*MAX(F1208,0.1)^2),1/3)))),MAX($D$16,POWER((ABS(K1208)^2)/($I$5*MAX(F1208,0.1)^2),1/3))))))),MAX($D$16,POWER((ABS(K1208)^2)/($I$5*MAX(F1208,0.1)^2),1/3)))</f>
        <v>2.1389677043987478</v>
      </c>
      <c r="AI1208">
        <f t="shared" ca="1" si="579"/>
        <v>634.12946770439873</v>
      </c>
      <c r="AJ1208">
        <f t="shared" ca="1" si="580"/>
        <v>635.1989515565981</v>
      </c>
      <c r="AM1208">
        <v>0</v>
      </c>
      <c r="AN1208">
        <v>0</v>
      </c>
      <c r="AO1208">
        <f t="shared" si="581"/>
        <v>0</v>
      </c>
      <c r="AP1208">
        <f t="shared" si="590"/>
        <v>0</v>
      </c>
      <c r="AQ1208">
        <f t="shared" ca="1" si="582"/>
        <v>1.0000000000000004</v>
      </c>
      <c r="AR1208" t="str">
        <f t="shared" ca="1" si="583"/>
        <v>Supercritical</v>
      </c>
      <c r="AS1208">
        <f t="shared" ca="1" si="584"/>
        <v>3.8141460404132466E-3</v>
      </c>
    </row>
    <row r="1209" spans="1:45" x14ac:dyDescent="0.35">
      <c r="A1209">
        <v>1148</v>
      </c>
      <c r="B1209">
        <v>1146.9960000000001</v>
      </c>
      <c r="C1209">
        <v>616075.08100000001</v>
      </c>
      <c r="D1209">
        <v>3096860.1880000001</v>
      </c>
      <c r="E1209">
        <v>631.99</v>
      </c>
      <c r="F1209">
        <v>5.2</v>
      </c>
      <c r="G1209">
        <v>0</v>
      </c>
      <c r="H1209" t="s">
        <v>154</v>
      </c>
      <c r="I1209">
        <v>0</v>
      </c>
      <c r="J1209">
        <f t="shared" si="585"/>
        <v>1</v>
      </c>
      <c r="K1209">
        <f t="shared" ca="1" si="586"/>
        <v>50.95</v>
      </c>
      <c r="L1209">
        <f t="shared" ca="1" si="587"/>
        <v>2.1389677043987478</v>
      </c>
      <c r="M1209">
        <f t="shared" ca="1" si="560"/>
        <v>11.122632062873489</v>
      </c>
      <c r="N1209">
        <f t="shared" ca="1" si="561"/>
        <v>1.1735290000551568</v>
      </c>
      <c r="O1209">
        <f t="shared" ca="1" si="562"/>
        <v>4.5807502857230418</v>
      </c>
      <c r="P1209">
        <f t="shared" ca="1" si="563"/>
        <v>634.12896770439875</v>
      </c>
      <c r="Q1209">
        <f t="shared" ca="1" si="564"/>
        <v>635.19845155659812</v>
      </c>
      <c r="R1209">
        <f t="shared" ca="1" si="565"/>
        <v>3.8141460404132466E-3</v>
      </c>
      <c r="S1209">
        <f t="shared" ca="1" si="566"/>
        <v>1.0000000000000004</v>
      </c>
      <c r="T1209">
        <f t="shared" ca="1" si="567"/>
        <v>35.686426155594638</v>
      </c>
      <c r="U1209">
        <f t="shared" ca="1" si="588"/>
        <v>-3.3141460404522149E-3</v>
      </c>
      <c r="V1209">
        <f t="shared" ca="1" si="589"/>
        <v>1</v>
      </c>
      <c r="W1209">
        <f t="shared" ca="1" si="568"/>
        <v>1.6812031303985502</v>
      </c>
      <c r="X1209">
        <f t="shared" ca="1" si="569"/>
        <v>8.7422562780724604</v>
      </c>
      <c r="Y1209">
        <f t="shared" ca="1" si="570"/>
        <v>1.0210046115306164</v>
      </c>
      <c r="Z1209">
        <f t="shared" ca="1" si="571"/>
        <v>5.8280149173610969</v>
      </c>
      <c r="AA1209">
        <f t="shared" ca="1" si="572"/>
        <v>633.67120313039857</v>
      </c>
      <c r="AB1209">
        <f t="shared" ca="1" si="573"/>
        <v>635.4023834503264</v>
      </c>
      <c r="AC1209">
        <f t="shared" ca="1" si="574"/>
        <v>7.4333894910236578E-3</v>
      </c>
      <c r="AD1209">
        <f t="shared" ca="1" si="575"/>
        <v>1.435079815279094</v>
      </c>
      <c r="AE1209">
        <f t="shared" ca="1" si="576"/>
        <v>37.617598351449537</v>
      </c>
      <c r="AF1209">
        <f t="shared" ca="1" si="577"/>
        <v>6.9333894909959781E-3</v>
      </c>
      <c r="AG1209">
        <f t="shared" ca="1" si="578"/>
        <v>0</v>
      </c>
      <c r="AH1209">
        <f ca="1">IFERROR(IF(V32="Supercritical",MAX($D$16,IFERROR(L1209,MAX($D$16,POWER((ABS(K1209)^2)/($I$5*MAX(F1209,0.1)^2),1/3)))),IF(V32="Subcritical",MAX($D$16,IFERROR(W1209,MAX($D$16,POWER((ABS(K1209)^2)/($I$5*MAX(F1209,0.1)^2),1/3)))),IF(AND(IFERROR(V1209,0)=1,IFERROR(AG1209,0)=1),IF(IFERROR(T1209,-1E+99)&gt;=IFERROR(AE1209,-1E+99),MAX($D$16,IFERROR(L1209,MAX($D$16,POWER((ABS(K1209)^2)/($I$5*MAX(F1209,0.1)^2),1/3)))),MAX($D$16,IFERROR(W1209,MAX($D$16,POWER((ABS(K1209)^2)/($I$5*MAX(F1209,0.1)^2),1/3))))),IF(IFERROR(V1209,0)=1,MAX($D$16,IFERROR(L1209,MAX($D$16,POWER((ABS(K1209)^2)/($I$5*MAX(F1209,0.1)^2),1/3)))),IF(IFERROR(AG1209,0)=1,MAX($D$16,IFERROR(W1209,MAX($D$16,POWER((ABS(K1209)^2)/($I$5*MAX(F1209,0.1)^2),1/3)))),MAX($D$16,POWER((ABS(K1209)^2)/($I$5*MAX(F1209,0.1)^2),1/3))))))),MAX($D$16,POWER((ABS(K1209)^2)/($I$5*MAX(F1209,0.1)^2),1/3)))</f>
        <v>2.1389677043987478</v>
      </c>
      <c r="AI1209">
        <f t="shared" ca="1" si="579"/>
        <v>634.12896770439875</v>
      </c>
      <c r="AJ1209">
        <f t="shared" ca="1" si="580"/>
        <v>635.19845155659812</v>
      </c>
      <c r="AM1209">
        <v>0</v>
      </c>
      <c r="AN1209">
        <v>0</v>
      </c>
      <c r="AO1209">
        <f t="shared" si="581"/>
        <v>0</v>
      </c>
      <c r="AP1209">
        <f t="shared" si="590"/>
        <v>0</v>
      </c>
      <c r="AQ1209">
        <f t="shared" ca="1" si="582"/>
        <v>1.0000000000000004</v>
      </c>
      <c r="AR1209" t="str">
        <f t="shared" ca="1" si="583"/>
        <v>Supercritical</v>
      </c>
      <c r="AS1209">
        <f t="shared" ca="1" si="584"/>
        <v>3.8141460404132466E-3</v>
      </c>
    </row>
    <row r="1210" spans="1:45" x14ac:dyDescent="0.35">
      <c r="A1210">
        <v>1149</v>
      </c>
      <c r="B1210">
        <v>1147.9960000000001</v>
      </c>
      <c r="C1210">
        <v>616075.03899999999</v>
      </c>
      <c r="D1210">
        <v>3096859.1889999998</v>
      </c>
      <c r="E1210">
        <v>631.98950000000002</v>
      </c>
      <c r="F1210">
        <v>5.2</v>
      </c>
      <c r="G1210">
        <v>0</v>
      </c>
      <c r="H1210" t="s">
        <v>154</v>
      </c>
      <c r="I1210">
        <v>0</v>
      </c>
      <c r="J1210">
        <f t="shared" si="585"/>
        <v>1</v>
      </c>
      <c r="K1210">
        <f t="shared" ca="1" si="586"/>
        <v>50.95</v>
      </c>
      <c r="L1210">
        <f t="shared" ca="1" si="587"/>
        <v>2.1389677043987478</v>
      </c>
      <c r="M1210">
        <f t="shared" ca="1" si="560"/>
        <v>11.122632062873489</v>
      </c>
      <c r="N1210">
        <f t="shared" ca="1" si="561"/>
        <v>1.1735290000551568</v>
      </c>
      <c r="O1210">
        <f t="shared" ca="1" si="562"/>
        <v>4.5807502857230418</v>
      </c>
      <c r="P1210">
        <f t="shared" ca="1" si="563"/>
        <v>634.12846770439876</v>
      </c>
      <c r="Q1210">
        <f t="shared" ca="1" si="564"/>
        <v>635.19795155659813</v>
      </c>
      <c r="R1210">
        <f t="shared" ca="1" si="565"/>
        <v>3.8141460404132466E-3</v>
      </c>
      <c r="S1210">
        <f t="shared" ca="1" si="566"/>
        <v>1.0000000000000004</v>
      </c>
      <c r="T1210">
        <f t="shared" ca="1" si="567"/>
        <v>35.686426155594638</v>
      </c>
      <c r="U1210">
        <f t="shared" ca="1" si="588"/>
        <v>-3.3141460404522149E-3</v>
      </c>
      <c r="V1210">
        <f t="shared" ca="1" si="589"/>
        <v>1</v>
      </c>
      <c r="W1210">
        <f t="shared" ca="1" si="568"/>
        <v>1.6812030082451352</v>
      </c>
      <c r="X1210">
        <f t="shared" ca="1" si="569"/>
        <v>8.7422556428747029</v>
      </c>
      <c r="Y1210">
        <f t="shared" ca="1" si="570"/>
        <v>1.0210045664779339</v>
      </c>
      <c r="Z1210">
        <f t="shared" ca="1" si="571"/>
        <v>5.8280153408149697</v>
      </c>
      <c r="AA1210">
        <f t="shared" ca="1" si="572"/>
        <v>633.67070300824514</v>
      </c>
      <c r="AB1210">
        <f t="shared" ca="1" si="573"/>
        <v>635.40188357974228</v>
      </c>
      <c r="AC1210">
        <f t="shared" ca="1" si="574"/>
        <v>7.4333910085585923E-3</v>
      </c>
      <c r="AD1210">
        <f t="shared" ca="1" si="575"/>
        <v>1.4350799716848666</v>
      </c>
      <c r="AE1210">
        <f t="shared" ca="1" si="576"/>
        <v>37.617599482836987</v>
      </c>
      <c r="AF1210">
        <f t="shared" ca="1" si="577"/>
        <v>7.0904197718846262E-3</v>
      </c>
      <c r="AG1210">
        <f t="shared" ca="1" si="578"/>
        <v>0</v>
      </c>
      <c r="AH1210">
        <f ca="1">IFERROR(IF(V32="Supercritical",MAX($D$16,IFERROR(L1210,MAX($D$16,POWER((ABS(K1210)^2)/($I$5*MAX(F1210,0.1)^2),1/3)))),IF(V32="Subcritical",MAX($D$16,IFERROR(W1210,MAX($D$16,POWER((ABS(K1210)^2)/($I$5*MAX(F1210,0.1)^2),1/3)))),IF(AND(IFERROR(V1210,0)=1,IFERROR(AG1210,0)=1),IF(IFERROR(T1210,-1E+99)&gt;=IFERROR(AE1210,-1E+99),MAX($D$16,IFERROR(L1210,MAX($D$16,POWER((ABS(K1210)^2)/($I$5*MAX(F1210,0.1)^2),1/3)))),MAX($D$16,IFERROR(W1210,MAX($D$16,POWER((ABS(K1210)^2)/($I$5*MAX(F1210,0.1)^2),1/3))))),IF(IFERROR(V1210,0)=1,MAX($D$16,IFERROR(L1210,MAX($D$16,POWER((ABS(K1210)^2)/($I$5*MAX(F1210,0.1)^2),1/3)))),IF(IFERROR(AG1210,0)=1,MAX($D$16,IFERROR(W1210,MAX($D$16,POWER((ABS(K1210)^2)/($I$5*MAX(F1210,0.1)^2),1/3)))),MAX($D$16,POWER((ABS(K1210)^2)/($I$5*MAX(F1210,0.1)^2),1/3))))))),MAX($D$16,POWER((ABS(K1210)^2)/($I$5*MAX(F1210,0.1)^2),1/3)))</f>
        <v>2.1389677043987478</v>
      </c>
      <c r="AI1210">
        <f t="shared" ca="1" si="579"/>
        <v>634.12846770439876</v>
      </c>
      <c r="AJ1210">
        <f t="shared" ca="1" si="580"/>
        <v>635.19795155659813</v>
      </c>
      <c r="AM1210">
        <v>0</v>
      </c>
      <c r="AN1210">
        <v>0</v>
      </c>
      <c r="AO1210">
        <f t="shared" si="581"/>
        <v>0</v>
      </c>
      <c r="AP1210">
        <f t="shared" si="590"/>
        <v>0</v>
      </c>
      <c r="AQ1210">
        <f t="shared" ca="1" si="582"/>
        <v>1.0000000000000004</v>
      </c>
      <c r="AR1210" t="str">
        <f t="shared" ca="1" si="583"/>
        <v>Supercritical</v>
      </c>
      <c r="AS1210">
        <f t="shared" ca="1" si="584"/>
        <v>3.8141460404132466E-3</v>
      </c>
    </row>
    <row r="1211" spans="1:45" x14ac:dyDescent="0.35">
      <c r="A1211">
        <v>1150</v>
      </c>
      <c r="B1211">
        <v>1148.9949999999999</v>
      </c>
      <c r="C1211">
        <v>616074.99699999997</v>
      </c>
      <c r="D1211">
        <v>3096858.19</v>
      </c>
      <c r="E1211">
        <v>631.98900000000003</v>
      </c>
      <c r="F1211">
        <v>5.2</v>
      </c>
      <c r="G1211">
        <v>0</v>
      </c>
      <c r="H1211" t="s">
        <v>154</v>
      </c>
      <c r="I1211">
        <v>5.7000000000000002E-2</v>
      </c>
      <c r="J1211">
        <f t="shared" si="585"/>
        <v>0.99899999999979627</v>
      </c>
      <c r="K1211">
        <f t="shared" ca="1" si="586"/>
        <v>50.95</v>
      </c>
      <c r="L1211">
        <f t="shared" ca="1" si="587"/>
        <v>2.1389677043987478</v>
      </c>
      <c r="M1211">
        <f t="shared" ca="1" si="560"/>
        <v>11.122632062873489</v>
      </c>
      <c r="N1211">
        <f t="shared" ca="1" si="561"/>
        <v>1.1735290000551568</v>
      </c>
      <c r="O1211">
        <f t="shared" ca="1" si="562"/>
        <v>4.5807502857230418</v>
      </c>
      <c r="P1211">
        <f t="shared" ca="1" si="563"/>
        <v>634.12796770439877</v>
      </c>
      <c r="Q1211">
        <f t="shared" ca="1" si="564"/>
        <v>635.19745155659814</v>
      </c>
      <c r="R1211">
        <f t="shared" ca="1" si="565"/>
        <v>3.8141460404132466E-3</v>
      </c>
      <c r="S1211">
        <f t="shared" ca="1" si="566"/>
        <v>1.0000000000000004</v>
      </c>
      <c r="T1211">
        <f t="shared" ca="1" si="567"/>
        <v>35.686426155594638</v>
      </c>
      <c r="U1211">
        <f t="shared" ca="1" si="588"/>
        <v>-3.411932860331035E-3</v>
      </c>
      <c r="V1211">
        <f t="shared" ca="1" si="589"/>
        <v>1</v>
      </c>
      <c r="W1211">
        <f t="shared" ca="1" si="568"/>
        <v>1.6812028940696715</v>
      </c>
      <c r="X1211">
        <f t="shared" ca="1" si="569"/>
        <v>8.7422550491622921</v>
      </c>
      <c r="Y1211">
        <f t="shared" ca="1" si="570"/>
        <v>1.0210045243676813</v>
      </c>
      <c r="Z1211">
        <f t="shared" ca="1" si="571"/>
        <v>5.8280157366127376</v>
      </c>
      <c r="AA1211">
        <f t="shared" ca="1" si="572"/>
        <v>633.67020289406969</v>
      </c>
      <c r="AB1211">
        <f t="shared" ca="1" si="573"/>
        <v>635.40138370070611</v>
      </c>
      <c r="AC1211">
        <f t="shared" ca="1" si="574"/>
        <v>7.433392426982325E-3</v>
      </c>
      <c r="AD1211">
        <f t="shared" ca="1" si="575"/>
        <v>1.43508011787566</v>
      </c>
      <c r="AE1211">
        <f t="shared" ca="1" si="576"/>
        <v>37.617600540332852</v>
      </c>
      <c r="AF1211">
        <f t="shared" ca="1" si="577"/>
        <v>7.0978546035576073E-3</v>
      </c>
      <c r="AG1211">
        <f t="shared" ca="1" si="578"/>
        <v>0</v>
      </c>
      <c r="AH1211">
        <f ca="1">IFERROR(IF(V32="Supercritical",MAX($D$16,IFERROR(L1211,MAX($D$16,POWER((ABS(K1211)^2)/($I$5*MAX(F1211,0.1)^2),1/3)))),IF(V32="Subcritical",MAX($D$16,IFERROR(W1211,MAX($D$16,POWER((ABS(K1211)^2)/($I$5*MAX(F1211,0.1)^2),1/3)))),IF(AND(IFERROR(V1211,0)=1,IFERROR(AG1211,0)=1),IF(IFERROR(T1211,-1E+99)&gt;=IFERROR(AE1211,-1E+99),MAX($D$16,IFERROR(L1211,MAX($D$16,POWER((ABS(K1211)^2)/($I$5*MAX(F1211,0.1)^2),1/3)))),MAX($D$16,IFERROR(W1211,MAX($D$16,POWER((ABS(K1211)^2)/($I$5*MAX(F1211,0.1)^2),1/3))))),IF(IFERROR(V1211,0)=1,MAX($D$16,IFERROR(L1211,MAX($D$16,POWER((ABS(K1211)^2)/($I$5*MAX(F1211,0.1)^2),1/3)))),IF(IFERROR(AG1211,0)=1,MAX($D$16,IFERROR(W1211,MAX($D$16,POWER((ABS(K1211)^2)/($I$5*MAX(F1211,0.1)^2),1/3)))),MAX($D$16,POWER((ABS(K1211)^2)/($I$5*MAX(F1211,0.1)^2),1/3))))))),MAX($D$16,POWER((ABS(K1211)^2)/($I$5*MAX(F1211,0.1)^2),1/3)))</f>
        <v>2.1389677043987478</v>
      </c>
      <c r="AI1211">
        <f t="shared" ca="1" si="579"/>
        <v>634.12796770439877</v>
      </c>
      <c r="AJ1211">
        <f t="shared" ca="1" si="580"/>
        <v>635.19745155659814</v>
      </c>
      <c r="AM1211">
        <v>0</v>
      </c>
      <c r="AN1211">
        <v>0</v>
      </c>
      <c r="AO1211">
        <f t="shared" si="581"/>
        <v>0</v>
      </c>
      <c r="AP1211">
        <f t="shared" si="590"/>
        <v>0</v>
      </c>
      <c r="AQ1211">
        <f t="shared" ca="1" si="582"/>
        <v>1.0000000000000004</v>
      </c>
      <c r="AR1211" t="str">
        <f t="shared" ca="1" si="583"/>
        <v>Supercritical</v>
      </c>
      <c r="AS1211">
        <f t="shared" ca="1" si="584"/>
        <v>3.8141460404132466E-3</v>
      </c>
    </row>
    <row r="1212" spans="1:45" x14ac:dyDescent="0.35">
      <c r="A1212">
        <v>1151</v>
      </c>
      <c r="B1212">
        <v>1149.9949999999999</v>
      </c>
      <c r="C1212">
        <v>616074.95400000003</v>
      </c>
      <c r="D1212">
        <v>3096857.1910000001</v>
      </c>
      <c r="E1212">
        <v>631.98850000000004</v>
      </c>
      <c r="F1212">
        <v>5.2</v>
      </c>
      <c r="G1212">
        <v>0</v>
      </c>
      <c r="H1212" t="s">
        <v>154</v>
      </c>
      <c r="I1212">
        <v>5.7000000000000002E-2</v>
      </c>
      <c r="J1212">
        <f t="shared" si="585"/>
        <v>1</v>
      </c>
      <c r="K1212">
        <f t="shared" ca="1" si="586"/>
        <v>50.95</v>
      </c>
      <c r="L1212">
        <f t="shared" ca="1" si="587"/>
        <v>2.1389677043987478</v>
      </c>
      <c r="M1212">
        <f t="shared" ca="1" si="560"/>
        <v>11.122632062873489</v>
      </c>
      <c r="N1212">
        <f t="shared" ca="1" si="561"/>
        <v>1.1735290000551568</v>
      </c>
      <c r="O1212">
        <f t="shared" ca="1" si="562"/>
        <v>4.5807502857230418</v>
      </c>
      <c r="P1212">
        <f t="shared" ca="1" si="563"/>
        <v>634.12746770439878</v>
      </c>
      <c r="Q1212">
        <f t="shared" ca="1" si="564"/>
        <v>635.19695155659815</v>
      </c>
      <c r="R1212">
        <f t="shared" ca="1" si="565"/>
        <v>3.8141460404132466E-3</v>
      </c>
      <c r="S1212">
        <f t="shared" ca="1" si="566"/>
        <v>1.0000000000000004</v>
      </c>
      <c r="T1212">
        <f t="shared" ca="1" si="567"/>
        <v>35.686426155594638</v>
      </c>
      <c r="U1212">
        <f t="shared" ca="1" si="588"/>
        <v>-3.4157470064428708E-3</v>
      </c>
      <c r="V1212">
        <f t="shared" ca="1" si="589"/>
        <v>1</v>
      </c>
      <c r="W1212">
        <f t="shared" ca="1" si="568"/>
        <v>1.6812027873511377</v>
      </c>
      <c r="X1212">
        <f t="shared" ca="1" si="569"/>
        <v>8.7422544942259162</v>
      </c>
      <c r="Y1212">
        <f t="shared" ca="1" si="570"/>
        <v>1.0210044850076954</v>
      </c>
      <c r="Z1212">
        <f t="shared" ca="1" si="571"/>
        <v>5.8280161065605514</v>
      </c>
      <c r="AA1212">
        <f t="shared" ca="1" si="572"/>
        <v>633.66970278735118</v>
      </c>
      <c r="AB1212">
        <f t="shared" ca="1" si="573"/>
        <v>635.40088381376961</v>
      </c>
      <c r="AC1212">
        <f t="shared" ca="1" si="574"/>
        <v>7.4333937527675219E-3</v>
      </c>
      <c r="AD1212">
        <f t="shared" ca="1" si="575"/>
        <v>1.435080254518589</v>
      </c>
      <c r="AE1212">
        <f t="shared" ca="1" si="576"/>
        <v>37.617601528762769</v>
      </c>
      <c r="AF1212">
        <f t="shared" ca="1" si="577"/>
        <v>6.9391643561402816E-3</v>
      </c>
      <c r="AG1212">
        <f t="shared" ca="1" si="578"/>
        <v>0</v>
      </c>
      <c r="AH1212">
        <f ca="1">IFERROR(IF(V32="Supercritical",MAX($D$16,IFERROR(L1212,MAX($D$16,POWER((ABS(K1212)^2)/($I$5*MAX(F1212,0.1)^2),1/3)))),IF(V32="Subcritical",MAX($D$16,IFERROR(W1212,MAX($D$16,POWER((ABS(K1212)^2)/($I$5*MAX(F1212,0.1)^2),1/3)))),IF(AND(IFERROR(V1212,0)=1,IFERROR(AG1212,0)=1),IF(IFERROR(T1212,-1E+99)&gt;=IFERROR(AE1212,-1E+99),MAX($D$16,IFERROR(L1212,MAX($D$16,POWER((ABS(K1212)^2)/($I$5*MAX(F1212,0.1)^2),1/3)))),MAX($D$16,IFERROR(W1212,MAX($D$16,POWER((ABS(K1212)^2)/($I$5*MAX(F1212,0.1)^2),1/3))))),IF(IFERROR(V1212,0)=1,MAX($D$16,IFERROR(L1212,MAX($D$16,POWER((ABS(K1212)^2)/($I$5*MAX(F1212,0.1)^2),1/3)))),IF(IFERROR(AG1212,0)=1,MAX($D$16,IFERROR(W1212,MAX($D$16,POWER((ABS(K1212)^2)/($I$5*MAX(F1212,0.1)^2),1/3)))),MAX($D$16,POWER((ABS(K1212)^2)/($I$5*MAX(F1212,0.1)^2),1/3))))))),MAX($D$16,POWER((ABS(K1212)^2)/($I$5*MAX(F1212,0.1)^2),1/3)))</f>
        <v>2.1389677043987478</v>
      </c>
      <c r="AI1212">
        <f t="shared" ca="1" si="579"/>
        <v>634.12746770439878</v>
      </c>
      <c r="AJ1212">
        <f t="shared" ca="1" si="580"/>
        <v>635.19695155659815</v>
      </c>
      <c r="AM1212">
        <v>0</v>
      </c>
      <c r="AN1212">
        <v>0</v>
      </c>
      <c r="AO1212">
        <f t="shared" si="581"/>
        <v>0</v>
      </c>
      <c r="AP1212">
        <f t="shared" si="590"/>
        <v>0</v>
      </c>
      <c r="AQ1212">
        <f t="shared" ca="1" si="582"/>
        <v>1.0000000000000004</v>
      </c>
      <c r="AR1212" t="str">
        <f t="shared" ca="1" si="583"/>
        <v>Supercritical</v>
      </c>
      <c r="AS1212">
        <f t="shared" ca="1" si="584"/>
        <v>3.8141460404132466E-3</v>
      </c>
    </row>
    <row r="1213" spans="1:45" x14ac:dyDescent="0.35">
      <c r="A1213">
        <v>1152</v>
      </c>
      <c r="B1213">
        <v>1150.9949999999999</v>
      </c>
      <c r="C1213">
        <v>616074.91200000001</v>
      </c>
      <c r="D1213">
        <v>3096856.1919999998</v>
      </c>
      <c r="E1213">
        <v>631.98800000000006</v>
      </c>
      <c r="F1213">
        <v>5.2</v>
      </c>
      <c r="G1213">
        <v>0</v>
      </c>
      <c r="H1213" t="s">
        <v>154</v>
      </c>
      <c r="I1213">
        <v>2E-3</v>
      </c>
      <c r="J1213">
        <f t="shared" si="585"/>
        <v>1</v>
      </c>
      <c r="K1213">
        <f t="shared" ca="1" si="586"/>
        <v>50.95</v>
      </c>
      <c r="L1213">
        <f t="shared" ca="1" si="587"/>
        <v>2.1389677043987478</v>
      </c>
      <c r="M1213">
        <f t="shared" ca="1" si="560"/>
        <v>11.122632062873489</v>
      </c>
      <c r="N1213">
        <f t="shared" ca="1" si="561"/>
        <v>1.1735290000551568</v>
      </c>
      <c r="O1213">
        <f t="shared" ca="1" si="562"/>
        <v>4.5807502857230418</v>
      </c>
      <c r="P1213">
        <f t="shared" ca="1" si="563"/>
        <v>634.12696770439879</v>
      </c>
      <c r="Q1213">
        <f t="shared" ca="1" si="564"/>
        <v>635.19645155659816</v>
      </c>
      <c r="R1213">
        <f t="shared" ca="1" si="565"/>
        <v>3.8141460404132466E-3</v>
      </c>
      <c r="S1213">
        <f t="shared" ca="1" si="566"/>
        <v>1.0000000000000004</v>
      </c>
      <c r="T1213">
        <f t="shared" ca="1" si="567"/>
        <v>35.686426155594638</v>
      </c>
      <c r="U1213">
        <f t="shared" ca="1" si="588"/>
        <v>-3.3177109866073806E-3</v>
      </c>
      <c r="V1213">
        <f t="shared" ca="1" si="589"/>
        <v>1</v>
      </c>
      <c r="W1213">
        <f t="shared" ca="1" si="568"/>
        <v>1.6812026876024995</v>
      </c>
      <c r="X1213">
        <f t="shared" ca="1" si="569"/>
        <v>8.7422539755329982</v>
      </c>
      <c r="Y1213">
        <f t="shared" ca="1" si="570"/>
        <v>1.021004448218348</v>
      </c>
      <c r="Z1213">
        <f t="shared" ca="1" si="571"/>
        <v>5.8280164523467395</v>
      </c>
      <c r="AA1213">
        <f t="shared" ca="1" si="572"/>
        <v>633.66920268760259</v>
      </c>
      <c r="AB1213">
        <f t="shared" ca="1" si="573"/>
        <v>635.40038391944893</v>
      </c>
      <c r="AC1213">
        <f t="shared" ca="1" si="574"/>
        <v>7.4333949919646453E-3</v>
      </c>
      <c r="AD1213">
        <f t="shared" ca="1" si="575"/>
        <v>1.4350803822372491</v>
      </c>
      <c r="AE1213">
        <f t="shared" ca="1" si="576"/>
        <v>37.617602452637591</v>
      </c>
      <c r="AF1213">
        <f t="shared" ca="1" si="577"/>
        <v>6.9465989910213466E-3</v>
      </c>
      <c r="AG1213">
        <f t="shared" ca="1" si="578"/>
        <v>0</v>
      </c>
      <c r="AH1213">
        <f ca="1">IFERROR(IF(V32="Supercritical",MAX($D$16,IFERROR(L1213,MAX($D$16,POWER((ABS(K1213)^2)/($I$5*MAX(F1213,0.1)^2),1/3)))),IF(V32="Subcritical",MAX($D$16,IFERROR(W1213,MAX($D$16,POWER((ABS(K1213)^2)/($I$5*MAX(F1213,0.1)^2),1/3)))),IF(AND(IFERROR(V1213,0)=1,IFERROR(AG1213,0)=1),IF(IFERROR(T1213,-1E+99)&gt;=IFERROR(AE1213,-1E+99),MAX($D$16,IFERROR(L1213,MAX($D$16,POWER((ABS(K1213)^2)/($I$5*MAX(F1213,0.1)^2),1/3)))),MAX($D$16,IFERROR(W1213,MAX($D$16,POWER((ABS(K1213)^2)/($I$5*MAX(F1213,0.1)^2),1/3))))),IF(IFERROR(V1213,0)=1,MAX($D$16,IFERROR(L1213,MAX($D$16,POWER((ABS(K1213)^2)/($I$5*MAX(F1213,0.1)^2),1/3)))),IF(IFERROR(AG1213,0)=1,MAX($D$16,IFERROR(W1213,MAX($D$16,POWER((ABS(K1213)^2)/($I$5*MAX(F1213,0.1)^2),1/3)))),MAX($D$16,POWER((ABS(K1213)^2)/($I$5*MAX(F1213,0.1)^2),1/3))))))),MAX($D$16,POWER((ABS(K1213)^2)/($I$5*MAX(F1213,0.1)^2),1/3)))</f>
        <v>2.1389677043987478</v>
      </c>
      <c r="AI1213">
        <f t="shared" ca="1" si="579"/>
        <v>634.12696770439879</v>
      </c>
      <c r="AJ1213">
        <f t="shared" ca="1" si="580"/>
        <v>635.19645155659816</v>
      </c>
      <c r="AM1213">
        <v>0</v>
      </c>
      <c r="AN1213">
        <v>0</v>
      </c>
      <c r="AO1213">
        <f t="shared" si="581"/>
        <v>0</v>
      </c>
      <c r="AP1213">
        <f t="shared" si="590"/>
        <v>0</v>
      </c>
      <c r="AQ1213">
        <f t="shared" ca="1" si="582"/>
        <v>1.0000000000000004</v>
      </c>
      <c r="AR1213" t="str">
        <f t="shared" ca="1" si="583"/>
        <v>Supercritical</v>
      </c>
      <c r="AS1213">
        <f t="shared" ca="1" si="584"/>
        <v>3.8141460404132466E-3</v>
      </c>
    </row>
    <row r="1214" spans="1:45" x14ac:dyDescent="0.35">
      <c r="A1214">
        <v>1153</v>
      </c>
      <c r="B1214">
        <v>1151.9960000000001</v>
      </c>
      <c r="C1214">
        <v>616074.87</v>
      </c>
      <c r="D1214">
        <v>3096855.1919999998</v>
      </c>
      <c r="E1214">
        <v>631.98749999999995</v>
      </c>
      <c r="F1214">
        <v>5.2</v>
      </c>
      <c r="G1214">
        <v>0</v>
      </c>
      <c r="H1214" t="s">
        <v>154</v>
      </c>
      <c r="I1214">
        <v>2E-3</v>
      </c>
      <c r="J1214">
        <f t="shared" si="585"/>
        <v>1.0010000000002037</v>
      </c>
      <c r="K1214">
        <f t="shared" ca="1" si="586"/>
        <v>50.95</v>
      </c>
      <c r="L1214">
        <f t="shared" ca="1" si="587"/>
        <v>2.1389677043987478</v>
      </c>
      <c r="M1214">
        <f t="shared" ref="M1214:M1277" ca="1" si="591">((F1214)+(G1214)*(L1214))*(L1214)</f>
        <v>11.122632062873489</v>
      </c>
      <c r="N1214">
        <f t="shared" ref="N1214:N1277" ca="1" si="592">(((F1214)+(G1214)*(L1214))*(L1214))/MAX((F1214)+2*(L1214)*SQRT(1+(G1214)^2),0.000001)</f>
        <v>1.1735290000551568</v>
      </c>
      <c r="O1214">
        <f t="shared" ref="O1214:O1277" ca="1" si="593">ABS(K1214)/MAX(((F1214)+(G1214)*(L1214))*(L1214),0.000001)</f>
        <v>4.5807502857230418</v>
      </c>
      <c r="P1214">
        <f t="shared" ref="P1214:P1277" ca="1" si="594">E1214+L1214</f>
        <v>634.12646770439869</v>
      </c>
      <c r="Q1214">
        <f t="shared" ref="Q1214:Q1277" ca="1" si="595">P1214+((ABS(K1214)/MAX(((F1214)+(G1214)*(L1214))*(L1214),0.000001))^2)/(2*$I$5)</f>
        <v>635.19595155659806</v>
      </c>
      <c r="R1214">
        <f t="shared" ref="R1214:R1277" ca="1" si="596">((ABS(K1214)*$D$6)/(MAX(((F1214)+(G1214)*(L1214))*(L1214),0.000001)*MAX(((((F1214)+(G1214)*(L1214))*(L1214))/MAX((F1214)+2*(L1214)*SQRT(1+(G1214)^2),0.000001))^(2/3),0.000001)))^2</f>
        <v>3.8141460404132466E-3</v>
      </c>
      <c r="S1214">
        <f t="shared" ref="S1214:S1277" ca="1" si="597">ABS(ABS(K1214)/MAX(((F1214)+(G1214)*(L1214))*(L1214),0.000001))/SQRT($I$5*MAX((((F1214)+(G1214)*(L1214))*(L1214))/MAX((F1214)+2*(G1214)*(L1214),0.000001),0.000001))</f>
        <v>1.0000000000000004</v>
      </c>
      <c r="T1214">
        <f t="shared" ref="T1214:T1277" ca="1" si="598">((F1214)*(L1214)^2)/2+(G1214)*(L1214)^3/3+(ABS(K1214)^2)/($I$5*MAX(((F1214)+(G1214)*(L1214))*(L1214),0.000001))</f>
        <v>35.686426155594638</v>
      </c>
      <c r="U1214">
        <f t="shared" ca="1" si="588"/>
        <v>-3.3215251324918427E-3</v>
      </c>
      <c r="V1214">
        <f t="shared" ca="1" si="589"/>
        <v>1</v>
      </c>
      <c r="W1214">
        <f t="shared" ref="W1214:W1277" ca="1" si="599">IF($D$20=0,IFERROR(W1215,MAX($D$16,POWER((ABS(K1214)^2)/($I$5*MAX(F1214,0.1)^2),1/3))),IF(IFERROR(AG1215,0)=0,IFERROR(W1215,MAX($D$16,POWER((ABS(K1214)^2)/($I$5*MAX(F1214,0.1)^2),1/3))),IF(OR(IFERROR(W1214,0)=0,IFERROR(AD1215,0)&gt;1),MAX($D$16,POWER((ABS(K1214)^2)/($I$5*MAX(F1214,0.1)^2),1/3)),IF(IFERROR(AF1214,0)&gt;0,MAX($D$16,IFERROR(W1214,0)+((IFERROR(AF1214,0))*$D$18*IF((IFERROR(AD1214,0))&lt;1,1,-1))),IF(IFERROR(AF1214,0)&lt;0,IF(ABS((MAX($D$16,POWER((ABS(K1214)^2)/($I$5*MAX(F1214,0.1)^2),1/3)))-IFERROR(W1214,0))&gt;$D$19,MAX($D$16,IF((MAX($D$16,POWER((ABS(K1214)^2)/($I$5*MAX(F1214,0.1)^2),1/3)))&gt;IFERROR(W1214,0),MIN((MAX($D$16,POWER((ABS(K1214)^2)/($I$5*MAX(F1214,0.1)^2),1/3))),IFERROR(W1214,0)+(MIN(ABS(IFERROR(AF1214,0))*$D$18,ABS((MAX($D$16,POWER((ABS(K1214)^2)/($I$5*MAX(F1214,0.1)^2),1/3)))-IFERROR(W1214,0))))),MAX((MAX($D$16,POWER((ABS(K1214)^2)/($I$5*MAX(F1214,0.1)^2),1/3))),IFERROR(W1214,0)-(MIN(ABS(IFERROR(AF1214,0))*$D$18,ABS((MAX($D$16,POWER((ABS(K1214)^2)/($I$5*MAX(F1214,0.1)^2),1/3)))-IFERROR(W1214,0))))))),MAX($D$16,POWER((ABS(K1214)^2)/($I$5*MAX(F1214,0.1)^2),1/3))),MAX($D$16,IFERROR(W1214,0)))))))</f>
        <v>1.6812025943685605</v>
      </c>
      <c r="X1214">
        <f t="shared" ref="X1214:X1277" ca="1" si="600">((F1214)+(G1214)*(W1214))*(W1214)</f>
        <v>8.7422534907165144</v>
      </c>
      <c r="Y1214">
        <f t="shared" ref="Y1214:Y1277" ca="1" si="601">(((F1214)+(G1214)*(W1214))*(W1214))/MAX((F1214)+2*(W1214)*SQRT(1+(G1214)^2),0.000001)</f>
        <v>1.0210044138317542</v>
      </c>
      <c r="Z1214">
        <f t="shared" ref="Z1214:Z1277" ca="1" si="602">ABS(K1214)/MAX(((F1214)+(G1214)*(W1214))*(W1214),0.000001)</f>
        <v>5.8280167755492691</v>
      </c>
      <c r="AA1214">
        <f t="shared" ref="AA1214:AA1277" ca="1" si="603">E1214+W1214</f>
        <v>633.66870259436848</v>
      </c>
      <c r="AB1214">
        <f t="shared" ref="AB1214:AB1277" ca="1" si="604">AA1214+((ABS(K1214)/MAX(((F1214)+(G1214)*(W1214))*(W1214),0.000001))^2)/(2*$I$5)</f>
        <v>635.39988401822598</v>
      </c>
      <c r="AC1214">
        <f t="shared" ref="AC1214:AC1277" ca="1" si="605">((ABS(K1214)*$D$6)/(MAX(((F1214)+(G1214)*(W1214))*(W1214),0.000001)*MAX(((((F1214)+(G1214)*(W1214))*(W1214))/MAX((F1214)+2*(W1214)*SQRT(1+(G1214)^2),0.000001))^(2/3),0.000001)))^2</f>
        <v>7.4333961502286265E-3</v>
      </c>
      <c r="AD1214">
        <f t="shared" ref="AD1214:AD1277" ca="1" si="606">ABS(ABS(K1214)/MAX(((F1214)+(G1214)*(W1214))*(W1214),0.000001))/SQRT($I$5*MAX((((F1214)+(G1214)*(W1214))*(W1214))/MAX((F1214)+2*(G1214)*(W1214),0.000001),0.000001))</f>
        <v>1.4350805016144728</v>
      </c>
      <c r="AE1214">
        <f t="shared" ref="AE1214:AE1277" ca="1" si="607">((F1214)*(W1214)^2)/2+(G1214)*(W1214)^3/3+(ABS(K1214)^2)/($I$5*MAX(((F1214)+(G1214)*(W1214))*(W1214),0.000001))</f>
        <v>37.617603316173337</v>
      </c>
      <c r="AF1214">
        <f t="shared" ref="AF1214:AF1277" ca="1" si="608">IF($D$20=0,0,IFERROR(AB1215+(((AC1214+AC1215)/2)*J1215)+(IF(Z1214&gt;Z1215,$D$8*((Z1214^2-Z1215^2)/(2*$I$5)),$D$9*((Z1215^2-Z1214^2)/(2*$I$5)))+($D$10*(ABS(I1215)/90)*(MAX(Z1214^2,Z1215^2)/(2*$I$5))))-AB1214,0))</f>
        <v>7.097858385463951E-3</v>
      </c>
      <c r="AG1214">
        <f t="shared" ref="AG1214:AG1277" ca="1" si="609">IF($D$20=0,1,IFERROR(IF(ROUND(AD1214,3)=1,1,IF(AND(ABS(AF1214)&lt;$D$19,AD1214&lt;1),1,0)),0))</f>
        <v>0</v>
      </c>
      <c r="AH1214">
        <f ca="1">IFERROR(IF(V32="Supercritical",MAX($D$16,IFERROR(L1214,MAX($D$16,POWER((ABS(K1214)^2)/($I$5*MAX(F1214,0.1)^2),1/3)))),IF(V32="Subcritical",MAX($D$16,IFERROR(W1214,MAX($D$16,POWER((ABS(K1214)^2)/($I$5*MAX(F1214,0.1)^2),1/3)))),IF(AND(IFERROR(V1214,0)=1,IFERROR(AG1214,0)=1),IF(IFERROR(T1214,-1E+99)&gt;=IFERROR(AE1214,-1E+99),MAX($D$16,IFERROR(L1214,MAX($D$16,POWER((ABS(K1214)^2)/($I$5*MAX(F1214,0.1)^2),1/3)))),MAX($D$16,IFERROR(W1214,MAX($D$16,POWER((ABS(K1214)^2)/($I$5*MAX(F1214,0.1)^2),1/3))))),IF(IFERROR(V1214,0)=1,MAX($D$16,IFERROR(L1214,MAX($D$16,POWER((ABS(K1214)^2)/($I$5*MAX(F1214,0.1)^2),1/3)))),IF(IFERROR(AG1214,0)=1,MAX($D$16,IFERROR(W1214,MAX($D$16,POWER((ABS(K1214)^2)/($I$5*MAX(F1214,0.1)^2),1/3)))),MAX($D$16,POWER((ABS(K1214)^2)/($I$5*MAX(F1214,0.1)^2),1/3))))))),MAX($D$16,POWER((ABS(K1214)^2)/($I$5*MAX(F1214,0.1)^2),1/3)))</f>
        <v>2.1389677043987478</v>
      </c>
      <c r="AI1214">
        <f t="shared" ref="AI1214:AI1277" ca="1" si="610">E1214+AH1214</f>
        <v>634.12646770439869</v>
      </c>
      <c r="AJ1214">
        <f t="shared" ref="AJ1214:AJ1277" ca="1" si="611">AI1214+((ABS(K1214)/MAX(((F1214)+(G1214)*(AH1214))*(AH1214),0.000001))^2)/(2*$I$5)</f>
        <v>635.19595155659806</v>
      </c>
      <c r="AM1214">
        <v>0</v>
      </c>
      <c r="AN1214">
        <v>0</v>
      </c>
      <c r="AO1214">
        <f t="shared" ref="AO1214:AO1277" si="612">AM1214+AN1214</f>
        <v>0</v>
      </c>
      <c r="AP1214">
        <f t="shared" si="590"/>
        <v>0</v>
      </c>
      <c r="AQ1214">
        <f t="shared" ref="AQ1214:AQ1277" ca="1" si="613">ABS(ABS(K1214)/MAX(((F1214)+(G1214)*(AH1214))*(AH1214),0.000001))/SQRT($I$5*MAX((((F1214)+(G1214)*(AH1214))*(AH1214))/MAX((F1214)+2*(G1214)*(AH1214),0.000001),0.000001))</f>
        <v>1.0000000000000004</v>
      </c>
      <c r="AR1214" t="str">
        <f t="shared" ref="AR1214:AR1277" ca="1" si="614">IF(AQ1214&lt;1,"Subcritical","Supercritical")</f>
        <v>Supercritical</v>
      </c>
      <c r="AS1214">
        <f t="shared" ref="AS1214:AS1277" ca="1" si="615">((ABS(K1214)*$D$6)/(MAX(((F1214)+(G1214)*(AH1214))*(AH1214),0.000001)*MAX(((((F1214)+(G1214)*(AH1214))*(AH1214))/MAX((F1214)+2*(AH1214)*SQRT(1+(G1214)^2),0.000001))^(2/3),0.000001)))^2</f>
        <v>3.8141460404132466E-3</v>
      </c>
    </row>
    <row r="1215" spans="1:45" x14ac:dyDescent="0.35">
      <c r="A1215">
        <v>1154</v>
      </c>
      <c r="B1215">
        <v>1152.9960000000001</v>
      </c>
      <c r="C1215">
        <v>616074.82799999998</v>
      </c>
      <c r="D1215">
        <v>3096854.193</v>
      </c>
      <c r="E1215">
        <v>631.98699999999997</v>
      </c>
      <c r="F1215">
        <v>5.2</v>
      </c>
      <c r="G1215">
        <v>0</v>
      </c>
      <c r="H1215" t="s">
        <v>154</v>
      </c>
      <c r="I1215">
        <v>5.7000000000000002E-2</v>
      </c>
      <c r="J1215">
        <f t="shared" ref="J1215:J1278" si="616">B1215-B1214</f>
        <v>1</v>
      </c>
      <c r="K1215">
        <f t="shared" ref="K1215:K1278" ca="1" si="617">MAX(0,K1214-AO1214)</f>
        <v>50.95</v>
      </c>
      <c r="L1215">
        <f t="shared" ref="L1215:L1278" ca="1" si="618">IF($D$20=0,IFERROR(L1214,MAX($D$16,POWER((ABS(K1215)^2)/($I$5*MAX(F1215,0.1)^2),1/3))),IF(IFERROR(V1214,0)=0,IFERROR(L1214,MAX($D$16,POWER((ABS(K1215)^2)/($I$5*MAX(F1215,0.1)^2),1/3))),IF(OR(IFERROR(L1215,0)=0,IFERROR(S1214,0)&lt;1,IFERROR(S1215,0)&lt;1),MAX($D$16,POWER((ABS(K1215)^2)/($I$5*MAX(F1215,0.1)^2),1/3)),IF(IFERROR(U1215,0)&gt;0,MAX($D$16,IFERROR(L1215,0)+((IFERROR(U1215,0))*$D$18*IF((IFERROR(S1215,0))&lt;1,1,-1))),IF(IFERROR(U1215,0)&lt;0,IF(ABS((MAX($D$16,POWER((ABS(K1215)^2)/($I$5*MAX(F1215,0.1)^2),1/3)))-IFERROR(L1215,0))&gt;$D$19,MAX($D$16,IF((MAX($D$16,POWER((ABS(K1215)^2)/($I$5*MAX(F1215,0.1)^2),1/3)))&gt;IFERROR(L1215,0),MIN((MAX($D$16,POWER((ABS(K1215)^2)/($I$5*MAX(F1215,0.1)^2),1/3))),IFERROR(L1215,0)+(MIN(ABS(IFERROR(U1215,0))*$D$18,ABS((MAX($D$16,POWER((ABS(K1215)^2)/($I$5*MAX(F1215,0.1)^2),1/3)))-IFERROR(L1215,0))))),MAX((MAX($D$16,POWER((ABS(K1215)^2)/($I$5*MAX(F1215,0.1)^2),1/3))),IFERROR(L1215,0)-(MIN(ABS(IFERROR(U1215,0))*$D$18,ABS((MAX($D$16,POWER((ABS(K1215)^2)/($I$5*MAX(F1215,0.1)^2),1/3)))-IFERROR(L1215,0))))))),MAX($D$16,POWER((ABS(K1215)^2)/($I$5*MAX(F1215,0.1)^2),1/3))),MAX($D$16,IFERROR(L1215,0)))))))</f>
        <v>2.1389677043987478</v>
      </c>
      <c r="M1215">
        <f t="shared" ca="1" si="591"/>
        <v>11.122632062873489</v>
      </c>
      <c r="N1215">
        <f t="shared" ca="1" si="592"/>
        <v>1.1735290000551568</v>
      </c>
      <c r="O1215">
        <f t="shared" ca="1" si="593"/>
        <v>4.5807502857230418</v>
      </c>
      <c r="P1215">
        <f t="shared" ca="1" si="594"/>
        <v>634.1259677043987</v>
      </c>
      <c r="Q1215">
        <f t="shared" ca="1" si="595"/>
        <v>635.19545155659807</v>
      </c>
      <c r="R1215">
        <f t="shared" ca="1" si="596"/>
        <v>3.8141460404132466E-3</v>
      </c>
      <c r="S1215">
        <f t="shared" ca="1" si="597"/>
        <v>1.0000000000000004</v>
      </c>
      <c r="T1215">
        <f t="shared" ca="1" si="598"/>
        <v>35.686426155594638</v>
      </c>
      <c r="U1215">
        <f t="shared" ref="U1215:U1278" ca="1" si="619">IF($D$20=0,0,IFERROR(Q1214-(((R1214+R1215)/2)*J1215)-(IF(O1214&gt;O1215,$D$8*((O1214^2-O1215^2)/(2*$I$5)),$D$9*((O1215^2-O1214^2)/(2*$I$5)))+($D$10*(ABS(I1215)/90)*(MAX(O1214^2,O1215^2)/(2*$I$5))))-Q1215,0))</f>
        <v>-3.4157470064428708E-3</v>
      </c>
      <c r="V1215">
        <f t="shared" ref="V1215:V1278" ca="1" si="620">IF($D$20=0,1,IFERROR(IF(ROUND(S1215,3)=1,1,IF(AND(ABS(U1215)&lt;$D$19,S1215&gt;1),1,0)),0))</f>
        <v>1</v>
      </c>
      <c r="W1215">
        <f t="shared" ca="1" si="599"/>
        <v>1.6812025072238306</v>
      </c>
      <c r="X1215">
        <f t="shared" ca="1" si="600"/>
        <v>8.7422530375639198</v>
      </c>
      <c r="Y1215">
        <f t="shared" ca="1" si="601"/>
        <v>1.0210043816909846</v>
      </c>
      <c r="Z1215">
        <f t="shared" ca="1" si="602"/>
        <v>5.8280170776431239</v>
      </c>
      <c r="AA1215">
        <f t="shared" ca="1" si="603"/>
        <v>633.66820250722378</v>
      </c>
      <c r="AB1215">
        <f t="shared" ca="1" si="604"/>
        <v>635.39938411055198</v>
      </c>
      <c r="AC1215">
        <f t="shared" ca="1" si="605"/>
        <v>7.4333972328453632E-3</v>
      </c>
      <c r="AD1215">
        <f t="shared" ca="1" si="606"/>
        <v>1.435080613195056</v>
      </c>
      <c r="AE1215">
        <f t="shared" ca="1" si="607"/>
        <v>37.617604123310826</v>
      </c>
      <c r="AF1215">
        <f t="shared" ca="1" si="608"/>
        <v>7.0978594851567323E-3</v>
      </c>
      <c r="AG1215">
        <f t="shared" ca="1" si="609"/>
        <v>0</v>
      </c>
      <c r="AH1215">
        <f ca="1">IFERROR(IF(V32="Supercritical",MAX($D$16,IFERROR(L1215,MAX($D$16,POWER((ABS(K1215)^2)/($I$5*MAX(F1215,0.1)^2),1/3)))),IF(V32="Subcritical",MAX($D$16,IFERROR(W1215,MAX($D$16,POWER((ABS(K1215)^2)/($I$5*MAX(F1215,0.1)^2),1/3)))),IF(AND(IFERROR(V1215,0)=1,IFERROR(AG1215,0)=1),IF(IFERROR(T1215,-1E+99)&gt;=IFERROR(AE1215,-1E+99),MAX($D$16,IFERROR(L1215,MAX($D$16,POWER((ABS(K1215)^2)/($I$5*MAX(F1215,0.1)^2),1/3)))),MAX($D$16,IFERROR(W1215,MAX($D$16,POWER((ABS(K1215)^2)/($I$5*MAX(F1215,0.1)^2),1/3))))),IF(IFERROR(V1215,0)=1,MAX($D$16,IFERROR(L1215,MAX($D$16,POWER((ABS(K1215)^2)/($I$5*MAX(F1215,0.1)^2),1/3)))),IF(IFERROR(AG1215,0)=1,MAX($D$16,IFERROR(W1215,MAX($D$16,POWER((ABS(K1215)^2)/($I$5*MAX(F1215,0.1)^2),1/3)))),MAX($D$16,POWER((ABS(K1215)^2)/($I$5*MAX(F1215,0.1)^2),1/3))))))),MAX($D$16,POWER((ABS(K1215)^2)/($I$5*MAX(F1215,0.1)^2),1/3)))</f>
        <v>2.1389677043987478</v>
      </c>
      <c r="AI1215">
        <f t="shared" ca="1" si="610"/>
        <v>634.1259677043987</v>
      </c>
      <c r="AJ1215">
        <f t="shared" ca="1" si="611"/>
        <v>635.19545155659807</v>
      </c>
      <c r="AM1215">
        <v>0</v>
      </c>
      <c r="AN1215">
        <v>0</v>
      </c>
      <c r="AO1215">
        <f t="shared" si="612"/>
        <v>0</v>
      </c>
      <c r="AP1215">
        <f t="shared" ref="AP1215:AP1278" si="621">AP1214+AO1215</f>
        <v>0</v>
      </c>
      <c r="AQ1215">
        <f t="shared" ca="1" si="613"/>
        <v>1.0000000000000004</v>
      </c>
      <c r="AR1215" t="str">
        <f t="shared" ca="1" si="614"/>
        <v>Supercritical</v>
      </c>
      <c r="AS1215">
        <f t="shared" ca="1" si="615"/>
        <v>3.8141460404132466E-3</v>
      </c>
    </row>
    <row r="1216" spans="1:45" x14ac:dyDescent="0.35">
      <c r="A1216">
        <v>1155</v>
      </c>
      <c r="B1216">
        <v>1153.9960000000001</v>
      </c>
      <c r="C1216">
        <v>616074.78500000003</v>
      </c>
      <c r="D1216">
        <v>3096853.1940000001</v>
      </c>
      <c r="E1216">
        <v>631.98649999999998</v>
      </c>
      <c r="F1216">
        <v>5.2</v>
      </c>
      <c r="G1216">
        <v>0</v>
      </c>
      <c r="H1216" t="s">
        <v>154</v>
      </c>
      <c r="I1216">
        <v>5.7000000000000002E-2</v>
      </c>
      <c r="J1216">
        <f t="shared" si="616"/>
        <v>1</v>
      </c>
      <c r="K1216">
        <f t="shared" ca="1" si="617"/>
        <v>50.95</v>
      </c>
      <c r="L1216">
        <f t="shared" ca="1" si="618"/>
        <v>2.1389677043987478</v>
      </c>
      <c r="M1216">
        <f t="shared" ca="1" si="591"/>
        <v>11.122632062873489</v>
      </c>
      <c r="N1216">
        <f t="shared" ca="1" si="592"/>
        <v>1.1735290000551568</v>
      </c>
      <c r="O1216">
        <f t="shared" ca="1" si="593"/>
        <v>4.5807502857230418</v>
      </c>
      <c r="P1216">
        <f t="shared" ca="1" si="594"/>
        <v>634.12546770439872</v>
      </c>
      <c r="Q1216">
        <f t="shared" ca="1" si="595"/>
        <v>635.19495155659808</v>
      </c>
      <c r="R1216">
        <f t="shared" ca="1" si="596"/>
        <v>3.8141460404132466E-3</v>
      </c>
      <c r="S1216">
        <f t="shared" ca="1" si="597"/>
        <v>1.0000000000000004</v>
      </c>
      <c r="T1216">
        <f t="shared" ca="1" si="598"/>
        <v>35.686426155594638</v>
      </c>
      <c r="U1216">
        <f t="shared" ca="1" si="619"/>
        <v>-3.4157470064428708E-3</v>
      </c>
      <c r="V1216">
        <f t="shared" ca="1" si="620"/>
        <v>1</v>
      </c>
      <c r="W1216">
        <f t="shared" ca="1" si="599"/>
        <v>1.6812024257706162</v>
      </c>
      <c r="X1216">
        <f t="shared" ca="1" si="600"/>
        <v>8.7422526140072048</v>
      </c>
      <c r="Y1216">
        <f t="shared" ca="1" si="601"/>
        <v>1.0210043516493617</v>
      </c>
      <c r="Z1216">
        <f t="shared" ca="1" si="602"/>
        <v>5.8280173600069354</v>
      </c>
      <c r="AA1216">
        <f t="shared" ca="1" si="603"/>
        <v>633.66770242577059</v>
      </c>
      <c r="AB1216">
        <f t="shared" ca="1" si="604"/>
        <v>635.39888419684814</v>
      </c>
      <c r="AC1216">
        <f t="shared" ca="1" si="605"/>
        <v>7.4333982447554537E-3</v>
      </c>
      <c r="AD1216">
        <f t="shared" ca="1" si="606"/>
        <v>1.4350807174882054</v>
      </c>
      <c r="AE1216">
        <f t="shared" ca="1" si="607"/>
        <v>37.617604877733484</v>
      </c>
      <c r="AF1216">
        <f t="shared" ca="1" si="608"/>
        <v>6.9333982447687958E-3</v>
      </c>
      <c r="AG1216">
        <f t="shared" ca="1" si="609"/>
        <v>0</v>
      </c>
      <c r="AH1216">
        <f ca="1">IFERROR(IF(V32="Supercritical",MAX($D$16,IFERROR(L1216,MAX($D$16,POWER((ABS(K1216)^2)/($I$5*MAX(F1216,0.1)^2),1/3)))),IF(V32="Subcritical",MAX($D$16,IFERROR(W1216,MAX($D$16,POWER((ABS(K1216)^2)/($I$5*MAX(F1216,0.1)^2),1/3)))),IF(AND(IFERROR(V1216,0)=1,IFERROR(AG1216,0)=1),IF(IFERROR(T1216,-1E+99)&gt;=IFERROR(AE1216,-1E+99),MAX($D$16,IFERROR(L1216,MAX($D$16,POWER((ABS(K1216)^2)/($I$5*MAX(F1216,0.1)^2),1/3)))),MAX($D$16,IFERROR(W1216,MAX($D$16,POWER((ABS(K1216)^2)/($I$5*MAX(F1216,0.1)^2),1/3))))),IF(IFERROR(V1216,0)=1,MAX($D$16,IFERROR(L1216,MAX($D$16,POWER((ABS(K1216)^2)/($I$5*MAX(F1216,0.1)^2),1/3)))),IF(IFERROR(AG1216,0)=1,MAX($D$16,IFERROR(W1216,MAX($D$16,POWER((ABS(K1216)^2)/($I$5*MAX(F1216,0.1)^2),1/3)))),MAX($D$16,POWER((ABS(K1216)^2)/($I$5*MAX(F1216,0.1)^2),1/3))))))),MAX($D$16,POWER((ABS(K1216)^2)/($I$5*MAX(F1216,0.1)^2),1/3)))</f>
        <v>2.1389677043987478</v>
      </c>
      <c r="AI1216">
        <f t="shared" ca="1" si="610"/>
        <v>634.12546770439872</v>
      </c>
      <c r="AJ1216">
        <f t="shared" ca="1" si="611"/>
        <v>635.19495155659808</v>
      </c>
      <c r="AM1216">
        <v>0</v>
      </c>
      <c r="AN1216">
        <v>0</v>
      </c>
      <c r="AO1216">
        <f t="shared" si="612"/>
        <v>0</v>
      </c>
      <c r="AP1216">
        <f t="shared" si="621"/>
        <v>0</v>
      </c>
      <c r="AQ1216">
        <f t="shared" ca="1" si="613"/>
        <v>1.0000000000000004</v>
      </c>
      <c r="AR1216" t="str">
        <f t="shared" ca="1" si="614"/>
        <v>Supercritical</v>
      </c>
      <c r="AS1216">
        <f t="shared" ca="1" si="615"/>
        <v>3.8141460404132466E-3</v>
      </c>
    </row>
    <row r="1217" spans="1:45" x14ac:dyDescent="0.35">
      <c r="A1217">
        <v>1156</v>
      </c>
      <c r="B1217">
        <v>1154.9960000000001</v>
      </c>
      <c r="C1217">
        <v>616074.74300000002</v>
      </c>
      <c r="D1217">
        <v>3096852.1949999998</v>
      </c>
      <c r="E1217">
        <v>631.98599999999999</v>
      </c>
      <c r="F1217">
        <v>5.2</v>
      </c>
      <c r="G1217">
        <v>0</v>
      </c>
      <c r="H1217" t="s">
        <v>154</v>
      </c>
      <c r="I1217">
        <v>0</v>
      </c>
      <c r="J1217">
        <f t="shared" si="616"/>
        <v>1</v>
      </c>
      <c r="K1217">
        <f t="shared" ca="1" si="617"/>
        <v>50.95</v>
      </c>
      <c r="L1217">
        <f t="shared" ca="1" si="618"/>
        <v>2.1389677043987478</v>
      </c>
      <c r="M1217">
        <f t="shared" ca="1" si="591"/>
        <v>11.122632062873489</v>
      </c>
      <c r="N1217">
        <f t="shared" ca="1" si="592"/>
        <v>1.1735290000551568</v>
      </c>
      <c r="O1217">
        <f t="shared" ca="1" si="593"/>
        <v>4.5807502857230418</v>
      </c>
      <c r="P1217">
        <f t="shared" ca="1" si="594"/>
        <v>634.12496770439873</v>
      </c>
      <c r="Q1217">
        <f t="shared" ca="1" si="595"/>
        <v>635.1944515565981</v>
      </c>
      <c r="R1217">
        <f t="shared" ca="1" si="596"/>
        <v>3.8141460404132466E-3</v>
      </c>
      <c r="S1217">
        <f t="shared" ca="1" si="597"/>
        <v>1.0000000000000004</v>
      </c>
      <c r="T1217">
        <f t="shared" ca="1" si="598"/>
        <v>35.686426155594638</v>
      </c>
      <c r="U1217">
        <f t="shared" ca="1" si="619"/>
        <v>-3.3141460404522149E-3</v>
      </c>
      <c r="V1217">
        <f t="shared" ca="1" si="620"/>
        <v>1</v>
      </c>
      <c r="W1217">
        <f t="shared" ca="1" si="599"/>
        <v>1.6812023496372126</v>
      </c>
      <c r="X1217">
        <f t="shared" ca="1" si="600"/>
        <v>8.7422522181135065</v>
      </c>
      <c r="Y1217">
        <f t="shared" ca="1" si="601"/>
        <v>1.0210043235697934</v>
      </c>
      <c r="Z1217">
        <f t="shared" ca="1" si="602"/>
        <v>5.8280176239292398</v>
      </c>
      <c r="AA1217">
        <f t="shared" ca="1" si="603"/>
        <v>633.66720234963725</v>
      </c>
      <c r="AB1217">
        <f t="shared" ca="1" si="604"/>
        <v>635.39838427750828</v>
      </c>
      <c r="AC1217">
        <f t="shared" ca="1" si="605"/>
        <v>7.4333991905765982E-3</v>
      </c>
      <c r="AD1217">
        <f t="shared" ca="1" si="606"/>
        <v>1.4350808149698506</v>
      </c>
      <c r="AE1217">
        <f t="shared" ca="1" si="607"/>
        <v>37.617605582884018</v>
      </c>
      <c r="AF1217">
        <f t="shared" ca="1" si="608"/>
        <v>6.9333991906432857E-3</v>
      </c>
      <c r="AG1217">
        <f t="shared" ca="1" si="609"/>
        <v>0</v>
      </c>
      <c r="AH1217">
        <f ca="1">IFERROR(IF(V32="Supercritical",MAX($D$16,IFERROR(L1217,MAX($D$16,POWER((ABS(K1217)^2)/($I$5*MAX(F1217,0.1)^2),1/3)))),IF(V32="Subcritical",MAX($D$16,IFERROR(W1217,MAX($D$16,POWER((ABS(K1217)^2)/($I$5*MAX(F1217,0.1)^2),1/3)))),IF(AND(IFERROR(V1217,0)=1,IFERROR(AG1217,0)=1),IF(IFERROR(T1217,-1E+99)&gt;=IFERROR(AE1217,-1E+99),MAX($D$16,IFERROR(L1217,MAX($D$16,POWER((ABS(K1217)^2)/($I$5*MAX(F1217,0.1)^2),1/3)))),MAX($D$16,IFERROR(W1217,MAX($D$16,POWER((ABS(K1217)^2)/($I$5*MAX(F1217,0.1)^2),1/3))))),IF(IFERROR(V1217,0)=1,MAX($D$16,IFERROR(L1217,MAX($D$16,POWER((ABS(K1217)^2)/($I$5*MAX(F1217,0.1)^2),1/3)))),IF(IFERROR(AG1217,0)=1,MAX($D$16,IFERROR(W1217,MAX($D$16,POWER((ABS(K1217)^2)/($I$5*MAX(F1217,0.1)^2),1/3)))),MAX($D$16,POWER((ABS(K1217)^2)/($I$5*MAX(F1217,0.1)^2),1/3))))))),MAX($D$16,POWER((ABS(K1217)^2)/($I$5*MAX(F1217,0.1)^2),1/3)))</f>
        <v>2.1389677043987478</v>
      </c>
      <c r="AI1217">
        <f t="shared" ca="1" si="610"/>
        <v>634.12496770439873</v>
      </c>
      <c r="AJ1217">
        <f t="shared" ca="1" si="611"/>
        <v>635.1944515565981</v>
      </c>
      <c r="AM1217">
        <v>0</v>
      </c>
      <c r="AN1217">
        <v>0</v>
      </c>
      <c r="AO1217">
        <f t="shared" si="612"/>
        <v>0</v>
      </c>
      <c r="AP1217">
        <f t="shared" si="621"/>
        <v>0</v>
      </c>
      <c r="AQ1217">
        <f t="shared" ca="1" si="613"/>
        <v>1.0000000000000004</v>
      </c>
      <c r="AR1217" t="str">
        <f t="shared" ca="1" si="614"/>
        <v>Supercritical</v>
      </c>
      <c r="AS1217">
        <f t="shared" ca="1" si="615"/>
        <v>3.8141460404132466E-3</v>
      </c>
    </row>
    <row r="1218" spans="1:45" x14ac:dyDescent="0.35">
      <c r="A1218">
        <v>1157</v>
      </c>
      <c r="B1218">
        <v>1155.9960000000001</v>
      </c>
      <c r="C1218">
        <v>616074.701</v>
      </c>
      <c r="D1218">
        <v>3096851.196</v>
      </c>
      <c r="E1218">
        <v>631.9855</v>
      </c>
      <c r="F1218">
        <v>5.2</v>
      </c>
      <c r="G1218">
        <v>0</v>
      </c>
      <c r="H1218" t="s">
        <v>154</v>
      </c>
      <c r="I1218">
        <v>0</v>
      </c>
      <c r="J1218">
        <f t="shared" si="616"/>
        <v>1</v>
      </c>
      <c r="K1218">
        <f t="shared" ca="1" si="617"/>
        <v>50.95</v>
      </c>
      <c r="L1218">
        <f t="shared" ca="1" si="618"/>
        <v>2.1389677043987478</v>
      </c>
      <c r="M1218">
        <f t="shared" ca="1" si="591"/>
        <v>11.122632062873489</v>
      </c>
      <c r="N1218">
        <f t="shared" ca="1" si="592"/>
        <v>1.1735290000551568</v>
      </c>
      <c r="O1218">
        <f t="shared" ca="1" si="593"/>
        <v>4.5807502857230418</v>
      </c>
      <c r="P1218">
        <f t="shared" ca="1" si="594"/>
        <v>634.12446770439874</v>
      </c>
      <c r="Q1218">
        <f t="shared" ca="1" si="595"/>
        <v>635.19395155659811</v>
      </c>
      <c r="R1218">
        <f t="shared" ca="1" si="596"/>
        <v>3.8141460404132466E-3</v>
      </c>
      <c r="S1218">
        <f t="shared" ca="1" si="597"/>
        <v>1.0000000000000004</v>
      </c>
      <c r="T1218">
        <f t="shared" ca="1" si="598"/>
        <v>35.686426155594638</v>
      </c>
      <c r="U1218">
        <f t="shared" ca="1" si="619"/>
        <v>-3.3141460404522149E-3</v>
      </c>
      <c r="V1218">
        <f t="shared" ca="1" si="620"/>
        <v>1</v>
      </c>
      <c r="W1218">
        <f t="shared" ca="1" si="599"/>
        <v>1.6812022784761813</v>
      </c>
      <c r="X1218">
        <f t="shared" ca="1" si="600"/>
        <v>8.742251848076144</v>
      </c>
      <c r="Y1218">
        <f t="shared" ca="1" si="601"/>
        <v>1.021004297324138</v>
      </c>
      <c r="Z1218">
        <f t="shared" ca="1" si="602"/>
        <v>5.8280178706144543</v>
      </c>
      <c r="AA1218">
        <f t="shared" ca="1" si="603"/>
        <v>633.66670227847624</v>
      </c>
      <c r="AB1218">
        <f t="shared" ca="1" si="604"/>
        <v>635.39788435290041</v>
      </c>
      <c r="AC1218">
        <f t="shared" ca="1" si="605"/>
        <v>7.4334000746250802E-3</v>
      </c>
      <c r="AD1218">
        <f t="shared" ca="1" si="606"/>
        <v>1.4350809060848519</v>
      </c>
      <c r="AE1218">
        <f t="shared" ca="1" si="607"/>
        <v>37.617606241980397</v>
      </c>
      <c r="AF1218">
        <f t="shared" ca="1" si="608"/>
        <v>7.0978623717792289E-3</v>
      </c>
      <c r="AG1218">
        <f t="shared" ca="1" si="609"/>
        <v>0</v>
      </c>
      <c r="AH1218">
        <f ca="1">IFERROR(IF(V32="Supercritical",MAX($D$16,IFERROR(L1218,MAX($D$16,POWER((ABS(K1218)^2)/($I$5*MAX(F1218,0.1)^2),1/3)))),IF(V32="Subcritical",MAX($D$16,IFERROR(W1218,MAX($D$16,POWER((ABS(K1218)^2)/($I$5*MAX(F1218,0.1)^2),1/3)))),IF(AND(IFERROR(V1218,0)=1,IFERROR(AG1218,0)=1),IF(IFERROR(T1218,-1E+99)&gt;=IFERROR(AE1218,-1E+99),MAX($D$16,IFERROR(L1218,MAX($D$16,POWER((ABS(K1218)^2)/($I$5*MAX(F1218,0.1)^2),1/3)))),MAX($D$16,IFERROR(W1218,MAX($D$16,POWER((ABS(K1218)^2)/($I$5*MAX(F1218,0.1)^2),1/3))))),IF(IFERROR(V1218,0)=1,MAX($D$16,IFERROR(L1218,MAX($D$16,POWER((ABS(K1218)^2)/($I$5*MAX(F1218,0.1)^2),1/3)))),IF(IFERROR(AG1218,0)=1,MAX($D$16,IFERROR(W1218,MAX($D$16,POWER((ABS(K1218)^2)/($I$5*MAX(F1218,0.1)^2),1/3)))),MAX($D$16,POWER((ABS(K1218)^2)/($I$5*MAX(F1218,0.1)^2),1/3))))))),MAX($D$16,POWER((ABS(K1218)^2)/($I$5*MAX(F1218,0.1)^2),1/3)))</f>
        <v>2.1389677043987478</v>
      </c>
      <c r="AI1218">
        <f t="shared" ca="1" si="610"/>
        <v>634.12446770439874</v>
      </c>
      <c r="AJ1218">
        <f t="shared" ca="1" si="611"/>
        <v>635.19395155659811</v>
      </c>
      <c r="AM1218">
        <v>0</v>
      </c>
      <c r="AN1218">
        <v>0</v>
      </c>
      <c r="AO1218">
        <f t="shared" si="612"/>
        <v>0</v>
      </c>
      <c r="AP1218">
        <f t="shared" si="621"/>
        <v>0</v>
      </c>
      <c r="AQ1218">
        <f t="shared" ca="1" si="613"/>
        <v>1.0000000000000004</v>
      </c>
      <c r="AR1218" t="str">
        <f t="shared" ca="1" si="614"/>
        <v>Supercritical</v>
      </c>
      <c r="AS1218">
        <f t="shared" ca="1" si="615"/>
        <v>3.8141460404132466E-3</v>
      </c>
    </row>
    <row r="1219" spans="1:45" x14ac:dyDescent="0.35">
      <c r="A1219">
        <v>1158</v>
      </c>
      <c r="B1219">
        <v>1156.9960000000001</v>
      </c>
      <c r="C1219">
        <v>616074.65899999999</v>
      </c>
      <c r="D1219">
        <v>3096850.1970000002</v>
      </c>
      <c r="E1219">
        <v>631.98500000000001</v>
      </c>
      <c r="F1219">
        <v>5.2</v>
      </c>
      <c r="G1219">
        <v>0</v>
      </c>
      <c r="H1219" t="s">
        <v>154</v>
      </c>
      <c r="I1219">
        <v>5.7000000000000002E-2</v>
      </c>
      <c r="J1219">
        <f t="shared" si="616"/>
        <v>1</v>
      </c>
      <c r="K1219">
        <f t="shared" ca="1" si="617"/>
        <v>50.95</v>
      </c>
      <c r="L1219">
        <f t="shared" ca="1" si="618"/>
        <v>2.1389677043987478</v>
      </c>
      <c r="M1219">
        <f t="shared" ca="1" si="591"/>
        <v>11.122632062873489</v>
      </c>
      <c r="N1219">
        <f t="shared" ca="1" si="592"/>
        <v>1.1735290000551568</v>
      </c>
      <c r="O1219">
        <f t="shared" ca="1" si="593"/>
        <v>4.5807502857230418</v>
      </c>
      <c r="P1219">
        <f t="shared" ca="1" si="594"/>
        <v>634.12396770439875</v>
      </c>
      <c r="Q1219">
        <f t="shared" ca="1" si="595"/>
        <v>635.19345155659812</v>
      </c>
      <c r="R1219">
        <f t="shared" ca="1" si="596"/>
        <v>3.8141460404132466E-3</v>
      </c>
      <c r="S1219">
        <f t="shared" ca="1" si="597"/>
        <v>1.0000000000000004</v>
      </c>
      <c r="T1219">
        <f t="shared" ca="1" si="598"/>
        <v>35.686426155594638</v>
      </c>
      <c r="U1219">
        <f t="shared" ca="1" si="619"/>
        <v>-3.4157470064428708E-3</v>
      </c>
      <c r="V1219">
        <f t="shared" ca="1" si="620"/>
        <v>1</v>
      </c>
      <c r="W1219">
        <f t="shared" ca="1" si="599"/>
        <v>1.6812022119627648</v>
      </c>
      <c r="X1219">
        <f t="shared" ca="1" si="600"/>
        <v>8.7422515022063774</v>
      </c>
      <c r="Y1219">
        <f t="shared" ca="1" si="601"/>
        <v>1.0210042727926176</v>
      </c>
      <c r="Z1219">
        <f t="shared" ca="1" si="602"/>
        <v>5.8280181011883716</v>
      </c>
      <c r="AA1219">
        <f t="shared" ca="1" si="603"/>
        <v>633.66620221196274</v>
      </c>
      <c r="AB1219">
        <f t="shared" ca="1" si="604"/>
        <v>635.39738442336841</v>
      </c>
      <c r="AC1219">
        <f t="shared" ca="1" si="605"/>
        <v>7.4334009009354041E-3</v>
      </c>
      <c r="AD1219">
        <f t="shared" ca="1" si="606"/>
        <v>1.4350809912490285</v>
      </c>
      <c r="AE1219">
        <f t="shared" ca="1" si="607"/>
        <v>37.617606858030491</v>
      </c>
      <c r="AF1219">
        <f t="shared" ca="1" si="608"/>
        <v>7.0978632110154649E-3</v>
      </c>
      <c r="AG1219">
        <f t="shared" ca="1" si="609"/>
        <v>0</v>
      </c>
      <c r="AH1219">
        <f ca="1">IFERROR(IF(V32="Supercritical",MAX($D$16,IFERROR(L1219,MAX($D$16,POWER((ABS(K1219)^2)/($I$5*MAX(F1219,0.1)^2),1/3)))),IF(V32="Subcritical",MAX($D$16,IFERROR(W1219,MAX($D$16,POWER((ABS(K1219)^2)/($I$5*MAX(F1219,0.1)^2),1/3)))),IF(AND(IFERROR(V1219,0)=1,IFERROR(AG1219,0)=1),IF(IFERROR(T1219,-1E+99)&gt;=IFERROR(AE1219,-1E+99),MAX($D$16,IFERROR(L1219,MAX($D$16,POWER((ABS(K1219)^2)/($I$5*MAX(F1219,0.1)^2),1/3)))),MAX($D$16,IFERROR(W1219,MAX($D$16,POWER((ABS(K1219)^2)/($I$5*MAX(F1219,0.1)^2),1/3))))),IF(IFERROR(V1219,0)=1,MAX($D$16,IFERROR(L1219,MAX($D$16,POWER((ABS(K1219)^2)/($I$5*MAX(F1219,0.1)^2),1/3)))),IF(IFERROR(AG1219,0)=1,MAX($D$16,IFERROR(W1219,MAX($D$16,POWER((ABS(K1219)^2)/($I$5*MAX(F1219,0.1)^2),1/3)))),MAX($D$16,POWER((ABS(K1219)^2)/($I$5*MAX(F1219,0.1)^2),1/3))))))),MAX($D$16,POWER((ABS(K1219)^2)/($I$5*MAX(F1219,0.1)^2),1/3)))</f>
        <v>2.1389677043987478</v>
      </c>
      <c r="AI1219">
        <f t="shared" ca="1" si="610"/>
        <v>634.12396770439875</v>
      </c>
      <c r="AJ1219">
        <f t="shared" ca="1" si="611"/>
        <v>635.19345155659812</v>
      </c>
      <c r="AM1219">
        <v>0</v>
      </c>
      <c r="AN1219">
        <v>0</v>
      </c>
      <c r="AO1219">
        <f t="shared" si="612"/>
        <v>0</v>
      </c>
      <c r="AP1219">
        <f t="shared" si="621"/>
        <v>0</v>
      </c>
      <c r="AQ1219">
        <f t="shared" ca="1" si="613"/>
        <v>1.0000000000000004</v>
      </c>
      <c r="AR1219" t="str">
        <f t="shared" ca="1" si="614"/>
        <v>Supercritical</v>
      </c>
      <c r="AS1219">
        <f t="shared" ca="1" si="615"/>
        <v>3.8141460404132466E-3</v>
      </c>
    </row>
    <row r="1220" spans="1:45" x14ac:dyDescent="0.35">
      <c r="A1220">
        <v>1159</v>
      </c>
      <c r="B1220">
        <v>1157.9960000000001</v>
      </c>
      <c r="C1220">
        <v>616074.61600000004</v>
      </c>
      <c r="D1220">
        <v>3096849.1979999999</v>
      </c>
      <c r="E1220">
        <v>631.98450000000003</v>
      </c>
      <c r="F1220">
        <v>5.2</v>
      </c>
      <c r="G1220">
        <v>0</v>
      </c>
      <c r="H1220" t="s">
        <v>154</v>
      </c>
      <c r="I1220">
        <v>5.7000000000000002E-2</v>
      </c>
      <c r="J1220">
        <f t="shared" si="616"/>
        <v>1</v>
      </c>
      <c r="K1220">
        <f t="shared" ca="1" si="617"/>
        <v>50.95</v>
      </c>
      <c r="L1220">
        <f t="shared" ca="1" si="618"/>
        <v>2.1389677043987478</v>
      </c>
      <c r="M1220">
        <f t="shared" ca="1" si="591"/>
        <v>11.122632062873489</v>
      </c>
      <c r="N1220">
        <f t="shared" ca="1" si="592"/>
        <v>1.1735290000551568</v>
      </c>
      <c r="O1220">
        <f t="shared" ca="1" si="593"/>
        <v>4.5807502857230418</v>
      </c>
      <c r="P1220">
        <f t="shared" ca="1" si="594"/>
        <v>634.12346770439876</v>
      </c>
      <c r="Q1220">
        <f t="shared" ca="1" si="595"/>
        <v>635.19295155659813</v>
      </c>
      <c r="R1220">
        <f t="shared" ca="1" si="596"/>
        <v>3.8141460404132466E-3</v>
      </c>
      <c r="S1220">
        <f t="shared" ca="1" si="597"/>
        <v>1.0000000000000004</v>
      </c>
      <c r="T1220">
        <f t="shared" ca="1" si="598"/>
        <v>35.686426155594638</v>
      </c>
      <c r="U1220">
        <f t="shared" ca="1" si="619"/>
        <v>-3.4157470064428708E-3</v>
      </c>
      <c r="V1220">
        <f t="shared" ca="1" si="620"/>
        <v>1</v>
      </c>
      <c r="W1220">
        <f t="shared" ca="1" si="599"/>
        <v>1.6812021497934189</v>
      </c>
      <c r="X1220">
        <f t="shared" ca="1" si="600"/>
        <v>8.7422511789257786</v>
      </c>
      <c r="Y1220">
        <f t="shared" ca="1" si="601"/>
        <v>1.0210042498632794</v>
      </c>
      <c r="Z1220">
        <f t="shared" ca="1" si="602"/>
        <v>5.8280183167032478</v>
      </c>
      <c r="AA1220">
        <f t="shared" ca="1" si="603"/>
        <v>633.66570214979345</v>
      </c>
      <c r="AB1220">
        <f t="shared" ca="1" si="604"/>
        <v>635.39688448923425</v>
      </c>
      <c r="AC1220">
        <f t="shared" ca="1" si="605"/>
        <v>7.433401673278525E-3</v>
      </c>
      <c r="AD1220">
        <f t="shared" ca="1" si="606"/>
        <v>1.4350810708510389</v>
      </c>
      <c r="AE1220">
        <f t="shared" ca="1" si="607"/>
        <v>37.617607433845727</v>
      </c>
      <c r="AF1220">
        <f t="shared" ca="1" si="608"/>
        <v>6.9259682716165116E-3</v>
      </c>
      <c r="AG1220">
        <f t="shared" ca="1" si="609"/>
        <v>0</v>
      </c>
      <c r="AH1220">
        <f ca="1">IFERROR(IF(V32="Supercritical",MAX($D$16,IFERROR(L1220,MAX($D$16,POWER((ABS(K1220)^2)/($I$5*MAX(F1220,0.1)^2),1/3)))),IF(V32="Subcritical",MAX($D$16,IFERROR(W1220,MAX($D$16,POWER((ABS(K1220)^2)/($I$5*MAX(F1220,0.1)^2),1/3)))),IF(AND(IFERROR(V1220,0)=1,IFERROR(AG1220,0)=1),IF(IFERROR(T1220,-1E+99)&gt;=IFERROR(AE1220,-1E+99),MAX($D$16,IFERROR(L1220,MAX($D$16,POWER((ABS(K1220)^2)/($I$5*MAX(F1220,0.1)^2),1/3)))),MAX($D$16,IFERROR(W1220,MAX($D$16,POWER((ABS(K1220)^2)/($I$5*MAX(F1220,0.1)^2),1/3))))),IF(IFERROR(V1220,0)=1,MAX($D$16,IFERROR(L1220,MAX($D$16,POWER((ABS(K1220)^2)/($I$5*MAX(F1220,0.1)^2),1/3)))),IF(IFERROR(AG1220,0)=1,MAX($D$16,IFERROR(W1220,MAX($D$16,POWER((ABS(K1220)^2)/($I$5*MAX(F1220,0.1)^2),1/3)))),MAX($D$16,POWER((ABS(K1220)^2)/($I$5*MAX(F1220,0.1)^2),1/3))))))),MAX($D$16,POWER((ABS(K1220)^2)/($I$5*MAX(F1220,0.1)^2),1/3)))</f>
        <v>2.1389677043987478</v>
      </c>
      <c r="AI1220">
        <f t="shared" ca="1" si="610"/>
        <v>634.12346770439876</v>
      </c>
      <c r="AJ1220">
        <f t="shared" ca="1" si="611"/>
        <v>635.19295155659813</v>
      </c>
      <c r="AM1220">
        <v>0</v>
      </c>
      <c r="AN1220">
        <v>0</v>
      </c>
      <c r="AO1220">
        <f t="shared" si="612"/>
        <v>0</v>
      </c>
      <c r="AP1220">
        <f t="shared" si="621"/>
        <v>0</v>
      </c>
      <c r="AQ1220">
        <f t="shared" ca="1" si="613"/>
        <v>1.0000000000000004</v>
      </c>
      <c r="AR1220" t="str">
        <f t="shared" ca="1" si="614"/>
        <v>Supercritical</v>
      </c>
      <c r="AS1220">
        <f t="shared" ca="1" si="615"/>
        <v>3.8141460404132466E-3</v>
      </c>
    </row>
    <row r="1221" spans="1:45" x14ac:dyDescent="0.35">
      <c r="A1221">
        <v>1160</v>
      </c>
      <c r="B1221">
        <v>1158.9949999999999</v>
      </c>
      <c r="C1221">
        <v>616074.57400000002</v>
      </c>
      <c r="D1221">
        <v>3096848.199</v>
      </c>
      <c r="E1221">
        <v>631.98400000000004</v>
      </c>
      <c r="F1221">
        <v>5.2</v>
      </c>
      <c r="G1221">
        <v>0</v>
      </c>
      <c r="H1221" t="s">
        <v>154</v>
      </c>
      <c r="I1221">
        <v>0</v>
      </c>
      <c r="J1221">
        <f t="shared" si="616"/>
        <v>0.99899999999979627</v>
      </c>
      <c r="K1221">
        <f t="shared" ca="1" si="617"/>
        <v>50.95</v>
      </c>
      <c r="L1221">
        <f t="shared" ca="1" si="618"/>
        <v>2.1389677043987478</v>
      </c>
      <c r="M1221">
        <f t="shared" ca="1" si="591"/>
        <v>11.122632062873489</v>
      </c>
      <c r="N1221">
        <f t="shared" ca="1" si="592"/>
        <v>1.1735290000551568</v>
      </c>
      <c r="O1221">
        <f t="shared" ca="1" si="593"/>
        <v>4.5807502857230418</v>
      </c>
      <c r="P1221">
        <f t="shared" ca="1" si="594"/>
        <v>634.12296770439877</v>
      </c>
      <c r="Q1221">
        <f t="shared" ca="1" si="595"/>
        <v>635.19245155659814</v>
      </c>
      <c r="R1221">
        <f t="shared" ca="1" si="596"/>
        <v>3.8141460404132466E-3</v>
      </c>
      <c r="S1221">
        <f t="shared" ca="1" si="597"/>
        <v>1.0000000000000004</v>
      </c>
      <c r="T1221">
        <f t="shared" ca="1" si="598"/>
        <v>35.686426155594638</v>
      </c>
      <c r="U1221">
        <f t="shared" ca="1" si="619"/>
        <v>-3.3103318943403792E-3</v>
      </c>
      <c r="V1221">
        <f t="shared" ca="1" si="620"/>
        <v>1</v>
      </c>
      <c r="W1221">
        <f t="shared" ca="1" si="599"/>
        <v>1.6812020916844324</v>
      </c>
      <c r="X1221">
        <f t="shared" ca="1" si="600"/>
        <v>8.7422508767590479</v>
      </c>
      <c r="Y1221">
        <f t="shared" ca="1" si="601"/>
        <v>1.0210042284314849</v>
      </c>
      <c r="Z1221">
        <f t="shared" ca="1" si="602"/>
        <v>5.8280185181425876</v>
      </c>
      <c r="AA1221">
        <f t="shared" ca="1" si="603"/>
        <v>633.66520209168448</v>
      </c>
      <c r="AB1221">
        <f t="shared" ca="1" si="604"/>
        <v>635.3963845507983</v>
      </c>
      <c r="AC1221">
        <f t="shared" ca="1" si="605"/>
        <v>7.4334023951790357E-3</v>
      </c>
      <c r="AD1221">
        <f t="shared" ca="1" si="606"/>
        <v>1.4350811452541474</v>
      </c>
      <c r="AE1221">
        <f t="shared" ca="1" si="607"/>
        <v>37.61760797205384</v>
      </c>
      <c r="AF1221">
        <f t="shared" ca="1" si="608"/>
        <v>6.9334023951341806E-3</v>
      </c>
      <c r="AG1221">
        <f t="shared" ca="1" si="609"/>
        <v>0</v>
      </c>
      <c r="AH1221">
        <f ca="1">IFERROR(IF(V32="Supercritical",MAX($D$16,IFERROR(L1221,MAX($D$16,POWER((ABS(K1221)^2)/($I$5*MAX(F1221,0.1)^2),1/3)))),IF(V32="Subcritical",MAX($D$16,IFERROR(W1221,MAX($D$16,POWER((ABS(K1221)^2)/($I$5*MAX(F1221,0.1)^2),1/3)))),IF(AND(IFERROR(V1221,0)=1,IFERROR(AG1221,0)=1),IF(IFERROR(T1221,-1E+99)&gt;=IFERROR(AE1221,-1E+99),MAX($D$16,IFERROR(L1221,MAX($D$16,POWER((ABS(K1221)^2)/($I$5*MAX(F1221,0.1)^2),1/3)))),MAX($D$16,IFERROR(W1221,MAX($D$16,POWER((ABS(K1221)^2)/($I$5*MAX(F1221,0.1)^2),1/3))))),IF(IFERROR(V1221,0)=1,MAX($D$16,IFERROR(L1221,MAX($D$16,POWER((ABS(K1221)^2)/($I$5*MAX(F1221,0.1)^2),1/3)))),IF(IFERROR(AG1221,0)=1,MAX($D$16,IFERROR(W1221,MAX($D$16,POWER((ABS(K1221)^2)/($I$5*MAX(F1221,0.1)^2),1/3)))),MAX($D$16,POWER((ABS(K1221)^2)/($I$5*MAX(F1221,0.1)^2),1/3))))))),MAX($D$16,POWER((ABS(K1221)^2)/($I$5*MAX(F1221,0.1)^2),1/3)))</f>
        <v>2.1389677043987478</v>
      </c>
      <c r="AI1221">
        <f t="shared" ca="1" si="610"/>
        <v>634.12296770439877</v>
      </c>
      <c r="AJ1221">
        <f t="shared" ca="1" si="611"/>
        <v>635.19245155659814</v>
      </c>
      <c r="AM1221">
        <v>0</v>
      </c>
      <c r="AN1221">
        <v>0</v>
      </c>
      <c r="AO1221">
        <f t="shared" si="612"/>
        <v>0</v>
      </c>
      <c r="AP1221">
        <f t="shared" si="621"/>
        <v>0</v>
      </c>
      <c r="AQ1221">
        <f t="shared" ca="1" si="613"/>
        <v>1.0000000000000004</v>
      </c>
      <c r="AR1221" t="str">
        <f t="shared" ca="1" si="614"/>
        <v>Supercritical</v>
      </c>
      <c r="AS1221">
        <f t="shared" ca="1" si="615"/>
        <v>3.8141460404132466E-3</v>
      </c>
    </row>
    <row r="1222" spans="1:45" x14ac:dyDescent="0.35">
      <c r="A1222">
        <v>1161</v>
      </c>
      <c r="B1222">
        <v>1159.9949999999999</v>
      </c>
      <c r="C1222">
        <v>616074.53200000001</v>
      </c>
      <c r="D1222">
        <v>3096847.2</v>
      </c>
      <c r="E1222">
        <v>631.98350000000005</v>
      </c>
      <c r="F1222">
        <v>5.2</v>
      </c>
      <c r="G1222">
        <v>0</v>
      </c>
      <c r="H1222" t="s">
        <v>154</v>
      </c>
      <c r="I1222">
        <v>0</v>
      </c>
      <c r="J1222">
        <f t="shared" si="616"/>
        <v>1</v>
      </c>
      <c r="K1222">
        <f t="shared" ca="1" si="617"/>
        <v>50.95</v>
      </c>
      <c r="L1222">
        <f t="shared" ca="1" si="618"/>
        <v>2.1389677043987478</v>
      </c>
      <c r="M1222">
        <f t="shared" ca="1" si="591"/>
        <v>11.122632062873489</v>
      </c>
      <c r="N1222">
        <f t="shared" ca="1" si="592"/>
        <v>1.1735290000551568</v>
      </c>
      <c r="O1222">
        <f t="shared" ca="1" si="593"/>
        <v>4.5807502857230418</v>
      </c>
      <c r="P1222">
        <f t="shared" ca="1" si="594"/>
        <v>634.12246770439879</v>
      </c>
      <c r="Q1222">
        <f t="shared" ca="1" si="595"/>
        <v>635.19195155659816</v>
      </c>
      <c r="R1222">
        <f t="shared" ca="1" si="596"/>
        <v>3.8141460404132466E-3</v>
      </c>
      <c r="S1222">
        <f t="shared" ca="1" si="597"/>
        <v>1.0000000000000004</v>
      </c>
      <c r="T1222">
        <f t="shared" ca="1" si="598"/>
        <v>35.686426155594638</v>
      </c>
      <c r="U1222">
        <f t="shared" ca="1" si="619"/>
        <v>-3.3141460404522149E-3</v>
      </c>
      <c r="V1222">
        <f t="shared" ca="1" si="620"/>
        <v>1</v>
      </c>
      <c r="W1222">
        <f t="shared" ca="1" si="599"/>
        <v>1.6812020373706309</v>
      </c>
      <c r="X1222">
        <f t="shared" ca="1" si="600"/>
        <v>8.742250594327281</v>
      </c>
      <c r="Y1222">
        <f t="shared" ca="1" si="601"/>
        <v>1.0210042083994328</v>
      </c>
      <c r="Z1222">
        <f t="shared" ca="1" si="602"/>
        <v>5.8280187064256328</v>
      </c>
      <c r="AA1222">
        <f t="shared" ca="1" si="603"/>
        <v>633.66470203737072</v>
      </c>
      <c r="AB1222">
        <f t="shared" ca="1" si="604"/>
        <v>635.39588460834148</v>
      </c>
      <c r="AC1222">
        <f t="shared" ca="1" si="605"/>
        <v>7.4334030699312222E-3</v>
      </c>
      <c r="AD1222">
        <f t="shared" ca="1" si="606"/>
        <v>1.4350812147978826</v>
      </c>
      <c r="AE1222">
        <f t="shared" ca="1" si="607"/>
        <v>37.617608475110842</v>
      </c>
      <c r="AF1222">
        <f t="shared" ca="1" si="608"/>
        <v>7.0920948055572808E-3</v>
      </c>
      <c r="AG1222">
        <f t="shared" ca="1" si="609"/>
        <v>0</v>
      </c>
      <c r="AH1222">
        <f ca="1">IFERROR(IF(V32="Supercritical",MAX($D$16,IFERROR(L1222,MAX($D$16,POWER((ABS(K1222)^2)/($I$5*MAX(F1222,0.1)^2),1/3)))),IF(V32="Subcritical",MAX($D$16,IFERROR(W1222,MAX($D$16,POWER((ABS(K1222)^2)/($I$5*MAX(F1222,0.1)^2),1/3)))),IF(AND(IFERROR(V1222,0)=1,IFERROR(AG1222,0)=1),IF(IFERROR(T1222,-1E+99)&gt;=IFERROR(AE1222,-1E+99),MAX($D$16,IFERROR(L1222,MAX($D$16,POWER((ABS(K1222)^2)/($I$5*MAX(F1222,0.1)^2),1/3)))),MAX($D$16,IFERROR(W1222,MAX($D$16,POWER((ABS(K1222)^2)/($I$5*MAX(F1222,0.1)^2),1/3))))),IF(IFERROR(V1222,0)=1,MAX($D$16,IFERROR(L1222,MAX($D$16,POWER((ABS(K1222)^2)/($I$5*MAX(F1222,0.1)^2),1/3)))),IF(IFERROR(AG1222,0)=1,MAX($D$16,IFERROR(W1222,MAX($D$16,POWER((ABS(K1222)^2)/($I$5*MAX(F1222,0.1)^2),1/3)))),MAX($D$16,POWER((ABS(K1222)^2)/($I$5*MAX(F1222,0.1)^2),1/3))))))),MAX($D$16,POWER((ABS(K1222)^2)/($I$5*MAX(F1222,0.1)^2),1/3)))</f>
        <v>2.1389677043987478</v>
      </c>
      <c r="AI1222">
        <f t="shared" ca="1" si="610"/>
        <v>634.12246770439879</v>
      </c>
      <c r="AJ1222">
        <f t="shared" ca="1" si="611"/>
        <v>635.19195155659816</v>
      </c>
      <c r="AM1222">
        <v>0</v>
      </c>
      <c r="AN1222">
        <v>0</v>
      </c>
      <c r="AO1222">
        <f t="shared" si="612"/>
        <v>0</v>
      </c>
      <c r="AP1222">
        <f t="shared" si="621"/>
        <v>0</v>
      </c>
      <c r="AQ1222">
        <f t="shared" ca="1" si="613"/>
        <v>1.0000000000000004</v>
      </c>
      <c r="AR1222" t="str">
        <f t="shared" ca="1" si="614"/>
        <v>Supercritical</v>
      </c>
      <c r="AS1222">
        <f t="shared" ca="1" si="615"/>
        <v>3.8141460404132466E-3</v>
      </c>
    </row>
    <row r="1223" spans="1:45" x14ac:dyDescent="0.35">
      <c r="A1223">
        <v>1162</v>
      </c>
      <c r="B1223">
        <v>1160.9949999999999</v>
      </c>
      <c r="C1223">
        <v>616074.49</v>
      </c>
      <c r="D1223">
        <v>3096846.2009999999</v>
      </c>
      <c r="E1223">
        <v>631.98299999999995</v>
      </c>
      <c r="F1223">
        <v>5.2</v>
      </c>
      <c r="G1223">
        <v>0</v>
      </c>
      <c r="H1223" t="s">
        <v>154</v>
      </c>
      <c r="I1223">
        <v>5.5E-2</v>
      </c>
      <c r="J1223">
        <f t="shared" si="616"/>
        <v>1</v>
      </c>
      <c r="K1223">
        <f t="shared" ca="1" si="617"/>
        <v>50.95</v>
      </c>
      <c r="L1223">
        <f t="shared" ca="1" si="618"/>
        <v>2.1389677043987478</v>
      </c>
      <c r="M1223">
        <f t="shared" ca="1" si="591"/>
        <v>11.122632062873489</v>
      </c>
      <c r="N1223">
        <f t="shared" ca="1" si="592"/>
        <v>1.1735290000551568</v>
      </c>
      <c r="O1223">
        <f t="shared" ca="1" si="593"/>
        <v>4.5807502857230418</v>
      </c>
      <c r="P1223">
        <f t="shared" ca="1" si="594"/>
        <v>634.12196770439868</v>
      </c>
      <c r="Q1223">
        <f t="shared" ca="1" si="595"/>
        <v>635.19145155659805</v>
      </c>
      <c r="R1223">
        <f t="shared" ca="1" si="596"/>
        <v>3.8141460404132466E-3</v>
      </c>
      <c r="S1223">
        <f t="shared" ca="1" si="597"/>
        <v>1.0000000000000004</v>
      </c>
      <c r="T1223">
        <f t="shared" ca="1" si="598"/>
        <v>35.686426155594638</v>
      </c>
      <c r="U1223">
        <f t="shared" ca="1" si="619"/>
        <v>-3.4121820601740183E-3</v>
      </c>
      <c r="V1223">
        <f t="shared" ca="1" si="620"/>
        <v>1</v>
      </c>
      <c r="W1223">
        <f t="shared" ca="1" si="599"/>
        <v>1.6812019866041317</v>
      </c>
      <c r="X1223">
        <f t="shared" ca="1" si="600"/>
        <v>8.7422503303414842</v>
      </c>
      <c r="Y1223">
        <f t="shared" ca="1" si="601"/>
        <v>1.0210041896756985</v>
      </c>
      <c r="Z1223">
        <f t="shared" ca="1" si="602"/>
        <v>5.8280188824116896</v>
      </c>
      <c r="AA1223">
        <f t="shared" ca="1" si="603"/>
        <v>633.6642019866041</v>
      </c>
      <c r="AB1223">
        <f t="shared" ca="1" si="604"/>
        <v>635.39538466212639</v>
      </c>
      <c r="AC1223">
        <f t="shared" ca="1" si="605"/>
        <v>7.4334037006145862E-3</v>
      </c>
      <c r="AD1223">
        <f t="shared" ca="1" si="606"/>
        <v>1.4350812797996348</v>
      </c>
      <c r="AE1223">
        <f t="shared" ca="1" si="607"/>
        <v>37.617608945312632</v>
      </c>
      <c r="AF1223">
        <f t="shared" ca="1" si="608"/>
        <v>7.0995288496078501E-3</v>
      </c>
      <c r="AG1223">
        <f t="shared" ca="1" si="609"/>
        <v>0</v>
      </c>
      <c r="AH1223">
        <f ca="1">IFERROR(IF(V32="Supercritical",MAX($D$16,IFERROR(L1223,MAX($D$16,POWER((ABS(K1223)^2)/($I$5*MAX(F1223,0.1)^2),1/3)))),IF(V32="Subcritical",MAX($D$16,IFERROR(W1223,MAX($D$16,POWER((ABS(K1223)^2)/($I$5*MAX(F1223,0.1)^2),1/3)))),IF(AND(IFERROR(V1223,0)=1,IFERROR(AG1223,0)=1),IF(IFERROR(T1223,-1E+99)&gt;=IFERROR(AE1223,-1E+99),MAX($D$16,IFERROR(L1223,MAX($D$16,POWER((ABS(K1223)^2)/($I$5*MAX(F1223,0.1)^2),1/3)))),MAX($D$16,IFERROR(W1223,MAX($D$16,POWER((ABS(K1223)^2)/($I$5*MAX(F1223,0.1)^2),1/3))))),IF(IFERROR(V1223,0)=1,MAX($D$16,IFERROR(L1223,MAX($D$16,POWER((ABS(K1223)^2)/($I$5*MAX(F1223,0.1)^2),1/3)))),IF(IFERROR(AG1223,0)=1,MAX($D$16,IFERROR(W1223,MAX($D$16,POWER((ABS(K1223)^2)/($I$5*MAX(F1223,0.1)^2),1/3)))),MAX($D$16,POWER((ABS(K1223)^2)/($I$5*MAX(F1223,0.1)^2),1/3))))))),MAX($D$16,POWER((ABS(K1223)^2)/($I$5*MAX(F1223,0.1)^2),1/3)))</f>
        <v>2.1389677043987478</v>
      </c>
      <c r="AI1223">
        <f t="shared" ca="1" si="610"/>
        <v>634.12196770439868</v>
      </c>
      <c r="AJ1223">
        <f t="shared" ca="1" si="611"/>
        <v>635.19145155659805</v>
      </c>
      <c r="AM1223">
        <v>0</v>
      </c>
      <c r="AN1223">
        <v>0</v>
      </c>
      <c r="AO1223">
        <f t="shared" si="612"/>
        <v>0</v>
      </c>
      <c r="AP1223">
        <f t="shared" si="621"/>
        <v>0</v>
      </c>
      <c r="AQ1223">
        <f t="shared" ca="1" si="613"/>
        <v>1.0000000000000004</v>
      </c>
      <c r="AR1223" t="str">
        <f t="shared" ca="1" si="614"/>
        <v>Supercritical</v>
      </c>
      <c r="AS1223">
        <f t="shared" ca="1" si="615"/>
        <v>3.8141460404132466E-3</v>
      </c>
    </row>
    <row r="1224" spans="1:45" x14ac:dyDescent="0.35">
      <c r="A1224">
        <v>1163</v>
      </c>
      <c r="B1224">
        <v>1161.9960000000001</v>
      </c>
      <c r="C1224">
        <v>616074.44700000004</v>
      </c>
      <c r="D1224">
        <v>3096845.2009999999</v>
      </c>
      <c r="E1224">
        <v>631.98249999999996</v>
      </c>
      <c r="F1224">
        <v>5.2</v>
      </c>
      <c r="G1224">
        <v>0</v>
      </c>
      <c r="H1224" t="s">
        <v>154</v>
      </c>
      <c r="I1224">
        <v>5.5E-2</v>
      </c>
      <c r="J1224">
        <f t="shared" si="616"/>
        <v>1.0010000000002037</v>
      </c>
      <c r="K1224">
        <f t="shared" ca="1" si="617"/>
        <v>50.95</v>
      </c>
      <c r="L1224">
        <f t="shared" ca="1" si="618"/>
        <v>2.1389677043987478</v>
      </c>
      <c r="M1224">
        <f t="shared" ca="1" si="591"/>
        <v>11.122632062873489</v>
      </c>
      <c r="N1224">
        <f t="shared" ca="1" si="592"/>
        <v>1.1735290000551568</v>
      </c>
      <c r="O1224">
        <f t="shared" ca="1" si="593"/>
        <v>4.5807502857230418</v>
      </c>
      <c r="P1224">
        <f t="shared" ca="1" si="594"/>
        <v>634.1214677043987</v>
      </c>
      <c r="Q1224">
        <f t="shared" ca="1" si="595"/>
        <v>635.19095155659807</v>
      </c>
      <c r="R1224">
        <f t="shared" ca="1" si="596"/>
        <v>3.8141460404132466E-3</v>
      </c>
      <c r="S1224">
        <f t="shared" ca="1" si="597"/>
        <v>1.0000000000000004</v>
      </c>
      <c r="T1224">
        <f t="shared" ca="1" si="598"/>
        <v>35.686426155594638</v>
      </c>
      <c r="U1224">
        <f t="shared" ca="1" si="619"/>
        <v>-3.415996206285854E-3</v>
      </c>
      <c r="V1224">
        <f t="shared" ca="1" si="620"/>
        <v>1</v>
      </c>
      <c r="W1224">
        <f t="shared" ca="1" si="599"/>
        <v>1.6812019391532693</v>
      </c>
      <c r="X1224">
        <f t="shared" ca="1" si="600"/>
        <v>8.7422500835970016</v>
      </c>
      <c r="Y1224">
        <f t="shared" ca="1" si="601"/>
        <v>1.0210041721748395</v>
      </c>
      <c r="Z1224">
        <f t="shared" ca="1" si="602"/>
        <v>5.8280190469038384</v>
      </c>
      <c r="AA1224">
        <f t="shared" ca="1" si="603"/>
        <v>633.66370193915327</v>
      </c>
      <c r="AB1224">
        <f t="shared" ca="1" si="604"/>
        <v>635.39488471239861</v>
      </c>
      <c r="AC1224">
        <f t="shared" ca="1" si="605"/>
        <v>7.4334042901071226E-3</v>
      </c>
      <c r="AD1224">
        <f t="shared" ca="1" si="606"/>
        <v>1.4350813405560285</v>
      </c>
      <c r="AE1224">
        <f t="shared" ca="1" si="607"/>
        <v>37.617609384804894</v>
      </c>
      <c r="AF1224">
        <f t="shared" ca="1" si="608"/>
        <v>6.9334042900663917E-3</v>
      </c>
      <c r="AG1224">
        <f t="shared" ca="1" si="609"/>
        <v>0</v>
      </c>
      <c r="AH1224">
        <f ca="1">IFERROR(IF(V32="Supercritical",MAX($D$16,IFERROR(L1224,MAX($D$16,POWER((ABS(K1224)^2)/($I$5*MAX(F1224,0.1)^2),1/3)))),IF(V32="Subcritical",MAX($D$16,IFERROR(W1224,MAX($D$16,POWER((ABS(K1224)^2)/($I$5*MAX(F1224,0.1)^2),1/3)))),IF(AND(IFERROR(V1224,0)=1,IFERROR(AG1224,0)=1),IF(IFERROR(T1224,-1E+99)&gt;=IFERROR(AE1224,-1E+99),MAX($D$16,IFERROR(L1224,MAX($D$16,POWER((ABS(K1224)^2)/($I$5*MAX(F1224,0.1)^2),1/3)))),MAX($D$16,IFERROR(W1224,MAX($D$16,POWER((ABS(K1224)^2)/($I$5*MAX(F1224,0.1)^2),1/3))))),IF(IFERROR(V1224,0)=1,MAX($D$16,IFERROR(L1224,MAX($D$16,POWER((ABS(K1224)^2)/($I$5*MAX(F1224,0.1)^2),1/3)))),IF(IFERROR(AG1224,0)=1,MAX($D$16,IFERROR(W1224,MAX($D$16,POWER((ABS(K1224)^2)/($I$5*MAX(F1224,0.1)^2),1/3)))),MAX($D$16,POWER((ABS(K1224)^2)/($I$5*MAX(F1224,0.1)^2),1/3))))))),MAX($D$16,POWER((ABS(K1224)^2)/($I$5*MAX(F1224,0.1)^2),1/3)))</f>
        <v>2.1389677043987478</v>
      </c>
      <c r="AI1224">
        <f t="shared" ca="1" si="610"/>
        <v>634.1214677043987</v>
      </c>
      <c r="AJ1224">
        <f t="shared" ca="1" si="611"/>
        <v>635.19095155659807</v>
      </c>
      <c r="AM1224">
        <v>0</v>
      </c>
      <c r="AN1224">
        <v>0</v>
      </c>
      <c r="AO1224">
        <f t="shared" si="612"/>
        <v>0</v>
      </c>
      <c r="AP1224">
        <f t="shared" si="621"/>
        <v>0</v>
      </c>
      <c r="AQ1224">
        <f t="shared" ca="1" si="613"/>
        <v>1.0000000000000004</v>
      </c>
      <c r="AR1224" t="str">
        <f t="shared" ca="1" si="614"/>
        <v>Supercritical</v>
      </c>
      <c r="AS1224">
        <f t="shared" ca="1" si="615"/>
        <v>3.8141460404132466E-3</v>
      </c>
    </row>
    <row r="1225" spans="1:45" x14ac:dyDescent="0.35">
      <c r="A1225">
        <v>1164</v>
      </c>
      <c r="B1225">
        <v>1162.9960000000001</v>
      </c>
      <c r="C1225">
        <v>616074.40500000003</v>
      </c>
      <c r="D1225">
        <v>3096844.202</v>
      </c>
      <c r="E1225">
        <v>631.98199999999997</v>
      </c>
      <c r="F1225">
        <v>5.2</v>
      </c>
      <c r="G1225">
        <v>0</v>
      </c>
      <c r="H1225" t="s">
        <v>154</v>
      </c>
      <c r="I1225">
        <v>0</v>
      </c>
      <c r="J1225">
        <f t="shared" si="616"/>
        <v>1</v>
      </c>
      <c r="K1225">
        <f t="shared" ca="1" si="617"/>
        <v>50.95</v>
      </c>
      <c r="L1225">
        <f t="shared" ca="1" si="618"/>
        <v>2.1389677043987478</v>
      </c>
      <c r="M1225">
        <f t="shared" ca="1" si="591"/>
        <v>11.122632062873489</v>
      </c>
      <c r="N1225">
        <f t="shared" ca="1" si="592"/>
        <v>1.1735290000551568</v>
      </c>
      <c r="O1225">
        <f t="shared" ca="1" si="593"/>
        <v>4.5807502857230418</v>
      </c>
      <c r="P1225">
        <f t="shared" ca="1" si="594"/>
        <v>634.12096770439871</v>
      </c>
      <c r="Q1225">
        <f t="shared" ca="1" si="595"/>
        <v>635.19045155659808</v>
      </c>
      <c r="R1225">
        <f t="shared" ca="1" si="596"/>
        <v>3.8141460404132466E-3</v>
      </c>
      <c r="S1225">
        <f t="shared" ca="1" si="597"/>
        <v>1.0000000000000004</v>
      </c>
      <c r="T1225">
        <f t="shared" ca="1" si="598"/>
        <v>35.686426155594638</v>
      </c>
      <c r="U1225">
        <f t="shared" ca="1" si="619"/>
        <v>-3.3141460404522149E-3</v>
      </c>
      <c r="V1225">
        <f t="shared" ca="1" si="620"/>
        <v>1</v>
      </c>
      <c r="W1225">
        <f t="shared" ca="1" si="599"/>
        <v>1.6812018948014702</v>
      </c>
      <c r="X1225">
        <f t="shared" ca="1" si="600"/>
        <v>8.742249852967646</v>
      </c>
      <c r="Y1225">
        <f t="shared" ca="1" si="601"/>
        <v>1.0210041558169782</v>
      </c>
      <c r="Z1225">
        <f t="shared" ca="1" si="602"/>
        <v>5.8280192006528511</v>
      </c>
      <c r="AA1225">
        <f t="shared" ca="1" si="603"/>
        <v>633.66320189480143</v>
      </c>
      <c r="AB1225">
        <f t="shared" ca="1" si="604"/>
        <v>635.39438475938744</v>
      </c>
      <c r="AC1225">
        <f t="shared" ca="1" si="605"/>
        <v>7.4334048410993796E-3</v>
      </c>
      <c r="AD1225">
        <f t="shared" ca="1" si="606"/>
        <v>1.4350813973443652</v>
      </c>
      <c r="AE1225">
        <f t="shared" ca="1" si="607"/>
        <v>37.617609795593538</v>
      </c>
      <c r="AF1225">
        <f t="shared" ca="1" si="608"/>
        <v>6.9334048411064941E-3</v>
      </c>
      <c r="AG1225">
        <f t="shared" ca="1" si="609"/>
        <v>0</v>
      </c>
      <c r="AH1225">
        <f ca="1">IFERROR(IF(V32="Supercritical",MAX($D$16,IFERROR(L1225,MAX($D$16,POWER((ABS(K1225)^2)/($I$5*MAX(F1225,0.1)^2),1/3)))),IF(V32="Subcritical",MAX($D$16,IFERROR(W1225,MAX($D$16,POWER((ABS(K1225)^2)/($I$5*MAX(F1225,0.1)^2),1/3)))),IF(AND(IFERROR(V1225,0)=1,IFERROR(AG1225,0)=1),IF(IFERROR(T1225,-1E+99)&gt;=IFERROR(AE1225,-1E+99),MAX($D$16,IFERROR(L1225,MAX($D$16,POWER((ABS(K1225)^2)/($I$5*MAX(F1225,0.1)^2),1/3)))),MAX($D$16,IFERROR(W1225,MAX($D$16,POWER((ABS(K1225)^2)/($I$5*MAX(F1225,0.1)^2),1/3))))),IF(IFERROR(V1225,0)=1,MAX($D$16,IFERROR(L1225,MAX($D$16,POWER((ABS(K1225)^2)/($I$5*MAX(F1225,0.1)^2),1/3)))),IF(IFERROR(AG1225,0)=1,MAX($D$16,IFERROR(W1225,MAX($D$16,POWER((ABS(K1225)^2)/($I$5*MAX(F1225,0.1)^2),1/3)))),MAX($D$16,POWER((ABS(K1225)^2)/($I$5*MAX(F1225,0.1)^2),1/3))))))),MAX($D$16,POWER((ABS(K1225)^2)/($I$5*MAX(F1225,0.1)^2),1/3)))</f>
        <v>2.1389677043987478</v>
      </c>
      <c r="AI1225">
        <f t="shared" ca="1" si="610"/>
        <v>634.12096770439871</v>
      </c>
      <c r="AJ1225">
        <f t="shared" ca="1" si="611"/>
        <v>635.19045155659808</v>
      </c>
      <c r="AM1225">
        <v>0</v>
      </c>
      <c r="AN1225">
        <v>0</v>
      </c>
      <c r="AO1225">
        <f t="shared" si="612"/>
        <v>0</v>
      </c>
      <c r="AP1225">
        <f t="shared" si="621"/>
        <v>0</v>
      </c>
      <c r="AQ1225">
        <f t="shared" ca="1" si="613"/>
        <v>1.0000000000000004</v>
      </c>
      <c r="AR1225" t="str">
        <f t="shared" ca="1" si="614"/>
        <v>Supercritical</v>
      </c>
      <c r="AS1225">
        <f t="shared" ca="1" si="615"/>
        <v>3.8141460404132466E-3</v>
      </c>
    </row>
    <row r="1226" spans="1:45" x14ac:dyDescent="0.35">
      <c r="A1226">
        <v>1165</v>
      </c>
      <c r="B1226">
        <v>1163.9960000000001</v>
      </c>
      <c r="C1226">
        <v>616074.36300000001</v>
      </c>
      <c r="D1226">
        <v>3096843.2030000002</v>
      </c>
      <c r="E1226">
        <v>631.98149999999998</v>
      </c>
      <c r="F1226">
        <v>5.2</v>
      </c>
      <c r="G1226">
        <v>0</v>
      </c>
      <c r="H1226" t="s">
        <v>154</v>
      </c>
      <c r="I1226">
        <v>0</v>
      </c>
      <c r="J1226">
        <f t="shared" si="616"/>
        <v>1</v>
      </c>
      <c r="K1226">
        <f t="shared" ca="1" si="617"/>
        <v>50.95</v>
      </c>
      <c r="L1226">
        <f t="shared" ca="1" si="618"/>
        <v>2.1389677043987478</v>
      </c>
      <c r="M1226">
        <f t="shared" ca="1" si="591"/>
        <v>11.122632062873489</v>
      </c>
      <c r="N1226">
        <f t="shared" ca="1" si="592"/>
        <v>1.1735290000551568</v>
      </c>
      <c r="O1226">
        <f t="shared" ca="1" si="593"/>
        <v>4.5807502857230418</v>
      </c>
      <c r="P1226">
        <f t="shared" ca="1" si="594"/>
        <v>634.12046770439872</v>
      </c>
      <c r="Q1226">
        <f t="shared" ca="1" si="595"/>
        <v>635.18995155659809</v>
      </c>
      <c r="R1226">
        <f t="shared" ca="1" si="596"/>
        <v>3.8141460404132466E-3</v>
      </c>
      <c r="S1226">
        <f t="shared" ca="1" si="597"/>
        <v>1.0000000000000004</v>
      </c>
      <c r="T1226">
        <f t="shared" ca="1" si="598"/>
        <v>35.686426155594638</v>
      </c>
      <c r="U1226">
        <f t="shared" ca="1" si="619"/>
        <v>-3.3141460404522149E-3</v>
      </c>
      <c r="V1226">
        <f t="shared" ca="1" si="620"/>
        <v>1</v>
      </c>
      <c r="W1226">
        <f t="shared" ca="1" si="599"/>
        <v>1.6812018533463493</v>
      </c>
      <c r="X1226">
        <f t="shared" ca="1" si="600"/>
        <v>8.7422496374010166</v>
      </c>
      <c r="Y1226">
        <f t="shared" ca="1" si="601"/>
        <v>1.0210041405274717</v>
      </c>
      <c r="Z1226">
        <f t="shared" ca="1" si="602"/>
        <v>5.8280193443603068</v>
      </c>
      <c r="AA1226">
        <f t="shared" ca="1" si="603"/>
        <v>633.66270185334633</v>
      </c>
      <c r="AB1226">
        <f t="shared" ca="1" si="604"/>
        <v>635.39388480330751</v>
      </c>
      <c r="AC1226">
        <f t="shared" ca="1" si="605"/>
        <v>7.43340535610561E-3</v>
      </c>
      <c r="AD1226">
        <f t="shared" ca="1" si="606"/>
        <v>1.4350814504237799</v>
      </c>
      <c r="AE1226">
        <f t="shared" ca="1" si="607"/>
        <v>37.617610179553047</v>
      </c>
      <c r="AF1226">
        <f t="shared" ca="1" si="608"/>
        <v>7.0978677363200404E-3</v>
      </c>
      <c r="AG1226">
        <f t="shared" ca="1" si="609"/>
        <v>0</v>
      </c>
      <c r="AH1226">
        <f ca="1">IFERROR(IF(V32="Supercritical",MAX($D$16,IFERROR(L1226,MAX($D$16,POWER((ABS(K1226)^2)/($I$5*MAX(F1226,0.1)^2),1/3)))),IF(V32="Subcritical",MAX($D$16,IFERROR(W1226,MAX($D$16,POWER((ABS(K1226)^2)/($I$5*MAX(F1226,0.1)^2),1/3)))),IF(AND(IFERROR(V1226,0)=1,IFERROR(AG1226,0)=1),IF(IFERROR(T1226,-1E+99)&gt;=IFERROR(AE1226,-1E+99),MAX($D$16,IFERROR(L1226,MAX($D$16,POWER((ABS(K1226)^2)/($I$5*MAX(F1226,0.1)^2),1/3)))),MAX($D$16,IFERROR(W1226,MAX($D$16,POWER((ABS(K1226)^2)/($I$5*MAX(F1226,0.1)^2),1/3))))),IF(IFERROR(V1226,0)=1,MAX($D$16,IFERROR(L1226,MAX($D$16,POWER((ABS(K1226)^2)/($I$5*MAX(F1226,0.1)^2),1/3)))),IF(IFERROR(AG1226,0)=1,MAX($D$16,IFERROR(W1226,MAX($D$16,POWER((ABS(K1226)^2)/($I$5*MAX(F1226,0.1)^2),1/3)))),MAX($D$16,POWER((ABS(K1226)^2)/($I$5*MAX(F1226,0.1)^2),1/3))))))),MAX($D$16,POWER((ABS(K1226)^2)/($I$5*MAX(F1226,0.1)^2),1/3)))</f>
        <v>2.1389677043987478</v>
      </c>
      <c r="AI1226">
        <f t="shared" ca="1" si="610"/>
        <v>634.12046770439872</v>
      </c>
      <c r="AJ1226">
        <f t="shared" ca="1" si="611"/>
        <v>635.18995155659809</v>
      </c>
      <c r="AM1226">
        <v>0</v>
      </c>
      <c r="AN1226">
        <v>0</v>
      </c>
      <c r="AO1226">
        <f t="shared" si="612"/>
        <v>0</v>
      </c>
      <c r="AP1226">
        <f t="shared" si="621"/>
        <v>0</v>
      </c>
      <c r="AQ1226">
        <f t="shared" ca="1" si="613"/>
        <v>1.0000000000000004</v>
      </c>
      <c r="AR1226" t="str">
        <f t="shared" ca="1" si="614"/>
        <v>Supercritical</v>
      </c>
      <c r="AS1226">
        <f t="shared" ca="1" si="615"/>
        <v>3.8141460404132466E-3</v>
      </c>
    </row>
    <row r="1227" spans="1:45" x14ac:dyDescent="0.35">
      <c r="A1227">
        <v>1166</v>
      </c>
      <c r="B1227">
        <v>1164.9960000000001</v>
      </c>
      <c r="C1227">
        <v>616074.321</v>
      </c>
      <c r="D1227">
        <v>3096842.2039999999</v>
      </c>
      <c r="E1227">
        <v>631.98099999999999</v>
      </c>
      <c r="F1227">
        <v>5.2</v>
      </c>
      <c r="G1227">
        <v>0</v>
      </c>
      <c r="H1227" t="s">
        <v>154</v>
      </c>
      <c r="I1227">
        <v>5.7000000000000002E-2</v>
      </c>
      <c r="J1227">
        <f t="shared" si="616"/>
        <v>1</v>
      </c>
      <c r="K1227">
        <f t="shared" ca="1" si="617"/>
        <v>50.95</v>
      </c>
      <c r="L1227">
        <f t="shared" ca="1" si="618"/>
        <v>2.1389677043987478</v>
      </c>
      <c r="M1227">
        <f t="shared" ca="1" si="591"/>
        <v>11.122632062873489</v>
      </c>
      <c r="N1227">
        <f t="shared" ca="1" si="592"/>
        <v>1.1735290000551568</v>
      </c>
      <c r="O1227">
        <f t="shared" ca="1" si="593"/>
        <v>4.5807502857230418</v>
      </c>
      <c r="P1227">
        <f t="shared" ca="1" si="594"/>
        <v>634.11996770439873</v>
      </c>
      <c r="Q1227">
        <f t="shared" ca="1" si="595"/>
        <v>635.1894515565981</v>
      </c>
      <c r="R1227">
        <f t="shared" ca="1" si="596"/>
        <v>3.8141460404132466E-3</v>
      </c>
      <c r="S1227">
        <f t="shared" ca="1" si="597"/>
        <v>1.0000000000000004</v>
      </c>
      <c r="T1227">
        <f t="shared" ca="1" si="598"/>
        <v>35.686426155594638</v>
      </c>
      <c r="U1227">
        <f t="shared" ca="1" si="619"/>
        <v>-3.4157470064428708E-3</v>
      </c>
      <c r="V1227">
        <f t="shared" ca="1" si="620"/>
        <v>1</v>
      </c>
      <c r="W1227">
        <f t="shared" ca="1" si="599"/>
        <v>1.6812018145987373</v>
      </c>
      <c r="X1227">
        <f t="shared" ca="1" si="600"/>
        <v>8.7422494359134344</v>
      </c>
      <c r="Y1227">
        <f t="shared" ca="1" si="601"/>
        <v>1.0210041262365503</v>
      </c>
      <c r="Z1227">
        <f t="shared" ca="1" si="602"/>
        <v>5.8280194786819752</v>
      </c>
      <c r="AA1227">
        <f t="shared" ca="1" si="603"/>
        <v>633.66220181459869</v>
      </c>
      <c r="AB1227">
        <f t="shared" ca="1" si="604"/>
        <v>635.39338484435893</v>
      </c>
      <c r="AC1227">
        <f t="shared" ca="1" si="605"/>
        <v>7.4334058374758948E-3</v>
      </c>
      <c r="AD1227">
        <f t="shared" ca="1" si="606"/>
        <v>1.4350815000364847</v>
      </c>
      <c r="AE1227">
        <f t="shared" ca="1" si="607"/>
        <v>37.6176105384355</v>
      </c>
      <c r="AF1227">
        <f t="shared" ca="1" si="608"/>
        <v>7.0978682252871295E-3</v>
      </c>
      <c r="AG1227">
        <f t="shared" ca="1" si="609"/>
        <v>0</v>
      </c>
      <c r="AH1227">
        <f ca="1">IFERROR(IF(V32="Supercritical",MAX($D$16,IFERROR(L1227,MAX($D$16,POWER((ABS(K1227)^2)/($I$5*MAX(F1227,0.1)^2),1/3)))),IF(V32="Subcritical",MAX($D$16,IFERROR(W1227,MAX($D$16,POWER((ABS(K1227)^2)/($I$5*MAX(F1227,0.1)^2),1/3)))),IF(AND(IFERROR(V1227,0)=1,IFERROR(AG1227,0)=1),IF(IFERROR(T1227,-1E+99)&gt;=IFERROR(AE1227,-1E+99),MAX($D$16,IFERROR(L1227,MAX($D$16,POWER((ABS(K1227)^2)/($I$5*MAX(F1227,0.1)^2),1/3)))),MAX($D$16,IFERROR(W1227,MAX($D$16,POWER((ABS(K1227)^2)/($I$5*MAX(F1227,0.1)^2),1/3))))),IF(IFERROR(V1227,0)=1,MAX($D$16,IFERROR(L1227,MAX($D$16,POWER((ABS(K1227)^2)/($I$5*MAX(F1227,0.1)^2),1/3)))),IF(IFERROR(AG1227,0)=1,MAX($D$16,IFERROR(W1227,MAX($D$16,POWER((ABS(K1227)^2)/($I$5*MAX(F1227,0.1)^2),1/3)))),MAX($D$16,POWER((ABS(K1227)^2)/($I$5*MAX(F1227,0.1)^2),1/3))))))),MAX($D$16,POWER((ABS(K1227)^2)/($I$5*MAX(F1227,0.1)^2),1/3)))</f>
        <v>2.1389677043987478</v>
      </c>
      <c r="AI1227">
        <f t="shared" ca="1" si="610"/>
        <v>634.11996770439873</v>
      </c>
      <c r="AJ1227">
        <f t="shared" ca="1" si="611"/>
        <v>635.1894515565981</v>
      </c>
      <c r="AM1227">
        <v>0</v>
      </c>
      <c r="AN1227">
        <v>0</v>
      </c>
      <c r="AO1227">
        <f t="shared" si="612"/>
        <v>0</v>
      </c>
      <c r="AP1227">
        <f t="shared" si="621"/>
        <v>0</v>
      </c>
      <c r="AQ1227">
        <f t="shared" ca="1" si="613"/>
        <v>1.0000000000000004</v>
      </c>
      <c r="AR1227" t="str">
        <f t="shared" ca="1" si="614"/>
        <v>Supercritical</v>
      </c>
      <c r="AS1227">
        <f t="shared" ca="1" si="615"/>
        <v>3.8141460404132466E-3</v>
      </c>
    </row>
    <row r="1228" spans="1:45" x14ac:dyDescent="0.35">
      <c r="A1228">
        <v>1167</v>
      </c>
      <c r="B1228">
        <v>1165.9960000000001</v>
      </c>
      <c r="C1228">
        <v>616074.27800000005</v>
      </c>
      <c r="D1228">
        <v>3096841.2050000001</v>
      </c>
      <c r="E1228">
        <v>631.98050000000001</v>
      </c>
      <c r="F1228">
        <v>5.2</v>
      </c>
      <c r="G1228">
        <v>0</v>
      </c>
      <c r="H1228" t="s">
        <v>154</v>
      </c>
      <c r="I1228">
        <v>5.7000000000000002E-2</v>
      </c>
      <c r="J1228">
        <f t="shared" si="616"/>
        <v>1</v>
      </c>
      <c r="K1228">
        <f t="shared" ca="1" si="617"/>
        <v>50.95</v>
      </c>
      <c r="L1228">
        <f t="shared" ca="1" si="618"/>
        <v>2.1389677043987478</v>
      </c>
      <c r="M1228">
        <f t="shared" ca="1" si="591"/>
        <v>11.122632062873489</v>
      </c>
      <c r="N1228">
        <f t="shared" ca="1" si="592"/>
        <v>1.1735290000551568</v>
      </c>
      <c r="O1228">
        <f t="shared" ca="1" si="593"/>
        <v>4.5807502857230418</v>
      </c>
      <c r="P1228">
        <f t="shared" ca="1" si="594"/>
        <v>634.11946770439874</v>
      </c>
      <c r="Q1228">
        <f t="shared" ca="1" si="595"/>
        <v>635.18895155659811</v>
      </c>
      <c r="R1228">
        <f t="shared" ca="1" si="596"/>
        <v>3.8141460404132466E-3</v>
      </c>
      <c r="S1228">
        <f t="shared" ca="1" si="597"/>
        <v>1.0000000000000004</v>
      </c>
      <c r="T1228">
        <f t="shared" ca="1" si="598"/>
        <v>35.686426155594638</v>
      </c>
      <c r="U1228">
        <f t="shared" ca="1" si="619"/>
        <v>-3.4157470064428708E-3</v>
      </c>
      <c r="V1228">
        <f t="shared" ca="1" si="620"/>
        <v>1</v>
      </c>
      <c r="W1228">
        <f t="shared" ca="1" si="599"/>
        <v>1.6812017783817772</v>
      </c>
      <c r="X1228">
        <f t="shared" ca="1" si="600"/>
        <v>8.7422492475852422</v>
      </c>
      <c r="Y1228">
        <f t="shared" ca="1" si="601"/>
        <v>1.0210041128789855</v>
      </c>
      <c r="Z1228">
        <f t="shared" ca="1" si="602"/>
        <v>5.8280196042309429</v>
      </c>
      <c r="AA1228">
        <f t="shared" ca="1" si="603"/>
        <v>633.66170177838183</v>
      </c>
      <c r="AB1228">
        <f t="shared" ca="1" si="604"/>
        <v>635.39288488272939</v>
      </c>
      <c r="AC1228">
        <f t="shared" ca="1" si="605"/>
        <v>7.4334062874073618E-3</v>
      </c>
      <c r="AD1228">
        <f t="shared" ca="1" si="606"/>
        <v>1.4350815464089282</v>
      </c>
      <c r="AE1228">
        <f t="shared" ca="1" si="607"/>
        <v>37.617610873878959</v>
      </c>
      <c r="AF1228">
        <f t="shared" ca="1" si="608"/>
        <v>6.9334062874304436E-3</v>
      </c>
      <c r="AG1228">
        <f t="shared" ca="1" si="609"/>
        <v>0</v>
      </c>
      <c r="AH1228">
        <f ca="1">IFERROR(IF(V32="Supercritical",MAX($D$16,IFERROR(L1228,MAX($D$16,POWER((ABS(K1228)^2)/($I$5*MAX(F1228,0.1)^2),1/3)))),IF(V32="Subcritical",MAX($D$16,IFERROR(W1228,MAX($D$16,POWER((ABS(K1228)^2)/($I$5*MAX(F1228,0.1)^2),1/3)))),IF(AND(IFERROR(V1228,0)=1,IFERROR(AG1228,0)=1),IF(IFERROR(T1228,-1E+99)&gt;=IFERROR(AE1228,-1E+99),MAX($D$16,IFERROR(L1228,MAX($D$16,POWER((ABS(K1228)^2)/($I$5*MAX(F1228,0.1)^2),1/3)))),MAX($D$16,IFERROR(W1228,MAX($D$16,POWER((ABS(K1228)^2)/($I$5*MAX(F1228,0.1)^2),1/3))))),IF(IFERROR(V1228,0)=1,MAX($D$16,IFERROR(L1228,MAX($D$16,POWER((ABS(K1228)^2)/($I$5*MAX(F1228,0.1)^2),1/3)))),IF(IFERROR(AG1228,0)=1,MAX($D$16,IFERROR(W1228,MAX($D$16,POWER((ABS(K1228)^2)/($I$5*MAX(F1228,0.1)^2),1/3)))),MAX($D$16,POWER((ABS(K1228)^2)/($I$5*MAX(F1228,0.1)^2),1/3))))))),MAX($D$16,POWER((ABS(K1228)^2)/($I$5*MAX(F1228,0.1)^2),1/3)))</f>
        <v>2.1389677043987478</v>
      </c>
      <c r="AI1228">
        <f t="shared" ca="1" si="610"/>
        <v>634.11946770439874</v>
      </c>
      <c r="AJ1228">
        <f t="shared" ca="1" si="611"/>
        <v>635.18895155659811</v>
      </c>
      <c r="AM1228">
        <v>0</v>
      </c>
      <c r="AN1228">
        <v>0</v>
      </c>
      <c r="AO1228">
        <f t="shared" si="612"/>
        <v>0</v>
      </c>
      <c r="AP1228">
        <f t="shared" si="621"/>
        <v>0</v>
      </c>
      <c r="AQ1228">
        <f t="shared" ca="1" si="613"/>
        <v>1.0000000000000004</v>
      </c>
      <c r="AR1228" t="str">
        <f t="shared" ca="1" si="614"/>
        <v>Supercritical</v>
      </c>
      <c r="AS1228">
        <f t="shared" ca="1" si="615"/>
        <v>3.8141460404132466E-3</v>
      </c>
    </row>
    <row r="1229" spans="1:45" x14ac:dyDescent="0.35">
      <c r="A1229">
        <v>1168</v>
      </c>
      <c r="B1229">
        <v>1166.9960000000001</v>
      </c>
      <c r="C1229">
        <v>616074.23600000003</v>
      </c>
      <c r="D1229">
        <v>3096840.2059999998</v>
      </c>
      <c r="E1229">
        <v>631.98</v>
      </c>
      <c r="F1229">
        <v>5.2</v>
      </c>
      <c r="G1229">
        <v>0</v>
      </c>
      <c r="H1229" t="s">
        <v>154</v>
      </c>
      <c r="I1229">
        <v>0</v>
      </c>
      <c r="J1229">
        <f t="shared" si="616"/>
        <v>1</v>
      </c>
      <c r="K1229">
        <f t="shared" ca="1" si="617"/>
        <v>50.95</v>
      </c>
      <c r="L1229">
        <f t="shared" ca="1" si="618"/>
        <v>2.1389677043987478</v>
      </c>
      <c r="M1229">
        <f t="shared" ca="1" si="591"/>
        <v>11.122632062873489</v>
      </c>
      <c r="N1229">
        <f t="shared" ca="1" si="592"/>
        <v>1.1735290000551568</v>
      </c>
      <c r="O1229">
        <f t="shared" ca="1" si="593"/>
        <v>4.5807502857230418</v>
      </c>
      <c r="P1229">
        <f t="shared" ca="1" si="594"/>
        <v>634.11896770439876</v>
      </c>
      <c r="Q1229">
        <f t="shared" ca="1" si="595"/>
        <v>635.18845155659812</v>
      </c>
      <c r="R1229">
        <f t="shared" ca="1" si="596"/>
        <v>3.8141460404132466E-3</v>
      </c>
      <c r="S1229">
        <f t="shared" ca="1" si="597"/>
        <v>1.0000000000000004</v>
      </c>
      <c r="T1229">
        <f t="shared" ca="1" si="598"/>
        <v>35.686426155594638</v>
      </c>
      <c r="U1229">
        <f t="shared" ca="1" si="619"/>
        <v>-3.3141460404522149E-3</v>
      </c>
      <c r="V1229">
        <f t="shared" ca="1" si="620"/>
        <v>1</v>
      </c>
      <c r="W1229">
        <f t="shared" ca="1" si="599"/>
        <v>1.6812017445302081</v>
      </c>
      <c r="X1229">
        <f t="shared" ca="1" si="600"/>
        <v>8.7422490715570831</v>
      </c>
      <c r="Y1229">
        <f t="shared" ca="1" si="601"/>
        <v>1.0210041003938255</v>
      </c>
      <c r="Z1229">
        <f t="shared" ca="1" si="602"/>
        <v>5.8280197215801008</v>
      </c>
      <c r="AA1229">
        <f t="shared" ca="1" si="603"/>
        <v>633.66120174453022</v>
      </c>
      <c r="AB1229">
        <f t="shared" ca="1" si="604"/>
        <v>635.39238491859373</v>
      </c>
      <c r="AC1229">
        <f t="shared" ca="1" si="605"/>
        <v>7.4334067079530825E-3</v>
      </c>
      <c r="AD1229">
        <f t="shared" ca="1" si="606"/>
        <v>1.4350815897527112</v>
      </c>
      <c r="AE1229">
        <f t="shared" ca="1" si="607"/>
        <v>37.61761118741407</v>
      </c>
      <c r="AF1229">
        <f t="shared" ca="1" si="608"/>
        <v>7.0904357028211962E-3</v>
      </c>
      <c r="AG1229">
        <f t="shared" ca="1" si="609"/>
        <v>0</v>
      </c>
      <c r="AH1229">
        <f ca="1">IFERROR(IF(V32="Supercritical",MAX($D$16,IFERROR(L1229,MAX($D$16,POWER((ABS(K1229)^2)/($I$5*MAX(F1229,0.1)^2),1/3)))),IF(V32="Subcritical",MAX($D$16,IFERROR(W1229,MAX($D$16,POWER((ABS(K1229)^2)/($I$5*MAX(F1229,0.1)^2),1/3)))),IF(AND(IFERROR(V1229,0)=1,IFERROR(AG1229,0)=1),IF(IFERROR(T1229,-1E+99)&gt;=IFERROR(AE1229,-1E+99),MAX($D$16,IFERROR(L1229,MAX($D$16,POWER((ABS(K1229)^2)/($I$5*MAX(F1229,0.1)^2),1/3)))),MAX($D$16,IFERROR(W1229,MAX($D$16,POWER((ABS(K1229)^2)/($I$5*MAX(F1229,0.1)^2),1/3))))),IF(IFERROR(V1229,0)=1,MAX($D$16,IFERROR(L1229,MAX($D$16,POWER((ABS(K1229)^2)/($I$5*MAX(F1229,0.1)^2),1/3)))),IF(IFERROR(AG1229,0)=1,MAX($D$16,IFERROR(W1229,MAX($D$16,POWER((ABS(K1229)^2)/($I$5*MAX(F1229,0.1)^2),1/3)))),MAX($D$16,POWER((ABS(K1229)^2)/($I$5*MAX(F1229,0.1)^2),1/3))))))),MAX($D$16,POWER((ABS(K1229)^2)/($I$5*MAX(F1229,0.1)^2),1/3)))</f>
        <v>2.1389677043987478</v>
      </c>
      <c r="AI1229">
        <f t="shared" ca="1" si="610"/>
        <v>634.11896770439876</v>
      </c>
      <c r="AJ1229">
        <f t="shared" ca="1" si="611"/>
        <v>635.18845155659812</v>
      </c>
      <c r="AM1229">
        <v>0</v>
      </c>
      <c r="AN1229">
        <v>0</v>
      </c>
      <c r="AO1229">
        <f t="shared" si="612"/>
        <v>0</v>
      </c>
      <c r="AP1229">
        <f t="shared" si="621"/>
        <v>0</v>
      </c>
      <c r="AQ1229">
        <f t="shared" ca="1" si="613"/>
        <v>1.0000000000000004</v>
      </c>
      <c r="AR1229" t="str">
        <f t="shared" ca="1" si="614"/>
        <v>Supercritical</v>
      </c>
      <c r="AS1229">
        <f t="shared" ca="1" si="615"/>
        <v>3.8141460404132466E-3</v>
      </c>
    </row>
    <row r="1230" spans="1:45" x14ac:dyDescent="0.35">
      <c r="A1230">
        <v>1169</v>
      </c>
      <c r="B1230">
        <v>1167.9949999999999</v>
      </c>
      <c r="C1230">
        <v>616074.19400000002</v>
      </c>
      <c r="D1230">
        <v>3096839.2069999999</v>
      </c>
      <c r="E1230">
        <v>631.97950000000003</v>
      </c>
      <c r="F1230">
        <v>5.2</v>
      </c>
      <c r="G1230">
        <v>0</v>
      </c>
      <c r="H1230" t="s">
        <v>154</v>
      </c>
      <c r="I1230">
        <v>5.7000000000000002E-2</v>
      </c>
      <c r="J1230">
        <f t="shared" si="616"/>
        <v>0.99899999999979627</v>
      </c>
      <c r="K1230">
        <f t="shared" ca="1" si="617"/>
        <v>50.95</v>
      </c>
      <c r="L1230">
        <f t="shared" ca="1" si="618"/>
        <v>2.1389677043987478</v>
      </c>
      <c r="M1230">
        <f t="shared" ca="1" si="591"/>
        <v>11.122632062873489</v>
      </c>
      <c r="N1230">
        <f t="shared" ca="1" si="592"/>
        <v>1.1735290000551568</v>
      </c>
      <c r="O1230">
        <f t="shared" ca="1" si="593"/>
        <v>4.5807502857230418</v>
      </c>
      <c r="P1230">
        <f t="shared" ca="1" si="594"/>
        <v>634.11846770439877</v>
      </c>
      <c r="Q1230">
        <f t="shared" ca="1" si="595"/>
        <v>635.18795155659814</v>
      </c>
      <c r="R1230">
        <f t="shared" ca="1" si="596"/>
        <v>3.8141460404132466E-3</v>
      </c>
      <c r="S1230">
        <f t="shared" ca="1" si="597"/>
        <v>1.0000000000000004</v>
      </c>
      <c r="T1230">
        <f t="shared" ca="1" si="598"/>
        <v>35.686426155594638</v>
      </c>
      <c r="U1230">
        <f t="shared" ca="1" si="619"/>
        <v>-3.411932860331035E-3</v>
      </c>
      <c r="V1230">
        <f t="shared" ca="1" si="620"/>
        <v>1</v>
      </c>
      <c r="W1230">
        <f t="shared" ca="1" si="599"/>
        <v>1.6812017128895298</v>
      </c>
      <c r="X1230">
        <f t="shared" ca="1" si="600"/>
        <v>8.7422489070255551</v>
      </c>
      <c r="Y1230">
        <f t="shared" ca="1" si="601"/>
        <v>1.0210040887240877</v>
      </c>
      <c r="Z1230">
        <f t="shared" ca="1" si="602"/>
        <v>5.828019831265034</v>
      </c>
      <c r="AA1230">
        <f t="shared" ca="1" si="603"/>
        <v>633.66070171288959</v>
      </c>
      <c r="AB1230">
        <f t="shared" ca="1" si="604"/>
        <v>635.39188495211579</v>
      </c>
      <c r="AC1230">
        <f t="shared" ca="1" si="605"/>
        <v>7.4334071010324311E-3</v>
      </c>
      <c r="AD1230">
        <f t="shared" ca="1" si="606"/>
        <v>1.4350816302656564</v>
      </c>
      <c r="AE1230">
        <f t="shared" ca="1" si="607"/>
        <v>37.617611480471822</v>
      </c>
      <c r="AF1230">
        <f t="shared" ca="1" si="608"/>
        <v>7.0978695088115273E-3</v>
      </c>
      <c r="AG1230">
        <f t="shared" ca="1" si="609"/>
        <v>0</v>
      </c>
      <c r="AH1230">
        <f ca="1">IFERROR(IF(V32="Supercritical",MAX($D$16,IFERROR(L1230,MAX($D$16,POWER((ABS(K1230)^2)/($I$5*MAX(F1230,0.1)^2),1/3)))),IF(V32="Subcritical",MAX($D$16,IFERROR(W1230,MAX($D$16,POWER((ABS(K1230)^2)/($I$5*MAX(F1230,0.1)^2),1/3)))),IF(AND(IFERROR(V1230,0)=1,IFERROR(AG1230,0)=1),IF(IFERROR(T1230,-1E+99)&gt;=IFERROR(AE1230,-1E+99),MAX($D$16,IFERROR(L1230,MAX($D$16,POWER((ABS(K1230)^2)/($I$5*MAX(F1230,0.1)^2),1/3)))),MAX($D$16,IFERROR(W1230,MAX($D$16,POWER((ABS(K1230)^2)/($I$5*MAX(F1230,0.1)^2),1/3))))),IF(IFERROR(V1230,0)=1,MAX($D$16,IFERROR(L1230,MAX($D$16,POWER((ABS(K1230)^2)/($I$5*MAX(F1230,0.1)^2),1/3)))),IF(IFERROR(AG1230,0)=1,MAX($D$16,IFERROR(W1230,MAX($D$16,POWER((ABS(K1230)^2)/($I$5*MAX(F1230,0.1)^2),1/3)))),MAX($D$16,POWER((ABS(K1230)^2)/($I$5*MAX(F1230,0.1)^2),1/3))))))),MAX($D$16,POWER((ABS(K1230)^2)/($I$5*MAX(F1230,0.1)^2),1/3)))</f>
        <v>2.1389677043987478</v>
      </c>
      <c r="AI1230">
        <f t="shared" ca="1" si="610"/>
        <v>634.11846770439877</v>
      </c>
      <c r="AJ1230">
        <f t="shared" ca="1" si="611"/>
        <v>635.18795155659814</v>
      </c>
      <c r="AM1230">
        <v>0</v>
      </c>
      <c r="AN1230">
        <v>0</v>
      </c>
      <c r="AO1230">
        <f t="shared" si="612"/>
        <v>0</v>
      </c>
      <c r="AP1230">
        <f t="shared" si="621"/>
        <v>0</v>
      </c>
      <c r="AQ1230">
        <f t="shared" ca="1" si="613"/>
        <v>1.0000000000000004</v>
      </c>
      <c r="AR1230" t="str">
        <f t="shared" ca="1" si="614"/>
        <v>Supercritical</v>
      </c>
      <c r="AS1230">
        <f t="shared" ca="1" si="615"/>
        <v>3.8141460404132466E-3</v>
      </c>
    </row>
    <row r="1231" spans="1:45" x14ac:dyDescent="0.35">
      <c r="A1231">
        <v>1170</v>
      </c>
      <c r="B1231">
        <v>1168.9949999999999</v>
      </c>
      <c r="C1231">
        <v>616074.15099999995</v>
      </c>
      <c r="D1231">
        <v>3096838.2080000001</v>
      </c>
      <c r="E1231">
        <v>631.97900000000004</v>
      </c>
      <c r="F1231">
        <v>5.2</v>
      </c>
      <c r="G1231">
        <v>0</v>
      </c>
      <c r="H1231" t="s">
        <v>154</v>
      </c>
      <c r="I1231">
        <v>5.7000000000000002E-2</v>
      </c>
      <c r="J1231">
        <f t="shared" si="616"/>
        <v>1</v>
      </c>
      <c r="K1231">
        <f t="shared" ca="1" si="617"/>
        <v>50.95</v>
      </c>
      <c r="L1231">
        <f t="shared" ca="1" si="618"/>
        <v>2.1389677043987478</v>
      </c>
      <c r="M1231">
        <f t="shared" ca="1" si="591"/>
        <v>11.122632062873489</v>
      </c>
      <c r="N1231">
        <f t="shared" ca="1" si="592"/>
        <v>1.1735290000551568</v>
      </c>
      <c r="O1231">
        <f t="shared" ca="1" si="593"/>
        <v>4.5807502857230418</v>
      </c>
      <c r="P1231">
        <f t="shared" ca="1" si="594"/>
        <v>634.11796770439878</v>
      </c>
      <c r="Q1231">
        <f t="shared" ca="1" si="595"/>
        <v>635.18745155659815</v>
      </c>
      <c r="R1231">
        <f t="shared" ca="1" si="596"/>
        <v>3.8141460404132466E-3</v>
      </c>
      <c r="S1231">
        <f t="shared" ca="1" si="597"/>
        <v>1.0000000000000004</v>
      </c>
      <c r="T1231">
        <f t="shared" ca="1" si="598"/>
        <v>35.686426155594638</v>
      </c>
      <c r="U1231">
        <f t="shared" ca="1" si="619"/>
        <v>-3.4157470064428708E-3</v>
      </c>
      <c r="V1231">
        <f t="shared" ca="1" si="620"/>
        <v>1</v>
      </c>
      <c r="W1231">
        <f t="shared" ca="1" si="599"/>
        <v>1.6812016833153542</v>
      </c>
      <c r="X1231">
        <f t="shared" ca="1" si="600"/>
        <v>8.7422487532398421</v>
      </c>
      <c r="Y1231">
        <f t="shared" ca="1" si="601"/>
        <v>1.0210040778165188</v>
      </c>
      <c r="Z1231">
        <f t="shared" ca="1" si="602"/>
        <v>5.8280199337862744</v>
      </c>
      <c r="AA1231">
        <f t="shared" ca="1" si="603"/>
        <v>633.66020168331545</v>
      </c>
      <c r="AB1231">
        <f t="shared" ca="1" si="604"/>
        <v>635.39138498344846</v>
      </c>
      <c r="AC1231">
        <f t="shared" ca="1" si="605"/>
        <v>7.433407468439175E-3</v>
      </c>
      <c r="AD1231">
        <f t="shared" ca="1" si="606"/>
        <v>1.4350816681326388</v>
      </c>
      <c r="AE1231">
        <f t="shared" ca="1" si="607"/>
        <v>37.617611754389529</v>
      </c>
      <c r="AF1231">
        <f t="shared" ca="1" si="608"/>
        <v>6.9391780793921498E-3</v>
      </c>
      <c r="AG1231">
        <f t="shared" ca="1" si="609"/>
        <v>0</v>
      </c>
      <c r="AH1231">
        <f ca="1">IFERROR(IF(V32="Supercritical",MAX($D$16,IFERROR(L1231,MAX($D$16,POWER((ABS(K1231)^2)/($I$5*MAX(F1231,0.1)^2),1/3)))),IF(V32="Subcritical",MAX($D$16,IFERROR(W1231,MAX($D$16,POWER((ABS(K1231)^2)/($I$5*MAX(F1231,0.1)^2),1/3)))),IF(AND(IFERROR(V1231,0)=1,IFERROR(AG1231,0)=1),IF(IFERROR(T1231,-1E+99)&gt;=IFERROR(AE1231,-1E+99),MAX($D$16,IFERROR(L1231,MAX($D$16,POWER((ABS(K1231)^2)/($I$5*MAX(F1231,0.1)^2),1/3)))),MAX($D$16,IFERROR(W1231,MAX($D$16,POWER((ABS(K1231)^2)/($I$5*MAX(F1231,0.1)^2),1/3))))),IF(IFERROR(V1231,0)=1,MAX($D$16,IFERROR(L1231,MAX($D$16,POWER((ABS(K1231)^2)/($I$5*MAX(F1231,0.1)^2),1/3)))),IF(IFERROR(AG1231,0)=1,MAX($D$16,IFERROR(W1231,MAX($D$16,POWER((ABS(K1231)^2)/($I$5*MAX(F1231,0.1)^2),1/3)))),MAX($D$16,POWER((ABS(K1231)^2)/($I$5*MAX(F1231,0.1)^2),1/3))))))),MAX($D$16,POWER((ABS(K1231)^2)/($I$5*MAX(F1231,0.1)^2),1/3)))</f>
        <v>2.1389677043987478</v>
      </c>
      <c r="AI1231">
        <f t="shared" ca="1" si="610"/>
        <v>634.11796770439878</v>
      </c>
      <c r="AJ1231">
        <f t="shared" ca="1" si="611"/>
        <v>635.18745155659815</v>
      </c>
      <c r="AM1231">
        <v>0</v>
      </c>
      <c r="AN1231">
        <v>0</v>
      </c>
      <c r="AO1231">
        <f t="shared" si="612"/>
        <v>0</v>
      </c>
      <c r="AP1231">
        <f t="shared" si="621"/>
        <v>0</v>
      </c>
      <c r="AQ1231">
        <f t="shared" ca="1" si="613"/>
        <v>1.0000000000000004</v>
      </c>
      <c r="AR1231" t="str">
        <f t="shared" ca="1" si="614"/>
        <v>Supercritical</v>
      </c>
      <c r="AS1231">
        <f t="shared" ca="1" si="615"/>
        <v>3.8141460404132466E-3</v>
      </c>
    </row>
    <row r="1232" spans="1:45" x14ac:dyDescent="0.35">
      <c r="A1232">
        <v>1171</v>
      </c>
      <c r="B1232">
        <v>1169.9949999999999</v>
      </c>
      <c r="C1232">
        <v>616074.10900000005</v>
      </c>
      <c r="D1232">
        <v>3096837.2089999998</v>
      </c>
      <c r="E1232">
        <v>631.97850000000005</v>
      </c>
      <c r="F1232">
        <v>5.2</v>
      </c>
      <c r="G1232">
        <v>0</v>
      </c>
      <c r="H1232" t="s">
        <v>154</v>
      </c>
      <c r="I1232">
        <v>2E-3</v>
      </c>
      <c r="J1232">
        <f t="shared" si="616"/>
        <v>1</v>
      </c>
      <c r="K1232">
        <f t="shared" ca="1" si="617"/>
        <v>50.95</v>
      </c>
      <c r="L1232">
        <f t="shared" ca="1" si="618"/>
        <v>2.1389677043987478</v>
      </c>
      <c r="M1232">
        <f t="shared" ca="1" si="591"/>
        <v>11.122632062873489</v>
      </c>
      <c r="N1232">
        <f t="shared" ca="1" si="592"/>
        <v>1.1735290000551568</v>
      </c>
      <c r="O1232">
        <f t="shared" ca="1" si="593"/>
        <v>4.5807502857230418</v>
      </c>
      <c r="P1232">
        <f t="shared" ca="1" si="594"/>
        <v>634.11746770439879</v>
      </c>
      <c r="Q1232">
        <f t="shared" ca="1" si="595"/>
        <v>635.18695155659816</v>
      </c>
      <c r="R1232">
        <f t="shared" ca="1" si="596"/>
        <v>3.8141460404132466E-3</v>
      </c>
      <c r="S1232">
        <f t="shared" ca="1" si="597"/>
        <v>1.0000000000000004</v>
      </c>
      <c r="T1232">
        <f t="shared" ca="1" si="598"/>
        <v>35.686426155594638</v>
      </c>
      <c r="U1232">
        <f t="shared" ca="1" si="619"/>
        <v>-3.3177109866073806E-3</v>
      </c>
      <c r="V1232">
        <f t="shared" ca="1" si="620"/>
        <v>1</v>
      </c>
      <c r="W1232">
        <f t="shared" ca="1" si="599"/>
        <v>1.6812016556727236</v>
      </c>
      <c r="X1232">
        <f t="shared" ca="1" si="600"/>
        <v>8.742248609498164</v>
      </c>
      <c r="Y1232">
        <f t="shared" ca="1" si="601"/>
        <v>1.0210040676213437</v>
      </c>
      <c r="Z1232">
        <f t="shared" ca="1" si="602"/>
        <v>5.828020029611662</v>
      </c>
      <c r="AA1232">
        <f t="shared" ca="1" si="603"/>
        <v>633.65970165567273</v>
      </c>
      <c r="AB1232">
        <f t="shared" ca="1" si="604"/>
        <v>635.39088501273466</v>
      </c>
      <c r="AC1232">
        <f t="shared" ca="1" si="605"/>
        <v>7.4334078118499106E-3</v>
      </c>
      <c r="AD1232">
        <f t="shared" ca="1" si="606"/>
        <v>1.4350817035264587</v>
      </c>
      <c r="AE1232">
        <f t="shared" ca="1" si="607"/>
        <v>37.617612010417169</v>
      </c>
      <c r="AF1232">
        <f t="shared" ca="1" si="608"/>
        <v>6.9466118308127989E-3</v>
      </c>
      <c r="AG1232">
        <f t="shared" ca="1" si="609"/>
        <v>0</v>
      </c>
      <c r="AH1232">
        <f ca="1">IFERROR(IF(V32="Supercritical",MAX($D$16,IFERROR(L1232,MAX($D$16,POWER((ABS(K1232)^2)/($I$5*MAX(F1232,0.1)^2),1/3)))),IF(V32="Subcritical",MAX($D$16,IFERROR(W1232,MAX($D$16,POWER((ABS(K1232)^2)/($I$5*MAX(F1232,0.1)^2),1/3)))),IF(AND(IFERROR(V1232,0)=1,IFERROR(AG1232,0)=1),IF(IFERROR(T1232,-1E+99)&gt;=IFERROR(AE1232,-1E+99),MAX($D$16,IFERROR(L1232,MAX($D$16,POWER((ABS(K1232)^2)/($I$5*MAX(F1232,0.1)^2),1/3)))),MAX($D$16,IFERROR(W1232,MAX($D$16,POWER((ABS(K1232)^2)/($I$5*MAX(F1232,0.1)^2),1/3))))),IF(IFERROR(V1232,0)=1,MAX($D$16,IFERROR(L1232,MAX($D$16,POWER((ABS(K1232)^2)/($I$5*MAX(F1232,0.1)^2),1/3)))),IF(IFERROR(AG1232,0)=1,MAX($D$16,IFERROR(W1232,MAX($D$16,POWER((ABS(K1232)^2)/($I$5*MAX(F1232,0.1)^2),1/3)))),MAX($D$16,POWER((ABS(K1232)^2)/($I$5*MAX(F1232,0.1)^2),1/3))))))),MAX($D$16,POWER((ABS(K1232)^2)/($I$5*MAX(F1232,0.1)^2),1/3)))</f>
        <v>2.1389677043987478</v>
      </c>
      <c r="AI1232">
        <f t="shared" ca="1" si="610"/>
        <v>634.11746770439879</v>
      </c>
      <c r="AJ1232">
        <f t="shared" ca="1" si="611"/>
        <v>635.18695155659816</v>
      </c>
      <c r="AM1232">
        <v>0</v>
      </c>
      <c r="AN1232">
        <v>0</v>
      </c>
      <c r="AO1232">
        <f t="shared" si="612"/>
        <v>0</v>
      </c>
      <c r="AP1232">
        <f t="shared" si="621"/>
        <v>0</v>
      </c>
      <c r="AQ1232">
        <f t="shared" ca="1" si="613"/>
        <v>1.0000000000000004</v>
      </c>
      <c r="AR1232" t="str">
        <f t="shared" ca="1" si="614"/>
        <v>Supercritical</v>
      </c>
      <c r="AS1232">
        <f t="shared" ca="1" si="615"/>
        <v>3.8141460404132466E-3</v>
      </c>
    </row>
    <row r="1233" spans="1:45" x14ac:dyDescent="0.35">
      <c r="A1233">
        <v>1172</v>
      </c>
      <c r="B1233">
        <v>1170.9960000000001</v>
      </c>
      <c r="C1233">
        <v>616074.06700000004</v>
      </c>
      <c r="D1233">
        <v>3096836.2089999998</v>
      </c>
      <c r="E1233">
        <v>631.97799999999995</v>
      </c>
      <c r="F1233">
        <v>5.2</v>
      </c>
      <c r="G1233">
        <v>0</v>
      </c>
      <c r="H1233" t="s">
        <v>154</v>
      </c>
      <c r="I1233">
        <v>2E-3</v>
      </c>
      <c r="J1233">
        <f t="shared" si="616"/>
        <v>1.0010000000002037</v>
      </c>
      <c r="K1233">
        <f t="shared" ca="1" si="617"/>
        <v>50.95</v>
      </c>
      <c r="L1233">
        <f t="shared" ca="1" si="618"/>
        <v>2.1389677043987478</v>
      </c>
      <c r="M1233">
        <f t="shared" ca="1" si="591"/>
        <v>11.122632062873489</v>
      </c>
      <c r="N1233">
        <f t="shared" ca="1" si="592"/>
        <v>1.1735290000551568</v>
      </c>
      <c r="O1233">
        <f t="shared" ca="1" si="593"/>
        <v>4.5807502857230418</v>
      </c>
      <c r="P1233">
        <f t="shared" ca="1" si="594"/>
        <v>634.11696770439869</v>
      </c>
      <c r="Q1233">
        <f t="shared" ca="1" si="595"/>
        <v>635.18645155659806</v>
      </c>
      <c r="R1233">
        <f t="shared" ca="1" si="596"/>
        <v>3.8141460404132466E-3</v>
      </c>
      <c r="S1233">
        <f t="shared" ca="1" si="597"/>
        <v>1.0000000000000004</v>
      </c>
      <c r="T1233">
        <f t="shared" ca="1" si="598"/>
        <v>35.686426155594638</v>
      </c>
      <c r="U1233">
        <f t="shared" ca="1" si="619"/>
        <v>-3.3215251324918427E-3</v>
      </c>
      <c r="V1233">
        <f t="shared" ca="1" si="620"/>
        <v>1</v>
      </c>
      <c r="W1233">
        <f t="shared" ca="1" si="599"/>
        <v>1.6812016298354628</v>
      </c>
      <c r="X1233">
        <f t="shared" ca="1" si="600"/>
        <v>8.7422484751444074</v>
      </c>
      <c r="Y1233">
        <f t="shared" ca="1" si="601"/>
        <v>1.0210040580920261</v>
      </c>
      <c r="Z1233">
        <f t="shared" ca="1" si="602"/>
        <v>5.8280201191785954</v>
      </c>
      <c r="AA1233">
        <f t="shared" ca="1" si="603"/>
        <v>633.65920162983537</v>
      </c>
      <c r="AB1233">
        <f t="shared" ca="1" si="604"/>
        <v>635.39038504010807</v>
      </c>
      <c r="AC1233">
        <f t="shared" ca="1" si="605"/>
        <v>7.4334081328321462E-3</v>
      </c>
      <c r="AD1233">
        <f t="shared" ca="1" si="606"/>
        <v>1.4350817366086719</v>
      </c>
      <c r="AE1233">
        <f t="shared" ca="1" si="607"/>
        <v>37.617612249723393</v>
      </c>
      <c r="AF1233">
        <f t="shared" ca="1" si="608"/>
        <v>7.0978705567767975E-3</v>
      </c>
      <c r="AG1233">
        <f t="shared" ca="1" si="609"/>
        <v>0</v>
      </c>
      <c r="AH1233">
        <f ca="1">IFERROR(IF(V32="Supercritical",MAX($D$16,IFERROR(L1233,MAX($D$16,POWER((ABS(K1233)^2)/($I$5*MAX(F1233,0.1)^2),1/3)))),IF(V32="Subcritical",MAX($D$16,IFERROR(W1233,MAX($D$16,POWER((ABS(K1233)^2)/($I$5*MAX(F1233,0.1)^2),1/3)))),IF(AND(IFERROR(V1233,0)=1,IFERROR(AG1233,0)=1),IF(IFERROR(T1233,-1E+99)&gt;=IFERROR(AE1233,-1E+99),MAX($D$16,IFERROR(L1233,MAX($D$16,POWER((ABS(K1233)^2)/($I$5*MAX(F1233,0.1)^2),1/3)))),MAX($D$16,IFERROR(W1233,MAX($D$16,POWER((ABS(K1233)^2)/($I$5*MAX(F1233,0.1)^2),1/3))))),IF(IFERROR(V1233,0)=1,MAX($D$16,IFERROR(L1233,MAX($D$16,POWER((ABS(K1233)^2)/($I$5*MAX(F1233,0.1)^2),1/3)))),IF(IFERROR(AG1233,0)=1,MAX($D$16,IFERROR(W1233,MAX($D$16,POWER((ABS(K1233)^2)/($I$5*MAX(F1233,0.1)^2),1/3)))),MAX($D$16,POWER((ABS(K1233)^2)/($I$5*MAX(F1233,0.1)^2),1/3))))))),MAX($D$16,POWER((ABS(K1233)^2)/($I$5*MAX(F1233,0.1)^2),1/3)))</f>
        <v>2.1389677043987478</v>
      </c>
      <c r="AI1233">
        <f t="shared" ca="1" si="610"/>
        <v>634.11696770439869</v>
      </c>
      <c r="AJ1233">
        <f t="shared" ca="1" si="611"/>
        <v>635.18645155659806</v>
      </c>
      <c r="AM1233">
        <v>0</v>
      </c>
      <c r="AN1233">
        <v>0</v>
      </c>
      <c r="AO1233">
        <f t="shared" si="612"/>
        <v>0</v>
      </c>
      <c r="AP1233">
        <f t="shared" si="621"/>
        <v>0</v>
      </c>
      <c r="AQ1233">
        <f t="shared" ca="1" si="613"/>
        <v>1.0000000000000004</v>
      </c>
      <c r="AR1233" t="str">
        <f t="shared" ca="1" si="614"/>
        <v>Supercritical</v>
      </c>
      <c r="AS1233">
        <f t="shared" ca="1" si="615"/>
        <v>3.8141460404132466E-3</v>
      </c>
    </row>
    <row r="1234" spans="1:45" x14ac:dyDescent="0.35">
      <c r="A1234">
        <v>1173</v>
      </c>
      <c r="B1234">
        <v>1171.9960000000001</v>
      </c>
      <c r="C1234">
        <v>616074.02500000002</v>
      </c>
      <c r="D1234">
        <v>3096835.21</v>
      </c>
      <c r="E1234">
        <v>631.97749999999996</v>
      </c>
      <c r="F1234">
        <v>5.2</v>
      </c>
      <c r="G1234">
        <v>0</v>
      </c>
      <c r="H1234" t="s">
        <v>154</v>
      </c>
      <c r="I1234">
        <v>5.7000000000000002E-2</v>
      </c>
      <c r="J1234">
        <f t="shared" si="616"/>
        <v>1</v>
      </c>
      <c r="K1234">
        <f t="shared" ca="1" si="617"/>
        <v>50.95</v>
      </c>
      <c r="L1234">
        <f t="shared" ca="1" si="618"/>
        <v>2.1389677043987478</v>
      </c>
      <c r="M1234">
        <f t="shared" ca="1" si="591"/>
        <v>11.122632062873489</v>
      </c>
      <c r="N1234">
        <f t="shared" ca="1" si="592"/>
        <v>1.1735290000551568</v>
      </c>
      <c r="O1234">
        <f t="shared" ca="1" si="593"/>
        <v>4.5807502857230418</v>
      </c>
      <c r="P1234">
        <f t="shared" ca="1" si="594"/>
        <v>634.1164677043987</v>
      </c>
      <c r="Q1234">
        <f t="shared" ca="1" si="595"/>
        <v>635.18595155659807</v>
      </c>
      <c r="R1234">
        <f t="shared" ca="1" si="596"/>
        <v>3.8141460404132466E-3</v>
      </c>
      <c r="S1234">
        <f t="shared" ca="1" si="597"/>
        <v>1.0000000000000004</v>
      </c>
      <c r="T1234">
        <f t="shared" ca="1" si="598"/>
        <v>35.686426155594638</v>
      </c>
      <c r="U1234">
        <f t="shared" ca="1" si="619"/>
        <v>-3.4157470064428708E-3</v>
      </c>
      <c r="V1234">
        <f t="shared" ca="1" si="620"/>
        <v>1</v>
      </c>
      <c r="W1234">
        <f t="shared" ca="1" si="599"/>
        <v>1.6812016056856671</v>
      </c>
      <c r="X1234">
        <f t="shared" ca="1" si="600"/>
        <v>8.7422483495654699</v>
      </c>
      <c r="Y1234">
        <f t="shared" ca="1" si="601"/>
        <v>1.0210040491850807</v>
      </c>
      <c r="Z1234">
        <f t="shared" ca="1" si="602"/>
        <v>5.8280202028957975</v>
      </c>
      <c r="AA1234">
        <f t="shared" ca="1" si="603"/>
        <v>633.65870160568568</v>
      </c>
      <c r="AB1234">
        <f t="shared" ca="1" si="604"/>
        <v>635.38988506569387</v>
      </c>
      <c r="AC1234">
        <f t="shared" ca="1" si="605"/>
        <v>7.4334084328506363E-3</v>
      </c>
      <c r="AD1234">
        <f t="shared" ca="1" si="606"/>
        <v>1.4350817675302434</v>
      </c>
      <c r="AE1234">
        <f t="shared" ca="1" si="607"/>
        <v>37.617612473400236</v>
      </c>
      <c r="AF1234">
        <f t="shared" ca="1" si="608"/>
        <v>7.0978708615712094E-3</v>
      </c>
      <c r="AG1234">
        <f t="shared" ca="1" si="609"/>
        <v>0</v>
      </c>
      <c r="AH1234">
        <f ca="1">IFERROR(IF(V32="Supercritical",MAX($D$16,IFERROR(L1234,MAX($D$16,POWER((ABS(K1234)^2)/($I$5*MAX(F1234,0.1)^2),1/3)))),IF(V32="Subcritical",MAX($D$16,IFERROR(W1234,MAX($D$16,POWER((ABS(K1234)^2)/($I$5*MAX(F1234,0.1)^2),1/3)))),IF(AND(IFERROR(V1234,0)=1,IFERROR(AG1234,0)=1),IF(IFERROR(T1234,-1E+99)&gt;=IFERROR(AE1234,-1E+99),MAX($D$16,IFERROR(L1234,MAX($D$16,POWER((ABS(K1234)^2)/($I$5*MAX(F1234,0.1)^2),1/3)))),MAX($D$16,IFERROR(W1234,MAX($D$16,POWER((ABS(K1234)^2)/($I$5*MAX(F1234,0.1)^2),1/3))))),IF(IFERROR(V1234,0)=1,MAX($D$16,IFERROR(L1234,MAX($D$16,POWER((ABS(K1234)^2)/($I$5*MAX(F1234,0.1)^2),1/3)))),IF(IFERROR(AG1234,0)=1,MAX($D$16,IFERROR(W1234,MAX($D$16,POWER((ABS(K1234)^2)/($I$5*MAX(F1234,0.1)^2),1/3)))),MAX($D$16,POWER((ABS(K1234)^2)/($I$5*MAX(F1234,0.1)^2),1/3))))))),MAX($D$16,POWER((ABS(K1234)^2)/($I$5*MAX(F1234,0.1)^2),1/3)))</f>
        <v>2.1389677043987478</v>
      </c>
      <c r="AI1234">
        <f t="shared" ca="1" si="610"/>
        <v>634.1164677043987</v>
      </c>
      <c r="AJ1234">
        <f t="shared" ca="1" si="611"/>
        <v>635.18595155659807</v>
      </c>
      <c r="AM1234">
        <v>0</v>
      </c>
      <c r="AN1234">
        <v>0</v>
      </c>
      <c r="AO1234">
        <f t="shared" si="612"/>
        <v>0</v>
      </c>
      <c r="AP1234">
        <f t="shared" si="621"/>
        <v>0</v>
      </c>
      <c r="AQ1234">
        <f t="shared" ca="1" si="613"/>
        <v>1.0000000000000004</v>
      </c>
      <c r="AR1234" t="str">
        <f t="shared" ca="1" si="614"/>
        <v>Supercritical</v>
      </c>
      <c r="AS1234">
        <f t="shared" ca="1" si="615"/>
        <v>3.8141460404132466E-3</v>
      </c>
    </row>
    <row r="1235" spans="1:45" x14ac:dyDescent="0.35">
      <c r="A1235">
        <v>1174</v>
      </c>
      <c r="B1235">
        <v>1172.9960000000001</v>
      </c>
      <c r="C1235">
        <v>616073.98199999996</v>
      </c>
      <c r="D1235">
        <v>3096834.2110000001</v>
      </c>
      <c r="E1235">
        <v>631.97699999999998</v>
      </c>
      <c r="F1235">
        <v>5.2</v>
      </c>
      <c r="G1235">
        <v>0</v>
      </c>
      <c r="H1235" t="s">
        <v>154</v>
      </c>
      <c r="I1235">
        <v>5.7000000000000002E-2</v>
      </c>
      <c r="J1235">
        <f t="shared" si="616"/>
        <v>1</v>
      </c>
      <c r="K1235">
        <f t="shared" ca="1" si="617"/>
        <v>50.95</v>
      </c>
      <c r="L1235">
        <f t="shared" ca="1" si="618"/>
        <v>2.1389677043987478</v>
      </c>
      <c r="M1235">
        <f t="shared" ca="1" si="591"/>
        <v>11.122632062873489</v>
      </c>
      <c r="N1235">
        <f t="shared" ca="1" si="592"/>
        <v>1.1735290000551568</v>
      </c>
      <c r="O1235">
        <f t="shared" ca="1" si="593"/>
        <v>4.5807502857230418</v>
      </c>
      <c r="P1235">
        <f t="shared" ca="1" si="594"/>
        <v>634.11596770439871</v>
      </c>
      <c r="Q1235">
        <f t="shared" ca="1" si="595"/>
        <v>635.18545155659808</v>
      </c>
      <c r="R1235">
        <f t="shared" ca="1" si="596"/>
        <v>3.8141460404132466E-3</v>
      </c>
      <c r="S1235">
        <f t="shared" ca="1" si="597"/>
        <v>1.0000000000000004</v>
      </c>
      <c r="T1235">
        <f t="shared" ca="1" si="598"/>
        <v>35.686426155594638</v>
      </c>
      <c r="U1235">
        <f t="shared" ca="1" si="619"/>
        <v>-3.4157470064428708E-3</v>
      </c>
      <c r="V1235">
        <f t="shared" ca="1" si="620"/>
        <v>1</v>
      </c>
      <c r="W1235">
        <f t="shared" ca="1" si="599"/>
        <v>1.6812015831131228</v>
      </c>
      <c r="X1235">
        <f t="shared" ca="1" si="600"/>
        <v>8.7422482321882384</v>
      </c>
      <c r="Y1235">
        <f t="shared" ca="1" si="601"/>
        <v>1.0210040408598577</v>
      </c>
      <c r="Z1235">
        <f t="shared" ca="1" si="602"/>
        <v>5.828020281145335</v>
      </c>
      <c r="AA1235">
        <f t="shared" ca="1" si="603"/>
        <v>633.65820158311305</v>
      </c>
      <c r="AB1235">
        <f t="shared" ca="1" si="604"/>
        <v>635.38938508960848</v>
      </c>
      <c r="AC1235">
        <f t="shared" ca="1" si="605"/>
        <v>7.4334087132745834E-3</v>
      </c>
      <c r="AD1235">
        <f t="shared" ca="1" si="606"/>
        <v>1.4350817964322931</v>
      </c>
      <c r="AE1235">
        <f t="shared" ca="1" si="607"/>
        <v>37.617612682468497</v>
      </c>
      <c r="AF1235">
        <f t="shared" ca="1" si="608"/>
        <v>6.9334087132801869E-3</v>
      </c>
      <c r="AG1235">
        <f t="shared" ca="1" si="609"/>
        <v>0</v>
      </c>
      <c r="AH1235">
        <f ca="1">IFERROR(IF(V32="Supercritical",MAX($D$16,IFERROR(L1235,MAX($D$16,POWER((ABS(K1235)^2)/($I$5*MAX(F1235,0.1)^2),1/3)))),IF(V32="Subcritical",MAX($D$16,IFERROR(W1235,MAX($D$16,POWER((ABS(K1235)^2)/($I$5*MAX(F1235,0.1)^2),1/3)))),IF(AND(IFERROR(V1235,0)=1,IFERROR(AG1235,0)=1),IF(IFERROR(T1235,-1E+99)&gt;=IFERROR(AE1235,-1E+99),MAX($D$16,IFERROR(L1235,MAX($D$16,POWER((ABS(K1235)^2)/($I$5*MAX(F1235,0.1)^2),1/3)))),MAX($D$16,IFERROR(W1235,MAX($D$16,POWER((ABS(K1235)^2)/($I$5*MAX(F1235,0.1)^2),1/3))))),IF(IFERROR(V1235,0)=1,MAX($D$16,IFERROR(L1235,MAX($D$16,POWER((ABS(K1235)^2)/($I$5*MAX(F1235,0.1)^2),1/3)))),IF(IFERROR(AG1235,0)=1,MAX($D$16,IFERROR(W1235,MAX($D$16,POWER((ABS(K1235)^2)/($I$5*MAX(F1235,0.1)^2),1/3)))),MAX($D$16,POWER((ABS(K1235)^2)/($I$5*MAX(F1235,0.1)^2),1/3))))))),MAX($D$16,POWER((ABS(K1235)^2)/($I$5*MAX(F1235,0.1)^2),1/3)))</f>
        <v>2.1389677043987478</v>
      </c>
      <c r="AI1235">
        <f t="shared" ca="1" si="610"/>
        <v>634.11596770439871</v>
      </c>
      <c r="AJ1235">
        <f t="shared" ca="1" si="611"/>
        <v>635.18545155659808</v>
      </c>
      <c r="AM1235">
        <v>0</v>
      </c>
      <c r="AN1235">
        <v>0</v>
      </c>
      <c r="AO1235">
        <f t="shared" si="612"/>
        <v>0</v>
      </c>
      <c r="AP1235">
        <f t="shared" si="621"/>
        <v>0</v>
      </c>
      <c r="AQ1235">
        <f t="shared" ca="1" si="613"/>
        <v>1.0000000000000004</v>
      </c>
      <c r="AR1235" t="str">
        <f t="shared" ca="1" si="614"/>
        <v>Supercritical</v>
      </c>
      <c r="AS1235">
        <f t="shared" ca="1" si="615"/>
        <v>3.8141460404132466E-3</v>
      </c>
    </row>
    <row r="1236" spans="1:45" x14ac:dyDescent="0.35">
      <c r="A1236">
        <v>1175</v>
      </c>
      <c r="B1236">
        <v>1173.9960000000001</v>
      </c>
      <c r="C1236">
        <v>616073.93999999994</v>
      </c>
      <c r="D1236">
        <v>3096833.2119999998</v>
      </c>
      <c r="E1236">
        <v>631.97649999999999</v>
      </c>
      <c r="F1236">
        <v>5.2</v>
      </c>
      <c r="G1236">
        <v>0</v>
      </c>
      <c r="H1236" t="s">
        <v>154</v>
      </c>
      <c r="I1236">
        <v>0</v>
      </c>
      <c r="J1236">
        <f t="shared" si="616"/>
        <v>1</v>
      </c>
      <c r="K1236">
        <f t="shared" ca="1" si="617"/>
        <v>50.95</v>
      </c>
      <c r="L1236">
        <f t="shared" ca="1" si="618"/>
        <v>2.1389677043987478</v>
      </c>
      <c r="M1236">
        <f t="shared" ca="1" si="591"/>
        <v>11.122632062873489</v>
      </c>
      <c r="N1236">
        <f t="shared" ca="1" si="592"/>
        <v>1.1735290000551568</v>
      </c>
      <c r="O1236">
        <f t="shared" ca="1" si="593"/>
        <v>4.5807502857230418</v>
      </c>
      <c r="P1236">
        <f t="shared" ca="1" si="594"/>
        <v>634.11546770439872</v>
      </c>
      <c r="Q1236">
        <f t="shared" ca="1" si="595"/>
        <v>635.18495155659809</v>
      </c>
      <c r="R1236">
        <f t="shared" ca="1" si="596"/>
        <v>3.8141460404132466E-3</v>
      </c>
      <c r="S1236">
        <f t="shared" ca="1" si="597"/>
        <v>1.0000000000000004</v>
      </c>
      <c r="T1236">
        <f t="shared" ca="1" si="598"/>
        <v>35.686426155594638</v>
      </c>
      <c r="U1236">
        <f t="shared" ca="1" si="619"/>
        <v>-3.3141460404522149E-3</v>
      </c>
      <c r="V1236">
        <f t="shared" ca="1" si="620"/>
        <v>1</v>
      </c>
      <c r="W1236">
        <f t="shared" ca="1" si="599"/>
        <v>1.6812015620148295</v>
      </c>
      <c r="X1236">
        <f t="shared" ca="1" si="600"/>
        <v>8.7422481224771129</v>
      </c>
      <c r="Y1236">
        <f t="shared" ca="1" si="601"/>
        <v>1.0210040330783696</v>
      </c>
      <c r="Z1236">
        <f t="shared" ca="1" si="602"/>
        <v>5.8280203542842637</v>
      </c>
      <c r="AA1236">
        <f t="shared" ca="1" si="603"/>
        <v>633.65770156201484</v>
      </c>
      <c r="AB1236">
        <f t="shared" ca="1" si="604"/>
        <v>635.38888511196137</v>
      </c>
      <c r="AC1236">
        <f t="shared" ca="1" si="605"/>
        <v>7.4334089753835819E-3</v>
      </c>
      <c r="AD1236">
        <f t="shared" ca="1" si="606"/>
        <v>1.4350818234467011</v>
      </c>
      <c r="AE1236">
        <f t="shared" ca="1" si="607"/>
        <v>37.617612877882166</v>
      </c>
      <c r="AF1236">
        <f t="shared" ca="1" si="608"/>
        <v>6.9334089754420347E-3</v>
      </c>
      <c r="AG1236">
        <f t="shared" ca="1" si="609"/>
        <v>0</v>
      </c>
      <c r="AH1236">
        <f ca="1">IFERROR(IF(V32="Supercritical",MAX($D$16,IFERROR(L1236,MAX($D$16,POWER((ABS(K1236)^2)/($I$5*MAX(F1236,0.1)^2),1/3)))),IF(V32="Subcritical",MAX($D$16,IFERROR(W1236,MAX($D$16,POWER((ABS(K1236)^2)/($I$5*MAX(F1236,0.1)^2),1/3)))),IF(AND(IFERROR(V1236,0)=1,IFERROR(AG1236,0)=1),IF(IFERROR(T1236,-1E+99)&gt;=IFERROR(AE1236,-1E+99),MAX($D$16,IFERROR(L1236,MAX($D$16,POWER((ABS(K1236)^2)/($I$5*MAX(F1236,0.1)^2),1/3)))),MAX($D$16,IFERROR(W1236,MAX($D$16,POWER((ABS(K1236)^2)/($I$5*MAX(F1236,0.1)^2),1/3))))),IF(IFERROR(V1236,0)=1,MAX($D$16,IFERROR(L1236,MAX($D$16,POWER((ABS(K1236)^2)/($I$5*MAX(F1236,0.1)^2),1/3)))),IF(IFERROR(AG1236,0)=1,MAX($D$16,IFERROR(W1236,MAX($D$16,POWER((ABS(K1236)^2)/($I$5*MAX(F1236,0.1)^2),1/3)))),MAX($D$16,POWER((ABS(K1236)^2)/($I$5*MAX(F1236,0.1)^2),1/3))))))),MAX($D$16,POWER((ABS(K1236)^2)/($I$5*MAX(F1236,0.1)^2),1/3)))</f>
        <v>2.1389677043987478</v>
      </c>
      <c r="AI1236">
        <f t="shared" ca="1" si="610"/>
        <v>634.11546770439872</v>
      </c>
      <c r="AJ1236">
        <f t="shared" ca="1" si="611"/>
        <v>635.18495155659809</v>
      </c>
      <c r="AM1236">
        <v>0</v>
      </c>
      <c r="AN1236">
        <v>0</v>
      </c>
      <c r="AO1236">
        <f t="shared" si="612"/>
        <v>0</v>
      </c>
      <c r="AP1236">
        <f t="shared" si="621"/>
        <v>0</v>
      </c>
      <c r="AQ1236">
        <f t="shared" ca="1" si="613"/>
        <v>1.0000000000000004</v>
      </c>
      <c r="AR1236" t="str">
        <f t="shared" ca="1" si="614"/>
        <v>Supercritical</v>
      </c>
      <c r="AS1236">
        <f t="shared" ca="1" si="615"/>
        <v>3.8141460404132466E-3</v>
      </c>
    </row>
    <row r="1237" spans="1:45" x14ac:dyDescent="0.35">
      <c r="A1237">
        <v>1176</v>
      </c>
      <c r="B1237">
        <v>1174.9960000000001</v>
      </c>
      <c r="C1237">
        <v>616073.89800000004</v>
      </c>
      <c r="D1237">
        <v>3096832.213</v>
      </c>
      <c r="E1237">
        <v>631.976</v>
      </c>
      <c r="F1237">
        <v>5.2</v>
      </c>
      <c r="G1237">
        <v>0</v>
      </c>
      <c r="H1237" t="s">
        <v>154</v>
      </c>
      <c r="I1237">
        <v>0</v>
      </c>
      <c r="J1237">
        <f t="shared" si="616"/>
        <v>1</v>
      </c>
      <c r="K1237">
        <f t="shared" ca="1" si="617"/>
        <v>50.95</v>
      </c>
      <c r="L1237">
        <f t="shared" ca="1" si="618"/>
        <v>2.1389677043987478</v>
      </c>
      <c r="M1237">
        <f t="shared" ca="1" si="591"/>
        <v>11.122632062873489</v>
      </c>
      <c r="N1237">
        <f t="shared" ca="1" si="592"/>
        <v>1.1735290000551568</v>
      </c>
      <c r="O1237">
        <f t="shared" ca="1" si="593"/>
        <v>4.5807502857230418</v>
      </c>
      <c r="P1237">
        <f t="shared" ca="1" si="594"/>
        <v>634.11496770439874</v>
      </c>
      <c r="Q1237">
        <f t="shared" ca="1" si="595"/>
        <v>635.18445155659811</v>
      </c>
      <c r="R1237">
        <f t="shared" ca="1" si="596"/>
        <v>3.8141460404132466E-3</v>
      </c>
      <c r="S1237">
        <f t="shared" ca="1" si="597"/>
        <v>1.0000000000000004</v>
      </c>
      <c r="T1237">
        <f t="shared" ca="1" si="598"/>
        <v>35.686426155594638</v>
      </c>
      <c r="U1237">
        <f t="shared" ca="1" si="619"/>
        <v>-3.3141460404522149E-3</v>
      </c>
      <c r="V1237">
        <f t="shared" ca="1" si="620"/>
        <v>1</v>
      </c>
      <c r="W1237">
        <f t="shared" ca="1" si="599"/>
        <v>1.6812015422945059</v>
      </c>
      <c r="X1237">
        <f t="shared" ca="1" si="600"/>
        <v>8.7422480199314307</v>
      </c>
      <c r="Y1237">
        <f t="shared" ca="1" si="601"/>
        <v>1.0210040258051052</v>
      </c>
      <c r="Z1237">
        <f t="shared" ca="1" si="602"/>
        <v>5.8280204226463512</v>
      </c>
      <c r="AA1237">
        <f t="shared" ca="1" si="603"/>
        <v>633.6572015422945</v>
      </c>
      <c r="AB1237">
        <f t="shared" ca="1" si="604"/>
        <v>635.3883851328543</v>
      </c>
      <c r="AC1237">
        <f t="shared" ca="1" si="605"/>
        <v>7.4334092203737464E-3</v>
      </c>
      <c r="AD1237">
        <f t="shared" ca="1" si="606"/>
        <v>1.4350818486967474</v>
      </c>
      <c r="AE1237">
        <f t="shared" ca="1" si="607"/>
        <v>37.61761306053301</v>
      </c>
      <c r="AF1237">
        <f t="shared" ca="1" si="608"/>
        <v>7.0978716615854864E-3</v>
      </c>
      <c r="AG1237">
        <f t="shared" ca="1" si="609"/>
        <v>0</v>
      </c>
      <c r="AH1237">
        <f ca="1">IFERROR(IF(V32="Supercritical",MAX($D$16,IFERROR(L1237,MAX($D$16,POWER((ABS(K1237)^2)/($I$5*MAX(F1237,0.1)^2),1/3)))),IF(V32="Subcritical",MAX($D$16,IFERROR(W1237,MAX($D$16,POWER((ABS(K1237)^2)/($I$5*MAX(F1237,0.1)^2),1/3)))),IF(AND(IFERROR(V1237,0)=1,IFERROR(AG1237,0)=1),IF(IFERROR(T1237,-1E+99)&gt;=IFERROR(AE1237,-1E+99),MAX($D$16,IFERROR(L1237,MAX($D$16,POWER((ABS(K1237)^2)/($I$5*MAX(F1237,0.1)^2),1/3)))),MAX($D$16,IFERROR(W1237,MAX($D$16,POWER((ABS(K1237)^2)/($I$5*MAX(F1237,0.1)^2),1/3))))),IF(IFERROR(V1237,0)=1,MAX($D$16,IFERROR(L1237,MAX($D$16,POWER((ABS(K1237)^2)/($I$5*MAX(F1237,0.1)^2),1/3)))),IF(IFERROR(AG1237,0)=1,MAX($D$16,IFERROR(W1237,MAX($D$16,POWER((ABS(K1237)^2)/($I$5*MAX(F1237,0.1)^2),1/3)))),MAX($D$16,POWER((ABS(K1237)^2)/($I$5*MAX(F1237,0.1)^2),1/3))))))),MAX($D$16,POWER((ABS(K1237)^2)/($I$5*MAX(F1237,0.1)^2),1/3)))</f>
        <v>2.1389677043987478</v>
      </c>
      <c r="AI1237">
        <f t="shared" ca="1" si="610"/>
        <v>634.11496770439874</v>
      </c>
      <c r="AJ1237">
        <f t="shared" ca="1" si="611"/>
        <v>635.18445155659811</v>
      </c>
      <c r="AM1237">
        <v>0</v>
      </c>
      <c r="AN1237">
        <v>0</v>
      </c>
      <c r="AO1237">
        <f t="shared" si="612"/>
        <v>0</v>
      </c>
      <c r="AP1237">
        <f t="shared" si="621"/>
        <v>0</v>
      </c>
      <c r="AQ1237">
        <f t="shared" ca="1" si="613"/>
        <v>1.0000000000000004</v>
      </c>
      <c r="AR1237" t="str">
        <f t="shared" ca="1" si="614"/>
        <v>Supercritical</v>
      </c>
      <c r="AS1237">
        <f t="shared" ca="1" si="615"/>
        <v>3.8141460404132466E-3</v>
      </c>
    </row>
    <row r="1238" spans="1:45" x14ac:dyDescent="0.35">
      <c r="A1238">
        <v>1177</v>
      </c>
      <c r="B1238">
        <v>1175.9960000000001</v>
      </c>
      <c r="C1238">
        <v>616073.85600000003</v>
      </c>
      <c r="D1238">
        <v>3096831.2140000002</v>
      </c>
      <c r="E1238">
        <v>631.97550000000001</v>
      </c>
      <c r="F1238">
        <v>5.2</v>
      </c>
      <c r="G1238">
        <v>0</v>
      </c>
      <c r="H1238" t="s">
        <v>154</v>
      </c>
      <c r="I1238">
        <v>5.7000000000000002E-2</v>
      </c>
      <c r="J1238">
        <f t="shared" si="616"/>
        <v>1</v>
      </c>
      <c r="K1238">
        <f t="shared" ca="1" si="617"/>
        <v>50.95</v>
      </c>
      <c r="L1238">
        <f t="shared" ca="1" si="618"/>
        <v>2.1389677043987478</v>
      </c>
      <c r="M1238">
        <f t="shared" ca="1" si="591"/>
        <v>11.122632062873489</v>
      </c>
      <c r="N1238">
        <f t="shared" ca="1" si="592"/>
        <v>1.1735290000551568</v>
      </c>
      <c r="O1238">
        <f t="shared" ca="1" si="593"/>
        <v>4.5807502857230418</v>
      </c>
      <c r="P1238">
        <f t="shared" ca="1" si="594"/>
        <v>634.11446770439875</v>
      </c>
      <c r="Q1238">
        <f t="shared" ca="1" si="595"/>
        <v>635.18395155659812</v>
      </c>
      <c r="R1238">
        <f t="shared" ca="1" si="596"/>
        <v>3.8141460404132466E-3</v>
      </c>
      <c r="S1238">
        <f t="shared" ca="1" si="597"/>
        <v>1.0000000000000004</v>
      </c>
      <c r="T1238">
        <f t="shared" ca="1" si="598"/>
        <v>35.686426155594638</v>
      </c>
      <c r="U1238">
        <f t="shared" ca="1" si="619"/>
        <v>-3.4157470064428708E-3</v>
      </c>
      <c r="V1238">
        <f t="shared" ca="1" si="620"/>
        <v>1</v>
      </c>
      <c r="W1238">
        <f t="shared" ca="1" si="599"/>
        <v>1.6812015238621463</v>
      </c>
      <c r="X1238">
        <f t="shared" ca="1" si="600"/>
        <v>8.742247924083161</v>
      </c>
      <c r="Y1238">
        <f t="shared" ca="1" si="601"/>
        <v>1.0210040190068683</v>
      </c>
      <c r="Z1238">
        <f t="shared" ca="1" si="602"/>
        <v>5.8280204865436094</v>
      </c>
      <c r="AA1238">
        <f t="shared" ca="1" si="603"/>
        <v>633.65670152386213</v>
      </c>
      <c r="AB1238">
        <f t="shared" ca="1" si="604"/>
        <v>635.38788515238264</v>
      </c>
      <c r="AC1238">
        <f t="shared" ca="1" si="605"/>
        <v>7.4334094493632491E-3</v>
      </c>
      <c r="AD1238">
        <f t="shared" ca="1" si="606"/>
        <v>1.4350818722976757</v>
      </c>
      <c r="AE1238">
        <f t="shared" ca="1" si="607"/>
        <v>37.617613231254659</v>
      </c>
      <c r="AF1238">
        <f t="shared" ca="1" si="608"/>
        <v>7.0904384846244284E-3</v>
      </c>
      <c r="AG1238">
        <f t="shared" ca="1" si="609"/>
        <v>0</v>
      </c>
      <c r="AH1238">
        <f ca="1">IFERROR(IF(V32="Supercritical",MAX($D$16,IFERROR(L1238,MAX($D$16,POWER((ABS(K1238)^2)/($I$5*MAX(F1238,0.1)^2),1/3)))),IF(V32="Subcritical",MAX($D$16,IFERROR(W1238,MAX($D$16,POWER((ABS(K1238)^2)/($I$5*MAX(F1238,0.1)^2),1/3)))),IF(AND(IFERROR(V1238,0)=1,IFERROR(AG1238,0)=1),IF(IFERROR(T1238,-1E+99)&gt;=IFERROR(AE1238,-1E+99),MAX($D$16,IFERROR(L1238,MAX($D$16,POWER((ABS(K1238)^2)/($I$5*MAX(F1238,0.1)^2),1/3)))),MAX($D$16,IFERROR(W1238,MAX($D$16,POWER((ABS(K1238)^2)/($I$5*MAX(F1238,0.1)^2),1/3))))),IF(IFERROR(V1238,0)=1,MAX($D$16,IFERROR(L1238,MAX($D$16,POWER((ABS(K1238)^2)/($I$5*MAX(F1238,0.1)^2),1/3)))),IF(IFERROR(AG1238,0)=1,MAX($D$16,IFERROR(W1238,MAX($D$16,POWER((ABS(K1238)^2)/($I$5*MAX(F1238,0.1)^2),1/3)))),MAX($D$16,POWER((ABS(K1238)^2)/($I$5*MAX(F1238,0.1)^2),1/3))))))),MAX($D$16,POWER((ABS(K1238)^2)/($I$5*MAX(F1238,0.1)^2),1/3)))</f>
        <v>2.1389677043987478</v>
      </c>
      <c r="AI1238">
        <f t="shared" ca="1" si="610"/>
        <v>634.11446770439875</v>
      </c>
      <c r="AJ1238">
        <f t="shared" ca="1" si="611"/>
        <v>635.18395155659812</v>
      </c>
      <c r="AM1238">
        <v>0</v>
      </c>
      <c r="AN1238">
        <v>0</v>
      </c>
      <c r="AO1238">
        <f t="shared" si="612"/>
        <v>0</v>
      </c>
      <c r="AP1238">
        <f t="shared" si="621"/>
        <v>0</v>
      </c>
      <c r="AQ1238">
        <f t="shared" ca="1" si="613"/>
        <v>1.0000000000000004</v>
      </c>
      <c r="AR1238" t="str">
        <f t="shared" ca="1" si="614"/>
        <v>Supercritical</v>
      </c>
      <c r="AS1238">
        <f t="shared" ca="1" si="615"/>
        <v>3.8141460404132466E-3</v>
      </c>
    </row>
    <row r="1239" spans="1:45" x14ac:dyDescent="0.35">
      <c r="A1239">
        <v>1178</v>
      </c>
      <c r="B1239">
        <v>1176.9949999999999</v>
      </c>
      <c r="C1239">
        <v>616073.81299999997</v>
      </c>
      <c r="D1239">
        <v>3096830.2149999999</v>
      </c>
      <c r="E1239">
        <v>631.97500000000002</v>
      </c>
      <c r="F1239">
        <v>5.2</v>
      </c>
      <c r="G1239">
        <v>0</v>
      </c>
      <c r="H1239" t="s">
        <v>154</v>
      </c>
      <c r="I1239">
        <v>5.7000000000000002E-2</v>
      </c>
      <c r="J1239">
        <f t="shared" si="616"/>
        <v>0.99899999999979627</v>
      </c>
      <c r="K1239">
        <f t="shared" ca="1" si="617"/>
        <v>50.95</v>
      </c>
      <c r="L1239">
        <f t="shared" ca="1" si="618"/>
        <v>2.1389677043987478</v>
      </c>
      <c r="M1239">
        <f t="shared" ca="1" si="591"/>
        <v>11.122632062873489</v>
      </c>
      <c r="N1239">
        <f t="shared" ca="1" si="592"/>
        <v>1.1735290000551568</v>
      </c>
      <c r="O1239">
        <f t="shared" ca="1" si="593"/>
        <v>4.5807502857230418</v>
      </c>
      <c r="P1239">
        <f t="shared" ca="1" si="594"/>
        <v>634.11396770439876</v>
      </c>
      <c r="Q1239">
        <f t="shared" ca="1" si="595"/>
        <v>635.18345155659813</v>
      </c>
      <c r="R1239">
        <f t="shared" ca="1" si="596"/>
        <v>3.8141460404132466E-3</v>
      </c>
      <c r="S1239">
        <f t="shared" ca="1" si="597"/>
        <v>1.0000000000000004</v>
      </c>
      <c r="T1239">
        <f t="shared" ca="1" si="598"/>
        <v>35.686426155594638</v>
      </c>
      <c r="U1239">
        <f t="shared" ca="1" si="619"/>
        <v>-3.411932860331035E-3</v>
      </c>
      <c r="V1239">
        <f t="shared" ca="1" si="620"/>
        <v>1</v>
      </c>
      <c r="W1239">
        <f t="shared" ca="1" si="599"/>
        <v>1.681201506633645</v>
      </c>
      <c r="X1239">
        <f t="shared" ca="1" si="600"/>
        <v>8.7422478344949539</v>
      </c>
      <c r="Y1239">
        <f t="shared" ca="1" si="601"/>
        <v>1.0210040126526394</v>
      </c>
      <c r="Z1239">
        <f t="shared" ca="1" si="602"/>
        <v>5.8280205462675978</v>
      </c>
      <c r="AA1239">
        <f t="shared" ca="1" si="603"/>
        <v>633.65620150663369</v>
      </c>
      <c r="AB1239">
        <f t="shared" ca="1" si="604"/>
        <v>635.38738517063564</v>
      </c>
      <c r="AC1239">
        <f t="shared" ca="1" si="605"/>
        <v>7.4334096633969539E-3</v>
      </c>
      <c r="AD1239">
        <f t="shared" ca="1" si="606"/>
        <v>1.4350818943571761</v>
      </c>
      <c r="AE1239">
        <f t="shared" ca="1" si="607"/>
        <v>37.617613390826108</v>
      </c>
      <c r="AF1239">
        <f t="shared" ca="1" si="608"/>
        <v>6.9334096633610898E-3</v>
      </c>
      <c r="AG1239">
        <f t="shared" ca="1" si="609"/>
        <v>0</v>
      </c>
      <c r="AH1239">
        <f ca="1">IFERROR(IF(V32="Supercritical",MAX($D$16,IFERROR(L1239,MAX($D$16,POWER((ABS(K1239)^2)/($I$5*MAX(F1239,0.1)^2),1/3)))),IF(V32="Subcritical",MAX($D$16,IFERROR(W1239,MAX($D$16,POWER((ABS(K1239)^2)/($I$5*MAX(F1239,0.1)^2),1/3)))),IF(AND(IFERROR(V1239,0)=1,IFERROR(AG1239,0)=1),IF(IFERROR(T1239,-1E+99)&gt;=IFERROR(AE1239,-1E+99),MAX($D$16,IFERROR(L1239,MAX($D$16,POWER((ABS(K1239)^2)/($I$5*MAX(F1239,0.1)^2),1/3)))),MAX($D$16,IFERROR(W1239,MAX($D$16,POWER((ABS(K1239)^2)/($I$5*MAX(F1239,0.1)^2),1/3))))),IF(IFERROR(V1239,0)=1,MAX($D$16,IFERROR(L1239,MAX($D$16,POWER((ABS(K1239)^2)/($I$5*MAX(F1239,0.1)^2),1/3)))),IF(IFERROR(AG1239,0)=1,MAX($D$16,IFERROR(W1239,MAX($D$16,POWER((ABS(K1239)^2)/($I$5*MAX(F1239,0.1)^2),1/3)))),MAX($D$16,POWER((ABS(K1239)^2)/($I$5*MAX(F1239,0.1)^2),1/3))))))),MAX($D$16,POWER((ABS(K1239)^2)/($I$5*MAX(F1239,0.1)^2),1/3)))</f>
        <v>2.1389677043987478</v>
      </c>
      <c r="AI1239">
        <f t="shared" ca="1" si="610"/>
        <v>634.11396770439876</v>
      </c>
      <c r="AJ1239">
        <f t="shared" ca="1" si="611"/>
        <v>635.18345155659813</v>
      </c>
      <c r="AM1239">
        <v>0</v>
      </c>
      <c r="AN1239">
        <v>0</v>
      </c>
      <c r="AO1239">
        <f t="shared" si="612"/>
        <v>0</v>
      </c>
      <c r="AP1239">
        <f t="shared" si="621"/>
        <v>0</v>
      </c>
      <c r="AQ1239">
        <f t="shared" ca="1" si="613"/>
        <v>1.0000000000000004</v>
      </c>
      <c r="AR1239" t="str">
        <f t="shared" ca="1" si="614"/>
        <v>Supercritical</v>
      </c>
      <c r="AS1239">
        <f t="shared" ca="1" si="615"/>
        <v>3.8141460404132466E-3</v>
      </c>
    </row>
    <row r="1240" spans="1:45" x14ac:dyDescent="0.35">
      <c r="A1240">
        <v>1179</v>
      </c>
      <c r="B1240">
        <v>1177.9949999999999</v>
      </c>
      <c r="C1240">
        <v>616073.77099999995</v>
      </c>
      <c r="D1240">
        <v>3096829.216</v>
      </c>
      <c r="E1240">
        <v>631.97450000000003</v>
      </c>
      <c r="F1240">
        <v>5.2</v>
      </c>
      <c r="G1240">
        <v>0</v>
      </c>
      <c r="H1240" t="s">
        <v>154</v>
      </c>
      <c r="I1240">
        <v>0</v>
      </c>
      <c r="J1240">
        <f t="shared" si="616"/>
        <v>1</v>
      </c>
      <c r="K1240">
        <f t="shared" ca="1" si="617"/>
        <v>50.95</v>
      </c>
      <c r="L1240">
        <f t="shared" ca="1" si="618"/>
        <v>2.1389677043987478</v>
      </c>
      <c r="M1240">
        <f t="shared" ca="1" si="591"/>
        <v>11.122632062873489</v>
      </c>
      <c r="N1240">
        <f t="shared" ca="1" si="592"/>
        <v>1.1735290000551568</v>
      </c>
      <c r="O1240">
        <f t="shared" ca="1" si="593"/>
        <v>4.5807502857230418</v>
      </c>
      <c r="P1240">
        <f t="shared" ca="1" si="594"/>
        <v>634.11346770439877</v>
      </c>
      <c r="Q1240">
        <f t="shared" ca="1" si="595"/>
        <v>635.18295155659814</v>
      </c>
      <c r="R1240">
        <f t="shared" ca="1" si="596"/>
        <v>3.8141460404132466E-3</v>
      </c>
      <c r="S1240">
        <f t="shared" ca="1" si="597"/>
        <v>1.0000000000000004</v>
      </c>
      <c r="T1240">
        <f t="shared" ca="1" si="598"/>
        <v>35.686426155594638</v>
      </c>
      <c r="U1240">
        <f t="shared" ca="1" si="619"/>
        <v>-3.3141460404522149E-3</v>
      </c>
      <c r="V1240">
        <f t="shared" ca="1" si="620"/>
        <v>1</v>
      </c>
      <c r="W1240">
        <f t="shared" ca="1" si="599"/>
        <v>1.6812014905303534</v>
      </c>
      <c r="X1240">
        <f t="shared" ca="1" si="600"/>
        <v>8.7422477507578371</v>
      </c>
      <c r="Y1240">
        <f t="shared" ca="1" si="601"/>
        <v>1.0210040067134112</v>
      </c>
      <c r="Z1240">
        <f t="shared" ca="1" si="602"/>
        <v>5.8280206020909571</v>
      </c>
      <c r="AA1240">
        <f t="shared" ca="1" si="603"/>
        <v>633.65570149053042</v>
      </c>
      <c r="AB1240">
        <f t="shared" ca="1" si="604"/>
        <v>635.38688518769641</v>
      </c>
      <c r="AC1240">
        <f t="shared" ca="1" si="605"/>
        <v>7.4334098634519195E-3</v>
      </c>
      <c r="AD1240">
        <f t="shared" ca="1" si="606"/>
        <v>1.4350819149759502</v>
      </c>
      <c r="AE1240">
        <f t="shared" ca="1" si="607"/>
        <v>37.6176135399758</v>
      </c>
      <c r="AF1240">
        <f t="shared" ca="1" si="608"/>
        <v>6.9391804757970021E-3</v>
      </c>
      <c r="AG1240">
        <f t="shared" ca="1" si="609"/>
        <v>0</v>
      </c>
      <c r="AH1240">
        <f ca="1">IFERROR(IF(V32="Supercritical",MAX($D$16,IFERROR(L1240,MAX($D$16,POWER((ABS(K1240)^2)/($I$5*MAX(F1240,0.1)^2),1/3)))),IF(V32="Subcritical",MAX($D$16,IFERROR(W1240,MAX($D$16,POWER((ABS(K1240)^2)/($I$5*MAX(F1240,0.1)^2),1/3)))),IF(AND(IFERROR(V1240,0)=1,IFERROR(AG1240,0)=1),IF(IFERROR(T1240,-1E+99)&gt;=IFERROR(AE1240,-1E+99),MAX($D$16,IFERROR(L1240,MAX($D$16,POWER((ABS(K1240)^2)/($I$5*MAX(F1240,0.1)^2),1/3)))),MAX($D$16,IFERROR(W1240,MAX($D$16,POWER((ABS(K1240)^2)/($I$5*MAX(F1240,0.1)^2),1/3))))),IF(IFERROR(V1240,0)=1,MAX($D$16,IFERROR(L1240,MAX($D$16,POWER((ABS(K1240)^2)/($I$5*MAX(F1240,0.1)^2),1/3)))),IF(IFERROR(AG1240,0)=1,MAX($D$16,IFERROR(W1240,MAX($D$16,POWER((ABS(K1240)^2)/($I$5*MAX(F1240,0.1)^2),1/3)))),MAX($D$16,POWER((ABS(K1240)^2)/($I$5*MAX(F1240,0.1)^2),1/3))))))),MAX($D$16,POWER((ABS(K1240)^2)/($I$5*MAX(F1240,0.1)^2),1/3)))</f>
        <v>2.1389677043987478</v>
      </c>
      <c r="AI1240">
        <f t="shared" ca="1" si="610"/>
        <v>634.11346770439877</v>
      </c>
      <c r="AJ1240">
        <f t="shared" ca="1" si="611"/>
        <v>635.18295155659814</v>
      </c>
      <c r="AM1240">
        <v>0</v>
      </c>
      <c r="AN1240">
        <v>0</v>
      </c>
      <c r="AO1240">
        <f t="shared" si="612"/>
        <v>0</v>
      </c>
      <c r="AP1240">
        <f t="shared" si="621"/>
        <v>0</v>
      </c>
      <c r="AQ1240">
        <f t="shared" ca="1" si="613"/>
        <v>1.0000000000000004</v>
      </c>
      <c r="AR1240" t="str">
        <f t="shared" ca="1" si="614"/>
        <v>Supercritical</v>
      </c>
      <c r="AS1240">
        <f t="shared" ca="1" si="615"/>
        <v>3.8141460404132466E-3</v>
      </c>
    </row>
    <row r="1241" spans="1:45" x14ac:dyDescent="0.35">
      <c r="A1241">
        <v>1180</v>
      </c>
      <c r="B1241">
        <v>1178.9949999999999</v>
      </c>
      <c r="C1241">
        <v>616073.72900000005</v>
      </c>
      <c r="D1241">
        <v>3096828.2170000002</v>
      </c>
      <c r="E1241">
        <v>631.97400000000005</v>
      </c>
      <c r="F1241">
        <v>5.2</v>
      </c>
      <c r="G1241">
        <v>0</v>
      </c>
      <c r="H1241" t="s">
        <v>154</v>
      </c>
      <c r="I1241">
        <v>2E-3</v>
      </c>
      <c r="J1241">
        <f t="shared" si="616"/>
        <v>1</v>
      </c>
      <c r="K1241">
        <f t="shared" ca="1" si="617"/>
        <v>50.95</v>
      </c>
      <c r="L1241">
        <f t="shared" ca="1" si="618"/>
        <v>2.1389677043987478</v>
      </c>
      <c r="M1241">
        <f t="shared" ca="1" si="591"/>
        <v>11.122632062873489</v>
      </c>
      <c r="N1241">
        <f t="shared" ca="1" si="592"/>
        <v>1.1735290000551568</v>
      </c>
      <c r="O1241">
        <f t="shared" ca="1" si="593"/>
        <v>4.5807502857230418</v>
      </c>
      <c r="P1241">
        <f t="shared" ca="1" si="594"/>
        <v>634.11296770439878</v>
      </c>
      <c r="Q1241">
        <f t="shared" ca="1" si="595"/>
        <v>635.18245155659815</v>
      </c>
      <c r="R1241">
        <f t="shared" ca="1" si="596"/>
        <v>3.8141460404132466E-3</v>
      </c>
      <c r="S1241">
        <f t="shared" ca="1" si="597"/>
        <v>1.0000000000000004</v>
      </c>
      <c r="T1241">
        <f t="shared" ca="1" si="598"/>
        <v>35.686426155594638</v>
      </c>
      <c r="U1241">
        <f t="shared" ca="1" si="619"/>
        <v>-3.3177109866073806E-3</v>
      </c>
      <c r="V1241">
        <f t="shared" ca="1" si="620"/>
        <v>1</v>
      </c>
      <c r="W1241">
        <f t="shared" ca="1" si="599"/>
        <v>1.6812014754788072</v>
      </c>
      <c r="X1241">
        <f t="shared" ca="1" si="600"/>
        <v>8.7422476724897979</v>
      </c>
      <c r="Y1241">
        <f t="shared" ca="1" si="601"/>
        <v>1.0210040011620884</v>
      </c>
      <c r="Z1241">
        <f t="shared" ca="1" si="602"/>
        <v>5.8280206542683555</v>
      </c>
      <c r="AA1241">
        <f t="shared" ca="1" si="603"/>
        <v>633.65520147547886</v>
      </c>
      <c r="AB1241">
        <f t="shared" ca="1" si="604"/>
        <v>635.38638520364293</v>
      </c>
      <c r="AC1241">
        <f t="shared" ca="1" si="605"/>
        <v>7.4334100504408127E-3</v>
      </c>
      <c r="AD1241">
        <f t="shared" ca="1" si="606"/>
        <v>1.4350819342480619</v>
      </c>
      <c r="AE1241">
        <f t="shared" ca="1" si="607"/>
        <v>37.617613679384164</v>
      </c>
      <c r="AF1241">
        <f t="shared" ca="1" si="608"/>
        <v>7.1139618331699239E-3</v>
      </c>
      <c r="AG1241">
        <f t="shared" ca="1" si="609"/>
        <v>0</v>
      </c>
      <c r="AH1241">
        <f ca="1">IFERROR(IF(V32="Supercritical",MAX($D$16,IFERROR(L1241,MAX($D$16,POWER((ABS(K1241)^2)/($I$5*MAX(F1241,0.1)^2),1/3)))),IF(V32="Subcritical",MAX($D$16,IFERROR(W1241,MAX($D$16,POWER((ABS(K1241)^2)/($I$5*MAX(F1241,0.1)^2),1/3)))),IF(AND(IFERROR(V1241,0)=1,IFERROR(AG1241,0)=1),IF(IFERROR(T1241,-1E+99)&gt;=IFERROR(AE1241,-1E+99),MAX($D$16,IFERROR(L1241,MAX($D$16,POWER((ABS(K1241)^2)/($I$5*MAX(F1241,0.1)^2),1/3)))),MAX($D$16,IFERROR(W1241,MAX($D$16,POWER((ABS(K1241)^2)/($I$5*MAX(F1241,0.1)^2),1/3))))),IF(IFERROR(V1241,0)=1,MAX($D$16,IFERROR(L1241,MAX($D$16,POWER((ABS(K1241)^2)/($I$5*MAX(F1241,0.1)^2),1/3)))),IF(IFERROR(AG1241,0)=1,MAX($D$16,IFERROR(W1241,MAX($D$16,POWER((ABS(K1241)^2)/($I$5*MAX(F1241,0.1)^2),1/3)))),MAX($D$16,POWER((ABS(K1241)^2)/($I$5*MAX(F1241,0.1)^2),1/3))))))),MAX($D$16,POWER((ABS(K1241)^2)/($I$5*MAX(F1241,0.1)^2),1/3)))</f>
        <v>2.1389677043987478</v>
      </c>
      <c r="AI1241">
        <f t="shared" ca="1" si="610"/>
        <v>634.11296770439878</v>
      </c>
      <c r="AJ1241">
        <f t="shared" ca="1" si="611"/>
        <v>635.18245155659815</v>
      </c>
      <c r="AM1241">
        <v>0</v>
      </c>
      <c r="AN1241">
        <v>0</v>
      </c>
      <c r="AO1241">
        <f t="shared" si="612"/>
        <v>0</v>
      </c>
      <c r="AP1241">
        <f t="shared" si="621"/>
        <v>0</v>
      </c>
      <c r="AQ1241">
        <f t="shared" ca="1" si="613"/>
        <v>1.0000000000000004</v>
      </c>
      <c r="AR1241" t="str">
        <f t="shared" ca="1" si="614"/>
        <v>Supercritical</v>
      </c>
      <c r="AS1241">
        <f t="shared" ca="1" si="615"/>
        <v>3.8141460404132466E-3</v>
      </c>
    </row>
    <row r="1242" spans="1:45" x14ac:dyDescent="0.35">
      <c r="A1242">
        <v>1181</v>
      </c>
      <c r="B1242">
        <v>1179.9960000000001</v>
      </c>
      <c r="C1242">
        <v>616073.68700000003</v>
      </c>
      <c r="D1242">
        <v>3096827.2170000002</v>
      </c>
      <c r="E1242">
        <v>631.97349999999994</v>
      </c>
      <c r="F1242">
        <v>5.2</v>
      </c>
      <c r="G1242">
        <v>0</v>
      </c>
      <c r="H1242" t="s">
        <v>154</v>
      </c>
      <c r="I1242">
        <v>0.06</v>
      </c>
      <c r="J1242">
        <f t="shared" si="616"/>
        <v>1.0010000000002037</v>
      </c>
      <c r="K1242">
        <f t="shared" ca="1" si="617"/>
        <v>50.95</v>
      </c>
      <c r="L1242">
        <f t="shared" ca="1" si="618"/>
        <v>2.1389677043987478</v>
      </c>
      <c r="M1242">
        <f t="shared" ca="1" si="591"/>
        <v>11.122632062873489</v>
      </c>
      <c r="N1242">
        <f t="shared" ca="1" si="592"/>
        <v>1.1735290000551568</v>
      </c>
      <c r="O1242">
        <f t="shared" ca="1" si="593"/>
        <v>4.5807502857230418</v>
      </c>
      <c r="P1242">
        <f t="shared" ca="1" si="594"/>
        <v>634.11246770439868</v>
      </c>
      <c r="Q1242">
        <f t="shared" ca="1" si="595"/>
        <v>635.18195155659805</v>
      </c>
      <c r="R1242">
        <f t="shared" ca="1" si="596"/>
        <v>3.8141460404132466E-3</v>
      </c>
      <c r="S1242">
        <f t="shared" ca="1" si="597"/>
        <v>1.0000000000000004</v>
      </c>
      <c r="T1242">
        <f t="shared" ca="1" si="598"/>
        <v>35.686426155594638</v>
      </c>
      <c r="U1242">
        <f t="shared" ca="1" si="619"/>
        <v>-3.4249085715600813E-3</v>
      </c>
      <c r="V1242">
        <f t="shared" ca="1" si="620"/>
        <v>1</v>
      </c>
      <c r="W1242">
        <f t="shared" ca="1" si="599"/>
        <v>1.6812014614102826</v>
      </c>
      <c r="X1242">
        <f t="shared" ca="1" si="600"/>
        <v>8.742247599333469</v>
      </c>
      <c r="Y1242">
        <f t="shared" ca="1" si="601"/>
        <v>1.0210039959733244</v>
      </c>
      <c r="Z1242">
        <f t="shared" ca="1" si="602"/>
        <v>5.8280207030380335</v>
      </c>
      <c r="AA1242">
        <f t="shared" ca="1" si="603"/>
        <v>633.65470146141024</v>
      </c>
      <c r="AB1242">
        <f t="shared" ca="1" si="604"/>
        <v>635.38588521854786</v>
      </c>
      <c r="AC1242">
        <f t="shared" ca="1" si="605"/>
        <v>7.4334102252174008E-3</v>
      </c>
      <c r="AD1242">
        <f t="shared" ca="1" si="606"/>
        <v>1.4350819522615059</v>
      </c>
      <c r="AE1242">
        <f t="shared" ca="1" si="607"/>
        <v>37.617613809687732</v>
      </c>
      <c r="AF1242">
        <f t="shared" ca="1" si="608"/>
        <v>7.0978726821522287E-3</v>
      </c>
      <c r="AG1242">
        <f t="shared" ca="1" si="609"/>
        <v>0</v>
      </c>
      <c r="AH1242">
        <f ca="1">IFERROR(IF(V32="Supercritical",MAX($D$16,IFERROR(L1242,MAX($D$16,POWER((ABS(K1242)^2)/($I$5*MAX(F1242,0.1)^2),1/3)))),IF(V32="Subcritical",MAX($D$16,IFERROR(W1242,MAX($D$16,POWER((ABS(K1242)^2)/($I$5*MAX(F1242,0.1)^2),1/3)))),IF(AND(IFERROR(V1242,0)=1,IFERROR(AG1242,0)=1),IF(IFERROR(T1242,-1E+99)&gt;=IFERROR(AE1242,-1E+99),MAX($D$16,IFERROR(L1242,MAX($D$16,POWER((ABS(K1242)^2)/($I$5*MAX(F1242,0.1)^2),1/3)))),MAX($D$16,IFERROR(W1242,MAX($D$16,POWER((ABS(K1242)^2)/($I$5*MAX(F1242,0.1)^2),1/3))))),IF(IFERROR(V1242,0)=1,MAX($D$16,IFERROR(L1242,MAX($D$16,POWER((ABS(K1242)^2)/($I$5*MAX(F1242,0.1)^2),1/3)))),IF(IFERROR(AG1242,0)=1,MAX($D$16,IFERROR(W1242,MAX($D$16,POWER((ABS(K1242)^2)/($I$5*MAX(F1242,0.1)^2),1/3)))),MAX($D$16,POWER((ABS(K1242)^2)/($I$5*MAX(F1242,0.1)^2),1/3))))))),MAX($D$16,POWER((ABS(K1242)^2)/($I$5*MAX(F1242,0.1)^2),1/3)))</f>
        <v>2.1389677043987478</v>
      </c>
      <c r="AI1242">
        <f t="shared" ca="1" si="610"/>
        <v>634.11246770439868</v>
      </c>
      <c r="AJ1242">
        <f t="shared" ca="1" si="611"/>
        <v>635.18195155659805</v>
      </c>
      <c r="AM1242">
        <v>0</v>
      </c>
      <c r="AN1242">
        <v>0</v>
      </c>
      <c r="AO1242">
        <f t="shared" si="612"/>
        <v>0</v>
      </c>
      <c r="AP1242">
        <f t="shared" si="621"/>
        <v>0</v>
      </c>
      <c r="AQ1242">
        <f t="shared" ca="1" si="613"/>
        <v>1.0000000000000004</v>
      </c>
      <c r="AR1242" t="str">
        <f t="shared" ca="1" si="614"/>
        <v>Supercritical</v>
      </c>
      <c r="AS1242">
        <f t="shared" ca="1" si="615"/>
        <v>3.8141460404132466E-3</v>
      </c>
    </row>
    <row r="1243" spans="1:45" x14ac:dyDescent="0.35">
      <c r="A1243">
        <v>1182</v>
      </c>
      <c r="B1243">
        <v>1180.9960000000001</v>
      </c>
      <c r="C1243">
        <v>616073.64399999997</v>
      </c>
      <c r="D1243">
        <v>3096826.2179999999</v>
      </c>
      <c r="E1243">
        <v>631.97299999999996</v>
      </c>
      <c r="F1243">
        <v>5.2</v>
      </c>
      <c r="G1243">
        <v>0</v>
      </c>
      <c r="H1243" t="s">
        <v>154</v>
      </c>
      <c r="I1243">
        <v>5.7000000000000002E-2</v>
      </c>
      <c r="J1243">
        <f t="shared" si="616"/>
        <v>1</v>
      </c>
      <c r="K1243">
        <f t="shared" ca="1" si="617"/>
        <v>50.95</v>
      </c>
      <c r="L1243">
        <f t="shared" ca="1" si="618"/>
        <v>2.1389677043987478</v>
      </c>
      <c r="M1243">
        <f t="shared" ca="1" si="591"/>
        <v>11.122632062873489</v>
      </c>
      <c r="N1243">
        <f t="shared" ca="1" si="592"/>
        <v>1.1735290000551568</v>
      </c>
      <c r="O1243">
        <f t="shared" ca="1" si="593"/>
        <v>4.5807502857230418</v>
      </c>
      <c r="P1243">
        <f t="shared" ca="1" si="594"/>
        <v>634.11196770439869</v>
      </c>
      <c r="Q1243">
        <f t="shared" ca="1" si="595"/>
        <v>635.18145155659806</v>
      </c>
      <c r="R1243">
        <f t="shared" ca="1" si="596"/>
        <v>3.8141460404132466E-3</v>
      </c>
      <c r="S1243">
        <f t="shared" ca="1" si="597"/>
        <v>1.0000000000000004</v>
      </c>
      <c r="T1243">
        <f t="shared" ca="1" si="598"/>
        <v>35.686426155594638</v>
      </c>
      <c r="U1243">
        <f t="shared" ca="1" si="619"/>
        <v>-3.4157470064428708E-3</v>
      </c>
      <c r="V1243">
        <f t="shared" ca="1" si="620"/>
        <v>1</v>
      </c>
      <c r="W1243">
        <f t="shared" ca="1" si="599"/>
        <v>1.6812014482605921</v>
      </c>
      <c r="X1243">
        <f t="shared" ca="1" si="600"/>
        <v>8.7422475309550798</v>
      </c>
      <c r="Y1243">
        <f t="shared" ca="1" si="601"/>
        <v>1.0210039911234454</v>
      </c>
      <c r="Z1243">
        <f t="shared" ca="1" si="602"/>
        <v>5.8280207486224977</v>
      </c>
      <c r="AA1243">
        <f t="shared" ca="1" si="603"/>
        <v>633.65420144826055</v>
      </c>
      <c r="AB1243">
        <f t="shared" ca="1" si="604"/>
        <v>635.38538523247939</v>
      </c>
      <c r="AC1243">
        <f t="shared" ca="1" si="605"/>
        <v>7.4334103885791E-3</v>
      </c>
      <c r="AD1243">
        <f t="shared" ca="1" si="606"/>
        <v>1.4350819690984677</v>
      </c>
      <c r="AE1243">
        <f t="shared" ca="1" si="607"/>
        <v>37.617613931481003</v>
      </c>
      <c r="AF1243">
        <f t="shared" ca="1" si="608"/>
        <v>6.9334103885694276E-3</v>
      </c>
      <c r="AG1243">
        <f t="shared" ca="1" si="609"/>
        <v>0</v>
      </c>
      <c r="AH1243">
        <f ca="1">IFERROR(IF(V32="Supercritical",MAX($D$16,IFERROR(L1243,MAX($D$16,POWER((ABS(K1243)^2)/($I$5*MAX(F1243,0.1)^2),1/3)))),IF(V32="Subcritical",MAX($D$16,IFERROR(W1243,MAX($D$16,POWER((ABS(K1243)^2)/($I$5*MAX(F1243,0.1)^2),1/3)))),IF(AND(IFERROR(V1243,0)=1,IFERROR(AG1243,0)=1),IF(IFERROR(T1243,-1E+99)&gt;=IFERROR(AE1243,-1E+99),MAX($D$16,IFERROR(L1243,MAX($D$16,POWER((ABS(K1243)^2)/($I$5*MAX(F1243,0.1)^2),1/3)))),MAX($D$16,IFERROR(W1243,MAX($D$16,POWER((ABS(K1243)^2)/($I$5*MAX(F1243,0.1)^2),1/3))))),IF(IFERROR(V1243,0)=1,MAX($D$16,IFERROR(L1243,MAX($D$16,POWER((ABS(K1243)^2)/($I$5*MAX(F1243,0.1)^2),1/3)))),IF(IFERROR(AG1243,0)=1,MAX($D$16,IFERROR(W1243,MAX($D$16,POWER((ABS(K1243)^2)/($I$5*MAX(F1243,0.1)^2),1/3)))),MAX($D$16,POWER((ABS(K1243)^2)/($I$5*MAX(F1243,0.1)^2),1/3))))))),MAX($D$16,POWER((ABS(K1243)^2)/($I$5*MAX(F1243,0.1)^2),1/3)))</f>
        <v>2.1389677043987478</v>
      </c>
      <c r="AI1243">
        <f t="shared" ca="1" si="610"/>
        <v>634.11196770439869</v>
      </c>
      <c r="AJ1243">
        <f t="shared" ca="1" si="611"/>
        <v>635.18145155659806</v>
      </c>
      <c r="AM1243">
        <v>0</v>
      </c>
      <c r="AN1243">
        <v>0</v>
      </c>
      <c r="AO1243">
        <f t="shared" si="612"/>
        <v>0</v>
      </c>
      <c r="AP1243">
        <f t="shared" si="621"/>
        <v>0</v>
      </c>
      <c r="AQ1243">
        <f t="shared" ca="1" si="613"/>
        <v>1.0000000000000004</v>
      </c>
      <c r="AR1243" t="str">
        <f t="shared" ca="1" si="614"/>
        <v>Supercritical</v>
      </c>
      <c r="AS1243">
        <f t="shared" ca="1" si="615"/>
        <v>3.8141460404132466E-3</v>
      </c>
    </row>
    <row r="1244" spans="1:45" x14ac:dyDescent="0.35">
      <c r="A1244">
        <v>1183</v>
      </c>
      <c r="B1244">
        <v>1181.9960000000001</v>
      </c>
      <c r="C1244">
        <v>616073.60199999996</v>
      </c>
      <c r="D1244">
        <v>3096825.219</v>
      </c>
      <c r="E1244">
        <v>631.97249999999997</v>
      </c>
      <c r="F1244">
        <v>5.2</v>
      </c>
      <c r="G1244">
        <v>0</v>
      </c>
      <c r="H1244" t="s">
        <v>154</v>
      </c>
      <c r="I1244">
        <v>0</v>
      </c>
      <c r="J1244">
        <f t="shared" si="616"/>
        <v>1</v>
      </c>
      <c r="K1244">
        <f t="shared" ca="1" si="617"/>
        <v>50.95</v>
      </c>
      <c r="L1244">
        <f t="shared" ca="1" si="618"/>
        <v>2.1389677043987478</v>
      </c>
      <c r="M1244">
        <f t="shared" ca="1" si="591"/>
        <v>11.122632062873489</v>
      </c>
      <c r="N1244">
        <f t="shared" ca="1" si="592"/>
        <v>1.1735290000551568</v>
      </c>
      <c r="O1244">
        <f t="shared" ca="1" si="593"/>
        <v>4.5807502857230418</v>
      </c>
      <c r="P1244">
        <f t="shared" ca="1" si="594"/>
        <v>634.11146770439871</v>
      </c>
      <c r="Q1244">
        <f t="shared" ca="1" si="595"/>
        <v>635.18095155659807</v>
      </c>
      <c r="R1244">
        <f t="shared" ca="1" si="596"/>
        <v>3.8141460404132466E-3</v>
      </c>
      <c r="S1244">
        <f t="shared" ca="1" si="597"/>
        <v>1.0000000000000004</v>
      </c>
      <c r="T1244">
        <f t="shared" ca="1" si="598"/>
        <v>35.686426155594638</v>
      </c>
      <c r="U1244">
        <f t="shared" ca="1" si="619"/>
        <v>-3.3141460404522149E-3</v>
      </c>
      <c r="V1244">
        <f t="shared" ca="1" si="620"/>
        <v>1</v>
      </c>
      <c r="W1244">
        <f t="shared" ca="1" si="599"/>
        <v>1.6812014359697263</v>
      </c>
      <c r="X1244">
        <f t="shared" ca="1" si="600"/>
        <v>8.742247467042576</v>
      </c>
      <c r="Y1244">
        <f t="shared" ca="1" si="601"/>
        <v>1.0210039865903189</v>
      </c>
      <c r="Z1244">
        <f t="shared" ca="1" si="602"/>
        <v>5.828020791229779</v>
      </c>
      <c r="AA1244">
        <f t="shared" ca="1" si="603"/>
        <v>633.65370143596965</v>
      </c>
      <c r="AB1244">
        <f t="shared" ca="1" si="604"/>
        <v>635.3848852455011</v>
      </c>
      <c r="AC1244">
        <f t="shared" ca="1" si="605"/>
        <v>7.433410541271431E-3</v>
      </c>
      <c r="AD1244">
        <f t="shared" ca="1" si="606"/>
        <v>1.4350819848357852</v>
      </c>
      <c r="AE1244">
        <f t="shared" ca="1" si="607"/>
        <v>37.61761404531979</v>
      </c>
      <c r="AF1244">
        <f t="shared" ca="1" si="608"/>
        <v>6.9334105412508507E-3</v>
      </c>
      <c r="AG1244">
        <f t="shared" ca="1" si="609"/>
        <v>0</v>
      </c>
      <c r="AH1244">
        <f ca="1">IFERROR(IF(V32="Supercritical",MAX($D$16,IFERROR(L1244,MAX($D$16,POWER((ABS(K1244)^2)/($I$5*MAX(F1244,0.1)^2),1/3)))),IF(V32="Subcritical",MAX($D$16,IFERROR(W1244,MAX($D$16,POWER((ABS(K1244)^2)/($I$5*MAX(F1244,0.1)^2),1/3)))),IF(AND(IFERROR(V1244,0)=1,IFERROR(AG1244,0)=1),IF(IFERROR(T1244,-1E+99)&gt;=IFERROR(AE1244,-1E+99),MAX($D$16,IFERROR(L1244,MAX($D$16,POWER((ABS(K1244)^2)/($I$5*MAX(F1244,0.1)^2),1/3)))),MAX($D$16,IFERROR(W1244,MAX($D$16,POWER((ABS(K1244)^2)/($I$5*MAX(F1244,0.1)^2),1/3))))),IF(IFERROR(V1244,0)=1,MAX($D$16,IFERROR(L1244,MAX($D$16,POWER((ABS(K1244)^2)/($I$5*MAX(F1244,0.1)^2),1/3)))),IF(IFERROR(AG1244,0)=1,MAX($D$16,IFERROR(W1244,MAX($D$16,POWER((ABS(K1244)^2)/($I$5*MAX(F1244,0.1)^2),1/3)))),MAX($D$16,POWER((ABS(K1244)^2)/($I$5*MAX(F1244,0.1)^2),1/3))))))),MAX($D$16,POWER((ABS(K1244)^2)/($I$5*MAX(F1244,0.1)^2),1/3)))</f>
        <v>2.1389677043987478</v>
      </c>
      <c r="AI1244">
        <f t="shared" ca="1" si="610"/>
        <v>634.11146770439871</v>
      </c>
      <c r="AJ1244">
        <f t="shared" ca="1" si="611"/>
        <v>635.18095155659807</v>
      </c>
      <c r="AM1244">
        <v>0</v>
      </c>
      <c r="AN1244">
        <v>0</v>
      </c>
      <c r="AO1244">
        <f t="shared" si="612"/>
        <v>0</v>
      </c>
      <c r="AP1244">
        <f t="shared" si="621"/>
        <v>0</v>
      </c>
      <c r="AQ1244">
        <f t="shared" ca="1" si="613"/>
        <v>1.0000000000000004</v>
      </c>
      <c r="AR1244" t="str">
        <f t="shared" ca="1" si="614"/>
        <v>Supercritical</v>
      </c>
      <c r="AS1244">
        <f t="shared" ca="1" si="615"/>
        <v>3.8141460404132466E-3</v>
      </c>
    </row>
    <row r="1245" spans="1:45" x14ac:dyDescent="0.35">
      <c r="A1245">
        <v>1184</v>
      </c>
      <c r="B1245">
        <v>1182.9960000000001</v>
      </c>
      <c r="C1245">
        <v>616073.56000000006</v>
      </c>
      <c r="D1245">
        <v>3096824.22</v>
      </c>
      <c r="E1245">
        <v>631.97199999999998</v>
      </c>
      <c r="F1245">
        <v>5.2</v>
      </c>
      <c r="G1245">
        <v>0</v>
      </c>
      <c r="H1245" t="s">
        <v>154</v>
      </c>
      <c r="I1245">
        <v>0</v>
      </c>
      <c r="J1245">
        <f t="shared" si="616"/>
        <v>1</v>
      </c>
      <c r="K1245">
        <f t="shared" ca="1" si="617"/>
        <v>50.95</v>
      </c>
      <c r="L1245">
        <f t="shared" ca="1" si="618"/>
        <v>2.1389677043987478</v>
      </c>
      <c r="M1245">
        <f t="shared" ca="1" si="591"/>
        <v>11.122632062873489</v>
      </c>
      <c r="N1245">
        <f t="shared" ca="1" si="592"/>
        <v>1.1735290000551568</v>
      </c>
      <c r="O1245">
        <f t="shared" ca="1" si="593"/>
        <v>4.5807502857230418</v>
      </c>
      <c r="P1245">
        <f t="shared" ca="1" si="594"/>
        <v>634.11096770439872</v>
      </c>
      <c r="Q1245">
        <f t="shared" ca="1" si="595"/>
        <v>635.18045155659809</v>
      </c>
      <c r="R1245">
        <f t="shared" ca="1" si="596"/>
        <v>3.8141460404132466E-3</v>
      </c>
      <c r="S1245">
        <f t="shared" ca="1" si="597"/>
        <v>1.0000000000000004</v>
      </c>
      <c r="T1245">
        <f t="shared" ca="1" si="598"/>
        <v>35.686426155594638</v>
      </c>
      <c r="U1245">
        <f t="shared" ca="1" si="619"/>
        <v>-3.3141460404522149E-3</v>
      </c>
      <c r="V1245">
        <f t="shared" ca="1" si="620"/>
        <v>1</v>
      </c>
      <c r="W1245">
        <f t="shared" ca="1" si="599"/>
        <v>1.6812014244815974</v>
      </c>
      <c r="X1245">
        <f t="shared" ca="1" si="600"/>
        <v>8.7422474073043066</v>
      </c>
      <c r="Y1245">
        <f t="shared" ca="1" si="601"/>
        <v>1.0210039823532582</v>
      </c>
      <c r="Z1245">
        <f t="shared" ca="1" si="602"/>
        <v>5.8280208310543067</v>
      </c>
      <c r="AA1245">
        <f t="shared" ca="1" si="603"/>
        <v>633.65320142448161</v>
      </c>
      <c r="AB1245">
        <f t="shared" ca="1" si="604"/>
        <v>635.38438525767242</v>
      </c>
      <c r="AC1245">
        <f t="shared" ca="1" si="605"/>
        <v>7.4334106839911707E-3</v>
      </c>
      <c r="AD1245">
        <f t="shared" ca="1" si="606"/>
        <v>1.4350819995452717</v>
      </c>
      <c r="AE1245">
        <f t="shared" ca="1" si="607"/>
        <v>37.617614151723579</v>
      </c>
      <c r="AF1245">
        <f t="shared" ca="1" si="608"/>
        <v>7.0978731481545765E-3</v>
      </c>
      <c r="AG1245">
        <f t="shared" ca="1" si="609"/>
        <v>0</v>
      </c>
      <c r="AH1245">
        <f ca="1">IFERROR(IF(V32="Supercritical",MAX($D$16,IFERROR(L1245,MAX($D$16,POWER((ABS(K1245)^2)/($I$5*MAX(F1245,0.1)^2),1/3)))),IF(V32="Subcritical",MAX($D$16,IFERROR(W1245,MAX($D$16,POWER((ABS(K1245)^2)/($I$5*MAX(F1245,0.1)^2),1/3)))),IF(AND(IFERROR(V1245,0)=1,IFERROR(AG1245,0)=1),IF(IFERROR(T1245,-1E+99)&gt;=IFERROR(AE1245,-1E+99),MAX($D$16,IFERROR(L1245,MAX($D$16,POWER((ABS(K1245)^2)/($I$5*MAX(F1245,0.1)^2),1/3)))),MAX($D$16,IFERROR(W1245,MAX($D$16,POWER((ABS(K1245)^2)/($I$5*MAX(F1245,0.1)^2),1/3))))),IF(IFERROR(V1245,0)=1,MAX($D$16,IFERROR(L1245,MAX($D$16,POWER((ABS(K1245)^2)/($I$5*MAX(F1245,0.1)^2),1/3)))),IF(IFERROR(AG1245,0)=1,MAX($D$16,IFERROR(W1245,MAX($D$16,POWER((ABS(K1245)^2)/($I$5*MAX(F1245,0.1)^2),1/3)))),MAX($D$16,POWER((ABS(K1245)^2)/($I$5*MAX(F1245,0.1)^2),1/3))))))),MAX($D$16,POWER((ABS(K1245)^2)/($I$5*MAX(F1245,0.1)^2),1/3)))</f>
        <v>2.1389677043987478</v>
      </c>
      <c r="AI1245">
        <f t="shared" ca="1" si="610"/>
        <v>634.11096770439872</v>
      </c>
      <c r="AJ1245">
        <f t="shared" ca="1" si="611"/>
        <v>635.18045155659809</v>
      </c>
      <c r="AM1245">
        <v>0</v>
      </c>
      <c r="AN1245">
        <v>0</v>
      </c>
      <c r="AO1245">
        <f t="shared" si="612"/>
        <v>0</v>
      </c>
      <c r="AP1245">
        <f t="shared" si="621"/>
        <v>0</v>
      </c>
      <c r="AQ1245">
        <f t="shared" ca="1" si="613"/>
        <v>1.0000000000000004</v>
      </c>
      <c r="AR1245" t="str">
        <f t="shared" ca="1" si="614"/>
        <v>Supercritical</v>
      </c>
      <c r="AS1245">
        <f t="shared" ca="1" si="615"/>
        <v>3.8141460404132466E-3</v>
      </c>
    </row>
    <row r="1246" spans="1:45" x14ac:dyDescent="0.35">
      <c r="A1246">
        <v>1185</v>
      </c>
      <c r="B1246">
        <v>1183.9960000000001</v>
      </c>
      <c r="C1246">
        <v>616073.51800000004</v>
      </c>
      <c r="D1246">
        <v>3096823.2209999999</v>
      </c>
      <c r="E1246">
        <v>631.97149999999999</v>
      </c>
      <c r="F1246">
        <v>5.2</v>
      </c>
      <c r="G1246">
        <v>0</v>
      </c>
      <c r="H1246" t="s">
        <v>154</v>
      </c>
      <c r="I1246">
        <v>5.7000000000000002E-2</v>
      </c>
      <c r="J1246">
        <f t="shared" si="616"/>
        <v>1</v>
      </c>
      <c r="K1246">
        <f t="shared" ca="1" si="617"/>
        <v>50.95</v>
      </c>
      <c r="L1246">
        <f t="shared" ca="1" si="618"/>
        <v>2.1389677043987478</v>
      </c>
      <c r="M1246">
        <f t="shared" ca="1" si="591"/>
        <v>11.122632062873489</v>
      </c>
      <c r="N1246">
        <f t="shared" ca="1" si="592"/>
        <v>1.1735290000551568</v>
      </c>
      <c r="O1246">
        <f t="shared" ca="1" si="593"/>
        <v>4.5807502857230418</v>
      </c>
      <c r="P1246">
        <f t="shared" ca="1" si="594"/>
        <v>634.11046770439873</v>
      </c>
      <c r="Q1246">
        <f t="shared" ca="1" si="595"/>
        <v>635.1799515565981</v>
      </c>
      <c r="R1246">
        <f t="shared" ca="1" si="596"/>
        <v>3.8141460404132466E-3</v>
      </c>
      <c r="S1246">
        <f t="shared" ca="1" si="597"/>
        <v>1.0000000000000004</v>
      </c>
      <c r="T1246">
        <f t="shared" ca="1" si="598"/>
        <v>35.686426155594638</v>
      </c>
      <c r="U1246">
        <f t="shared" ca="1" si="619"/>
        <v>-3.4157470064428708E-3</v>
      </c>
      <c r="V1246">
        <f t="shared" ca="1" si="620"/>
        <v>1</v>
      </c>
      <c r="W1246">
        <f t="shared" ca="1" si="599"/>
        <v>1.6812014137438016</v>
      </c>
      <c r="X1246">
        <f t="shared" ca="1" si="600"/>
        <v>8.7422473514677694</v>
      </c>
      <c r="Y1246">
        <f t="shared" ca="1" si="601"/>
        <v>1.0210039783929363</v>
      </c>
      <c r="Z1246">
        <f t="shared" ca="1" si="602"/>
        <v>5.8280208682777443</v>
      </c>
      <c r="AA1246">
        <f t="shared" ca="1" si="603"/>
        <v>633.65270141374378</v>
      </c>
      <c r="AB1246">
        <f t="shared" ca="1" si="604"/>
        <v>635.38388526904862</v>
      </c>
      <c r="AC1246">
        <f t="shared" ca="1" si="605"/>
        <v>7.4334108173893416E-3</v>
      </c>
      <c r="AD1246">
        <f t="shared" ca="1" si="606"/>
        <v>1.4350820132940263</v>
      </c>
      <c r="AE1246">
        <f t="shared" ca="1" si="607"/>
        <v>37.617614251177727</v>
      </c>
      <c r="AF1246">
        <f t="shared" ca="1" si="608"/>
        <v>7.097873283669287E-3</v>
      </c>
      <c r="AG1246">
        <f t="shared" ca="1" si="609"/>
        <v>0</v>
      </c>
      <c r="AH1246">
        <f ca="1">IFERROR(IF(V32="Supercritical",MAX($D$16,IFERROR(L1246,MAX($D$16,POWER((ABS(K1246)^2)/($I$5*MAX(F1246,0.1)^2),1/3)))),IF(V32="Subcritical",MAX($D$16,IFERROR(W1246,MAX($D$16,POWER((ABS(K1246)^2)/($I$5*MAX(F1246,0.1)^2),1/3)))),IF(AND(IFERROR(V1246,0)=1,IFERROR(AG1246,0)=1),IF(IFERROR(T1246,-1E+99)&gt;=IFERROR(AE1246,-1E+99),MAX($D$16,IFERROR(L1246,MAX($D$16,POWER((ABS(K1246)^2)/($I$5*MAX(F1246,0.1)^2),1/3)))),MAX($D$16,IFERROR(W1246,MAX($D$16,POWER((ABS(K1246)^2)/($I$5*MAX(F1246,0.1)^2),1/3))))),IF(IFERROR(V1246,0)=1,MAX($D$16,IFERROR(L1246,MAX($D$16,POWER((ABS(K1246)^2)/($I$5*MAX(F1246,0.1)^2),1/3)))),IF(IFERROR(AG1246,0)=1,MAX($D$16,IFERROR(W1246,MAX($D$16,POWER((ABS(K1246)^2)/($I$5*MAX(F1246,0.1)^2),1/3)))),MAX($D$16,POWER((ABS(K1246)^2)/($I$5*MAX(F1246,0.1)^2),1/3))))))),MAX($D$16,POWER((ABS(K1246)^2)/($I$5*MAX(F1246,0.1)^2),1/3)))</f>
        <v>2.1389677043987478</v>
      </c>
      <c r="AI1246">
        <f t="shared" ca="1" si="610"/>
        <v>634.11046770439873</v>
      </c>
      <c r="AJ1246">
        <f t="shared" ca="1" si="611"/>
        <v>635.1799515565981</v>
      </c>
      <c r="AM1246">
        <v>0</v>
      </c>
      <c r="AN1246">
        <v>0</v>
      </c>
      <c r="AO1246">
        <f t="shared" si="612"/>
        <v>0</v>
      </c>
      <c r="AP1246">
        <f t="shared" si="621"/>
        <v>0</v>
      </c>
      <c r="AQ1246">
        <f t="shared" ca="1" si="613"/>
        <v>1.0000000000000004</v>
      </c>
      <c r="AR1246" t="str">
        <f t="shared" ca="1" si="614"/>
        <v>Supercritical</v>
      </c>
      <c r="AS1246">
        <f t="shared" ca="1" si="615"/>
        <v>3.8141460404132466E-3</v>
      </c>
    </row>
    <row r="1247" spans="1:45" x14ac:dyDescent="0.35">
      <c r="A1247">
        <v>1186</v>
      </c>
      <c r="B1247">
        <v>1184.9960000000001</v>
      </c>
      <c r="C1247">
        <v>616073.47499999998</v>
      </c>
      <c r="D1247">
        <v>3096822.2220000001</v>
      </c>
      <c r="E1247">
        <v>631.971</v>
      </c>
      <c r="F1247">
        <v>5.2</v>
      </c>
      <c r="G1247">
        <v>0</v>
      </c>
      <c r="H1247" t="s">
        <v>154</v>
      </c>
      <c r="I1247">
        <v>5.7000000000000002E-2</v>
      </c>
      <c r="J1247">
        <f t="shared" si="616"/>
        <v>1</v>
      </c>
      <c r="K1247">
        <f t="shared" ca="1" si="617"/>
        <v>50.95</v>
      </c>
      <c r="L1247">
        <f t="shared" ca="1" si="618"/>
        <v>2.1389677043987478</v>
      </c>
      <c r="M1247">
        <f t="shared" ca="1" si="591"/>
        <v>11.122632062873489</v>
      </c>
      <c r="N1247">
        <f t="shared" ca="1" si="592"/>
        <v>1.1735290000551568</v>
      </c>
      <c r="O1247">
        <f t="shared" ca="1" si="593"/>
        <v>4.5807502857230418</v>
      </c>
      <c r="P1247">
        <f t="shared" ca="1" si="594"/>
        <v>634.10996770439874</v>
      </c>
      <c r="Q1247">
        <f t="shared" ca="1" si="595"/>
        <v>635.17945155659811</v>
      </c>
      <c r="R1247">
        <f t="shared" ca="1" si="596"/>
        <v>3.8141460404132466E-3</v>
      </c>
      <c r="S1247">
        <f t="shared" ca="1" si="597"/>
        <v>1.0000000000000004</v>
      </c>
      <c r="T1247">
        <f t="shared" ca="1" si="598"/>
        <v>35.686426155594638</v>
      </c>
      <c r="U1247">
        <f t="shared" ca="1" si="619"/>
        <v>-3.4157470064428708E-3</v>
      </c>
      <c r="V1247">
        <f t="shared" ca="1" si="620"/>
        <v>1</v>
      </c>
      <c r="W1247">
        <f t="shared" ca="1" si="599"/>
        <v>1.6812014037072944</v>
      </c>
      <c r="X1247">
        <f t="shared" ca="1" si="600"/>
        <v>8.7422472992779312</v>
      </c>
      <c r="Y1247">
        <f t="shared" ca="1" si="601"/>
        <v>1.0210039746912638</v>
      </c>
      <c r="Z1247">
        <f t="shared" ca="1" si="602"/>
        <v>5.8280209030701107</v>
      </c>
      <c r="AA1247">
        <f t="shared" ca="1" si="603"/>
        <v>633.65220140370729</v>
      </c>
      <c r="AB1247">
        <f t="shared" ca="1" si="604"/>
        <v>635.38338527968187</v>
      </c>
      <c r="AC1247">
        <f t="shared" ca="1" si="605"/>
        <v>7.4334109420752543E-3</v>
      </c>
      <c r="AD1247">
        <f t="shared" ca="1" si="606"/>
        <v>1.4350820261448467</v>
      </c>
      <c r="AE1247">
        <f t="shared" ca="1" si="607"/>
        <v>37.617614344136513</v>
      </c>
      <c r="AF1247">
        <f t="shared" ca="1" si="608"/>
        <v>6.9334109421106405E-3</v>
      </c>
      <c r="AG1247">
        <f t="shared" ca="1" si="609"/>
        <v>0</v>
      </c>
      <c r="AH1247">
        <f ca="1">IFERROR(IF(V32="Supercritical",MAX($D$16,IFERROR(L1247,MAX($D$16,POWER((ABS(K1247)^2)/($I$5*MAX(F1247,0.1)^2),1/3)))),IF(V32="Subcritical",MAX($D$16,IFERROR(W1247,MAX($D$16,POWER((ABS(K1247)^2)/($I$5*MAX(F1247,0.1)^2),1/3)))),IF(AND(IFERROR(V1247,0)=1,IFERROR(AG1247,0)=1),IF(IFERROR(T1247,-1E+99)&gt;=IFERROR(AE1247,-1E+99),MAX($D$16,IFERROR(L1247,MAX($D$16,POWER((ABS(K1247)^2)/($I$5*MAX(F1247,0.1)^2),1/3)))),MAX($D$16,IFERROR(W1247,MAX($D$16,POWER((ABS(K1247)^2)/($I$5*MAX(F1247,0.1)^2),1/3))))),IF(IFERROR(V1247,0)=1,MAX($D$16,IFERROR(L1247,MAX($D$16,POWER((ABS(K1247)^2)/($I$5*MAX(F1247,0.1)^2),1/3)))),IF(IFERROR(AG1247,0)=1,MAX($D$16,IFERROR(W1247,MAX($D$16,POWER((ABS(K1247)^2)/($I$5*MAX(F1247,0.1)^2),1/3)))),MAX($D$16,POWER((ABS(K1247)^2)/($I$5*MAX(F1247,0.1)^2),1/3))))))),MAX($D$16,POWER((ABS(K1247)^2)/($I$5*MAX(F1247,0.1)^2),1/3)))</f>
        <v>2.1389677043987478</v>
      </c>
      <c r="AI1247">
        <f t="shared" ca="1" si="610"/>
        <v>634.10996770439874</v>
      </c>
      <c r="AJ1247">
        <f t="shared" ca="1" si="611"/>
        <v>635.17945155659811</v>
      </c>
      <c r="AM1247">
        <v>0</v>
      </c>
      <c r="AN1247">
        <v>0</v>
      </c>
      <c r="AO1247">
        <f t="shared" si="612"/>
        <v>0</v>
      </c>
      <c r="AP1247">
        <f t="shared" si="621"/>
        <v>0</v>
      </c>
      <c r="AQ1247">
        <f t="shared" ca="1" si="613"/>
        <v>1.0000000000000004</v>
      </c>
      <c r="AR1247" t="str">
        <f t="shared" ca="1" si="614"/>
        <v>Supercritical</v>
      </c>
      <c r="AS1247">
        <f t="shared" ca="1" si="615"/>
        <v>3.8141460404132466E-3</v>
      </c>
    </row>
    <row r="1248" spans="1:45" x14ac:dyDescent="0.35">
      <c r="A1248">
        <v>1187</v>
      </c>
      <c r="B1248">
        <v>1185.9960000000001</v>
      </c>
      <c r="C1248">
        <v>616073.43299999996</v>
      </c>
      <c r="D1248">
        <v>3096821.2230000002</v>
      </c>
      <c r="E1248">
        <v>631.97050000000002</v>
      </c>
      <c r="F1248">
        <v>5.2</v>
      </c>
      <c r="G1248">
        <v>0</v>
      </c>
      <c r="H1248" t="s">
        <v>154</v>
      </c>
      <c r="I1248">
        <v>0</v>
      </c>
      <c r="J1248">
        <f t="shared" si="616"/>
        <v>1</v>
      </c>
      <c r="K1248">
        <f t="shared" ca="1" si="617"/>
        <v>50.95</v>
      </c>
      <c r="L1248">
        <f t="shared" ca="1" si="618"/>
        <v>2.1389677043987478</v>
      </c>
      <c r="M1248">
        <f t="shared" ca="1" si="591"/>
        <v>11.122632062873489</v>
      </c>
      <c r="N1248">
        <f t="shared" ca="1" si="592"/>
        <v>1.1735290000551568</v>
      </c>
      <c r="O1248">
        <f t="shared" ca="1" si="593"/>
        <v>4.5807502857230418</v>
      </c>
      <c r="P1248">
        <f t="shared" ca="1" si="594"/>
        <v>634.10946770439875</v>
      </c>
      <c r="Q1248">
        <f t="shared" ca="1" si="595"/>
        <v>635.17895155659812</v>
      </c>
      <c r="R1248">
        <f t="shared" ca="1" si="596"/>
        <v>3.8141460404132466E-3</v>
      </c>
      <c r="S1248">
        <f t="shared" ca="1" si="597"/>
        <v>1.0000000000000004</v>
      </c>
      <c r="T1248">
        <f t="shared" ca="1" si="598"/>
        <v>35.686426155594638</v>
      </c>
      <c r="U1248">
        <f t="shared" ca="1" si="619"/>
        <v>-3.3141460404522149E-3</v>
      </c>
      <c r="V1248">
        <f t="shared" ca="1" si="620"/>
        <v>1</v>
      </c>
      <c r="W1248">
        <f t="shared" ca="1" si="599"/>
        <v>1.6812013943262887</v>
      </c>
      <c r="X1248">
        <f t="shared" ca="1" si="600"/>
        <v>8.7422472504967015</v>
      </c>
      <c r="Y1248">
        <f t="shared" ca="1" si="601"/>
        <v>1.0210039712313541</v>
      </c>
      <c r="Z1248">
        <f t="shared" ca="1" si="602"/>
        <v>5.8280209355901276</v>
      </c>
      <c r="AA1248">
        <f t="shared" ca="1" si="603"/>
        <v>633.65170139432632</v>
      </c>
      <c r="AB1248">
        <f t="shared" ca="1" si="604"/>
        <v>635.38288528962073</v>
      </c>
      <c r="AC1248">
        <f t="shared" ca="1" si="605"/>
        <v>7.4334110586177097E-3</v>
      </c>
      <c r="AD1248">
        <f t="shared" ca="1" si="606"/>
        <v>1.4350820381563576</v>
      </c>
      <c r="AE1248">
        <f t="shared" ca="1" si="607"/>
        <v>37.617614431024002</v>
      </c>
      <c r="AF1248">
        <f t="shared" ca="1" si="608"/>
        <v>6.9259776475973922E-3</v>
      </c>
      <c r="AG1248">
        <f t="shared" ca="1" si="609"/>
        <v>0</v>
      </c>
      <c r="AH1248">
        <f ca="1">IFERROR(IF(V32="Supercritical",MAX($D$16,IFERROR(L1248,MAX($D$16,POWER((ABS(K1248)^2)/($I$5*MAX(F1248,0.1)^2),1/3)))),IF(V32="Subcritical",MAX($D$16,IFERROR(W1248,MAX($D$16,POWER((ABS(K1248)^2)/($I$5*MAX(F1248,0.1)^2),1/3)))),IF(AND(IFERROR(V1248,0)=1,IFERROR(AG1248,0)=1),IF(IFERROR(T1248,-1E+99)&gt;=IFERROR(AE1248,-1E+99),MAX($D$16,IFERROR(L1248,MAX($D$16,POWER((ABS(K1248)^2)/($I$5*MAX(F1248,0.1)^2),1/3)))),MAX($D$16,IFERROR(W1248,MAX($D$16,POWER((ABS(K1248)^2)/($I$5*MAX(F1248,0.1)^2),1/3))))),IF(IFERROR(V1248,0)=1,MAX($D$16,IFERROR(L1248,MAX($D$16,POWER((ABS(K1248)^2)/($I$5*MAX(F1248,0.1)^2),1/3)))),IF(IFERROR(AG1248,0)=1,MAX($D$16,IFERROR(W1248,MAX($D$16,POWER((ABS(K1248)^2)/($I$5*MAX(F1248,0.1)^2),1/3)))),MAX($D$16,POWER((ABS(K1248)^2)/($I$5*MAX(F1248,0.1)^2),1/3))))))),MAX($D$16,POWER((ABS(K1248)^2)/($I$5*MAX(F1248,0.1)^2),1/3)))</f>
        <v>2.1389677043987478</v>
      </c>
      <c r="AI1248">
        <f t="shared" ca="1" si="610"/>
        <v>634.10946770439875</v>
      </c>
      <c r="AJ1248">
        <f t="shared" ca="1" si="611"/>
        <v>635.17895155659812</v>
      </c>
      <c r="AM1248">
        <v>0</v>
      </c>
      <c r="AN1248">
        <v>0</v>
      </c>
      <c r="AO1248">
        <f t="shared" si="612"/>
        <v>0</v>
      </c>
      <c r="AP1248">
        <f t="shared" si="621"/>
        <v>0</v>
      </c>
      <c r="AQ1248">
        <f t="shared" ca="1" si="613"/>
        <v>1.0000000000000004</v>
      </c>
      <c r="AR1248" t="str">
        <f t="shared" ca="1" si="614"/>
        <v>Supercritical</v>
      </c>
      <c r="AS1248">
        <f t="shared" ca="1" si="615"/>
        <v>3.8141460404132466E-3</v>
      </c>
    </row>
    <row r="1249" spans="1:45" x14ac:dyDescent="0.35">
      <c r="A1249">
        <v>1188</v>
      </c>
      <c r="B1249">
        <v>1186.9949999999999</v>
      </c>
      <c r="C1249">
        <v>616073.39099999995</v>
      </c>
      <c r="D1249">
        <v>3096820.2239999999</v>
      </c>
      <c r="E1249">
        <v>631.97</v>
      </c>
      <c r="F1249">
        <v>5.2</v>
      </c>
      <c r="G1249">
        <v>0</v>
      </c>
      <c r="H1249" t="s">
        <v>154</v>
      </c>
      <c r="I1249">
        <v>0</v>
      </c>
      <c r="J1249">
        <f t="shared" si="616"/>
        <v>0.99899999999979627</v>
      </c>
      <c r="K1249">
        <f t="shared" ca="1" si="617"/>
        <v>50.95</v>
      </c>
      <c r="L1249">
        <f t="shared" ca="1" si="618"/>
        <v>2.1389677043987478</v>
      </c>
      <c r="M1249">
        <f t="shared" ca="1" si="591"/>
        <v>11.122632062873489</v>
      </c>
      <c r="N1249">
        <f t="shared" ca="1" si="592"/>
        <v>1.1735290000551568</v>
      </c>
      <c r="O1249">
        <f t="shared" ca="1" si="593"/>
        <v>4.5807502857230418</v>
      </c>
      <c r="P1249">
        <f t="shared" ca="1" si="594"/>
        <v>634.10896770439876</v>
      </c>
      <c r="Q1249">
        <f t="shared" ca="1" si="595"/>
        <v>635.17845155659813</v>
      </c>
      <c r="R1249">
        <f t="shared" ca="1" si="596"/>
        <v>3.8141460404132466E-3</v>
      </c>
      <c r="S1249">
        <f t="shared" ca="1" si="597"/>
        <v>1.0000000000000004</v>
      </c>
      <c r="T1249">
        <f t="shared" ca="1" si="598"/>
        <v>35.686426155594638</v>
      </c>
      <c r="U1249">
        <f t="shared" ca="1" si="619"/>
        <v>-3.3103318943403792E-3</v>
      </c>
      <c r="V1249">
        <f t="shared" ca="1" si="620"/>
        <v>1</v>
      </c>
      <c r="W1249">
        <f t="shared" ca="1" si="599"/>
        <v>1.6812013855579639</v>
      </c>
      <c r="X1249">
        <f t="shared" ca="1" si="600"/>
        <v>8.7422472049014122</v>
      </c>
      <c r="Y1249">
        <f t="shared" ca="1" si="601"/>
        <v>1.0210039679974137</v>
      </c>
      <c r="Z1249">
        <f t="shared" ca="1" si="602"/>
        <v>5.8280209659862363</v>
      </c>
      <c r="AA1249">
        <f t="shared" ca="1" si="603"/>
        <v>633.65120138555801</v>
      </c>
      <c r="AB1249">
        <f t="shared" ca="1" si="604"/>
        <v>635.38238529891044</v>
      </c>
      <c r="AC1249">
        <f t="shared" ca="1" si="605"/>
        <v>7.4334111675486954E-3</v>
      </c>
      <c r="AD1249">
        <f t="shared" ca="1" si="606"/>
        <v>1.4350820493833873</v>
      </c>
      <c r="AE1249">
        <f t="shared" ca="1" si="607"/>
        <v>37.617614512236798</v>
      </c>
      <c r="AF1249">
        <f t="shared" ca="1" si="608"/>
        <v>7.0978736392817154E-3</v>
      </c>
      <c r="AG1249">
        <f t="shared" ca="1" si="609"/>
        <v>0</v>
      </c>
      <c r="AH1249">
        <f ca="1">IFERROR(IF(V32="Supercritical",MAX($D$16,IFERROR(L1249,MAX($D$16,POWER((ABS(K1249)^2)/($I$5*MAX(F1249,0.1)^2),1/3)))),IF(V32="Subcritical",MAX($D$16,IFERROR(W1249,MAX($D$16,POWER((ABS(K1249)^2)/($I$5*MAX(F1249,0.1)^2),1/3)))),IF(AND(IFERROR(V1249,0)=1,IFERROR(AG1249,0)=1),IF(IFERROR(T1249,-1E+99)&gt;=IFERROR(AE1249,-1E+99),MAX($D$16,IFERROR(L1249,MAX($D$16,POWER((ABS(K1249)^2)/($I$5*MAX(F1249,0.1)^2),1/3)))),MAX($D$16,IFERROR(W1249,MAX($D$16,POWER((ABS(K1249)^2)/($I$5*MAX(F1249,0.1)^2),1/3))))),IF(IFERROR(V1249,0)=1,MAX($D$16,IFERROR(L1249,MAX($D$16,POWER((ABS(K1249)^2)/($I$5*MAX(F1249,0.1)^2),1/3)))),IF(IFERROR(AG1249,0)=1,MAX($D$16,IFERROR(W1249,MAX($D$16,POWER((ABS(K1249)^2)/($I$5*MAX(F1249,0.1)^2),1/3)))),MAX($D$16,POWER((ABS(K1249)^2)/($I$5*MAX(F1249,0.1)^2),1/3))))))),MAX($D$16,POWER((ABS(K1249)^2)/($I$5*MAX(F1249,0.1)^2),1/3)))</f>
        <v>2.1389677043987478</v>
      </c>
      <c r="AI1249">
        <f t="shared" ca="1" si="610"/>
        <v>634.10896770439876</v>
      </c>
      <c r="AJ1249">
        <f t="shared" ca="1" si="611"/>
        <v>635.17845155659813</v>
      </c>
      <c r="AM1249">
        <v>0</v>
      </c>
      <c r="AN1249">
        <v>0</v>
      </c>
      <c r="AO1249">
        <f t="shared" si="612"/>
        <v>0</v>
      </c>
      <c r="AP1249">
        <f t="shared" si="621"/>
        <v>0</v>
      </c>
      <c r="AQ1249">
        <f t="shared" ca="1" si="613"/>
        <v>1.0000000000000004</v>
      </c>
      <c r="AR1249" t="str">
        <f t="shared" ca="1" si="614"/>
        <v>Supercritical</v>
      </c>
      <c r="AS1249">
        <f t="shared" ca="1" si="615"/>
        <v>3.8141460404132466E-3</v>
      </c>
    </row>
    <row r="1250" spans="1:45" x14ac:dyDescent="0.35">
      <c r="A1250">
        <v>1189</v>
      </c>
      <c r="B1250">
        <v>1187.9949999999999</v>
      </c>
      <c r="C1250">
        <v>616073.34900000005</v>
      </c>
      <c r="D1250">
        <v>3096819.2250000001</v>
      </c>
      <c r="E1250">
        <v>631.96950000000004</v>
      </c>
      <c r="F1250">
        <v>5.2</v>
      </c>
      <c r="G1250">
        <v>0</v>
      </c>
      <c r="H1250" t="s">
        <v>154</v>
      </c>
      <c r="I1250">
        <v>5.7000000000000002E-2</v>
      </c>
      <c r="J1250">
        <f t="shared" si="616"/>
        <v>1</v>
      </c>
      <c r="K1250">
        <f t="shared" ca="1" si="617"/>
        <v>50.95</v>
      </c>
      <c r="L1250">
        <f t="shared" ca="1" si="618"/>
        <v>2.1389677043987478</v>
      </c>
      <c r="M1250">
        <f t="shared" ca="1" si="591"/>
        <v>11.122632062873489</v>
      </c>
      <c r="N1250">
        <f t="shared" ca="1" si="592"/>
        <v>1.1735290000551568</v>
      </c>
      <c r="O1250">
        <f t="shared" ca="1" si="593"/>
        <v>4.5807502857230418</v>
      </c>
      <c r="P1250">
        <f t="shared" ca="1" si="594"/>
        <v>634.10846770439878</v>
      </c>
      <c r="Q1250">
        <f t="shared" ca="1" si="595"/>
        <v>635.17795155659815</v>
      </c>
      <c r="R1250">
        <f t="shared" ca="1" si="596"/>
        <v>3.8141460404132466E-3</v>
      </c>
      <c r="S1250">
        <f t="shared" ca="1" si="597"/>
        <v>1.0000000000000004</v>
      </c>
      <c r="T1250">
        <f t="shared" ca="1" si="598"/>
        <v>35.686426155594638</v>
      </c>
      <c r="U1250">
        <f t="shared" ca="1" si="619"/>
        <v>-3.4157470064428708E-3</v>
      </c>
      <c r="V1250">
        <f t="shared" ca="1" si="620"/>
        <v>1</v>
      </c>
      <c r="W1250">
        <f t="shared" ca="1" si="599"/>
        <v>1.681201377362314</v>
      </c>
      <c r="X1250">
        <f t="shared" ca="1" si="600"/>
        <v>8.7422471622840323</v>
      </c>
      <c r="Y1250">
        <f t="shared" ca="1" si="601"/>
        <v>1.0210039649746876</v>
      </c>
      <c r="Z1250">
        <f t="shared" ca="1" si="602"/>
        <v>5.8280209943971215</v>
      </c>
      <c r="AA1250">
        <f t="shared" ca="1" si="603"/>
        <v>633.65070137736234</v>
      </c>
      <c r="AB1250">
        <f t="shared" ca="1" si="604"/>
        <v>635.38188530759339</v>
      </c>
      <c r="AC1250">
        <f t="shared" ca="1" si="605"/>
        <v>7.4334112693651994E-3</v>
      </c>
      <c r="AD1250">
        <f t="shared" ca="1" si="606"/>
        <v>1.4350820598771603</v>
      </c>
      <c r="AE1250">
        <f t="shared" ca="1" si="607"/>
        <v>37.61761458814545</v>
      </c>
      <c r="AF1250">
        <f t="shared" ca="1" si="608"/>
        <v>7.1065296624510665E-3</v>
      </c>
      <c r="AG1250">
        <f t="shared" ca="1" si="609"/>
        <v>0</v>
      </c>
      <c r="AH1250">
        <f ca="1">IFERROR(IF(V32="Supercritical",MAX($D$16,IFERROR(L1250,MAX($D$16,POWER((ABS(K1250)^2)/($I$5*MAX(F1250,0.1)^2),1/3)))),IF(V32="Subcritical",MAX($D$16,IFERROR(W1250,MAX($D$16,POWER((ABS(K1250)^2)/($I$5*MAX(F1250,0.1)^2),1/3)))),IF(AND(IFERROR(V1250,0)=1,IFERROR(AG1250,0)=1),IF(IFERROR(T1250,-1E+99)&gt;=IFERROR(AE1250,-1E+99),MAX($D$16,IFERROR(L1250,MAX($D$16,POWER((ABS(K1250)^2)/($I$5*MAX(F1250,0.1)^2),1/3)))),MAX($D$16,IFERROR(W1250,MAX($D$16,POWER((ABS(K1250)^2)/($I$5*MAX(F1250,0.1)^2),1/3))))),IF(IFERROR(V1250,0)=1,MAX($D$16,IFERROR(L1250,MAX($D$16,POWER((ABS(K1250)^2)/($I$5*MAX(F1250,0.1)^2),1/3)))),IF(IFERROR(AG1250,0)=1,MAX($D$16,IFERROR(W1250,MAX($D$16,POWER((ABS(K1250)^2)/($I$5*MAX(F1250,0.1)^2),1/3)))),MAX($D$16,POWER((ABS(K1250)^2)/($I$5*MAX(F1250,0.1)^2),1/3))))))),MAX($D$16,POWER((ABS(K1250)^2)/($I$5*MAX(F1250,0.1)^2),1/3)))</f>
        <v>2.1389677043987478</v>
      </c>
      <c r="AI1250">
        <f t="shared" ca="1" si="610"/>
        <v>634.10846770439878</v>
      </c>
      <c r="AJ1250">
        <f t="shared" ca="1" si="611"/>
        <v>635.17795155659815</v>
      </c>
      <c r="AM1250">
        <v>0</v>
      </c>
      <c r="AN1250">
        <v>0</v>
      </c>
      <c r="AO1250">
        <f t="shared" si="612"/>
        <v>0</v>
      </c>
      <c r="AP1250">
        <f t="shared" si="621"/>
        <v>0</v>
      </c>
      <c r="AQ1250">
        <f t="shared" ca="1" si="613"/>
        <v>1.0000000000000004</v>
      </c>
      <c r="AR1250" t="str">
        <f t="shared" ca="1" si="614"/>
        <v>Supercritical</v>
      </c>
      <c r="AS1250">
        <f t="shared" ca="1" si="615"/>
        <v>3.8141460404132466E-3</v>
      </c>
    </row>
    <row r="1251" spans="1:45" x14ac:dyDescent="0.35">
      <c r="A1251">
        <v>1190</v>
      </c>
      <c r="B1251">
        <v>1188.9949999999999</v>
      </c>
      <c r="C1251">
        <v>616073.30599999998</v>
      </c>
      <c r="D1251">
        <v>3096818.2259999998</v>
      </c>
      <c r="E1251">
        <v>631.96900000000005</v>
      </c>
      <c r="F1251">
        <v>5.2</v>
      </c>
      <c r="G1251">
        <v>0</v>
      </c>
      <c r="H1251" t="s">
        <v>154</v>
      </c>
      <c r="I1251">
        <v>0.06</v>
      </c>
      <c r="J1251">
        <f t="shared" si="616"/>
        <v>1</v>
      </c>
      <c r="K1251">
        <f t="shared" ca="1" si="617"/>
        <v>50.95</v>
      </c>
      <c r="L1251">
        <f t="shared" ca="1" si="618"/>
        <v>2.1389677043987478</v>
      </c>
      <c r="M1251">
        <f t="shared" ca="1" si="591"/>
        <v>11.122632062873489</v>
      </c>
      <c r="N1251">
        <f t="shared" ca="1" si="592"/>
        <v>1.1735290000551568</v>
      </c>
      <c r="O1251">
        <f t="shared" ca="1" si="593"/>
        <v>4.5807502857230418</v>
      </c>
      <c r="P1251">
        <f t="shared" ca="1" si="594"/>
        <v>634.10796770439879</v>
      </c>
      <c r="Q1251">
        <f t="shared" ca="1" si="595"/>
        <v>635.17745155659816</v>
      </c>
      <c r="R1251">
        <f t="shared" ca="1" si="596"/>
        <v>3.8141460404132466E-3</v>
      </c>
      <c r="S1251">
        <f t="shared" ca="1" si="597"/>
        <v>1.0000000000000004</v>
      </c>
      <c r="T1251">
        <f t="shared" ca="1" si="598"/>
        <v>35.686426155594638</v>
      </c>
      <c r="U1251">
        <f t="shared" ca="1" si="619"/>
        <v>-3.4210944256756193E-3</v>
      </c>
      <c r="V1251">
        <f t="shared" ca="1" si="620"/>
        <v>1</v>
      </c>
      <c r="W1251">
        <f t="shared" ca="1" si="599"/>
        <v>1.6812013697019244</v>
      </c>
      <c r="X1251">
        <f t="shared" ca="1" si="600"/>
        <v>8.7422471224500065</v>
      </c>
      <c r="Y1251">
        <f t="shared" ca="1" si="601"/>
        <v>1.0210039621493767</v>
      </c>
      <c r="Z1251">
        <f t="shared" ca="1" si="602"/>
        <v>5.8280210209524839</v>
      </c>
      <c r="AA1251">
        <f t="shared" ca="1" si="603"/>
        <v>633.65020136970202</v>
      </c>
      <c r="AB1251">
        <f t="shared" ca="1" si="604"/>
        <v>635.38138531570939</v>
      </c>
      <c r="AC1251">
        <f t="shared" ca="1" si="605"/>
        <v>7.4334113645320461E-3</v>
      </c>
      <c r="AD1251">
        <f t="shared" ca="1" si="606"/>
        <v>1.4350820696855815</v>
      </c>
      <c r="AE1251">
        <f t="shared" ca="1" si="607"/>
        <v>37.617614659096482</v>
      </c>
      <c r="AF1251">
        <f t="shared" ca="1" si="608"/>
        <v>6.9466153889834459E-3</v>
      </c>
      <c r="AG1251">
        <f t="shared" ca="1" si="609"/>
        <v>0</v>
      </c>
      <c r="AH1251">
        <f ca="1">IFERROR(IF(V32="Supercritical",MAX($D$16,IFERROR(L1251,MAX($D$16,POWER((ABS(K1251)^2)/($I$5*MAX(F1251,0.1)^2),1/3)))),IF(V32="Subcritical",MAX($D$16,IFERROR(W1251,MAX($D$16,POWER((ABS(K1251)^2)/($I$5*MAX(F1251,0.1)^2),1/3)))),IF(AND(IFERROR(V1251,0)=1,IFERROR(AG1251,0)=1),IF(IFERROR(T1251,-1E+99)&gt;=IFERROR(AE1251,-1E+99),MAX($D$16,IFERROR(L1251,MAX($D$16,POWER((ABS(K1251)^2)/($I$5*MAX(F1251,0.1)^2),1/3)))),MAX($D$16,IFERROR(W1251,MAX($D$16,POWER((ABS(K1251)^2)/($I$5*MAX(F1251,0.1)^2),1/3))))),IF(IFERROR(V1251,0)=1,MAX($D$16,IFERROR(L1251,MAX($D$16,POWER((ABS(K1251)^2)/($I$5*MAX(F1251,0.1)^2),1/3)))),IF(IFERROR(AG1251,0)=1,MAX($D$16,IFERROR(W1251,MAX($D$16,POWER((ABS(K1251)^2)/($I$5*MAX(F1251,0.1)^2),1/3)))),MAX($D$16,POWER((ABS(K1251)^2)/($I$5*MAX(F1251,0.1)^2),1/3))))))),MAX($D$16,POWER((ABS(K1251)^2)/($I$5*MAX(F1251,0.1)^2),1/3)))</f>
        <v>2.1389677043987478</v>
      </c>
      <c r="AI1251">
        <f t="shared" ca="1" si="610"/>
        <v>634.10796770439879</v>
      </c>
      <c r="AJ1251">
        <f t="shared" ca="1" si="611"/>
        <v>635.17745155659816</v>
      </c>
      <c r="AM1251">
        <v>0</v>
      </c>
      <c r="AN1251">
        <v>0</v>
      </c>
      <c r="AO1251">
        <f t="shared" si="612"/>
        <v>0</v>
      </c>
      <c r="AP1251">
        <f t="shared" si="621"/>
        <v>0</v>
      </c>
      <c r="AQ1251">
        <f t="shared" ca="1" si="613"/>
        <v>1.0000000000000004</v>
      </c>
      <c r="AR1251" t="str">
        <f t="shared" ca="1" si="614"/>
        <v>Supercritical</v>
      </c>
      <c r="AS1251">
        <f t="shared" ca="1" si="615"/>
        <v>3.8141460404132466E-3</v>
      </c>
    </row>
    <row r="1252" spans="1:45" x14ac:dyDescent="0.35">
      <c r="A1252">
        <v>1191</v>
      </c>
      <c r="B1252">
        <v>1189.9960000000001</v>
      </c>
      <c r="C1252">
        <v>616073.26399999997</v>
      </c>
      <c r="D1252">
        <v>3096817.2259999998</v>
      </c>
      <c r="E1252">
        <v>631.96849999999995</v>
      </c>
      <c r="F1252">
        <v>5.2</v>
      </c>
      <c r="G1252">
        <v>0</v>
      </c>
      <c r="H1252" t="s">
        <v>154</v>
      </c>
      <c r="I1252">
        <v>2E-3</v>
      </c>
      <c r="J1252">
        <f t="shared" si="616"/>
        <v>1.0010000000002037</v>
      </c>
      <c r="K1252">
        <f t="shared" ca="1" si="617"/>
        <v>50.95</v>
      </c>
      <c r="L1252">
        <f t="shared" ca="1" si="618"/>
        <v>2.1389677043987478</v>
      </c>
      <c r="M1252">
        <f t="shared" ca="1" si="591"/>
        <v>11.122632062873489</v>
      </c>
      <c r="N1252">
        <f t="shared" ca="1" si="592"/>
        <v>1.1735290000551568</v>
      </c>
      <c r="O1252">
        <f t="shared" ca="1" si="593"/>
        <v>4.5807502857230418</v>
      </c>
      <c r="P1252">
        <f t="shared" ca="1" si="594"/>
        <v>634.10746770439869</v>
      </c>
      <c r="Q1252">
        <f t="shared" ca="1" si="595"/>
        <v>635.17695155659806</v>
      </c>
      <c r="R1252">
        <f t="shared" ca="1" si="596"/>
        <v>3.8141460404132466E-3</v>
      </c>
      <c r="S1252">
        <f t="shared" ca="1" si="597"/>
        <v>1.0000000000000004</v>
      </c>
      <c r="T1252">
        <f t="shared" ca="1" si="598"/>
        <v>35.686426155594638</v>
      </c>
      <c r="U1252">
        <f t="shared" ca="1" si="619"/>
        <v>-3.3215251324918427E-3</v>
      </c>
      <c r="V1252">
        <f t="shared" ca="1" si="620"/>
        <v>1</v>
      </c>
      <c r="W1252">
        <f t="shared" ca="1" si="599"/>
        <v>1.6812013625418705</v>
      </c>
      <c r="X1252">
        <f t="shared" ca="1" si="600"/>
        <v>8.742247085217727</v>
      </c>
      <c r="Y1252">
        <f t="shared" ca="1" si="601"/>
        <v>1.0210039595086</v>
      </c>
      <c r="Z1252">
        <f t="shared" ca="1" si="602"/>
        <v>5.8280210457733919</v>
      </c>
      <c r="AA1252">
        <f t="shared" ca="1" si="603"/>
        <v>633.6497013625418</v>
      </c>
      <c r="AB1252">
        <f t="shared" ca="1" si="604"/>
        <v>635.38088532329505</v>
      </c>
      <c r="AC1252">
        <f t="shared" ca="1" si="605"/>
        <v>7.4334114534830966E-3</v>
      </c>
      <c r="AD1252">
        <f t="shared" ca="1" si="606"/>
        <v>1.4350820788533694</v>
      </c>
      <c r="AE1252">
        <f t="shared" ca="1" si="607"/>
        <v>37.617614725413368</v>
      </c>
      <c r="AF1252">
        <f t="shared" ca="1" si="608"/>
        <v>6.9334114534740365E-3</v>
      </c>
      <c r="AG1252">
        <f t="shared" ca="1" si="609"/>
        <v>0</v>
      </c>
      <c r="AH1252">
        <f ca="1">IFERROR(IF(V32="Supercritical",MAX($D$16,IFERROR(L1252,MAX($D$16,POWER((ABS(K1252)^2)/($I$5*MAX(F1252,0.1)^2),1/3)))),IF(V32="Subcritical",MAX($D$16,IFERROR(W1252,MAX($D$16,POWER((ABS(K1252)^2)/($I$5*MAX(F1252,0.1)^2),1/3)))),IF(AND(IFERROR(V1252,0)=1,IFERROR(AG1252,0)=1),IF(IFERROR(T1252,-1E+99)&gt;=IFERROR(AE1252,-1E+99),MAX($D$16,IFERROR(L1252,MAX($D$16,POWER((ABS(K1252)^2)/($I$5*MAX(F1252,0.1)^2),1/3)))),MAX($D$16,IFERROR(W1252,MAX($D$16,POWER((ABS(K1252)^2)/($I$5*MAX(F1252,0.1)^2),1/3))))),IF(IFERROR(V1252,0)=1,MAX($D$16,IFERROR(L1252,MAX($D$16,POWER((ABS(K1252)^2)/($I$5*MAX(F1252,0.1)^2),1/3)))),IF(IFERROR(AG1252,0)=1,MAX($D$16,IFERROR(W1252,MAX($D$16,POWER((ABS(K1252)^2)/($I$5*MAX(F1252,0.1)^2),1/3)))),MAX($D$16,POWER((ABS(K1252)^2)/($I$5*MAX(F1252,0.1)^2),1/3))))))),MAX($D$16,POWER((ABS(K1252)^2)/($I$5*MAX(F1252,0.1)^2),1/3)))</f>
        <v>2.1389677043987478</v>
      </c>
      <c r="AI1252">
        <f t="shared" ca="1" si="610"/>
        <v>634.10746770439869</v>
      </c>
      <c r="AJ1252">
        <f t="shared" ca="1" si="611"/>
        <v>635.17695155659806</v>
      </c>
      <c r="AM1252">
        <v>0</v>
      </c>
      <c r="AN1252">
        <v>0</v>
      </c>
      <c r="AO1252">
        <f t="shared" si="612"/>
        <v>0</v>
      </c>
      <c r="AP1252">
        <f t="shared" si="621"/>
        <v>0</v>
      </c>
      <c r="AQ1252">
        <f t="shared" ca="1" si="613"/>
        <v>1.0000000000000004</v>
      </c>
      <c r="AR1252" t="str">
        <f t="shared" ca="1" si="614"/>
        <v>Supercritical</v>
      </c>
      <c r="AS1252">
        <f t="shared" ca="1" si="615"/>
        <v>3.8141460404132466E-3</v>
      </c>
    </row>
    <row r="1253" spans="1:45" x14ac:dyDescent="0.35">
      <c r="A1253">
        <v>1192</v>
      </c>
      <c r="B1253">
        <v>1190.9960000000001</v>
      </c>
      <c r="C1253">
        <v>616073.22199999995</v>
      </c>
      <c r="D1253">
        <v>3096816.227</v>
      </c>
      <c r="E1253">
        <v>631.96799999999996</v>
      </c>
      <c r="F1253">
        <v>5.2</v>
      </c>
      <c r="G1253">
        <v>0</v>
      </c>
      <c r="H1253" t="s">
        <v>154</v>
      </c>
      <c r="I1253">
        <v>0</v>
      </c>
      <c r="J1253">
        <f t="shared" si="616"/>
        <v>1</v>
      </c>
      <c r="K1253">
        <f t="shared" ca="1" si="617"/>
        <v>50.95</v>
      </c>
      <c r="L1253">
        <f t="shared" ca="1" si="618"/>
        <v>2.1389677043987478</v>
      </c>
      <c r="M1253">
        <f t="shared" ca="1" si="591"/>
        <v>11.122632062873489</v>
      </c>
      <c r="N1253">
        <f t="shared" ca="1" si="592"/>
        <v>1.1735290000551568</v>
      </c>
      <c r="O1253">
        <f t="shared" ca="1" si="593"/>
        <v>4.5807502857230418</v>
      </c>
      <c r="P1253">
        <f t="shared" ca="1" si="594"/>
        <v>634.1069677043987</v>
      </c>
      <c r="Q1253">
        <f t="shared" ca="1" si="595"/>
        <v>635.17645155659807</v>
      </c>
      <c r="R1253">
        <f t="shared" ca="1" si="596"/>
        <v>3.8141460404132466E-3</v>
      </c>
      <c r="S1253">
        <f t="shared" ca="1" si="597"/>
        <v>1.0000000000000004</v>
      </c>
      <c r="T1253">
        <f t="shared" ca="1" si="598"/>
        <v>35.686426155594638</v>
      </c>
      <c r="U1253">
        <f t="shared" ca="1" si="619"/>
        <v>-3.3141460404522149E-3</v>
      </c>
      <c r="V1253">
        <f t="shared" ca="1" si="620"/>
        <v>1</v>
      </c>
      <c r="W1253">
        <f t="shared" ca="1" si="599"/>
        <v>1.6812013558494616</v>
      </c>
      <c r="X1253">
        <f t="shared" ca="1" si="600"/>
        <v>8.7422470504172001</v>
      </c>
      <c r="Y1253">
        <f t="shared" ca="1" si="601"/>
        <v>1.0210039570403007</v>
      </c>
      <c r="Z1253">
        <f t="shared" ca="1" si="602"/>
        <v>5.8280210689731708</v>
      </c>
      <c r="AA1253">
        <f t="shared" ca="1" si="603"/>
        <v>633.64920135584941</v>
      </c>
      <c r="AB1253">
        <f t="shared" ca="1" si="604"/>
        <v>635.38038533038537</v>
      </c>
      <c r="AC1253">
        <f t="shared" ca="1" si="605"/>
        <v>7.4334115366244862E-3</v>
      </c>
      <c r="AD1253">
        <f t="shared" ca="1" si="606"/>
        <v>1.4350820874223811</v>
      </c>
      <c r="AE1253">
        <f t="shared" ca="1" si="607"/>
        <v>37.6176147873989</v>
      </c>
      <c r="AF1253">
        <f t="shared" ca="1" si="608"/>
        <v>7.0978740142209062E-3</v>
      </c>
      <c r="AG1253">
        <f t="shared" ca="1" si="609"/>
        <v>0</v>
      </c>
      <c r="AH1253">
        <f ca="1">IFERROR(IF(V32="Supercritical",MAX($D$16,IFERROR(L1253,MAX($D$16,POWER((ABS(K1253)^2)/($I$5*MAX(F1253,0.1)^2),1/3)))),IF(V32="Subcritical",MAX($D$16,IFERROR(W1253,MAX($D$16,POWER((ABS(K1253)^2)/($I$5*MAX(F1253,0.1)^2),1/3)))),IF(AND(IFERROR(V1253,0)=1,IFERROR(AG1253,0)=1),IF(IFERROR(T1253,-1E+99)&gt;=IFERROR(AE1253,-1E+99),MAX($D$16,IFERROR(L1253,MAX($D$16,POWER((ABS(K1253)^2)/($I$5*MAX(F1253,0.1)^2),1/3)))),MAX($D$16,IFERROR(W1253,MAX($D$16,POWER((ABS(K1253)^2)/($I$5*MAX(F1253,0.1)^2),1/3))))),IF(IFERROR(V1253,0)=1,MAX($D$16,IFERROR(L1253,MAX($D$16,POWER((ABS(K1253)^2)/($I$5*MAX(F1253,0.1)^2),1/3)))),IF(IFERROR(AG1253,0)=1,MAX($D$16,IFERROR(W1253,MAX($D$16,POWER((ABS(K1253)^2)/($I$5*MAX(F1253,0.1)^2),1/3)))),MAX($D$16,POWER((ABS(K1253)^2)/($I$5*MAX(F1253,0.1)^2),1/3))))))),MAX($D$16,POWER((ABS(K1253)^2)/($I$5*MAX(F1253,0.1)^2),1/3)))</f>
        <v>2.1389677043987478</v>
      </c>
      <c r="AI1253">
        <f t="shared" ca="1" si="610"/>
        <v>634.1069677043987</v>
      </c>
      <c r="AJ1253">
        <f t="shared" ca="1" si="611"/>
        <v>635.17645155659807</v>
      </c>
      <c r="AM1253">
        <v>0</v>
      </c>
      <c r="AN1253">
        <v>0</v>
      </c>
      <c r="AO1253">
        <f t="shared" si="612"/>
        <v>0</v>
      </c>
      <c r="AP1253">
        <f t="shared" si="621"/>
        <v>0</v>
      </c>
      <c r="AQ1253">
        <f t="shared" ca="1" si="613"/>
        <v>1.0000000000000004</v>
      </c>
      <c r="AR1253" t="str">
        <f t="shared" ca="1" si="614"/>
        <v>Supercritical</v>
      </c>
      <c r="AS1253">
        <f t="shared" ca="1" si="615"/>
        <v>3.8141460404132466E-3</v>
      </c>
    </row>
    <row r="1254" spans="1:45" x14ac:dyDescent="0.35">
      <c r="A1254">
        <v>1193</v>
      </c>
      <c r="B1254">
        <v>1191.9960000000001</v>
      </c>
      <c r="C1254">
        <v>616073.18000000005</v>
      </c>
      <c r="D1254">
        <v>3096815.2280000001</v>
      </c>
      <c r="E1254">
        <v>631.96749999999997</v>
      </c>
      <c r="F1254">
        <v>5.2</v>
      </c>
      <c r="G1254">
        <v>0</v>
      </c>
      <c r="H1254" t="s">
        <v>154</v>
      </c>
      <c r="I1254">
        <v>5.7000000000000002E-2</v>
      </c>
      <c r="J1254">
        <f t="shared" si="616"/>
        <v>1</v>
      </c>
      <c r="K1254">
        <f t="shared" ca="1" si="617"/>
        <v>50.95</v>
      </c>
      <c r="L1254">
        <f t="shared" ca="1" si="618"/>
        <v>2.1389677043987478</v>
      </c>
      <c r="M1254">
        <f t="shared" ca="1" si="591"/>
        <v>11.122632062873489</v>
      </c>
      <c r="N1254">
        <f t="shared" ca="1" si="592"/>
        <v>1.1735290000551568</v>
      </c>
      <c r="O1254">
        <f t="shared" ca="1" si="593"/>
        <v>4.5807502857230418</v>
      </c>
      <c r="P1254">
        <f t="shared" ca="1" si="594"/>
        <v>634.10646770439871</v>
      </c>
      <c r="Q1254">
        <f t="shared" ca="1" si="595"/>
        <v>635.17595155659808</v>
      </c>
      <c r="R1254">
        <f t="shared" ca="1" si="596"/>
        <v>3.8141460404132466E-3</v>
      </c>
      <c r="S1254">
        <f t="shared" ca="1" si="597"/>
        <v>1.0000000000000004</v>
      </c>
      <c r="T1254">
        <f t="shared" ca="1" si="598"/>
        <v>35.686426155594638</v>
      </c>
      <c r="U1254">
        <f t="shared" ca="1" si="619"/>
        <v>-3.4157470064428708E-3</v>
      </c>
      <c r="V1254">
        <f t="shared" ca="1" si="620"/>
        <v>1</v>
      </c>
      <c r="W1254">
        <f t="shared" ca="1" si="599"/>
        <v>1.6812013495941218</v>
      </c>
      <c r="X1254">
        <f t="shared" ca="1" si="600"/>
        <v>8.7422470178894329</v>
      </c>
      <c r="Y1254">
        <f t="shared" ca="1" si="601"/>
        <v>1.021003954733201</v>
      </c>
      <c r="Z1254">
        <f t="shared" ca="1" si="602"/>
        <v>5.8280210906578152</v>
      </c>
      <c r="AA1254">
        <f t="shared" ca="1" si="603"/>
        <v>633.64870134959415</v>
      </c>
      <c r="AB1254">
        <f t="shared" ca="1" si="604"/>
        <v>635.37988533701275</v>
      </c>
      <c r="AC1254">
        <f t="shared" ca="1" si="605"/>
        <v>7.4334116143360699E-3</v>
      </c>
      <c r="AD1254">
        <f t="shared" ca="1" si="606"/>
        <v>1.4350820954317665</v>
      </c>
      <c r="AE1254">
        <f t="shared" ca="1" si="607"/>
        <v>37.617614845336277</v>
      </c>
      <c r="AF1254">
        <f t="shared" ca="1" si="608"/>
        <v>7.0978740931195716E-3</v>
      </c>
      <c r="AG1254">
        <f t="shared" ca="1" si="609"/>
        <v>0</v>
      </c>
      <c r="AH1254">
        <f ca="1">IFERROR(IF(V32="Supercritical",MAX($D$16,IFERROR(L1254,MAX($D$16,POWER((ABS(K1254)^2)/($I$5*MAX(F1254,0.1)^2),1/3)))),IF(V32="Subcritical",MAX($D$16,IFERROR(W1254,MAX($D$16,POWER((ABS(K1254)^2)/($I$5*MAX(F1254,0.1)^2),1/3)))),IF(AND(IFERROR(V1254,0)=1,IFERROR(AG1254,0)=1),IF(IFERROR(T1254,-1E+99)&gt;=IFERROR(AE1254,-1E+99),MAX($D$16,IFERROR(L1254,MAX($D$16,POWER((ABS(K1254)^2)/($I$5*MAX(F1254,0.1)^2),1/3)))),MAX($D$16,IFERROR(W1254,MAX($D$16,POWER((ABS(K1254)^2)/($I$5*MAX(F1254,0.1)^2),1/3))))),IF(IFERROR(V1254,0)=1,MAX($D$16,IFERROR(L1254,MAX($D$16,POWER((ABS(K1254)^2)/($I$5*MAX(F1254,0.1)^2),1/3)))),IF(IFERROR(AG1254,0)=1,MAX($D$16,IFERROR(W1254,MAX($D$16,POWER((ABS(K1254)^2)/($I$5*MAX(F1254,0.1)^2),1/3)))),MAX($D$16,POWER((ABS(K1254)^2)/($I$5*MAX(F1254,0.1)^2),1/3))))))),MAX($D$16,POWER((ABS(K1254)^2)/($I$5*MAX(F1254,0.1)^2),1/3)))</f>
        <v>2.1389677043987478</v>
      </c>
      <c r="AI1254">
        <f t="shared" ca="1" si="610"/>
        <v>634.10646770439871</v>
      </c>
      <c r="AJ1254">
        <f t="shared" ca="1" si="611"/>
        <v>635.17595155659808</v>
      </c>
      <c r="AM1254">
        <v>0</v>
      </c>
      <c r="AN1254">
        <v>0</v>
      </c>
      <c r="AO1254">
        <f t="shared" si="612"/>
        <v>0</v>
      </c>
      <c r="AP1254">
        <f t="shared" si="621"/>
        <v>0</v>
      </c>
      <c r="AQ1254">
        <f t="shared" ca="1" si="613"/>
        <v>1.0000000000000004</v>
      </c>
      <c r="AR1254" t="str">
        <f t="shared" ca="1" si="614"/>
        <v>Supercritical</v>
      </c>
      <c r="AS1254">
        <f t="shared" ca="1" si="615"/>
        <v>3.8141460404132466E-3</v>
      </c>
    </row>
    <row r="1255" spans="1:45" x14ac:dyDescent="0.35">
      <c r="A1255">
        <v>1194</v>
      </c>
      <c r="B1255">
        <v>1192.9960000000001</v>
      </c>
      <c r="C1255">
        <v>616073.13699999999</v>
      </c>
      <c r="D1255">
        <v>3096814.2289999998</v>
      </c>
      <c r="E1255">
        <v>631.96699999999998</v>
      </c>
      <c r="F1255">
        <v>5.2</v>
      </c>
      <c r="G1255">
        <v>0</v>
      </c>
      <c r="H1255" t="s">
        <v>154</v>
      </c>
      <c r="I1255">
        <v>5.7000000000000002E-2</v>
      </c>
      <c r="J1255">
        <f t="shared" si="616"/>
        <v>1</v>
      </c>
      <c r="K1255">
        <f t="shared" ca="1" si="617"/>
        <v>50.95</v>
      </c>
      <c r="L1255">
        <f t="shared" ca="1" si="618"/>
        <v>2.1389677043987478</v>
      </c>
      <c r="M1255">
        <f t="shared" ca="1" si="591"/>
        <v>11.122632062873489</v>
      </c>
      <c r="N1255">
        <f t="shared" ca="1" si="592"/>
        <v>1.1735290000551568</v>
      </c>
      <c r="O1255">
        <f t="shared" ca="1" si="593"/>
        <v>4.5807502857230418</v>
      </c>
      <c r="P1255">
        <f t="shared" ca="1" si="594"/>
        <v>634.10596770439872</v>
      </c>
      <c r="Q1255">
        <f t="shared" ca="1" si="595"/>
        <v>635.17545155659809</v>
      </c>
      <c r="R1255">
        <f t="shared" ca="1" si="596"/>
        <v>3.8141460404132466E-3</v>
      </c>
      <c r="S1255">
        <f t="shared" ca="1" si="597"/>
        <v>1.0000000000000004</v>
      </c>
      <c r="T1255">
        <f t="shared" ca="1" si="598"/>
        <v>35.686426155594638</v>
      </c>
      <c r="U1255">
        <f t="shared" ca="1" si="619"/>
        <v>-3.4157470064428708E-3</v>
      </c>
      <c r="V1255">
        <f t="shared" ca="1" si="620"/>
        <v>1</v>
      </c>
      <c r="W1255">
        <f t="shared" ca="1" si="599"/>
        <v>1.6812013437473385</v>
      </c>
      <c r="X1255">
        <f t="shared" ca="1" si="600"/>
        <v>8.7422469874861601</v>
      </c>
      <c r="Y1255">
        <f t="shared" ca="1" si="601"/>
        <v>1.021003952576786</v>
      </c>
      <c r="Z1255">
        <f t="shared" ca="1" si="602"/>
        <v>5.8280211109261639</v>
      </c>
      <c r="AA1255">
        <f t="shared" ca="1" si="603"/>
        <v>633.64820134374736</v>
      </c>
      <c r="AB1255">
        <f t="shared" ca="1" si="604"/>
        <v>635.3793853432071</v>
      </c>
      <c r="AC1255">
        <f t="shared" ca="1" si="605"/>
        <v>7.433411686972053E-3</v>
      </c>
      <c r="AD1255">
        <f t="shared" ca="1" si="606"/>
        <v>1.4350821029180327</v>
      </c>
      <c r="AE1255">
        <f t="shared" ca="1" si="607"/>
        <v>37.617614899489574</v>
      </c>
      <c r="AF1255">
        <f t="shared" ca="1" si="608"/>
        <v>6.9334116869868012E-3</v>
      </c>
      <c r="AG1255">
        <f t="shared" ca="1" si="609"/>
        <v>0</v>
      </c>
      <c r="AH1255">
        <f ca="1">IFERROR(IF(V32="Supercritical",MAX($D$16,IFERROR(L1255,MAX($D$16,POWER((ABS(K1255)^2)/($I$5*MAX(F1255,0.1)^2),1/3)))),IF(V32="Subcritical",MAX($D$16,IFERROR(W1255,MAX($D$16,POWER((ABS(K1255)^2)/($I$5*MAX(F1255,0.1)^2),1/3)))),IF(AND(IFERROR(V1255,0)=1,IFERROR(AG1255,0)=1),IF(IFERROR(T1255,-1E+99)&gt;=IFERROR(AE1255,-1E+99),MAX($D$16,IFERROR(L1255,MAX($D$16,POWER((ABS(K1255)^2)/($I$5*MAX(F1255,0.1)^2),1/3)))),MAX($D$16,IFERROR(W1255,MAX($D$16,POWER((ABS(K1255)^2)/($I$5*MAX(F1255,0.1)^2),1/3))))),IF(IFERROR(V1255,0)=1,MAX($D$16,IFERROR(L1255,MAX($D$16,POWER((ABS(K1255)^2)/($I$5*MAX(F1255,0.1)^2),1/3)))),IF(IFERROR(AG1255,0)=1,MAX($D$16,IFERROR(W1255,MAX($D$16,POWER((ABS(K1255)^2)/($I$5*MAX(F1255,0.1)^2),1/3)))),MAX($D$16,POWER((ABS(K1255)^2)/($I$5*MAX(F1255,0.1)^2),1/3))))))),MAX($D$16,POWER((ABS(K1255)^2)/($I$5*MAX(F1255,0.1)^2),1/3)))</f>
        <v>2.1389677043987478</v>
      </c>
      <c r="AI1255">
        <f t="shared" ca="1" si="610"/>
        <v>634.10596770439872</v>
      </c>
      <c r="AJ1255">
        <f t="shared" ca="1" si="611"/>
        <v>635.17545155659809</v>
      </c>
      <c r="AM1255">
        <v>0</v>
      </c>
      <c r="AN1255">
        <v>0</v>
      </c>
      <c r="AO1255">
        <f t="shared" si="612"/>
        <v>0</v>
      </c>
      <c r="AP1255">
        <f t="shared" si="621"/>
        <v>0</v>
      </c>
      <c r="AQ1255">
        <f t="shared" ca="1" si="613"/>
        <v>1.0000000000000004</v>
      </c>
      <c r="AR1255" t="str">
        <f t="shared" ca="1" si="614"/>
        <v>Supercritical</v>
      </c>
      <c r="AS1255">
        <f t="shared" ca="1" si="615"/>
        <v>3.8141460404132466E-3</v>
      </c>
    </row>
    <row r="1256" spans="1:45" x14ac:dyDescent="0.35">
      <c r="A1256">
        <v>1195</v>
      </c>
      <c r="B1256">
        <v>1193.9960000000001</v>
      </c>
      <c r="C1256">
        <v>616073.09499999997</v>
      </c>
      <c r="D1256">
        <v>3096813.23</v>
      </c>
      <c r="E1256">
        <v>631.9665</v>
      </c>
      <c r="F1256">
        <v>5.2</v>
      </c>
      <c r="G1256">
        <v>0</v>
      </c>
      <c r="H1256" t="s">
        <v>154</v>
      </c>
      <c r="I1256">
        <v>0</v>
      </c>
      <c r="J1256">
        <f t="shared" si="616"/>
        <v>1</v>
      </c>
      <c r="K1256">
        <f t="shared" ca="1" si="617"/>
        <v>50.95</v>
      </c>
      <c r="L1256">
        <f t="shared" ca="1" si="618"/>
        <v>2.1389677043987478</v>
      </c>
      <c r="M1256">
        <f t="shared" ca="1" si="591"/>
        <v>11.122632062873489</v>
      </c>
      <c r="N1256">
        <f t="shared" ca="1" si="592"/>
        <v>1.1735290000551568</v>
      </c>
      <c r="O1256">
        <f t="shared" ca="1" si="593"/>
        <v>4.5807502857230418</v>
      </c>
      <c r="P1256">
        <f t="shared" ca="1" si="594"/>
        <v>634.10546770439873</v>
      </c>
      <c r="Q1256">
        <f t="shared" ca="1" si="595"/>
        <v>635.1749515565981</v>
      </c>
      <c r="R1256">
        <f t="shared" ca="1" si="596"/>
        <v>3.8141460404132466E-3</v>
      </c>
      <c r="S1256">
        <f t="shared" ca="1" si="597"/>
        <v>1.0000000000000004</v>
      </c>
      <c r="T1256">
        <f t="shared" ca="1" si="598"/>
        <v>35.686426155594638</v>
      </c>
      <c r="U1256">
        <f t="shared" ca="1" si="619"/>
        <v>-3.3141460404522149E-3</v>
      </c>
      <c r="V1256">
        <f t="shared" ca="1" si="620"/>
        <v>1</v>
      </c>
      <c r="W1256">
        <f t="shared" ca="1" si="599"/>
        <v>1.6812013382824236</v>
      </c>
      <c r="X1256">
        <f t="shared" ca="1" si="600"/>
        <v>8.7422469590686021</v>
      </c>
      <c r="Y1256">
        <f t="shared" ca="1" si="601"/>
        <v>1.0210039505612116</v>
      </c>
      <c r="Z1256">
        <f t="shared" ca="1" si="602"/>
        <v>5.8280211298707361</v>
      </c>
      <c r="AA1256">
        <f t="shared" ca="1" si="603"/>
        <v>633.64770133828245</v>
      </c>
      <c r="AB1256">
        <f t="shared" ca="1" si="604"/>
        <v>635.37888534899696</v>
      </c>
      <c r="AC1256">
        <f t="shared" ca="1" si="605"/>
        <v>7.4334117548639986E-3</v>
      </c>
      <c r="AD1256">
        <f t="shared" ca="1" si="606"/>
        <v>1.4350821099153519</v>
      </c>
      <c r="AE1256">
        <f t="shared" ca="1" si="607"/>
        <v>37.617614950105981</v>
      </c>
      <c r="AF1256">
        <f t="shared" ca="1" si="608"/>
        <v>7.0978742359102398E-3</v>
      </c>
      <c r="AG1256">
        <f t="shared" ca="1" si="609"/>
        <v>0</v>
      </c>
      <c r="AH1256">
        <f ca="1">IFERROR(IF(V32="Supercritical",MAX($D$16,IFERROR(L1256,MAX($D$16,POWER((ABS(K1256)^2)/($I$5*MAX(F1256,0.1)^2),1/3)))),IF(V32="Subcritical",MAX($D$16,IFERROR(W1256,MAX($D$16,POWER((ABS(K1256)^2)/($I$5*MAX(F1256,0.1)^2),1/3)))),IF(AND(IFERROR(V1256,0)=1,IFERROR(AG1256,0)=1),IF(IFERROR(T1256,-1E+99)&gt;=IFERROR(AE1256,-1E+99),MAX($D$16,IFERROR(L1256,MAX($D$16,POWER((ABS(K1256)^2)/($I$5*MAX(F1256,0.1)^2),1/3)))),MAX($D$16,IFERROR(W1256,MAX($D$16,POWER((ABS(K1256)^2)/($I$5*MAX(F1256,0.1)^2),1/3))))),IF(IFERROR(V1256,0)=1,MAX($D$16,IFERROR(L1256,MAX($D$16,POWER((ABS(K1256)^2)/($I$5*MAX(F1256,0.1)^2),1/3)))),IF(IFERROR(AG1256,0)=1,MAX($D$16,IFERROR(W1256,MAX($D$16,POWER((ABS(K1256)^2)/($I$5*MAX(F1256,0.1)^2),1/3)))),MAX($D$16,POWER((ABS(K1256)^2)/($I$5*MAX(F1256,0.1)^2),1/3))))))),MAX($D$16,POWER((ABS(K1256)^2)/($I$5*MAX(F1256,0.1)^2),1/3)))</f>
        <v>2.1389677043987478</v>
      </c>
      <c r="AI1256">
        <f t="shared" ca="1" si="610"/>
        <v>634.10546770439873</v>
      </c>
      <c r="AJ1256">
        <f t="shared" ca="1" si="611"/>
        <v>635.1749515565981</v>
      </c>
      <c r="AM1256">
        <v>0</v>
      </c>
      <c r="AN1256">
        <v>0</v>
      </c>
      <c r="AO1256">
        <f t="shared" si="612"/>
        <v>0</v>
      </c>
      <c r="AP1256">
        <f t="shared" si="621"/>
        <v>0</v>
      </c>
      <c r="AQ1256">
        <f t="shared" ca="1" si="613"/>
        <v>1.0000000000000004</v>
      </c>
      <c r="AR1256" t="str">
        <f t="shared" ca="1" si="614"/>
        <v>Supercritical</v>
      </c>
      <c r="AS1256">
        <f t="shared" ca="1" si="615"/>
        <v>3.8141460404132466E-3</v>
      </c>
    </row>
    <row r="1257" spans="1:45" x14ac:dyDescent="0.35">
      <c r="A1257">
        <v>1196</v>
      </c>
      <c r="B1257">
        <v>1194.9960000000001</v>
      </c>
      <c r="C1257">
        <v>616073.05299999996</v>
      </c>
      <c r="D1257">
        <v>3096812.2310000001</v>
      </c>
      <c r="E1257">
        <v>631.96600000000001</v>
      </c>
      <c r="F1257">
        <v>5.2</v>
      </c>
      <c r="G1257">
        <v>0</v>
      </c>
      <c r="H1257" t="s">
        <v>154</v>
      </c>
      <c r="I1257">
        <v>5.7000000000000002E-2</v>
      </c>
      <c r="J1257">
        <f t="shared" si="616"/>
        <v>1</v>
      </c>
      <c r="K1257">
        <f t="shared" ca="1" si="617"/>
        <v>50.95</v>
      </c>
      <c r="L1257">
        <f t="shared" ca="1" si="618"/>
        <v>2.1389677043987478</v>
      </c>
      <c r="M1257">
        <f t="shared" ca="1" si="591"/>
        <v>11.122632062873489</v>
      </c>
      <c r="N1257">
        <f t="shared" ca="1" si="592"/>
        <v>1.1735290000551568</v>
      </c>
      <c r="O1257">
        <f t="shared" ca="1" si="593"/>
        <v>4.5807502857230418</v>
      </c>
      <c r="P1257">
        <f t="shared" ca="1" si="594"/>
        <v>634.10496770439875</v>
      </c>
      <c r="Q1257">
        <f t="shared" ca="1" si="595"/>
        <v>635.17445155659811</v>
      </c>
      <c r="R1257">
        <f t="shared" ca="1" si="596"/>
        <v>3.8141460404132466E-3</v>
      </c>
      <c r="S1257">
        <f t="shared" ca="1" si="597"/>
        <v>1.0000000000000004</v>
      </c>
      <c r="T1257">
        <f t="shared" ca="1" si="598"/>
        <v>35.686426155594638</v>
      </c>
      <c r="U1257">
        <f t="shared" ca="1" si="619"/>
        <v>-3.4157470064428708E-3</v>
      </c>
      <c r="V1257">
        <f t="shared" ca="1" si="620"/>
        <v>1</v>
      </c>
      <c r="W1257">
        <f t="shared" ca="1" si="599"/>
        <v>1.6812013331744113</v>
      </c>
      <c r="X1257">
        <f t="shared" ca="1" si="600"/>
        <v>8.742246932506939</v>
      </c>
      <c r="Y1257">
        <f t="shared" ca="1" si="601"/>
        <v>1.0210039486772706</v>
      </c>
      <c r="Z1257">
        <f t="shared" ca="1" si="602"/>
        <v>5.8280211475780757</v>
      </c>
      <c r="AA1257">
        <f t="shared" ca="1" si="603"/>
        <v>633.64720133317439</v>
      </c>
      <c r="AB1257">
        <f t="shared" ca="1" si="604"/>
        <v>635.37838535440869</v>
      </c>
      <c r="AC1257">
        <f t="shared" ca="1" si="605"/>
        <v>7.4334118183220534E-3</v>
      </c>
      <c r="AD1257">
        <f t="shared" ca="1" si="606"/>
        <v>1.4350821164556902</v>
      </c>
      <c r="AE1257">
        <f t="shared" ca="1" si="607"/>
        <v>37.61761499741673</v>
      </c>
      <c r="AF1257">
        <f t="shared" ca="1" si="608"/>
        <v>7.090440888532612E-3</v>
      </c>
      <c r="AG1257">
        <f t="shared" ca="1" si="609"/>
        <v>0</v>
      </c>
      <c r="AH1257">
        <f ca="1">IFERROR(IF(V32="Supercritical",MAX($D$16,IFERROR(L1257,MAX($D$16,POWER((ABS(K1257)^2)/($I$5*MAX(F1257,0.1)^2),1/3)))),IF(V32="Subcritical",MAX($D$16,IFERROR(W1257,MAX($D$16,POWER((ABS(K1257)^2)/($I$5*MAX(F1257,0.1)^2),1/3)))),IF(AND(IFERROR(V1257,0)=1,IFERROR(AG1257,0)=1),IF(IFERROR(T1257,-1E+99)&gt;=IFERROR(AE1257,-1E+99),MAX($D$16,IFERROR(L1257,MAX($D$16,POWER((ABS(K1257)^2)/($I$5*MAX(F1257,0.1)^2),1/3)))),MAX($D$16,IFERROR(W1257,MAX($D$16,POWER((ABS(K1257)^2)/($I$5*MAX(F1257,0.1)^2),1/3))))),IF(IFERROR(V1257,0)=1,MAX($D$16,IFERROR(L1257,MAX($D$16,POWER((ABS(K1257)^2)/($I$5*MAX(F1257,0.1)^2),1/3)))),IF(IFERROR(AG1257,0)=1,MAX($D$16,IFERROR(W1257,MAX($D$16,POWER((ABS(K1257)^2)/($I$5*MAX(F1257,0.1)^2),1/3)))),MAX($D$16,POWER((ABS(K1257)^2)/($I$5*MAX(F1257,0.1)^2),1/3))))))),MAX($D$16,POWER((ABS(K1257)^2)/($I$5*MAX(F1257,0.1)^2),1/3)))</f>
        <v>2.1389677043987478</v>
      </c>
      <c r="AI1257">
        <f t="shared" ca="1" si="610"/>
        <v>634.10496770439875</v>
      </c>
      <c r="AJ1257">
        <f t="shared" ca="1" si="611"/>
        <v>635.17445155659811</v>
      </c>
      <c r="AM1257">
        <v>0</v>
      </c>
      <c r="AN1257">
        <v>0</v>
      </c>
      <c r="AO1257">
        <f t="shared" si="612"/>
        <v>0</v>
      </c>
      <c r="AP1257">
        <f t="shared" si="621"/>
        <v>0</v>
      </c>
      <c r="AQ1257">
        <f t="shared" ca="1" si="613"/>
        <v>1.0000000000000004</v>
      </c>
      <c r="AR1257" t="str">
        <f t="shared" ca="1" si="614"/>
        <v>Supercritical</v>
      </c>
      <c r="AS1257">
        <f t="shared" ca="1" si="615"/>
        <v>3.8141460404132466E-3</v>
      </c>
    </row>
    <row r="1258" spans="1:45" x14ac:dyDescent="0.35">
      <c r="A1258">
        <v>1197</v>
      </c>
      <c r="B1258">
        <v>1195.9949999999999</v>
      </c>
      <c r="C1258">
        <v>616073.01</v>
      </c>
      <c r="D1258">
        <v>3096811.2319999998</v>
      </c>
      <c r="E1258">
        <v>631.96550000000002</v>
      </c>
      <c r="F1258">
        <v>5.2</v>
      </c>
      <c r="G1258">
        <v>0</v>
      </c>
      <c r="H1258" t="s">
        <v>154</v>
      </c>
      <c r="I1258">
        <v>5.7000000000000002E-2</v>
      </c>
      <c r="J1258">
        <f t="shared" si="616"/>
        <v>0.99899999999979627</v>
      </c>
      <c r="K1258">
        <f t="shared" ca="1" si="617"/>
        <v>50.95</v>
      </c>
      <c r="L1258">
        <f t="shared" ca="1" si="618"/>
        <v>2.1389677043987478</v>
      </c>
      <c r="M1258">
        <f t="shared" ca="1" si="591"/>
        <v>11.122632062873489</v>
      </c>
      <c r="N1258">
        <f t="shared" ca="1" si="592"/>
        <v>1.1735290000551568</v>
      </c>
      <c r="O1258">
        <f t="shared" ca="1" si="593"/>
        <v>4.5807502857230418</v>
      </c>
      <c r="P1258">
        <f t="shared" ca="1" si="594"/>
        <v>634.10446770439876</v>
      </c>
      <c r="Q1258">
        <f t="shared" ca="1" si="595"/>
        <v>635.17395155659813</v>
      </c>
      <c r="R1258">
        <f t="shared" ca="1" si="596"/>
        <v>3.8141460404132466E-3</v>
      </c>
      <c r="S1258">
        <f t="shared" ca="1" si="597"/>
        <v>1.0000000000000004</v>
      </c>
      <c r="T1258">
        <f t="shared" ca="1" si="598"/>
        <v>35.686426155594638</v>
      </c>
      <c r="U1258">
        <f t="shared" ca="1" si="619"/>
        <v>-3.411932860331035E-3</v>
      </c>
      <c r="V1258">
        <f t="shared" ca="1" si="620"/>
        <v>1</v>
      </c>
      <c r="W1258">
        <f t="shared" ca="1" si="599"/>
        <v>1.6812013284000076</v>
      </c>
      <c r="X1258">
        <f t="shared" ca="1" si="600"/>
        <v>8.7422469076800393</v>
      </c>
      <c r="Y1258">
        <f t="shared" ca="1" si="601"/>
        <v>1.0210039469163712</v>
      </c>
      <c r="Z1258">
        <f t="shared" ca="1" si="602"/>
        <v>5.828021164128935</v>
      </c>
      <c r="AA1258">
        <f t="shared" ca="1" si="603"/>
        <v>633.64670132840001</v>
      </c>
      <c r="AB1258">
        <f t="shared" ca="1" si="604"/>
        <v>635.37788535946697</v>
      </c>
      <c r="AC1258">
        <f t="shared" ca="1" si="605"/>
        <v>7.4334118776356161E-3</v>
      </c>
      <c r="AD1258">
        <f t="shared" ca="1" si="606"/>
        <v>1.4350821225688737</v>
      </c>
      <c r="AE1258">
        <f t="shared" ca="1" si="607"/>
        <v>37.617615041637578</v>
      </c>
      <c r="AF1258">
        <f t="shared" ca="1" si="608"/>
        <v>6.9334118776396281E-3</v>
      </c>
      <c r="AG1258">
        <f t="shared" ca="1" si="609"/>
        <v>0</v>
      </c>
      <c r="AH1258">
        <f ca="1">IFERROR(IF(V32="Supercritical",MAX($D$16,IFERROR(L1258,MAX($D$16,POWER((ABS(K1258)^2)/($I$5*MAX(F1258,0.1)^2),1/3)))),IF(V32="Subcritical",MAX($D$16,IFERROR(W1258,MAX($D$16,POWER((ABS(K1258)^2)/($I$5*MAX(F1258,0.1)^2),1/3)))),IF(AND(IFERROR(V1258,0)=1,IFERROR(AG1258,0)=1),IF(IFERROR(T1258,-1E+99)&gt;=IFERROR(AE1258,-1E+99),MAX($D$16,IFERROR(L1258,MAX($D$16,POWER((ABS(K1258)^2)/($I$5*MAX(F1258,0.1)^2),1/3)))),MAX($D$16,IFERROR(W1258,MAX($D$16,POWER((ABS(K1258)^2)/($I$5*MAX(F1258,0.1)^2),1/3))))),IF(IFERROR(V1258,0)=1,MAX($D$16,IFERROR(L1258,MAX($D$16,POWER((ABS(K1258)^2)/($I$5*MAX(F1258,0.1)^2),1/3)))),IF(IFERROR(AG1258,0)=1,MAX($D$16,IFERROR(W1258,MAX($D$16,POWER((ABS(K1258)^2)/($I$5*MAX(F1258,0.1)^2),1/3)))),MAX($D$16,POWER((ABS(K1258)^2)/($I$5*MAX(F1258,0.1)^2),1/3))))))),MAX($D$16,POWER((ABS(K1258)^2)/($I$5*MAX(F1258,0.1)^2),1/3)))</f>
        <v>2.1389677043987478</v>
      </c>
      <c r="AI1258">
        <f t="shared" ca="1" si="610"/>
        <v>634.10446770439876</v>
      </c>
      <c r="AJ1258">
        <f t="shared" ca="1" si="611"/>
        <v>635.17395155659813</v>
      </c>
      <c r="AM1258">
        <v>0</v>
      </c>
      <c r="AN1258">
        <v>0</v>
      </c>
      <c r="AO1258">
        <f t="shared" si="612"/>
        <v>0</v>
      </c>
      <c r="AP1258">
        <f t="shared" si="621"/>
        <v>0</v>
      </c>
      <c r="AQ1258">
        <f t="shared" ca="1" si="613"/>
        <v>1.0000000000000004</v>
      </c>
      <c r="AR1258" t="str">
        <f t="shared" ca="1" si="614"/>
        <v>Supercritical</v>
      </c>
      <c r="AS1258">
        <f t="shared" ca="1" si="615"/>
        <v>3.8141460404132466E-3</v>
      </c>
    </row>
    <row r="1259" spans="1:45" x14ac:dyDescent="0.35">
      <c r="A1259">
        <v>1198</v>
      </c>
      <c r="B1259">
        <v>1196.9949999999999</v>
      </c>
      <c r="C1259">
        <v>616072.96799999999</v>
      </c>
      <c r="D1259">
        <v>3096810.233</v>
      </c>
      <c r="E1259">
        <v>631.96500000000003</v>
      </c>
      <c r="F1259">
        <v>5.2</v>
      </c>
      <c r="G1259">
        <v>0</v>
      </c>
      <c r="H1259" t="s">
        <v>154</v>
      </c>
      <c r="I1259">
        <v>0</v>
      </c>
      <c r="J1259">
        <f t="shared" si="616"/>
        <v>1</v>
      </c>
      <c r="K1259">
        <f t="shared" ca="1" si="617"/>
        <v>50.95</v>
      </c>
      <c r="L1259">
        <f t="shared" ca="1" si="618"/>
        <v>2.1389677043987478</v>
      </c>
      <c r="M1259">
        <f t="shared" ca="1" si="591"/>
        <v>11.122632062873489</v>
      </c>
      <c r="N1259">
        <f t="shared" ca="1" si="592"/>
        <v>1.1735290000551568</v>
      </c>
      <c r="O1259">
        <f t="shared" ca="1" si="593"/>
        <v>4.5807502857230418</v>
      </c>
      <c r="P1259">
        <f t="shared" ca="1" si="594"/>
        <v>634.10396770439877</v>
      </c>
      <c r="Q1259">
        <f t="shared" ca="1" si="595"/>
        <v>635.17345155659814</v>
      </c>
      <c r="R1259">
        <f t="shared" ca="1" si="596"/>
        <v>3.8141460404132466E-3</v>
      </c>
      <c r="S1259">
        <f t="shared" ca="1" si="597"/>
        <v>1.0000000000000004</v>
      </c>
      <c r="T1259">
        <f t="shared" ca="1" si="598"/>
        <v>35.686426155594638</v>
      </c>
      <c r="U1259">
        <f t="shared" ca="1" si="619"/>
        <v>-3.3141460404522149E-3</v>
      </c>
      <c r="V1259">
        <f t="shared" ca="1" si="620"/>
        <v>1</v>
      </c>
      <c r="W1259">
        <f t="shared" ca="1" si="599"/>
        <v>1.6812013239374355</v>
      </c>
      <c r="X1259">
        <f t="shared" ca="1" si="600"/>
        <v>8.7422468844746657</v>
      </c>
      <c r="Y1259">
        <f t="shared" ca="1" si="601"/>
        <v>1.0210039452704822</v>
      </c>
      <c r="Z1259">
        <f t="shared" ca="1" si="602"/>
        <v>5.8280211795988031</v>
      </c>
      <c r="AA1259">
        <f t="shared" ca="1" si="603"/>
        <v>633.64620132393748</v>
      </c>
      <c r="AB1259">
        <f t="shared" ca="1" si="604"/>
        <v>635.37738536419499</v>
      </c>
      <c r="AC1259">
        <f t="shared" ca="1" si="605"/>
        <v>7.4334119330752117E-3</v>
      </c>
      <c r="AD1259">
        <f t="shared" ca="1" si="606"/>
        <v>1.4350821282827853</v>
      </c>
      <c r="AE1259">
        <f t="shared" ca="1" si="607"/>
        <v>37.617615082970218</v>
      </c>
      <c r="AF1259">
        <f t="shared" ca="1" si="608"/>
        <v>6.9391825466027512E-3</v>
      </c>
      <c r="AG1259">
        <f t="shared" ca="1" si="609"/>
        <v>0</v>
      </c>
      <c r="AH1259">
        <f ca="1">IFERROR(IF(V32="Supercritical",MAX($D$16,IFERROR(L1259,MAX($D$16,POWER((ABS(K1259)^2)/($I$5*MAX(F1259,0.1)^2),1/3)))),IF(V32="Subcritical",MAX($D$16,IFERROR(W1259,MAX($D$16,POWER((ABS(K1259)^2)/($I$5*MAX(F1259,0.1)^2),1/3)))),IF(AND(IFERROR(V1259,0)=1,IFERROR(AG1259,0)=1),IF(IFERROR(T1259,-1E+99)&gt;=IFERROR(AE1259,-1E+99),MAX($D$16,IFERROR(L1259,MAX($D$16,POWER((ABS(K1259)^2)/($I$5*MAX(F1259,0.1)^2),1/3)))),MAX($D$16,IFERROR(W1259,MAX($D$16,POWER((ABS(K1259)^2)/($I$5*MAX(F1259,0.1)^2),1/3))))),IF(IFERROR(V1259,0)=1,MAX($D$16,IFERROR(L1259,MAX($D$16,POWER((ABS(K1259)^2)/($I$5*MAX(F1259,0.1)^2),1/3)))),IF(IFERROR(AG1259,0)=1,MAX($D$16,IFERROR(W1259,MAX($D$16,POWER((ABS(K1259)^2)/($I$5*MAX(F1259,0.1)^2),1/3)))),MAX($D$16,POWER((ABS(K1259)^2)/($I$5*MAX(F1259,0.1)^2),1/3))))))),MAX($D$16,POWER((ABS(K1259)^2)/($I$5*MAX(F1259,0.1)^2),1/3)))</f>
        <v>2.1389677043987478</v>
      </c>
      <c r="AI1259">
        <f t="shared" ca="1" si="610"/>
        <v>634.10396770439877</v>
      </c>
      <c r="AJ1259">
        <f t="shared" ca="1" si="611"/>
        <v>635.17345155659814</v>
      </c>
      <c r="AM1259">
        <v>0</v>
      </c>
      <c r="AN1259">
        <v>0</v>
      </c>
      <c r="AO1259">
        <f t="shared" si="612"/>
        <v>0</v>
      </c>
      <c r="AP1259">
        <f t="shared" si="621"/>
        <v>0</v>
      </c>
      <c r="AQ1259">
        <f t="shared" ca="1" si="613"/>
        <v>1.0000000000000004</v>
      </c>
      <c r="AR1259" t="str">
        <f t="shared" ca="1" si="614"/>
        <v>Supercritical</v>
      </c>
      <c r="AS1259">
        <f t="shared" ca="1" si="615"/>
        <v>3.8141460404132466E-3</v>
      </c>
    </row>
    <row r="1260" spans="1:45" x14ac:dyDescent="0.35">
      <c r="A1260">
        <v>1199</v>
      </c>
      <c r="B1260">
        <v>1197.9949999999999</v>
      </c>
      <c r="C1260">
        <v>616072.92599999998</v>
      </c>
      <c r="D1260">
        <v>3096809.2340000002</v>
      </c>
      <c r="E1260">
        <v>631.96450000000004</v>
      </c>
      <c r="F1260">
        <v>5.2</v>
      </c>
      <c r="G1260">
        <v>0</v>
      </c>
      <c r="H1260" t="s">
        <v>154</v>
      </c>
      <c r="I1260">
        <v>2E-3</v>
      </c>
      <c r="J1260">
        <f t="shared" si="616"/>
        <v>1</v>
      </c>
      <c r="K1260">
        <f t="shared" ca="1" si="617"/>
        <v>50.95</v>
      </c>
      <c r="L1260">
        <f t="shared" ca="1" si="618"/>
        <v>2.1389677043987478</v>
      </c>
      <c r="M1260">
        <f t="shared" ca="1" si="591"/>
        <v>11.122632062873489</v>
      </c>
      <c r="N1260">
        <f t="shared" ca="1" si="592"/>
        <v>1.1735290000551568</v>
      </c>
      <c r="O1260">
        <f t="shared" ca="1" si="593"/>
        <v>4.5807502857230418</v>
      </c>
      <c r="P1260">
        <f t="shared" ca="1" si="594"/>
        <v>634.10346770439878</v>
      </c>
      <c r="Q1260">
        <f t="shared" ca="1" si="595"/>
        <v>635.17295155659815</v>
      </c>
      <c r="R1260">
        <f t="shared" ca="1" si="596"/>
        <v>3.8141460404132466E-3</v>
      </c>
      <c r="S1260">
        <f t="shared" ca="1" si="597"/>
        <v>1.0000000000000004</v>
      </c>
      <c r="T1260">
        <f t="shared" ca="1" si="598"/>
        <v>35.686426155594638</v>
      </c>
      <c r="U1260">
        <f t="shared" ca="1" si="619"/>
        <v>-3.3177109866073806E-3</v>
      </c>
      <c r="V1260">
        <f t="shared" ca="1" si="620"/>
        <v>1</v>
      </c>
      <c r="W1260">
        <f t="shared" ca="1" si="599"/>
        <v>1.6812013197663165</v>
      </c>
      <c r="X1260">
        <f t="shared" ca="1" si="600"/>
        <v>8.742246862784846</v>
      </c>
      <c r="Y1260">
        <f t="shared" ca="1" si="601"/>
        <v>1.0210039437320866</v>
      </c>
      <c r="Z1260">
        <f t="shared" ca="1" si="602"/>
        <v>5.8280211940583273</v>
      </c>
      <c r="AA1260">
        <f t="shared" ca="1" si="603"/>
        <v>633.64570131976632</v>
      </c>
      <c r="AB1260">
        <f t="shared" ca="1" si="604"/>
        <v>635.37688536861413</v>
      </c>
      <c r="AC1260">
        <f t="shared" ca="1" si="605"/>
        <v>7.4334119848940231E-3</v>
      </c>
      <c r="AD1260">
        <f t="shared" ca="1" si="606"/>
        <v>1.4350821336235184</v>
      </c>
      <c r="AE1260">
        <f t="shared" ca="1" si="607"/>
        <v>37.6176151216034</v>
      </c>
      <c r="AF1260">
        <f t="shared" ca="1" si="608"/>
        <v>7.1139638017712059E-3</v>
      </c>
      <c r="AG1260">
        <f t="shared" ca="1" si="609"/>
        <v>0</v>
      </c>
      <c r="AH1260">
        <f ca="1">IFERROR(IF(V32="Supercritical",MAX($D$16,IFERROR(L1260,MAX($D$16,POWER((ABS(K1260)^2)/($I$5*MAX(F1260,0.1)^2),1/3)))),IF(V32="Subcritical",MAX($D$16,IFERROR(W1260,MAX($D$16,POWER((ABS(K1260)^2)/($I$5*MAX(F1260,0.1)^2),1/3)))),IF(AND(IFERROR(V1260,0)=1,IFERROR(AG1260,0)=1),IF(IFERROR(T1260,-1E+99)&gt;=IFERROR(AE1260,-1E+99),MAX($D$16,IFERROR(L1260,MAX($D$16,POWER((ABS(K1260)^2)/($I$5*MAX(F1260,0.1)^2),1/3)))),MAX($D$16,IFERROR(W1260,MAX($D$16,POWER((ABS(K1260)^2)/($I$5*MAX(F1260,0.1)^2),1/3))))),IF(IFERROR(V1260,0)=1,MAX($D$16,IFERROR(L1260,MAX($D$16,POWER((ABS(K1260)^2)/($I$5*MAX(F1260,0.1)^2),1/3)))),IF(IFERROR(AG1260,0)=1,MAX($D$16,IFERROR(W1260,MAX($D$16,POWER((ABS(K1260)^2)/($I$5*MAX(F1260,0.1)^2),1/3)))),MAX($D$16,POWER((ABS(K1260)^2)/($I$5*MAX(F1260,0.1)^2),1/3))))))),MAX($D$16,POWER((ABS(K1260)^2)/($I$5*MAX(F1260,0.1)^2),1/3)))</f>
        <v>2.1389677043987478</v>
      </c>
      <c r="AI1260">
        <f t="shared" ca="1" si="610"/>
        <v>634.10346770439878</v>
      </c>
      <c r="AJ1260">
        <f t="shared" ca="1" si="611"/>
        <v>635.17295155659815</v>
      </c>
      <c r="AM1260">
        <v>0</v>
      </c>
      <c r="AN1260">
        <v>0</v>
      </c>
      <c r="AO1260">
        <f t="shared" si="612"/>
        <v>0</v>
      </c>
      <c r="AP1260">
        <f t="shared" si="621"/>
        <v>0</v>
      </c>
      <c r="AQ1260">
        <f t="shared" ca="1" si="613"/>
        <v>1.0000000000000004</v>
      </c>
      <c r="AR1260" t="str">
        <f t="shared" ca="1" si="614"/>
        <v>Supercritical</v>
      </c>
      <c r="AS1260">
        <f t="shared" ca="1" si="615"/>
        <v>3.8141460404132466E-3</v>
      </c>
    </row>
    <row r="1261" spans="1:45" x14ac:dyDescent="0.35">
      <c r="A1261">
        <v>1200</v>
      </c>
      <c r="B1261">
        <v>1198.9960000000001</v>
      </c>
      <c r="C1261">
        <v>616072.88399999996</v>
      </c>
      <c r="D1261">
        <v>3096808.2340000002</v>
      </c>
      <c r="E1261">
        <v>631.96400000000006</v>
      </c>
      <c r="F1261">
        <v>5.2</v>
      </c>
      <c r="G1261">
        <v>0</v>
      </c>
      <c r="H1261" t="s">
        <v>154</v>
      </c>
      <c r="I1261">
        <v>0.06</v>
      </c>
      <c r="J1261">
        <f t="shared" si="616"/>
        <v>1.0010000000002037</v>
      </c>
      <c r="K1261">
        <f t="shared" ca="1" si="617"/>
        <v>50.95</v>
      </c>
      <c r="L1261">
        <f t="shared" ca="1" si="618"/>
        <v>2.1389677043987478</v>
      </c>
      <c r="M1261">
        <f t="shared" ca="1" si="591"/>
        <v>11.122632062873489</v>
      </c>
      <c r="N1261">
        <f t="shared" ca="1" si="592"/>
        <v>1.1735290000551568</v>
      </c>
      <c r="O1261">
        <f t="shared" ca="1" si="593"/>
        <v>4.5807502857230418</v>
      </c>
      <c r="P1261">
        <f t="shared" ca="1" si="594"/>
        <v>634.10296770439879</v>
      </c>
      <c r="Q1261">
        <f t="shared" ca="1" si="595"/>
        <v>635.17245155659816</v>
      </c>
      <c r="R1261">
        <f t="shared" ca="1" si="596"/>
        <v>3.8141460404132466E-3</v>
      </c>
      <c r="S1261">
        <f t="shared" ca="1" si="597"/>
        <v>1.0000000000000004</v>
      </c>
      <c r="T1261">
        <f t="shared" ca="1" si="598"/>
        <v>35.686426155594638</v>
      </c>
      <c r="U1261">
        <f t="shared" ca="1" si="619"/>
        <v>-3.4249085716737682E-3</v>
      </c>
      <c r="V1261">
        <f t="shared" ca="1" si="620"/>
        <v>1</v>
      </c>
      <c r="W1261">
        <f t="shared" ca="1" si="599"/>
        <v>1.6812013158676196</v>
      </c>
      <c r="X1261">
        <f t="shared" ca="1" si="600"/>
        <v>8.7422468425116229</v>
      </c>
      <c r="Y1261">
        <f t="shared" ca="1" si="601"/>
        <v>1.0210039422941661</v>
      </c>
      <c r="Z1261">
        <f t="shared" ca="1" si="602"/>
        <v>5.8280212075734772</v>
      </c>
      <c r="AA1261">
        <f t="shared" ca="1" si="603"/>
        <v>633.64520131586767</v>
      </c>
      <c r="AB1261">
        <f t="shared" ca="1" si="604"/>
        <v>635.37638537274461</v>
      </c>
      <c r="AC1261">
        <f t="shared" ca="1" si="605"/>
        <v>7.4334120333284671E-3</v>
      </c>
      <c r="AD1261">
        <f t="shared" ca="1" si="606"/>
        <v>1.4350821386154402</v>
      </c>
      <c r="AE1261">
        <f t="shared" ca="1" si="607"/>
        <v>37.617615157713395</v>
      </c>
      <c r="AF1261">
        <f t="shared" ca="1" si="608"/>
        <v>7.0978745186494052E-3</v>
      </c>
      <c r="AG1261">
        <f t="shared" ca="1" si="609"/>
        <v>0</v>
      </c>
      <c r="AH1261">
        <f ca="1">IFERROR(IF(V32="Supercritical",MAX($D$16,IFERROR(L1261,MAX($D$16,POWER((ABS(K1261)^2)/($I$5*MAX(F1261,0.1)^2),1/3)))),IF(V32="Subcritical",MAX($D$16,IFERROR(W1261,MAX($D$16,POWER((ABS(K1261)^2)/($I$5*MAX(F1261,0.1)^2),1/3)))),IF(AND(IFERROR(V1261,0)=1,IFERROR(AG1261,0)=1),IF(IFERROR(T1261,-1E+99)&gt;=IFERROR(AE1261,-1E+99),MAX($D$16,IFERROR(L1261,MAX($D$16,POWER((ABS(K1261)^2)/($I$5*MAX(F1261,0.1)^2),1/3)))),MAX($D$16,IFERROR(W1261,MAX($D$16,POWER((ABS(K1261)^2)/($I$5*MAX(F1261,0.1)^2),1/3))))),IF(IFERROR(V1261,0)=1,MAX($D$16,IFERROR(L1261,MAX($D$16,POWER((ABS(K1261)^2)/($I$5*MAX(F1261,0.1)^2),1/3)))),IF(IFERROR(AG1261,0)=1,MAX($D$16,IFERROR(W1261,MAX($D$16,POWER((ABS(K1261)^2)/($I$5*MAX(F1261,0.1)^2),1/3)))),MAX($D$16,POWER((ABS(K1261)^2)/($I$5*MAX(F1261,0.1)^2),1/3))))))),MAX($D$16,POWER((ABS(K1261)^2)/($I$5*MAX(F1261,0.1)^2),1/3)))</f>
        <v>2.1389677043987478</v>
      </c>
      <c r="AI1261">
        <f t="shared" ca="1" si="610"/>
        <v>634.10296770439879</v>
      </c>
      <c r="AJ1261">
        <f t="shared" ca="1" si="611"/>
        <v>635.17245155659816</v>
      </c>
      <c r="AM1261">
        <v>0</v>
      </c>
      <c r="AN1261">
        <v>0</v>
      </c>
      <c r="AO1261">
        <f t="shared" si="612"/>
        <v>0</v>
      </c>
      <c r="AP1261">
        <f t="shared" si="621"/>
        <v>0</v>
      </c>
      <c r="AQ1261">
        <f t="shared" ca="1" si="613"/>
        <v>1.0000000000000004</v>
      </c>
      <c r="AR1261" t="str">
        <f t="shared" ca="1" si="614"/>
        <v>Supercritical</v>
      </c>
      <c r="AS1261">
        <f t="shared" ca="1" si="615"/>
        <v>3.8141460404132466E-3</v>
      </c>
    </row>
    <row r="1262" spans="1:45" x14ac:dyDescent="0.35">
      <c r="A1262">
        <v>1201</v>
      </c>
      <c r="B1262">
        <v>1199.9960000000001</v>
      </c>
      <c r="C1262">
        <v>616072.84100000001</v>
      </c>
      <c r="D1262">
        <v>3096807.2349999999</v>
      </c>
      <c r="E1262">
        <v>631.96349999999995</v>
      </c>
      <c r="F1262">
        <v>5.2</v>
      </c>
      <c r="G1262">
        <v>0</v>
      </c>
      <c r="H1262" t="s">
        <v>154</v>
      </c>
      <c r="I1262">
        <v>5.7000000000000002E-2</v>
      </c>
      <c r="J1262">
        <f t="shared" si="616"/>
        <v>1</v>
      </c>
      <c r="K1262">
        <f t="shared" ca="1" si="617"/>
        <v>50.95</v>
      </c>
      <c r="L1262">
        <f t="shared" ca="1" si="618"/>
        <v>2.1389677043987478</v>
      </c>
      <c r="M1262">
        <f t="shared" ca="1" si="591"/>
        <v>11.122632062873489</v>
      </c>
      <c r="N1262">
        <f t="shared" ca="1" si="592"/>
        <v>1.1735290000551568</v>
      </c>
      <c r="O1262">
        <f t="shared" ca="1" si="593"/>
        <v>4.5807502857230418</v>
      </c>
      <c r="P1262">
        <f t="shared" ca="1" si="594"/>
        <v>634.10246770439869</v>
      </c>
      <c r="Q1262">
        <f t="shared" ca="1" si="595"/>
        <v>635.17195155659806</v>
      </c>
      <c r="R1262">
        <f t="shared" ca="1" si="596"/>
        <v>3.8141460404132466E-3</v>
      </c>
      <c r="S1262">
        <f t="shared" ca="1" si="597"/>
        <v>1.0000000000000004</v>
      </c>
      <c r="T1262">
        <f t="shared" ca="1" si="598"/>
        <v>35.686426155594638</v>
      </c>
      <c r="U1262">
        <f t="shared" ca="1" si="619"/>
        <v>-3.4157470063291839E-3</v>
      </c>
      <c r="V1262">
        <f t="shared" ca="1" si="620"/>
        <v>1</v>
      </c>
      <c r="W1262">
        <f t="shared" ca="1" si="599"/>
        <v>1.6812013122235585</v>
      </c>
      <c r="X1262">
        <f t="shared" ca="1" si="600"/>
        <v>8.742246823562505</v>
      </c>
      <c r="Y1262">
        <f t="shared" ca="1" si="601"/>
        <v>1.0210039409501608</v>
      </c>
      <c r="Z1262">
        <f t="shared" ca="1" si="602"/>
        <v>5.828021220205911</v>
      </c>
      <c r="AA1262">
        <f t="shared" ca="1" si="603"/>
        <v>633.64470131222356</v>
      </c>
      <c r="AB1262">
        <f t="shared" ca="1" si="604"/>
        <v>635.37588537660531</v>
      </c>
      <c r="AC1262">
        <f t="shared" ca="1" si="605"/>
        <v>7.4334120785995127E-3</v>
      </c>
      <c r="AD1262">
        <f t="shared" ca="1" si="606"/>
        <v>1.4350821432813243</v>
      </c>
      <c r="AE1262">
        <f t="shared" ca="1" si="607"/>
        <v>37.617615191464928</v>
      </c>
      <c r="AF1262">
        <f t="shared" ca="1" si="608"/>
        <v>6.9334120786379572E-3</v>
      </c>
      <c r="AG1262">
        <f t="shared" ca="1" si="609"/>
        <v>0</v>
      </c>
      <c r="AH1262">
        <f ca="1">IFERROR(IF(V32="Supercritical",MAX($D$16,IFERROR(L1262,MAX($D$16,POWER((ABS(K1262)^2)/($I$5*MAX(F1262,0.1)^2),1/3)))),IF(V32="Subcritical",MAX($D$16,IFERROR(W1262,MAX($D$16,POWER((ABS(K1262)^2)/($I$5*MAX(F1262,0.1)^2),1/3)))),IF(AND(IFERROR(V1262,0)=1,IFERROR(AG1262,0)=1),IF(IFERROR(T1262,-1E+99)&gt;=IFERROR(AE1262,-1E+99),MAX($D$16,IFERROR(L1262,MAX($D$16,POWER((ABS(K1262)^2)/($I$5*MAX(F1262,0.1)^2),1/3)))),MAX($D$16,IFERROR(W1262,MAX($D$16,POWER((ABS(K1262)^2)/($I$5*MAX(F1262,0.1)^2),1/3))))),IF(IFERROR(V1262,0)=1,MAX($D$16,IFERROR(L1262,MAX($D$16,POWER((ABS(K1262)^2)/($I$5*MAX(F1262,0.1)^2),1/3)))),IF(IFERROR(AG1262,0)=1,MAX($D$16,IFERROR(W1262,MAX($D$16,POWER((ABS(K1262)^2)/($I$5*MAX(F1262,0.1)^2),1/3)))),MAX($D$16,POWER((ABS(K1262)^2)/($I$5*MAX(F1262,0.1)^2),1/3))))))),MAX($D$16,POWER((ABS(K1262)^2)/($I$5*MAX(F1262,0.1)^2),1/3)))</f>
        <v>2.1389677043987478</v>
      </c>
      <c r="AI1262">
        <f t="shared" ca="1" si="610"/>
        <v>634.10246770439869</v>
      </c>
      <c r="AJ1262">
        <f t="shared" ca="1" si="611"/>
        <v>635.17195155659806</v>
      </c>
      <c r="AM1262">
        <v>0</v>
      </c>
      <c r="AN1262">
        <v>0</v>
      </c>
      <c r="AO1262">
        <f t="shared" si="612"/>
        <v>0</v>
      </c>
      <c r="AP1262">
        <f t="shared" si="621"/>
        <v>0</v>
      </c>
      <c r="AQ1262">
        <f t="shared" ca="1" si="613"/>
        <v>1.0000000000000004</v>
      </c>
      <c r="AR1262" t="str">
        <f t="shared" ca="1" si="614"/>
        <v>Supercritical</v>
      </c>
      <c r="AS1262">
        <f t="shared" ca="1" si="615"/>
        <v>3.8141460404132466E-3</v>
      </c>
    </row>
    <row r="1263" spans="1:45" x14ac:dyDescent="0.35">
      <c r="A1263">
        <v>1202</v>
      </c>
      <c r="B1263">
        <v>1200.9960000000001</v>
      </c>
      <c r="C1263">
        <v>616072.799</v>
      </c>
      <c r="D1263">
        <v>3096806.236</v>
      </c>
      <c r="E1263">
        <v>631.96299999999997</v>
      </c>
      <c r="F1263">
        <v>5.2</v>
      </c>
      <c r="G1263">
        <v>0</v>
      </c>
      <c r="H1263" t="s">
        <v>154</v>
      </c>
      <c r="I1263">
        <v>0</v>
      </c>
      <c r="J1263">
        <f t="shared" si="616"/>
        <v>1</v>
      </c>
      <c r="K1263">
        <f t="shared" ca="1" si="617"/>
        <v>50.95</v>
      </c>
      <c r="L1263">
        <f t="shared" ca="1" si="618"/>
        <v>2.1389677043987478</v>
      </c>
      <c r="M1263">
        <f t="shared" ca="1" si="591"/>
        <v>11.122632062873489</v>
      </c>
      <c r="N1263">
        <f t="shared" ca="1" si="592"/>
        <v>1.1735290000551568</v>
      </c>
      <c r="O1263">
        <f t="shared" ca="1" si="593"/>
        <v>4.5807502857230418</v>
      </c>
      <c r="P1263">
        <f t="shared" ca="1" si="594"/>
        <v>634.1019677043987</v>
      </c>
      <c r="Q1263">
        <f t="shared" ca="1" si="595"/>
        <v>635.17145155659807</v>
      </c>
      <c r="R1263">
        <f t="shared" ca="1" si="596"/>
        <v>3.8141460404132466E-3</v>
      </c>
      <c r="S1263">
        <f t="shared" ca="1" si="597"/>
        <v>1.0000000000000004</v>
      </c>
      <c r="T1263">
        <f t="shared" ca="1" si="598"/>
        <v>35.686426155594638</v>
      </c>
      <c r="U1263">
        <f t="shared" ca="1" si="619"/>
        <v>-3.3141460404522149E-3</v>
      </c>
      <c r="V1263">
        <f t="shared" ca="1" si="620"/>
        <v>1</v>
      </c>
      <c r="W1263">
        <f t="shared" ca="1" si="599"/>
        <v>1.6812013088175066</v>
      </c>
      <c r="X1263">
        <f t="shared" ca="1" si="600"/>
        <v>8.7422468058510354</v>
      </c>
      <c r="Y1263">
        <f t="shared" ca="1" si="601"/>
        <v>1.0210039396939379</v>
      </c>
      <c r="Z1263">
        <f t="shared" ca="1" si="602"/>
        <v>5.8280212320132669</v>
      </c>
      <c r="AA1263">
        <f t="shared" ca="1" si="603"/>
        <v>633.64420130881751</v>
      </c>
      <c r="AB1263">
        <f t="shared" ca="1" si="604"/>
        <v>635.37538538021397</v>
      </c>
      <c r="AC1263">
        <f t="shared" ca="1" si="605"/>
        <v>7.4334121209137108E-3</v>
      </c>
      <c r="AD1263">
        <f t="shared" ca="1" si="606"/>
        <v>1.4350821476424596</v>
      </c>
      <c r="AE1263">
        <f t="shared" ca="1" si="607"/>
        <v>37.617615223012017</v>
      </c>
      <c r="AF1263">
        <f t="shared" ca="1" si="608"/>
        <v>6.9334121209294608E-3</v>
      </c>
      <c r="AG1263">
        <f t="shared" ca="1" si="609"/>
        <v>0</v>
      </c>
      <c r="AH1263">
        <f ca="1">IFERROR(IF(V32="Supercritical",MAX($D$16,IFERROR(L1263,MAX($D$16,POWER((ABS(K1263)^2)/($I$5*MAX(F1263,0.1)^2),1/3)))),IF(V32="Subcritical",MAX($D$16,IFERROR(W1263,MAX($D$16,POWER((ABS(K1263)^2)/($I$5*MAX(F1263,0.1)^2),1/3)))),IF(AND(IFERROR(V1263,0)=1,IFERROR(AG1263,0)=1),IF(IFERROR(T1263,-1E+99)&gt;=IFERROR(AE1263,-1E+99),MAX($D$16,IFERROR(L1263,MAX($D$16,POWER((ABS(K1263)^2)/($I$5*MAX(F1263,0.1)^2),1/3)))),MAX($D$16,IFERROR(W1263,MAX($D$16,POWER((ABS(K1263)^2)/($I$5*MAX(F1263,0.1)^2),1/3))))),IF(IFERROR(V1263,0)=1,MAX($D$16,IFERROR(L1263,MAX($D$16,POWER((ABS(K1263)^2)/($I$5*MAX(F1263,0.1)^2),1/3)))),IF(IFERROR(AG1263,0)=1,MAX($D$16,IFERROR(W1263,MAX($D$16,POWER((ABS(K1263)^2)/($I$5*MAX(F1263,0.1)^2),1/3)))),MAX($D$16,POWER((ABS(K1263)^2)/($I$5*MAX(F1263,0.1)^2),1/3))))))),MAX($D$16,POWER((ABS(K1263)^2)/($I$5*MAX(F1263,0.1)^2),1/3)))</f>
        <v>2.1389677043987478</v>
      </c>
      <c r="AI1263">
        <f t="shared" ca="1" si="610"/>
        <v>634.1019677043987</v>
      </c>
      <c r="AJ1263">
        <f t="shared" ca="1" si="611"/>
        <v>635.17145155659807</v>
      </c>
      <c r="AM1263">
        <v>0</v>
      </c>
      <c r="AN1263">
        <v>0</v>
      </c>
      <c r="AO1263">
        <f t="shared" si="612"/>
        <v>0</v>
      </c>
      <c r="AP1263">
        <f t="shared" si="621"/>
        <v>0</v>
      </c>
      <c r="AQ1263">
        <f t="shared" ca="1" si="613"/>
        <v>1.0000000000000004</v>
      </c>
      <c r="AR1263" t="str">
        <f t="shared" ca="1" si="614"/>
        <v>Supercritical</v>
      </c>
      <c r="AS1263">
        <f t="shared" ca="1" si="615"/>
        <v>3.8141460404132466E-3</v>
      </c>
    </row>
    <row r="1264" spans="1:45" x14ac:dyDescent="0.35">
      <c r="A1264">
        <v>1203</v>
      </c>
      <c r="B1264">
        <v>1201.9960000000001</v>
      </c>
      <c r="C1264">
        <v>616072.75699999998</v>
      </c>
      <c r="D1264">
        <v>3096805.2370000002</v>
      </c>
      <c r="E1264">
        <v>631.96249999999998</v>
      </c>
      <c r="F1264">
        <v>5.2</v>
      </c>
      <c r="G1264">
        <v>0</v>
      </c>
      <c r="H1264" t="s">
        <v>154</v>
      </c>
      <c r="I1264">
        <v>0</v>
      </c>
      <c r="J1264">
        <f t="shared" si="616"/>
        <v>1</v>
      </c>
      <c r="K1264">
        <f t="shared" ca="1" si="617"/>
        <v>50.95</v>
      </c>
      <c r="L1264">
        <f t="shared" ca="1" si="618"/>
        <v>2.1389677043987478</v>
      </c>
      <c r="M1264">
        <f t="shared" ca="1" si="591"/>
        <v>11.122632062873489</v>
      </c>
      <c r="N1264">
        <f t="shared" ca="1" si="592"/>
        <v>1.1735290000551568</v>
      </c>
      <c r="O1264">
        <f t="shared" ca="1" si="593"/>
        <v>4.5807502857230418</v>
      </c>
      <c r="P1264">
        <f t="shared" ca="1" si="594"/>
        <v>634.10146770439871</v>
      </c>
      <c r="Q1264">
        <f t="shared" ca="1" si="595"/>
        <v>635.17095155659808</v>
      </c>
      <c r="R1264">
        <f t="shared" ca="1" si="596"/>
        <v>3.8141460404132466E-3</v>
      </c>
      <c r="S1264">
        <f t="shared" ca="1" si="597"/>
        <v>1.0000000000000004</v>
      </c>
      <c r="T1264">
        <f t="shared" ca="1" si="598"/>
        <v>35.686426155594638</v>
      </c>
      <c r="U1264">
        <f t="shared" ca="1" si="619"/>
        <v>-3.3141460404522149E-3</v>
      </c>
      <c r="V1264">
        <f t="shared" ca="1" si="620"/>
        <v>1</v>
      </c>
      <c r="W1264">
        <f t="shared" ca="1" si="599"/>
        <v>1.6812013056339115</v>
      </c>
      <c r="X1264">
        <f t="shared" ca="1" si="600"/>
        <v>8.74224678929634</v>
      </c>
      <c r="Y1264">
        <f t="shared" ca="1" si="601"/>
        <v>1.0210039385197618</v>
      </c>
      <c r="Z1264">
        <f t="shared" ca="1" si="602"/>
        <v>5.8280212430494593</v>
      </c>
      <c r="AA1264">
        <f t="shared" ca="1" si="603"/>
        <v>633.64370130563384</v>
      </c>
      <c r="AB1264">
        <f t="shared" ca="1" si="604"/>
        <v>635.37488538358673</v>
      </c>
      <c r="AC1264">
        <f t="shared" ca="1" si="605"/>
        <v>7.4334121604642759E-3</v>
      </c>
      <c r="AD1264">
        <f t="shared" ca="1" si="606"/>
        <v>1.4350821517187595</v>
      </c>
      <c r="AE1264">
        <f t="shared" ca="1" si="607"/>
        <v>37.617615252498688</v>
      </c>
      <c r="AF1264">
        <f t="shared" ca="1" si="608"/>
        <v>7.0978746479113397E-3</v>
      </c>
      <c r="AG1264">
        <f t="shared" ca="1" si="609"/>
        <v>0</v>
      </c>
      <c r="AH1264">
        <f ca="1">IFERROR(IF(V32="Supercritical",MAX($D$16,IFERROR(L1264,MAX($D$16,POWER((ABS(K1264)^2)/($I$5*MAX(F1264,0.1)^2),1/3)))),IF(V32="Subcritical",MAX($D$16,IFERROR(W1264,MAX($D$16,POWER((ABS(K1264)^2)/($I$5*MAX(F1264,0.1)^2),1/3)))),IF(AND(IFERROR(V1264,0)=1,IFERROR(AG1264,0)=1),IF(IFERROR(T1264,-1E+99)&gt;=IFERROR(AE1264,-1E+99),MAX($D$16,IFERROR(L1264,MAX($D$16,POWER((ABS(K1264)^2)/($I$5*MAX(F1264,0.1)^2),1/3)))),MAX($D$16,IFERROR(W1264,MAX($D$16,POWER((ABS(K1264)^2)/($I$5*MAX(F1264,0.1)^2),1/3))))),IF(IFERROR(V1264,0)=1,MAX($D$16,IFERROR(L1264,MAX($D$16,POWER((ABS(K1264)^2)/($I$5*MAX(F1264,0.1)^2),1/3)))),IF(IFERROR(AG1264,0)=1,MAX($D$16,IFERROR(W1264,MAX($D$16,POWER((ABS(K1264)^2)/($I$5*MAX(F1264,0.1)^2),1/3)))),MAX($D$16,POWER((ABS(K1264)^2)/($I$5*MAX(F1264,0.1)^2),1/3))))))),MAX($D$16,POWER((ABS(K1264)^2)/($I$5*MAX(F1264,0.1)^2),1/3)))</f>
        <v>2.1389677043987478</v>
      </c>
      <c r="AI1264">
        <f t="shared" ca="1" si="610"/>
        <v>634.10146770439871</v>
      </c>
      <c r="AJ1264">
        <f t="shared" ca="1" si="611"/>
        <v>635.17095155659808</v>
      </c>
      <c r="AM1264">
        <v>0</v>
      </c>
      <c r="AN1264">
        <v>0</v>
      </c>
      <c r="AO1264">
        <f t="shared" si="612"/>
        <v>0</v>
      </c>
      <c r="AP1264">
        <f t="shared" si="621"/>
        <v>0</v>
      </c>
      <c r="AQ1264">
        <f t="shared" ca="1" si="613"/>
        <v>1.0000000000000004</v>
      </c>
      <c r="AR1264" t="str">
        <f t="shared" ca="1" si="614"/>
        <v>Supercritical</v>
      </c>
      <c r="AS1264">
        <f t="shared" ca="1" si="615"/>
        <v>3.8141460404132466E-3</v>
      </c>
    </row>
    <row r="1265" spans="1:45" x14ac:dyDescent="0.35">
      <c r="A1265">
        <v>1204</v>
      </c>
      <c r="B1265">
        <v>1202.9960000000001</v>
      </c>
      <c r="C1265">
        <v>616072.71499999997</v>
      </c>
      <c r="D1265">
        <v>3096804.2379999999</v>
      </c>
      <c r="E1265">
        <v>631.96199999999999</v>
      </c>
      <c r="F1265">
        <v>5.2</v>
      </c>
      <c r="G1265">
        <v>0</v>
      </c>
      <c r="H1265" t="s">
        <v>154</v>
      </c>
      <c r="I1265">
        <v>5.7000000000000002E-2</v>
      </c>
      <c r="J1265">
        <f t="shared" si="616"/>
        <v>1</v>
      </c>
      <c r="K1265">
        <f t="shared" ca="1" si="617"/>
        <v>50.95</v>
      </c>
      <c r="L1265">
        <f t="shared" ca="1" si="618"/>
        <v>2.1389677043987478</v>
      </c>
      <c r="M1265">
        <f t="shared" ca="1" si="591"/>
        <v>11.122632062873489</v>
      </c>
      <c r="N1265">
        <f t="shared" ca="1" si="592"/>
        <v>1.1735290000551568</v>
      </c>
      <c r="O1265">
        <f t="shared" ca="1" si="593"/>
        <v>4.5807502857230418</v>
      </c>
      <c r="P1265">
        <f t="shared" ca="1" si="594"/>
        <v>634.10096770439873</v>
      </c>
      <c r="Q1265">
        <f t="shared" ca="1" si="595"/>
        <v>635.1704515565981</v>
      </c>
      <c r="R1265">
        <f t="shared" ca="1" si="596"/>
        <v>3.8141460404132466E-3</v>
      </c>
      <c r="S1265">
        <f t="shared" ca="1" si="597"/>
        <v>1.0000000000000004</v>
      </c>
      <c r="T1265">
        <f t="shared" ca="1" si="598"/>
        <v>35.686426155594638</v>
      </c>
      <c r="U1265">
        <f t="shared" ca="1" si="619"/>
        <v>-3.4157470064428708E-3</v>
      </c>
      <c r="V1265">
        <f t="shared" ca="1" si="620"/>
        <v>1</v>
      </c>
      <c r="W1265">
        <f t="shared" ca="1" si="599"/>
        <v>1.6812013026582266</v>
      </c>
      <c r="X1265">
        <f t="shared" ca="1" si="600"/>
        <v>8.742246773822778</v>
      </c>
      <c r="Y1265">
        <f t="shared" ca="1" si="601"/>
        <v>1.0210039374222672</v>
      </c>
      <c r="Z1265">
        <f t="shared" ca="1" si="602"/>
        <v>5.8280212533649136</v>
      </c>
      <c r="AA1265">
        <f t="shared" ca="1" si="603"/>
        <v>633.64320130265821</v>
      </c>
      <c r="AB1265">
        <f t="shared" ca="1" si="604"/>
        <v>635.37438538673939</v>
      </c>
      <c r="AC1265">
        <f t="shared" ca="1" si="605"/>
        <v>7.4334121974319279E-3</v>
      </c>
      <c r="AD1265">
        <f t="shared" ca="1" si="606"/>
        <v>1.4350821555288498</v>
      </c>
      <c r="AE1265">
        <f t="shared" ca="1" si="607"/>
        <v>37.617615280059688</v>
      </c>
      <c r="AF1265">
        <f t="shared" ca="1" si="608"/>
        <v>7.0978746854279962E-3</v>
      </c>
      <c r="AG1265">
        <f t="shared" ca="1" si="609"/>
        <v>0</v>
      </c>
      <c r="AH1265">
        <f ca="1">IFERROR(IF(V32="Supercritical",MAX($D$16,IFERROR(L1265,MAX($D$16,POWER((ABS(K1265)^2)/($I$5*MAX(F1265,0.1)^2),1/3)))),IF(V32="Subcritical",MAX($D$16,IFERROR(W1265,MAX($D$16,POWER((ABS(K1265)^2)/($I$5*MAX(F1265,0.1)^2),1/3)))),IF(AND(IFERROR(V1265,0)=1,IFERROR(AG1265,0)=1),IF(IFERROR(T1265,-1E+99)&gt;=IFERROR(AE1265,-1E+99),MAX($D$16,IFERROR(L1265,MAX($D$16,POWER((ABS(K1265)^2)/($I$5*MAX(F1265,0.1)^2),1/3)))),MAX($D$16,IFERROR(W1265,MAX($D$16,POWER((ABS(K1265)^2)/($I$5*MAX(F1265,0.1)^2),1/3))))),IF(IFERROR(V1265,0)=1,MAX($D$16,IFERROR(L1265,MAX($D$16,POWER((ABS(K1265)^2)/($I$5*MAX(F1265,0.1)^2),1/3)))),IF(IFERROR(AG1265,0)=1,MAX($D$16,IFERROR(W1265,MAX($D$16,POWER((ABS(K1265)^2)/($I$5*MAX(F1265,0.1)^2),1/3)))),MAX($D$16,POWER((ABS(K1265)^2)/($I$5*MAX(F1265,0.1)^2),1/3))))))),MAX($D$16,POWER((ABS(K1265)^2)/($I$5*MAX(F1265,0.1)^2),1/3)))</f>
        <v>2.1389677043987478</v>
      </c>
      <c r="AI1265">
        <f t="shared" ca="1" si="610"/>
        <v>634.10096770439873</v>
      </c>
      <c r="AJ1265">
        <f t="shared" ca="1" si="611"/>
        <v>635.1704515565981</v>
      </c>
      <c r="AM1265">
        <v>0</v>
      </c>
      <c r="AN1265">
        <v>0</v>
      </c>
      <c r="AO1265">
        <f t="shared" si="612"/>
        <v>0</v>
      </c>
      <c r="AP1265">
        <f t="shared" si="621"/>
        <v>0</v>
      </c>
      <c r="AQ1265">
        <f t="shared" ca="1" si="613"/>
        <v>1.0000000000000004</v>
      </c>
      <c r="AR1265" t="str">
        <f t="shared" ca="1" si="614"/>
        <v>Supercritical</v>
      </c>
      <c r="AS1265">
        <f t="shared" ca="1" si="615"/>
        <v>3.8141460404132466E-3</v>
      </c>
    </row>
    <row r="1266" spans="1:45" x14ac:dyDescent="0.35">
      <c r="A1266">
        <v>1205</v>
      </c>
      <c r="B1266">
        <v>1203.9960000000001</v>
      </c>
      <c r="C1266">
        <v>616072.67200000002</v>
      </c>
      <c r="D1266">
        <v>3096803.2390000001</v>
      </c>
      <c r="E1266">
        <v>631.9615</v>
      </c>
      <c r="F1266">
        <v>5.2</v>
      </c>
      <c r="G1266">
        <v>0</v>
      </c>
      <c r="H1266" t="s">
        <v>154</v>
      </c>
      <c r="I1266">
        <v>5.7000000000000002E-2</v>
      </c>
      <c r="J1266">
        <f t="shared" si="616"/>
        <v>1</v>
      </c>
      <c r="K1266">
        <f t="shared" ca="1" si="617"/>
        <v>50.95</v>
      </c>
      <c r="L1266">
        <f t="shared" ca="1" si="618"/>
        <v>2.1389677043987478</v>
      </c>
      <c r="M1266">
        <f t="shared" ca="1" si="591"/>
        <v>11.122632062873489</v>
      </c>
      <c r="N1266">
        <f t="shared" ca="1" si="592"/>
        <v>1.1735290000551568</v>
      </c>
      <c r="O1266">
        <f t="shared" ca="1" si="593"/>
        <v>4.5807502857230418</v>
      </c>
      <c r="P1266">
        <f t="shared" ca="1" si="594"/>
        <v>634.10046770439874</v>
      </c>
      <c r="Q1266">
        <f t="shared" ca="1" si="595"/>
        <v>635.16995155659811</v>
      </c>
      <c r="R1266">
        <f t="shared" ca="1" si="596"/>
        <v>3.8141460404132466E-3</v>
      </c>
      <c r="S1266">
        <f t="shared" ca="1" si="597"/>
        <v>1.0000000000000004</v>
      </c>
      <c r="T1266">
        <f t="shared" ca="1" si="598"/>
        <v>35.686426155594638</v>
      </c>
      <c r="U1266">
        <f t="shared" ca="1" si="619"/>
        <v>-3.4157470064428708E-3</v>
      </c>
      <c r="V1266">
        <f t="shared" ca="1" si="620"/>
        <v>1</v>
      </c>
      <c r="W1266">
        <f t="shared" ca="1" si="599"/>
        <v>1.6812012998768953</v>
      </c>
      <c r="X1266">
        <f t="shared" ca="1" si="600"/>
        <v>8.7422467593598565</v>
      </c>
      <c r="Y1266">
        <f t="shared" ca="1" si="601"/>
        <v>1.0210039363964547</v>
      </c>
      <c r="Z1266">
        <f t="shared" ca="1" si="602"/>
        <v>5.828021263006625</v>
      </c>
      <c r="AA1266">
        <f t="shared" ca="1" si="603"/>
        <v>633.64270129987688</v>
      </c>
      <c r="AB1266">
        <f t="shared" ca="1" si="604"/>
        <v>635.37388538968617</v>
      </c>
      <c r="AC1266">
        <f t="shared" ca="1" si="605"/>
        <v>7.4334122319850695E-3</v>
      </c>
      <c r="AD1266">
        <f t="shared" ca="1" si="606"/>
        <v>1.435082159090088</v>
      </c>
      <c r="AE1266">
        <f t="shared" ca="1" si="607"/>
        <v>37.617615305820557</v>
      </c>
      <c r="AF1266">
        <f t="shared" ca="1" si="608"/>
        <v>6.9259788197086891E-3</v>
      </c>
      <c r="AG1266">
        <f t="shared" ca="1" si="609"/>
        <v>0</v>
      </c>
      <c r="AH1266">
        <f ca="1">IFERROR(IF(V32="Supercritical",MAX($D$16,IFERROR(L1266,MAX($D$16,POWER((ABS(K1266)^2)/($I$5*MAX(F1266,0.1)^2),1/3)))),IF(V32="Subcritical",MAX($D$16,IFERROR(W1266,MAX($D$16,POWER((ABS(K1266)^2)/($I$5*MAX(F1266,0.1)^2),1/3)))),IF(AND(IFERROR(V1266,0)=1,IFERROR(AG1266,0)=1),IF(IFERROR(T1266,-1E+99)&gt;=IFERROR(AE1266,-1E+99),MAX($D$16,IFERROR(L1266,MAX($D$16,POWER((ABS(K1266)^2)/($I$5*MAX(F1266,0.1)^2),1/3)))),MAX($D$16,IFERROR(W1266,MAX($D$16,POWER((ABS(K1266)^2)/($I$5*MAX(F1266,0.1)^2),1/3))))),IF(IFERROR(V1266,0)=1,MAX($D$16,IFERROR(L1266,MAX($D$16,POWER((ABS(K1266)^2)/($I$5*MAX(F1266,0.1)^2),1/3)))),IF(IFERROR(AG1266,0)=1,MAX($D$16,IFERROR(W1266,MAX($D$16,POWER((ABS(K1266)^2)/($I$5*MAX(F1266,0.1)^2),1/3)))),MAX($D$16,POWER((ABS(K1266)^2)/($I$5*MAX(F1266,0.1)^2),1/3))))))),MAX($D$16,POWER((ABS(K1266)^2)/($I$5*MAX(F1266,0.1)^2),1/3)))</f>
        <v>2.1389677043987478</v>
      </c>
      <c r="AI1266">
        <f t="shared" ca="1" si="610"/>
        <v>634.10046770439874</v>
      </c>
      <c r="AJ1266">
        <f t="shared" ca="1" si="611"/>
        <v>635.16995155659811</v>
      </c>
      <c r="AM1266">
        <v>0</v>
      </c>
      <c r="AN1266">
        <v>0</v>
      </c>
      <c r="AO1266">
        <f t="shared" si="612"/>
        <v>0</v>
      </c>
      <c r="AP1266">
        <f t="shared" si="621"/>
        <v>0</v>
      </c>
      <c r="AQ1266">
        <f t="shared" ca="1" si="613"/>
        <v>1.0000000000000004</v>
      </c>
      <c r="AR1266" t="str">
        <f t="shared" ca="1" si="614"/>
        <v>Supercritical</v>
      </c>
      <c r="AS1266">
        <f t="shared" ca="1" si="615"/>
        <v>3.8141460404132466E-3</v>
      </c>
    </row>
    <row r="1267" spans="1:45" x14ac:dyDescent="0.35">
      <c r="A1267">
        <v>1206</v>
      </c>
      <c r="B1267">
        <v>1204.9949999999999</v>
      </c>
      <c r="C1267">
        <v>616072.63</v>
      </c>
      <c r="D1267">
        <v>3096802.24</v>
      </c>
      <c r="E1267">
        <v>631.96100000000001</v>
      </c>
      <c r="F1267">
        <v>5.2</v>
      </c>
      <c r="G1267">
        <v>0</v>
      </c>
      <c r="H1267" t="s">
        <v>154</v>
      </c>
      <c r="I1267">
        <v>0</v>
      </c>
      <c r="J1267">
        <f t="shared" si="616"/>
        <v>0.99899999999979627</v>
      </c>
      <c r="K1267">
        <f t="shared" ca="1" si="617"/>
        <v>50.95</v>
      </c>
      <c r="L1267">
        <f t="shared" ca="1" si="618"/>
        <v>2.1389677043987478</v>
      </c>
      <c r="M1267">
        <f t="shared" ca="1" si="591"/>
        <v>11.122632062873489</v>
      </c>
      <c r="N1267">
        <f t="shared" ca="1" si="592"/>
        <v>1.1735290000551568</v>
      </c>
      <c r="O1267">
        <f t="shared" ca="1" si="593"/>
        <v>4.5807502857230418</v>
      </c>
      <c r="P1267">
        <f t="shared" ca="1" si="594"/>
        <v>634.09996770439875</v>
      </c>
      <c r="Q1267">
        <f t="shared" ca="1" si="595"/>
        <v>635.16945155659812</v>
      </c>
      <c r="R1267">
        <f t="shared" ca="1" si="596"/>
        <v>3.8141460404132466E-3</v>
      </c>
      <c r="S1267">
        <f t="shared" ca="1" si="597"/>
        <v>1.0000000000000004</v>
      </c>
      <c r="T1267">
        <f t="shared" ca="1" si="598"/>
        <v>35.686426155594638</v>
      </c>
      <c r="U1267">
        <f t="shared" ca="1" si="619"/>
        <v>-3.3103318943403792E-3</v>
      </c>
      <c r="V1267">
        <f t="shared" ca="1" si="620"/>
        <v>1</v>
      </c>
      <c r="W1267">
        <f t="shared" ca="1" si="599"/>
        <v>1.6812012972772297</v>
      </c>
      <c r="X1267">
        <f t="shared" ca="1" si="600"/>
        <v>8.7422467458415944</v>
      </c>
      <c r="Y1267">
        <f t="shared" ca="1" si="601"/>
        <v>1.0210039354376437</v>
      </c>
      <c r="Z1267">
        <f t="shared" ca="1" si="602"/>
        <v>5.828021272018578</v>
      </c>
      <c r="AA1267">
        <f t="shared" ca="1" si="603"/>
        <v>633.64220129727721</v>
      </c>
      <c r="AB1267">
        <f t="shared" ca="1" si="604"/>
        <v>635.37338539244035</v>
      </c>
      <c r="AC1267">
        <f t="shared" ca="1" si="605"/>
        <v>7.4334122642813428E-3</v>
      </c>
      <c r="AD1267">
        <f t="shared" ca="1" si="606"/>
        <v>1.43508216241872</v>
      </c>
      <c r="AE1267">
        <f t="shared" ca="1" si="607"/>
        <v>37.61761532989884</v>
      </c>
      <c r="AF1267">
        <f t="shared" ca="1" si="608"/>
        <v>6.9334122642885632E-3</v>
      </c>
      <c r="AG1267">
        <f t="shared" ca="1" si="609"/>
        <v>0</v>
      </c>
      <c r="AH1267">
        <f ca="1">IFERROR(IF(V32="Supercritical",MAX($D$16,IFERROR(L1267,MAX($D$16,POWER((ABS(K1267)^2)/($I$5*MAX(F1267,0.1)^2),1/3)))),IF(V32="Subcritical",MAX($D$16,IFERROR(W1267,MAX($D$16,POWER((ABS(K1267)^2)/($I$5*MAX(F1267,0.1)^2),1/3)))),IF(AND(IFERROR(V1267,0)=1,IFERROR(AG1267,0)=1),IF(IFERROR(T1267,-1E+99)&gt;=IFERROR(AE1267,-1E+99),MAX($D$16,IFERROR(L1267,MAX($D$16,POWER((ABS(K1267)^2)/($I$5*MAX(F1267,0.1)^2),1/3)))),MAX($D$16,IFERROR(W1267,MAX($D$16,POWER((ABS(K1267)^2)/($I$5*MAX(F1267,0.1)^2),1/3))))),IF(IFERROR(V1267,0)=1,MAX($D$16,IFERROR(L1267,MAX($D$16,POWER((ABS(K1267)^2)/($I$5*MAX(F1267,0.1)^2),1/3)))),IF(IFERROR(AG1267,0)=1,MAX($D$16,IFERROR(W1267,MAX($D$16,POWER((ABS(K1267)^2)/($I$5*MAX(F1267,0.1)^2),1/3)))),MAX($D$16,POWER((ABS(K1267)^2)/($I$5*MAX(F1267,0.1)^2),1/3))))))),MAX($D$16,POWER((ABS(K1267)^2)/($I$5*MAX(F1267,0.1)^2),1/3)))</f>
        <v>2.1389677043987478</v>
      </c>
      <c r="AI1267">
        <f t="shared" ca="1" si="610"/>
        <v>634.09996770439875</v>
      </c>
      <c r="AJ1267">
        <f t="shared" ca="1" si="611"/>
        <v>635.16945155659812</v>
      </c>
      <c r="AM1267">
        <v>0</v>
      </c>
      <c r="AN1267">
        <v>0</v>
      </c>
      <c r="AO1267">
        <f t="shared" si="612"/>
        <v>0</v>
      </c>
      <c r="AP1267">
        <f t="shared" si="621"/>
        <v>0</v>
      </c>
      <c r="AQ1267">
        <f t="shared" ca="1" si="613"/>
        <v>1.0000000000000004</v>
      </c>
      <c r="AR1267" t="str">
        <f t="shared" ca="1" si="614"/>
        <v>Supercritical</v>
      </c>
      <c r="AS1267">
        <f t="shared" ca="1" si="615"/>
        <v>3.8141460404132466E-3</v>
      </c>
    </row>
    <row r="1268" spans="1:45" x14ac:dyDescent="0.35">
      <c r="A1268">
        <v>1207</v>
      </c>
      <c r="B1268">
        <v>1205.9949999999999</v>
      </c>
      <c r="C1268">
        <v>616072.58799999999</v>
      </c>
      <c r="D1268">
        <v>3096801.2409999999</v>
      </c>
      <c r="E1268">
        <v>631.96050000000002</v>
      </c>
      <c r="F1268">
        <v>5.2</v>
      </c>
      <c r="G1268">
        <v>0</v>
      </c>
      <c r="H1268" t="s">
        <v>154</v>
      </c>
      <c r="I1268">
        <v>0</v>
      </c>
      <c r="J1268">
        <f t="shared" si="616"/>
        <v>1</v>
      </c>
      <c r="K1268">
        <f t="shared" ca="1" si="617"/>
        <v>50.95</v>
      </c>
      <c r="L1268">
        <f t="shared" ca="1" si="618"/>
        <v>2.1389677043987478</v>
      </c>
      <c r="M1268">
        <f t="shared" ca="1" si="591"/>
        <v>11.122632062873489</v>
      </c>
      <c r="N1268">
        <f t="shared" ca="1" si="592"/>
        <v>1.1735290000551568</v>
      </c>
      <c r="O1268">
        <f t="shared" ca="1" si="593"/>
        <v>4.5807502857230418</v>
      </c>
      <c r="P1268">
        <f t="shared" ca="1" si="594"/>
        <v>634.09946770439876</v>
      </c>
      <c r="Q1268">
        <f t="shared" ca="1" si="595"/>
        <v>635.16895155659813</v>
      </c>
      <c r="R1268">
        <f t="shared" ca="1" si="596"/>
        <v>3.8141460404132466E-3</v>
      </c>
      <c r="S1268">
        <f t="shared" ca="1" si="597"/>
        <v>1.0000000000000004</v>
      </c>
      <c r="T1268">
        <f t="shared" ca="1" si="598"/>
        <v>35.686426155594638</v>
      </c>
      <c r="U1268">
        <f t="shared" ca="1" si="619"/>
        <v>-3.3141460404522149E-3</v>
      </c>
      <c r="V1268">
        <f t="shared" ca="1" si="620"/>
        <v>1</v>
      </c>
      <c r="W1268">
        <f t="shared" ca="1" si="599"/>
        <v>1.681201294847344</v>
      </c>
      <c r="X1268">
        <f t="shared" ca="1" si="600"/>
        <v>8.7422467332061888</v>
      </c>
      <c r="Y1268">
        <f t="shared" ca="1" si="601"/>
        <v>1.0210039345414512</v>
      </c>
      <c r="Z1268">
        <f t="shared" ca="1" si="602"/>
        <v>5.8280212804419751</v>
      </c>
      <c r="AA1268">
        <f t="shared" ca="1" si="603"/>
        <v>633.64170129484739</v>
      </c>
      <c r="AB1268">
        <f t="shared" ca="1" si="604"/>
        <v>635.3728853950148</v>
      </c>
      <c r="AC1268">
        <f t="shared" ca="1" si="605"/>
        <v>7.4334122944683988E-3</v>
      </c>
      <c r="AD1268">
        <f t="shared" ca="1" si="606"/>
        <v>1.4350821655299646</v>
      </c>
      <c r="AE1268">
        <f t="shared" ca="1" si="607"/>
        <v>37.617615352404613</v>
      </c>
      <c r="AF1268">
        <f t="shared" ca="1" si="608"/>
        <v>7.0978747839944845E-3</v>
      </c>
      <c r="AG1268">
        <f t="shared" ca="1" si="609"/>
        <v>0</v>
      </c>
      <c r="AH1268">
        <f ca="1">IFERROR(IF(V32="Supercritical",MAX($D$16,IFERROR(L1268,MAX($D$16,POWER((ABS(K1268)^2)/($I$5*MAX(F1268,0.1)^2),1/3)))),IF(V32="Subcritical",MAX($D$16,IFERROR(W1268,MAX($D$16,POWER((ABS(K1268)^2)/($I$5*MAX(F1268,0.1)^2),1/3)))),IF(AND(IFERROR(V1268,0)=1,IFERROR(AG1268,0)=1),IF(IFERROR(T1268,-1E+99)&gt;=IFERROR(AE1268,-1E+99),MAX($D$16,IFERROR(L1268,MAX($D$16,POWER((ABS(K1268)^2)/($I$5*MAX(F1268,0.1)^2),1/3)))),MAX($D$16,IFERROR(W1268,MAX($D$16,POWER((ABS(K1268)^2)/($I$5*MAX(F1268,0.1)^2),1/3))))),IF(IFERROR(V1268,0)=1,MAX($D$16,IFERROR(L1268,MAX($D$16,POWER((ABS(K1268)^2)/($I$5*MAX(F1268,0.1)^2),1/3)))),IF(IFERROR(AG1268,0)=1,MAX($D$16,IFERROR(W1268,MAX($D$16,POWER((ABS(K1268)^2)/($I$5*MAX(F1268,0.1)^2),1/3)))),MAX($D$16,POWER((ABS(K1268)^2)/($I$5*MAX(F1268,0.1)^2),1/3))))))),MAX($D$16,POWER((ABS(K1268)^2)/($I$5*MAX(F1268,0.1)^2),1/3)))</f>
        <v>2.1389677043987478</v>
      </c>
      <c r="AI1268">
        <f t="shared" ca="1" si="610"/>
        <v>634.09946770439876</v>
      </c>
      <c r="AJ1268">
        <f t="shared" ca="1" si="611"/>
        <v>635.16895155659813</v>
      </c>
      <c r="AM1268">
        <v>0</v>
      </c>
      <c r="AN1268">
        <v>0</v>
      </c>
      <c r="AO1268">
        <f t="shared" si="612"/>
        <v>0</v>
      </c>
      <c r="AP1268">
        <f t="shared" si="621"/>
        <v>0</v>
      </c>
      <c r="AQ1268">
        <f t="shared" ca="1" si="613"/>
        <v>1.0000000000000004</v>
      </c>
      <c r="AR1268" t="str">
        <f t="shared" ca="1" si="614"/>
        <v>Supercritical</v>
      </c>
      <c r="AS1268">
        <f t="shared" ca="1" si="615"/>
        <v>3.8141460404132466E-3</v>
      </c>
    </row>
    <row r="1269" spans="1:45" x14ac:dyDescent="0.35">
      <c r="A1269">
        <v>1208</v>
      </c>
      <c r="B1269">
        <v>1206.9949999999999</v>
      </c>
      <c r="C1269">
        <v>616072.54599999997</v>
      </c>
      <c r="D1269">
        <v>3096800.2420000001</v>
      </c>
      <c r="E1269">
        <v>631.96</v>
      </c>
      <c r="F1269">
        <v>5.2</v>
      </c>
      <c r="G1269">
        <v>0</v>
      </c>
      <c r="H1269" t="s">
        <v>154</v>
      </c>
      <c r="I1269">
        <v>5.7000000000000002E-2</v>
      </c>
      <c r="J1269">
        <f t="shared" si="616"/>
        <v>1</v>
      </c>
      <c r="K1269">
        <f t="shared" ca="1" si="617"/>
        <v>50.95</v>
      </c>
      <c r="L1269">
        <f t="shared" ca="1" si="618"/>
        <v>2.1389677043987478</v>
      </c>
      <c r="M1269">
        <f t="shared" ca="1" si="591"/>
        <v>11.122632062873489</v>
      </c>
      <c r="N1269">
        <f t="shared" ca="1" si="592"/>
        <v>1.1735290000551568</v>
      </c>
      <c r="O1269">
        <f t="shared" ca="1" si="593"/>
        <v>4.5807502857230418</v>
      </c>
      <c r="P1269">
        <f t="shared" ca="1" si="594"/>
        <v>634.09896770439877</v>
      </c>
      <c r="Q1269">
        <f t="shared" ca="1" si="595"/>
        <v>635.16845155659814</v>
      </c>
      <c r="R1269">
        <f t="shared" ca="1" si="596"/>
        <v>3.8141460404132466E-3</v>
      </c>
      <c r="S1269">
        <f t="shared" ca="1" si="597"/>
        <v>1.0000000000000004</v>
      </c>
      <c r="T1269">
        <f t="shared" ca="1" si="598"/>
        <v>35.686426155594638</v>
      </c>
      <c r="U1269">
        <f t="shared" ca="1" si="619"/>
        <v>-3.4157470064428708E-3</v>
      </c>
      <c r="V1269">
        <f t="shared" ca="1" si="620"/>
        <v>1</v>
      </c>
      <c r="W1269">
        <f t="shared" ca="1" si="599"/>
        <v>1.681201292576171</v>
      </c>
      <c r="X1269">
        <f t="shared" ca="1" si="600"/>
        <v>8.7422467213960893</v>
      </c>
      <c r="Y1269">
        <f t="shared" ca="1" si="601"/>
        <v>1.0210039337037957</v>
      </c>
      <c r="Z1269">
        <f t="shared" ca="1" si="602"/>
        <v>5.8280212883151812</v>
      </c>
      <c r="AA1269">
        <f t="shared" ca="1" si="603"/>
        <v>633.64120129257617</v>
      </c>
      <c r="AB1269">
        <f t="shared" ca="1" si="604"/>
        <v>635.372385397421</v>
      </c>
      <c r="AC1269">
        <f t="shared" ca="1" si="605"/>
        <v>7.433412322683723E-3</v>
      </c>
      <c r="AD1269">
        <f t="shared" ca="1" si="606"/>
        <v>1.4350821684379922</v>
      </c>
      <c r="AE1269">
        <f t="shared" ca="1" si="607"/>
        <v>37.617615373440366</v>
      </c>
      <c r="AF1269">
        <f t="shared" ca="1" si="608"/>
        <v>7.1065307331537042E-3</v>
      </c>
      <c r="AG1269">
        <f t="shared" ca="1" si="609"/>
        <v>0</v>
      </c>
      <c r="AH1269">
        <f ca="1">IFERROR(IF(V32="Supercritical",MAX($D$16,IFERROR(L1269,MAX($D$16,POWER((ABS(K1269)^2)/($I$5*MAX(F1269,0.1)^2),1/3)))),IF(V32="Subcritical",MAX($D$16,IFERROR(W1269,MAX($D$16,POWER((ABS(K1269)^2)/($I$5*MAX(F1269,0.1)^2),1/3)))),IF(AND(IFERROR(V1269,0)=1,IFERROR(AG1269,0)=1),IF(IFERROR(T1269,-1E+99)&gt;=IFERROR(AE1269,-1E+99),MAX($D$16,IFERROR(L1269,MAX($D$16,POWER((ABS(K1269)^2)/($I$5*MAX(F1269,0.1)^2),1/3)))),MAX($D$16,IFERROR(W1269,MAX($D$16,POWER((ABS(K1269)^2)/($I$5*MAX(F1269,0.1)^2),1/3))))),IF(IFERROR(V1269,0)=1,MAX($D$16,IFERROR(L1269,MAX($D$16,POWER((ABS(K1269)^2)/($I$5*MAX(F1269,0.1)^2),1/3)))),IF(IFERROR(AG1269,0)=1,MAX($D$16,IFERROR(W1269,MAX($D$16,POWER((ABS(K1269)^2)/($I$5*MAX(F1269,0.1)^2),1/3)))),MAX($D$16,POWER((ABS(K1269)^2)/($I$5*MAX(F1269,0.1)^2),1/3))))))),MAX($D$16,POWER((ABS(K1269)^2)/($I$5*MAX(F1269,0.1)^2),1/3)))</f>
        <v>2.1389677043987478</v>
      </c>
      <c r="AI1269">
        <f t="shared" ca="1" si="610"/>
        <v>634.09896770439877</v>
      </c>
      <c r="AJ1269">
        <f t="shared" ca="1" si="611"/>
        <v>635.16845155659814</v>
      </c>
      <c r="AM1269">
        <v>0</v>
      </c>
      <c r="AN1269">
        <v>0</v>
      </c>
      <c r="AO1269">
        <f t="shared" si="612"/>
        <v>0</v>
      </c>
      <c r="AP1269">
        <f t="shared" si="621"/>
        <v>0</v>
      </c>
      <c r="AQ1269">
        <f t="shared" ca="1" si="613"/>
        <v>1.0000000000000004</v>
      </c>
      <c r="AR1269" t="str">
        <f t="shared" ca="1" si="614"/>
        <v>Supercritical</v>
      </c>
      <c r="AS1269">
        <f t="shared" ca="1" si="615"/>
        <v>3.8141460404132466E-3</v>
      </c>
    </row>
    <row r="1270" spans="1:45" x14ac:dyDescent="0.35">
      <c r="A1270">
        <v>1209</v>
      </c>
      <c r="B1270">
        <v>1207.9949999999999</v>
      </c>
      <c r="C1270">
        <v>616072.50300000003</v>
      </c>
      <c r="D1270">
        <v>3096799.2429999998</v>
      </c>
      <c r="E1270">
        <v>631.95950000000005</v>
      </c>
      <c r="F1270">
        <v>5.2</v>
      </c>
      <c r="G1270">
        <v>0</v>
      </c>
      <c r="H1270" t="s">
        <v>154</v>
      </c>
      <c r="I1270">
        <v>0.06</v>
      </c>
      <c r="J1270">
        <f t="shared" si="616"/>
        <v>1</v>
      </c>
      <c r="K1270">
        <f t="shared" ca="1" si="617"/>
        <v>50.95</v>
      </c>
      <c r="L1270">
        <f t="shared" ca="1" si="618"/>
        <v>2.1389677043987478</v>
      </c>
      <c r="M1270">
        <f t="shared" ca="1" si="591"/>
        <v>11.122632062873489</v>
      </c>
      <c r="N1270">
        <f t="shared" ca="1" si="592"/>
        <v>1.1735290000551568</v>
      </c>
      <c r="O1270">
        <f t="shared" ca="1" si="593"/>
        <v>4.5807502857230418</v>
      </c>
      <c r="P1270">
        <f t="shared" ca="1" si="594"/>
        <v>634.09846770439879</v>
      </c>
      <c r="Q1270">
        <f t="shared" ca="1" si="595"/>
        <v>635.16795155659815</v>
      </c>
      <c r="R1270">
        <f t="shared" ca="1" si="596"/>
        <v>3.8141460404132466E-3</v>
      </c>
      <c r="S1270">
        <f t="shared" ca="1" si="597"/>
        <v>1.0000000000000004</v>
      </c>
      <c r="T1270">
        <f t="shared" ca="1" si="598"/>
        <v>35.686426155594638</v>
      </c>
      <c r="U1270">
        <f t="shared" ca="1" si="619"/>
        <v>-3.4210944256756193E-3</v>
      </c>
      <c r="V1270">
        <f t="shared" ca="1" si="620"/>
        <v>1</v>
      </c>
      <c r="W1270">
        <f t="shared" ca="1" si="599"/>
        <v>1.6812012904533251</v>
      </c>
      <c r="X1270">
        <f t="shared" ca="1" si="600"/>
        <v>8.742246710357291</v>
      </c>
      <c r="Y1270">
        <f t="shared" ca="1" si="601"/>
        <v>1.021003932920846</v>
      </c>
      <c r="Z1270">
        <f t="shared" ca="1" si="602"/>
        <v>5.8280212956741986</v>
      </c>
      <c r="AA1270">
        <f t="shared" ca="1" si="603"/>
        <v>633.64070129045342</v>
      </c>
      <c r="AB1270">
        <f t="shared" ca="1" si="604"/>
        <v>635.37188539967019</v>
      </c>
      <c r="AC1270">
        <f t="shared" ca="1" si="605"/>
        <v>7.4334123490563484E-3</v>
      </c>
      <c r="AD1270">
        <f t="shared" ca="1" si="606"/>
        <v>1.4350821711561006</v>
      </c>
      <c r="AE1270">
        <f t="shared" ca="1" si="607"/>
        <v>37.617615393102312</v>
      </c>
      <c r="AF1270">
        <f t="shared" ca="1" si="608"/>
        <v>6.9466163749893894E-3</v>
      </c>
      <c r="AG1270">
        <f t="shared" ca="1" si="609"/>
        <v>0</v>
      </c>
      <c r="AH1270">
        <f ca="1">IFERROR(IF(V32="Supercritical",MAX($D$16,IFERROR(L1270,MAX($D$16,POWER((ABS(K1270)^2)/($I$5*MAX(F1270,0.1)^2),1/3)))),IF(V32="Subcritical",MAX($D$16,IFERROR(W1270,MAX($D$16,POWER((ABS(K1270)^2)/($I$5*MAX(F1270,0.1)^2),1/3)))),IF(AND(IFERROR(V1270,0)=1,IFERROR(AG1270,0)=1),IF(IFERROR(T1270,-1E+99)&gt;=IFERROR(AE1270,-1E+99),MAX($D$16,IFERROR(L1270,MAX($D$16,POWER((ABS(K1270)^2)/($I$5*MAX(F1270,0.1)^2),1/3)))),MAX($D$16,IFERROR(W1270,MAX($D$16,POWER((ABS(K1270)^2)/($I$5*MAX(F1270,0.1)^2),1/3))))),IF(IFERROR(V1270,0)=1,MAX($D$16,IFERROR(L1270,MAX($D$16,POWER((ABS(K1270)^2)/($I$5*MAX(F1270,0.1)^2),1/3)))),IF(IFERROR(AG1270,0)=1,MAX($D$16,IFERROR(W1270,MAX($D$16,POWER((ABS(K1270)^2)/($I$5*MAX(F1270,0.1)^2),1/3)))),MAX($D$16,POWER((ABS(K1270)^2)/($I$5*MAX(F1270,0.1)^2),1/3))))))),MAX($D$16,POWER((ABS(K1270)^2)/($I$5*MAX(F1270,0.1)^2),1/3)))</f>
        <v>2.1389677043987478</v>
      </c>
      <c r="AI1270">
        <f t="shared" ca="1" si="610"/>
        <v>634.09846770439879</v>
      </c>
      <c r="AJ1270">
        <f t="shared" ca="1" si="611"/>
        <v>635.16795155659815</v>
      </c>
      <c r="AM1270">
        <v>0</v>
      </c>
      <c r="AN1270">
        <v>0</v>
      </c>
      <c r="AO1270">
        <f t="shared" si="612"/>
        <v>0</v>
      </c>
      <c r="AP1270">
        <f t="shared" si="621"/>
        <v>0</v>
      </c>
      <c r="AQ1270">
        <f t="shared" ca="1" si="613"/>
        <v>1.0000000000000004</v>
      </c>
      <c r="AR1270" t="str">
        <f t="shared" ca="1" si="614"/>
        <v>Supercritical</v>
      </c>
      <c r="AS1270">
        <f t="shared" ca="1" si="615"/>
        <v>3.8141460404132466E-3</v>
      </c>
    </row>
    <row r="1271" spans="1:45" x14ac:dyDescent="0.35">
      <c r="A1271">
        <v>1210</v>
      </c>
      <c r="B1271">
        <v>1208.9960000000001</v>
      </c>
      <c r="C1271">
        <v>616072.46100000001</v>
      </c>
      <c r="D1271">
        <v>3096798.2429999998</v>
      </c>
      <c r="E1271">
        <v>631.95899999999995</v>
      </c>
      <c r="F1271">
        <v>5.2</v>
      </c>
      <c r="G1271">
        <v>0</v>
      </c>
      <c r="H1271" t="s">
        <v>154</v>
      </c>
      <c r="I1271">
        <v>2E-3</v>
      </c>
      <c r="J1271">
        <f t="shared" si="616"/>
        <v>1.0010000000002037</v>
      </c>
      <c r="K1271">
        <f t="shared" ca="1" si="617"/>
        <v>50.95</v>
      </c>
      <c r="L1271">
        <f t="shared" ca="1" si="618"/>
        <v>2.1389677043987478</v>
      </c>
      <c r="M1271">
        <f t="shared" ca="1" si="591"/>
        <v>11.122632062873489</v>
      </c>
      <c r="N1271">
        <f t="shared" ca="1" si="592"/>
        <v>1.1735290000551568</v>
      </c>
      <c r="O1271">
        <f t="shared" ca="1" si="593"/>
        <v>4.5807502857230418</v>
      </c>
      <c r="P1271">
        <f t="shared" ca="1" si="594"/>
        <v>634.09796770439868</v>
      </c>
      <c r="Q1271">
        <f t="shared" ca="1" si="595"/>
        <v>635.16745155659805</v>
      </c>
      <c r="R1271">
        <f t="shared" ca="1" si="596"/>
        <v>3.8141460404132466E-3</v>
      </c>
      <c r="S1271">
        <f t="shared" ca="1" si="597"/>
        <v>1.0000000000000004</v>
      </c>
      <c r="T1271">
        <f t="shared" ca="1" si="598"/>
        <v>35.686426155594638</v>
      </c>
      <c r="U1271">
        <f t="shared" ca="1" si="619"/>
        <v>-3.3215251324918427E-3</v>
      </c>
      <c r="V1271">
        <f t="shared" ca="1" si="620"/>
        <v>1</v>
      </c>
      <c r="W1271">
        <f t="shared" ca="1" si="599"/>
        <v>1.6812012884691374</v>
      </c>
      <c r="X1271">
        <f t="shared" ca="1" si="600"/>
        <v>8.7422467000395141</v>
      </c>
      <c r="Y1271">
        <f t="shared" ca="1" si="601"/>
        <v>1.0210039321890361</v>
      </c>
      <c r="Z1271">
        <f t="shared" ca="1" si="602"/>
        <v>5.828021302552548</v>
      </c>
      <c r="AA1271">
        <f t="shared" ca="1" si="603"/>
        <v>633.64020128846903</v>
      </c>
      <c r="AB1271">
        <f t="shared" ca="1" si="604"/>
        <v>635.37138540177216</v>
      </c>
      <c r="AC1271">
        <f t="shared" ca="1" si="605"/>
        <v>7.4334123737063882E-3</v>
      </c>
      <c r="AD1271">
        <f t="shared" ca="1" si="606"/>
        <v>1.4350821736966706</v>
      </c>
      <c r="AE1271">
        <f t="shared" ca="1" si="607"/>
        <v>37.617615411479989</v>
      </c>
      <c r="AF1271">
        <f t="shared" ca="1" si="608"/>
        <v>6.9334123737689879E-3</v>
      </c>
      <c r="AG1271">
        <f t="shared" ca="1" si="609"/>
        <v>0</v>
      </c>
      <c r="AH1271">
        <f ca="1">IFERROR(IF(V32="Supercritical",MAX($D$16,IFERROR(L1271,MAX($D$16,POWER((ABS(K1271)^2)/($I$5*MAX(F1271,0.1)^2),1/3)))),IF(V32="Subcritical",MAX($D$16,IFERROR(W1271,MAX($D$16,POWER((ABS(K1271)^2)/($I$5*MAX(F1271,0.1)^2),1/3)))),IF(AND(IFERROR(V1271,0)=1,IFERROR(AG1271,0)=1),IF(IFERROR(T1271,-1E+99)&gt;=IFERROR(AE1271,-1E+99),MAX($D$16,IFERROR(L1271,MAX($D$16,POWER((ABS(K1271)^2)/($I$5*MAX(F1271,0.1)^2),1/3)))),MAX($D$16,IFERROR(W1271,MAX($D$16,POWER((ABS(K1271)^2)/($I$5*MAX(F1271,0.1)^2),1/3))))),IF(IFERROR(V1271,0)=1,MAX($D$16,IFERROR(L1271,MAX($D$16,POWER((ABS(K1271)^2)/($I$5*MAX(F1271,0.1)^2),1/3)))),IF(IFERROR(AG1271,0)=1,MAX($D$16,IFERROR(W1271,MAX($D$16,POWER((ABS(K1271)^2)/($I$5*MAX(F1271,0.1)^2),1/3)))),MAX($D$16,POWER((ABS(K1271)^2)/($I$5*MAX(F1271,0.1)^2),1/3))))))),MAX($D$16,POWER((ABS(K1271)^2)/($I$5*MAX(F1271,0.1)^2),1/3)))</f>
        <v>2.1389677043987478</v>
      </c>
      <c r="AI1271">
        <f t="shared" ca="1" si="610"/>
        <v>634.09796770439868</v>
      </c>
      <c r="AJ1271">
        <f t="shared" ca="1" si="611"/>
        <v>635.16745155659805</v>
      </c>
      <c r="AM1271">
        <v>0</v>
      </c>
      <c r="AN1271">
        <v>0</v>
      </c>
      <c r="AO1271">
        <f t="shared" si="612"/>
        <v>0</v>
      </c>
      <c r="AP1271">
        <f t="shared" si="621"/>
        <v>0</v>
      </c>
      <c r="AQ1271">
        <f t="shared" ca="1" si="613"/>
        <v>1.0000000000000004</v>
      </c>
      <c r="AR1271" t="str">
        <f t="shared" ca="1" si="614"/>
        <v>Supercritical</v>
      </c>
      <c r="AS1271">
        <f t="shared" ca="1" si="615"/>
        <v>3.8141460404132466E-3</v>
      </c>
    </row>
    <row r="1272" spans="1:45" x14ac:dyDescent="0.35">
      <c r="A1272">
        <v>1211</v>
      </c>
      <c r="B1272">
        <v>1209.9960000000001</v>
      </c>
      <c r="C1272">
        <v>616072.41899999999</v>
      </c>
      <c r="D1272">
        <v>3096797.2439999999</v>
      </c>
      <c r="E1272">
        <v>631.95849999999996</v>
      </c>
      <c r="F1272">
        <v>5.2</v>
      </c>
      <c r="G1272">
        <v>0</v>
      </c>
      <c r="H1272" t="s">
        <v>154</v>
      </c>
      <c r="I1272">
        <v>0</v>
      </c>
      <c r="J1272">
        <f t="shared" si="616"/>
        <v>1</v>
      </c>
      <c r="K1272">
        <f t="shared" ca="1" si="617"/>
        <v>50.95</v>
      </c>
      <c r="L1272">
        <f t="shared" ca="1" si="618"/>
        <v>2.1389677043987478</v>
      </c>
      <c r="M1272">
        <f t="shared" ca="1" si="591"/>
        <v>11.122632062873489</v>
      </c>
      <c r="N1272">
        <f t="shared" ca="1" si="592"/>
        <v>1.1735290000551568</v>
      </c>
      <c r="O1272">
        <f t="shared" ca="1" si="593"/>
        <v>4.5807502857230418</v>
      </c>
      <c r="P1272">
        <f t="shared" ca="1" si="594"/>
        <v>634.0974677043987</v>
      </c>
      <c r="Q1272">
        <f t="shared" ca="1" si="595"/>
        <v>635.16695155659806</v>
      </c>
      <c r="R1272">
        <f t="shared" ca="1" si="596"/>
        <v>3.8141460404132466E-3</v>
      </c>
      <c r="S1272">
        <f t="shared" ca="1" si="597"/>
        <v>1.0000000000000004</v>
      </c>
      <c r="T1272">
        <f t="shared" ca="1" si="598"/>
        <v>35.686426155594638</v>
      </c>
      <c r="U1272">
        <f t="shared" ca="1" si="619"/>
        <v>-3.3141460404522149E-3</v>
      </c>
      <c r="V1272">
        <f t="shared" ca="1" si="620"/>
        <v>1</v>
      </c>
      <c r="W1272">
        <f t="shared" ca="1" si="599"/>
        <v>1.6812012866145185</v>
      </c>
      <c r="X1272">
        <f t="shared" ca="1" si="600"/>
        <v>8.742246690395497</v>
      </c>
      <c r="Y1272">
        <f t="shared" ca="1" si="601"/>
        <v>1.0210039315050143</v>
      </c>
      <c r="Z1272">
        <f t="shared" ca="1" si="602"/>
        <v>5.828021308981735</v>
      </c>
      <c r="AA1272">
        <f t="shared" ca="1" si="603"/>
        <v>633.63970128661447</v>
      </c>
      <c r="AB1272">
        <f t="shared" ca="1" si="604"/>
        <v>635.37088540373702</v>
      </c>
      <c r="AC1272">
        <f t="shared" ca="1" si="605"/>
        <v>7.4334123967467591E-3</v>
      </c>
      <c r="AD1272">
        <f t="shared" ca="1" si="606"/>
        <v>1.4350821760713388</v>
      </c>
      <c r="AE1272">
        <f t="shared" ca="1" si="607"/>
        <v>37.617615428657601</v>
      </c>
      <c r="AF1272">
        <f t="shared" ca="1" si="608"/>
        <v>7.0978748879042541E-3</v>
      </c>
      <c r="AG1272">
        <f t="shared" ca="1" si="609"/>
        <v>0</v>
      </c>
      <c r="AH1272">
        <f ca="1">IFERROR(IF(V32="Supercritical",MAX($D$16,IFERROR(L1272,MAX($D$16,POWER((ABS(K1272)^2)/($I$5*MAX(F1272,0.1)^2),1/3)))),IF(V32="Subcritical",MAX($D$16,IFERROR(W1272,MAX($D$16,POWER((ABS(K1272)^2)/($I$5*MAX(F1272,0.1)^2),1/3)))),IF(AND(IFERROR(V1272,0)=1,IFERROR(AG1272,0)=1),IF(IFERROR(T1272,-1E+99)&gt;=IFERROR(AE1272,-1E+99),MAX($D$16,IFERROR(L1272,MAX($D$16,POWER((ABS(K1272)^2)/($I$5*MAX(F1272,0.1)^2),1/3)))),MAX($D$16,IFERROR(W1272,MAX($D$16,POWER((ABS(K1272)^2)/($I$5*MAX(F1272,0.1)^2),1/3))))),IF(IFERROR(V1272,0)=1,MAX($D$16,IFERROR(L1272,MAX($D$16,POWER((ABS(K1272)^2)/($I$5*MAX(F1272,0.1)^2),1/3)))),IF(IFERROR(AG1272,0)=1,MAX($D$16,IFERROR(W1272,MAX($D$16,POWER((ABS(K1272)^2)/($I$5*MAX(F1272,0.1)^2),1/3)))),MAX($D$16,POWER((ABS(K1272)^2)/($I$5*MAX(F1272,0.1)^2),1/3))))))),MAX($D$16,POWER((ABS(K1272)^2)/($I$5*MAX(F1272,0.1)^2),1/3)))</f>
        <v>2.1389677043987478</v>
      </c>
      <c r="AI1272">
        <f t="shared" ca="1" si="610"/>
        <v>634.0974677043987</v>
      </c>
      <c r="AJ1272">
        <f t="shared" ca="1" si="611"/>
        <v>635.16695155659806</v>
      </c>
      <c r="AM1272">
        <v>0</v>
      </c>
      <c r="AN1272">
        <v>0</v>
      </c>
      <c r="AO1272">
        <f t="shared" si="612"/>
        <v>0</v>
      </c>
      <c r="AP1272">
        <f t="shared" si="621"/>
        <v>0</v>
      </c>
      <c r="AQ1272">
        <f t="shared" ca="1" si="613"/>
        <v>1.0000000000000004</v>
      </c>
      <c r="AR1272" t="str">
        <f t="shared" ca="1" si="614"/>
        <v>Supercritical</v>
      </c>
      <c r="AS1272">
        <f t="shared" ca="1" si="615"/>
        <v>3.8141460404132466E-3</v>
      </c>
    </row>
    <row r="1273" spans="1:45" x14ac:dyDescent="0.35">
      <c r="A1273">
        <v>1212</v>
      </c>
      <c r="B1273">
        <v>1210.9960000000001</v>
      </c>
      <c r="C1273">
        <v>616072.37699999998</v>
      </c>
      <c r="D1273">
        <v>3096796.2450000001</v>
      </c>
      <c r="E1273">
        <v>631.95799999999997</v>
      </c>
      <c r="F1273">
        <v>5.2</v>
      </c>
      <c r="G1273">
        <v>0</v>
      </c>
      <c r="H1273" t="s">
        <v>154</v>
      </c>
      <c r="I1273">
        <v>5.7000000000000002E-2</v>
      </c>
      <c r="J1273">
        <f t="shared" si="616"/>
        <v>1</v>
      </c>
      <c r="K1273">
        <f t="shared" ca="1" si="617"/>
        <v>50.95</v>
      </c>
      <c r="L1273">
        <f t="shared" ca="1" si="618"/>
        <v>2.1389677043987478</v>
      </c>
      <c r="M1273">
        <f t="shared" ca="1" si="591"/>
        <v>11.122632062873489</v>
      </c>
      <c r="N1273">
        <f t="shared" ca="1" si="592"/>
        <v>1.1735290000551568</v>
      </c>
      <c r="O1273">
        <f t="shared" ca="1" si="593"/>
        <v>4.5807502857230418</v>
      </c>
      <c r="P1273">
        <f t="shared" ca="1" si="594"/>
        <v>634.09696770439871</v>
      </c>
      <c r="Q1273">
        <f t="shared" ca="1" si="595"/>
        <v>635.16645155659808</v>
      </c>
      <c r="R1273">
        <f t="shared" ca="1" si="596"/>
        <v>3.8141460404132466E-3</v>
      </c>
      <c r="S1273">
        <f t="shared" ca="1" si="597"/>
        <v>1.0000000000000004</v>
      </c>
      <c r="T1273">
        <f t="shared" ca="1" si="598"/>
        <v>35.686426155594638</v>
      </c>
      <c r="U1273">
        <f t="shared" ca="1" si="619"/>
        <v>-3.4157470064428708E-3</v>
      </c>
      <c r="V1273">
        <f t="shared" ca="1" si="620"/>
        <v>1</v>
      </c>
      <c r="W1273">
        <f t="shared" ca="1" si="599"/>
        <v>1.6812012848810274</v>
      </c>
      <c r="X1273">
        <f t="shared" ca="1" si="600"/>
        <v>8.7422466813813422</v>
      </c>
      <c r="Y1273">
        <f t="shared" ca="1" si="601"/>
        <v>1.0210039308656664</v>
      </c>
      <c r="Z1273">
        <f t="shared" ca="1" si="602"/>
        <v>5.828021314991024</v>
      </c>
      <c r="AA1273">
        <f t="shared" ca="1" si="603"/>
        <v>633.63920128488098</v>
      </c>
      <c r="AB1273">
        <f t="shared" ca="1" si="604"/>
        <v>635.37038540557364</v>
      </c>
      <c r="AC1273">
        <f t="shared" ca="1" si="605"/>
        <v>7.4334124182823449E-3</v>
      </c>
      <c r="AD1273">
        <f t="shared" ca="1" si="606"/>
        <v>1.4350821782909144</v>
      </c>
      <c r="AE1273">
        <f t="shared" ca="1" si="607"/>
        <v>37.617615444713316</v>
      </c>
      <c r="AF1273">
        <f t="shared" ca="1" si="608"/>
        <v>7.0978749098458138E-3</v>
      </c>
      <c r="AG1273">
        <f t="shared" ca="1" si="609"/>
        <v>0</v>
      </c>
      <c r="AH1273">
        <f ca="1">IFERROR(IF(V32="Supercritical",MAX($D$16,IFERROR(L1273,MAX($D$16,POWER((ABS(K1273)^2)/($I$5*MAX(F1273,0.1)^2),1/3)))),IF(V32="Subcritical",MAX($D$16,IFERROR(W1273,MAX($D$16,POWER((ABS(K1273)^2)/($I$5*MAX(F1273,0.1)^2),1/3)))),IF(AND(IFERROR(V1273,0)=1,IFERROR(AG1273,0)=1),IF(IFERROR(T1273,-1E+99)&gt;=IFERROR(AE1273,-1E+99),MAX($D$16,IFERROR(L1273,MAX($D$16,POWER((ABS(K1273)^2)/($I$5*MAX(F1273,0.1)^2),1/3)))),MAX($D$16,IFERROR(W1273,MAX($D$16,POWER((ABS(K1273)^2)/($I$5*MAX(F1273,0.1)^2),1/3))))),IF(IFERROR(V1273,0)=1,MAX($D$16,IFERROR(L1273,MAX($D$16,POWER((ABS(K1273)^2)/($I$5*MAX(F1273,0.1)^2),1/3)))),IF(IFERROR(AG1273,0)=1,MAX($D$16,IFERROR(W1273,MAX($D$16,POWER((ABS(K1273)^2)/($I$5*MAX(F1273,0.1)^2),1/3)))),MAX($D$16,POWER((ABS(K1273)^2)/($I$5*MAX(F1273,0.1)^2),1/3))))))),MAX($D$16,POWER((ABS(K1273)^2)/($I$5*MAX(F1273,0.1)^2),1/3)))</f>
        <v>2.1389677043987478</v>
      </c>
      <c r="AI1273">
        <f t="shared" ca="1" si="610"/>
        <v>634.09696770439871</v>
      </c>
      <c r="AJ1273">
        <f t="shared" ca="1" si="611"/>
        <v>635.16645155659808</v>
      </c>
      <c r="AM1273">
        <v>0</v>
      </c>
      <c r="AN1273">
        <v>0</v>
      </c>
      <c r="AO1273">
        <f t="shared" si="612"/>
        <v>0</v>
      </c>
      <c r="AP1273">
        <f t="shared" si="621"/>
        <v>0</v>
      </c>
      <c r="AQ1273">
        <f t="shared" ca="1" si="613"/>
        <v>1.0000000000000004</v>
      </c>
      <c r="AR1273" t="str">
        <f t="shared" ca="1" si="614"/>
        <v>Supercritical</v>
      </c>
      <c r="AS1273">
        <f t="shared" ca="1" si="615"/>
        <v>3.8141460404132466E-3</v>
      </c>
    </row>
    <row r="1274" spans="1:45" x14ac:dyDescent="0.35">
      <c r="A1274">
        <v>1213</v>
      </c>
      <c r="B1274">
        <v>1211.9960000000001</v>
      </c>
      <c r="C1274">
        <v>616072.33400000003</v>
      </c>
      <c r="D1274">
        <v>3096795.2459999998</v>
      </c>
      <c r="E1274">
        <v>631.95749999999998</v>
      </c>
      <c r="F1274">
        <v>5.2</v>
      </c>
      <c r="G1274">
        <v>0</v>
      </c>
      <c r="H1274" t="s">
        <v>154</v>
      </c>
      <c r="I1274">
        <v>5.7000000000000002E-2</v>
      </c>
      <c r="J1274">
        <f t="shared" si="616"/>
        <v>1</v>
      </c>
      <c r="K1274">
        <f t="shared" ca="1" si="617"/>
        <v>50.95</v>
      </c>
      <c r="L1274">
        <f t="shared" ca="1" si="618"/>
        <v>2.1389677043987478</v>
      </c>
      <c r="M1274">
        <f t="shared" ca="1" si="591"/>
        <v>11.122632062873489</v>
      </c>
      <c r="N1274">
        <f t="shared" ca="1" si="592"/>
        <v>1.1735290000551568</v>
      </c>
      <c r="O1274">
        <f t="shared" ca="1" si="593"/>
        <v>4.5807502857230418</v>
      </c>
      <c r="P1274">
        <f t="shared" ca="1" si="594"/>
        <v>634.09646770439872</v>
      </c>
      <c r="Q1274">
        <f t="shared" ca="1" si="595"/>
        <v>635.16595155659809</v>
      </c>
      <c r="R1274">
        <f t="shared" ca="1" si="596"/>
        <v>3.8141460404132466E-3</v>
      </c>
      <c r="S1274">
        <f t="shared" ca="1" si="597"/>
        <v>1.0000000000000004</v>
      </c>
      <c r="T1274">
        <f t="shared" ca="1" si="598"/>
        <v>35.686426155594638</v>
      </c>
      <c r="U1274">
        <f t="shared" ca="1" si="619"/>
        <v>-3.4157470064428708E-3</v>
      </c>
      <c r="V1274">
        <f t="shared" ca="1" si="620"/>
        <v>1</v>
      </c>
      <c r="W1274">
        <f t="shared" ca="1" si="599"/>
        <v>1.6812012832607512</v>
      </c>
      <c r="X1274">
        <f t="shared" ca="1" si="600"/>
        <v>8.7422466729559076</v>
      </c>
      <c r="Y1274">
        <f t="shared" ca="1" si="601"/>
        <v>1.0210039302680751</v>
      </c>
      <c r="Z1274">
        <f t="shared" ca="1" si="602"/>
        <v>5.8280213206078422</v>
      </c>
      <c r="AA1274">
        <f t="shared" ca="1" si="603"/>
        <v>633.63870128326073</v>
      </c>
      <c r="AB1274">
        <f t="shared" ca="1" si="604"/>
        <v>635.36988540729033</v>
      </c>
      <c r="AC1274">
        <f t="shared" ca="1" si="605"/>
        <v>7.4334124384114186E-3</v>
      </c>
      <c r="AD1274">
        <f t="shared" ca="1" si="606"/>
        <v>1.4350821803655283</v>
      </c>
      <c r="AE1274">
        <f t="shared" ca="1" si="607"/>
        <v>37.617615459720419</v>
      </c>
      <c r="AF1274">
        <f t="shared" ca="1" si="608"/>
        <v>6.9334124384567986E-3</v>
      </c>
      <c r="AG1274">
        <f t="shared" ca="1" si="609"/>
        <v>0</v>
      </c>
      <c r="AH1274">
        <f ca="1">IFERROR(IF(V32="Supercritical",MAX($D$16,IFERROR(L1274,MAX($D$16,POWER((ABS(K1274)^2)/($I$5*MAX(F1274,0.1)^2),1/3)))),IF(V32="Subcritical",MAX($D$16,IFERROR(W1274,MAX($D$16,POWER((ABS(K1274)^2)/($I$5*MAX(F1274,0.1)^2),1/3)))),IF(AND(IFERROR(V1274,0)=1,IFERROR(AG1274,0)=1),IF(IFERROR(T1274,-1E+99)&gt;=IFERROR(AE1274,-1E+99),MAX($D$16,IFERROR(L1274,MAX($D$16,POWER((ABS(K1274)^2)/($I$5*MAX(F1274,0.1)^2),1/3)))),MAX($D$16,IFERROR(W1274,MAX($D$16,POWER((ABS(K1274)^2)/($I$5*MAX(F1274,0.1)^2),1/3))))),IF(IFERROR(V1274,0)=1,MAX($D$16,IFERROR(L1274,MAX($D$16,POWER((ABS(K1274)^2)/($I$5*MAX(F1274,0.1)^2),1/3)))),IF(IFERROR(AG1274,0)=1,MAX($D$16,IFERROR(W1274,MAX($D$16,POWER((ABS(K1274)^2)/($I$5*MAX(F1274,0.1)^2),1/3)))),MAX($D$16,POWER((ABS(K1274)^2)/($I$5*MAX(F1274,0.1)^2),1/3))))))),MAX($D$16,POWER((ABS(K1274)^2)/($I$5*MAX(F1274,0.1)^2),1/3)))</f>
        <v>2.1389677043987478</v>
      </c>
      <c r="AI1274">
        <f t="shared" ca="1" si="610"/>
        <v>634.09646770439872</v>
      </c>
      <c r="AJ1274">
        <f t="shared" ca="1" si="611"/>
        <v>635.16595155659809</v>
      </c>
      <c r="AM1274">
        <v>0</v>
      </c>
      <c r="AN1274">
        <v>0</v>
      </c>
      <c r="AO1274">
        <f t="shared" si="612"/>
        <v>0</v>
      </c>
      <c r="AP1274">
        <f t="shared" si="621"/>
        <v>0</v>
      </c>
      <c r="AQ1274">
        <f t="shared" ca="1" si="613"/>
        <v>1.0000000000000004</v>
      </c>
      <c r="AR1274" t="str">
        <f t="shared" ca="1" si="614"/>
        <v>Supercritical</v>
      </c>
      <c r="AS1274">
        <f t="shared" ca="1" si="615"/>
        <v>3.8141460404132466E-3</v>
      </c>
    </row>
    <row r="1275" spans="1:45" x14ac:dyDescent="0.35">
      <c r="A1275">
        <v>1214</v>
      </c>
      <c r="B1275">
        <v>1212.9960000000001</v>
      </c>
      <c r="C1275">
        <v>616072.29200000002</v>
      </c>
      <c r="D1275">
        <v>3096794.247</v>
      </c>
      <c r="E1275">
        <v>631.95699999999999</v>
      </c>
      <c r="F1275">
        <v>5.2</v>
      </c>
      <c r="G1275">
        <v>0</v>
      </c>
      <c r="H1275" t="s">
        <v>154</v>
      </c>
      <c r="I1275">
        <v>0</v>
      </c>
      <c r="J1275">
        <f t="shared" si="616"/>
        <v>1</v>
      </c>
      <c r="K1275">
        <f t="shared" ca="1" si="617"/>
        <v>50.95</v>
      </c>
      <c r="L1275">
        <f t="shared" ca="1" si="618"/>
        <v>2.1389677043987478</v>
      </c>
      <c r="M1275">
        <f t="shared" ca="1" si="591"/>
        <v>11.122632062873489</v>
      </c>
      <c r="N1275">
        <f t="shared" ca="1" si="592"/>
        <v>1.1735290000551568</v>
      </c>
      <c r="O1275">
        <f t="shared" ca="1" si="593"/>
        <v>4.5807502857230418</v>
      </c>
      <c r="P1275">
        <f t="shared" ca="1" si="594"/>
        <v>634.09596770439873</v>
      </c>
      <c r="Q1275">
        <f t="shared" ca="1" si="595"/>
        <v>635.1654515565981</v>
      </c>
      <c r="R1275">
        <f t="shared" ca="1" si="596"/>
        <v>3.8141460404132466E-3</v>
      </c>
      <c r="S1275">
        <f t="shared" ca="1" si="597"/>
        <v>1.0000000000000004</v>
      </c>
      <c r="T1275">
        <f t="shared" ca="1" si="598"/>
        <v>35.686426155594638</v>
      </c>
      <c r="U1275">
        <f t="shared" ca="1" si="619"/>
        <v>-3.3141460404522149E-3</v>
      </c>
      <c r="V1275">
        <f t="shared" ca="1" si="620"/>
        <v>1</v>
      </c>
      <c r="W1275">
        <f t="shared" ca="1" si="599"/>
        <v>1.6812012817463062</v>
      </c>
      <c r="X1275">
        <f t="shared" ca="1" si="600"/>
        <v>8.742246665080792</v>
      </c>
      <c r="Y1275">
        <f t="shared" ca="1" si="601"/>
        <v>1.0210039297095161</v>
      </c>
      <c r="Z1275">
        <f t="shared" ca="1" si="602"/>
        <v>5.8280213258577902</v>
      </c>
      <c r="AA1275">
        <f t="shared" ca="1" si="603"/>
        <v>633.63820128174632</v>
      </c>
      <c r="AB1275">
        <f t="shared" ca="1" si="604"/>
        <v>635.3693854088948</v>
      </c>
      <c r="AC1275">
        <f t="shared" ca="1" si="605"/>
        <v>7.4334124572257377E-3</v>
      </c>
      <c r="AD1275">
        <f t="shared" ca="1" si="606"/>
        <v>1.435082182304636</v>
      </c>
      <c r="AE1275">
        <f t="shared" ca="1" si="607"/>
        <v>37.617615473747314</v>
      </c>
      <c r="AF1275">
        <f t="shared" ca="1" si="608"/>
        <v>6.9334124572151268E-3</v>
      </c>
      <c r="AG1275">
        <f t="shared" ca="1" si="609"/>
        <v>0</v>
      </c>
      <c r="AH1275">
        <f ca="1">IFERROR(IF(V32="Supercritical",MAX($D$16,IFERROR(L1275,MAX($D$16,POWER((ABS(K1275)^2)/($I$5*MAX(F1275,0.1)^2),1/3)))),IF(V32="Subcritical",MAX($D$16,IFERROR(W1275,MAX($D$16,POWER((ABS(K1275)^2)/($I$5*MAX(F1275,0.1)^2),1/3)))),IF(AND(IFERROR(V1275,0)=1,IFERROR(AG1275,0)=1),IF(IFERROR(T1275,-1E+99)&gt;=IFERROR(AE1275,-1E+99),MAX($D$16,IFERROR(L1275,MAX($D$16,POWER((ABS(K1275)^2)/($I$5*MAX(F1275,0.1)^2),1/3)))),MAX($D$16,IFERROR(W1275,MAX($D$16,POWER((ABS(K1275)^2)/($I$5*MAX(F1275,0.1)^2),1/3))))),IF(IFERROR(V1275,0)=1,MAX($D$16,IFERROR(L1275,MAX($D$16,POWER((ABS(K1275)^2)/($I$5*MAX(F1275,0.1)^2),1/3)))),IF(IFERROR(AG1275,0)=1,MAX($D$16,IFERROR(W1275,MAX($D$16,POWER((ABS(K1275)^2)/($I$5*MAX(F1275,0.1)^2),1/3)))),MAX($D$16,POWER((ABS(K1275)^2)/($I$5*MAX(F1275,0.1)^2),1/3))))))),MAX($D$16,POWER((ABS(K1275)^2)/($I$5*MAX(F1275,0.1)^2),1/3)))</f>
        <v>2.1389677043987478</v>
      </c>
      <c r="AI1275">
        <f t="shared" ca="1" si="610"/>
        <v>634.09596770439873</v>
      </c>
      <c r="AJ1275">
        <f t="shared" ca="1" si="611"/>
        <v>635.1654515565981</v>
      </c>
      <c r="AM1275">
        <v>0</v>
      </c>
      <c r="AN1275">
        <v>0</v>
      </c>
      <c r="AO1275">
        <f t="shared" si="612"/>
        <v>0</v>
      </c>
      <c r="AP1275">
        <f t="shared" si="621"/>
        <v>0</v>
      </c>
      <c r="AQ1275">
        <f t="shared" ca="1" si="613"/>
        <v>1.0000000000000004</v>
      </c>
      <c r="AR1275" t="str">
        <f t="shared" ca="1" si="614"/>
        <v>Supercritical</v>
      </c>
      <c r="AS1275">
        <f t="shared" ca="1" si="615"/>
        <v>3.8141460404132466E-3</v>
      </c>
    </row>
    <row r="1276" spans="1:45" x14ac:dyDescent="0.35">
      <c r="A1276">
        <v>1215</v>
      </c>
      <c r="B1276">
        <v>1213.9960000000001</v>
      </c>
      <c r="C1276">
        <v>616072.25</v>
      </c>
      <c r="D1276">
        <v>3096793.2480000001</v>
      </c>
      <c r="E1276">
        <v>631.95650000000001</v>
      </c>
      <c r="F1276">
        <v>5.2</v>
      </c>
      <c r="G1276">
        <v>0</v>
      </c>
      <c r="H1276" t="s">
        <v>154</v>
      </c>
      <c r="I1276">
        <v>0</v>
      </c>
      <c r="J1276">
        <f t="shared" si="616"/>
        <v>1</v>
      </c>
      <c r="K1276">
        <f t="shared" ca="1" si="617"/>
        <v>50.95</v>
      </c>
      <c r="L1276">
        <f t="shared" ca="1" si="618"/>
        <v>2.1389677043987478</v>
      </c>
      <c r="M1276">
        <f t="shared" ca="1" si="591"/>
        <v>11.122632062873489</v>
      </c>
      <c r="N1276">
        <f t="shared" ca="1" si="592"/>
        <v>1.1735290000551568</v>
      </c>
      <c r="O1276">
        <f t="shared" ca="1" si="593"/>
        <v>4.5807502857230418</v>
      </c>
      <c r="P1276">
        <f t="shared" ca="1" si="594"/>
        <v>634.09546770439874</v>
      </c>
      <c r="Q1276">
        <f t="shared" ca="1" si="595"/>
        <v>635.16495155659811</v>
      </c>
      <c r="R1276">
        <f t="shared" ca="1" si="596"/>
        <v>3.8141460404132466E-3</v>
      </c>
      <c r="S1276">
        <f t="shared" ca="1" si="597"/>
        <v>1.0000000000000004</v>
      </c>
      <c r="T1276">
        <f t="shared" ca="1" si="598"/>
        <v>35.686426155594638</v>
      </c>
      <c r="U1276">
        <f t="shared" ca="1" si="619"/>
        <v>-3.3141460404522149E-3</v>
      </c>
      <c r="V1276">
        <f t="shared" ca="1" si="620"/>
        <v>1</v>
      </c>
      <c r="W1276">
        <f t="shared" ca="1" si="599"/>
        <v>1.6812012803307688</v>
      </c>
      <c r="X1276">
        <f t="shared" ca="1" si="600"/>
        <v>8.7422466577199973</v>
      </c>
      <c r="Y1276">
        <f t="shared" ca="1" si="601"/>
        <v>1.0210039291874364</v>
      </c>
      <c r="Z1276">
        <f t="shared" ca="1" si="602"/>
        <v>5.8280213307648658</v>
      </c>
      <c r="AA1276">
        <f t="shared" ca="1" si="603"/>
        <v>633.63770128033082</v>
      </c>
      <c r="AB1276">
        <f t="shared" ca="1" si="604"/>
        <v>635.36888541039457</v>
      </c>
      <c r="AC1276">
        <f t="shared" ca="1" si="605"/>
        <v>7.4334124748113009E-3</v>
      </c>
      <c r="AD1276">
        <f t="shared" ca="1" si="606"/>
        <v>1.4350821841171009</v>
      </c>
      <c r="AE1276">
        <f t="shared" ca="1" si="607"/>
        <v>37.617615486858121</v>
      </c>
      <c r="AF1276">
        <f t="shared" ca="1" si="608"/>
        <v>7.0904415546237942E-3</v>
      </c>
      <c r="AG1276">
        <f t="shared" ca="1" si="609"/>
        <v>0</v>
      </c>
      <c r="AH1276">
        <f ca="1">IFERROR(IF(V32="Supercritical",MAX($D$16,IFERROR(L1276,MAX($D$16,POWER((ABS(K1276)^2)/($I$5*MAX(F1276,0.1)^2),1/3)))),IF(V32="Subcritical",MAX($D$16,IFERROR(W1276,MAX($D$16,POWER((ABS(K1276)^2)/($I$5*MAX(F1276,0.1)^2),1/3)))),IF(AND(IFERROR(V1276,0)=1,IFERROR(AG1276,0)=1),IF(IFERROR(T1276,-1E+99)&gt;=IFERROR(AE1276,-1E+99),MAX($D$16,IFERROR(L1276,MAX($D$16,POWER((ABS(K1276)^2)/($I$5*MAX(F1276,0.1)^2),1/3)))),MAX($D$16,IFERROR(W1276,MAX($D$16,POWER((ABS(K1276)^2)/($I$5*MAX(F1276,0.1)^2),1/3))))),IF(IFERROR(V1276,0)=1,MAX($D$16,IFERROR(L1276,MAX($D$16,POWER((ABS(K1276)^2)/($I$5*MAX(F1276,0.1)^2),1/3)))),IF(IFERROR(AG1276,0)=1,MAX($D$16,IFERROR(W1276,MAX($D$16,POWER((ABS(K1276)^2)/($I$5*MAX(F1276,0.1)^2),1/3)))),MAX($D$16,POWER((ABS(K1276)^2)/($I$5*MAX(F1276,0.1)^2),1/3))))))),MAX($D$16,POWER((ABS(K1276)^2)/($I$5*MAX(F1276,0.1)^2),1/3)))</f>
        <v>2.1389677043987478</v>
      </c>
      <c r="AI1276">
        <f t="shared" ca="1" si="610"/>
        <v>634.09546770439874</v>
      </c>
      <c r="AJ1276">
        <f t="shared" ca="1" si="611"/>
        <v>635.16495155659811</v>
      </c>
      <c r="AM1276">
        <v>0</v>
      </c>
      <c r="AN1276">
        <v>0</v>
      </c>
      <c r="AO1276">
        <f t="shared" si="612"/>
        <v>0</v>
      </c>
      <c r="AP1276">
        <f t="shared" si="621"/>
        <v>0</v>
      </c>
      <c r="AQ1276">
        <f t="shared" ca="1" si="613"/>
        <v>1.0000000000000004</v>
      </c>
      <c r="AR1276" t="str">
        <f t="shared" ca="1" si="614"/>
        <v>Supercritical</v>
      </c>
      <c r="AS1276">
        <f t="shared" ca="1" si="615"/>
        <v>3.8141460404132466E-3</v>
      </c>
    </row>
    <row r="1277" spans="1:45" x14ac:dyDescent="0.35">
      <c r="A1277">
        <v>1216</v>
      </c>
      <c r="B1277">
        <v>1214.9949999999999</v>
      </c>
      <c r="C1277">
        <v>616072.20799999998</v>
      </c>
      <c r="D1277">
        <v>3096792.2489999998</v>
      </c>
      <c r="E1277">
        <v>631.95600000000002</v>
      </c>
      <c r="F1277">
        <v>5.2</v>
      </c>
      <c r="G1277">
        <v>0</v>
      </c>
      <c r="H1277" t="s">
        <v>154</v>
      </c>
      <c r="I1277">
        <v>5.7000000000000002E-2</v>
      </c>
      <c r="J1277">
        <f t="shared" si="616"/>
        <v>0.99899999999979627</v>
      </c>
      <c r="K1277">
        <f t="shared" ca="1" si="617"/>
        <v>50.95</v>
      </c>
      <c r="L1277">
        <f t="shared" ca="1" si="618"/>
        <v>2.1389677043987478</v>
      </c>
      <c r="M1277">
        <f t="shared" ca="1" si="591"/>
        <v>11.122632062873489</v>
      </c>
      <c r="N1277">
        <f t="shared" ca="1" si="592"/>
        <v>1.1735290000551568</v>
      </c>
      <c r="O1277">
        <f t="shared" ca="1" si="593"/>
        <v>4.5807502857230418</v>
      </c>
      <c r="P1277">
        <f t="shared" ca="1" si="594"/>
        <v>634.09496770439875</v>
      </c>
      <c r="Q1277">
        <f t="shared" ca="1" si="595"/>
        <v>635.16445155659812</v>
      </c>
      <c r="R1277">
        <f t="shared" ca="1" si="596"/>
        <v>3.8141460404132466E-3</v>
      </c>
      <c r="S1277">
        <f t="shared" ca="1" si="597"/>
        <v>1.0000000000000004</v>
      </c>
      <c r="T1277">
        <f t="shared" ca="1" si="598"/>
        <v>35.686426155594638</v>
      </c>
      <c r="U1277">
        <f t="shared" ca="1" si="619"/>
        <v>-3.411932860331035E-3</v>
      </c>
      <c r="V1277">
        <f t="shared" ca="1" si="620"/>
        <v>1</v>
      </c>
      <c r="W1277">
        <f t="shared" ca="1" si="599"/>
        <v>1.6812012790076927</v>
      </c>
      <c r="X1277">
        <f t="shared" ca="1" si="600"/>
        <v>8.7422466508400021</v>
      </c>
      <c r="Y1277">
        <f t="shared" ca="1" si="601"/>
        <v>1.0210039286994586</v>
      </c>
      <c r="Z1277">
        <f t="shared" ca="1" si="602"/>
        <v>5.8280213353514174</v>
      </c>
      <c r="AA1277">
        <f t="shared" ca="1" si="603"/>
        <v>633.63720127900774</v>
      </c>
      <c r="AB1277">
        <f t="shared" ca="1" si="604"/>
        <v>635.36838541179634</v>
      </c>
      <c r="AC1277">
        <f t="shared" ca="1" si="605"/>
        <v>7.4334124912481944E-3</v>
      </c>
      <c r="AD1277">
        <f t="shared" ca="1" si="606"/>
        <v>1.4350821858111782</v>
      </c>
      <c r="AE1277">
        <f t="shared" ca="1" si="607"/>
        <v>37.617615499112539</v>
      </c>
      <c r="AF1277">
        <f t="shared" ca="1" si="608"/>
        <v>7.0978749838559452E-3</v>
      </c>
      <c r="AG1277">
        <f t="shared" ca="1" si="609"/>
        <v>0</v>
      </c>
      <c r="AH1277">
        <f ca="1">IFERROR(IF(V32="Supercritical",MAX($D$16,IFERROR(L1277,MAX($D$16,POWER((ABS(K1277)^2)/($I$5*MAX(F1277,0.1)^2),1/3)))),IF(V32="Subcritical",MAX($D$16,IFERROR(W1277,MAX($D$16,POWER((ABS(K1277)^2)/($I$5*MAX(F1277,0.1)^2),1/3)))),IF(AND(IFERROR(V1277,0)=1,IFERROR(AG1277,0)=1),IF(IFERROR(T1277,-1E+99)&gt;=IFERROR(AE1277,-1E+99),MAX($D$16,IFERROR(L1277,MAX($D$16,POWER((ABS(K1277)^2)/($I$5*MAX(F1277,0.1)^2),1/3)))),MAX($D$16,IFERROR(W1277,MAX($D$16,POWER((ABS(K1277)^2)/($I$5*MAX(F1277,0.1)^2),1/3))))),IF(IFERROR(V1277,0)=1,MAX($D$16,IFERROR(L1277,MAX($D$16,POWER((ABS(K1277)^2)/($I$5*MAX(F1277,0.1)^2),1/3)))),IF(IFERROR(AG1277,0)=1,MAX($D$16,IFERROR(W1277,MAX($D$16,POWER((ABS(K1277)^2)/($I$5*MAX(F1277,0.1)^2),1/3)))),MAX($D$16,POWER((ABS(K1277)^2)/($I$5*MAX(F1277,0.1)^2),1/3))))))),MAX($D$16,POWER((ABS(K1277)^2)/($I$5*MAX(F1277,0.1)^2),1/3)))</f>
        <v>2.1389677043987478</v>
      </c>
      <c r="AI1277">
        <f t="shared" ca="1" si="610"/>
        <v>634.09496770439875</v>
      </c>
      <c r="AJ1277">
        <f t="shared" ca="1" si="611"/>
        <v>635.16445155659812</v>
      </c>
      <c r="AM1277">
        <v>0</v>
      </c>
      <c r="AN1277">
        <v>0</v>
      </c>
      <c r="AO1277">
        <f t="shared" si="612"/>
        <v>0</v>
      </c>
      <c r="AP1277">
        <f t="shared" si="621"/>
        <v>0</v>
      </c>
      <c r="AQ1277">
        <f t="shared" ca="1" si="613"/>
        <v>1.0000000000000004</v>
      </c>
      <c r="AR1277" t="str">
        <f t="shared" ca="1" si="614"/>
        <v>Supercritical</v>
      </c>
      <c r="AS1277">
        <f t="shared" ca="1" si="615"/>
        <v>3.8141460404132466E-3</v>
      </c>
    </row>
    <row r="1278" spans="1:45" x14ac:dyDescent="0.35">
      <c r="A1278">
        <v>1217</v>
      </c>
      <c r="B1278">
        <v>1215.9949999999999</v>
      </c>
      <c r="C1278">
        <v>616072.16500000004</v>
      </c>
      <c r="D1278">
        <v>3096791.25</v>
      </c>
      <c r="E1278">
        <v>631.95550000000003</v>
      </c>
      <c r="F1278">
        <v>5.2</v>
      </c>
      <c r="G1278">
        <v>0</v>
      </c>
      <c r="H1278" t="s">
        <v>154</v>
      </c>
      <c r="I1278">
        <v>5.7000000000000002E-2</v>
      </c>
      <c r="J1278">
        <f t="shared" si="616"/>
        <v>1</v>
      </c>
      <c r="K1278">
        <f t="shared" ca="1" si="617"/>
        <v>50.95</v>
      </c>
      <c r="L1278">
        <f t="shared" ca="1" si="618"/>
        <v>2.1389677043987478</v>
      </c>
      <c r="M1278">
        <f t="shared" ref="M1278:M1341" ca="1" si="622">((F1278)+(G1278)*(L1278))*(L1278)</f>
        <v>11.122632062873489</v>
      </c>
      <c r="N1278">
        <f t="shared" ref="N1278:N1341" ca="1" si="623">(((F1278)+(G1278)*(L1278))*(L1278))/MAX((F1278)+2*(L1278)*SQRT(1+(G1278)^2),0.000001)</f>
        <v>1.1735290000551568</v>
      </c>
      <c r="O1278">
        <f t="shared" ref="O1278:O1341" ca="1" si="624">ABS(K1278)/MAX(((F1278)+(G1278)*(L1278))*(L1278),0.000001)</f>
        <v>4.5807502857230418</v>
      </c>
      <c r="P1278">
        <f t="shared" ref="P1278:P1341" ca="1" si="625">E1278+L1278</f>
        <v>634.09446770439877</v>
      </c>
      <c r="Q1278">
        <f t="shared" ref="Q1278:Q1341" ca="1" si="626">P1278+((ABS(K1278)/MAX(((F1278)+(G1278)*(L1278))*(L1278),0.000001))^2)/(2*$I$5)</f>
        <v>635.16395155659814</v>
      </c>
      <c r="R1278">
        <f t="shared" ref="R1278:R1341" ca="1" si="627">((ABS(K1278)*$D$6)/(MAX(((F1278)+(G1278)*(L1278))*(L1278),0.000001)*MAX(((((F1278)+(G1278)*(L1278))*(L1278))/MAX((F1278)+2*(L1278)*SQRT(1+(G1278)^2),0.000001))^(2/3),0.000001)))^2</f>
        <v>3.8141460404132466E-3</v>
      </c>
      <c r="S1278">
        <f t="shared" ref="S1278:S1341" ca="1" si="628">ABS(ABS(K1278)/MAX(((F1278)+(G1278)*(L1278))*(L1278),0.000001))/SQRT($I$5*MAX((((F1278)+(G1278)*(L1278))*(L1278))/MAX((F1278)+2*(G1278)*(L1278),0.000001),0.000001))</f>
        <v>1.0000000000000004</v>
      </c>
      <c r="T1278">
        <f t="shared" ref="T1278:T1341" ca="1" si="629">((F1278)*(L1278)^2)/2+(G1278)*(L1278)^3/3+(ABS(K1278)^2)/($I$5*MAX(((F1278)+(G1278)*(L1278))*(L1278),0.000001))</f>
        <v>35.686426155594638</v>
      </c>
      <c r="U1278">
        <f t="shared" ca="1" si="619"/>
        <v>-3.4157470064428708E-3</v>
      </c>
      <c r="V1278">
        <f t="shared" ca="1" si="620"/>
        <v>1</v>
      </c>
      <c r="W1278">
        <f t="shared" ref="W1278:W1341" ca="1" si="630">IF($D$20=0,IFERROR(W1279,MAX($D$16,POWER((ABS(K1278)^2)/($I$5*MAX(F1278,0.1)^2),1/3))),IF(IFERROR(AG1279,0)=0,IFERROR(W1279,MAX($D$16,POWER((ABS(K1278)^2)/($I$5*MAX(F1278,0.1)^2),1/3))),IF(OR(IFERROR(W1278,0)=0,IFERROR(AD1279,0)&gt;1),MAX($D$16,POWER((ABS(K1278)^2)/($I$5*MAX(F1278,0.1)^2),1/3)),IF(IFERROR(AF1278,0)&gt;0,MAX($D$16,IFERROR(W1278,0)+((IFERROR(AF1278,0))*$D$18*IF((IFERROR(AD1278,0))&lt;1,1,-1))),IF(IFERROR(AF1278,0)&lt;0,IF(ABS((MAX($D$16,POWER((ABS(K1278)^2)/($I$5*MAX(F1278,0.1)^2),1/3)))-IFERROR(W1278,0))&gt;$D$19,MAX($D$16,IF((MAX($D$16,POWER((ABS(K1278)^2)/($I$5*MAX(F1278,0.1)^2),1/3)))&gt;IFERROR(W1278,0),MIN((MAX($D$16,POWER((ABS(K1278)^2)/($I$5*MAX(F1278,0.1)^2),1/3))),IFERROR(W1278,0)+(MIN(ABS(IFERROR(AF1278,0))*$D$18,ABS((MAX($D$16,POWER((ABS(K1278)^2)/($I$5*MAX(F1278,0.1)^2),1/3)))-IFERROR(W1278,0))))),MAX((MAX($D$16,POWER((ABS(K1278)^2)/($I$5*MAX(F1278,0.1)^2),1/3))),IFERROR(W1278,0)-(MIN(ABS(IFERROR(AF1278,0))*$D$18,ABS((MAX($D$16,POWER((ABS(K1278)^2)/($I$5*MAX(F1278,0.1)^2),1/3)))-IFERROR(W1278,0))))))),MAX($D$16,POWER((ABS(K1278)^2)/($I$5*MAX(F1278,0.1)^2),1/3))),MAX($D$16,IFERROR(W1278,0)))))))</f>
        <v>1.6812012777710243</v>
      </c>
      <c r="X1278">
        <f t="shared" ref="X1278:X1341" ca="1" si="631">((F1278)+(G1278)*(W1278))*(W1278)</f>
        <v>8.7422466444093274</v>
      </c>
      <c r="Y1278">
        <f t="shared" ref="Y1278:Y1341" ca="1" si="632">(((F1278)+(G1278)*(W1278))*(W1278))/MAX((F1278)+2*(W1278)*SQRT(1+(G1278)^2),0.000001)</f>
        <v>1.0210039282433496</v>
      </c>
      <c r="Z1278">
        <f t="shared" ref="Z1278:Z1341" ca="1" si="633">ABS(K1278)/MAX(((F1278)+(G1278)*(W1278))*(W1278),0.000001)</f>
        <v>5.8280213396384282</v>
      </c>
      <c r="AA1278">
        <f t="shared" ref="AA1278:AA1341" ca="1" si="634">E1278+W1278</f>
        <v>633.63670127777107</v>
      </c>
      <c r="AB1278">
        <f t="shared" ref="AB1278:AB1341" ca="1" si="635">AA1278+((ABS(K1278)/MAX(((F1278)+(G1278)*(W1278))*(W1278),0.000001))^2)/(2*$I$5)</f>
        <v>635.36788541310648</v>
      </c>
      <c r="AC1278">
        <f t="shared" ref="AC1278:AC1341" ca="1" si="636">((ABS(K1278)*$D$6)/(MAX(((F1278)+(G1278)*(W1278))*(W1278),0.000001)*MAX(((((F1278)+(G1278)*(W1278))*(W1278))/MAX((F1278)+2*(W1278)*SQRT(1+(G1278)^2),0.000001))^(2/3),0.000001)))^2</f>
        <v>7.4334125066116193E-3</v>
      </c>
      <c r="AD1278">
        <f t="shared" ref="AD1278:AD1341" ca="1" si="637">ABS(ABS(K1278)/MAX(((F1278)+(G1278)*(W1278))*(W1278),0.000001))/SQRT($I$5*MAX((((F1278)+(G1278)*(W1278))*(W1278))/MAX((F1278)+2*(G1278)*(W1278),0.000001),0.000001))</f>
        <v>1.4350821873946176</v>
      </c>
      <c r="AE1278">
        <f t="shared" ref="AE1278:AE1341" ca="1" si="638">((F1278)*(W1278)^2)/2+(G1278)*(W1278)^3/3+(ABS(K1278)^2)/($I$5*MAX(((F1278)+(G1278)*(W1278))*(W1278),0.000001))</f>
        <v>37.617615510566644</v>
      </c>
      <c r="AF1278">
        <f t="shared" ref="AF1278:AF1341" ca="1" si="639">IF($D$20=0,0,IFERROR(AB1279+(((AC1278+AC1279)/2)*J1279)+(IF(Z1278&gt;Z1279,$D$8*((Z1278^2-Z1279^2)/(2*$I$5)),$D$9*((Z1279^2-Z1278^2)/(2*$I$5)))+($D$10*(ABS(I1279)/90)*(MAX(Z1278^2,Z1279^2)/(2*$I$5))))-AB1278,0))</f>
        <v>6.9391831204939081E-3</v>
      </c>
      <c r="AG1278">
        <f t="shared" ref="AG1278:AG1341" ca="1" si="640">IF($D$20=0,1,IFERROR(IF(ROUND(AD1278,3)=1,1,IF(AND(ABS(AF1278)&lt;$D$19,AD1278&lt;1),1,0)),0))</f>
        <v>0</v>
      </c>
      <c r="AH1278">
        <f ca="1">IFERROR(IF(V32="Supercritical",MAX($D$16,IFERROR(L1278,MAX($D$16,POWER((ABS(K1278)^2)/($I$5*MAX(F1278,0.1)^2),1/3)))),IF(V32="Subcritical",MAX($D$16,IFERROR(W1278,MAX($D$16,POWER((ABS(K1278)^2)/($I$5*MAX(F1278,0.1)^2),1/3)))),IF(AND(IFERROR(V1278,0)=1,IFERROR(AG1278,0)=1),IF(IFERROR(T1278,-1E+99)&gt;=IFERROR(AE1278,-1E+99),MAX($D$16,IFERROR(L1278,MAX($D$16,POWER((ABS(K1278)^2)/($I$5*MAX(F1278,0.1)^2),1/3)))),MAX($D$16,IFERROR(W1278,MAX($D$16,POWER((ABS(K1278)^2)/($I$5*MAX(F1278,0.1)^2),1/3))))),IF(IFERROR(V1278,0)=1,MAX($D$16,IFERROR(L1278,MAX($D$16,POWER((ABS(K1278)^2)/($I$5*MAX(F1278,0.1)^2),1/3)))),IF(IFERROR(AG1278,0)=1,MAX($D$16,IFERROR(W1278,MAX($D$16,POWER((ABS(K1278)^2)/($I$5*MAX(F1278,0.1)^2),1/3)))),MAX($D$16,POWER((ABS(K1278)^2)/($I$5*MAX(F1278,0.1)^2),1/3))))))),MAX($D$16,POWER((ABS(K1278)^2)/($I$5*MAX(F1278,0.1)^2),1/3)))</f>
        <v>2.1389677043987478</v>
      </c>
      <c r="AI1278">
        <f t="shared" ref="AI1278:AI1341" ca="1" si="641">E1278+AH1278</f>
        <v>634.09446770439877</v>
      </c>
      <c r="AJ1278">
        <f t="shared" ref="AJ1278:AJ1341" ca="1" si="642">AI1278+((ABS(K1278)/MAX(((F1278)+(G1278)*(AH1278))*(AH1278),0.000001))^2)/(2*$I$5)</f>
        <v>635.16395155659814</v>
      </c>
      <c r="AM1278">
        <v>0</v>
      </c>
      <c r="AN1278">
        <v>0</v>
      </c>
      <c r="AO1278">
        <f t="shared" ref="AO1278:AO1341" si="643">AM1278+AN1278</f>
        <v>0</v>
      </c>
      <c r="AP1278">
        <f t="shared" si="621"/>
        <v>0</v>
      </c>
      <c r="AQ1278">
        <f t="shared" ref="AQ1278:AQ1341" ca="1" si="644">ABS(ABS(K1278)/MAX(((F1278)+(G1278)*(AH1278))*(AH1278),0.000001))/SQRT($I$5*MAX((((F1278)+(G1278)*(AH1278))*(AH1278))/MAX((F1278)+2*(G1278)*(AH1278),0.000001),0.000001))</f>
        <v>1.0000000000000004</v>
      </c>
      <c r="AR1278" t="str">
        <f t="shared" ref="AR1278:AR1341" ca="1" si="645">IF(AQ1278&lt;1,"Subcritical","Supercritical")</f>
        <v>Supercritical</v>
      </c>
      <c r="AS1278">
        <f t="shared" ref="AS1278:AS1341" ca="1" si="646">((ABS(K1278)*$D$6)/(MAX(((F1278)+(G1278)*(AH1278))*(AH1278),0.000001)*MAX(((((F1278)+(G1278)*(AH1278))*(AH1278))/MAX((F1278)+2*(AH1278)*SQRT(1+(G1278)^2),0.000001))^(2/3),0.000001)))^2</f>
        <v>3.8141460404132466E-3</v>
      </c>
    </row>
    <row r="1279" spans="1:45" x14ac:dyDescent="0.35">
      <c r="A1279">
        <v>1218</v>
      </c>
      <c r="B1279">
        <v>1216.9949999999999</v>
      </c>
      <c r="C1279">
        <v>616072.12300000002</v>
      </c>
      <c r="D1279">
        <v>3096790.2510000002</v>
      </c>
      <c r="E1279">
        <v>631.95500000000004</v>
      </c>
      <c r="F1279">
        <v>5.2</v>
      </c>
      <c r="G1279">
        <v>0</v>
      </c>
      <c r="H1279" t="s">
        <v>154</v>
      </c>
      <c r="I1279">
        <v>2E-3</v>
      </c>
      <c r="J1279">
        <f t="shared" ref="J1279:J1342" si="647">B1279-B1278</f>
        <v>1</v>
      </c>
      <c r="K1279">
        <f t="shared" ref="K1279:K1342" ca="1" si="648">MAX(0,K1278-AO1278)</f>
        <v>50.95</v>
      </c>
      <c r="L1279">
        <f t="shared" ref="L1279:L1342" ca="1" si="649">IF($D$20=0,IFERROR(L1278,MAX($D$16,POWER((ABS(K1279)^2)/($I$5*MAX(F1279,0.1)^2),1/3))),IF(IFERROR(V1278,0)=0,IFERROR(L1278,MAX($D$16,POWER((ABS(K1279)^2)/($I$5*MAX(F1279,0.1)^2),1/3))),IF(OR(IFERROR(L1279,0)=0,IFERROR(S1278,0)&lt;1,IFERROR(S1279,0)&lt;1),MAX($D$16,POWER((ABS(K1279)^2)/($I$5*MAX(F1279,0.1)^2),1/3)),IF(IFERROR(U1279,0)&gt;0,MAX($D$16,IFERROR(L1279,0)+((IFERROR(U1279,0))*$D$18*IF((IFERROR(S1279,0))&lt;1,1,-1))),IF(IFERROR(U1279,0)&lt;0,IF(ABS((MAX($D$16,POWER((ABS(K1279)^2)/($I$5*MAX(F1279,0.1)^2),1/3)))-IFERROR(L1279,0))&gt;$D$19,MAX($D$16,IF((MAX($D$16,POWER((ABS(K1279)^2)/($I$5*MAX(F1279,0.1)^2),1/3)))&gt;IFERROR(L1279,0),MIN((MAX($D$16,POWER((ABS(K1279)^2)/($I$5*MAX(F1279,0.1)^2),1/3))),IFERROR(L1279,0)+(MIN(ABS(IFERROR(U1279,0))*$D$18,ABS((MAX($D$16,POWER((ABS(K1279)^2)/($I$5*MAX(F1279,0.1)^2),1/3)))-IFERROR(L1279,0))))),MAX((MAX($D$16,POWER((ABS(K1279)^2)/($I$5*MAX(F1279,0.1)^2),1/3))),IFERROR(L1279,0)-(MIN(ABS(IFERROR(U1279,0))*$D$18,ABS((MAX($D$16,POWER((ABS(K1279)^2)/($I$5*MAX(F1279,0.1)^2),1/3)))-IFERROR(L1279,0))))))),MAX($D$16,POWER((ABS(K1279)^2)/($I$5*MAX(F1279,0.1)^2),1/3))),MAX($D$16,IFERROR(L1279,0)))))))</f>
        <v>2.1389677043987478</v>
      </c>
      <c r="M1279">
        <f t="shared" ca="1" si="622"/>
        <v>11.122632062873489</v>
      </c>
      <c r="N1279">
        <f t="shared" ca="1" si="623"/>
        <v>1.1735290000551568</v>
      </c>
      <c r="O1279">
        <f t="shared" ca="1" si="624"/>
        <v>4.5807502857230418</v>
      </c>
      <c r="P1279">
        <f t="shared" ca="1" si="625"/>
        <v>634.09396770439878</v>
      </c>
      <c r="Q1279">
        <f t="shared" ca="1" si="626"/>
        <v>635.16345155659815</v>
      </c>
      <c r="R1279">
        <f t="shared" ca="1" si="627"/>
        <v>3.8141460404132466E-3</v>
      </c>
      <c r="S1279">
        <f t="shared" ca="1" si="628"/>
        <v>1.0000000000000004</v>
      </c>
      <c r="T1279">
        <f t="shared" ca="1" si="629"/>
        <v>35.686426155594638</v>
      </c>
      <c r="U1279">
        <f t="shared" ref="U1279:U1342" ca="1" si="650">IF($D$20=0,0,IFERROR(Q1278-(((R1278+R1279)/2)*J1279)-(IF(O1278&gt;O1279,$D$8*((O1278^2-O1279^2)/(2*$I$5)),$D$9*((O1279^2-O1278^2)/(2*$I$5)))+($D$10*(ABS(I1279)/90)*(MAX(O1278^2,O1279^2)/(2*$I$5))))-Q1279,0))</f>
        <v>-3.3177109866073806E-3</v>
      </c>
      <c r="V1279">
        <f t="shared" ref="V1279:V1342" ca="1" si="651">IF($D$20=0,1,IFERROR(IF(ROUND(S1279,3)=1,1,IF(AND(ABS(U1279)&lt;$D$19,S1279&gt;1),1,0)),0))</f>
        <v>1</v>
      </c>
      <c r="W1279">
        <f t="shared" ca="1" si="630"/>
        <v>1.6812012766151192</v>
      </c>
      <c r="X1279">
        <f t="shared" ca="1" si="631"/>
        <v>8.7422466383986208</v>
      </c>
      <c r="Y1279">
        <f t="shared" ca="1" si="632"/>
        <v>1.0210039278170278</v>
      </c>
      <c r="Z1279">
        <f t="shared" ca="1" si="633"/>
        <v>5.8280213436454673</v>
      </c>
      <c r="AA1279">
        <f t="shared" ca="1" si="634"/>
        <v>633.63620127661511</v>
      </c>
      <c r="AB1279">
        <f t="shared" ca="1" si="635"/>
        <v>635.36738541433112</v>
      </c>
      <c r="AC1279">
        <f t="shared" ca="1" si="636"/>
        <v>7.4334125209717054E-3</v>
      </c>
      <c r="AD1279">
        <f t="shared" ca="1" si="637"/>
        <v>1.4350821888746474</v>
      </c>
      <c r="AE1279">
        <f t="shared" ca="1" si="638"/>
        <v>37.617615521272711</v>
      </c>
      <c r="AF1279">
        <f t="shared" ca="1" si="639"/>
        <v>6.9466165473386354E-3</v>
      </c>
      <c r="AG1279">
        <f t="shared" ca="1" si="640"/>
        <v>0</v>
      </c>
      <c r="AH1279">
        <f ca="1">IFERROR(IF(V32="Supercritical",MAX($D$16,IFERROR(L1279,MAX($D$16,POWER((ABS(K1279)^2)/($I$5*MAX(F1279,0.1)^2),1/3)))),IF(V32="Subcritical",MAX($D$16,IFERROR(W1279,MAX($D$16,POWER((ABS(K1279)^2)/($I$5*MAX(F1279,0.1)^2),1/3)))),IF(AND(IFERROR(V1279,0)=1,IFERROR(AG1279,0)=1),IF(IFERROR(T1279,-1E+99)&gt;=IFERROR(AE1279,-1E+99),MAX($D$16,IFERROR(L1279,MAX($D$16,POWER((ABS(K1279)^2)/($I$5*MAX(F1279,0.1)^2),1/3)))),MAX($D$16,IFERROR(W1279,MAX($D$16,POWER((ABS(K1279)^2)/($I$5*MAX(F1279,0.1)^2),1/3))))),IF(IFERROR(V1279,0)=1,MAX($D$16,IFERROR(L1279,MAX($D$16,POWER((ABS(K1279)^2)/($I$5*MAX(F1279,0.1)^2),1/3)))),IF(IFERROR(AG1279,0)=1,MAX($D$16,IFERROR(W1279,MAX($D$16,POWER((ABS(K1279)^2)/($I$5*MAX(F1279,0.1)^2),1/3)))),MAX($D$16,POWER((ABS(K1279)^2)/($I$5*MAX(F1279,0.1)^2),1/3))))))),MAX($D$16,POWER((ABS(K1279)^2)/($I$5*MAX(F1279,0.1)^2),1/3)))</f>
        <v>2.1389677043987478</v>
      </c>
      <c r="AI1279">
        <f t="shared" ca="1" si="641"/>
        <v>634.09396770439878</v>
      </c>
      <c r="AJ1279">
        <f t="shared" ca="1" si="642"/>
        <v>635.16345155659815</v>
      </c>
      <c r="AM1279">
        <v>0</v>
      </c>
      <c r="AN1279">
        <v>0</v>
      </c>
      <c r="AO1279">
        <f t="shared" si="643"/>
        <v>0</v>
      </c>
      <c r="AP1279">
        <f t="shared" ref="AP1279:AP1342" si="652">AP1278+AO1279</f>
        <v>0</v>
      </c>
      <c r="AQ1279">
        <f t="shared" ca="1" si="644"/>
        <v>1.0000000000000004</v>
      </c>
      <c r="AR1279" t="str">
        <f t="shared" ca="1" si="645"/>
        <v>Supercritical</v>
      </c>
      <c r="AS1279">
        <f t="shared" ca="1" si="646"/>
        <v>3.8141460404132466E-3</v>
      </c>
    </row>
    <row r="1280" spans="1:45" x14ac:dyDescent="0.35">
      <c r="A1280">
        <v>1219</v>
      </c>
      <c r="B1280">
        <v>1217.9960000000001</v>
      </c>
      <c r="C1280">
        <v>616072.08100000001</v>
      </c>
      <c r="D1280">
        <v>3096789.2510000002</v>
      </c>
      <c r="E1280">
        <v>631.95450000000005</v>
      </c>
      <c r="F1280">
        <v>5.2</v>
      </c>
      <c r="G1280">
        <v>0</v>
      </c>
      <c r="H1280" t="s">
        <v>154</v>
      </c>
      <c r="I1280">
        <v>2E-3</v>
      </c>
      <c r="J1280">
        <f t="shared" si="647"/>
        <v>1.0010000000002037</v>
      </c>
      <c r="K1280">
        <f t="shared" ca="1" si="648"/>
        <v>50.95</v>
      </c>
      <c r="L1280">
        <f t="shared" ca="1" si="649"/>
        <v>2.1389677043987478</v>
      </c>
      <c r="M1280">
        <f t="shared" ca="1" si="622"/>
        <v>11.122632062873489</v>
      </c>
      <c r="N1280">
        <f t="shared" ca="1" si="623"/>
        <v>1.1735290000551568</v>
      </c>
      <c r="O1280">
        <f t="shared" ca="1" si="624"/>
        <v>4.5807502857230418</v>
      </c>
      <c r="P1280">
        <f t="shared" ca="1" si="625"/>
        <v>634.09346770439879</v>
      </c>
      <c r="Q1280">
        <f t="shared" ca="1" si="626"/>
        <v>635.16295155659816</v>
      </c>
      <c r="R1280">
        <f t="shared" ca="1" si="627"/>
        <v>3.8141460404132466E-3</v>
      </c>
      <c r="S1280">
        <f t="shared" ca="1" si="628"/>
        <v>1.0000000000000004</v>
      </c>
      <c r="T1280">
        <f t="shared" ca="1" si="629"/>
        <v>35.686426155594638</v>
      </c>
      <c r="U1280">
        <f t="shared" ca="1" si="650"/>
        <v>-3.3215251326055295E-3</v>
      </c>
      <c r="V1280">
        <f t="shared" ca="1" si="651"/>
        <v>1</v>
      </c>
      <c r="W1280">
        <f t="shared" ca="1" si="630"/>
        <v>1.6812012755347077</v>
      </c>
      <c r="X1280">
        <f t="shared" ca="1" si="631"/>
        <v>8.7422466327804802</v>
      </c>
      <c r="Y1280">
        <f t="shared" ca="1" si="632"/>
        <v>1.0210039274185496</v>
      </c>
      <c r="Z1280">
        <f t="shared" ca="1" si="633"/>
        <v>5.8280213473908029</v>
      </c>
      <c r="AA1280">
        <f t="shared" ca="1" si="634"/>
        <v>633.63570127553476</v>
      </c>
      <c r="AB1280">
        <f t="shared" ca="1" si="635"/>
        <v>635.36688541547574</v>
      </c>
      <c r="AC1280">
        <f t="shared" ca="1" si="636"/>
        <v>7.4334125343939192E-3</v>
      </c>
      <c r="AD1280">
        <f t="shared" ca="1" si="637"/>
        <v>1.4350821902580153</v>
      </c>
      <c r="AE1280">
        <f t="shared" ca="1" si="638"/>
        <v>37.617615531279569</v>
      </c>
      <c r="AF1280">
        <f t="shared" ca="1" si="639"/>
        <v>7.0978750276253777E-3</v>
      </c>
      <c r="AG1280">
        <f t="shared" ca="1" si="640"/>
        <v>0</v>
      </c>
      <c r="AH1280">
        <f ca="1">IFERROR(IF(V32="Supercritical",MAX($D$16,IFERROR(L1280,MAX($D$16,POWER((ABS(K1280)^2)/($I$5*MAX(F1280,0.1)^2),1/3)))),IF(V32="Subcritical",MAX($D$16,IFERROR(W1280,MAX($D$16,POWER((ABS(K1280)^2)/($I$5*MAX(F1280,0.1)^2),1/3)))),IF(AND(IFERROR(V1280,0)=1,IFERROR(AG1280,0)=1),IF(IFERROR(T1280,-1E+99)&gt;=IFERROR(AE1280,-1E+99),MAX($D$16,IFERROR(L1280,MAX($D$16,POWER((ABS(K1280)^2)/($I$5*MAX(F1280,0.1)^2),1/3)))),MAX($D$16,IFERROR(W1280,MAX($D$16,POWER((ABS(K1280)^2)/($I$5*MAX(F1280,0.1)^2),1/3))))),IF(IFERROR(V1280,0)=1,MAX($D$16,IFERROR(L1280,MAX($D$16,POWER((ABS(K1280)^2)/($I$5*MAX(F1280,0.1)^2),1/3)))),IF(IFERROR(AG1280,0)=1,MAX($D$16,IFERROR(W1280,MAX($D$16,POWER((ABS(K1280)^2)/($I$5*MAX(F1280,0.1)^2),1/3)))),MAX($D$16,POWER((ABS(K1280)^2)/($I$5*MAX(F1280,0.1)^2),1/3))))))),MAX($D$16,POWER((ABS(K1280)^2)/($I$5*MAX(F1280,0.1)^2),1/3)))</f>
        <v>2.1389677043987478</v>
      </c>
      <c r="AI1280">
        <f t="shared" ca="1" si="641"/>
        <v>634.09346770439879</v>
      </c>
      <c r="AJ1280">
        <f t="shared" ca="1" si="642"/>
        <v>635.16295155659816</v>
      </c>
      <c r="AM1280">
        <v>0</v>
      </c>
      <c r="AN1280">
        <v>0</v>
      </c>
      <c r="AO1280">
        <f t="shared" si="643"/>
        <v>0</v>
      </c>
      <c r="AP1280">
        <f t="shared" si="652"/>
        <v>0</v>
      </c>
      <c r="AQ1280">
        <f t="shared" ca="1" si="644"/>
        <v>1.0000000000000004</v>
      </c>
      <c r="AR1280" t="str">
        <f t="shared" ca="1" si="645"/>
        <v>Supercritical</v>
      </c>
      <c r="AS1280">
        <f t="shared" ca="1" si="646"/>
        <v>3.8141460404132466E-3</v>
      </c>
    </row>
    <row r="1281" spans="1:45" x14ac:dyDescent="0.35">
      <c r="A1281">
        <v>1220</v>
      </c>
      <c r="B1281">
        <v>1218.9960000000001</v>
      </c>
      <c r="C1281">
        <v>616072.03899999999</v>
      </c>
      <c r="D1281">
        <v>3096788.2519999999</v>
      </c>
      <c r="E1281">
        <v>631.95399999999995</v>
      </c>
      <c r="F1281">
        <v>5.2</v>
      </c>
      <c r="G1281">
        <v>0</v>
      </c>
      <c r="H1281" t="s">
        <v>154</v>
      </c>
      <c r="I1281">
        <v>5.7000000000000002E-2</v>
      </c>
      <c r="J1281">
        <f t="shared" si="647"/>
        <v>1</v>
      </c>
      <c r="K1281">
        <f t="shared" ca="1" si="648"/>
        <v>50.95</v>
      </c>
      <c r="L1281">
        <f t="shared" ca="1" si="649"/>
        <v>2.1389677043987478</v>
      </c>
      <c r="M1281">
        <f t="shared" ca="1" si="622"/>
        <v>11.122632062873489</v>
      </c>
      <c r="N1281">
        <f t="shared" ca="1" si="623"/>
        <v>1.1735290000551568</v>
      </c>
      <c r="O1281">
        <f t="shared" ca="1" si="624"/>
        <v>4.5807502857230418</v>
      </c>
      <c r="P1281">
        <f t="shared" ca="1" si="625"/>
        <v>634.09296770439869</v>
      </c>
      <c r="Q1281">
        <f t="shared" ca="1" si="626"/>
        <v>635.16245155659806</v>
      </c>
      <c r="R1281">
        <f t="shared" ca="1" si="627"/>
        <v>3.8141460404132466E-3</v>
      </c>
      <c r="S1281">
        <f t="shared" ca="1" si="628"/>
        <v>1.0000000000000004</v>
      </c>
      <c r="T1281">
        <f t="shared" ca="1" si="629"/>
        <v>35.686426155594638</v>
      </c>
      <c r="U1281">
        <f t="shared" ca="1" si="650"/>
        <v>-3.4157470063291839E-3</v>
      </c>
      <c r="V1281">
        <f t="shared" ca="1" si="651"/>
        <v>1</v>
      </c>
      <c r="W1281">
        <f t="shared" ca="1" si="630"/>
        <v>1.6812012745248617</v>
      </c>
      <c r="X1281">
        <f t="shared" ca="1" si="631"/>
        <v>8.7422466275292816</v>
      </c>
      <c r="Y1281">
        <f t="shared" ca="1" si="632"/>
        <v>1.0210039270460973</v>
      </c>
      <c r="Z1281">
        <f t="shared" ca="1" si="633"/>
        <v>5.8280213508915155</v>
      </c>
      <c r="AA1281">
        <f t="shared" ca="1" si="634"/>
        <v>633.63520127452477</v>
      </c>
      <c r="AB1281">
        <f t="shared" ca="1" si="635"/>
        <v>635.36638541654554</v>
      </c>
      <c r="AC1281">
        <f t="shared" ca="1" si="636"/>
        <v>7.4334125469394802E-3</v>
      </c>
      <c r="AD1281">
        <f t="shared" ca="1" si="637"/>
        <v>1.4350821915510297</v>
      </c>
      <c r="AE1281">
        <f t="shared" ca="1" si="638"/>
        <v>37.617615540632826</v>
      </c>
      <c r="AF1281">
        <f t="shared" ca="1" si="639"/>
        <v>7.0978750403583035E-3</v>
      </c>
      <c r="AG1281">
        <f t="shared" ca="1" si="640"/>
        <v>0</v>
      </c>
      <c r="AH1281">
        <f ca="1">IFERROR(IF(V32="Supercritical",MAX($D$16,IFERROR(L1281,MAX($D$16,POWER((ABS(K1281)^2)/($I$5*MAX(F1281,0.1)^2),1/3)))),IF(V32="Subcritical",MAX($D$16,IFERROR(W1281,MAX($D$16,POWER((ABS(K1281)^2)/($I$5*MAX(F1281,0.1)^2),1/3)))),IF(AND(IFERROR(V1281,0)=1,IFERROR(AG1281,0)=1),IF(IFERROR(T1281,-1E+99)&gt;=IFERROR(AE1281,-1E+99),MAX($D$16,IFERROR(L1281,MAX($D$16,POWER((ABS(K1281)^2)/($I$5*MAX(F1281,0.1)^2),1/3)))),MAX($D$16,IFERROR(W1281,MAX($D$16,POWER((ABS(K1281)^2)/($I$5*MAX(F1281,0.1)^2),1/3))))),IF(IFERROR(V1281,0)=1,MAX($D$16,IFERROR(L1281,MAX($D$16,POWER((ABS(K1281)^2)/($I$5*MAX(F1281,0.1)^2),1/3)))),IF(IFERROR(AG1281,0)=1,MAX($D$16,IFERROR(W1281,MAX($D$16,POWER((ABS(K1281)^2)/($I$5*MAX(F1281,0.1)^2),1/3)))),MAX($D$16,POWER((ABS(K1281)^2)/($I$5*MAX(F1281,0.1)^2),1/3))))))),MAX($D$16,POWER((ABS(K1281)^2)/($I$5*MAX(F1281,0.1)^2),1/3)))</f>
        <v>2.1389677043987478</v>
      </c>
      <c r="AI1281">
        <f t="shared" ca="1" si="641"/>
        <v>634.09296770439869</v>
      </c>
      <c r="AJ1281">
        <f t="shared" ca="1" si="642"/>
        <v>635.16245155659806</v>
      </c>
      <c r="AM1281">
        <v>0</v>
      </c>
      <c r="AN1281">
        <v>0</v>
      </c>
      <c r="AO1281">
        <f t="shared" si="643"/>
        <v>0</v>
      </c>
      <c r="AP1281">
        <f t="shared" si="652"/>
        <v>0</v>
      </c>
      <c r="AQ1281">
        <f t="shared" ca="1" si="644"/>
        <v>1.0000000000000004</v>
      </c>
      <c r="AR1281" t="str">
        <f t="shared" ca="1" si="645"/>
        <v>Supercritical</v>
      </c>
      <c r="AS1281">
        <f t="shared" ca="1" si="646"/>
        <v>3.8141460404132466E-3</v>
      </c>
    </row>
    <row r="1282" spans="1:45" x14ac:dyDescent="0.35">
      <c r="A1282">
        <v>1221</v>
      </c>
      <c r="B1282">
        <v>1219.9960000000001</v>
      </c>
      <c r="C1282">
        <v>616071.99600000004</v>
      </c>
      <c r="D1282">
        <v>3096787.253</v>
      </c>
      <c r="E1282">
        <v>631.95349999999996</v>
      </c>
      <c r="F1282">
        <v>5.2</v>
      </c>
      <c r="G1282">
        <v>0</v>
      </c>
      <c r="H1282" t="s">
        <v>154</v>
      </c>
      <c r="I1282">
        <v>5.7000000000000002E-2</v>
      </c>
      <c r="J1282">
        <f t="shared" si="647"/>
        <v>1</v>
      </c>
      <c r="K1282">
        <f t="shared" ca="1" si="648"/>
        <v>50.95</v>
      </c>
      <c r="L1282">
        <f t="shared" ca="1" si="649"/>
        <v>2.1389677043987478</v>
      </c>
      <c r="M1282">
        <f t="shared" ca="1" si="622"/>
        <v>11.122632062873489</v>
      </c>
      <c r="N1282">
        <f t="shared" ca="1" si="623"/>
        <v>1.1735290000551568</v>
      </c>
      <c r="O1282">
        <f t="shared" ca="1" si="624"/>
        <v>4.5807502857230418</v>
      </c>
      <c r="P1282">
        <f t="shared" ca="1" si="625"/>
        <v>634.0924677043987</v>
      </c>
      <c r="Q1282">
        <f t="shared" ca="1" si="626"/>
        <v>635.16195155659807</v>
      </c>
      <c r="R1282">
        <f t="shared" ca="1" si="627"/>
        <v>3.8141460404132466E-3</v>
      </c>
      <c r="S1282">
        <f t="shared" ca="1" si="628"/>
        <v>1.0000000000000004</v>
      </c>
      <c r="T1282">
        <f t="shared" ca="1" si="629"/>
        <v>35.686426155594638</v>
      </c>
      <c r="U1282">
        <f t="shared" ca="1" si="650"/>
        <v>-3.4157470064428708E-3</v>
      </c>
      <c r="V1282">
        <f t="shared" ca="1" si="651"/>
        <v>1</v>
      </c>
      <c r="W1282">
        <f t="shared" ca="1" si="630"/>
        <v>1.6812012735809596</v>
      </c>
      <c r="X1282">
        <f t="shared" ca="1" si="631"/>
        <v>8.7422466226209909</v>
      </c>
      <c r="Y1282">
        <f t="shared" ca="1" si="632"/>
        <v>1.0210039266979665</v>
      </c>
      <c r="Z1282">
        <f t="shared" ca="1" si="633"/>
        <v>5.8280213541636297</v>
      </c>
      <c r="AA1282">
        <f t="shared" ca="1" si="634"/>
        <v>633.63470127358096</v>
      </c>
      <c r="AB1282">
        <f t="shared" ca="1" si="635"/>
        <v>635.36588541754566</v>
      </c>
      <c r="AC1282">
        <f t="shared" ca="1" si="636"/>
        <v>7.4334125586658015E-3</v>
      </c>
      <c r="AD1282">
        <f t="shared" ca="1" si="637"/>
        <v>1.4350821927596096</v>
      </c>
      <c r="AE1282">
        <f t="shared" ca="1" si="638"/>
        <v>37.617615549375309</v>
      </c>
      <c r="AF1282">
        <f t="shared" ca="1" si="639"/>
        <v>6.933412558623786E-3</v>
      </c>
      <c r="AG1282">
        <f t="shared" ca="1" si="640"/>
        <v>0</v>
      </c>
      <c r="AH1282">
        <f ca="1">IFERROR(IF(V32="Supercritical",MAX($D$16,IFERROR(L1282,MAX($D$16,POWER((ABS(K1282)^2)/($I$5*MAX(F1282,0.1)^2),1/3)))),IF(V32="Subcritical",MAX($D$16,IFERROR(W1282,MAX($D$16,POWER((ABS(K1282)^2)/($I$5*MAX(F1282,0.1)^2),1/3)))),IF(AND(IFERROR(V1282,0)=1,IFERROR(AG1282,0)=1),IF(IFERROR(T1282,-1E+99)&gt;=IFERROR(AE1282,-1E+99),MAX($D$16,IFERROR(L1282,MAX($D$16,POWER((ABS(K1282)^2)/($I$5*MAX(F1282,0.1)^2),1/3)))),MAX($D$16,IFERROR(W1282,MAX($D$16,POWER((ABS(K1282)^2)/($I$5*MAX(F1282,0.1)^2),1/3))))),IF(IFERROR(V1282,0)=1,MAX($D$16,IFERROR(L1282,MAX($D$16,POWER((ABS(K1282)^2)/($I$5*MAX(F1282,0.1)^2),1/3)))),IF(IFERROR(AG1282,0)=1,MAX($D$16,IFERROR(W1282,MAX($D$16,POWER((ABS(K1282)^2)/($I$5*MAX(F1282,0.1)^2),1/3)))),MAX($D$16,POWER((ABS(K1282)^2)/($I$5*MAX(F1282,0.1)^2),1/3))))))),MAX($D$16,POWER((ABS(K1282)^2)/($I$5*MAX(F1282,0.1)^2),1/3)))</f>
        <v>2.1389677043987478</v>
      </c>
      <c r="AI1282">
        <f t="shared" ca="1" si="641"/>
        <v>634.0924677043987</v>
      </c>
      <c r="AJ1282">
        <f t="shared" ca="1" si="642"/>
        <v>635.16195155659807</v>
      </c>
      <c r="AM1282">
        <v>0</v>
      </c>
      <c r="AN1282">
        <v>0</v>
      </c>
      <c r="AO1282">
        <f t="shared" si="643"/>
        <v>0</v>
      </c>
      <c r="AP1282">
        <f t="shared" si="652"/>
        <v>0</v>
      </c>
      <c r="AQ1282">
        <f t="shared" ca="1" si="644"/>
        <v>1.0000000000000004</v>
      </c>
      <c r="AR1282" t="str">
        <f t="shared" ca="1" si="645"/>
        <v>Supercritical</v>
      </c>
      <c r="AS1282">
        <f t="shared" ca="1" si="646"/>
        <v>3.8141460404132466E-3</v>
      </c>
    </row>
    <row r="1283" spans="1:45" x14ac:dyDescent="0.35">
      <c r="A1283">
        <v>1222</v>
      </c>
      <c r="B1283">
        <v>1220.9960000000001</v>
      </c>
      <c r="C1283">
        <v>616071.95400000003</v>
      </c>
      <c r="D1283">
        <v>3096786.2540000002</v>
      </c>
      <c r="E1283">
        <v>631.95299999999997</v>
      </c>
      <c r="F1283">
        <v>5.2</v>
      </c>
      <c r="G1283">
        <v>0</v>
      </c>
      <c r="H1283" t="s">
        <v>154</v>
      </c>
      <c r="I1283">
        <v>0</v>
      </c>
      <c r="J1283">
        <f t="shared" si="647"/>
        <v>1</v>
      </c>
      <c r="K1283">
        <f t="shared" ca="1" si="648"/>
        <v>50.95</v>
      </c>
      <c r="L1283">
        <f t="shared" ca="1" si="649"/>
        <v>2.1389677043987478</v>
      </c>
      <c r="M1283">
        <f t="shared" ca="1" si="622"/>
        <v>11.122632062873489</v>
      </c>
      <c r="N1283">
        <f t="shared" ca="1" si="623"/>
        <v>1.1735290000551568</v>
      </c>
      <c r="O1283">
        <f t="shared" ca="1" si="624"/>
        <v>4.5807502857230418</v>
      </c>
      <c r="P1283">
        <f t="shared" ca="1" si="625"/>
        <v>634.09196770439871</v>
      </c>
      <c r="Q1283">
        <f t="shared" ca="1" si="626"/>
        <v>635.16145155659808</v>
      </c>
      <c r="R1283">
        <f t="shared" ca="1" si="627"/>
        <v>3.8141460404132466E-3</v>
      </c>
      <c r="S1283">
        <f t="shared" ca="1" si="628"/>
        <v>1.0000000000000004</v>
      </c>
      <c r="T1283">
        <f t="shared" ca="1" si="629"/>
        <v>35.686426155594638</v>
      </c>
      <c r="U1283">
        <f t="shared" ca="1" si="650"/>
        <v>-3.3141460404522149E-3</v>
      </c>
      <c r="V1283">
        <f t="shared" ca="1" si="651"/>
        <v>1</v>
      </c>
      <c r="W1283">
        <f t="shared" ca="1" si="630"/>
        <v>1.6812012726987213</v>
      </c>
      <c r="X1283">
        <f t="shared" ca="1" si="631"/>
        <v>8.7422466180333505</v>
      </c>
      <c r="Y1283">
        <f t="shared" ca="1" si="632"/>
        <v>1.0210039263725785</v>
      </c>
      <c r="Z1283">
        <f t="shared" ca="1" si="633"/>
        <v>5.8280213572219814</v>
      </c>
      <c r="AA1283">
        <f t="shared" ca="1" si="634"/>
        <v>633.63420127269865</v>
      </c>
      <c r="AB1283">
        <f t="shared" ca="1" si="635"/>
        <v>635.36538541848029</v>
      </c>
      <c r="AC1283">
        <f t="shared" ca="1" si="636"/>
        <v>7.4334125696260628E-3</v>
      </c>
      <c r="AD1283">
        <f t="shared" ca="1" si="637"/>
        <v>1.4350821938892346</v>
      </c>
      <c r="AE1283">
        <f t="shared" ca="1" si="638"/>
        <v>37.617615557546664</v>
      </c>
      <c r="AF1283">
        <f t="shared" ca="1" si="639"/>
        <v>7.0978750635504184E-3</v>
      </c>
      <c r="AG1283">
        <f t="shared" ca="1" si="640"/>
        <v>0</v>
      </c>
      <c r="AH1283">
        <f ca="1">IFERROR(IF(V32="Supercritical",MAX($D$16,IFERROR(L1283,MAX($D$16,POWER((ABS(K1283)^2)/($I$5*MAX(F1283,0.1)^2),1/3)))),IF(V32="Subcritical",MAX($D$16,IFERROR(W1283,MAX($D$16,POWER((ABS(K1283)^2)/($I$5*MAX(F1283,0.1)^2),1/3)))),IF(AND(IFERROR(V1283,0)=1,IFERROR(AG1283,0)=1),IF(IFERROR(T1283,-1E+99)&gt;=IFERROR(AE1283,-1E+99),MAX($D$16,IFERROR(L1283,MAX($D$16,POWER((ABS(K1283)^2)/($I$5*MAX(F1283,0.1)^2),1/3)))),MAX($D$16,IFERROR(W1283,MAX($D$16,POWER((ABS(K1283)^2)/($I$5*MAX(F1283,0.1)^2),1/3))))),IF(IFERROR(V1283,0)=1,MAX($D$16,IFERROR(L1283,MAX($D$16,POWER((ABS(K1283)^2)/($I$5*MAX(F1283,0.1)^2),1/3)))),IF(IFERROR(AG1283,0)=1,MAX($D$16,IFERROR(W1283,MAX($D$16,POWER((ABS(K1283)^2)/($I$5*MAX(F1283,0.1)^2),1/3)))),MAX($D$16,POWER((ABS(K1283)^2)/($I$5*MAX(F1283,0.1)^2),1/3))))))),MAX($D$16,POWER((ABS(K1283)^2)/($I$5*MAX(F1283,0.1)^2),1/3)))</f>
        <v>2.1389677043987478</v>
      </c>
      <c r="AI1283">
        <f t="shared" ca="1" si="641"/>
        <v>634.09196770439871</v>
      </c>
      <c r="AJ1283">
        <f t="shared" ca="1" si="642"/>
        <v>635.16145155659808</v>
      </c>
      <c r="AM1283">
        <v>0</v>
      </c>
      <c r="AN1283">
        <v>0</v>
      </c>
      <c r="AO1283">
        <f t="shared" si="643"/>
        <v>0</v>
      </c>
      <c r="AP1283">
        <f t="shared" si="652"/>
        <v>0</v>
      </c>
      <c r="AQ1283">
        <f t="shared" ca="1" si="644"/>
        <v>1.0000000000000004</v>
      </c>
      <c r="AR1283" t="str">
        <f t="shared" ca="1" si="645"/>
        <v>Supercritical</v>
      </c>
      <c r="AS1283">
        <f t="shared" ca="1" si="646"/>
        <v>3.8141460404132466E-3</v>
      </c>
    </row>
    <row r="1284" spans="1:45" x14ac:dyDescent="0.35">
      <c r="A1284">
        <v>1223</v>
      </c>
      <c r="B1284">
        <v>1221.9960000000001</v>
      </c>
      <c r="C1284">
        <v>616071.91200000001</v>
      </c>
      <c r="D1284">
        <v>3096785.2549999999</v>
      </c>
      <c r="E1284">
        <v>631.95249999999999</v>
      </c>
      <c r="F1284">
        <v>5.2</v>
      </c>
      <c r="G1284">
        <v>0</v>
      </c>
      <c r="H1284" t="s">
        <v>154</v>
      </c>
      <c r="I1284">
        <v>5.7000000000000002E-2</v>
      </c>
      <c r="J1284">
        <f t="shared" si="647"/>
        <v>1</v>
      </c>
      <c r="K1284">
        <f t="shared" ca="1" si="648"/>
        <v>50.95</v>
      </c>
      <c r="L1284">
        <f t="shared" ca="1" si="649"/>
        <v>2.1389677043987478</v>
      </c>
      <c r="M1284">
        <f t="shared" ca="1" si="622"/>
        <v>11.122632062873489</v>
      </c>
      <c r="N1284">
        <f t="shared" ca="1" si="623"/>
        <v>1.1735290000551568</v>
      </c>
      <c r="O1284">
        <f t="shared" ca="1" si="624"/>
        <v>4.5807502857230418</v>
      </c>
      <c r="P1284">
        <f t="shared" ca="1" si="625"/>
        <v>634.09146770439872</v>
      </c>
      <c r="Q1284">
        <f t="shared" ca="1" si="626"/>
        <v>635.16095155659809</v>
      </c>
      <c r="R1284">
        <f t="shared" ca="1" si="627"/>
        <v>3.8141460404132466E-3</v>
      </c>
      <c r="S1284">
        <f t="shared" ca="1" si="628"/>
        <v>1.0000000000000004</v>
      </c>
      <c r="T1284">
        <f t="shared" ca="1" si="629"/>
        <v>35.686426155594638</v>
      </c>
      <c r="U1284">
        <f t="shared" ca="1" si="650"/>
        <v>-3.4157470064428708E-3</v>
      </c>
      <c r="V1284">
        <f t="shared" ca="1" si="651"/>
        <v>1</v>
      </c>
      <c r="W1284">
        <f t="shared" ca="1" si="630"/>
        <v>1.6812012718740881</v>
      </c>
      <c r="X1284">
        <f t="shared" ca="1" si="631"/>
        <v>8.7422466137452588</v>
      </c>
      <c r="Y1284">
        <f t="shared" ca="1" si="632"/>
        <v>1.0210039260684369</v>
      </c>
      <c r="Z1284">
        <f t="shared" ca="1" si="633"/>
        <v>5.8280213600806388</v>
      </c>
      <c r="AA1284">
        <f t="shared" ca="1" si="634"/>
        <v>633.63370127187409</v>
      </c>
      <c r="AB1284">
        <f t="shared" ca="1" si="635"/>
        <v>635.36488541935398</v>
      </c>
      <c r="AC1284">
        <f t="shared" ca="1" si="636"/>
        <v>7.4334125798706761E-3</v>
      </c>
      <c r="AD1284">
        <f t="shared" ca="1" si="637"/>
        <v>1.4350821949451009</v>
      </c>
      <c r="AE1284">
        <f t="shared" ca="1" si="638"/>
        <v>37.617615565184472</v>
      </c>
      <c r="AF1284">
        <f t="shared" ca="1" si="639"/>
        <v>7.0978750738959207E-3</v>
      </c>
      <c r="AG1284">
        <f t="shared" ca="1" si="640"/>
        <v>0</v>
      </c>
      <c r="AH1284">
        <f ca="1">IFERROR(IF(V32="Supercritical",MAX($D$16,IFERROR(L1284,MAX($D$16,POWER((ABS(K1284)^2)/($I$5*MAX(F1284,0.1)^2),1/3)))),IF(V32="Subcritical",MAX($D$16,IFERROR(W1284,MAX($D$16,POWER((ABS(K1284)^2)/($I$5*MAX(F1284,0.1)^2),1/3)))),IF(AND(IFERROR(V1284,0)=1,IFERROR(AG1284,0)=1),IF(IFERROR(T1284,-1E+99)&gt;=IFERROR(AE1284,-1E+99),MAX($D$16,IFERROR(L1284,MAX($D$16,POWER((ABS(K1284)^2)/($I$5*MAX(F1284,0.1)^2),1/3)))),MAX($D$16,IFERROR(W1284,MAX($D$16,POWER((ABS(K1284)^2)/($I$5*MAX(F1284,0.1)^2),1/3))))),IF(IFERROR(V1284,0)=1,MAX($D$16,IFERROR(L1284,MAX($D$16,POWER((ABS(K1284)^2)/($I$5*MAX(F1284,0.1)^2),1/3)))),IF(IFERROR(AG1284,0)=1,MAX($D$16,IFERROR(W1284,MAX($D$16,POWER((ABS(K1284)^2)/($I$5*MAX(F1284,0.1)^2),1/3)))),MAX($D$16,POWER((ABS(K1284)^2)/($I$5*MAX(F1284,0.1)^2),1/3))))))),MAX($D$16,POWER((ABS(K1284)^2)/($I$5*MAX(F1284,0.1)^2),1/3)))</f>
        <v>2.1389677043987478</v>
      </c>
      <c r="AI1284">
        <f t="shared" ca="1" si="641"/>
        <v>634.09146770439872</v>
      </c>
      <c r="AJ1284">
        <f t="shared" ca="1" si="642"/>
        <v>635.16095155659809</v>
      </c>
      <c r="AM1284">
        <v>0</v>
      </c>
      <c r="AN1284">
        <v>0</v>
      </c>
      <c r="AO1284">
        <f t="shared" si="643"/>
        <v>0</v>
      </c>
      <c r="AP1284">
        <f t="shared" si="652"/>
        <v>0</v>
      </c>
      <c r="AQ1284">
        <f t="shared" ca="1" si="644"/>
        <v>1.0000000000000004</v>
      </c>
      <c r="AR1284" t="str">
        <f t="shared" ca="1" si="645"/>
        <v>Supercritical</v>
      </c>
      <c r="AS1284">
        <f t="shared" ca="1" si="646"/>
        <v>3.8141460404132466E-3</v>
      </c>
    </row>
    <row r="1285" spans="1:45" x14ac:dyDescent="0.35">
      <c r="A1285">
        <v>1224</v>
      </c>
      <c r="B1285">
        <v>1222.9960000000001</v>
      </c>
      <c r="C1285">
        <v>616071.86899999995</v>
      </c>
      <c r="D1285">
        <v>3096784.2560000001</v>
      </c>
      <c r="E1285">
        <v>631.952</v>
      </c>
      <c r="F1285">
        <v>5.2</v>
      </c>
      <c r="G1285">
        <v>0</v>
      </c>
      <c r="H1285" t="s">
        <v>154</v>
      </c>
      <c r="I1285">
        <v>5.7000000000000002E-2</v>
      </c>
      <c r="J1285">
        <f t="shared" si="647"/>
        <v>1</v>
      </c>
      <c r="K1285">
        <f t="shared" ca="1" si="648"/>
        <v>50.95</v>
      </c>
      <c r="L1285">
        <f t="shared" ca="1" si="649"/>
        <v>2.1389677043987478</v>
      </c>
      <c r="M1285">
        <f t="shared" ca="1" si="622"/>
        <v>11.122632062873489</v>
      </c>
      <c r="N1285">
        <f t="shared" ca="1" si="623"/>
        <v>1.1735290000551568</v>
      </c>
      <c r="O1285">
        <f t="shared" ca="1" si="624"/>
        <v>4.5807502857230418</v>
      </c>
      <c r="P1285">
        <f t="shared" ca="1" si="625"/>
        <v>634.09096770439874</v>
      </c>
      <c r="Q1285">
        <f t="shared" ca="1" si="626"/>
        <v>635.1604515565981</v>
      </c>
      <c r="R1285">
        <f t="shared" ca="1" si="627"/>
        <v>3.8141460404132466E-3</v>
      </c>
      <c r="S1285">
        <f t="shared" ca="1" si="628"/>
        <v>1.0000000000000004</v>
      </c>
      <c r="T1285">
        <f t="shared" ca="1" si="629"/>
        <v>35.686426155594638</v>
      </c>
      <c r="U1285">
        <f t="shared" ca="1" si="650"/>
        <v>-3.4157470064428708E-3</v>
      </c>
      <c r="V1285">
        <f t="shared" ca="1" si="651"/>
        <v>1</v>
      </c>
      <c r="W1285">
        <f t="shared" ca="1" si="630"/>
        <v>1.6812012711033255</v>
      </c>
      <c r="X1285">
        <f t="shared" ca="1" si="631"/>
        <v>8.7422466097372933</v>
      </c>
      <c r="Y1285">
        <f t="shared" ca="1" si="632"/>
        <v>1.0210039257841634</v>
      </c>
      <c r="Z1285">
        <f t="shared" ca="1" si="633"/>
        <v>5.8280213627525503</v>
      </c>
      <c r="AA1285">
        <f t="shared" ca="1" si="634"/>
        <v>633.6332012711033</v>
      </c>
      <c r="AB1285">
        <f t="shared" ca="1" si="635"/>
        <v>635.36438542017061</v>
      </c>
      <c r="AC1285">
        <f t="shared" ca="1" si="636"/>
        <v>7.4334125894460461E-3</v>
      </c>
      <c r="AD1285">
        <f t="shared" ca="1" si="637"/>
        <v>1.4350821959319915</v>
      </c>
      <c r="AE1285">
        <f t="shared" ca="1" si="638"/>
        <v>37.617615572323331</v>
      </c>
      <c r="AF1285">
        <f t="shared" ca="1" si="639"/>
        <v>6.9259791769127332E-3</v>
      </c>
      <c r="AG1285">
        <f t="shared" ca="1" si="640"/>
        <v>0</v>
      </c>
      <c r="AH1285">
        <f ca="1">IFERROR(IF(V32="Supercritical",MAX($D$16,IFERROR(L1285,MAX($D$16,POWER((ABS(K1285)^2)/($I$5*MAX(F1285,0.1)^2),1/3)))),IF(V32="Subcritical",MAX($D$16,IFERROR(W1285,MAX($D$16,POWER((ABS(K1285)^2)/($I$5*MAX(F1285,0.1)^2),1/3)))),IF(AND(IFERROR(V1285,0)=1,IFERROR(AG1285,0)=1),IF(IFERROR(T1285,-1E+99)&gt;=IFERROR(AE1285,-1E+99),MAX($D$16,IFERROR(L1285,MAX($D$16,POWER((ABS(K1285)^2)/($I$5*MAX(F1285,0.1)^2),1/3)))),MAX($D$16,IFERROR(W1285,MAX($D$16,POWER((ABS(K1285)^2)/($I$5*MAX(F1285,0.1)^2),1/3))))),IF(IFERROR(V1285,0)=1,MAX($D$16,IFERROR(L1285,MAX($D$16,POWER((ABS(K1285)^2)/($I$5*MAX(F1285,0.1)^2),1/3)))),IF(IFERROR(AG1285,0)=1,MAX($D$16,IFERROR(W1285,MAX($D$16,POWER((ABS(K1285)^2)/($I$5*MAX(F1285,0.1)^2),1/3)))),MAX($D$16,POWER((ABS(K1285)^2)/($I$5*MAX(F1285,0.1)^2),1/3))))))),MAX($D$16,POWER((ABS(K1285)^2)/($I$5*MAX(F1285,0.1)^2),1/3)))</f>
        <v>2.1389677043987478</v>
      </c>
      <c r="AI1285">
        <f t="shared" ca="1" si="641"/>
        <v>634.09096770439874</v>
      </c>
      <c r="AJ1285">
        <f t="shared" ca="1" si="642"/>
        <v>635.1604515565981</v>
      </c>
      <c r="AM1285">
        <v>0</v>
      </c>
      <c r="AN1285">
        <v>0</v>
      </c>
      <c r="AO1285">
        <f t="shared" si="643"/>
        <v>0</v>
      </c>
      <c r="AP1285">
        <f t="shared" si="652"/>
        <v>0</v>
      </c>
      <c r="AQ1285">
        <f t="shared" ca="1" si="644"/>
        <v>1.0000000000000004</v>
      </c>
      <c r="AR1285" t="str">
        <f t="shared" ca="1" si="645"/>
        <v>Supercritical</v>
      </c>
      <c r="AS1285">
        <f t="shared" ca="1" si="646"/>
        <v>3.8141460404132466E-3</v>
      </c>
    </row>
    <row r="1286" spans="1:45" x14ac:dyDescent="0.35">
      <c r="A1286">
        <v>1225</v>
      </c>
      <c r="B1286">
        <v>1223.9949999999999</v>
      </c>
      <c r="C1286">
        <v>616071.82700000005</v>
      </c>
      <c r="D1286">
        <v>3096783.2570000002</v>
      </c>
      <c r="E1286">
        <v>631.95150000000001</v>
      </c>
      <c r="F1286">
        <v>5.2</v>
      </c>
      <c r="G1286">
        <v>0</v>
      </c>
      <c r="H1286" t="s">
        <v>154</v>
      </c>
      <c r="I1286">
        <v>0</v>
      </c>
      <c r="J1286">
        <f t="shared" si="647"/>
        <v>0.99899999999979627</v>
      </c>
      <c r="K1286">
        <f t="shared" ca="1" si="648"/>
        <v>50.95</v>
      </c>
      <c r="L1286">
        <f t="shared" ca="1" si="649"/>
        <v>2.1389677043987478</v>
      </c>
      <c r="M1286">
        <f t="shared" ca="1" si="622"/>
        <v>11.122632062873489</v>
      </c>
      <c r="N1286">
        <f t="shared" ca="1" si="623"/>
        <v>1.1735290000551568</v>
      </c>
      <c r="O1286">
        <f t="shared" ca="1" si="624"/>
        <v>4.5807502857230418</v>
      </c>
      <c r="P1286">
        <f t="shared" ca="1" si="625"/>
        <v>634.09046770439875</v>
      </c>
      <c r="Q1286">
        <f t="shared" ca="1" si="626"/>
        <v>635.15995155659812</v>
      </c>
      <c r="R1286">
        <f t="shared" ca="1" si="627"/>
        <v>3.8141460404132466E-3</v>
      </c>
      <c r="S1286">
        <f t="shared" ca="1" si="628"/>
        <v>1.0000000000000004</v>
      </c>
      <c r="T1286">
        <f t="shared" ca="1" si="629"/>
        <v>35.686426155594638</v>
      </c>
      <c r="U1286">
        <f t="shared" ca="1" si="650"/>
        <v>-3.3103318943403792E-3</v>
      </c>
      <c r="V1286">
        <f t="shared" ca="1" si="651"/>
        <v>1</v>
      </c>
      <c r="W1286">
        <f t="shared" ca="1" si="630"/>
        <v>1.6812012703829033</v>
      </c>
      <c r="X1286">
        <f t="shared" ca="1" si="631"/>
        <v>8.742246605991097</v>
      </c>
      <c r="Y1286">
        <f t="shared" ca="1" si="632"/>
        <v>1.0210039255184569</v>
      </c>
      <c r="Z1286">
        <f t="shared" ca="1" si="633"/>
        <v>5.8280213652499535</v>
      </c>
      <c r="AA1286">
        <f t="shared" ca="1" si="634"/>
        <v>633.63270127038288</v>
      </c>
      <c r="AB1286">
        <f t="shared" ca="1" si="635"/>
        <v>635.3638854209338</v>
      </c>
      <c r="AC1286">
        <f t="shared" ca="1" si="636"/>
        <v>7.4334125983960275E-3</v>
      </c>
      <c r="AD1286">
        <f t="shared" ca="1" si="637"/>
        <v>1.4350821968544261</v>
      </c>
      <c r="AE1286">
        <f t="shared" ca="1" si="638"/>
        <v>37.617615578995931</v>
      </c>
      <c r="AF1286">
        <f t="shared" ca="1" si="639"/>
        <v>6.9334125984141792E-3</v>
      </c>
      <c r="AG1286">
        <f t="shared" ca="1" si="640"/>
        <v>0</v>
      </c>
      <c r="AH1286">
        <f ca="1">IFERROR(IF(V32="Supercritical",MAX($D$16,IFERROR(L1286,MAX($D$16,POWER((ABS(K1286)^2)/($I$5*MAX(F1286,0.1)^2),1/3)))),IF(V32="Subcritical",MAX($D$16,IFERROR(W1286,MAX($D$16,POWER((ABS(K1286)^2)/($I$5*MAX(F1286,0.1)^2),1/3)))),IF(AND(IFERROR(V1286,0)=1,IFERROR(AG1286,0)=1),IF(IFERROR(T1286,-1E+99)&gt;=IFERROR(AE1286,-1E+99),MAX($D$16,IFERROR(L1286,MAX($D$16,POWER((ABS(K1286)^2)/($I$5*MAX(F1286,0.1)^2),1/3)))),MAX($D$16,IFERROR(W1286,MAX($D$16,POWER((ABS(K1286)^2)/($I$5*MAX(F1286,0.1)^2),1/3))))),IF(IFERROR(V1286,0)=1,MAX($D$16,IFERROR(L1286,MAX($D$16,POWER((ABS(K1286)^2)/($I$5*MAX(F1286,0.1)^2),1/3)))),IF(IFERROR(AG1286,0)=1,MAX($D$16,IFERROR(W1286,MAX($D$16,POWER((ABS(K1286)^2)/($I$5*MAX(F1286,0.1)^2),1/3)))),MAX($D$16,POWER((ABS(K1286)^2)/($I$5*MAX(F1286,0.1)^2),1/3))))))),MAX($D$16,POWER((ABS(K1286)^2)/($I$5*MAX(F1286,0.1)^2),1/3)))</f>
        <v>2.1389677043987478</v>
      </c>
      <c r="AI1286">
        <f t="shared" ca="1" si="641"/>
        <v>634.09046770439875</v>
      </c>
      <c r="AJ1286">
        <f t="shared" ca="1" si="642"/>
        <v>635.15995155659812</v>
      </c>
      <c r="AM1286">
        <v>0</v>
      </c>
      <c r="AN1286">
        <v>0</v>
      </c>
      <c r="AO1286">
        <f t="shared" si="643"/>
        <v>0</v>
      </c>
      <c r="AP1286">
        <f t="shared" si="652"/>
        <v>0</v>
      </c>
      <c r="AQ1286">
        <f t="shared" ca="1" si="644"/>
        <v>1.0000000000000004</v>
      </c>
      <c r="AR1286" t="str">
        <f t="shared" ca="1" si="645"/>
        <v>Supercritical</v>
      </c>
      <c r="AS1286">
        <f t="shared" ca="1" si="646"/>
        <v>3.8141460404132466E-3</v>
      </c>
    </row>
    <row r="1287" spans="1:45" x14ac:dyDescent="0.35">
      <c r="A1287">
        <v>1226</v>
      </c>
      <c r="B1287">
        <v>1224.9949999999999</v>
      </c>
      <c r="C1287">
        <v>616071.78500000003</v>
      </c>
      <c r="D1287">
        <v>3096782.2579999999</v>
      </c>
      <c r="E1287">
        <v>631.95100000000002</v>
      </c>
      <c r="F1287">
        <v>5.2</v>
      </c>
      <c r="G1287">
        <v>0</v>
      </c>
      <c r="H1287" t="s">
        <v>154</v>
      </c>
      <c r="I1287">
        <v>0</v>
      </c>
      <c r="J1287">
        <f t="shared" si="647"/>
        <v>1</v>
      </c>
      <c r="K1287">
        <f t="shared" ca="1" si="648"/>
        <v>50.95</v>
      </c>
      <c r="L1287">
        <f t="shared" ca="1" si="649"/>
        <v>2.1389677043987478</v>
      </c>
      <c r="M1287">
        <f t="shared" ca="1" si="622"/>
        <v>11.122632062873489</v>
      </c>
      <c r="N1287">
        <f t="shared" ca="1" si="623"/>
        <v>1.1735290000551568</v>
      </c>
      <c r="O1287">
        <f t="shared" ca="1" si="624"/>
        <v>4.5807502857230418</v>
      </c>
      <c r="P1287">
        <f t="shared" ca="1" si="625"/>
        <v>634.08996770439876</v>
      </c>
      <c r="Q1287">
        <f t="shared" ca="1" si="626"/>
        <v>635.15945155659813</v>
      </c>
      <c r="R1287">
        <f t="shared" ca="1" si="627"/>
        <v>3.8141460404132466E-3</v>
      </c>
      <c r="S1287">
        <f t="shared" ca="1" si="628"/>
        <v>1.0000000000000004</v>
      </c>
      <c r="T1287">
        <f t="shared" ca="1" si="629"/>
        <v>35.686426155594638</v>
      </c>
      <c r="U1287">
        <f t="shared" ca="1" si="650"/>
        <v>-3.3141460404522149E-3</v>
      </c>
      <c r="V1287">
        <f t="shared" ca="1" si="651"/>
        <v>1</v>
      </c>
      <c r="W1287">
        <f t="shared" ca="1" si="630"/>
        <v>1.6812012697095136</v>
      </c>
      <c r="X1287">
        <f t="shared" ca="1" si="631"/>
        <v>8.7422466024894714</v>
      </c>
      <c r="Y1287">
        <f t="shared" ca="1" si="632"/>
        <v>1.0210039252700969</v>
      </c>
      <c r="Z1287">
        <f t="shared" ca="1" si="633"/>
        <v>5.8280213675843129</v>
      </c>
      <c r="AA1287">
        <f t="shared" ca="1" si="634"/>
        <v>633.63220126970953</v>
      </c>
      <c r="AB1287">
        <f t="shared" ca="1" si="635"/>
        <v>635.36338542164731</v>
      </c>
      <c r="AC1287">
        <f t="shared" ca="1" si="636"/>
        <v>7.4334126067617055E-3</v>
      </c>
      <c r="AD1287">
        <f t="shared" ca="1" si="637"/>
        <v>1.4350821977166393</v>
      </c>
      <c r="AE1287">
        <f t="shared" ca="1" si="638"/>
        <v>37.617615585232905</v>
      </c>
      <c r="AF1287">
        <f t="shared" ca="1" si="639"/>
        <v>7.0921044874694417E-3</v>
      </c>
      <c r="AG1287">
        <f t="shared" ca="1" si="640"/>
        <v>0</v>
      </c>
      <c r="AH1287">
        <f ca="1">IFERROR(IF(V32="Supercritical",MAX($D$16,IFERROR(L1287,MAX($D$16,POWER((ABS(K1287)^2)/($I$5*MAX(F1287,0.1)^2),1/3)))),IF(V32="Subcritical",MAX($D$16,IFERROR(W1287,MAX($D$16,POWER((ABS(K1287)^2)/($I$5*MAX(F1287,0.1)^2),1/3)))),IF(AND(IFERROR(V1287,0)=1,IFERROR(AG1287,0)=1),IF(IFERROR(T1287,-1E+99)&gt;=IFERROR(AE1287,-1E+99),MAX($D$16,IFERROR(L1287,MAX($D$16,POWER((ABS(K1287)^2)/($I$5*MAX(F1287,0.1)^2),1/3)))),MAX($D$16,IFERROR(W1287,MAX($D$16,POWER((ABS(K1287)^2)/($I$5*MAX(F1287,0.1)^2),1/3))))),IF(IFERROR(V1287,0)=1,MAX($D$16,IFERROR(L1287,MAX($D$16,POWER((ABS(K1287)^2)/($I$5*MAX(F1287,0.1)^2),1/3)))),IF(IFERROR(AG1287,0)=1,MAX($D$16,IFERROR(W1287,MAX($D$16,POWER((ABS(K1287)^2)/($I$5*MAX(F1287,0.1)^2),1/3)))),MAX($D$16,POWER((ABS(K1287)^2)/($I$5*MAX(F1287,0.1)^2),1/3))))))),MAX($D$16,POWER((ABS(K1287)^2)/($I$5*MAX(F1287,0.1)^2),1/3)))</f>
        <v>2.1389677043987478</v>
      </c>
      <c r="AI1287">
        <f t="shared" ca="1" si="641"/>
        <v>634.08996770439876</v>
      </c>
      <c r="AJ1287">
        <f t="shared" ca="1" si="642"/>
        <v>635.15945155659813</v>
      </c>
      <c r="AM1287">
        <v>0</v>
      </c>
      <c r="AN1287">
        <v>0</v>
      </c>
      <c r="AO1287">
        <f t="shared" si="643"/>
        <v>0</v>
      </c>
      <c r="AP1287">
        <f t="shared" si="652"/>
        <v>0</v>
      </c>
      <c r="AQ1287">
        <f t="shared" ca="1" si="644"/>
        <v>1.0000000000000004</v>
      </c>
      <c r="AR1287" t="str">
        <f t="shared" ca="1" si="645"/>
        <v>Supercritical</v>
      </c>
      <c r="AS1287">
        <f t="shared" ca="1" si="646"/>
        <v>3.8141460404132466E-3</v>
      </c>
    </row>
    <row r="1288" spans="1:45" x14ac:dyDescent="0.35">
      <c r="A1288">
        <v>1227</v>
      </c>
      <c r="B1288">
        <v>1225.9949999999999</v>
      </c>
      <c r="C1288">
        <v>616071.74300000002</v>
      </c>
      <c r="D1288">
        <v>3096781.2590000001</v>
      </c>
      <c r="E1288">
        <v>631.95050000000003</v>
      </c>
      <c r="F1288">
        <v>5.2</v>
      </c>
      <c r="G1288">
        <v>0</v>
      </c>
      <c r="H1288" t="s">
        <v>154</v>
      </c>
      <c r="I1288">
        <v>5.5E-2</v>
      </c>
      <c r="J1288">
        <f t="shared" si="647"/>
        <v>1</v>
      </c>
      <c r="K1288">
        <f t="shared" ca="1" si="648"/>
        <v>50.95</v>
      </c>
      <c r="L1288">
        <f t="shared" ca="1" si="649"/>
        <v>2.1389677043987478</v>
      </c>
      <c r="M1288">
        <f t="shared" ca="1" si="622"/>
        <v>11.122632062873489</v>
      </c>
      <c r="N1288">
        <f t="shared" ca="1" si="623"/>
        <v>1.1735290000551568</v>
      </c>
      <c r="O1288">
        <f t="shared" ca="1" si="624"/>
        <v>4.5807502857230418</v>
      </c>
      <c r="P1288">
        <f t="shared" ca="1" si="625"/>
        <v>634.08946770439877</v>
      </c>
      <c r="Q1288">
        <f t="shared" ca="1" si="626"/>
        <v>635.15895155659814</v>
      </c>
      <c r="R1288">
        <f t="shared" ca="1" si="627"/>
        <v>3.8141460404132466E-3</v>
      </c>
      <c r="S1288">
        <f t="shared" ca="1" si="628"/>
        <v>1.0000000000000004</v>
      </c>
      <c r="T1288">
        <f t="shared" ca="1" si="629"/>
        <v>35.686426155594638</v>
      </c>
      <c r="U1288">
        <f t="shared" ca="1" si="650"/>
        <v>-3.4121820602877051E-3</v>
      </c>
      <c r="V1288">
        <f t="shared" ca="1" si="651"/>
        <v>1</v>
      </c>
      <c r="W1288">
        <f t="shared" ca="1" si="630"/>
        <v>1.6812012690801035</v>
      </c>
      <c r="X1288">
        <f t="shared" ca="1" si="631"/>
        <v>8.7422465992165392</v>
      </c>
      <c r="Y1288">
        <f t="shared" ca="1" si="632"/>
        <v>1.0210039250379572</v>
      </c>
      <c r="Z1288">
        <f t="shared" ca="1" si="633"/>
        <v>5.8280213697662138</v>
      </c>
      <c r="AA1288">
        <f t="shared" ca="1" si="634"/>
        <v>633.63170126908017</v>
      </c>
      <c r="AB1288">
        <f t="shared" ca="1" si="635"/>
        <v>635.36288542231421</v>
      </c>
      <c r="AC1288">
        <f t="shared" ca="1" si="636"/>
        <v>7.4334126145810201E-3</v>
      </c>
      <c r="AD1288">
        <f t="shared" ca="1" si="637"/>
        <v>1.4350821985225406</v>
      </c>
      <c r="AE1288">
        <f t="shared" ca="1" si="638"/>
        <v>37.617615591062545</v>
      </c>
      <c r="AF1288">
        <f t="shared" ca="1" si="639"/>
        <v>7.0995379079477061E-3</v>
      </c>
      <c r="AG1288">
        <f t="shared" ca="1" si="640"/>
        <v>0</v>
      </c>
      <c r="AH1288">
        <f ca="1">IFERROR(IF(V32="Supercritical",MAX($D$16,IFERROR(L1288,MAX($D$16,POWER((ABS(K1288)^2)/($I$5*MAX(F1288,0.1)^2),1/3)))),IF(V32="Subcritical",MAX($D$16,IFERROR(W1288,MAX($D$16,POWER((ABS(K1288)^2)/($I$5*MAX(F1288,0.1)^2),1/3)))),IF(AND(IFERROR(V1288,0)=1,IFERROR(AG1288,0)=1),IF(IFERROR(T1288,-1E+99)&gt;=IFERROR(AE1288,-1E+99),MAX($D$16,IFERROR(L1288,MAX($D$16,POWER((ABS(K1288)^2)/($I$5*MAX(F1288,0.1)^2),1/3)))),MAX($D$16,IFERROR(W1288,MAX($D$16,POWER((ABS(K1288)^2)/($I$5*MAX(F1288,0.1)^2),1/3))))),IF(IFERROR(V1288,0)=1,MAX($D$16,IFERROR(L1288,MAX($D$16,POWER((ABS(K1288)^2)/($I$5*MAX(F1288,0.1)^2),1/3)))),IF(IFERROR(AG1288,0)=1,MAX($D$16,IFERROR(W1288,MAX($D$16,POWER((ABS(K1288)^2)/($I$5*MAX(F1288,0.1)^2),1/3)))),MAX($D$16,POWER((ABS(K1288)^2)/($I$5*MAX(F1288,0.1)^2),1/3))))))),MAX($D$16,POWER((ABS(K1288)^2)/($I$5*MAX(F1288,0.1)^2),1/3)))</f>
        <v>2.1389677043987478</v>
      </c>
      <c r="AI1288">
        <f t="shared" ca="1" si="641"/>
        <v>634.08946770439877</v>
      </c>
      <c r="AJ1288">
        <f t="shared" ca="1" si="642"/>
        <v>635.15895155659814</v>
      </c>
      <c r="AM1288">
        <v>0</v>
      </c>
      <c r="AN1288">
        <v>0</v>
      </c>
      <c r="AO1288">
        <f t="shared" si="643"/>
        <v>0</v>
      </c>
      <c r="AP1288">
        <f t="shared" si="652"/>
        <v>0</v>
      </c>
      <c r="AQ1288">
        <f t="shared" ca="1" si="644"/>
        <v>1.0000000000000004</v>
      </c>
      <c r="AR1288" t="str">
        <f t="shared" ca="1" si="645"/>
        <v>Supercritical</v>
      </c>
      <c r="AS1288">
        <f t="shared" ca="1" si="646"/>
        <v>3.8141460404132466E-3</v>
      </c>
    </row>
    <row r="1289" spans="1:45" x14ac:dyDescent="0.35">
      <c r="A1289">
        <v>1228</v>
      </c>
      <c r="B1289">
        <v>1226.9960000000001</v>
      </c>
      <c r="C1289">
        <v>616071.69999999995</v>
      </c>
      <c r="D1289">
        <v>3096780.2590000001</v>
      </c>
      <c r="E1289">
        <v>631.95000000000005</v>
      </c>
      <c r="F1289">
        <v>5.2</v>
      </c>
      <c r="G1289">
        <v>0</v>
      </c>
      <c r="H1289" t="s">
        <v>154</v>
      </c>
      <c r="I1289">
        <v>5.5E-2</v>
      </c>
      <c r="J1289">
        <f t="shared" si="647"/>
        <v>1.0010000000002037</v>
      </c>
      <c r="K1289">
        <f t="shared" ca="1" si="648"/>
        <v>50.95</v>
      </c>
      <c r="L1289">
        <f t="shared" ca="1" si="649"/>
        <v>2.1389677043987478</v>
      </c>
      <c r="M1289">
        <f t="shared" ca="1" si="622"/>
        <v>11.122632062873489</v>
      </c>
      <c r="N1289">
        <f t="shared" ca="1" si="623"/>
        <v>1.1735290000551568</v>
      </c>
      <c r="O1289">
        <f t="shared" ca="1" si="624"/>
        <v>4.5807502857230418</v>
      </c>
      <c r="P1289">
        <f t="shared" ca="1" si="625"/>
        <v>634.08896770439878</v>
      </c>
      <c r="Q1289">
        <f t="shared" ca="1" si="626"/>
        <v>635.15845155659815</v>
      </c>
      <c r="R1289">
        <f t="shared" ca="1" si="627"/>
        <v>3.8141460404132466E-3</v>
      </c>
      <c r="S1289">
        <f t="shared" ca="1" si="628"/>
        <v>1.0000000000000004</v>
      </c>
      <c r="T1289">
        <f t="shared" ca="1" si="629"/>
        <v>35.686426155594638</v>
      </c>
      <c r="U1289">
        <f t="shared" ca="1" si="650"/>
        <v>-3.415996206285854E-3</v>
      </c>
      <c r="V1289">
        <f t="shared" ca="1" si="651"/>
        <v>1</v>
      </c>
      <c r="W1289">
        <f t="shared" ca="1" si="630"/>
        <v>1.6812012684918252</v>
      </c>
      <c r="X1289">
        <f t="shared" ca="1" si="631"/>
        <v>8.7422465961574911</v>
      </c>
      <c r="Y1289">
        <f t="shared" ca="1" si="632"/>
        <v>1.0210039248209879</v>
      </c>
      <c r="Z1289">
        <f t="shared" ca="1" si="633"/>
        <v>5.8280213718055291</v>
      </c>
      <c r="AA1289">
        <f t="shared" ca="1" si="634"/>
        <v>633.63120126849185</v>
      </c>
      <c r="AB1289">
        <f t="shared" ca="1" si="635"/>
        <v>635.36238542293745</v>
      </c>
      <c r="AC1289">
        <f t="shared" ca="1" si="636"/>
        <v>7.4334126218893468E-3</v>
      </c>
      <c r="AD1289">
        <f t="shared" ca="1" si="637"/>
        <v>1.4350821992757772</v>
      </c>
      <c r="AE1289">
        <f t="shared" ca="1" si="638"/>
        <v>37.617615596511222</v>
      </c>
      <c r="AF1289">
        <f t="shared" ca="1" si="639"/>
        <v>6.9334126218336678E-3</v>
      </c>
      <c r="AG1289">
        <f t="shared" ca="1" si="640"/>
        <v>0</v>
      </c>
      <c r="AH1289">
        <f ca="1">IFERROR(IF(V32="Supercritical",MAX($D$16,IFERROR(L1289,MAX($D$16,POWER((ABS(K1289)^2)/($I$5*MAX(F1289,0.1)^2),1/3)))),IF(V32="Subcritical",MAX($D$16,IFERROR(W1289,MAX($D$16,POWER((ABS(K1289)^2)/($I$5*MAX(F1289,0.1)^2),1/3)))),IF(AND(IFERROR(V1289,0)=1,IFERROR(AG1289,0)=1),IF(IFERROR(T1289,-1E+99)&gt;=IFERROR(AE1289,-1E+99),MAX($D$16,IFERROR(L1289,MAX($D$16,POWER((ABS(K1289)^2)/($I$5*MAX(F1289,0.1)^2),1/3)))),MAX($D$16,IFERROR(W1289,MAX($D$16,POWER((ABS(K1289)^2)/($I$5*MAX(F1289,0.1)^2),1/3))))),IF(IFERROR(V1289,0)=1,MAX($D$16,IFERROR(L1289,MAX($D$16,POWER((ABS(K1289)^2)/($I$5*MAX(F1289,0.1)^2),1/3)))),IF(IFERROR(AG1289,0)=1,MAX($D$16,IFERROR(W1289,MAX($D$16,POWER((ABS(K1289)^2)/($I$5*MAX(F1289,0.1)^2),1/3)))),MAX($D$16,POWER((ABS(K1289)^2)/($I$5*MAX(F1289,0.1)^2),1/3))))))),MAX($D$16,POWER((ABS(K1289)^2)/($I$5*MAX(F1289,0.1)^2),1/3)))</f>
        <v>2.1389677043987478</v>
      </c>
      <c r="AI1289">
        <f t="shared" ca="1" si="641"/>
        <v>634.08896770439878</v>
      </c>
      <c r="AJ1289">
        <f t="shared" ca="1" si="642"/>
        <v>635.15845155659815</v>
      </c>
      <c r="AM1289">
        <v>0</v>
      </c>
      <c r="AN1289">
        <v>0</v>
      </c>
      <c r="AO1289">
        <f t="shared" si="643"/>
        <v>0</v>
      </c>
      <c r="AP1289">
        <f t="shared" si="652"/>
        <v>0</v>
      </c>
      <c r="AQ1289">
        <f t="shared" ca="1" si="644"/>
        <v>1.0000000000000004</v>
      </c>
      <c r="AR1289" t="str">
        <f t="shared" ca="1" si="645"/>
        <v>Supercritical</v>
      </c>
      <c r="AS1289">
        <f t="shared" ca="1" si="646"/>
        <v>3.8141460404132466E-3</v>
      </c>
    </row>
    <row r="1290" spans="1:45" x14ac:dyDescent="0.35">
      <c r="A1290">
        <v>1229</v>
      </c>
      <c r="B1290">
        <v>1227.9960000000001</v>
      </c>
      <c r="C1290">
        <v>616071.65800000005</v>
      </c>
      <c r="D1290">
        <v>3096779.26</v>
      </c>
      <c r="E1290">
        <v>631.94949999999994</v>
      </c>
      <c r="F1290">
        <v>5.2</v>
      </c>
      <c r="G1290">
        <v>0</v>
      </c>
      <c r="H1290" t="s">
        <v>154</v>
      </c>
      <c r="I1290">
        <v>0</v>
      </c>
      <c r="J1290">
        <f t="shared" si="647"/>
        <v>1</v>
      </c>
      <c r="K1290">
        <f t="shared" ca="1" si="648"/>
        <v>50.95</v>
      </c>
      <c r="L1290">
        <f t="shared" ca="1" si="649"/>
        <v>2.1389677043987478</v>
      </c>
      <c r="M1290">
        <f t="shared" ca="1" si="622"/>
        <v>11.122632062873489</v>
      </c>
      <c r="N1290">
        <f t="shared" ca="1" si="623"/>
        <v>1.1735290000551568</v>
      </c>
      <c r="O1290">
        <f t="shared" ca="1" si="624"/>
        <v>4.5807502857230418</v>
      </c>
      <c r="P1290">
        <f t="shared" ca="1" si="625"/>
        <v>634.08846770439868</v>
      </c>
      <c r="Q1290">
        <f t="shared" ca="1" si="626"/>
        <v>635.15795155659805</v>
      </c>
      <c r="R1290">
        <f t="shared" ca="1" si="627"/>
        <v>3.8141460404132466E-3</v>
      </c>
      <c r="S1290">
        <f t="shared" ca="1" si="628"/>
        <v>1.0000000000000004</v>
      </c>
      <c r="T1290">
        <f t="shared" ca="1" si="629"/>
        <v>35.686426155594638</v>
      </c>
      <c r="U1290">
        <f t="shared" ca="1" si="650"/>
        <v>-3.3141460403385281E-3</v>
      </c>
      <c r="V1290">
        <f t="shared" ca="1" si="651"/>
        <v>1</v>
      </c>
      <c r="W1290">
        <f t="shared" ca="1" si="630"/>
        <v>1.6812012679419674</v>
      </c>
      <c r="X1290">
        <f t="shared" ca="1" si="631"/>
        <v>8.7422465932982316</v>
      </c>
      <c r="Y1290">
        <f t="shared" ca="1" si="632"/>
        <v>1.021003924618189</v>
      </c>
      <c r="Z1290">
        <f t="shared" ca="1" si="633"/>
        <v>5.828021373711656</v>
      </c>
      <c r="AA1290">
        <f t="shared" ca="1" si="634"/>
        <v>633.63070126794196</v>
      </c>
      <c r="AB1290">
        <f t="shared" ca="1" si="635"/>
        <v>635.36188542351988</v>
      </c>
      <c r="AC1290">
        <f t="shared" ca="1" si="636"/>
        <v>7.4334126287203643E-3</v>
      </c>
      <c r="AD1290">
        <f t="shared" ca="1" si="637"/>
        <v>1.4350821999798191</v>
      </c>
      <c r="AE1290">
        <f t="shared" ca="1" si="638"/>
        <v>37.617615601604044</v>
      </c>
      <c r="AF1290">
        <f t="shared" ca="1" si="639"/>
        <v>6.9334126287685649E-3</v>
      </c>
      <c r="AG1290">
        <f t="shared" ca="1" si="640"/>
        <v>0</v>
      </c>
      <c r="AH1290">
        <f ca="1">IFERROR(IF(V32="Supercritical",MAX($D$16,IFERROR(L1290,MAX($D$16,POWER((ABS(K1290)^2)/($I$5*MAX(F1290,0.1)^2),1/3)))),IF(V32="Subcritical",MAX($D$16,IFERROR(W1290,MAX($D$16,POWER((ABS(K1290)^2)/($I$5*MAX(F1290,0.1)^2),1/3)))),IF(AND(IFERROR(V1290,0)=1,IFERROR(AG1290,0)=1),IF(IFERROR(T1290,-1E+99)&gt;=IFERROR(AE1290,-1E+99),MAX($D$16,IFERROR(L1290,MAX($D$16,POWER((ABS(K1290)^2)/($I$5*MAX(F1290,0.1)^2),1/3)))),MAX($D$16,IFERROR(W1290,MAX($D$16,POWER((ABS(K1290)^2)/($I$5*MAX(F1290,0.1)^2),1/3))))),IF(IFERROR(V1290,0)=1,MAX($D$16,IFERROR(L1290,MAX($D$16,POWER((ABS(K1290)^2)/($I$5*MAX(F1290,0.1)^2),1/3)))),IF(IFERROR(AG1290,0)=1,MAX($D$16,IFERROR(W1290,MAX($D$16,POWER((ABS(K1290)^2)/($I$5*MAX(F1290,0.1)^2),1/3)))),MAX($D$16,POWER((ABS(K1290)^2)/($I$5*MAX(F1290,0.1)^2),1/3))))))),MAX($D$16,POWER((ABS(K1290)^2)/($I$5*MAX(F1290,0.1)^2),1/3)))</f>
        <v>2.1389677043987478</v>
      </c>
      <c r="AI1290">
        <f t="shared" ca="1" si="641"/>
        <v>634.08846770439868</v>
      </c>
      <c r="AJ1290">
        <f t="shared" ca="1" si="642"/>
        <v>635.15795155659805</v>
      </c>
      <c r="AM1290">
        <v>0</v>
      </c>
      <c r="AN1290">
        <v>0</v>
      </c>
      <c r="AO1290">
        <f t="shared" si="643"/>
        <v>0</v>
      </c>
      <c r="AP1290">
        <f t="shared" si="652"/>
        <v>0</v>
      </c>
      <c r="AQ1290">
        <f t="shared" ca="1" si="644"/>
        <v>1.0000000000000004</v>
      </c>
      <c r="AR1290" t="str">
        <f t="shared" ca="1" si="645"/>
        <v>Supercritical</v>
      </c>
      <c r="AS1290">
        <f t="shared" ca="1" si="646"/>
        <v>3.8141460404132466E-3</v>
      </c>
    </row>
    <row r="1291" spans="1:45" x14ac:dyDescent="0.35">
      <c r="A1291">
        <v>1230</v>
      </c>
      <c r="B1291">
        <v>1228.9960000000001</v>
      </c>
      <c r="C1291">
        <v>616071.61600000004</v>
      </c>
      <c r="D1291">
        <v>3096778.2609999999</v>
      </c>
      <c r="E1291">
        <v>631.94899999999996</v>
      </c>
      <c r="F1291">
        <v>5.2</v>
      </c>
      <c r="G1291">
        <v>0</v>
      </c>
      <c r="H1291" t="s">
        <v>154</v>
      </c>
      <c r="I1291">
        <v>0</v>
      </c>
      <c r="J1291">
        <f t="shared" si="647"/>
        <v>1</v>
      </c>
      <c r="K1291">
        <f t="shared" ca="1" si="648"/>
        <v>50.95</v>
      </c>
      <c r="L1291">
        <f t="shared" ca="1" si="649"/>
        <v>2.1389677043987478</v>
      </c>
      <c r="M1291">
        <f t="shared" ca="1" si="622"/>
        <v>11.122632062873489</v>
      </c>
      <c r="N1291">
        <f t="shared" ca="1" si="623"/>
        <v>1.1735290000551568</v>
      </c>
      <c r="O1291">
        <f t="shared" ca="1" si="624"/>
        <v>4.5807502857230418</v>
      </c>
      <c r="P1291">
        <f t="shared" ca="1" si="625"/>
        <v>634.08796770439869</v>
      </c>
      <c r="Q1291">
        <f t="shared" ca="1" si="626"/>
        <v>635.15745155659806</v>
      </c>
      <c r="R1291">
        <f t="shared" ca="1" si="627"/>
        <v>3.8141460404132466E-3</v>
      </c>
      <c r="S1291">
        <f t="shared" ca="1" si="628"/>
        <v>1.0000000000000004</v>
      </c>
      <c r="T1291">
        <f t="shared" ca="1" si="629"/>
        <v>35.686426155594638</v>
      </c>
      <c r="U1291">
        <f t="shared" ca="1" si="650"/>
        <v>-3.3141460404522149E-3</v>
      </c>
      <c r="V1291">
        <f t="shared" ca="1" si="651"/>
        <v>1</v>
      </c>
      <c r="W1291">
        <f t="shared" ca="1" si="630"/>
        <v>1.6812012674280234</v>
      </c>
      <c r="X1291">
        <f t="shared" ca="1" si="631"/>
        <v>8.7422465906257223</v>
      </c>
      <c r="Y1291">
        <f t="shared" ca="1" si="632"/>
        <v>1.0210039244286355</v>
      </c>
      <c r="Z1291">
        <f t="shared" ca="1" si="633"/>
        <v>5.828021375493285</v>
      </c>
      <c r="AA1291">
        <f t="shared" ca="1" si="634"/>
        <v>633.63020126742799</v>
      </c>
      <c r="AB1291">
        <f t="shared" ca="1" si="635"/>
        <v>635.36138542406445</v>
      </c>
      <c r="AC1291">
        <f t="shared" ca="1" si="636"/>
        <v>7.4334126351052136E-3</v>
      </c>
      <c r="AD1291">
        <f t="shared" ca="1" si="637"/>
        <v>1.4350822006378772</v>
      </c>
      <c r="AE1291">
        <f t="shared" ca="1" si="638"/>
        <v>37.617615606364232</v>
      </c>
      <c r="AF1291">
        <f t="shared" ca="1" si="639"/>
        <v>7.0978751300572185E-3</v>
      </c>
      <c r="AG1291">
        <f t="shared" ca="1" si="640"/>
        <v>0</v>
      </c>
      <c r="AH1291">
        <f ca="1">IFERROR(IF(V32="Supercritical",MAX($D$16,IFERROR(L1291,MAX($D$16,POWER((ABS(K1291)^2)/($I$5*MAX(F1291,0.1)^2),1/3)))),IF(V32="Subcritical",MAX($D$16,IFERROR(W1291,MAX($D$16,POWER((ABS(K1291)^2)/($I$5*MAX(F1291,0.1)^2),1/3)))),IF(AND(IFERROR(V1291,0)=1,IFERROR(AG1291,0)=1),IF(IFERROR(T1291,-1E+99)&gt;=IFERROR(AE1291,-1E+99),MAX($D$16,IFERROR(L1291,MAX($D$16,POWER((ABS(K1291)^2)/($I$5*MAX(F1291,0.1)^2),1/3)))),MAX($D$16,IFERROR(W1291,MAX($D$16,POWER((ABS(K1291)^2)/($I$5*MAX(F1291,0.1)^2),1/3))))),IF(IFERROR(V1291,0)=1,MAX($D$16,IFERROR(L1291,MAX($D$16,POWER((ABS(K1291)^2)/($I$5*MAX(F1291,0.1)^2),1/3)))),IF(IFERROR(AG1291,0)=1,MAX($D$16,IFERROR(W1291,MAX($D$16,POWER((ABS(K1291)^2)/($I$5*MAX(F1291,0.1)^2),1/3)))),MAX($D$16,POWER((ABS(K1291)^2)/($I$5*MAX(F1291,0.1)^2),1/3))))))),MAX($D$16,POWER((ABS(K1291)^2)/($I$5*MAX(F1291,0.1)^2),1/3)))</f>
        <v>2.1389677043987478</v>
      </c>
      <c r="AI1291">
        <f t="shared" ca="1" si="641"/>
        <v>634.08796770439869</v>
      </c>
      <c r="AJ1291">
        <f t="shared" ca="1" si="642"/>
        <v>635.15745155659806</v>
      </c>
      <c r="AM1291">
        <v>0</v>
      </c>
      <c r="AN1291">
        <v>0</v>
      </c>
      <c r="AO1291">
        <f t="shared" si="643"/>
        <v>0</v>
      </c>
      <c r="AP1291">
        <f t="shared" si="652"/>
        <v>0</v>
      </c>
      <c r="AQ1291">
        <f t="shared" ca="1" si="644"/>
        <v>1.0000000000000004</v>
      </c>
      <c r="AR1291" t="str">
        <f t="shared" ca="1" si="645"/>
        <v>Supercritical</v>
      </c>
      <c r="AS1291">
        <f t="shared" ca="1" si="646"/>
        <v>3.8141460404132466E-3</v>
      </c>
    </row>
    <row r="1292" spans="1:45" x14ac:dyDescent="0.35">
      <c r="A1292">
        <v>1231</v>
      </c>
      <c r="B1292">
        <v>1229.9960000000001</v>
      </c>
      <c r="C1292">
        <v>616071.57400000002</v>
      </c>
      <c r="D1292">
        <v>3096777.2620000001</v>
      </c>
      <c r="E1292">
        <v>631.94849999999997</v>
      </c>
      <c r="F1292">
        <v>5.2</v>
      </c>
      <c r="G1292">
        <v>0</v>
      </c>
      <c r="H1292" t="s">
        <v>154</v>
      </c>
      <c r="I1292">
        <v>5.7000000000000002E-2</v>
      </c>
      <c r="J1292">
        <f t="shared" si="647"/>
        <v>1</v>
      </c>
      <c r="K1292">
        <f t="shared" ca="1" si="648"/>
        <v>50.95</v>
      </c>
      <c r="L1292">
        <f t="shared" ca="1" si="649"/>
        <v>2.1389677043987478</v>
      </c>
      <c r="M1292">
        <f t="shared" ca="1" si="622"/>
        <v>11.122632062873489</v>
      </c>
      <c r="N1292">
        <f t="shared" ca="1" si="623"/>
        <v>1.1735290000551568</v>
      </c>
      <c r="O1292">
        <f t="shared" ca="1" si="624"/>
        <v>4.5807502857230418</v>
      </c>
      <c r="P1292">
        <f t="shared" ca="1" si="625"/>
        <v>634.0874677043987</v>
      </c>
      <c r="Q1292">
        <f t="shared" ca="1" si="626"/>
        <v>635.15695155659807</v>
      </c>
      <c r="R1292">
        <f t="shared" ca="1" si="627"/>
        <v>3.8141460404132466E-3</v>
      </c>
      <c r="S1292">
        <f t="shared" ca="1" si="628"/>
        <v>1.0000000000000004</v>
      </c>
      <c r="T1292">
        <f t="shared" ca="1" si="629"/>
        <v>35.686426155594638</v>
      </c>
      <c r="U1292">
        <f t="shared" ca="1" si="650"/>
        <v>-3.4157470064428708E-3</v>
      </c>
      <c r="V1292">
        <f t="shared" ca="1" si="651"/>
        <v>1</v>
      </c>
      <c r="W1292">
        <f t="shared" ca="1" si="630"/>
        <v>1.6812012669476568</v>
      </c>
      <c r="X1292">
        <f t="shared" ca="1" si="631"/>
        <v>8.7422465881278164</v>
      </c>
      <c r="Y1292">
        <f t="shared" ca="1" si="632"/>
        <v>1.0210039242514666</v>
      </c>
      <c r="Z1292">
        <f t="shared" ca="1" si="633"/>
        <v>5.8280213771585148</v>
      </c>
      <c r="AA1292">
        <f t="shared" ca="1" si="634"/>
        <v>633.62970126694768</v>
      </c>
      <c r="AB1292">
        <f t="shared" ca="1" si="635"/>
        <v>635.36088542457344</v>
      </c>
      <c r="AC1292">
        <f t="shared" ca="1" si="636"/>
        <v>7.4334126410729191E-3</v>
      </c>
      <c r="AD1292">
        <f t="shared" ca="1" si="637"/>
        <v>1.4350822012529425</v>
      </c>
      <c r="AE1292">
        <f t="shared" ca="1" si="638"/>
        <v>37.617615610813417</v>
      </c>
      <c r="AF1292">
        <f t="shared" ca="1" si="639"/>
        <v>7.097875135968934E-3</v>
      </c>
      <c r="AG1292">
        <f t="shared" ca="1" si="640"/>
        <v>0</v>
      </c>
      <c r="AH1292">
        <f ca="1">IFERROR(IF(V32="Supercritical",MAX($D$16,IFERROR(L1292,MAX($D$16,POWER((ABS(K1292)^2)/($I$5*MAX(F1292,0.1)^2),1/3)))),IF(V32="Subcritical",MAX($D$16,IFERROR(W1292,MAX($D$16,POWER((ABS(K1292)^2)/($I$5*MAX(F1292,0.1)^2),1/3)))),IF(AND(IFERROR(V1292,0)=1,IFERROR(AG1292,0)=1),IF(IFERROR(T1292,-1E+99)&gt;=IFERROR(AE1292,-1E+99),MAX($D$16,IFERROR(L1292,MAX($D$16,POWER((ABS(K1292)^2)/($I$5*MAX(F1292,0.1)^2),1/3)))),MAX($D$16,IFERROR(W1292,MAX($D$16,POWER((ABS(K1292)^2)/($I$5*MAX(F1292,0.1)^2),1/3))))),IF(IFERROR(V1292,0)=1,MAX($D$16,IFERROR(L1292,MAX($D$16,POWER((ABS(K1292)^2)/($I$5*MAX(F1292,0.1)^2),1/3)))),IF(IFERROR(AG1292,0)=1,MAX($D$16,IFERROR(W1292,MAX($D$16,POWER((ABS(K1292)^2)/($I$5*MAX(F1292,0.1)^2),1/3)))),MAX($D$16,POWER((ABS(K1292)^2)/($I$5*MAX(F1292,0.1)^2),1/3))))))),MAX($D$16,POWER((ABS(K1292)^2)/($I$5*MAX(F1292,0.1)^2),1/3)))</f>
        <v>2.1389677043987478</v>
      </c>
      <c r="AI1292">
        <f t="shared" ca="1" si="641"/>
        <v>634.0874677043987</v>
      </c>
      <c r="AJ1292">
        <f t="shared" ca="1" si="642"/>
        <v>635.15695155659807</v>
      </c>
      <c r="AM1292">
        <v>0</v>
      </c>
      <c r="AN1292">
        <v>0</v>
      </c>
      <c r="AO1292">
        <f t="shared" si="643"/>
        <v>0</v>
      </c>
      <c r="AP1292">
        <f t="shared" si="652"/>
        <v>0</v>
      </c>
      <c r="AQ1292">
        <f t="shared" ca="1" si="644"/>
        <v>1.0000000000000004</v>
      </c>
      <c r="AR1292" t="str">
        <f t="shared" ca="1" si="645"/>
        <v>Supercritical</v>
      </c>
      <c r="AS1292">
        <f t="shared" ca="1" si="646"/>
        <v>3.8141460404132466E-3</v>
      </c>
    </row>
    <row r="1293" spans="1:45" x14ac:dyDescent="0.35">
      <c r="A1293">
        <v>1232</v>
      </c>
      <c r="B1293">
        <v>1230.9960000000001</v>
      </c>
      <c r="C1293">
        <v>616071.53099999996</v>
      </c>
      <c r="D1293">
        <v>3096776.2629999998</v>
      </c>
      <c r="E1293">
        <v>631.94799999999998</v>
      </c>
      <c r="F1293">
        <v>5.2</v>
      </c>
      <c r="G1293">
        <v>0</v>
      </c>
      <c r="H1293" t="s">
        <v>154</v>
      </c>
      <c r="I1293">
        <v>5.7000000000000002E-2</v>
      </c>
      <c r="J1293">
        <f t="shared" si="647"/>
        <v>1</v>
      </c>
      <c r="K1293">
        <f t="shared" ca="1" si="648"/>
        <v>50.95</v>
      </c>
      <c r="L1293">
        <f t="shared" ca="1" si="649"/>
        <v>2.1389677043987478</v>
      </c>
      <c r="M1293">
        <f t="shared" ca="1" si="622"/>
        <v>11.122632062873489</v>
      </c>
      <c r="N1293">
        <f t="shared" ca="1" si="623"/>
        <v>1.1735290000551568</v>
      </c>
      <c r="O1293">
        <f t="shared" ca="1" si="624"/>
        <v>4.5807502857230418</v>
      </c>
      <c r="P1293">
        <f t="shared" ca="1" si="625"/>
        <v>634.08696770439872</v>
      </c>
      <c r="Q1293">
        <f t="shared" ca="1" si="626"/>
        <v>635.15645155659809</v>
      </c>
      <c r="R1293">
        <f t="shared" ca="1" si="627"/>
        <v>3.8141460404132466E-3</v>
      </c>
      <c r="S1293">
        <f t="shared" ca="1" si="628"/>
        <v>1.0000000000000004</v>
      </c>
      <c r="T1293">
        <f t="shared" ca="1" si="629"/>
        <v>35.686426155594638</v>
      </c>
      <c r="U1293">
        <f t="shared" ca="1" si="650"/>
        <v>-3.4157470064428708E-3</v>
      </c>
      <c r="V1293">
        <f t="shared" ca="1" si="651"/>
        <v>1</v>
      </c>
      <c r="W1293">
        <f t="shared" ca="1" si="630"/>
        <v>1.6812012664986506</v>
      </c>
      <c r="X1293">
        <f t="shared" ca="1" si="631"/>
        <v>8.7422465857929836</v>
      </c>
      <c r="Y1293">
        <f t="shared" ca="1" si="632"/>
        <v>1.0210039240858637</v>
      </c>
      <c r="Z1293">
        <f t="shared" ca="1" si="633"/>
        <v>5.8280213787150315</v>
      </c>
      <c r="AA1293">
        <f t="shared" ca="1" si="634"/>
        <v>633.62920126649863</v>
      </c>
      <c r="AB1293">
        <f t="shared" ca="1" si="635"/>
        <v>635.360385425049</v>
      </c>
      <c r="AC1293">
        <f t="shared" ca="1" si="636"/>
        <v>7.4334126466510334E-3</v>
      </c>
      <c r="AD1293">
        <f t="shared" ca="1" si="637"/>
        <v>1.4350822018278533</v>
      </c>
      <c r="AE1293">
        <f t="shared" ca="1" si="638"/>
        <v>37.617615614972138</v>
      </c>
      <c r="AF1293">
        <f t="shared" ca="1" si="639"/>
        <v>6.9334126466173984E-3</v>
      </c>
      <c r="AG1293">
        <f t="shared" ca="1" si="640"/>
        <v>0</v>
      </c>
      <c r="AH1293">
        <f ca="1">IFERROR(IF(V32="Supercritical",MAX($D$16,IFERROR(L1293,MAX($D$16,POWER((ABS(K1293)^2)/($I$5*MAX(F1293,0.1)^2),1/3)))),IF(V32="Subcritical",MAX($D$16,IFERROR(W1293,MAX($D$16,POWER((ABS(K1293)^2)/($I$5*MAX(F1293,0.1)^2),1/3)))),IF(AND(IFERROR(V1293,0)=1,IFERROR(AG1293,0)=1),IF(IFERROR(T1293,-1E+99)&gt;=IFERROR(AE1293,-1E+99),MAX($D$16,IFERROR(L1293,MAX($D$16,POWER((ABS(K1293)^2)/($I$5*MAX(F1293,0.1)^2),1/3)))),MAX($D$16,IFERROR(W1293,MAX($D$16,POWER((ABS(K1293)^2)/($I$5*MAX(F1293,0.1)^2),1/3))))),IF(IFERROR(V1293,0)=1,MAX($D$16,IFERROR(L1293,MAX($D$16,POWER((ABS(K1293)^2)/($I$5*MAX(F1293,0.1)^2),1/3)))),IF(IFERROR(AG1293,0)=1,MAX($D$16,IFERROR(W1293,MAX($D$16,POWER((ABS(K1293)^2)/($I$5*MAX(F1293,0.1)^2),1/3)))),MAX($D$16,POWER((ABS(K1293)^2)/($I$5*MAX(F1293,0.1)^2),1/3))))))),MAX($D$16,POWER((ABS(K1293)^2)/($I$5*MAX(F1293,0.1)^2),1/3)))</f>
        <v>2.1389677043987478</v>
      </c>
      <c r="AI1293">
        <f t="shared" ca="1" si="641"/>
        <v>634.08696770439872</v>
      </c>
      <c r="AJ1293">
        <f t="shared" ca="1" si="642"/>
        <v>635.15645155659809</v>
      </c>
      <c r="AM1293">
        <v>0</v>
      </c>
      <c r="AN1293">
        <v>0</v>
      </c>
      <c r="AO1293">
        <f t="shared" si="643"/>
        <v>0</v>
      </c>
      <c r="AP1293">
        <f t="shared" si="652"/>
        <v>0</v>
      </c>
      <c r="AQ1293">
        <f t="shared" ca="1" si="644"/>
        <v>1.0000000000000004</v>
      </c>
      <c r="AR1293" t="str">
        <f t="shared" ca="1" si="645"/>
        <v>Supercritical</v>
      </c>
      <c r="AS1293">
        <f t="shared" ca="1" si="646"/>
        <v>3.8141460404132466E-3</v>
      </c>
    </row>
    <row r="1294" spans="1:45" x14ac:dyDescent="0.35">
      <c r="A1294">
        <v>1233</v>
      </c>
      <c r="B1294">
        <v>1231.9960000000001</v>
      </c>
      <c r="C1294">
        <v>616071.48899999994</v>
      </c>
      <c r="D1294">
        <v>3096775.264</v>
      </c>
      <c r="E1294">
        <v>631.94749999999999</v>
      </c>
      <c r="F1294">
        <v>5.2</v>
      </c>
      <c r="G1294">
        <v>0</v>
      </c>
      <c r="H1294" t="s">
        <v>154</v>
      </c>
      <c r="I1294">
        <v>0</v>
      </c>
      <c r="J1294">
        <f t="shared" si="647"/>
        <v>1</v>
      </c>
      <c r="K1294">
        <f t="shared" ca="1" si="648"/>
        <v>50.95</v>
      </c>
      <c r="L1294">
        <f t="shared" ca="1" si="649"/>
        <v>2.1389677043987478</v>
      </c>
      <c r="M1294">
        <f t="shared" ca="1" si="622"/>
        <v>11.122632062873489</v>
      </c>
      <c r="N1294">
        <f t="shared" ca="1" si="623"/>
        <v>1.1735290000551568</v>
      </c>
      <c r="O1294">
        <f t="shared" ca="1" si="624"/>
        <v>4.5807502857230418</v>
      </c>
      <c r="P1294">
        <f t="shared" ca="1" si="625"/>
        <v>634.08646770439873</v>
      </c>
      <c r="Q1294">
        <f t="shared" ca="1" si="626"/>
        <v>635.1559515565981</v>
      </c>
      <c r="R1294">
        <f t="shared" ca="1" si="627"/>
        <v>3.8141460404132466E-3</v>
      </c>
      <c r="S1294">
        <f t="shared" ca="1" si="628"/>
        <v>1.0000000000000004</v>
      </c>
      <c r="T1294">
        <f t="shared" ca="1" si="629"/>
        <v>35.686426155594638</v>
      </c>
      <c r="U1294">
        <f t="shared" ca="1" si="650"/>
        <v>-3.3141460404522149E-3</v>
      </c>
      <c r="V1294">
        <f t="shared" ca="1" si="651"/>
        <v>1</v>
      </c>
      <c r="W1294">
        <f t="shared" ca="1" si="630"/>
        <v>1.6812012660789586</v>
      </c>
      <c r="X1294">
        <f t="shared" ca="1" si="631"/>
        <v>8.7422465836105854</v>
      </c>
      <c r="Y1294">
        <f t="shared" ca="1" si="632"/>
        <v>1.0210039239310724</v>
      </c>
      <c r="Z1294">
        <f t="shared" ca="1" si="633"/>
        <v>5.8280213801699281</v>
      </c>
      <c r="AA1294">
        <f t="shared" ca="1" si="634"/>
        <v>633.62870126607891</v>
      </c>
      <c r="AB1294">
        <f t="shared" ca="1" si="635"/>
        <v>635.35988542549364</v>
      </c>
      <c r="AC1294">
        <f t="shared" ca="1" si="636"/>
        <v>7.4334126518649721E-3</v>
      </c>
      <c r="AD1294">
        <f t="shared" ca="1" si="637"/>
        <v>1.4350822023652303</v>
      </c>
      <c r="AE1294">
        <f t="shared" ca="1" si="638"/>
        <v>37.617615618859361</v>
      </c>
      <c r="AF1294">
        <f t="shared" ca="1" si="639"/>
        <v>6.9259792392131203E-3</v>
      </c>
      <c r="AG1294">
        <f t="shared" ca="1" si="640"/>
        <v>0</v>
      </c>
      <c r="AH1294">
        <f ca="1">IFERROR(IF(V32="Supercritical",MAX($D$16,IFERROR(L1294,MAX($D$16,POWER((ABS(K1294)^2)/($I$5*MAX(F1294,0.1)^2),1/3)))),IF(V32="Subcritical",MAX($D$16,IFERROR(W1294,MAX($D$16,POWER((ABS(K1294)^2)/($I$5*MAX(F1294,0.1)^2),1/3)))),IF(AND(IFERROR(V1294,0)=1,IFERROR(AG1294,0)=1),IF(IFERROR(T1294,-1E+99)&gt;=IFERROR(AE1294,-1E+99),MAX($D$16,IFERROR(L1294,MAX($D$16,POWER((ABS(K1294)^2)/($I$5*MAX(F1294,0.1)^2),1/3)))),MAX($D$16,IFERROR(W1294,MAX($D$16,POWER((ABS(K1294)^2)/($I$5*MAX(F1294,0.1)^2),1/3))))),IF(IFERROR(V1294,0)=1,MAX($D$16,IFERROR(L1294,MAX($D$16,POWER((ABS(K1294)^2)/($I$5*MAX(F1294,0.1)^2),1/3)))),IF(IFERROR(AG1294,0)=1,MAX($D$16,IFERROR(W1294,MAX($D$16,POWER((ABS(K1294)^2)/($I$5*MAX(F1294,0.1)^2),1/3)))),MAX($D$16,POWER((ABS(K1294)^2)/($I$5*MAX(F1294,0.1)^2),1/3))))))),MAX($D$16,POWER((ABS(K1294)^2)/($I$5*MAX(F1294,0.1)^2),1/3)))</f>
        <v>2.1389677043987478</v>
      </c>
      <c r="AI1294">
        <f t="shared" ca="1" si="641"/>
        <v>634.08646770439873</v>
      </c>
      <c r="AJ1294">
        <f t="shared" ca="1" si="642"/>
        <v>635.1559515565981</v>
      </c>
      <c r="AM1294">
        <v>0</v>
      </c>
      <c r="AN1294">
        <v>0</v>
      </c>
      <c r="AO1294">
        <f t="shared" si="643"/>
        <v>0</v>
      </c>
      <c r="AP1294">
        <f t="shared" si="652"/>
        <v>0</v>
      </c>
      <c r="AQ1294">
        <f t="shared" ca="1" si="644"/>
        <v>1.0000000000000004</v>
      </c>
      <c r="AR1294" t="str">
        <f t="shared" ca="1" si="645"/>
        <v>Supercritical</v>
      </c>
      <c r="AS1294">
        <f t="shared" ca="1" si="646"/>
        <v>3.8141460404132466E-3</v>
      </c>
    </row>
    <row r="1295" spans="1:45" x14ac:dyDescent="0.35">
      <c r="A1295">
        <v>1234</v>
      </c>
      <c r="B1295">
        <v>1232.9949999999999</v>
      </c>
      <c r="C1295">
        <v>616071.44700000004</v>
      </c>
      <c r="D1295">
        <v>3096774.2650000001</v>
      </c>
      <c r="E1295">
        <v>631.947</v>
      </c>
      <c r="F1295">
        <v>5.2</v>
      </c>
      <c r="G1295">
        <v>0</v>
      </c>
      <c r="H1295" t="s">
        <v>154</v>
      </c>
      <c r="I1295">
        <v>0</v>
      </c>
      <c r="J1295">
        <f t="shared" si="647"/>
        <v>0.99899999999979627</v>
      </c>
      <c r="K1295">
        <f t="shared" ca="1" si="648"/>
        <v>50.95</v>
      </c>
      <c r="L1295">
        <f t="shared" ca="1" si="649"/>
        <v>2.1389677043987478</v>
      </c>
      <c r="M1295">
        <f t="shared" ca="1" si="622"/>
        <v>11.122632062873489</v>
      </c>
      <c r="N1295">
        <f t="shared" ca="1" si="623"/>
        <v>1.1735290000551568</v>
      </c>
      <c r="O1295">
        <f t="shared" ca="1" si="624"/>
        <v>4.5807502857230418</v>
      </c>
      <c r="P1295">
        <f t="shared" ca="1" si="625"/>
        <v>634.08596770439874</v>
      </c>
      <c r="Q1295">
        <f t="shared" ca="1" si="626"/>
        <v>635.15545155659811</v>
      </c>
      <c r="R1295">
        <f t="shared" ca="1" si="627"/>
        <v>3.8141460404132466E-3</v>
      </c>
      <c r="S1295">
        <f t="shared" ca="1" si="628"/>
        <v>1.0000000000000004</v>
      </c>
      <c r="T1295">
        <f t="shared" ca="1" si="629"/>
        <v>35.686426155594638</v>
      </c>
      <c r="U1295">
        <f t="shared" ca="1" si="650"/>
        <v>-3.3103318943403792E-3</v>
      </c>
      <c r="V1295">
        <f t="shared" ca="1" si="651"/>
        <v>1</v>
      </c>
      <c r="W1295">
        <f t="shared" ca="1" si="630"/>
        <v>1.6812012656866708</v>
      </c>
      <c r="X1295">
        <f t="shared" ca="1" si="631"/>
        <v>8.7422465815706882</v>
      </c>
      <c r="Y1295">
        <f t="shared" ca="1" si="632"/>
        <v>1.0210039237863886</v>
      </c>
      <c r="Z1295">
        <f t="shared" ca="1" si="633"/>
        <v>5.8280213815298261</v>
      </c>
      <c r="AA1295">
        <f t="shared" ca="1" si="634"/>
        <v>633.6282012656867</v>
      </c>
      <c r="AB1295">
        <f t="shared" ca="1" si="635"/>
        <v>635.35938542590941</v>
      </c>
      <c r="AC1295">
        <f t="shared" ca="1" si="636"/>
        <v>7.4334126567384565E-3</v>
      </c>
      <c r="AD1295">
        <f t="shared" ca="1" si="637"/>
        <v>1.4350822028675188</v>
      </c>
      <c r="AE1295">
        <f t="shared" ca="1" si="638"/>
        <v>37.617615622492757</v>
      </c>
      <c r="AF1295">
        <f t="shared" ca="1" si="639"/>
        <v>7.0978751519987782E-3</v>
      </c>
      <c r="AG1295">
        <f t="shared" ca="1" si="640"/>
        <v>0</v>
      </c>
      <c r="AH1295">
        <f ca="1">IFERROR(IF(V32="Supercritical",MAX($D$16,IFERROR(L1295,MAX($D$16,POWER((ABS(K1295)^2)/($I$5*MAX(F1295,0.1)^2),1/3)))),IF(V32="Subcritical",MAX($D$16,IFERROR(W1295,MAX($D$16,POWER((ABS(K1295)^2)/($I$5*MAX(F1295,0.1)^2),1/3)))),IF(AND(IFERROR(V1295,0)=1,IFERROR(AG1295,0)=1),IF(IFERROR(T1295,-1E+99)&gt;=IFERROR(AE1295,-1E+99),MAX($D$16,IFERROR(L1295,MAX($D$16,POWER((ABS(K1295)^2)/($I$5*MAX(F1295,0.1)^2),1/3)))),MAX($D$16,IFERROR(W1295,MAX($D$16,POWER((ABS(K1295)^2)/($I$5*MAX(F1295,0.1)^2),1/3))))),IF(IFERROR(V1295,0)=1,MAX($D$16,IFERROR(L1295,MAX($D$16,POWER((ABS(K1295)^2)/($I$5*MAX(F1295,0.1)^2),1/3)))),IF(IFERROR(AG1295,0)=1,MAX($D$16,IFERROR(W1295,MAX($D$16,POWER((ABS(K1295)^2)/($I$5*MAX(F1295,0.1)^2),1/3)))),MAX($D$16,POWER((ABS(K1295)^2)/($I$5*MAX(F1295,0.1)^2),1/3))))))),MAX($D$16,POWER((ABS(K1295)^2)/($I$5*MAX(F1295,0.1)^2),1/3)))</f>
        <v>2.1389677043987478</v>
      </c>
      <c r="AI1295">
        <f t="shared" ca="1" si="641"/>
        <v>634.08596770439874</v>
      </c>
      <c r="AJ1295">
        <f t="shared" ca="1" si="642"/>
        <v>635.15545155659811</v>
      </c>
      <c r="AM1295">
        <v>0</v>
      </c>
      <c r="AN1295">
        <v>0</v>
      </c>
      <c r="AO1295">
        <f t="shared" si="643"/>
        <v>0</v>
      </c>
      <c r="AP1295">
        <f t="shared" si="652"/>
        <v>0</v>
      </c>
      <c r="AQ1295">
        <f t="shared" ca="1" si="644"/>
        <v>1.0000000000000004</v>
      </c>
      <c r="AR1295" t="str">
        <f t="shared" ca="1" si="645"/>
        <v>Supercritical</v>
      </c>
      <c r="AS1295">
        <f t="shared" ca="1" si="646"/>
        <v>3.8141460404132466E-3</v>
      </c>
    </row>
    <row r="1296" spans="1:45" x14ac:dyDescent="0.35">
      <c r="A1296">
        <v>1235</v>
      </c>
      <c r="B1296">
        <v>1233.9949999999999</v>
      </c>
      <c r="C1296">
        <v>616071.40500000003</v>
      </c>
      <c r="D1296">
        <v>3096773.2659999998</v>
      </c>
      <c r="E1296">
        <v>631.94650000000001</v>
      </c>
      <c r="F1296">
        <v>5.2</v>
      </c>
      <c r="G1296">
        <v>0</v>
      </c>
      <c r="H1296" t="s">
        <v>154</v>
      </c>
      <c r="I1296">
        <v>5.7000000000000002E-2</v>
      </c>
      <c r="J1296">
        <f t="shared" si="647"/>
        <v>1</v>
      </c>
      <c r="K1296">
        <f t="shared" ca="1" si="648"/>
        <v>50.95</v>
      </c>
      <c r="L1296">
        <f t="shared" ca="1" si="649"/>
        <v>2.1389677043987478</v>
      </c>
      <c r="M1296">
        <f t="shared" ca="1" si="622"/>
        <v>11.122632062873489</v>
      </c>
      <c r="N1296">
        <f t="shared" ca="1" si="623"/>
        <v>1.1735290000551568</v>
      </c>
      <c r="O1296">
        <f t="shared" ca="1" si="624"/>
        <v>4.5807502857230418</v>
      </c>
      <c r="P1296">
        <f t="shared" ca="1" si="625"/>
        <v>634.08546770439875</v>
      </c>
      <c r="Q1296">
        <f t="shared" ca="1" si="626"/>
        <v>635.15495155659812</v>
      </c>
      <c r="R1296">
        <f t="shared" ca="1" si="627"/>
        <v>3.8141460404132466E-3</v>
      </c>
      <c r="S1296">
        <f t="shared" ca="1" si="628"/>
        <v>1.0000000000000004</v>
      </c>
      <c r="T1296">
        <f t="shared" ca="1" si="629"/>
        <v>35.686426155594638</v>
      </c>
      <c r="U1296">
        <f t="shared" ca="1" si="650"/>
        <v>-3.4157470064428708E-3</v>
      </c>
      <c r="V1296">
        <f t="shared" ca="1" si="651"/>
        <v>1</v>
      </c>
      <c r="W1296">
        <f t="shared" ca="1" si="630"/>
        <v>1.6812012653200308</v>
      </c>
      <c r="X1296">
        <f t="shared" ca="1" si="631"/>
        <v>8.74224657966416</v>
      </c>
      <c r="Y1296">
        <f t="shared" ca="1" si="632"/>
        <v>1.0210039236511641</v>
      </c>
      <c r="Z1296">
        <f t="shared" ca="1" si="633"/>
        <v>5.8280213828008138</v>
      </c>
      <c r="AA1296">
        <f t="shared" ca="1" si="634"/>
        <v>633.62770126532007</v>
      </c>
      <c r="AB1296">
        <f t="shared" ca="1" si="635"/>
        <v>635.35888542629777</v>
      </c>
      <c r="AC1296">
        <f t="shared" ca="1" si="636"/>
        <v>7.433412661293313E-3</v>
      </c>
      <c r="AD1296">
        <f t="shared" ca="1" si="637"/>
        <v>1.4350822033369679</v>
      </c>
      <c r="AE1296">
        <f t="shared" ca="1" si="638"/>
        <v>37.617615625888604</v>
      </c>
      <c r="AF1296">
        <f t="shared" ca="1" si="639"/>
        <v>7.0978751565462517E-3</v>
      </c>
      <c r="AG1296">
        <f t="shared" ca="1" si="640"/>
        <v>0</v>
      </c>
      <c r="AH1296">
        <f ca="1">IFERROR(IF(V32="Supercritical",MAX($D$16,IFERROR(L1296,MAX($D$16,POWER((ABS(K1296)^2)/($I$5*MAX(F1296,0.1)^2),1/3)))),IF(V32="Subcritical",MAX($D$16,IFERROR(W1296,MAX($D$16,POWER((ABS(K1296)^2)/($I$5*MAX(F1296,0.1)^2),1/3)))),IF(AND(IFERROR(V1296,0)=1,IFERROR(AG1296,0)=1),IF(IFERROR(T1296,-1E+99)&gt;=IFERROR(AE1296,-1E+99),MAX($D$16,IFERROR(L1296,MAX($D$16,POWER((ABS(K1296)^2)/($I$5*MAX(F1296,0.1)^2),1/3)))),MAX($D$16,IFERROR(W1296,MAX($D$16,POWER((ABS(K1296)^2)/($I$5*MAX(F1296,0.1)^2),1/3))))),IF(IFERROR(V1296,0)=1,MAX($D$16,IFERROR(L1296,MAX($D$16,POWER((ABS(K1296)^2)/($I$5*MAX(F1296,0.1)^2),1/3)))),IF(IFERROR(AG1296,0)=1,MAX($D$16,IFERROR(W1296,MAX($D$16,POWER((ABS(K1296)^2)/($I$5*MAX(F1296,0.1)^2),1/3)))),MAX($D$16,POWER((ABS(K1296)^2)/($I$5*MAX(F1296,0.1)^2),1/3))))))),MAX($D$16,POWER((ABS(K1296)^2)/($I$5*MAX(F1296,0.1)^2),1/3)))</f>
        <v>2.1389677043987478</v>
      </c>
      <c r="AI1296">
        <f t="shared" ca="1" si="641"/>
        <v>634.08546770439875</v>
      </c>
      <c r="AJ1296">
        <f t="shared" ca="1" si="642"/>
        <v>635.15495155659812</v>
      </c>
      <c r="AM1296">
        <v>0</v>
      </c>
      <c r="AN1296">
        <v>0</v>
      </c>
      <c r="AO1296">
        <f t="shared" si="643"/>
        <v>0</v>
      </c>
      <c r="AP1296">
        <f t="shared" si="652"/>
        <v>0</v>
      </c>
      <c r="AQ1296">
        <f t="shared" ca="1" si="644"/>
        <v>1.0000000000000004</v>
      </c>
      <c r="AR1296" t="str">
        <f t="shared" ca="1" si="645"/>
        <v>Supercritical</v>
      </c>
      <c r="AS1296">
        <f t="shared" ca="1" si="646"/>
        <v>3.8141460404132466E-3</v>
      </c>
    </row>
    <row r="1297" spans="1:45" x14ac:dyDescent="0.35">
      <c r="A1297">
        <v>1236</v>
      </c>
      <c r="B1297">
        <v>1234.9949999999999</v>
      </c>
      <c r="C1297">
        <v>616071.36199999996</v>
      </c>
      <c r="D1297">
        <v>3096772.267</v>
      </c>
      <c r="E1297">
        <v>631.94600000000003</v>
      </c>
      <c r="F1297">
        <v>5.2</v>
      </c>
      <c r="G1297">
        <v>0</v>
      </c>
      <c r="H1297" t="s">
        <v>154</v>
      </c>
      <c r="I1297">
        <v>5.7000000000000002E-2</v>
      </c>
      <c r="J1297">
        <f t="shared" si="647"/>
        <v>1</v>
      </c>
      <c r="K1297">
        <f t="shared" ca="1" si="648"/>
        <v>50.95</v>
      </c>
      <c r="L1297">
        <f t="shared" ca="1" si="649"/>
        <v>2.1389677043987478</v>
      </c>
      <c r="M1297">
        <f t="shared" ca="1" si="622"/>
        <v>11.122632062873489</v>
      </c>
      <c r="N1297">
        <f t="shared" ca="1" si="623"/>
        <v>1.1735290000551568</v>
      </c>
      <c r="O1297">
        <f t="shared" ca="1" si="624"/>
        <v>4.5807502857230418</v>
      </c>
      <c r="P1297">
        <f t="shared" ca="1" si="625"/>
        <v>634.08496770439876</v>
      </c>
      <c r="Q1297">
        <f t="shared" ca="1" si="626"/>
        <v>635.15445155659813</v>
      </c>
      <c r="R1297">
        <f t="shared" ca="1" si="627"/>
        <v>3.8141460404132466E-3</v>
      </c>
      <c r="S1297">
        <f t="shared" ca="1" si="628"/>
        <v>1.0000000000000004</v>
      </c>
      <c r="T1297">
        <f t="shared" ca="1" si="629"/>
        <v>35.686426155594638</v>
      </c>
      <c r="U1297">
        <f t="shared" ca="1" si="650"/>
        <v>-3.4157470064428708E-3</v>
      </c>
      <c r="V1297">
        <f t="shared" ca="1" si="651"/>
        <v>1</v>
      </c>
      <c r="W1297">
        <f t="shared" ca="1" si="630"/>
        <v>1.681201264977316</v>
      </c>
      <c r="X1297">
        <f t="shared" ca="1" si="631"/>
        <v>8.7422465778820442</v>
      </c>
      <c r="Y1297">
        <f t="shared" ca="1" si="632"/>
        <v>1.0210039235247639</v>
      </c>
      <c r="Z1297">
        <f t="shared" ca="1" si="633"/>
        <v>5.8280213839888617</v>
      </c>
      <c r="AA1297">
        <f t="shared" ca="1" si="634"/>
        <v>633.62720126497732</v>
      </c>
      <c r="AB1297">
        <f t="shared" ca="1" si="635"/>
        <v>635.3583854266609</v>
      </c>
      <c r="AC1297">
        <f t="shared" ca="1" si="636"/>
        <v>7.4334126655509376E-3</v>
      </c>
      <c r="AD1297">
        <f t="shared" ca="1" si="637"/>
        <v>1.4350822037757822</v>
      </c>
      <c r="AE1297">
        <f t="shared" ca="1" si="638"/>
        <v>37.617615629062847</v>
      </c>
      <c r="AF1297">
        <f t="shared" ca="1" si="639"/>
        <v>6.9391832794281072E-3</v>
      </c>
      <c r="AG1297">
        <f t="shared" ca="1" si="640"/>
        <v>0</v>
      </c>
      <c r="AH1297">
        <f ca="1">IFERROR(IF(V32="Supercritical",MAX($D$16,IFERROR(L1297,MAX($D$16,POWER((ABS(K1297)^2)/($I$5*MAX(F1297,0.1)^2),1/3)))),IF(V32="Subcritical",MAX($D$16,IFERROR(W1297,MAX($D$16,POWER((ABS(K1297)^2)/($I$5*MAX(F1297,0.1)^2),1/3)))),IF(AND(IFERROR(V1297,0)=1,IFERROR(AG1297,0)=1),IF(IFERROR(T1297,-1E+99)&gt;=IFERROR(AE1297,-1E+99),MAX($D$16,IFERROR(L1297,MAX($D$16,POWER((ABS(K1297)^2)/($I$5*MAX(F1297,0.1)^2),1/3)))),MAX($D$16,IFERROR(W1297,MAX($D$16,POWER((ABS(K1297)^2)/($I$5*MAX(F1297,0.1)^2),1/3))))),IF(IFERROR(V1297,0)=1,MAX($D$16,IFERROR(L1297,MAX($D$16,POWER((ABS(K1297)^2)/($I$5*MAX(F1297,0.1)^2),1/3)))),IF(IFERROR(AG1297,0)=1,MAX($D$16,IFERROR(W1297,MAX($D$16,POWER((ABS(K1297)^2)/($I$5*MAX(F1297,0.1)^2),1/3)))),MAX($D$16,POWER((ABS(K1297)^2)/($I$5*MAX(F1297,0.1)^2),1/3))))))),MAX($D$16,POWER((ABS(K1297)^2)/($I$5*MAX(F1297,0.1)^2),1/3)))</f>
        <v>2.1389677043987478</v>
      </c>
      <c r="AI1297">
        <f t="shared" ca="1" si="641"/>
        <v>634.08496770439876</v>
      </c>
      <c r="AJ1297">
        <f t="shared" ca="1" si="642"/>
        <v>635.15445155659813</v>
      </c>
      <c r="AM1297">
        <v>0</v>
      </c>
      <c r="AN1297">
        <v>0</v>
      </c>
      <c r="AO1297">
        <f t="shared" si="643"/>
        <v>0</v>
      </c>
      <c r="AP1297">
        <f t="shared" si="652"/>
        <v>0</v>
      </c>
      <c r="AQ1297">
        <f t="shared" ca="1" si="644"/>
        <v>1.0000000000000004</v>
      </c>
      <c r="AR1297" t="str">
        <f t="shared" ca="1" si="645"/>
        <v>Supercritical</v>
      </c>
      <c r="AS1297">
        <f t="shared" ca="1" si="646"/>
        <v>3.8141460404132466E-3</v>
      </c>
    </row>
    <row r="1298" spans="1:45" x14ac:dyDescent="0.35">
      <c r="A1298">
        <v>1237</v>
      </c>
      <c r="B1298">
        <v>1235.9949999999999</v>
      </c>
      <c r="C1298">
        <v>616071.31999999995</v>
      </c>
      <c r="D1298">
        <v>3096771.2680000002</v>
      </c>
      <c r="E1298">
        <v>631.94550000000004</v>
      </c>
      <c r="F1298">
        <v>5.2</v>
      </c>
      <c r="G1298">
        <v>0</v>
      </c>
      <c r="H1298" t="s">
        <v>154</v>
      </c>
      <c r="I1298">
        <v>2E-3</v>
      </c>
      <c r="J1298">
        <f t="shared" si="647"/>
        <v>1</v>
      </c>
      <c r="K1298">
        <f t="shared" ca="1" si="648"/>
        <v>50.95</v>
      </c>
      <c r="L1298">
        <f t="shared" ca="1" si="649"/>
        <v>2.1389677043987478</v>
      </c>
      <c r="M1298">
        <f t="shared" ca="1" si="622"/>
        <v>11.122632062873489</v>
      </c>
      <c r="N1298">
        <f t="shared" ca="1" si="623"/>
        <v>1.1735290000551568</v>
      </c>
      <c r="O1298">
        <f t="shared" ca="1" si="624"/>
        <v>4.5807502857230418</v>
      </c>
      <c r="P1298">
        <f t="shared" ca="1" si="625"/>
        <v>634.08446770439878</v>
      </c>
      <c r="Q1298">
        <f t="shared" ca="1" si="626"/>
        <v>635.15395155659814</v>
      </c>
      <c r="R1298">
        <f t="shared" ca="1" si="627"/>
        <v>3.8141460404132466E-3</v>
      </c>
      <c r="S1298">
        <f t="shared" ca="1" si="628"/>
        <v>1.0000000000000004</v>
      </c>
      <c r="T1298">
        <f t="shared" ca="1" si="629"/>
        <v>35.686426155594638</v>
      </c>
      <c r="U1298">
        <f t="shared" ca="1" si="650"/>
        <v>-3.3177109866073806E-3</v>
      </c>
      <c r="V1298">
        <f t="shared" ca="1" si="651"/>
        <v>1</v>
      </c>
      <c r="W1298">
        <f t="shared" ca="1" si="630"/>
        <v>1.681201264656992</v>
      </c>
      <c r="X1298">
        <f t="shared" ca="1" si="631"/>
        <v>8.7422465762163597</v>
      </c>
      <c r="Y1298">
        <f t="shared" ca="1" si="632"/>
        <v>1.0210039234066217</v>
      </c>
      <c r="Z1298">
        <f t="shared" ca="1" si="633"/>
        <v>5.8280213850992908</v>
      </c>
      <c r="AA1298">
        <f t="shared" ca="1" si="634"/>
        <v>633.62670126465707</v>
      </c>
      <c r="AB1298">
        <f t="shared" ca="1" si="635"/>
        <v>635.35788542700038</v>
      </c>
      <c r="AC1298">
        <f t="shared" ca="1" si="636"/>
        <v>7.433412669530402E-3</v>
      </c>
      <c r="AD1298">
        <f t="shared" ca="1" si="637"/>
        <v>1.4350822041859275</v>
      </c>
      <c r="AE1298">
        <f t="shared" ca="1" si="638"/>
        <v>37.617615632029711</v>
      </c>
      <c r="AF1298">
        <f t="shared" ca="1" si="639"/>
        <v>6.9466166960410192E-3</v>
      </c>
      <c r="AG1298">
        <f t="shared" ca="1" si="640"/>
        <v>0</v>
      </c>
      <c r="AH1298">
        <f ca="1">IFERROR(IF(V32="Supercritical",MAX($D$16,IFERROR(L1298,MAX($D$16,POWER((ABS(K1298)^2)/($I$5*MAX(F1298,0.1)^2),1/3)))),IF(V32="Subcritical",MAX($D$16,IFERROR(W1298,MAX($D$16,POWER((ABS(K1298)^2)/($I$5*MAX(F1298,0.1)^2),1/3)))),IF(AND(IFERROR(V1298,0)=1,IFERROR(AG1298,0)=1),IF(IFERROR(T1298,-1E+99)&gt;=IFERROR(AE1298,-1E+99),MAX($D$16,IFERROR(L1298,MAX($D$16,POWER((ABS(K1298)^2)/($I$5*MAX(F1298,0.1)^2),1/3)))),MAX($D$16,IFERROR(W1298,MAX($D$16,POWER((ABS(K1298)^2)/($I$5*MAX(F1298,0.1)^2),1/3))))),IF(IFERROR(V1298,0)=1,MAX($D$16,IFERROR(L1298,MAX($D$16,POWER((ABS(K1298)^2)/($I$5*MAX(F1298,0.1)^2),1/3)))),IF(IFERROR(AG1298,0)=1,MAX($D$16,IFERROR(W1298,MAX($D$16,POWER((ABS(K1298)^2)/($I$5*MAX(F1298,0.1)^2),1/3)))),MAX($D$16,POWER((ABS(K1298)^2)/($I$5*MAX(F1298,0.1)^2),1/3))))))),MAX($D$16,POWER((ABS(K1298)^2)/($I$5*MAX(F1298,0.1)^2),1/3)))</f>
        <v>2.1389677043987478</v>
      </c>
      <c r="AI1298">
        <f t="shared" ca="1" si="641"/>
        <v>634.08446770439878</v>
      </c>
      <c r="AJ1298">
        <f t="shared" ca="1" si="642"/>
        <v>635.15395155659814</v>
      </c>
      <c r="AM1298">
        <v>0</v>
      </c>
      <c r="AN1298">
        <v>0</v>
      </c>
      <c r="AO1298">
        <f t="shared" si="643"/>
        <v>0</v>
      </c>
      <c r="AP1298">
        <f t="shared" si="652"/>
        <v>0</v>
      </c>
      <c r="AQ1298">
        <f t="shared" ca="1" si="644"/>
        <v>1.0000000000000004</v>
      </c>
      <c r="AR1298" t="str">
        <f t="shared" ca="1" si="645"/>
        <v>Supercritical</v>
      </c>
      <c r="AS1298">
        <f t="shared" ca="1" si="646"/>
        <v>3.8141460404132466E-3</v>
      </c>
    </row>
    <row r="1299" spans="1:45" x14ac:dyDescent="0.35">
      <c r="A1299">
        <v>1238</v>
      </c>
      <c r="B1299">
        <v>1236.9960000000001</v>
      </c>
      <c r="C1299">
        <v>616071.27800000005</v>
      </c>
      <c r="D1299">
        <v>3096770.2680000002</v>
      </c>
      <c r="E1299">
        <v>631.94500000000005</v>
      </c>
      <c r="F1299">
        <v>5.2</v>
      </c>
      <c r="G1299">
        <v>0</v>
      </c>
      <c r="H1299" t="s">
        <v>154</v>
      </c>
      <c r="I1299">
        <v>2E-3</v>
      </c>
      <c r="J1299">
        <f t="shared" si="647"/>
        <v>1.0010000000002037</v>
      </c>
      <c r="K1299">
        <f t="shared" ca="1" si="648"/>
        <v>50.95</v>
      </c>
      <c r="L1299">
        <f t="shared" ca="1" si="649"/>
        <v>2.1389677043987478</v>
      </c>
      <c r="M1299">
        <f t="shared" ca="1" si="622"/>
        <v>11.122632062873489</v>
      </c>
      <c r="N1299">
        <f t="shared" ca="1" si="623"/>
        <v>1.1735290000551568</v>
      </c>
      <c r="O1299">
        <f t="shared" ca="1" si="624"/>
        <v>4.5807502857230418</v>
      </c>
      <c r="P1299">
        <f t="shared" ca="1" si="625"/>
        <v>634.08396770439879</v>
      </c>
      <c r="Q1299">
        <f t="shared" ca="1" si="626"/>
        <v>635.15345155659816</v>
      </c>
      <c r="R1299">
        <f t="shared" ca="1" si="627"/>
        <v>3.8141460404132466E-3</v>
      </c>
      <c r="S1299">
        <f t="shared" ca="1" si="628"/>
        <v>1.0000000000000004</v>
      </c>
      <c r="T1299">
        <f t="shared" ca="1" si="629"/>
        <v>35.686426155594638</v>
      </c>
      <c r="U1299">
        <f t="shared" ca="1" si="650"/>
        <v>-3.3215251326055295E-3</v>
      </c>
      <c r="V1299">
        <f t="shared" ca="1" si="651"/>
        <v>1</v>
      </c>
      <c r="W1299">
        <f t="shared" ca="1" si="630"/>
        <v>1.681201264357592</v>
      </c>
      <c r="X1299">
        <f t="shared" ca="1" si="631"/>
        <v>8.7422465746594789</v>
      </c>
      <c r="Y1299">
        <f t="shared" ca="1" si="632"/>
        <v>1.0210039232961967</v>
      </c>
      <c r="Z1299">
        <f t="shared" ca="1" si="633"/>
        <v>5.8280213861371859</v>
      </c>
      <c r="AA1299">
        <f t="shared" ca="1" si="634"/>
        <v>633.62620126435763</v>
      </c>
      <c r="AB1299">
        <f t="shared" ca="1" si="635"/>
        <v>635.35738542731747</v>
      </c>
      <c r="AC1299">
        <f t="shared" ca="1" si="636"/>
        <v>7.4334126732499232E-3</v>
      </c>
      <c r="AD1299">
        <f t="shared" ca="1" si="637"/>
        <v>1.4350822045692817</v>
      </c>
      <c r="AE1299">
        <f t="shared" ca="1" si="638"/>
        <v>37.617615634802775</v>
      </c>
      <c r="AF1299">
        <f t="shared" ca="1" si="639"/>
        <v>7.0978751685970565E-3</v>
      </c>
      <c r="AG1299">
        <f t="shared" ca="1" si="640"/>
        <v>0</v>
      </c>
      <c r="AH1299">
        <f ca="1">IFERROR(IF(V32="Supercritical",MAX($D$16,IFERROR(L1299,MAX($D$16,POWER((ABS(K1299)^2)/($I$5*MAX(F1299,0.1)^2),1/3)))),IF(V32="Subcritical",MAX($D$16,IFERROR(W1299,MAX($D$16,POWER((ABS(K1299)^2)/($I$5*MAX(F1299,0.1)^2),1/3)))),IF(AND(IFERROR(V1299,0)=1,IFERROR(AG1299,0)=1),IF(IFERROR(T1299,-1E+99)&gt;=IFERROR(AE1299,-1E+99),MAX($D$16,IFERROR(L1299,MAX($D$16,POWER((ABS(K1299)^2)/($I$5*MAX(F1299,0.1)^2),1/3)))),MAX($D$16,IFERROR(W1299,MAX($D$16,POWER((ABS(K1299)^2)/($I$5*MAX(F1299,0.1)^2),1/3))))),IF(IFERROR(V1299,0)=1,MAX($D$16,IFERROR(L1299,MAX($D$16,POWER((ABS(K1299)^2)/($I$5*MAX(F1299,0.1)^2),1/3)))),IF(IFERROR(AG1299,0)=1,MAX($D$16,IFERROR(W1299,MAX($D$16,POWER((ABS(K1299)^2)/($I$5*MAX(F1299,0.1)^2),1/3)))),MAX($D$16,POWER((ABS(K1299)^2)/($I$5*MAX(F1299,0.1)^2),1/3))))))),MAX($D$16,POWER((ABS(K1299)^2)/($I$5*MAX(F1299,0.1)^2),1/3)))</f>
        <v>2.1389677043987478</v>
      </c>
      <c r="AI1299">
        <f t="shared" ca="1" si="641"/>
        <v>634.08396770439879</v>
      </c>
      <c r="AJ1299">
        <f t="shared" ca="1" si="642"/>
        <v>635.15345155659816</v>
      </c>
      <c r="AM1299">
        <v>0</v>
      </c>
      <c r="AN1299">
        <v>0</v>
      </c>
      <c r="AO1299">
        <f t="shared" si="643"/>
        <v>0</v>
      </c>
      <c r="AP1299">
        <f t="shared" si="652"/>
        <v>0</v>
      </c>
      <c r="AQ1299">
        <f t="shared" ca="1" si="644"/>
        <v>1.0000000000000004</v>
      </c>
      <c r="AR1299" t="str">
        <f t="shared" ca="1" si="645"/>
        <v>Supercritical</v>
      </c>
      <c r="AS1299">
        <f t="shared" ca="1" si="646"/>
        <v>3.8141460404132466E-3</v>
      </c>
    </row>
    <row r="1300" spans="1:45" x14ac:dyDescent="0.35">
      <c r="A1300">
        <v>1239</v>
      </c>
      <c r="B1300">
        <v>1237.9960000000001</v>
      </c>
      <c r="C1300">
        <v>616071.23600000003</v>
      </c>
      <c r="D1300">
        <v>3096769.2689999999</v>
      </c>
      <c r="E1300">
        <v>631.94449999999995</v>
      </c>
      <c r="F1300">
        <v>5.2</v>
      </c>
      <c r="G1300">
        <v>0</v>
      </c>
      <c r="H1300" t="s">
        <v>154</v>
      </c>
      <c r="I1300">
        <v>5.7000000000000002E-2</v>
      </c>
      <c r="J1300">
        <f t="shared" si="647"/>
        <v>1</v>
      </c>
      <c r="K1300">
        <f t="shared" ca="1" si="648"/>
        <v>50.95</v>
      </c>
      <c r="L1300">
        <f t="shared" ca="1" si="649"/>
        <v>2.1389677043987478</v>
      </c>
      <c r="M1300">
        <f t="shared" ca="1" si="622"/>
        <v>11.122632062873489</v>
      </c>
      <c r="N1300">
        <f t="shared" ca="1" si="623"/>
        <v>1.1735290000551568</v>
      </c>
      <c r="O1300">
        <f t="shared" ca="1" si="624"/>
        <v>4.5807502857230418</v>
      </c>
      <c r="P1300">
        <f t="shared" ca="1" si="625"/>
        <v>634.08346770439869</v>
      </c>
      <c r="Q1300">
        <f t="shared" ca="1" si="626"/>
        <v>635.15295155659805</v>
      </c>
      <c r="R1300">
        <f t="shared" ca="1" si="627"/>
        <v>3.8141460404132466E-3</v>
      </c>
      <c r="S1300">
        <f t="shared" ca="1" si="628"/>
        <v>1.0000000000000004</v>
      </c>
      <c r="T1300">
        <f t="shared" ca="1" si="629"/>
        <v>35.686426155594638</v>
      </c>
      <c r="U1300">
        <f t="shared" ca="1" si="650"/>
        <v>-3.4157470063291839E-3</v>
      </c>
      <c r="V1300">
        <f t="shared" ca="1" si="651"/>
        <v>1</v>
      </c>
      <c r="W1300">
        <f t="shared" ca="1" si="630"/>
        <v>1.6812012640777347</v>
      </c>
      <c r="X1300">
        <f t="shared" ca="1" si="631"/>
        <v>8.7422465732042216</v>
      </c>
      <c r="Y1300">
        <f t="shared" ca="1" si="632"/>
        <v>1.0210039231929795</v>
      </c>
      <c r="Z1300">
        <f t="shared" ca="1" si="633"/>
        <v>5.8280213871073334</v>
      </c>
      <c r="AA1300">
        <f t="shared" ca="1" si="634"/>
        <v>633.62570126407763</v>
      </c>
      <c r="AB1300">
        <f t="shared" ca="1" si="635"/>
        <v>635.35688542761386</v>
      </c>
      <c r="AC1300">
        <f t="shared" ca="1" si="636"/>
        <v>7.4334126767266542E-3</v>
      </c>
      <c r="AD1300">
        <f t="shared" ca="1" si="637"/>
        <v>1.4350822049276131</v>
      </c>
      <c r="AE1300">
        <f t="shared" ca="1" si="638"/>
        <v>37.617615637394827</v>
      </c>
      <c r="AF1300">
        <f t="shared" ca="1" si="639"/>
        <v>7.0978751722350353E-3</v>
      </c>
      <c r="AG1300">
        <f t="shared" ca="1" si="640"/>
        <v>0</v>
      </c>
      <c r="AH1300">
        <f ca="1">IFERROR(IF(V32="Supercritical",MAX($D$16,IFERROR(L1300,MAX($D$16,POWER((ABS(K1300)^2)/($I$5*MAX(F1300,0.1)^2),1/3)))),IF(V32="Subcritical",MAX($D$16,IFERROR(W1300,MAX($D$16,POWER((ABS(K1300)^2)/($I$5*MAX(F1300,0.1)^2),1/3)))),IF(AND(IFERROR(V1300,0)=1,IFERROR(AG1300,0)=1),IF(IFERROR(T1300,-1E+99)&gt;=IFERROR(AE1300,-1E+99),MAX($D$16,IFERROR(L1300,MAX($D$16,POWER((ABS(K1300)^2)/($I$5*MAX(F1300,0.1)^2),1/3)))),MAX($D$16,IFERROR(W1300,MAX($D$16,POWER((ABS(K1300)^2)/($I$5*MAX(F1300,0.1)^2),1/3))))),IF(IFERROR(V1300,0)=1,MAX($D$16,IFERROR(L1300,MAX($D$16,POWER((ABS(K1300)^2)/($I$5*MAX(F1300,0.1)^2),1/3)))),IF(IFERROR(AG1300,0)=1,MAX($D$16,IFERROR(W1300,MAX($D$16,POWER((ABS(K1300)^2)/($I$5*MAX(F1300,0.1)^2),1/3)))),MAX($D$16,POWER((ABS(K1300)^2)/($I$5*MAX(F1300,0.1)^2),1/3))))))),MAX($D$16,POWER((ABS(K1300)^2)/($I$5*MAX(F1300,0.1)^2),1/3)))</f>
        <v>2.1389677043987478</v>
      </c>
      <c r="AI1300">
        <f t="shared" ca="1" si="641"/>
        <v>634.08346770439869</v>
      </c>
      <c r="AJ1300">
        <f t="shared" ca="1" si="642"/>
        <v>635.15295155659805</v>
      </c>
      <c r="AM1300">
        <v>0</v>
      </c>
      <c r="AN1300">
        <v>0</v>
      </c>
      <c r="AO1300">
        <f t="shared" si="643"/>
        <v>0</v>
      </c>
      <c r="AP1300">
        <f t="shared" si="652"/>
        <v>0</v>
      </c>
      <c r="AQ1300">
        <f t="shared" ca="1" si="644"/>
        <v>1.0000000000000004</v>
      </c>
      <c r="AR1300" t="str">
        <f t="shared" ca="1" si="645"/>
        <v>Supercritical</v>
      </c>
      <c r="AS1300">
        <f t="shared" ca="1" si="646"/>
        <v>3.8141460404132466E-3</v>
      </c>
    </row>
    <row r="1301" spans="1:45" x14ac:dyDescent="0.35">
      <c r="A1301">
        <v>1240</v>
      </c>
      <c r="B1301">
        <v>1238.9960000000001</v>
      </c>
      <c r="C1301">
        <v>616071.19299999997</v>
      </c>
      <c r="D1301">
        <v>3096768.27</v>
      </c>
      <c r="E1301">
        <v>631.94399999999996</v>
      </c>
      <c r="F1301">
        <v>5.2</v>
      </c>
      <c r="G1301">
        <v>0</v>
      </c>
      <c r="H1301" t="s">
        <v>154</v>
      </c>
      <c r="I1301">
        <v>5.7000000000000002E-2</v>
      </c>
      <c r="J1301">
        <f t="shared" si="647"/>
        <v>1</v>
      </c>
      <c r="K1301">
        <f t="shared" ca="1" si="648"/>
        <v>50.95</v>
      </c>
      <c r="L1301">
        <f t="shared" ca="1" si="649"/>
        <v>2.1389677043987478</v>
      </c>
      <c r="M1301">
        <f t="shared" ca="1" si="622"/>
        <v>11.122632062873489</v>
      </c>
      <c r="N1301">
        <f t="shared" ca="1" si="623"/>
        <v>1.1735290000551568</v>
      </c>
      <c r="O1301">
        <f t="shared" ca="1" si="624"/>
        <v>4.5807502857230418</v>
      </c>
      <c r="P1301">
        <f t="shared" ca="1" si="625"/>
        <v>634.0829677043987</v>
      </c>
      <c r="Q1301">
        <f t="shared" ca="1" si="626"/>
        <v>635.15245155659807</v>
      </c>
      <c r="R1301">
        <f t="shared" ca="1" si="627"/>
        <v>3.8141460404132466E-3</v>
      </c>
      <c r="S1301">
        <f t="shared" ca="1" si="628"/>
        <v>1.0000000000000004</v>
      </c>
      <c r="T1301">
        <f t="shared" ca="1" si="629"/>
        <v>35.686426155594638</v>
      </c>
      <c r="U1301">
        <f t="shared" ca="1" si="650"/>
        <v>-3.4157470064428708E-3</v>
      </c>
      <c r="V1301">
        <f t="shared" ca="1" si="651"/>
        <v>1</v>
      </c>
      <c r="W1301">
        <f t="shared" ca="1" si="630"/>
        <v>1.6812012638161584</v>
      </c>
      <c r="X1301">
        <f t="shared" ca="1" si="631"/>
        <v>8.7422465718440243</v>
      </c>
      <c r="Y1301">
        <f t="shared" ca="1" si="632"/>
        <v>1.0210039230965047</v>
      </c>
      <c r="Z1301">
        <f t="shared" ca="1" si="633"/>
        <v>5.8280213880141094</v>
      </c>
      <c r="AA1301">
        <f t="shared" ca="1" si="634"/>
        <v>633.62520126381617</v>
      </c>
      <c r="AB1301">
        <f t="shared" ca="1" si="635"/>
        <v>635.35638542789104</v>
      </c>
      <c r="AC1301">
        <f t="shared" ca="1" si="636"/>
        <v>7.4334126799762822E-3</v>
      </c>
      <c r="AD1301">
        <f t="shared" ca="1" si="637"/>
        <v>1.4350822052625374</v>
      </c>
      <c r="AE1301">
        <f t="shared" ca="1" si="638"/>
        <v>37.617615639817565</v>
      </c>
      <c r="AF1301">
        <f t="shared" ca="1" si="639"/>
        <v>6.9334126800413287E-3</v>
      </c>
      <c r="AG1301">
        <f t="shared" ca="1" si="640"/>
        <v>0</v>
      </c>
      <c r="AH1301">
        <f ca="1">IFERROR(IF(V32="Supercritical",MAX($D$16,IFERROR(L1301,MAX($D$16,POWER((ABS(K1301)^2)/($I$5*MAX(F1301,0.1)^2),1/3)))),IF(V32="Subcritical",MAX($D$16,IFERROR(W1301,MAX($D$16,POWER((ABS(K1301)^2)/($I$5*MAX(F1301,0.1)^2),1/3)))),IF(AND(IFERROR(V1301,0)=1,IFERROR(AG1301,0)=1),IF(IFERROR(T1301,-1E+99)&gt;=IFERROR(AE1301,-1E+99),MAX($D$16,IFERROR(L1301,MAX($D$16,POWER((ABS(K1301)^2)/($I$5*MAX(F1301,0.1)^2),1/3)))),MAX($D$16,IFERROR(W1301,MAX($D$16,POWER((ABS(K1301)^2)/($I$5*MAX(F1301,0.1)^2),1/3))))),IF(IFERROR(V1301,0)=1,MAX($D$16,IFERROR(L1301,MAX($D$16,POWER((ABS(K1301)^2)/($I$5*MAX(F1301,0.1)^2),1/3)))),IF(IFERROR(AG1301,0)=1,MAX($D$16,IFERROR(W1301,MAX($D$16,POWER((ABS(K1301)^2)/($I$5*MAX(F1301,0.1)^2),1/3)))),MAX($D$16,POWER((ABS(K1301)^2)/($I$5*MAX(F1301,0.1)^2),1/3))))))),MAX($D$16,POWER((ABS(K1301)^2)/($I$5*MAX(F1301,0.1)^2),1/3)))</f>
        <v>2.1389677043987478</v>
      </c>
      <c r="AI1301">
        <f t="shared" ca="1" si="641"/>
        <v>634.0829677043987</v>
      </c>
      <c r="AJ1301">
        <f t="shared" ca="1" si="642"/>
        <v>635.15245155659807</v>
      </c>
      <c r="AM1301">
        <v>0</v>
      </c>
      <c r="AN1301">
        <v>0</v>
      </c>
      <c r="AO1301">
        <f t="shared" si="643"/>
        <v>0</v>
      </c>
      <c r="AP1301">
        <f t="shared" si="652"/>
        <v>0</v>
      </c>
      <c r="AQ1301">
        <f t="shared" ca="1" si="644"/>
        <v>1.0000000000000004</v>
      </c>
      <c r="AR1301" t="str">
        <f t="shared" ca="1" si="645"/>
        <v>Supercritical</v>
      </c>
      <c r="AS1301">
        <f t="shared" ca="1" si="646"/>
        <v>3.8141460404132466E-3</v>
      </c>
    </row>
    <row r="1302" spans="1:45" x14ac:dyDescent="0.35">
      <c r="A1302">
        <v>1241</v>
      </c>
      <c r="B1302">
        <v>1239.9960000000001</v>
      </c>
      <c r="C1302">
        <v>616071.15099999995</v>
      </c>
      <c r="D1302">
        <v>3096767.2710000002</v>
      </c>
      <c r="E1302">
        <v>631.94349999999997</v>
      </c>
      <c r="F1302">
        <v>5.2</v>
      </c>
      <c r="G1302">
        <v>0</v>
      </c>
      <c r="H1302" t="s">
        <v>154</v>
      </c>
      <c r="I1302">
        <v>0</v>
      </c>
      <c r="J1302">
        <f t="shared" si="647"/>
        <v>1</v>
      </c>
      <c r="K1302">
        <f t="shared" ca="1" si="648"/>
        <v>50.95</v>
      </c>
      <c r="L1302">
        <f t="shared" ca="1" si="649"/>
        <v>2.1389677043987478</v>
      </c>
      <c r="M1302">
        <f t="shared" ca="1" si="622"/>
        <v>11.122632062873489</v>
      </c>
      <c r="N1302">
        <f t="shared" ca="1" si="623"/>
        <v>1.1735290000551568</v>
      </c>
      <c r="O1302">
        <f t="shared" ca="1" si="624"/>
        <v>4.5807502857230418</v>
      </c>
      <c r="P1302">
        <f t="shared" ca="1" si="625"/>
        <v>634.08246770439871</v>
      </c>
      <c r="Q1302">
        <f t="shared" ca="1" si="626"/>
        <v>635.15195155659808</v>
      </c>
      <c r="R1302">
        <f t="shared" ca="1" si="627"/>
        <v>3.8141460404132466E-3</v>
      </c>
      <c r="S1302">
        <f t="shared" ca="1" si="628"/>
        <v>1.0000000000000004</v>
      </c>
      <c r="T1302">
        <f t="shared" ca="1" si="629"/>
        <v>35.686426155594638</v>
      </c>
      <c r="U1302">
        <f t="shared" ca="1" si="650"/>
        <v>-3.3141460404522149E-3</v>
      </c>
      <c r="V1302">
        <f t="shared" ca="1" si="651"/>
        <v>1</v>
      </c>
      <c r="W1302">
        <f t="shared" ca="1" si="630"/>
        <v>1.6812012635716691</v>
      </c>
      <c r="X1302">
        <f t="shared" ca="1" si="631"/>
        <v>8.7422465705726804</v>
      </c>
      <c r="Y1302">
        <f t="shared" ca="1" si="632"/>
        <v>1.0210039230063321</v>
      </c>
      <c r="Z1302">
        <f t="shared" ca="1" si="633"/>
        <v>5.8280213888616519</v>
      </c>
      <c r="AA1302">
        <f t="shared" ca="1" si="634"/>
        <v>633.62470126357164</v>
      </c>
      <c r="AB1302">
        <f t="shared" ca="1" si="635"/>
        <v>635.35588542815003</v>
      </c>
      <c r="AC1302">
        <f t="shared" ca="1" si="636"/>
        <v>7.4334126830136304E-3</v>
      </c>
      <c r="AD1302">
        <f t="shared" ca="1" si="637"/>
        <v>1.4350822055755836</v>
      </c>
      <c r="AE1302">
        <f t="shared" ca="1" si="638"/>
        <v>37.617615642082043</v>
      </c>
      <c r="AF1302">
        <f t="shared" ca="1" si="639"/>
        <v>6.9334126829971865E-3</v>
      </c>
      <c r="AG1302">
        <f t="shared" ca="1" si="640"/>
        <v>0</v>
      </c>
      <c r="AH1302">
        <f ca="1">IFERROR(IF(V32="Supercritical",MAX($D$16,IFERROR(L1302,MAX($D$16,POWER((ABS(K1302)^2)/($I$5*MAX(F1302,0.1)^2),1/3)))),IF(V32="Subcritical",MAX($D$16,IFERROR(W1302,MAX($D$16,POWER((ABS(K1302)^2)/($I$5*MAX(F1302,0.1)^2),1/3)))),IF(AND(IFERROR(V1302,0)=1,IFERROR(AG1302,0)=1),IF(IFERROR(T1302,-1E+99)&gt;=IFERROR(AE1302,-1E+99),MAX($D$16,IFERROR(L1302,MAX($D$16,POWER((ABS(K1302)^2)/($I$5*MAX(F1302,0.1)^2),1/3)))),MAX($D$16,IFERROR(W1302,MAX($D$16,POWER((ABS(K1302)^2)/($I$5*MAX(F1302,0.1)^2),1/3))))),IF(IFERROR(V1302,0)=1,MAX($D$16,IFERROR(L1302,MAX($D$16,POWER((ABS(K1302)^2)/($I$5*MAX(F1302,0.1)^2),1/3)))),IF(IFERROR(AG1302,0)=1,MAX($D$16,IFERROR(W1302,MAX($D$16,POWER((ABS(K1302)^2)/($I$5*MAX(F1302,0.1)^2),1/3)))),MAX($D$16,POWER((ABS(K1302)^2)/($I$5*MAX(F1302,0.1)^2),1/3))))))),MAX($D$16,POWER((ABS(K1302)^2)/($I$5*MAX(F1302,0.1)^2),1/3)))</f>
        <v>2.1389677043987478</v>
      </c>
      <c r="AI1302">
        <f t="shared" ca="1" si="641"/>
        <v>634.08246770439871</v>
      </c>
      <c r="AJ1302">
        <f t="shared" ca="1" si="642"/>
        <v>635.15195155659808</v>
      </c>
      <c r="AM1302">
        <v>0</v>
      </c>
      <c r="AN1302">
        <v>0</v>
      </c>
      <c r="AO1302">
        <f t="shared" si="643"/>
        <v>0</v>
      </c>
      <c r="AP1302">
        <f t="shared" si="652"/>
        <v>0</v>
      </c>
      <c r="AQ1302">
        <f t="shared" ca="1" si="644"/>
        <v>1.0000000000000004</v>
      </c>
      <c r="AR1302" t="str">
        <f t="shared" ca="1" si="645"/>
        <v>Supercritical</v>
      </c>
      <c r="AS1302">
        <f t="shared" ca="1" si="646"/>
        <v>3.8141460404132466E-3</v>
      </c>
    </row>
    <row r="1303" spans="1:45" x14ac:dyDescent="0.35">
      <c r="A1303">
        <v>1242</v>
      </c>
      <c r="B1303">
        <v>1240.9960000000001</v>
      </c>
      <c r="C1303">
        <v>616071.10900000005</v>
      </c>
      <c r="D1303">
        <v>3096766.2719999999</v>
      </c>
      <c r="E1303">
        <v>631.94299999999998</v>
      </c>
      <c r="F1303">
        <v>5.2</v>
      </c>
      <c r="G1303">
        <v>0</v>
      </c>
      <c r="H1303" t="s">
        <v>154</v>
      </c>
      <c r="I1303">
        <v>0</v>
      </c>
      <c r="J1303">
        <f t="shared" si="647"/>
        <v>1</v>
      </c>
      <c r="K1303">
        <f t="shared" ca="1" si="648"/>
        <v>50.95</v>
      </c>
      <c r="L1303">
        <f t="shared" ca="1" si="649"/>
        <v>2.1389677043987478</v>
      </c>
      <c r="M1303">
        <f t="shared" ca="1" si="622"/>
        <v>11.122632062873489</v>
      </c>
      <c r="N1303">
        <f t="shared" ca="1" si="623"/>
        <v>1.1735290000551568</v>
      </c>
      <c r="O1303">
        <f t="shared" ca="1" si="624"/>
        <v>4.5807502857230418</v>
      </c>
      <c r="P1303">
        <f t="shared" ca="1" si="625"/>
        <v>634.08196770439872</v>
      </c>
      <c r="Q1303">
        <f t="shared" ca="1" si="626"/>
        <v>635.15145155659809</v>
      </c>
      <c r="R1303">
        <f t="shared" ca="1" si="627"/>
        <v>3.8141460404132466E-3</v>
      </c>
      <c r="S1303">
        <f t="shared" ca="1" si="628"/>
        <v>1.0000000000000004</v>
      </c>
      <c r="T1303">
        <f t="shared" ca="1" si="629"/>
        <v>35.686426155594638</v>
      </c>
      <c r="U1303">
        <f t="shared" ca="1" si="650"/>
        <v>-3.3141460404522149E-3</v>
      </c>
      <c r="V1303">
        <f t="shared" ca="1" si="651"/>
        <v>1</v>
      </c>
      <c r="W1303">
        <f t="shared" ca="1" si="630"/>
        <v>1.6812012633431415</v>
      </c>
      <c r="X1303">
        <f t="shared" ca="1" si="631"/>
        <v>8.7422465693843368</v>
      </c>
      <c r="Y1303">
        <f t="shared" ca="1" si="632"/>
        <v>1.0210039229220464</v>
      </c>
      <c r="Z1303">
        <f t="shared" ca="1" si="633"/>
        <v>5.8280213896538609</v>
      </c>
      <c r="AA1303">
        <f t="shared" ca="1" si="634"/>
        <v>633.62420126334314</v>
      </c>
      <c r="AB1303">
        <f t="shared" ca="1" si="635"/>
        <v>635.3553854283922</v>
      </c>
      <c r="AC1303">
        <f t="shared" ca="1" si="636"/>
        <v>7.4334126858526823E-3</v>
      </c>
      <c r="AD1303">
        <f t="shared" ca="1" si="637"/>
        <v>1.4350822058681918</v>
      </c>
      <c r="AE1303">
        <f t="shared" ca="1" si="638"/>
        <v>37.617615644198679</v>
      </c>
      <c r="AF1303">
        <f t="shared" ca="1" si="639"/>
        <v>7.097875181557356E-3</v>
      </c>
      <c r="AG1303">
        <f t="shared" ca="1" si="640"/>
        <v>0</v>
      </c>
      <c r="AH1303">
        <f ca="1">IFERROR(IF(V32="Supercritical",MAX($D$16,IFERROR(L1303,MAX($D$16,POWER((ABS(K1303)^2)/($I$5*MAX(F1303,0.1)^2),1/3)))),IF(V32="Subcritical",MAX($D$16,IFERROR(W1303,MAX($D$16,POWER((ABS(K1303)^2)/($I$5*MAX(F1303,0.1)^2),1/3)))),IF(AND(IFERROR(V1303,0)=1,IFERROR(AG1303,0)=1),IF(IFERROR(T1303,-1E+99)&gt;=IFERROR(AE1303,-1E+99),MAX($D$16,IFERROR(L1303,MAX($D$16,POWER((ABS(K1303)^2)/($I$5*MAX(F1303,0.1)^2),1/3)))),MAX($D$16,IFERROR(W1303,MAX($D$16,POWER((ABS(K1303)^2)/($I$5*MAX(F1303,0.1)^2),1/3))))),IF(IFERROR(V1303,0)=1,MAX($D$16,IFERROR(L1303,MAX($D$16,POWER((ABS(K1303)^2)/($I$5*MAX(F1303,0.1)^2),1/3)))),IF(IFERROR(AG1303,0)=1,MAX($D$16,IFERROR(W1303,MAX($D$16,POWER((ABS(K1303)^2)/($I$5*MAX(F1303,0.1)^2),1/3)))),MAX($D$16,POWER((ABS(K1303)^2)/($I$5*MAX(F1303,0.1)^2),1/3))))))),MAX($D$16,POWER((ABS(K1303)^2)/($I$5*MAX(F1303,0.1)^2),1/3)))</f>
        <v>2.1389677043987478</v>
      </c>
      <c r="AI1303">
        <f t="shared" ca="1" si="641"/>
        <v>634.08196770439872</v>
      </c>
      <c r="AJ1303">
        <f t="shared" ca="1" si="642"/>
        <v>635.15145155659809</v>
      </c>
      <c r="AM1303">
        <v>0</v>
      </c>
      <c r="AN1303">
        <v>0</v>
      </c>
      <c r="AO1303">
        <f t="shared" si="643"/>
        <v>0</v>
      </c>
      <c r="AP1303">
        <f t="shared" si="652"/>
        <v>0</v>
      </c>
      <c r="AQ1303">
        <f t="shared" ca="1" si="644"/>
        <v>1.0000000000000004</v>
      </c>
      <c r="AR1303" t="str">
        <f t="shared" ca="1" si="645"/>
        <v>Supercritical</v>
      </c>
      <c r="AS1303">
        <f t="shared" ca="1" si="646"/>
        <v>3.8141460404132466E-3</v>
      </c>
    </row>
    <row r="1304" spans="1:45" x14ac:dyDescent="0.35">
      <c r="A1304">
        <v>1243</v>
      </c>
      <c r="B1304">
        <v>1241.9960000000001</v>
      </c>
      <c r="C1304">
        <v>616071.06700000004</v>
      </c>
      <c r="D1304">
        <v>3096765.273</v>
      </c>
      <c r="E1304">
        <v>631.9425</v>
      </c>
      <c r="F1304">
        <v>5.2</v>
      </c>
      <c r="G1304">
        <v>0</v>
      </c>
      <c r="H1304" t="s">
        <v>154</v>
      </c>
      <c r="I1304">
        <v>5.7000000000000002E-2</v>
      </c>
      <c r="J1304">
        <f t="shared" si="647"/>
        <v>1</v>
      </c>
      <c r="K1304">
        <f t="shared" ca="1" si="648"/>
        <v>50.95</v>
      </c>
      <c r="L1304">
        <f t="shared" ca="1" si="649"/>
        <v>2.1389677043987478</v>
      </c>
      <c r="M1304">
        <f t="shared" ca="1" si="622"/>
        <v>11.122632062873489</v>
      </c>
      <c r="N1304">
        <f t="shared" ca="1" si="623"/>
        <v>1.1735290000551568</v>
      </c>
      <c r="O1304">
        <f t="shared" ca="1" si="624"/>
        <v>4.5807502857230418</v>
      </c>
      <c r="P1304">
        <f t="shared" ca="1" si="625"/>
        <v>634.08146770439873</v>
      </c>
      <c r="Q1304">
        <f t="shared" ca="1" si="626"/>
        <v>635.1509515565981</v>
      </c>
      <c r="R1304">
        <f t="shared" ca="1" si="627"/>
        <v>3.8141460404132466E-3</v>
      </c>
      <c r="S1304">
        <f t="shared" ca="1" si="628"/>
        <v>1.0000000000000004</v>
      </c>
      <c r="T1304">
        <f t="shared" ca="1" si="629"/>
        <v>35.686426155594638</v>
      </c>
      <c r="U1304">
        <f t="shared" ca="1" si="650"/>
        <v>-3.4157470064428708E-3</v>
      </c>
      <c r="V1304">
        <f t="shared" ca="1" si="651"/>
        <v>1</v>
      </c>
      <c r="W1304">
        <f t="shared" ca="1" si="630"/>
        <v>1.6812012631295523</v>
      </c>
      <c r="X1304">
        <f t="shared" ca="1" si="631"/>
        <v>8.7422465682736732</v>
      </c>
      <c r="Y1304">
        <f t="shared" ca="1" si="632"/>
        <v>1.0210039228432704</v>
      </c>
      <c r="Z1304">
        <f t="shared" ca="1" si="633"/>
        <v>5.8280213903942855</v>
      </c>
      <c r="AA1304">
        <f t="shared" ca="1" si="634"/>
        <v>633.62370126312953</v>
      </c>
      <c r="AB1304">
        <f t="shared" ca="1" si="635"/>
        <v>635.35488542861845</v>
      </c>
      <c r="AC1304">
        <f t="shared" ca="1" si="636"/>
        <v>7.4334126885061535E-3</v>
      </c>
      <c r="AD1304">
        <f t="shared" ca="1" si="637"/>
        <v>1.4350822061416733</v>
      </c>
      <c r="AE1304">
        <f t="shared" ca="1" si="638"/>
        <v>37.617615646176958</v>
      </c>
      <c r="AF1304">
        <f t="shared" ca="1" si="639"/>
        <v>7.0904417715382806E-3</v>
      </c>
      <c r="AG1304">
        <f t="shared" ca="1" si="640"/>
        <v>0</v>
      </c>
      <c r="AH1304">
        <f ca="1">IFERROR(IF(V32="Supercritical",MAX($D$16,IFERROR(L1304,MAX($D$16,POWER((ABS(K1304)^2)/($I$5*MAX(F1304,0.1)^2),1/3)))),IF(V32="Subcritical",MAX($D$16,IFERROR(W1304,MAX($D$16,POWER((ABS(K1304)^2)/($I$5*MAX(F1304,0.1)^2),1/3)))),IF(AND(IFERROR(V1304,0)=1,IFERROR(AG1304,0)=1),IF(IFERROR(T1304,-1E+99)&gt;=IFERROR(AE1304,-1E+99),MAX($D$16,IFERROR(L1304,MAX($D$16,POWER((ABS(K1304)^2)/($I$5*MAX(F1304,0.1)^2),1/3)))),MAX($D$16,IFERROR(W1304,MAX($D$16,POWER((ABS(K1304)^2)/($I$5*MAX(F1304,0.1)^2),1/3))))),IF(IFERROR(V1304,0)=1,MAX($D$16,IFERROR(L1304,MAX($D$16,POWER((ABS(K1304)^2)/($I$5*MAX(F1304,0.1)^2),1/3)))),IF(IFERROR(AG1304,0)=1,MAX($D$16,IFERROR(W1304,MAX($D$16,POWER((ABS(K1304)^2)/($I$5*MAX(F1304,0.1)^2),1/3)))),MAX($D$16,POWER((ABS(K1304)^2)/($I$5*MAX(F1304,0.1)^2),1/3))))))),MAX($D$16,POWER((ABS(K1304)^2)/($I$5*MAX(F1304,0.1)^2),1/3)))</f>
        <v>2.1389677043987478</v>
      </c>
      <c r="AI1304">
        <f t="shared" ca="1" si="641"/>
        <v>634.08146770439873</v>
      </c>
      <c r="AJ1304">
        <f t="shared" ca="1" si="642"/>
        <v>635.1509515565981</v>
      </c>
      <c r="AM1304">
        <v>0</v>
      </c>
      <c r="AN1304">
        <v>0</v>
      </c>
      <c r="AO1304">
        <f t="shared" si="643"/>
        <v>0</v>
      </c>
      <c r="AP1304">
        <f t="shared" si="652"/>
        <v>0</v>
      </c>
      <c r="AQ1304">
        <f t="shared" ca="1" si="644"/>
        <v>1.0000000000000004</v>
      </c>
      <c r="AR1304" t="str">
        <f t="shared" ca="1" si="645"/>
        <v>Supercritical</v>
      </c>
      <c r="AS1304">
        <f t="shared" ca="1" si="646"/>
        <v>3.8141460404132466E-3</v>
      </c>
    </row>
    <row r="1305" spans="1:45" x14ac:dyDescent="0.35">
      <c r="A1305">
        <v>1244</v>
      </c>
      <c r="B1305">
        <v>1242.9949999999999</v>
      </c>
      <c r="C1305">
        <v>616071.02399999998</v>
      </c>
      <c r="D1305">
        <v>3096764.2740000002</v>
      </c>
      <c r="E1305">
        <v>631.94200000000001</v>
      </c>
      <c r="F1305">
        <v>5.2</v>
      </c>
      <c r="G1305">
        <v>0</v>
      </c>
      <c r="H1305" t="s">
        <v>154</v>
      </c>
      <c r="I1305">
        <v>5.7000000000000002E-2</v>
      </c>
      <c r="J1305">
        <f t="shared" si="647"/>
        <v>0.99899999999979627</v>
      </c>
      <c r="K1305">
        <f t="shared" ca="1" si="648"/>
        <v>50.95</v>
      </c>
      <c r="L1305">
        <f t="shared" ca="1" si="649"/>
        <v>2.1389677043987478</v>
      </c>
      <c r="M1305">
        <f t="shared" ca="1" si="622"/>
        <v>11.122632062873489</v>
      </c>
      <c r="N1305">
        <f t="shared" ca="1" si="623"/>
        <v>1.1735290000551568</v>
      </c>
      <c r="O1305">
        <f t="shared" ca="1" si="624"/>
        <v>4.5807502857230418</v>
      </c>
      <c r="P1305">
        <f t="shared" ca="1" si="625"/>
        <v>634.08096770439874</v>
      </c>
      <c r="Q1305">
        <f t="shared" ca="1" si="626"/>
        <v>635.15045155659811</v>
      </c>
      <c r="R1305">
        <f t="shared" ca="1" si="627"/>
        <v>3.8141460404132466E-3</v>
      </c>
      <c r="S1305">
        <f t="shared" ca="1" si="628"/>
        <v>1.0000000000000004</v>
      </c>
      <c r="T1305">
        <f t="shared" ca="1" si="629"/>
        <v>35.686426155594638</v>
      </c>
      <c r="U1305">
        <f t="shared" ca="1" si="650"/>
        <v>-3.411932860331035E-3</v>
      </c>
      <c r="V1305">
        <f t="shared" ca="1" si="651"/>
        <v>1</v>
      </c>
      <c r="W1305">
        <f t="shared" ca="1" si="630"/>
        <v>1.6812012629298956</v>
      </c>
      <c r="X1305">
        <f t="shared" ca="1" si="631"/>
        <v>8.7422465672354566</v>
      </c>
      <c r="Y1305">
        <f t="shared" ca="1" si="632"/>
        <v>1.0210039227696324</v>
      </c>
      <c r="Z1305">
        <f t="shared" ca="1" si="633"/>
        <v>5.8280213910864127</v>
      </c>
      <c r="AA1305">
        <f t="shared" ca="1" si="634"/>
        <v>633.62320126292991</v>
      </c>
      <c r="AB1305">
        <f t="shared" ca="1" si="635"/>
        <v>635.35438542883003</v>
      </c>
      <c r="AC1305">
        <f t="shared" ca="1" si="636"/>
        <v>7.4334126909865435E-3</v>
      </c>
      <c r="AD1305">
        <f t="shared" ca="1" si="637"/>
        <v>1.4350822063973157</v>
      </c>
      <c r="AE1305">
        <f t="shared" ca="1" si="638"/>
        <v>37.617615648026202</v>
      </c>
      <c r="AF1305">
        <f t="shared" ca="1" si="639"/>
        <v>6.9334126909552651E-3</v>
      </c>
      <c r="AG1305">
        <f t="shared" ca="1" si="640"/>
        <v>0</v>
      </c>
      <c r="AH1305">
        <f ca="1">IFERROR(IF(V32="Supercritical",MAX($D$16,IFERROR(L1305,MAX($D$16,POWER((ABS(K1305)^2)/($I$5*MAX(F1305,0.1)^2),1/3)))),IF(V32="Subcritical",MAX($D$16,IFERROR(W1305,MAX($D$16,POWER((ABS(K1305)^2)/($I$5*MAX(F1305,0.1)^2),1/3)))),IF(AND(IFERROR(V1305,0)=1,IFERROR(AG1305,0)=1),IF(IFERROR(T1305,-1E+99)&gt;=IFERROR(AE1305,-1E+99),MAX($D$16,IFERROR(L1305,MAX($D$16,POWER((ABS(K1305)^2)/($I$5*MAX(F1305,0.1)^2),1/3)))),MAX($D$16,IFERROR(W1305,MAX($D$16,POWER((ABS(K1305)^2)/($I$5*MAX(F1305,0.1)^2),1/3))))),IF(IFERROR(V1305,0)=1,MAX($D$16,IFERROR(L1305,MAX($D$16,POWER((ABS(K1305)^2)/($I$5*MAX(F1305,0.1)^2),1/3)))),IF(IFERROR(AG1305,0)=1,MAX($D$16,IFERROR(W1305,MAX($D$16,POWER((ABS(K1305)^2)/($I$5*MAX(F1305,0.1)^2),1/3)))),MAX($D$16,POWER((ABS(K1305)^2)/($I$5*MAX(F1305,0.1)^2),1/3))))))),MAX($D$16,POWER((ABS(K1305)^2)/($I$5*MAX(F1305,0.1)^2),1/3)))</f>
        <v>2.1389677043987478</v>
      </c>
      <c r="AI1305">
        <f t="shared" ca="1" si="641"/>
        <v>634.08096770439874</v>
      </c>
      <c r="AJ1305">
        <f t="shared" ca="1" si="642"/>
        <v>635.15045155659811</v>
      </c>
      <c r="AM1305">
        <v>0</v>
      </c>
      <c r="AN1305">
        <v>0</v>
      </c>
      <c r="AO1305">
        <f t="shared" si="643"/>
        <v>0</v>
      </c>
      <c r="AP1305">
        <f t="shared" si="652"/>
        <v>0</v>
      </c>
      <c r="AQ1305">
        <f t="shared" ca="1" si="644"/>
        <v>1.0000000000000004</v>
      </c>
      <c r="AR1305" t="str">
        <f t="shared" ca="1" si="645"/>
        <v>Supercritical</v>
      </c>
      <c r="AS1305">
        <f t="shared" ca="1" si="646"/>
        <v>3.8141460404132466E-3</v>
      </c>
    </row>
    <row r="1306" spans="1:45" x14ac:dyDescent="0.35">
      <c r="A1306">
        <v>1245</v>
      </c>
      <c r="B1306">
        <v>1243.9949999999999</v>
      </c>
      <c r="C1306">
        <v>616070.98199999996</v>
      </c>
      <c r="D1306">
        <v>3096763.2749999999</v>
      </c>
      <c r="E1306">
        <v>631.94150000000002</v>
      </c>
      <c r="F1306">
        <v>5.2</v>
      </c>
      <c r="G1306">
        <v>0</v>
      </c>
      <c r="H1306" t="s">
        <v>154</v>
      </c>
      <c r="I1306">
        <v>0</v>
      </c>
      <c r="J1306">
        <f t="shared" si="647"/>
        <v>1</v>
      </c>
      <c r="K1306">
        <f t="shared" ca="1" si="648"/>
        <v>50.95</v>
      </c>
      <c r="L1306">
        <f t="shared" ca="1" si="649"/>
        <v>2.1389677043987478</v>
      </c>
      <c r="M1306">
        <f t="shared" ca="1" si="622"/>
        <v>11.122632062873489</v>
      </c>
      <c r="N1306">
        <f t="shared" ca="1" si="623"/>
        <v>1.1735290000551568</v>
      </c>
      <c r="O1306">
        <f t="shared" ca="1" si="624"/>
        <v>4.5807502857230418</v>
      </c>
      <c r="P1306">
        <f t="shared" ca="1" si="625"/>
        <v>634.08046770439876</v>
      </c>
      <c r="Q1306">
        <f t="shared" ca="1" si="626"/>
        <v>635.14995155659813</v>
      </c>
      <c r="R1306">
        <f t="shared" ca="1" si="627"/>
        <v>3.8141460404132466E-3</v>
      </c>
      <c r="S1306">
        <f t="shared" ca="1" si="628"/>
        <v>1.0000000000000004</v>
      </c>
      <c r="T1306">
        <f t="shared" ca="1" si="629"/>
        <v>35.686426155594638</v>
      </c>
      <c r="U1306">
        <f t="shared" ca="1" si="650"/>
        <v>-3.3141460404522149E-3</v>
      </c>
      <c r="V1306">
        <f t="shared" ca="1" si="651"/>
        <v>1</v>
      </c>
      <c r="W1306">
        <f t="shared" ca="1" si="630"/>
        <v>1.6812012627432844</v>
      </c>
      <c r="X1306">
        <f t="shared" ca="1" si="631"/>
        <v>8.742246566265079</v>
      </c>
      <c r="Y1306">
        <f t="shared" ca="1" si="632"/>
        <v>1.0210039227008065</v>
      </c>
      <c r="Z1306">
        <f t="shared" ca="1" si="633"/>
        <v>5.8280213917333157</v>
      </c>
      <c r="AA1306">
        <f t="shared" ca="1" si="634"/>
        <v>633.62270126274325</v>
      </c>
      <c r="AB1306">
        <f t="shared" ca="1" si="635"/>
        <v>635.35388542902774</v>
      </c>
      <c r="AC1306">
        <f t="shared" ca="1" si="636"/>
        <v>7.4334126933048549E-3</v>
      </c>
      <c r="AD1306">
        <f t="shared" ca="1" si="637"/>
        <v>1.4350822066362541</v>
      </c>
      <c r="AE1306">
        <f t="shared" ca="1" si="638"/>
        <v>37.617615649754605</v>
      </c>
      <c r="AF1306">
        <f t="shared" ca="1" si="639"/>
        <v>6.9391833072813824E-3</v>
      </c>
      <c r="AG1306">
        <f t="shared" ca="1" si="640"/>
        <v>0</v>
      </c>
      <c r="AH1306">
        <f ca="1">IFERROR(IF(V32="Supercritical",MAX($D$16,IFERROR(L1306,MAX($D$16,POWER((ABS(K1306)^2)/($I$5*MAX(F1306,0.1)^2),1/3)))),IF(V32="Subcritical",MAX($D$16,IFERROR(W1306,MAX($D$16,POWER((ABS(K1306)^2)/($I$5*MAX(F1306,0.1)^2),1/3)))),IF(AND(IFERROR(V1306,0)=1,IFERROR(AG1306,0)=1),IF(IFERROR(T1306,-1E+99)&gt;=IFERROR(AE1306,-1E+99),MAX($D$16,IFERROR(L1306,MAX($D$16,POWER((ABS(K1306)^2)/($I$5*MAX(F1306,0.1)^2),1/3)))),MAX($D$16,IFERROR(W1306,MAX($D$16,POWER((ABS(K1306)^2)/($I$5*MAX(F1306,0.1)^2),1/3))))),IF(IFERROR(V1306,0)=1,MAX($D$16,IFERROR(L1306,MAX($D$16,POWER((ABS(K1306)^2)/($I$5*MAX(F1306,0.1)^2),1/3)))),IF(IFERROR(AG1306,0)=1,MAX($D$16,IFERROR(W1306,MAX($D$16,POWER((ABS(K1306)^2)/($I$5*MAX(F1306,0.1)^2),1/3)))),MAX($D$16,POWER((ABS(K1306)^2)/($I$5*MAX(F1306,0.1)^2),1/3))))))),MAX($D$16,POWER((ABS(K1306)^2)/($I$5*MAX(F1306,0.1)^2),1/3)))</f>
        <v>2.1389677043987478</v>
      </c>
      <c r="AI1306">
        <f t="shared" ca="1" si="641"/>
        <v>634.08046770439876</v>
      </c>
      <c r="AJ1306">
        <f t="shared" ca="1" si="642"/>
        <v>635.14995155659813</v>
      </c>
      <c r="AM1306">
        <v>0</v>
      </c>
      <c r="AN1306">
        <v>0</v>
      </c>
      <c r="AO1306">
        <f t="shared" si="643"/>
        <v>0</v>
      </c>
      <c r="AP1306">
        <f t="shared" si="652"/>
        <v>0</v>
      </c>
      <c r="AQ1306">
        <f t="shared" ca="1" si="644"/>
        <v>1.0000000000000004</v>
      </c>
      <c r="AR1306" t="str">
        <f t="shared" ca="1" si="645"/>
        <v>Supercritical</v>
      </c>
      <c r="AS1306">
        <f t="shared" ca="1" si="646"/>
        <v>3.8141460404132466E-3</v>
      </c>
    </row>
    <row r="1307" spans="1:45" x14ac:dyDescent="0.35">
      <c r="A1307">
        <v>1246</v>
      </c>
      <c r="B1307">
        <v>1244.9949999999999</v>
      </c>
      <c r="C1307">
        <v>616070.93999999994</v>
      </c>
      <c r="D1307">
        <v>3096762.2760000001</v>
      </c>
      <c r="E1307">
        <v>631.94100000000003</v>
      </c>
      <c r="F1307">
        <v>5.2</v>
      </c>
      <c r="G1307">
        <v>0</v>
      </c>
      <c r="H1307" t="s">
        <v>154</v>
      </c>
      <c r="I1307">
        <v>2E-3</v>
      </c>
      <c r="J1307">
        <f t="shared" si="647"/>
        <v>1</v>
      </c>
      <c r="K1307">
        <f t="shared" ca="1" si="648"/>
        <v>50.95</v>
      </c>
      <c r="L1307">
        <f t="shared" ca="1" si="649"/>
        <v>2.1389677043987478</v>
      </c>
      <c r="M1307">
        <f t="shared" ca="1" si="622"/>
        <v>11.122632062873489</v>
      </c>
      <c r="N1307">
        <f t="shared" ca="1" si="623"/>
        <v>1.1735290000551568</v>
      </c>
      <c r="O1307">
        <f t="shared" ca="1" si="624"/>
        <v>4.5807502857230418</v>
      </c>
      <c r="P1307">
        <f t="shared" ca="1" si="625"/>
        <v>634.07996770439877</v>
      </c>
      <c r="Q1307">
        <f t="shared" ca="1" si="626"/>
        <v>635.14945155659814</v>
      </c>
      <c r="R1307">
        <f t="shared" ca="1" si="627"/>
        <v>3.8141460404132466E-3</v>
      </c>
      <c r="S1307">
        <f t="shared" ca="1" si="628"/>
        <v>1.0000000000000004</v>
      </c>
      <c r="T1307">
        <f t="shared" ca="1" si="629"/>
        <v>35.686426155594638</v>
      </c>
      <c r="U1307">
        <f t="shared" ca="1" si="650"/>
        <v>-3.3177109866073806E-3</v>
      </c>
      <c r="V1307">
        <f t="shared" ca="1" si="651"/>
        <v>1</v>
      </c>
      <c r="W1307">
        <f t="shared" ca="1" si="630"/>
        <v>1.6812012625688662</v>
      </c>
      <c r="X1307">
        <f t="shared" ca="1" si="631"/>
        <v>8.742246565358105</v>
      </c>
      <c r="Y1307">
        <f t="shared" ca="1" si="632"/>
        <v>1.0210039226364775</v>
      </c>
      <c r="Z1307">
        <f t="shared" ca="1" si="633"/>
        <v>5.8280213923379502</v>
      </c>
      <c r="AA1307">
        <f t="shared" ca="1" si="634"/>
        <v>633.62220126256886</v>
      </c>
      <c r="AB1307">
        <f t="shared" ca="1" si="635"/>
        <v>635.35338542921249</v>
      </c>
      <c r="AC1307">
        <f t="shared" ca="1" si="636"/>
        <v>7.4334126954716936E-3</v>
      </c>
      <c r="AD1307">
        <f t="shared" ca="1" si="637"/>
        <v>1.4350822068595803</v>
      </c>
      <c r="AE1307">
        <f t="shared" ca="1" si="638"/>
        <v>37.617615651370073</v>
      </c>
      <c r="AF1307">
        <f t="shared" ca="1" si="639"/>
        <v>7.1139645248194938E-3</v>
      </c>
      <c r="AG1307">
        <f t="shared" ca="1" si="640"/>
        <v>0</v>
      </c>
      <c r="AH1307">
        <f ca="1">IFERROR(IF(V32="Supercritical",MAX($D$16,IFERROR(L1307,MAX($D$16,POWER((ABS(K1307)^2)/($I$5*MAX(F1307,0.1)^2),1/3)))),IF(V32="Subcritical",MAX($D$16,IFERROR(W1307,MAX($D$16,POWER((ABS(K1307)^2)/($I$5*MAX(F1307,0.1)^2),1/3)))),IF(AND(IFERROR(V1307,0)=1,IFERROR(AG1307,0)=1),IF(IFERROR(T1307,-1E+99)&gt;=IFERROR(AE1307,-1E+99),MAX($D$16,IFERROR(L1307,MAX($D$16,POWER((ABS(K1307)^2)/($I$5*MAX(F1307,0.1)^2),1/3)))),MAX($D$16,IFERROR(W1307,MAX($D$16,POWER((ABS(K1307)^2)/($I$5*MAX(F1307,0.1)^2),1/3))))),IF(IFERROR(V1307,0)=1,MAX($D$16,IFERROR(L1307,MAX($D$16,POWER((ABS(K1307)^2)/($I$5*MAX(F1307,0.1)^2),1/3)))),IF(IFERROR(AG1307,0)=1,MAX($D$16,IFERROR(W1307,MAX($D$16,POWER((ABS(K1307)^2)/($I$5*MAX(F1307,0.1)^2),1/3)))),MAX($D$16,POWER((ABS(K1307)^2)/($I$5*MAX(F1307,0.1)^2),1/3))))))),MAX($D$16,POWER((ABS(K1307)^2)/($I$5*MAX(F1307,0.1)^2),1/3)))</f>
        <v>2.1389677043987478</v>
      </c>
      <c r="AI1307">
        <f t="shared" ca="1" si="641"/>
        <v>634.07996770439877</v>
      </c>
      <c r="AJ1307">
        <f t="shared" ca="1" si="642"/>
        <v>635.14945155659814</v>
      </c>
      <c r="AM1307">
        <v>0</v>
      </c>
      <c r="AN1307">
        <v>0</v>
      </c>
      <c r="AO1307">
        <f t="shared" si="643"/>
        <v>0</v>
      </c>
      <c r="AP1307">
        <f t="shared" si="652"/>
        <v>0</v>
      </c>
      <c r="AQ1307">
        <f t="shared" ca="1" si="644"/>
        <v>1.0000000000000004</v>
      </c>
      <c r="AR1307" t="str">
        <f t="shared" ca="1" si="645"/>
        <v>Supercritical</v>
      </c>
      <c r="AS1307">
        <f t="shared" ca="1" si="646"/>
        <v>3.8141460404132466E-3</v>
      </c>
    </row>
    <row r="1308" spans="1:45" x14ac:dyDescent="0.35">
      <c r="A1308">
        <v>1247</v>
      </c>
      <c r="B1308">
        <v>1245.9960000000001</v>
      </c>
      <c r="C1308">
        <v>616070.89800000004</v>
      </c>
      <c r="D1308">
        <v>3096761.2760000001</v>
      </c>
      <c r="E1308">
        <v>631.94050000000004</v>
      </c>
      <c r="F1308">
        <v>5.2</v>
      </c>
      <c r="G1308">
        <v>0</v>
      </c>
      <c r="H1308" t="s">
        <v>154</v>
      </c>
      <c r="I1308">
        <v>0.06</v>
      </c>
      <c r="J1308">
        <f t="shared" si="647"/>
        <v>1.0010000000002037</v>
      </c>
      <c r="K1308">
        <f t="shared" ca="1" si="648"/>
        <v>50.95</v>
      </c>
      <c r="L1308">
        <f t="shared" ca="1" si="649"/>
        <v>2.1389677043987478</v>
      </c>
      <c r="M1308">
        <f t="shared" ca="1" si="622"/>
        <v>11.122632062873489</v>
      </c>
      <c r="N1308">
        <f t="shared" ca="1" si="623"/>
        <v>1.1735290000551568</v>
      </c>
      <c r="O1308">
        <f t="shared" ca="1" si="624"/>
        <v>4.5807502857230418</v>
      </c>
      <c r="P1308">
        <f t="shared" ca="1" si="625"/>
        <v>634.07946770439878</v>
      </c>
      <c r="Q1308">
        <f t="shared" ca="1" si="626"/>
        <v>635.14895155659815</v>
      </c>
      <c r="R1308">
        <f t="shared" ca="1" si="627"/>
        <v>3.8141460404132466E-3</v>
      </c>
      <c r="S1308">
        <f t="shared" ca="1" si="628"/>
        <v>1.0000000000000004</v>
      </c>
      <c r="T1308">
        <f t="shared" ca="1" si="629"/>
        <v>35.686426155594638</v>
      </c>
      <c r="U1308">
        <f t="shared" ca="1" si="650"/>
        <v>-3.4249085716737682E-3</v>
      </c>
      <c r="V1308">
        <f t="shared" ca="1" si="651"/>
        <v>1</v>
      </c>
      <c r="W1308">
        <f t="shared" ca="1" si="630"/>
        <v>1.6812012624058221</v>
      </c>
      <c r="X1308">
        <f t="shared" ca="1" si="631"/>
        <v>8.7422465645102747</v>
      </c>
      <c r="Y1308">
        <f t="shared" ca="1" si="632"/>
        <v>1.0210039225763432</v>
      </c>
      <c r="Z1308">
        <f t="shared" ca="1" si="633"/>
        <v>5.8280213929031559</v>
      </c>
      <c r="AA1308">
        <f t="shared" ca="1" si="634"/>
        <v>633.62170126240585</v>
      </c>
      <c r="AB1308">
        <f t="shared" ca="1" si="635"/>
        <v>635.35288542938531</v>
      </c>
      <c r="AC1308">
        <f t="shared" ca="1" si="636"/>
        <v>7.4334126974972322E-3</v>
      </c>
      <c r="AD1308">
        <f t="shared" ca="1" si="637"/>
        <v>1.4350822070683436</v>
      </c>
      <c r="AE1308">
        <f t="shared" ca="1" si="638"/>
        <v>37.617615652880204</v>
      </c>
      <c r="AF1308">
        <f t="shared" ca="1" si="639"/>
        <v>7.0978751933807871E-3</v>
      </c>
      <c r="AG1308">
        <f t="shared" ca="1" si="640"/>
        <v>0</v>
      </c>
      <c r="AH1308">
        <f ca="1">IFERROR(IF(V32="Supercritical",MAX($D$16,IFERROR(L1308,MAX($D$16,POWER((ABS(K1308)^2)/($I$5*MAX(F1308,0.1)^2),1/3)))),IF(V32="Subcritical",MAX($D$16,IFERROR(W1308,MAX($D$16,POWER((ABS(K1308)^2)/($I$5*MAX(F1308,0.1)^2),1/3)))),IF(AND(IFERROR(V1308,0)=1,IFERROR(AG1308,0)=1),IF(IFERROR(T1308,-1E+99)&gt;=IFERROR(AE1308,-1E+99),MAX($D$16,IFERROR(L1308,MAX($D$16,POWER((ABS(K1308)^2)/($I$5*MAX(F1308,0.1)^2),1/3)))),MAX($D$16,IFERROR(W1308,MAX($D$16,POWER((ABS(K1308)^2)/($I$5*MAX(F1308,0.1)^2),1/3))))),IF(IFERROR(V1308,0)=1,MAX($D$16,IFERROR(L1308,MAX($D$16,POWER((ABS(K1308)^2)/($I$5*MAX(F1308,0.1)^2),1/3)))),IF(IFERROR(AG1308,0)=1,MAX($D$16,IFERROR(W1308,MAX($D$16,POWER((ABS(K1308)^2)/($I$5*MAX(F1308,0.1)^2),1/3)))),MAX($D$16,POWER((ABS(K1308)^2)/($I$5*MAX(F1308,0.1)^2),1/3))))))),MAX($D$16,POWER((ABS(K1308)^2)/($I$5*MAX(F1308,0.1)^2),1/3)))</f>
        <v>2.1389677043987478</v>
      </c>
      <c r="AI1308">
        <f t="shared" ca="1" si="641"/>
        <v>634.07946770439878</v>
      </c>
      <c r="AJ1308">
        <f t="shared" ca="1" si="642"/>
        <v>635.14895155659815</v>
      </c>
      <c r="AM1308">
        <v>0</v>
      </c>
      <c r="AN1308">
        <v>0</v>
      </c>
      <c r="AO1308">
        <f t="shared" si="643"/>
        <v>0</v>
      </c>
      <c r="AP1308">
        <f t="shared" si="652"/>
        <v>0</v>
      </c>
      <c r="AQ1308">
        <f t="shared" ca="1" si="644"/>
        <v>1.0000000000000004</v>
      </c>
      <c r="AR1308" t="str">
        <f t="shared" ca="1" si="645"/>
        <v>Supercritical</v>
      </c>
      <c r="AS1308">
        <f t="shared" ca="1" si="646"/>
        <v>3.8141460404132466E-3</v>
      </c>
    </row>
    <row r="1309" spans="1:45" x14ac:dyDescent="0.35">
      <c r="A1309">
        <v>1248</v>
      </c>
      <c r="B1309">
        <v>1246.9960000000001</v>
      </c>
      <c r="C1309">
        <v>616070.85499999998</v>
      </c>
      <c r="D1309">
        <v>3096760.2769999998</v>
      </c>
      <c r="E1309">
        <v>631.94000000000005</v>
      </c>
      <c r="F1309">
        <v>5.2</v>
      </c>
      <c r="G1309">
        <v>0</v>
      </c>
      <c r="H1309" t="s">
        <v>154</v>
      </c>
      <c r="I1309">
        <v>5.7000000000000002E-2</v>
      </c>
      <c r="J1309">
        <f t="shared" si="647"/>
        <v>1</v>
      </c>
      <c r="K1309">
        <f t="shared" ca="1" si="648"/>
        <v>50.95</v>
      </c>
      <c r="L1309">
        <f t="shared" ca="1" si="649"/>
        <v>2.1389677043987478</v>
      </c>
      <c r="M1309">
        <f t="shared" ca="1" si="622"/>
        <v>11.122632062873489</v>
      </c>
      <c r="N1309">
        <f t="shared" ca="1" si="623"/>
        <v>1.1735290000551568</v>
      </c>
      <c r="O1309">
        <f t="shared" ca="1" si="624"/>
        <v>4.5807502857230418</v>
      </c>
      <c r="P1309">
        <f t="shared" ca="1" si="625"/>
        <v>634.07896770439879</v>
      </c>
      <c r="Q1309">
        <f t="shared" ca="1" si="626"/>
        <v>635.14845155659816</v>
      </c>
      <c r="R1309">
        <f t="shared" ca="1" si="627"/>
        <v>3.8141460404132466E-3</v>
      </c>
      <c r="S1309">
        <f t="shared" ca="1" si="628"/>
        <v>1.0000000000000004</v>
      </c>
      <c r="T1309">
        <f t="shared" ca="1" si="629"/>
        <v>35.686426155594638</v>
      </c>
      <c r="U1309">
        <f t="shared" ca="1" si="650"/>
        <v>-3.4157470064428708E-3</v>
      </c>
      <c r="V1309">
        <f t="shared" ca="1" si="651"/>
        <v>1</v>
      </c>
      <c r="W1309">
        <f t="shared" ca="1" si="630"/>
        <v>1.6812012622534362</v>
      </c>
      <c r="X1309">
        <f t="shared" ca="1" si="631"/>
        <v>8.7422465637178686</v>
      </c>
      <c r="Y1309">
        <f t="shared" ca="1" si="632"/>
        <v>1.0210039225201404</v>
      </c>
      <c r="Z1309">
        <f t="shared" ca="1" si="633"/>
        <v>5.8280213934314142</v>
      </c>
      <c r="AA1309">
        <f t="shared" ca="1" si="634"/>
        <v>633.62120126225352</v>
      </c>
      <c r="AB1309">
        <f t="shared" ca="1" si="635"/>
        <v>635.35238542954676</v>
      </c>
      <c r="AC1309">
        <f t="shared" ca="1" si="636"/>
        <v>7.4334126993903559E-3</v>
      </c>
      <c r="AD1309">
        <f t="shared" ca="1" si="637"/>
        <v>1.4350822072634595</v>
      </c>
      <c r="AE1309">
        <f t="shared" ca="1" si="638"/>
        <v>37.617615654291612</v>
      </c>
      <c r="AF1309">
        <f t="shared" ca="1" si="639"/>
        <v>6.9334126992544043E-3</v>
      </c>
      <c r="AG1309">
        <f t="shared" ca="1" si="640"/>
        <v>0</v>
      </c>
      <c r="AH1309">
        <f ca="1">IFERROR(IF(V32="Supercritical",MAX($D$16,IFERROR(L1309,MAX($D$16,POWER((ABS(K1309)^2)/($I$5*MAX(F1309,0.1)^2),1/3)))),IF(V32="Subcritical",MAX($D$16,IFERROR(W1309,MAX($D$16,POWER((ABS(K1309)^2)/($I$5*MAX(F1309,0.1)^2),1/3)))),IF(AND(IFERROR(V1309,0)=1,IFERROR(AG1309,0)=1),IF(IFERROR(T1309,-1E+99)&gt;=IFERROR(AE1309,-1E+99),MAX($D$16,IFERROR(L1309,MAX($D$16,POWER((ABS(K1309)^2)/($I$5*MAX(F1309,0.1)^2),1/3)))),MAX($D$16,IFERROR(W1309,MAX($D$16,POWER((ABS(K1309)^2)/($I$5*MAX(F1309,0.1)^2),1/3))))),IF(IFERROR(V1309,0)=1,MAX($D$16,IFERROR(L1309,MAX($D$16,POWER((ABS(K1309)^2)/($I$5*MAX(F1309,0.1)^2),1/3)))),IF(IFERROR(AG1309,0)=1,MAX($D$16,IFERROR(W1309,MAX($D$16,POWER((ABS(K1309)^2)/($I$5*MAX(F1309,0.1)^2),1/3)))),MAX($D$16,POWER((ABS(K1309)^2)/($I$5*MAX(F1309,0.1)^2),1/3))))))),MAX($D$16,POWER((ABS(K1309)^2)/($I$5*MAX(F1309,0.1)^2),1/3)))</f>
        <v>2.1389677043987478</v>
      </c>
      <c r="AI1309">
        <f t="shared" ca="1" si="641"/>
        <v>634.07896770439879</v>
      </c>
      <c r="AJ1309">
        <f t="shared" ca="1" si="642"/>
        <v>635.14845155659816</v>
      </c>
      <c r="AM1309">
        <v>0</v>
      </c>
      <c r="AN1309">
        <v>0</v>
      </c>
      <c r="AO1309">
        <f t="shared" si="643"/>
        <v>0</v>
      </c>
      <c r="AP1309">
        <f t="shared" si="652"/>
        <v>0</v>
      </c>
      <c r="AQ1309">
        <f t="shared" ca="1" si="644"/>
        <v>1.0000000000000004</v>
      </c>
      <c r="AR1309" t="str">
        <f t="shared" ca="1" si="645"/>
        <v>Supercritical</v>
      </c>
      <c r="AS1309">
        <f t="shared" ca="1" si="646"/>
        <v>3.8141460404132466E-3</v>
      </c>
    </row>
    <row r="1310" spans="1:45" x14ac:dyDescent="0.35">
      <c r="A1310">
        <v>1249</v>
      </c>
      <c r="B1310">
        <v>1247.9960000000001</v>
      </c>
      <c r="C1310">
        <v>616070.81299999997</v>
      </c>
      <c r="D1310">
        <v>3096759.2779999999</v>
      </c>
      <c r="E1310">
        <v>631.93949999999995</v>
      </c>
      <c r="F1310">
        <v>5.2</v>
      </c>
      <c r="G1310">
        <v>0</v>
      </c>
      <c r="H1310" t="s">
        <v>154</v>
      </c>
      <c r="I1310">
        <v>0</v>
      </c>
      <c r="J1310">
        <f t="shared" si="647"/>
        <v>1</v>
      </c>
      <c r="K1310">
        <f t="shared" ca="1" si="648"/>
        <v>50.95</v>
      </c>
      <c r="L1310">
        <f t="shared" ca="1" si="649"/>
        <v>2.1389677043987478</v>
      </c>
      <c r="M1310">
        <f t="shared" ca="1" si="622"/>
        <v>11.122632062873489</v>
      </c>
      <c r="N1310">
        <f t="shared" ca="1" si="623"/>
        <v>1.1735290000551568</v>
      </c>
      <c r="O1310">
        <f t="shared" ca="1" si="624"/>
        <v>4.5807502857230418</v>
      </c>
      <c r="P1310">
        <f t="shared" ca="1" si="625"/>
        <v>634.07846770439869</v>
      </c>
      <c r="Q1310">
        <f t="shared" ca="1" si="626"/>
        <v>635.14795155659806</v>
      </c>
      <c r="R1310">
        <f t="shared" ca="1" si="627"/>
        <v>3.8141460404132466E-3</v>
      </c>
      <c r="S1310">
        <f t="shared" ca="1" si="628"/>
        <v>1.0000000000000004</v>
      </c>
      <c r="T1310">
        <f t="shared" ca="1" si="629"/>
        <v>35.686426155594638</v>
      </c>
      <c r="U1310">
        <f t="shared" ca="1" si="650"/>
        <v>-3.3141460403385281E-3</v>
      </c>
      <c r="V1310">
        <f t="shared" ca="1" si="651"/>
        <v>1</v>
      </c>
      <c r="W1310">
        <f t="shared" ca="1" si="630"/>
        <v>1.6812012621110093</v>
      </c>
      <c r="X1310">
        <f t="shared" ca="1" si="631"/>
        <v>8.7422465629772486</v>
      </c>
      <c r="Y1310">
        <f t="shared" ca="1" si="632"/>
        <v>1.0210039224676102</v>
      </c>
      <c r="Z1310">
        <f t="shared" ca="1" si="633"/>
        <v>5.8280213939251482</v>
      </c>
      <c r="AA1310">
        <f t="shared" ca="1" si="634"/>
        <v>633.62070126211097</v>
      </c>
      <c r="AB1310">
        <f t="shared" ca="1" si="635"/>
        <v>635.35188542969763</v>
      </c>
      <c r="AC1310">
        <f t="shared" ca="1" si="636"/>
        <v>7.4334127011597634E-3</v>
      </c>
      <c r="AD1310">
        <f t="shared" ca="1" si="637"/>
        <v>1.4350822074458238</v>
      </c>
      <c r="AE1310">
        <f t="shared" ca="1" si="638"/>
        <v>37.617615655610777</v>
      </c>
      <c r="AF1310">
        <f t="shared" ca="1" si="639"/>
        <v>7.0978751971324527E-3</v>
      </c>
      <c r="AG1310">
        <f t="shared" ca="1" si="640"/>
        <v>0</v>
      </c>
      <c r="AH1310">
        <f ca="1">IFERROR(IF(V32="Supercritical",MAX($D$16,IFERROR(L1310,MAX($D$16,POWER((ABS(K1310)^2)/($I$5*MAX(F1310,0.1)^2),1/3)))),IF(V32="Subcritical",MAX($D$16,IFERROR(W1310,MAX($D$16,POWER((ABS(K1310)^2)/($I$5*MAX(F1310,0.1)^2),1/3)))),IF(AND(IFERROR(V1310,0)=1,IFERROR(AG1310,0)=1),IF(IFERROR(T1310,-1E+99)&gt;=IFERROR(AE1310,-1E+99),MAX($D$16,IFERROR(L1310,MAX($D$16,POWER((ABS(K1310)^2)/($I$5*MAX(F1310,0.1)^2),1/3)))),MAX($D$16,IFERROR(W1310,MAX($D$16,POWER((ABS(K1310)^2)/($I$5*MAX(F1310,0.1)^2),1/3))))),IF(IFERROR(V1310,0)=1,MAX($D$16,IFERROR(L1310,MAX($D$16,POWER((ABS(K1310)^2)/($I$5*MAX(F1310,0.1)^2),1/3)))),IF(IFERROR(AG1310,0)=1,MAX($D$16,IFERROR(W1310,MAX($D$16,POWER((ABS(K1310)^2)/($I$5*MAX(F1310,0.1)^2),1/3)))),MAX($D$16,POWER((ABS(K1310)^2)/($I$5*MAX(F1310,0.1)^2),1/3))))))),MAX($D$16,POWER((ABS(K1310)^2)/($I$5*MAX(F1310,0.1)^2),1/3)))</f>
        <v>2.1389677043987478</v>
      </c>
      <c r="AI1310">
        <f t="shared" ca="1" si="641"/>
        <v>634.07846770439869</v>
      </c>
      <c r="AJ1310">
        <f t="shared" ca="1" si="642"/>
        <v>635.14795155659806</v>
      </c>
      <c r="AM1310">
        <v>0</v>
      </c>
      <c r="AN1310">
        <v>0</v>
      </c>
      <c r="AO1310">
        <f t="shared" si="643"/>
        <v>0</v>
      </c>
      <c r="AP1310">
        <f t="shared" si="652"/>
        <v>0</v>
      </c>
      <c r="AQ1310">
        <f t="shared" ca="1" si="644"/>
        <v>1.0000000000000004</v>
      </c>
      <c r="AR1310" t="str">
        <f t="shared" ca="1" si="645"/>
        <v>Supercritical</v>
      </c>
      <c r="AS1310">
        <f t="shared" ca="1" si="646"/>
        <v>3.8141460404132466E-3</v>
      </c>
    </row>
    <row r="1311" spans="1:45" x14ac:dyDescent="0.35">
      <c r="A1311">
        <v>1250</v>
      </c>
      <c r="B1311">
        <v>1248.9960000000001</v>
      </c>
      <c r="C1311">
        <v>616070.77099999995</v>
      </c>
      <c r="D1311">
        <v>3096758.2790000001</v>
      </c>
      <c r="E1311">
        <v>631.93899999999996</v>
      </c>
      <c r="F1311">
        <v>5.2</v>
      </c>
      <c r="G1311">
        <v>0</v>
      </c>
      <c r="H1311" t="s">
        <v>154</v>
      </c>
      <c r="I1311">
        <v>5.7000000000000002E-2</v>
      </c>
      <c r="J1311">
        <f t="shared" si="647"/>
        <v>1</v>
      </c>
      <c r="K1311">
        <f t="shared" ca="1" si="648"/>
        <v>50.95</v>
      </c>
      <c r="L1311">
        <f t="shared" ca="1" si="649"/>
        <v>2.1389677043987478</v>
      </c>
      <c r="M1311">
        <f t="shared" ca="1" si="622"/>
        <v>11.122632062873489</v>
      </c>
      <c r="N1311">
        <f t="shared" ca="1" si="623"/>
        <v>1.1735290000551568</v>
      </c>
      <c r="O1311">
        <f t="shared" ca="1" si="624"/>
        <v>4.5807502857230418</v>
      </c>
      <c r="P1311">
        <f t="shared" ca="1" si="625"/>
        <v>634.0779677043987</v>
      </c>
      <c r="Q1311">
        <f t="shared" ca="1" si="626"/>
        <v>635.14745155659807</v>
      </c>
      <c r="R1311">
        <f t="shared" ca="1" si="627"/>
        <v>3.8141460404132466E-3</v>
      </c>
      <c r="S1311">
        <f t="shared" ca="1" si="628"/>
        <v>1.0000000000000004</v>
      </c>
      <c r="T1311">
        <f t="shared" ca="1" si="629"/>
        <v>35.686426155594638</v>
      </c>
      <c r="U1311">
        <f t="shared" ca="1" si="650"/>
        <v>-3.4157470064428708E-3</v>
      </c>
      <c r="V1311">
        <f t="shared" ca="1" si="651"/>
        <v>1</v>
      </c>
      <c r="W1311">
        <f t="shared" ca="1" si="630"/>
        <v>1.6812012619778933</v>
      </c>
      <c r="X1311">
        <f t="shared" ca="1" si="631"/>
        <v>8.7422465622850449</v>
      </c>
      <c r="Y1311">
        <f t="shared" ca="1" si="632"/>
        <v>1.0210039224185143</v>
      </c>
      <c r="Z1311">
        <f t="shared" ca="1" si="633"/>
        <v>5.8280213943866066</v>
      </c>
      <c r="AA1311">
        <f t="shared" ca="1" si="634"/>
        <v>633.62020126197785</v>
      </c>
      <c r="AB1311">
        <f t="shared" ca="1" si="635"/>
        <v>635.35138542983861</v>
      </c>
      <c r="AC1311">
        <f t="shared" ca="1" si="636"/>
        <v>7.4334127028134935E-3</v>
      </c>
      <c r="AD1311">
        <f t="shared" ca="1" si="637"/>
        <v>1.4350822076162668</v>
      </c>
      <c r="AE1311">
        <f t="shared" ca="1" si="638"/>
        <v>37.617615656843711</v>
      </c>
      <c r="AF1311">
        <f t="shared" ca="1" si="639"/>
        <v>7.0978751987240685E-3</v>
      </c>
      <c r="AG1311">
        <f t="shared" ca="1" si="640"/>
        <v>0</v>
      </c>
      <c r="AH1311">
        <f ca="1">IFERROR(IF(V32="Supercritical",MAX($D$16,IFERROR(L1311,MAX($D$16,POWER((ABS(K1311)^2)/($I$5*MAX(F1311,0.1)^2),1/3)))),IF(V32="Subcritical",MAX($D$16,IFERROR(W1311,MAX($D$16,POWER((ABS(K1311)^2)/($I$5*MAX(F1311,0.1)^2),1/3)))),IF(AND(IFERROR(V1311,0)=1,IFERROR(AG1311,0)=1),IF(IFERROR(T1311,-1E+99)&gt;=IFERROR(AE1311,-1E+99),MAX($D$16,IFERROR(L1311,MAX($D$16,POWER((ABS(K1311)^2)/($I$5*MAX(F1311,0.1)^2),1/3)))),MAX($D$16,IFERROR(W1311,MAX($D$16,POWER((ABS(K1311)^2)/($I$5*MAX(F1311,0.1)^2),1/3))))),IF(IFERROR(V1311,0)=1,MAX($D$16,IFERROR(L1311,MAX($D$16,POWER((ABS(K1311)^2)/($I$5*MAX(F1311,0.1)^2),1/3)))),IF(IFERROR(AG1311,0)=1,MAX($D$16,IFERROR(W1311,MAX($D$16,POWER((ABS(K1311)^2)/($I$5*MAX(F1311,0.1)^2),1/3)))),MAX($D$16,POWER((ABS(K1311)^2)/($I$5*MAX(F1311,0.1)^2),1/3))))))),MAX($D$16,POWER((ABS(K1311)^2)/($I$5*MAX(F1311,0.1)^2),1/3)))</f>
        <v>2.1389677043987478</v>
      </c>
      <c r="AI1311">
        <f t="shared" ca="1" si="641"/>
        <v>634.0779677043987</v>
      </c>
      <c r="AJ1311">
        <f t="shared" ca="1" si="642"/>
        <v>635.14745155659807</v>
      </c>
      <c r="AM1311">
        <v>0</v>
      </c>
      <c r="AN1311">
        <v>0</v>
      </c>
      <c r="AO1311">
        <f t="shared" si="643"/>
        <v>0</v>
      </c>
      <c r="AP1311">
        <f t="shared" si="652"/>
        <v>0</v>
      </c>
      <c r="AQ1311">
        <f t="shared" ca="1" si="644"/>
        <v>1.0000000000000004</v>
      </c>
      <c r="AR1311" t="str">
        <f t="shared" ca="1" si="645"/>
        <v>Supercritical</v>
      </c>
      <c r="AS1311">
        <f t="shared" ca="1" si="646"/>
        <v>3.8141460404132466E-3</v>
      </c>
    </row>
    <row r="1312" spans="1:45" x14ac:dyDescent="0.35">
      <c r="A1312">
        <v>1251</v>
      </c>
      <c r="B1312">
        <v>1249.9960000000001</v>
      </c>
      <c r="C1312">
        <v>616070.728</v>
      </c>
      <c r="D1312">
        <v>3096757.28</v>
      </c>
      <c r="E1312">
        <v>631.93849999999998</v>
      </c>
      <c r="F1312">
        <v>5.2</v>
      </c>
      <c r="G1312">
        <v>0</v>
      </c>
      <c r="H1312" t="s">
        <v>154</v>
      </c>
      <c r="I1312">
        <v>5.7000000000000002E-2</v>
      </c>
      <c r="J1312">
        <f t="shared" si="647"/>
        <v>1</v>
      </c>
      <c r="K1312">
        <f t="shared" ca="1" si="648"/>
        <v>50.95</v>
      </c>
      <c r="L1312">
        <f t="shared" ca="1" si="649"/>
        <v>2.1389677043987478</v>
      </c>
      <c r="M1312">
        <f t="shared" ca="1" si="622"/>
        <v>11.122632062873489</v>
      </c>
      <c r="N1312">
        <f t="shared" ca="1" si="623"/>
        <v>1.1735290000551568</v>
      </c>
      <c r="O1312">
        <f t="shared" ca="1" si="624"/>
        <v>4.5807502857230418</v>
      </c>
      <c r="P1312">
        <f t="shared" ca="1" si="625"/>
        <v>634.07746770439871</v>
      </c>
      <c r="Q1312">
        <f t="shared" ca="1" si="626"/>
        <v>635.14695155659808</v>
      </c>
      <c r="R1312">
        <f t="shared" ca="1" si="627"/>
        <v>3.8141460404132466E-3</v>
      </c>
      <c r="S1312">
        <f t="shared" ca="1" si="628"/>
        <v>1.0000000000000004</v>
      </c>
      <c r="T1312">
        <f t="shared" ca="1" si="629"/>
        <v>35.686426155594638</v>
      </c>
      <c r="U1312">
        <f t="shared" ca="1" si="650"/>
        <v>-3.4157470064428708E-3</v>
      </c>
      <c r="V1312">
        <f t="shared" ca="1" si="651"/>
        <v>1</v>
      </c>
      <c r="W1312">
        <f t="shared" ca="1" si="630"/>
        <v>1.6812012618534573</v>
      </c>
      <c r="X1312">
        <f t="shared" ca="1" si="631"/>
        <v>8.7422465616379785</v>
      </c>
      <c r="Y1312">
        <f t="shared" ca="1" si="632"/>
        <v>1.0210039223726197</v>
      </c>
      <c r="Z1312">
        <f t="shared" ca="1" si="633"/>
        <v>5.8280213948179735</v>
      </c>
      <c r="AA1312">
        <f t="shared" ca="1" si="634"/>
        <v>633.61970126185338</v>
      </c>
      <c r="AB1312">
        <f t="shared" ca="1" si="635"/>
        <v>635.35088542997039</v>
      </c>
      <c r="AC1312">
        <f t="shared" ca="1" si="636"/>
        <v>7.4334127043593897E-3</v>
      </c>
      <c r="AD1312">
        <f t="shared" ca="1" si="637"/>
        <v>1.4350822077755956</v>
      </c>
      <c r="AE1312">
        <f t="shared" ca="1" si="638"/>
        <v>37.61761565799624</v>
      </c>
      <c r="AF1312">
        <f t="shared" ca="1" si="639"/>
        <v>6.933412704370312E-3</v>
      </c>
      <c r="AG1312">
        <f t="shared" ca="1" si="640"/>
        <v>0</v>
      </c>
      <c r="AH1312">
        <f ca="1">IFERROR(IF(V32="Supercritical",MAX($D$16,IFERROR(L1312,MAX($D$16,POWER((ABS(K1312)^2)/($I$5*MAX(F1312,0.1)^2),1/3)))),IF(V32="Subcritical",MAX($D$16,IFERROR(W1312,MAX($D$16,POWER((ABS(K1312)^2)/($I$5*MAX(F1312,0.1)^2),1/3)))),IF(AND(IFERROR(V1312,0)=1,IFERROR(AG1312,0)=1),IF(IFERROR(T1312,-1E+99)&gt;=IFERROR(AE1312,-1E+99),MAX($D$16,IFERROR(L1312,MAX($D$16,POWER((ABS(K1312)^2)/($I$5*MAX(F1312,0.1)^2),1/3)))),MAX($D$16,IFERROR(W1312,MAX($D$16,POWER((ABS(K1312)^2)/($I$5*MAX(F1312,0.1)^2),1/3))))),IF(IFERROR(V1312,0)=1,MAX($D$16,IFERROR(L1312,MAX($D$16,POWER((ABS(K1312)^2)/($I$5*MAX(F1312,0.1)^2),1/3)))),IF(IFERROR(AG1312,0)=1,MAX($D$16,IFERROR(W1312,MAX($D$16,POWER((ABS(K1312)^2)/($I$5*MAX(F1312,0.1)^2),1/3)))),MAX($D$16,POWER((ABS(K1312)^2)/($I$5*MAX(F1312,0.1)^2),1/3))))))),MAX($D$16,POWER((ABS(K1312)^2)/($I$5*MAX(F1312,0.1)^2),1/3)))</f>
        <v>2.1389677043987478</v>
      </c>
      <c r="AI1312">
        <f t="shared" ca="1" si="641"/>
        <v>634.07746770439871</v>
      </c>
      <c r="AJ1312">
        <f t="shared" ca="1" si="642"/>
        <v>635.14695155659808</v>
      </c>
      <c r="AM1312">
        <v>0</v>
      </c>
      <c r="AN1312">
        <v>0</v>
      </c>
      <c r="AO1312">
        <f t="shared" si="643"/>
        <v>0</v>
      </c>
      <c r="AP1312">
        <f t="shared" si="652"/>
        <v>0</v>
      </c>
      <c r="AQ1312">
        <f t="shared" ca="1" si="644"/>
        <v>1.0000000000000004</v>
      </c>
      <c r="AR1312" t="str">
        <f t="shared" ca="1" si="645"/>
        <v>Supercritical</v>
      </c>
      <c r="AS1312">
        <f t="shared" ca="1" si="646"/>
        <v>3.8141460404132466E-3</v>
      </c>
    </row>
    <row r="1313" spans="1:45" x14ac:dyDescent="0.35">
      <c r="A1313">
        <v>1252</v>
      </c>
      <c r="B1313">
        <v>1250.9960000000001</v>
      </c>
      <c r="C1313">
        <v>616070.68599999999</v>
      </c>
      <c r="D1313">
        <v>3096756.281</v>
      </c>
      <c r="E1313">
        <v>631.93799999999999</v>
      </c>
      <c r="F1313">
        <v>5.2</v>
      </c>
      <c r="G1313">
        <v>0</v>
      </c>
      <c r="H1313" t="s">
        <v>154</v>
      </c>
      <c r="I1313">
        <v>0</v>
      </c>
      <c r="J1313">
        <f t="shared" si="647"/>
        <v>1</v>
      </c>
      <c r="K1313">
        <f t="shared" ca="1" si="648"/>
        <v>50.95</v>
      </c>
      <c r="L1313">
        <f t="shared" ca="1" si="649"/>
        <v>2.1389677043987478</v>
      </c>
      <c r="M1313">
        <f t="shared" ca="1" si="622"/>
        <v>11.122632062873489</v>
      </c>
      <c r="N1313">
        <f t="shared" ca="1" si="623"/>
        <v>1.1735290000551568</v>
      </c>
      <c r="O1313">
        <f t="shared" ca="1" si="624"/>
        <v>4.5807502857230418</v>
      </c>
      <c r="P1313">
        <f t="shared" ca="1" si="625"/>
        <v>634.07696770439873</v>
      </c>
      <c r="Q1313">
        <f t="shared" ca="1" si="626"/>
        <v>635.14645155659809</v>
      </c>
      <c r="R1313">
        <f t="shared" ca="1" si="627"/>
        <v>3.8141460404132466E-3</v>
      </c>
      <c r="S1313">
        <f t="shared" ca="1" si="628"/>
        <v>1.0000000000000004</v>
      </c>
      <c r="T1313">
        <f t="shared" ca="1" si="629"/>
        <v>35.686426155594638</v>
      </c>
      <c r="U1313">
        <f t="shared" ca="1" si="650"/>
        <v>-3.3141460404522149E-3</v>
      </c>
      <c r="V1313">
        <f t="shared" ca="1" si="651"/>
        <v>1</v>
      </c>
      <c r="W1313">
        <f t="shared" ca="1" si="630"/>
        <v>1.6812012617371386</v>
      </c>
      <c r="X1313">
        <f t="shared" ca="1" si="631"/>
        <v>8.7422465610331201</v>
      </c>
      <c r="Y1313">
        <f t="shared" ca="1" si="632"/>
        <v>1.0210039223297189</v>
      </c>
      <c r="Z1313">
        <f t="shared" ca="1" si="633"/>
        <v>5.8280213952212021</v>
      </c>
      <c r="AA1313">
        <f t="shared" ca="1" si="634"/>
        <v>633.61920126173709</v>
      </c>
      <c r="AB1313">
        <f t="shared" ca="1" si="635"/>
        <v>635.35038543009364</v>
      </c>
      <c r="AC1313">
        <f t="shared" ca="1" si="636"/>
        <v>7.4334127058044482E-3</v>
      </c>
      <c r="AD1313">
        <f t="shared" ca="1" si="637"/>
        <v>1.4350822079245311</v>
      </c>
      <c r="AE1313">
        <f t="shared" ca="1" si="638"/>
        <v>37.617615659073593</v>
      </c>
      <c r="AF1313">
        <f t="shared" ca="1" si="639"/>
        <v>6.9259792931006814E-3</v>
      </c>
      <c r="AG1313">
        <f t="shared" ca="1" si="640"/>
        <v>0</v>
      </c>
      <c r="AH1313">
        <f ca="1">IFERROR(IF(V32="Supercritical",MAX($D$16,IFERROR(L1313,MAX($D$16,POWER((ABS(K1313)^2)/($I$5*MAX(F1313,0.1)^2),1/3)))),IF(V32="Subcritical",MAX($D$16,IFERROR(W1313,MAX($D$16,POWER((ABS(K1313)^2)/($I$5*MAX(F1313,0.1)^2),1/3)))),IF(AND(IFERROR(V1313,0)=1,IFERROR(AG1313,0)=1),IF(IFERROR(T1313,-1E+99)&gt;=IFERROR(AE1313,-1E+99),MAX($D$16,IFERROR(L1313,MAX($D$16,POWER((ABS(K1313)^2)/($I$5*MAX(F1313,0.1)^2),1/3)))),MAX($D$16,IFERROR(W1313,MAX($D$16,POWER((ABS(K1313)^2)/($I$5*MAX(F1313,0.1)^2),1/3))))),IF(IFERROR(V1313,0)=1,MAX($D$16,IFERROR(L1313,MAX($D$16,POWER((ABS(K1313)^2)/($I$5*MAX(F1313,0.1)^2),1/3)))),IF(IFERROR(AG1313,0)=1,MAX($D$16,IFERROR(W1313,MAX($D$16,POWER((ABS(K1313)^2)/($I$5*MAX(F1313,0.1)^2),1/3)))),MAX($D$16,POWER((ABS(K1313)^2)/($I$5*MAX(F1313,0.1)^2),1/3))))))),MAX($D$16,POWER((ABS(K1313)^2)/($I$5*MAX(F1313,0.1)^2),1/3)))</f>
        <v>2.1389677043987478</v>
      </c>
      <c r="AI1313">
        <f t="shared" ca="1" si="641"/>
        <v>634.07696770439873</v>
      </c>
      <c r="AJ1313">
        <f t="shared" ca="1" si="642"/>
        <v>635.14645155659809</v>
      </c>
      <c r="AM1313">
        <v>0</v>
      </c>
      <c r="AN1313">
        <v>0</v>
      </c>
      <c r="AO1313">
        <f t="shared" si="643"/>
        <v>0</v>
      </c>
      <c r="AP1313">
        <f t="shared" si="652"/>
        <v>0</v>
      </c>
      <c r="AQ1313">
        <f t="shared" ca="1" si="644"/>
        <v>1.0000000000000004</v>
      </c>
      <c r="AR1313" t="str">
        <f t="shared" ca="1" si="645"/>
        <v>Supercritical</v>
      </c>
      <c r="AS1313">
        <f t="shared" ca="1" si="646"/>
        <v>3.8141460404132466E-3</v>
      </c>
    </row>
    <row r="1314" spans="1:45" x14ac:dyDescent="0.35">
      <c r="A1314">
        <v>1253</v>
      </c>
      <c r="B1314">
        <v>1251.9949999999999</v>
      </c>
      <c r="C1314">
        <v>616070.64399999997</v>
      </c>
      <c r="D1314">
        <v>3096755.2820000001</v>
      </c>
      <c r="E1314">
        <v>631.9375</v>
      </c>
      <c r="F1314">
        <v>5.2</v>
      </c>
      <c r="G1314">
        <v>0</v>
      </c>
      <c r="H1314" t="s">
        <v>154</v>
      </c>
      <c r="I1314">
        <v>0</v>
      </c>
      <c r="J1314">
        <f t="shared" si="647"/>
        <v>0.99899999999979627</v>
      </c>
      <c r="K1314">
        <f t="shared" ca="1" si="648"/>
        <v>50.95</v>
      </c>
      <c r="L1314">
        <f t="shared" ca="1" si="649"/>
        <v>2.1389677043987478</v>
      </c>
      <c r="M1314">
        <f t="shared" ca="1" si="622"/>
        <v>11.122632062873489</v>
      </c>
      <c r="N1314">
        <f t="shared" ca="1" si="623"/>
        <v>1.1735290000551568</v>
      </c>
      <c r="O1314">
        <f t="shared" ca="1" si="624"/>
        <v>4.5807502857230418</v>
      </c>
      <c r="P1314">
        <f t="shared" ca="1" si="625"/>
        <v>634.07646770439874</v>
      </c>
      <c r="Q1314">
        <f t="shared" ca="1" si="626"/>
        <v>635.14595155659811</v>
      </c>
      <c r="R1314">
        <f t="shared" ca="1" si="627"/>
        <v>3.8141460404132466E-3</v>
      </c>
      <c r="S1314">
        <f t="shared" ca="1" si="628"/>
        <v>1.0000000000000004</v>
      </c>
      <c r="T1314">
        <f t="shared" ca="1" si="629"/>
        <v>35.686426155594638</v>
      </c>
      <c r="U1314">
        <f t="shared" ca="1" si="650"/>
        <v>-3.3103318943403792E-3</v>
      </c>
      <c r="V1314">
        <f t="shared" ca="1" si="651"/>
        <v>1</v>
      </c>
      <c r="W1314">
        <f t="shared" ca="1" si="630"/>
        <v>1.6812012616284255</v>
      </c>
      <c r="X1314">
        <f t="shared" ca="1" si="631"/>
        <v>8.7422465604678123</v>
      </c>
      <c r="Y1314">
        <f t="shared" ca="1" si="632"/>
        <v>1.0210039222896232</v>
      </c>
      <c r="Z1314">
        <f t="shared" ca="1" si="633"/>
        <v>5.8280213955980651</v>
      </c>
      <c r="AA1314">
        <f t="shared" ca="1" si="634"/>
        <v>633.61870126162842</v>
      </c>
      <c r="AB1314">
        <f t="shared" ca="1" si="635"/>
        <v>635.34988543020893</v>
      </c>
      <c r="AC1314">
        <f t="shared" ca="1" si="636"/>
        <v>7.4334127071550172E-3</v>
      </c>
      <c r="AD1314">
        <f t="shared" ca="1" si="637"/>
        <v>1.4350822080637282</v>
      </c>
      <c r="AE1314">
        <f t="shared" ca="1" si="638"/>
        <v>37.617615660080503</v>
      </c>
      <c r="AF1314">
        <f t="shared" ca="1" si="639"/>
        <v>7.097875203271542E-3</v>
      </c>
      <c r="AG1314">
        <f t="shared" ca="1" si="640"/>
        <v>0</v>
      </c>
      <c r="AH1314">
        <f ca="1">IFERROR(IF(V32="Supercritical",MAX($D$16,IFERROR(L1314,MAX($D$16,POWER((ABS(K1314)^2)/($I$5*MAX(F1314,0.1)^2),1/3)))),IF(V32="Subcritical",MAX($D$16,IFERROR(W1314,MAX($D$16,POWER((ABS(K1314)^2)/($I$5*MAX(F1314,0.1)^2),1/3)))),IF(AND(IFERROR(V1314,0)=1,IFERROR(AG1314,0)=1),IF(IFERROR(T1314,-1E+99)&gt;=IFERROR(AE1314,-1E+99),MAX($D$16,IFERROR(L1314,MAX($D$16,POWER((ABS(K1314)^2)/($I$5*MAX(F1314,0.1)^2),1/3)))),MAX($D$16,IFERROR(W1314,MAX($D$16,POWER((ABS(K1314)^2)/($I$5*MAX(F1314,0.1)^2),1/3))))),IF(IFERROR(V1314,0)=1,MAX($D$16,IFERROR(L1314,MAX($D$16,POWER((ABS(K1314)^2)/($I$5*MAX(F1314,0.1)^2),1/3)))),IF(IFERROR(AG1314,0)=1,MAX($D$16,IFERROR(W1314,MAX($D$16,POWER((ABS(K1314)^2)/($I$5*MAX(F1314,0.1)^2),1/3)))),MAX($D$16,POWER((ABS(K1314)^2)/($I$5*MAX(F1314,0.1)^2),1/3))))))),MAX($D$16,POWER((ABS(K1314)^2)/($I$5*MAX(F1314,0.1)^2),1/3)))</f>
        <v>2.1389677043987478</v>
      </c>
      <c r="AI1314">
        <f t="shared" ca="1" si="641"/>
        <v>634.07646770439874</v>
      </c>
      <c r="AJ1314">
        <f t="shared" ca="1" si="642"/>
        <v>635.14595155659811</v>
      </c>
      <c r="AM1314">
        <v>0</v>
      </c>
      <c r="AN1314">
        <v>0</v>
      </c>
      <c r="AO1314">
        <f t="shared" si="643"/>
        <v>0</v>
      </c>
      <c r="AP1314">
        <f t="shared" si="652"/>
        <v>0</v>
      </c>
      <c r="AQ1314">
        <f t="shared" ca="1" si="644"/>
        <v>1.0000000000000004</v>
      </c>
      <c r="AR1314" t="str">
        <f t="shared" ca="1" si="645"/>
        <v>Supercritical</v>
      </c>
      <c r="AS1314">
        <f t="shared" ca="1" si="646"/>
        <v>3.8141460404132466E-3</v>
      </c>
    </row>
    <row r="1315" spans="1:45" x14ac:dyDescent="0.35">
      <c r="A1315">
        <v>1254</v>
      </c>
      <c r="B1315">
        <v>1252.9949999999999</v>
      </c>
      <c r="C1315">
        <v>616070.60199999996</v>
      </c>
      <c r="D1315">
        <v>3096754.2829999998</v>
      </c>
      <c r="E1315">
        <v>631.93700000000001</v>
      </c>
      <c r="F1315">
        <v>5.2</v>
      </c>
      <c r="G1315">
        <v>0</v>
      </c>
      <c r="H1315" t="s">
        <v>154</v>
      </c>
      <c r="I1315">
        <v>5.7000000000000002E-2</v>
      </c>
      <c r="J1315">
        <f t="shared" si="647"/>
        <v>1</v>
      </c>
      <c r="K1315">
        <f t="shared" ca="1" si="648"/>
        <v>50.95</v>
      </c>
      <c r="L1315">
        <f t="shared" ca="1" si="649"/>
        <v>2.1389677043987478</v>
      </c>
      <c r="M1315">
        <f t="shared" ca="1" si="622"/>
        <v>11.122632062873489</v>
      </c>
      <c r="N1315">
        <f t="shared" ca="1" si="623"/>
        <v>1.1735290000551568</v>
      </c>
      <c r="O1315">
        <f t="shared" ca="1" si="624"/>
        <v>4.5807502857230418</v>
      </c>
      <c r="P1315">
        <f t="shared" ca="1" si="625"/>
        <v>634.07596770439875</v>
      </c>
      <c r="Q1315">
        <f t="shared" ca="1" si="626"/>
        <v>635.14545155659812</v>
      </c>
      <c r="R1315">
        <f t="shared" ca="1" si="627"/>
        <v>3.8141460404132466E-3</v>
      </c>
      <c r="S1315">
        <f t="shared" ca="1" si="628"/>
        <v>1.0000000000000004</v>
      </c>
      <c r="T1315">
        <f t="shared" ca="1" si="629"/>
        <v>35.686426155594638</v>
      </c>
      <c r="U1315">
        <f t="shared" ca="1" si="650"/>
        <v>-3.4157470064428708E-3</v>
      </c>
      <c r="V1315">
        <f t="shared" ca="1" si="651"/>
        <v>1</v>
      </c>
      <c r="W1315">
        <f t="shared" ca="1" si="630"/>
        <v>1.6812012615268237</v>
      </c>
      <c r="X1315">
        <f t="shared" ca="1" si="631"/>
        <v>8.742246559939483</v>
      </c>
      <c r="Y1315">
        <f t="shared" ca="1" si="632"/>
        <v>1.0210039222521505</v>
      </c>
      <c r="Z1315">
        <f t="shared" ca="1" si="633"/>
        <v>5.8280213959502758</v>
      </c>
      <c r="AA1315">
        <f t="shared" ca="1" si="634"/>
        <v>633.61820126152679</v>
      </c>
      <c r="AB1315">
        <f t="shared" ca="1" si="635"/>
        <v>635.34938543031649</v>
      </c>
      <c r="AC1315">
        <f t="shared" ca="1" si="636"/>
        <v>7.4334127084172393E-3</v>
      </c>
      <c r="AD1315">
        <f t="shared" ca="1" si="637"/>
        <v>1.4350822081938199</v>
      </c>
      <c r="AE1315">
        <f t="shared" ca="1" si="638"/>
        <v>37.617615661021546</v>
      </c>
      <c r="AF1315">
        <f t="shared" ca="1" si="639"/>
        <v>7.1065311253732943E-3</v>
      </c>
      <c r="AG1315">
        <f t="shared" ca="1" si="640"/>
        <v>0</v>
      </c>
      <c r="AH1315">
        <f ca="1">IFERROR(IF(V32="Supercritical",MAX($D$16,IFERROR(L1315,MAX($D$16,POWER((ABS(K1315)^2)/($I$5*MAX(F1315,0.1)^2),1/3)))),IF(V32="Subcritical",MAX($D$16,IFERROR(W1315,MAX($D$16,POWER((ABS(K1315)^2)/($I$5*MAX(F1315,0.1)^2),1/3)))),IF(AND(IFERROR(V1315,0)=1,IFERROR(AG1315,0)=1),IF(IFERROR(T1315,-1E+99)&gt;=IFERROR(AE1315,-1E+99),MAX($D$16,IFERROR(L1315,MAX($D$16,POWER((ABS(K1315)^2)/($I$5*MAX(F1315,0.1)^2),1/3)))),MAX($D$16,IFERROR(W1315,MAX($D$16,POWER((ABS(K1315)^2)/($I$5*MAX(F1315,0.1)^2),1/3))))),IF(IFERROR(V1315,0)=1,MAX($D$16,IFERROR(L1315,MAX($D$16,POWER((ABS(K1315)^2)/($I$5*MAX(F1315,0.1)^2),1/3)))),IF(IFERROR(AG1315,0)=1,MAX($D$16,IFERROR(W1315,MAX($D$16,POWER((ABS(K1315)^2)/($I$5*MAX(F1315,0.1)^2),1/3)))),MAX($D$16,POWER((ABS(K1315)^2)/($I$5*MAX(F1315,0.1)^2),1/3))))))),MAX($D$16,POWER((ABS(K1315)^2)/($I$5*MAX(F1315,0.1)^2),1/3)))</f>
        <v>2.1389677043987478</v>
      </c>
      <c r="AI1315">
        <f t="shared" ca="1" si="641"/>
        <v>634.07596770439875</v>
      </c>
      <c r="AJ1315">
        <f t="shared" ca="1" si="642"/>
        <v>635.14545155659812</v>
      </c>
      <c r="AM1315">
        <v>0</v>
      </c>
      <c r="AN1315">
        <v>0</v>
      </c>
      <c r="AO1315">
        <f t="shared" si="643"/>
        <v>0</v>
      </c>
      <c r="AP1315">
        <f t="shared" si="652"/>
        <v>0</v>
      </c>
      <c r="AQ1315">
        <f t="shared" ca="1" si="644"/>
        <v>1.0000000000000004</v>
      </c>
      <c r="AR1315" t="str">
        <f t="shared" ca="1" si="645"/>
        <v>Supercritical</v>
      </c>
      <c r="AS1315">
        <f t="shared" ca="1" si="646"/>
        <v>3.8141460404132466E-3</v>
      </c>
    </row>
    <row r="1316" spans="1:45" x14ac:dyDescent="0.35">
      <c r="A1316">
        <v>1255</v>
      </c>
      <c r="B1316">
        <v>1253.9949999999999</v>
      </c>
      <c r="C1316">
        <v>616070.55900000001</v>
      </c>
      <c r="D1316">
        <v>3096753.284</v>
      </c>
      <c r="E1316">
        <v>631.93650000000002</v>
      </c>
      <c r="F1316">
        <v>5.2</v>
      </c>
      <c r="G1316">
        <v>0</v>
      </c>
      <c r="H1316" t="s">
        <v>154</v>
      </c>
      <c r="I1316">
        <v>0.06</v>
      </c>
      <c r="J1316">
        <f t="shared" si="647"/>
        <v>1</v>
      </c>
      <c r="K1316">
        <f t="shared" ca="1" si="648"/>
        <v>50.95</v>
      </c>
      <c r="L1316">
        <f t="shared" ca="1" si="649"/>
        <v>2.1389677043987478</v>
      </c>
      <c r="M1316">
        <f t="shared" ca="1" si="622"/>
        <v>11.122632062873489</v>
      </c>
      <c r="N1316">
        <f t="shared" ca="1" si="623"/>
        <v>1.1735290000551568</v>
      </c>
      <c r="O1316">
        <f t="shared" ca="1" si="624"/>
        <v>4.5807502857230418</v>
      </c>
      <c r="P1316">
        <f t="shared" ca="1" si="625"/>
        <v>634.07546770439876</v>
      </c>
      <c r="Q1316">
        <f t="shared" ca="1" si="626"/>
        <v>635.14495155659813</v>
      </c>
      <c r="R1316">
        <f t="shared" ca="1" si="627"/>
        <v>3.8141460404132466E-3</v>
      </c>
      <c r="S1316">
        <f t="shared" ca="1" si="628"/>
        <v>1.0000000000000004</v>
      </c>
      <c r="T1316">
        <f t="shared" ca="1" si="629"/>
        <v>35.686426155594638</v>
      </c>
      <c r="U1316">
        <f t="shared" ca="1" si="650"/>
        <v>-3.4210944256756193E-3</v>
      </c>
      <c r="V1316">
        <f t="shared" ca="1" si="651"/>
        <v>1</v>
      </c>
      <c r="W1316">
        <f t="shared" ca="1" si="630"/>
        <v>1.6812012614318383</v>
      </c>
      <c r="X1316">
        <f t="shared" ca="1" si="631"/>
        <v>8.7422465594455598</v>
      </c>
      <c r="Y1316">
        <f t="shared" ca="1" si="632"/>
        <v>1.0210039222171179</v>
      </c>
      <c r="Z1316">
        <f t="shared" ca="1" si="633"/>
        <v>5.8280213962795502</v>
      </c>
      <c r="AA1316">
        <f t="shared" ca="1" si="634"/>
        <v>633.61770126143188</v>
      </c>
      <c r="AB1316">
        <f t="shared" ca="1" si="635"/>
        <v>635.34888543041723</v>
      </c>
      <c r="AC1316">
        <f t="shared" ca="1" si="636"/>
        <v>7.433412709597265E-3</v>
      </c>
      <c r="AD1316">
        <f t="shared" ca="1" si="637"/>
        <v>1.43508220831544</v>
      </c>
      <c r="AE1316">
        <f t="shared" ca="1" si="638"/>
        <v>37.617615661901311</v>
      </c>
      <c r="AF1316">
        <f t="shared" ca="1" si="639"/>
        <v>6.9466167362861597E-3</v>
      </c>
      <c r="AG1316">
        <f t="shared" ca="1" si="640"/>
        <v>0</v>
      </c>
      <c r="AH1316">
        <f ca="1">IFERROR(IF(V32="Supercritical",MAX($D$16,IFERROR(L1316,MAX($D$16,POWER((ABS(K1316)^2)/($I$5*MAX(F1316,0.1)^2),1/3)))),IF(V32="Subcritical",MAX($D$16,IFERROR(W1316,MAX($D$16,POWER((ABS(K1316)^2)/($I$5*MAX(F1316,0.1)^2),1/3)))),IF(AND(IFERROR(V1316,0)=1,IFERROR(AG1316,0)=1),IF(IFERROR(T1316,-1E+99)&gt;=IFERROR(AE1316,-1E+99),MAX($D$16,IFERROR(L1316,MAX($D$16,POWER((ABS(K1316)^2)/($I$5*MAX(F1316,0.1)^2),1/3)))),MAX($D$16,IFERROR(W1316,MAX($D$16,POWER((ABS(K1316)^2)/($I$5*MAX(F1316,0.1)^2),1/3))))),IF(IFERROR(V1316,0)=1,MAX($D$16,IFERROR(L1316,MAX($D$16,POWER((ABS(K1316)^2)/($I$5*MAX(F1316,0.1)^2),1/3)))),IF(IFERROR(AG1316,0)=1,MAX($D$16,IFERROR(W1316,MAX($D$16,POWER((ABS(K1316)^2)/($I$5*MAX(F1316,0.1)^2),1/3)))),MAX($D$16,POWER((ABS(K1316)^2)/($I$5*MAX(F1316,0.1)^2),1/3))))))),MAX($D$16,POWER((ABS(K1316)^2)/($I$5*MAX(F1316,0.1)^2),1/3)))</f>
        <v>2.1389677043987478</v>
      </c>
      <c r="AI1316">
        <f t="shared" ca="1" si="641"/>
        <v>634.07546770439876</v>
      </c>
      <c r="AJ1316">
        <f t="shared" ca="1" si="642"/>
        <v>635.14495155659813</v>
      </c>
      <c r="AM1316">
        <v>0</v>
      </c>
      <c r="AN1316">
        <v>0</v>
      </c>
      <c r="AO1316">
        <f t="shared" si="643"/>
        <v>0</v>
      </c>
      <c r="AP1316">
        <f t="shared" si="652"/>
        <v>0</v>
      </c>
      <c r="AQ1316">
        <f t="shared" ca="1" si="644"/>
        <v>1.0000000000000004</v>
      </c>
      <c r="AR1316" t="str">
        <f t="shared" ca="1" si="645"/>
        <v>Supercritical</v>
      </c>
      <c r="AS1316">
        <f t="shared" ca="1" si="646"/>
        <v>3.8141460404132466E-3</v>
      </c>
    </row>
    <row r="1317" spans="1:45" x14ac:dyDescent="0.35">
      <c r="A1317">
        <v>1256</v>
      </c>
      <c r="B1317">
        <v>1254.9960000000001</v>
      </c>
      <c r="C1317">
        <v>616070.51699999999</v>
      </c>
      <c r="D1317">
        <v>3096752.284</v>
      </c>
      <c r="E1317">
        <v>631.93600000000004</v>
      </c>
      <c r="F1317">
        <v>5.2</v>
      </c>
      <c r="G1317">
        <v>0</v>
      </c>
      <c r="H1317" t="s">
        <v>154</v>
      </c>
      <c r="I1317">
        <v>2E-3</v>
      </c>
      <c r="J1317">
        <f t="shared" si="647"/>
        <v>1.0010000000002037</v>
      </c>
      <c r="K1317">
        <f t="shared" ca="1" si="648"/>
        <v>50.95</v>
      </c>
      <c r="L1317">
        <f t="shared" ca="1" si="649"/>
        <v>2.1389677043987478</v>
      </c>
      <c r="M1317">
        <f t="shared" ca="1" si="622"/>
        <v>11.122632062873489</v>
      </c>
      <c r="N1317">
        <f t="shared" ca="1" si="623"/>
        <v>1.1735290000551568</v>
      </c>
      <c r="O1317">
        <f t="shared" ca="1" si="624"/>
        <v>4.5807502857230418</v>
      </c>
      <c r="P1317">
        <f t="shared" ca="1" si="625"/>
        <v>634.07496770439877</v>
      </c>
      <c r="Q1317">
        <f t="shared" ca="1" si="626"/>
        <v>635.14445155659814</v>
      </c>
      <c r="R1317">
        <f t="shared" ca="1" si="627"/>
        <v>3.8141460404132466E-3</v>
      </c>
      <c r="S1317">
        <f t="shared" ca="1" si="628"/>
        <v>1.0000000000000004</v>
      </c>
      <c r="T1317">
        <f t="shared" ca="1" si="629"/>
        <v>35.686426155594638</v>
      </c>
      <c r="U1317">
        <f t="shared" ca="1" si="650"/>
        <v>-3.3215251326055295E-3</v>
      </c>
      <c r="V1317">
        <f t="shared" ca="1" si="651"/>
        <v>1</v>
      </c>
      <c r="W1317">
        <f t="shared" ca="1" si="630"/>
        <v>1.6812012613430773</v>
      </c>
      <c r="X1317">
        <f t="shared" ca="1" si="631"/>
        <v>8.7422465589840019</v>
      </c>
      <c r="Y1317">
        <f t="shared" ca="1" si="632"/>
        <v>1.021003922184381</v>
      </c>
      <c r="Z1317">
        <f t="shared" ca="1" si="633"/>
        <v>5.828021396587248</v>
      </c>
      <c r="AA1317">
        <f t="shared" ca="1" si="634"/>
        <v>633.6172012613431</v>
      </c>
      <c r="AB1317">
        <f t="shared" ca="1" si="635"/>
        <v>635.34838543051126</v>
      </c>
      <c r="AC1317">
        <f t="shared" ca="1" si="636"/>
        <v>7.4334127106999662E-3</v>
      </c>
      <c r="AD1317">
        <f t="shared" ca="1" si="637"/>
        <v>1.4350822084290904</v>
      </c>
      <c r="AE1317">
        <f t="shared" ca="1" si="638"/>
        <v>37.617615662723416</v>
      </c>
      <c r="AF1317">
        <f t="shared" ca="1" si="639"/>
        <v>6.9334127107367749E-3</v>
      </c>
      <c r="AG1317">
        <f t="shared" ca="1" si="640"/>
        <v>0</v>
      </c>
      <c r="AH1317">
        <f ca="1">IFERROR(IF(V32="Supercritical",MAX($D$16,IFERROR(L1317,MAX($D$16,POWER((ABS(K1317)^2)/($I$5*MAX(F1317,0.1)^2),1/3)))),IF(V32="Subcritical",MAX($D$16,IFERROR(W1317,MAX($D$16,POWER((ABS(K1317)^2)/($I$5*MAX(F1317,0.1)^2),1/3)))),IF(AND(IFERROR(V1317,0)=1,IFERROR(AG1317,0)=1),IF(IFERROR(T1317,-1E+99)&gt;=IFERROR(AE1317,-1E+99),MAX($D$16,IFERROR(L1317,MAX($D$16,POWER((ABS(K1317)^2)/($I$5*MAX(F1317,0.1)^2),1/3)))),MAX($D$16,IFERROR(W1317,MAX($D$16,POWER((ABS(K1317)^2)/($I$5*MAX(F1317,0.1)^2),1/3))))),IF(IFERROR(V1317,0)=1,MAX($D$16,IFERROR(L1317,MAX($D$16,POWER((ABS(K1317)^2)/($I$5*MAX(F1317,0.1)^2),1/3)))),IF(IFERROR(AG1317,0)=1,MAX($D$16,IFERROR(W1317,MAX($D$16,POWER((ABS(K1317)^2)/($I$5*MAX(F1317,0.1)^2),1/3)))),MAX($D$16,POWER((ABS(K1317)^2)/($I$5*MAX(F1317,0.1)^2),1/3))))))),MAX($D$16,POWER((ABS(K1317)^2)/($I$5*MAX(F1317,0.1)^2),1/3)))</f>
        <v>2.1389677043987478</v>
      </c>
      <c r="AI1317">
        <f t="shared" ca="1" si="641"/>
        <v>634.07496770439877</v>
      </c>
      <c r="AJ1317">
        <f t="shared" ca="1" si="642"/>
        <v>635.14445155659814</v>
      </c>
      <c r="AM1317">
        <v>0</v>
      </c>
      <c r="AN1317">
        <v>0</v>
      </c>
      <c r="AO1317">
        <f t="shared" si="643"/>
        <v>0</v>
      </c>
      <c r="AP1317">
        <f t="shared" si="652"/>
        <v>0</v>
      </c>
      <c r="AQ1317">
        <f t="shared" ca="1" si="644"/>
        <v>1.0000000000000004</v>
      </c>
      <c r="AR1317" t="str">
        <f t="shared" ca="1" si="645"/>
        <v>Supercritical</v>
      </c>
      <c r="AS1317">
        <f t="shared" ca="1" si="646"/>
        <v>3.8141460404132466E-3</v>
      </c>
    </row>
    <row r="1318" spans="1:45" x14ac:dyDescent="0.35">
      <c r="A1318">
        <v>1257</v>
      </c>
      <c r="B1318">
        <v>1255.9960000000001</v>
      </c>
      <c r="C1318">
        <v>616070.47499999998</v>
      </c>
      <c r="D1318">
        <v>3096751.2850000001</v>
      </c>
      <c r="E1318">
        <v>631.93550000000005</v>
      </c>
      <c r="F1318">
        <v>5.2</v>
      </c>
      <c r="G1318">
        <v>0</v>
      </c>
      <c r="H1318" t="s">
        <v>154</v>
      </c>
      <c r="I1318">
        <v>0</v>
      </c>
      <c r="J1318">
        <f t="shared" si="647"/>
        <v>1</v>
      </c>
      <c r="K1318">
        <f t="shared" ca="1" si="648"/>
        <v>50.95</v>
      </c>
      <c r="L1318">
        <f t="shared" ca="1" si="649"/>
        <v>2.1389677043987478</v>
      </c>
      <c r="M1318">
        <f t="shared" ca="1" si="622"/>
        <v>11.122632062873489</v>
      </c>
      <c r="N1318">
        <f t="shared" ca="1" si="623"/>
        <v>1.1735290000551568</v>
      </c>
      <c r="O1318">
        <f t="shared" ca="1" si="624"/>
        <v>4.5807502857230418</v>
      </c>
      <c r="P1318">
        <f t="shared" ca="1" si="625"/>
        <v>634.07446770439878</v>
      </c>
      <c r="Q1318">
        <f t="shared" ca="1" si="626"/>
        <v>635.14395155659815</v>
      </c>
      <c r="R1318">
        <f t="shared" ca="1" si="627"/>
        <v>3.8141460404132466E-3</v>
      </c>
      <c r="S1318">
        <f t="shared" ca="1" si="628"/>
        <v>1.0000000000000004</v>
      </c>
      <c r="T1318">
        <f t="shared" ca="1" si="629"/>
        <v>35.686426155594638</v>
      </c>
      <c r="U1318">
        <f t="shared" ca="1" si="650"/>
        <v>-3.3141460404522149E-3</v>
      </c>
      <c r="V1318">
        <f t="shared" ca="1" si="651"/>
        <v>1</v>
      </c>
      <c r="W1318">
        <f t="shared" ca="1" si="630"/>
        <v>1.6812012612600973</v>
      </c>
      <c r="X1318">
        <f t="shared" ca="1" si="631"/>
        <v>8.7422465585525053</v>
      </c>
      <c r="Y1318">
        <f t="shared" ca="1" si="632"/>
        <v>1.0210039221537761</v>
      </c>
      <c r="Z1318">
        <f t="shared" ca="1" si="633"/>
        <v>5.8280213968749051</v>
      </c>
      <c r="AA1318">
        <f t="shared" ca="1" si="634"/>
        <v>633.61670126126012</v>
      </c>
      <c r="AB1318">
        <f t="shared" ca="1" si="635"/>
        <v>635.34788543059915</v>
      </c>
      <c r="AC1318">
        <f t="shared" ca="1" si="636"/>
        <v>7.4334127117308456E-3</v>
      </c>
      <c r="AD1318">
        <f t="shared" ca="1" si="637"/>
        <v>1.4350822085353385</v>
      </c>
      <c r="AE1318">
        <f t="shared" ca="1" si="638"/>
        <v>37.617615663491989</v>
      </c>
      <c r="AF1318">
        <f t="shared" ca="1" si="639"/>
        <v>7.0978752077053286E-3</v>
      </c>
      <c r="AG1318">
        <f t="shared" ca="1" si="640"/>
        <v>0</v>
      </c>
      <c r="AH1318">
        <f ca="1">IFERROR(IF(V32="Supercritical",MAX($D$16,IFERROR(L1318,MAX($D$16,POWER((ABS(K1318)^2)/($I$5*MAX(F1318,0.1)^2),1/3)))),IF(V32="Subcritical",MAX($D$16,IFERROR(W1318,MAX($D$16,POWER((ABS(K1318)^2)/($I$5*MAX(F1318,0.1)^2),1/3)))),IF(AND(IFERROR(V1318,0)=1,IFERROR(AG1318,0)=1),IF(IFERROR(T1318,-1E+99)&gt;=IFERROR(AE1318,-1E+99),MAX($D$16,IFERROR(L1318,MAX($D$16,POWER((ABS(K1318)^2)/($I$5*MAX(F1318,0.1)^2),1/3)))),MAX($D$16,IFERROR(W1318,MAX($D$16,POWER((ABS(K1318)^2)/($I$5*MAX(F1318,0.1)^2),1/3))))),IF(IFERROR(V1318,0)=1,MAX($D$16,IFERROR(L1318,MAX($D$16,POWER((ABS(K1318)^2)/($I$5*MAX(F1318,0.1)^2),1/3)))),IF(IFERROR(AG1318,0)=1,MAX($D$16,IFERROR(W1318,MAX($D$16,POWER((ABS(K1318)^2)/($I$5*MAX(F1318,0.1)^2),1/3)))),MAX($D$16,POWER((ABS(K1318)^2)/($I$5*MAX(F1318,0.1)^2),1/3))))))),MAX($D$16,POWER((ABS(K1318)^2)/($I$5*MAX(F1318,0.1)^2),1/3)))</f>
        <v>2.1389677043987478</v>
      </c>
      <c r="AI1318">
        <f t="shared" ca="1" si="641"/>
        <v>634.07446770439878</v>
      </c>
      <c r="AJ1318">
        <f t="shared" ca="1" si="642"/>
        <v>635.14395155659815</v>
      </c>
      <c r="AM1318">
        <v>0</v>
      </c>
      <c r="AN1318">
        <v>0</v>
      </c>
      <c r="AO1318">
        <f t="shared" si="643"/>
        <v>0</v>
      </c>
      <c r="AP1318">
        <f t="shared" si="652"/>
        <v>0</v>
      </c>
      <c r="AQ1318">
        <f t="shared" ca="1" si="644"/>
        <v>1.0000000000000004</v>
      </c>
      <c r="AR1318" t="str">
        <f t="shared" ca="1" si="645"/>
        <v>Supercritical</v>
      </c>
      <c r="AS1318">
        <f t="shared" ca="1" si="646"/>
        <v>3.8141460404132466E-3</v>
      </c>
    </row>
    <row r="1319" spans="1:45" x14ac:dyDescent="0.35">
      <c r="A1319">
        <v>1258</v>
      </c>
      <c r="B1319">
        <v>1256.9960000000001</v>
      </c>
      <c r="C1319">
        <v>616070.43299999996</v>
      </c>
      <c r="D1319">
        <v>3096750.2859999998</v>
      </c>
      <c r="E1319">
        <v>631.93499999999995</v>
      </c>
      <c r="F1319">
        <v>5.2</v>
      </c>
      <c r="G1319">
        <v>0</v>
      </c>
      <c r="H1319" t="s">
        <v>154</v>
      </c>
      <c r="I1319">
        <v>5.7000000000000002E-2</v>
      </c>
      <c r="J1319">
        <f t="shared" si="647"/>
        <v>1</v>
      </c>
      <c r="K1319">
        <f t="shared" ca="1" si="648"/>
        <v>50.95</v>
      </c>
      <c r="L1319">
        <f t="shared" ca="1" si="649"/>
        <v>2.1389677043987478</v>
      </c>
      <c r="M1319">
        <f t="shared" ca="1" si="622"/>
        <v>11.122632062873489</v>
      </c>
      <c r="N1319">
        <f t="shared" ca="1" si="623"/>
        <v>1.1735290000551568</v>
      </c>
      <c r="O1319">
        <f t="shared" ca="1" si="624"/>
        <v>4.5807502857230418</v>
      </c>
      <c r="P1319">
        <f t="shared" ca="1" si="625"/>
        <v>634.07396770439868</v>
      </c>
      <c r="Q1319">
        <f t="shared" ca="1" si="626"/>
        <v>635.14345155659805</v>
      </c>
      <c r="R1319">
        <f t="shared" ca="1" si="627"/>
        <v>3.8141460404132466E-3</v>
      </c>
      <c r="S1319">
        <f t="shared" ca="1" si="628"/>
        <v>1.0000000000000004</v>
      </c>
      <c r="T1319">
        <f t="shared" ca="1" si="629"/>
        <v>35.686426155594638</v>
      </c>
      <c r="U1319">
        <f t="shared" ca="1" si="650"/>
        <v>-3.4157470063291839E-3</v>
      </c>
      <c r="V1319">
        <f t="shared" ca="1" si="651"/>
        <v>1</v>
      </c>
      <c r="W1319">
        <f t="shared" ca="1" si="630"/>
        <v>1.6812012611825571</v>
      </c>
      <c r="X1319">
        <f t="shared" ca="1" si="631"/>
        <v>8.7422465581492972</v>
      </c>
      <c r="Y1319">
        <f t="shared" ca="1" si="632"/>
        <v>1.0210039221251777</v>
      </c>
      <c r="Z1319">
        <f t="shared" ca="1" si="633"/>
        <v>5.8280213971437034</v>
      </c>
      <c r="AA1319">
        <f t="shared" ca="1" si="634"/>
        <v>633.61620126118248</v>
      </c>
      <c r="AB1319">
        <f t="shared" ca="1" si="635"/>
        <v>635.34738543068124</v>
      </c>
      <c r="AC1319">
        <f t="shared" ca="1" si="636"/>
        <v>7.4334127126941445E-3</v>
      </c>
      <c r="AD1319">
        <f t="shared" ca="1" si="637"/>
        <v>1.4350822086346215</v>
      </c>
      <c r="AE1319">
        <f t="shared" ca="1" si="638"/>
        <v>37.617615664210163</v>
      </c>
      <c r="AF1319">
        <f t="shared" ca="1" si="639"/>
        <v>7.0978752087285102E-3</v>
      </c>
      <c r="AG1319">
        <f t="shared" ca="1" si="640"/>
        <v>0</v>
      </c>
      <c r="AH1319">
        <f ca="1">IFERROR(IF(V32="Supercritical",MAX($D$16,IFERROR(L1319,MAX($D$16,POWER((ABS(K1319)^2)/($I$5*MAX(F1319,0.1)^2),1/3)))),IF(V32="Subcritical",MAX($D$16,IFERROR(W1319,MAX($D$16,POWER((ABS(K1319)^2)/($I$5*MAX(F1319,0.1)^2),1/3)))),IF(AND(IFERROR(V1319,0)=1,IFERROR(AG1319,0)=1),IF(IFERROR(T1319,-1E+99)&gt;=IFERROR(AE1319,-1E+99),MAX($D$16,IFERROR(L1319,MAX($D$16,POWER((ABS(K1319)^2)/($I$5*MAX(F1319,0.1)^2),1/3)))),MAX($D$16,IFERROR(W1319,MAX($D$16,POWER((ABS(K1319)^2)/($I$5*MAX(F1319,0.1)^2),1/3))))),IF(IFERROR(V1319,0)=1,MAX($D$16,IFERROR(L1319,MAX($D$16,POWER((ABS(K1319)^2)/($I$5*MAX(F1319,0.1)^2),1/3)))),IF(IFERROR(AG1319,0)=1,MAX($D$16,IFERROR(W1319,MAX($D$16,POWER((ABS(K1319)^2)/($I$5*MAX(F1319,0.1)^2),1/3)))),MAX($D$16,POWER((ABS(K1319)^2)/($I$5*MAX(F1319,0.1)^2),1/3))))))),MAX($D$16,POWER((ABS(K1319)^2)/($I$5*MAX(F1319,0.1)^2),1/3)))</f>
        <v>2.1389677043987478</v>
      </c>
      <c r="AI1319">
        <f t="shared" ca="1" si="641"/>
        <v>634.07396770439868</v>
      </c>
      <c r="AJ1319">
        <f t="shared" ca="1" si="642"/>
        <v>635.14345155659805</v>
      </c>
      <c r="AM1319">
        <v>0</v>
      </c>
      <c r="AN1319">
        <v>0</v>
      </c>
      <c r="AO1319">
        <f t="shared" si="643"/>
        <v>0</v>
      </c>
      <c r="AP1319">
        <f t="shared" si="652"/>
        <v>0</v>
      </c>
      <c r="AQ1319">
        <f t="shared" ca="1" si="644"/>
        <v>1.0000000000000004</v>
      </c>
      <c r="AR1319" t="str">
        <f t="shared" ca="1" si="645"/>
        <v>Supercritical</v>
      </c>
      <c r="AS1319">
        <f t="shared" ca="1" si="646"/>
        <v>3.8141460404132466E-3</v>
      </c>
    </row>
    <row r="1320" spans="1:45" x14ac:dyDescent="0.35">
      <c r="A1320">
        <v>1259</v>
      </c>
      <c r="B1320">
        <v>1257.9960000000001</v>
      </c>
      <c r="C1320">
        <v>616070.39</v>
      </c>
      <c r="D1320">
        <v>3096749.287</v>
      </c>
      <c r="E1320">
        <v>631.93449999999996</v>
      </c>
      <c r="F1320">
        <v>5.2</v>
      </c>
      <c r="G1320">
        <v>0</v>
      </c>
      <c r="H1320" t="s">
        <v>154</v>
      </c>
      <c r="I1320">
        <v>5.7000000000000002E-2</v>
      </c>
      <c r="J1320">
        <f t="shared" si="647"/>
        <v>1</v>
      </c>
      <c r="K1320">
        <f t="shared" ca="1" si="648"/>
        <v>50.95</v>
      </c>
      <c r="L1320">
        <f t="shared" ca="1" si="649"/>
        <v>2.1389677043987478</v>
      </c>
      <c r="M1320">
        <f t="shared" ca="1" si="622"/>
        <v>11.122632062873489</v>
      </c>
      <c r="N1320">
        <f t="shared" ca="1" si="623"/>
        <v>1.1735290000551568</v>
      </c>
      <c r="O1320">
        <f t="shared" ca="1" si="624"/>
        <v>4.5807502857230418</v>
      </c>
      <c r="P1320">
        <f t="shared" ca="1" si="625"/>
        <v>634.07346770439869</v>
      </c>
      <c r="Q1320">
        <f t="shared" ca="1" si="626"/>
        <v>635.14295155659806</v>
      </c>
      <c r="R1320">
        <f t="shared" ca="1" si="627"/>
        <v>3.8141460404132466E-3</v>
      </c>
      <c r="S1320">
        <f t="shared" ca="1" si="628"/>
        <v>1.0000000000000004</v>
      </c>
      <c r="T1320">
        <f t="shared" ca="1" si="629"/>
        <v>35.686426155594638</v>
      </c>
      <c r="U1320">
        <f t="shared" ca="1" si="650"/>
        <v>-3.4157470064428708E-3</v>
      </c>
      <c r="V1320">
        <f t="shared" ca="1" si="651"/>
        <v>1</v>
      </c>
      <c r="W1320">
        <f t="shared" ca="1" si="630"/>
        <v>1.6812012611100646</v>
      </c>
      <c r="X1320">
        <f t="shared" ca="1" si="631"/>
        <v>8.7422465577723365</v>
      </c>
      <c r="Y1320">
        <f t="shared" ca="1" si="632"/>
        <v>1.021003922098441</v>
      </c>
      <c r="Z1320">
        <f t="shared" ca="1" si="633"/>
        <v>5.8280213973950046</v>
      </c>
      <c r="AA1320">
        <f t="shared" ca="1" si="634"/>
        <v>633.61570126111008</v>
      </c>
      <c r="AB1320">
        <f t="shared" ca="1" si="635"/>
        <v>635.34688543075811</v>
      </c>
      <c r="AC1320">
        <f t="shared" ca="1" si="636"/>
        <v>7.4334127135947366E-3</v>
      </c>
      <c r="AD1320">
        <f t="shared" ca="1" si="637"/>
        <v>1.4350822087274413</v>
      </c>
      <c r="AE1320">
        <f t="shared" ca="1" si="638"/>
        <v>37.617615664881598</v>
      </c>
      <c r="AF1320">
        <f t="shared" ca="1" si="639"/>
        <v>6.9334127135789458E-3</v>
      </c>
      <c r="AG1320">
        <f t="shared" ca="1" si="640"/>
        <v>0</v>
      </c>
      <c r="AH1320">
        <f ca="1">IFERROR(IF(V32="Supercritical",MAX($D$16,IFERROR(L1320,MAX($D$16,POWER((ABS(K1320)^2)/($I$5*MAX(F1320,0.1)^2),1/3)))),IF(V32="Subcritical",MAX($D$16,IFERROR(W1320,MAX($D$16,POWER((ABS(K1320)^2)/($I$5*MAX(F1320,0.1)^2),1/3)))),IF(AND(IFERROR(V1320,0)=1,IFERROR(AG1320,0)=1),IF(IFERROR(T1320,-1E+99)&gt;=IFERROR(AE1320,-1E+99),MAX($D$16,IFERROR(L1320,MAX($D$16,POWER((ABS(K1320)^2)/($I$5*MAX(F1320,0.1)^2),1/3)))),MAX($D$16,IFERROR(W1320,MAX($D$16,POWER((ABS(K1320)^2)/($I$5*MAX(F1320,0.1)^2),1/3))))),IF(IFERROR(V1320,0)=1,MAX($D$16,IFERROR(L1320,MAX($D$16,POWER((ABS(K1320)^2)/($I$5*MAX(F1320,0.1)^2),1/3)))),IF(IFERROR(AG1320,0)=1,MAX($D$16,IFERROR(W1320,MAX($D$16,POWER((ABS(K1320)^2)/($I$5*MAX(F1320,0.1)^2),1/3)))),MAX($D$16,POWER((ABS(K1320)^2)/($I$5*MAX(F1320,0.1)^2),1/3))))))),MAX($D$16,POWER((ABS(K1320)^2)/($I$5*MAX(F1320,0.1)^2),1/3)))</f>
        <v>2.1389677043987478</v>
      </c>
      <c r="AI1320">
        <f t="shared" ca="1" si="641"/>
        <v>634.07346770439869</v>
      </c>
      <c r="AJ1320">
        <f t="shared" ca="1" si="642"/>
        <v>635.14295155659806</v>
      </c>
      <c r="AM1320">
        <v>0</v>
      </c>
      <c r="AN1320">
        <v>0</v>
      </c>
      <c r="AO1320">
        <f t="shared" si="643"/>
        <v>0</v>
      </c>
      <c r="AP1320">
        <f t="shared" si="652"/>
        <v>0</v>
      </c>
      <c r="AQ1320">
        <f t="shared" ca="1" si="644"/>
        <v>1.0000000000000004</v>
      </c>
      <c r="AR1320" t="str">
        <f t="shared" ca="1" si="645"/>
        <v>Supercritical</v>
      </c>
      <c r="AS1320">
        <f t="shared" ca="1" si="646"/>
        <v>3.8141460404132466E-3</v>
      </c>
    </row>
    <row r="1321" spans="1:45" x14ac:dyDescent="0.35">
      <c r="A1321">
        <v>1260</v>
      </c>
      <c r="B1321">
        <v>1258.9960000000001</v>
      </c>
      <c r="C1321">
        <v>616070.348</v>
      </c>
      <c r="D1321">
        <v>3096748.2880000002</v>
      </c>
      <c r="E1321">
        <v>631.93399999999997</v>
      </c>
      <c r="F1321">
        <v>5.2</v>
      </c>
      <c r="G1321">
        <v>0</v>
      </c>
      <c r="H1321" t="s">
        <v>154</v>
      </c>
      <c r="I1321">
        <v>0</v>
      </c>
      <c r="J1321">
        <f t="shared" si="647"/>
        <v>1</v>
      </c>
      <c r="K1321">
        <f t="shared" ca="1" si="648"/>
        <v>50.95</v>
      </c>
      <c r="L1321">
        <f t="shared" ca="1" si="649"/>
        <v>2.1389677043987478</v>
      </c>
      <c r="M1321">
        <f t="shared" ca="1" si="622"/>
        <v>11.122632062873489</v>
      </c>
      <c r="N1321">
        <f t="shared" ca="1" si="623"/>
        <v>1.1735290000551568</v>
      </c>
      <c r="O1321">
        <f t="shared" ca="1" si="624"/>
        <v>4.5807502857230418</v>
      </c>
      <c r="P1321">
        <f t="shared" ca="1" si="625"/>
        <v>634.07296770439871</v>
      </c>
      <c r="Q1321">
        <f t="shared" ca="1" si="626"/>
        <v>635.14245155659808</v>
      </c>
      <c r="R1321">
        <f t="shared" ca="1" si="627"/>
        <v>3.8141460404132466E-3</v>
      </c>
      <c r="S1321">
        <f t="shared" ca="1" si="628"/>
        <v>1.0000000000000004</v>
      </c>
      <c r="T1321">
        <f t="shared" ca="1" si="629"/>
        <v>35.686426155594638</v>
      </c>
      <c r="U1321">
        <f t="shared" ca="1" si="650"/>
        <v>-3.3141460404522149E-3</v>
      </c>
      <c r="V1321">
        <f t="shared" ca="1" si="651"/>
        <v>1</v>
      </c>
      <c r="W1321">
        <f t="shared" ca="1" si="630"/>
        <v>1.681201261042313</v>
      </c>
      <c r="X1321">
        <f t="shared" ca="1" si="631"/>
        <v>8.7422465574200281</v>
      </c>
      <c r="Y1321">
        <f t="shared" ca="1" si="632"/>
        <v>1.0210039220734528</v>
      </c>
      <c r="Z1321">
        <f t="shared" ca="1" si="633"/>
        <v>5.8280213976298709</v>
      </c>
      <c r="AA1321">
        <f t="shared" ca="1" si="634"/>
        <v>633.61520126104233</v>
      </c>
      <c r="AB1321">
        <f t="shared" ca="1" si="635"/>
        <v>635.34638543082986</v>
      </c>
      <c r="AC1321">
        <f t="shared" ca="1" si="636"/>
        <v>7.4334127144364322E-3</v>
      </c>
      <c r="AD1321">
        <f t="shared" ca="1" si="637"/>
        <v>1.435082208814191</v>
      </c>
      <c r="AE1321">
        <f t="shared" ca="1" si="638"/>
        <v>37.617615665509113</v>
      </c>
      <c r="AF1321">
        <f t="shared" ca="1" si="639"/>
        <v>6.9334127144884405E-3</v>
      </c>
      <c r="AG1321">
        <f t="shared" ca="1" si="640"/>
        <v>0</v>
      </c>
      <c r="AH1321">
        <f ca="1">IFERROR(IF(V32="Supercritical",MAX($D$16,IFERROR(L1321,MAX($D$16,POWER((ABS(K1321)^2)/($I$5*MAX(F1321,0.1)^2),1/3)))),IF(V32="Subcritical",MAX($D$16,IFERROR(W1321,MAX($D$16,POWER((ABS(K1321)^2)/($I$5*MAX(F1321,0.1)^2),1/3)))),IF(AND(IFERROR(V1321,0)=1,IFERROR(AG1321,0)=1),IF(IFERROR(T1321,-1E+99)&gt;=IFERROR(AE1321,-1E+99),MAX($D$16,IFERROR(L1321,MAX($D$16,POWER((ABS(K1321)^2)/($I$5*MAX(F1321,0.1)^2),1/3)))),MAX($D$16,IFERROR(W1321,MAX($D$16,POWER((ABS(K1321)^2)/($I$5*MAX(F1321,0.1)^2),1/3))))),IF(IFERROR(V1321,0)=1,MAX($D$16,IFERROR(L1321,MAX($D$16,POWER((ABS(K1321)^2)/($I$5*MAX(F1321,0.1)^2),1/3)))),IF(IFERROR(AG1321,0)=1,MAX($D$16,IFERROR(W1321,MAX($D$16,POWER((ABS(K1321)^2)/($I$5*MAX(F1321,0.1)^2),1/3)))),MAX($D$16,POWER((ABS(K1321)^2)/($I$5*MAX(F1321,0.1)^2),1/3))))))),MAX($D$16,POWER((ABS(K1321)^2)/($I$5*MAX(F1321,0.1)^2),1/3)))</f>
        <v>2.1389677043987478</v>
      </c>
      <c r="AI1321">
        <f t="shared" ca="1" si="641"/>
        <v>634.07296770439871</v>
      </c>
      <c r="AJ1321">
        <f t="shared" ca="1" si="642"/>
        <v>635.14245155659808</v>
      </c>
      <c r="AM1321">
        <v>0</v>
      </c>
      <c r="AN1321">
        <v>0</v>
      </c>
      <c r="AO1321">
        <f t="shared" si="643"/>
        <v>0</v>
      </c>
      <c r="AP1321">
        <f t="shared" si="652"/>
        <v>0</v>
      </c>
      <c r="AQ1321">
        <f t="shared" ca="1" si="644"/>
        <v>1.0000000000000004</v>
      </c>
      <c r="AR1321" t="str">
        <f t="shared" ca="1" si="645"/>
        <v>Supercritical</v>
      </c>
      <c r="AS1321">
        <f t="shared" ca="1" si="646"/>
        <v>3.8141460404132466E-3</v>
      </c>
    </row>
    <row r="1322" spans="1:45" x14ac:dyDescent="0.35">
      <c r="A1322">
        <v>1261</v>
      </c>
      <c r="B1322">
        <v>1259.9960000000001</v>
      </c>
      <c r="C1322">
        <v>616070.30599999998</v>
      </c>
      <c r="D1322">
        <v>3096747.2889999999</v>
      </c>
      <c r="E1322">
        <v>631.93349999999998</v>
      </c>
      <c r="F1322">
        <v>5.2</v>
      </c>
      <c r="G1322">
        <v>0</v>
      </c>
      <c r="H1322" t="s">
        <v>154</v>
      </c>
      <c r="I1322">
        <v>0</v>
      </c>
      <c r="J1322">
        <f t="shared" si="647"/>
        <v>1</v>
      </c>
      <c r="K1322">
        <f t="shared" ca="1" si="648"/>
        <v>50.95</v>
      </c>
      <c r="L1322">
        <f t="shared" ca="1" si="649"/>
        <v>2.1389677043987478</v>
      </c>
      <c r="M1322">
        <f t="shared" ca="1" si="622"/>
        <v>11.122632062873489</v>
      </c>
      <c r="N1322">
        <f t="shared" ca="1" si="623"/>
        <v>1.1735290000551568</v>
      </c>
      <c r="O1322">
        <f t="shared" ca="1" si="624"/>
        <v>4.5807502857230418</v>
      </c>
      <c r="P1322">
        <f t="shared" ca="1" si="625"/>
        <v>634.07246770439872</v>
      </c>
      <c r="Q1322">
        <f t="shared" ca="1" si="626"/>
        <v>635.14195155659809</v>
      </c>
      <c r="R1322">
        <f t="shared" ca="1" si="627"/>
        <v>3.8141460404132466E-3</v>
      </c>
      <c r="S1322">
        <f t="shared" ca="1" si="628"/>
        <v>1.0000000000000004</v>
      </c>
      <c r="T1322">
        <f t="shared" ca="1" si="629"/>
        <v>35.686426155594638</v>
      </c>
      <c r="U1322">
        <f t="shared" ca="1" si="650"/>
        <v>-3.3141460404522149E-3</v>
      </c>
      <c r="V1322">
        <f t="shared" ca="1" si="651"/>
        <v>1</v>
      </c>
      <c r="W1322">
        <f t="shared" ca="1" si="630"/>
        <v>1.6812012609789952</v>
      </c>
      <c r="X1322">
        <f t="shared" ca="1" si="631"/>
        <v>8.742246557090775</v>
      </c>
      <c r="Y1322">
        <f t="shared" ca="1" si="632"/>
        <v>1.0210039220500999</v>
      </c>
      <c r="Z1322">
        <f t="shared" ca="1" si="633"/>
        <v>5.8280213978493682</v>
      </c>
      <c r="AA1322">
        <f t="shared" ca="1" si="634"/>
        <v>633.61470126097902</v>
      </c>
      <c r="AB1322">
        <f t="shared" ca="1" si="635"/>
        <v>635.34588543089694</v>
      </c>
      <c r="AC1322">
        <f t="shared" ca="1" si="636"/>
        <v>7.4334127152230435E-3</v>
      </c>
      <c r="AD1322">
        <f t="shared" ca="1" si="637"/>
        <v>1.4350822088952639</v>
      </c>
      <c r="AE1322">
        <f t="shared" ca="1" si="638"/>
        <v>37.617615666095574</v>
      </c>
      <c r="AF1322">
        <f t="shared" ca="1" si="639"/>
        <v>7.0904417987094348E-3</v>
      </c>
      <c r="AG1322">
        <f t="shared" ca="1" si="640"/>
        <v>0</v>
      </c>
      <c r="AH1322">
        <f ca="1">IFERROR(IF(V32="Supercritical",MAX($D$16,IFERROR(L1322,MAX($D$16,POWER((ABS(K1322)^2)/($I$5*MAX(F1322,0.1)^2),1/3)))),IF(V32="Subcritical",MAX($D$16,IFERROR(W1322,MAX($D$16,POWER((ABS(K1322)^2)/($I$5*MAX(F1322,0.1)^2),1/3)))),IF(AND(IFERROR(V1322,0)=1,IFERROR(AG1322,0)=1),IF(IFERROR(T1322,-1E+99)&gt;=IFERROR(AE1322,-1E+99),MAX($D$16,IFERROR(L1322,MAX($D$16,POWER((ABS(K1322)^2)/($I$5*MAX(F1322,0.1)^2),1/3)))),MAX($D$16,IFERROR(W1322,MAX($D$16,POWER((ABS(K1322)^2)/($I$5*MAX(F1322,0.1)^2),1/3))))),IF(IFERROR(V1322,0)=1,MAX($D$16,IFERROR(L1322,MAX($D$16,POWER((ABS(K1322)^2)/($I$5*MAX(F1322,0.1)^2),1/3)))),IF(IFERROR(AG1322,0)=1,MAX($D$16,IFERROR(W1322,MAX($D$16,POWER((ABS(K1322)^2)/($I$5*MAX(F1322,0.1)^2),1/3)))),MAX($D$16,POWER((ABS(K1322)^2)/($I$5*MAX(F1322,0.1)^2),1/3))))))),MAX($D$16,POWER((ABS(K1322)^2)/($I$5*MAX(F1322,0.1)^2),1/3)))</f>
        <v>2.1389677043987478</v>
      </c>
      <c r="AI1322">
        <f t="shared" ca="1" si="641"/>
        <v>634.07246770439872</v>
      </c>
      <c r="AJ1322">
        <f t="shared" ca="1" si="642"/>
        <v>635.14195155659809</v>
      </c>
      <c r="AM1322">
        <v>0</v>
      </c>
      <c r="AN1322">
        <v>0</v>
      </c>
      <c r="AO1322">
        <f t="shared" si="643"/>
        <v>0</v>
      </c>
      <c r="AP1322">
        <f t="shared" si="652"/>
        <v>0</v>
      </c>
      <c r="AQ1322">
        <f t="shared" ca="1" si="644"/>
        <v>1.0000000000000004</v>
      </c>
      <c r="AR1322" t="str">
        <f t="shared" ca="1" si="645"/>
        <v>Supercritical</v>
      </c>
      <c r="AS1322">
        <f t="shared" ca="1" si="646"/>
        <v>3.8141460404132466E-3</v>
      </c>
    </row>
    <row r="1323" spans="1:45" x14ac:dyDescent="0.35">
      <c r="A1323">
        <v>1262</v>
      </c>
      <c r="B1323">
        <v>1260.9949999999999</v>
      </c>
      <c r="C1323">
        <v>616070.26399999997</v>
      </c>
      <c r="D1323">
        <v>3096746.29</v>
      </c>
      <c r="E1323">
        <v>631.93299999999999</v>
      </c>
      <c r="F1323">
        <v>5.2</v>
      </c>
      <c r="G1323">
        <v>0</v>
      </c>
      <c r="H1323" t="s">
        <v>154</v>
      </c>
      <c r="I1323">
        <v>5.7000000000000002E-2</v>
      </c>
      <c r="J1323">
        <f t="shared" si="647"/>
        <v>0.99899999999979627</v>
      </c>
      <c r="K1323">
        <f t="shared" ca="1" si="648"/>
        <v>50.95</v>
      </c>
      <c r="L1323">
        <f t="shared" ca="1" si="649"/>
        <v>2.1389677043987478</v>
      </c>
      <c r="M1323">
        <f t="shared" ca="1" si="622"/>
        <v>11.122632062873489</v>
      </c>
      <c r="N1323">
        <f t="shared" ca="1" si="623"/>
        <v>1.1735290000551568</v>
      </c>
      <c r="O1323">
        <f t="shared" ca="1" si="624"/>
        <v>4.5807502857230418</v>
      </c>
      <c r="P1323">
        <f t="shared" ca="1" si="625"/>
        <v>634.07196770439873</v>
      </c>
      <c r="Q1323">
        <f t="shared" ca="1" si="626"/>
        <v>635.1414515565981</v>
      </c>
      <c r="R1323">
        <f t="shared" ca="1" si="627"/>
        <v>3.8141460404132466E-3</v>
      </c>
      <c r="S1323">
        <f t="shared" ca="1" si="628"/>
        <v>1.0000000000000004</v>
      </c>
      <c r="T1323">
        <f t="shared" ca="1" si="629"/>
        <v>35.686426155594638</v>
      </c>
      <c r="U1323">
        <f t="shared" ca="1" si="650"/>
        <v>-3.411932860331035E-3</v>
      </c>
      <c r="V1323">
        <f t="shared" ca="1" si="651"/>
        <v>1</v>
      </c>
      <c r="W1323">
        <f t="shared" ca="1" si="630"/>
        <v>1.6812012609198042</v>
      </c>
      <c r="X1323">
        <f t="shared" ca="1" si="631"/>
        <v>8.7422465567829821</v>
      </c>
      <c r="Y1323">
        <f t="shared" ca="1" si="632"/>
        <v>1.0210039220282692</v>
      </c>
      <c r="Z1323">
        <f t="shared" ca="1" si="633"/>
        <v>5.8280213980545579</v>
      </c>
      <c r="AA1323">
        <f t="shared" ca="1" si="634"/>
        <v>633.6142012609198</v>
      </c>
      <c r="AB1323">
        <f t="shared" ca="1" si="635"/>
        <v>635.3453854309596</v>
      </c>
      <c r="AC1323">
        <f t="shared" ca="1" si="636"/>
        <v>7.4334127159583858E-3</v>
      </c>
      <c r="AD1323">
        <f t="shared" ca="1" si="637"/>
        <v>1.4350822089710522</v>
      </c>
      <c r="AE1323">
        <f t="shared" ca="1" si="638"/>
        <v>37.6176156666438</v>
      </c>
      <c r="AF1323">
        <f t="shared" ca="1" si="639"/>
        <v>7.0978752121391153E-3</v>
      </c>
      <c r="AG1323">
        <f t="shared" ca="1" si="640"/>
        <v>0</v>
      </c>
      <c r="AH1323">
        <f ca="1">IFERROR(IF(V32="Supercritical",MAX($D$16,IFERROR(L1323,MAX($D$16,POWER((ABS(K1323)^2)/($I$5*MAX(F1323,0.1)^2),1/3)))),IF(V32="Subcritical",MAX($D$16,IFERROR(W1323,MAX($D$16,POWER((ABS(K1323)^2)/($I$5*MAX(F1323,0.1)^2),1/3)))),IF(AND(IFERROR(V1323,0)=1,IFERROR(AG1323,0)=1),IF(IFERROR(T1323,-1E+99)&gt;=IFERROR(AE1323,-1E+99),MAX($D$16,IFERROR(L1323,MAX($D$16,POWER((ABS(K1323)^2)/($I$5*MAX(F1323,0.1)^2),1/3)))),MAX($D$16,IFERROR(W1323,MAX($D$16,POWER((ABS(K1323)^2)/($I$5*MAX(F1323,0.1)^2),1/3))))),IF(IFERROR(V1323,0)=1,MAX($D$16,IFERROR(L1323,MAX($D$16,POWER((ABS(K1323)^2)/($I$5*MAX(F1323,0.1)^2),1/3)))),IF(IFERROR(AG1323,0)=1,MAX($D$16,IFERROR(W1323,MAX($D$16,POWER((ABS(K1323)^2)/($I$5*MAX(F1323,0.1)^2),1/3)))),MAX($D$16,POWER((ABS(K1323)^2)/($I$5*MAX(F1323,0.1)^2),1/3))))))),MAX($D$16,POWER((ABS(K1323)^2)/($I$5*MAX(F1323,0.1)^2),1/3)))</f>
        <v>2.1389677043987478</v>
      </c>
      <c r="AI1323">
        <f t="shared" ca="1" si="641"/>
        <v>634.07196770439873</v>
      </c>
      <c r="AJ1323">
        <f t="shared" ca="1" si="642"/>
        <v>635.1414515565981</v>
      </c>
      <c r="AM1323">
        <v>0</v>
      </c>
      <c r="AN1323">
        <v>0</v>
      </c>
      <c r="AO1323">
        <f t="shared" si="643"/>
        <v>0</v>
      </c>
      <c r="AP1323">
        <f t="shared" si="652"/>
        <v>0</v>
      </c>
      <c r="AQ1323">
        <f t="shared" ca="1" si="644"/>
        <v>1.0000000000000004</v>
      </c>
      <c r="AR1323" t="str">
        <f t="shared" ca="1" si="645"/>
        <v>Supercritical</v>
      </c>
      <c r="AS1323">
        <f t="shared" ca="1" si="646"/>
        <v>3.8141460404132466E-3</v>
      </c>
    </row>
    <row r="1324" spans="1:45" x14ac:dyDescent="0.35">
      <c r="A1324">
        <v>1263</v>
      </c>
      <c r="B1324">
        <v>1261.9949999999999</v>
      </c>
      <c r="C1324">
        <v>616070.22100000002</v>
      </c>
      <c r="D1324">
        <v>3096745.2910000002</v>
      </c>
      <c r="E1324">
        <v>631.9325</v>
      </c>
      <c r="F1324">
        <v>5.2</v>
      </c>
      <c r="G1324">
        <v>0</v>
      </c>
      <c r="H1324" t="s">
        <v>154</v>
      </c>
      <c r="I1324">
        <v>5.7000000000000002E-2</v>
      </c>
      <c r="J1324">
        <f t="shared" si="647"/>
        <v>1</v>
      </c>
      <c r="K1324">
        <f t="shared" ca="1" si="648"/>
        <v>50.95</v>
      </c>
      <c r="L1324">
        <f t="shared" ca="1" si="649"/>
        <v>2.1389677043987478</v>
      </c>
      <c r="M1324">
        <f t="shared" ca="1" si="622"/>
        <v>11.122632062873489</v>
      </c>
      <c r="N1324">
        <f t="shared" ca="1" si="623"/>
        <v>1.1735290000551568</v>
      </c>
      <c r="O1324">
        <f t="shared" ca="1" si="624"/>
        <v>4.5807502857230418</v>
      </c>
      <c r="P1324">
        <f t="shared" ca="1" si="625"/>
        <v>634.07146770439874</v>
      </c>
      <c r="Q1324">
        <f t="shared" ca="1" si="626"/>
        <v>635.14095155659811</v>
      </c>
      <c r="R1324">
        <f t="shared" ca="1" si="627"/>
        <v>3.8141460404132466E-3</v>
      </c>
      <c r="S1324">
        <f t="shared" ca="1" si="628"/>
        <v>1.0000000000000004</v>
      </c>
      <c r="T1324">
        <f t="shared" ca="1" si="629"/>
        <v>35.686426155594638</v>
      </c>
      <c r="U1324">
        <f t="shared" ca="1" si="650"/>
        <v>-3.4157470064428708E-3</v>
      </c>
      <c r="V1324">
        <f t="shared" ca="1" si="651"/>
        <v>1</v>
      </c>
      <c r="W1324">
        <f t="shared" ca="1" si="630"/>
        <v>1.6812012608644671</v>
      </c>
      <c r="X1324">
        <f t="shared" ca="1" si="631"/>
        <v>8.7422465564952283</v>
      </c>
      <c r="Y1324">
        <f t="shared" ca="1" si="632"/>
        <v>1.0210039220078595</v>
      </c>
      <c r="Z1324">
        <f t="shared" ca="1" si="633"/>
        <v>5.8280213982463893</v>
      </c>
      <c r="AA1324">
        <f t="shared" ca="1" si="634"/>
        <v>633.61370126086445</v>
      </c>
      <c r="AB1324">
        <f t="shared" ca="1" si="635"/>
        <v>635.34488543101827</v>
      </c>
      <c r="AC1324">
        <f t="shared" ca="1" si="636"/>
        <v>7.4334127166458567E-3</v>
      </c>
      <c r="AD1324">
        <f t="shared" ca="1" si="637"/>
        <v>1.4350822090419066</v>
      </c>
      <c r="AE1324">
        <f t="shared" ca="1" si="638"/>
        <v>37.617615667156343</v>
      </c>
      <c r="AF1324">
        <f t="shared" ca="1" si="639"/>
        <v>6.9334127166484905E-3</v>
      </c>
      <c r="AG1324">
        <f t="shared" ca="1" si="640"/>
        <v>0</v>
      </c>
      <c r="AH1324">
        <f ca="1">IFERROR(IF(V32="Supercritical",MAX($D$16,IFERROR(L1324,MAX($D$16,POWER((ABS(K1324)^2)/($I$5*MAX(F1324,0.1)^2),1/3)))),IF(V32="Subcritical",MAX($D$16,IFERROR(W1324,MAX($D$16,POWER((ABS(K1324)^2)/($I$5*MAX(F1324,0.1)^2),1/3)))),IF(AND(IFERROR(V1324,0)=1,IFERROR(AG1324,0)=1),IF(IFERROR(T1324,-1E+99)&gt;=IFERROR(AE1324,-1E+99),MAX($D$16,IFERROR(L1324,MAX($D$16,POWER((ABS(K1324)^2)/($I$5*MAX(F1324,0.1)^2),1/3)))),MAX($D$16,IFERROR(W1324,MAX($D$16,POWER((ABS(K1324)^2)/($I$5*MAX(F1324,0.1)^2),1/3))))),IF(IFERROR(V1324,0)=1,MAX($D$16,IFERROR(L1324,MAX($D$16,POWER((ABS(K1324)^2)/($I$5*MAX(F1324,0.1)^2),1/3)))),IF(IFERROR(AG1324,0)=1,MAX($D$16,IFERROR(W1324,MAX($D$16,POWER((ABS(K1324)^2)/($I$5*MAX(F1324,0.1)^2),1/3)))),MAX($D$16,POWER((ABS(K1324)^2)/($I$5*MAX(F1324,0.1)^2),1/3))))))),MAX($D$16,POWER((ABS(K1324)^2)/($I$5*MAX(F1324,0.1)^2),1/3)))</f>
        <v>2.1389677043987478</v>
      </c>
      <c r="AI1324">
        <f t="shared" ca="1" si="641"/>
        <v>634.07146770439874</v>
      </c>
      <c r="AJ1324">
        <f t="shared" ca="1" si="642"/>
        <v>635.14095155659811</v>
      </c>
      <c r="AM1324">
        <v>0</v>
      </c>
      <c r="AN1324">
        <v>0</v>
      </c>
      <c r="AO1324">
        <f t="shared" si="643"/>
        <v>0</v>
      </c>
      <c r="AP1324">
        <f t="shared" si="652"/>
        <v>0</v>
      </c>
      <c r="AQ1324">
        <f t="shared" ca="1" si="644"/>
        <v>1.0000000000000004</v>
      </c>
      <c r="AR1324" t="str">
        <f t="shared" ca="1" si="645"/>
        <v>Supercritical</v>
      </c>
      <c r="AS1324">
        <f t="shared" ca="1" si="646"/>
        <v>3.8141460404132466E-3</v>
      </c>
    </row>
    <row r="1325" spans="1:45" x14ac:dyDescent="0.35">
      <c r="A1325">
        <v>1264</v>
      </c>
      <c r="B1325">
        <v>1262.9949999999999</v>
      </c>
      <c r="C1325">
        <v>616070.179</v>
      </c>
      <c r="D1325">
        <v>3096744.2919999999</v>
      </c>
      <c r="E1325">
        <v>631.93200000000002</v>
      </c>
      <c r="F1325">
        <v>5.2</v>
      </c>
      <c r="G1325">
        <v>0</v>
      </c>
      <c r="H1325" t="s">
        <v>154</v>
      </c>
      <c r="I1325">
        <v>0</v>
      </c>
      <c r="J1325">
        <f t="shared" si="647"/>
        <v>1</v>
      </c>
      <c r="K1325">
        <f t="shared" ca="1" si="648"/>
        <v>50.95</v>
      </c>
      <c r="L1325">
        <f t="shared" ca="1" si="649"/>
        <v>2.1389677043987478</v>
      </c>
      <c r="M1325">
        <f t="shared" ca="1" si="622"/>
        <v>11.122632062873489</v>
      </c>
      <c r="N1325">
        <f t="shared" ca="1" si="623"/>
        <v>1.1735290000551568</v>
      </c>
      <c r="O1325">
        <f t="shared" ca="1" si="624"/>
        <v>4.5807502857230418</v>
      </c>
      <c r="P1325">
        <f t="shared" ca="1" si="625"/>
        <v>634.07096770439875</v>
      </c>
      <c r="Q1325">
        <f t="shared" ca="1" si="626"/>
        <v>635.14045155659812</v>
      </c>
      <c r="R1325">
        <f t="shared" ca="1" si="627"/>
        <v>3.8141460404132466E-3</v>
      </c>
      <c r="S1325">
        <f t="shared" ca="1" si="628"/>
        <v>1.0000000000000004</v>
      </c>
      <c r="T1325">
        <f t="shared" ca="1" si="629"/>
        <v>35.686426155594638</v>
      </c>
      <c r="U1325">
        <f t="shared" ca="1" si="650"/>
        <v>-3.3141460404522149E-3</v>
      </c>
      <c r="V1325">
        <f t="shared" ca="1" si="651"/>
        <v>1</v>
      </c>
      <c r="W1325">
        <f t="shared" ca="1" si="630"/>
        <v>1.6812012608127453</v>
      </c>
      <c r="X1325">
        <f t="shared" ca="1" si="631"/>
        <v>8.7422465562262754</v>
      </c>
      <c r="Y1325">
        <f t="shared" ca="1" si="632"/>
        <v>1.0210039219887836</v>
      </c>
      <c r="Z1325">
        <f t="shared" ca="1" si="633"/>
        <v>5.8280213984256868</v>
      </c>
      <c r="AA1325">
        <f t="shared" ca="1" si="634"/>
        <v>633.61320126081273</v>
      </c>
      <c r="AB1325">
        <f t="shared" ca="1" si="635"/>
        <v>635.34438543107308</v>
      </c>
      <c r="AC1325">
        <f t="shared" ca="1" si="636"/>
        <v>7.4334127172884061E-3</v>
      </c>
      <c r="AD1325">
        <f t="shared" ca="1" si="637"/>
        <v>1.4350822091081314</v>
      </c>
      <c r="AE1325">
        <f t="shared" ca="1" si="638"/>
        <v>37.617615667635391</v>
      </c>
      <c r="AF1325">
        <f t="shared" ca="1" si="639"/>
        <v>6.9391833312693052E-3</v>
      </c>
      <c r="AG1325">
        <f t="shared" ca="1" si="640"/>
        <v>0</v>
      </c>
      <c r="AH1325">
        <f ca="1">IFERROR(IF(V32="Supercritical",MAX($D$16,IFERROR(L1325,MAX($D$16,POWER((ABS(K1325)^2)/($I$5*MAX(F1325,0.1)^2),1/3)))),IF(V32="Subcritical",MAX($D$16,IFERROR(W1325,MAX($D$16,POWER((ABS(K1325)^2)/($I$5*MAX(F1325,0.1)^2),1/3)))),IF(AND(IFERROR(V1325,0)=1,IFERROR(AG1325,0)=1),IF(IFERROR(T1325,-1E+99)&gt;=IFERROR(AE1325,-1E+99),MAX($D$16,IFERROR(L1325,MAX($D$16,POWER((ABS(K1325)^2)/($I$5*MAX(F1325,0.1)^2),1/3)))),MAX($D$16,IFERROR(W1325,MAX($D$16,POWER((ABS(K1325)^2)/($I$5*MAX(F1325,0.1)^2),1/3))))),IF(IFERROR(V1325,0)=1,MAX($D$16,IFERROR(L1325,MAX($D$16,POWER((ABS(K1325)^2)/($I$5*MAX(F1325,0.1)^2),1/3)))),IF(IFERROR(AG1325,0)=1,MAX($D$16,IFERROR(W1325,MAX($D$16,POWER((ABS(K1325)^2)/($I$5*MAX(F1325,0.1)^2),1/3)))),MAX($D$16,POWER((ABS(K1325)^2)/($I$5*MAX(F1325,0.1)^2),1/3))))))),MAX($D$16,POWER((ABS(K1325)^2)/($I$5*MAX(F1325,0.1)^2),1/3)))</f>
        <v>2.1389677043987478</v>
      </c>
      <c r="AI1325">
        <f t="shared" ca="1" si="641"/>
        <v>634.07096770439875</v>
      </c>
      <c r="AJ1325">
        <f t="shared" ca="1" si="642"/>
        <v>635.14045155659812</v>
      </c>
      <c r="AM1325">
        <v>0</v>
      </c>
      <c r="AN1325">
        <v>0</v>
      </c>
      <c r="AO1325">
        <f t="shared" si="643"/>
        <v>0</v>
      </c>
      <c r="AP1325">
        <f t="shared" si="652"/>
        <v>0</v>
      </c>
      <c r="AQ1325">
        <f t="shared" ca="1" si="644"/>
        <v>1.0000000000000004</v>
      </c>
      <c r="AR1325" t="str">
        <f t="shared" ca="1" si="645"/>
        <v>Supercritical</v>
      </c>
      <c r="AS1325">
        <f t="shared" ca="1" si="646"/>
        <v>3.8141460404132466E-3</v>
      </c>
    </row>
    <row r="1326" spans="1:45" x14ac:dyDescent="0.35">
      <c r="A1326">
        <v>1265</v>
      </c>
      <c r="B1326">
        <v>1263.9949999999999</v>
      </c>
      <c r="C1326">
        <v>616070.13699999999</v>
      </c>
      <c r="D1326">
        <v>3096743.2930000001</v>
      </c>
      <c r="E1326">
        <v>631.93150000000003</v>
      </c>
      <c r="F1326">
        <v>5.2</v>
      </c>
      <c r="G1326">
        <v>0</v>
      </c>
      <c r="H1326" t="s">
        <v>154</v>
      </c>
      <c r="I1326">
        <v>2E-3</v>
      </c>
      <c r="J1326">
        <f t="shared" si="647"/>
        <v>1</v>
      </c>
      <c r="K1326">
        <f t="shared" ca="1" si="648"/>
        <v>50.95</v>
      </c>
      <c r="L1326">
        <f t="shared" ca="1" si="649"/>
        <v>2.1389677043987478</v>
      </c>
      <c r="M1326">
        <f t="shared" ca="1" si="622"/>
        <v>11.122632062873489</v>
      </c>
      <c r="N1326">
        <f t="shared" ca="1" si="623"/>
        <v>1.1735290000551568</v>
      </c>
      <c r="O1326">
        <f t="shared" ca="1" si="624"/>
        <v>4.5807502857230418</v>
      </c>
      <c r="P1326">
        <f t="shared" ca="1" si="625"/>
        <v>634.07046770439877</v>
      </c>
      <c r="Q1326">
        <f t="shared" ca="1" si="626"/>
        <v>635.13995155659813</v>
      </c>
      <c r="R1326">
        <f t="shared" ca="1" si="627"/>
        <v>3.8141460404132466E-3</v>
      </c>
      <c r="S1326">
        <f t="shared" ca="1" si="628"/>
        <v>1.0000000000000004</v>
      </c>
      <c r="T1326">
        <f t="shared" ca="1" si="629"/>
        <v>35.686426155594638</v>
      </c>
      <c r="U1326">
        <f t="shared" ca="1" si="650"/>
        <v>-3.3177109866073806E-3</v>
      </c>
      <c r="V1326">
        <f t="shared" ca="1" si="651"/>
        <v>1</v>
      </c>
      <c r="W1326">
        <f t="shared" ca="1" si="630"/>
        <v>1.6812012607644</v>
      </c>
      <c r="X1326">
        <f t="shared" ca="1" si="631"/>
        <v>8.7422465559748801</v>
      </c>
      <c r="Y1326">
        <f t="shared" ca="1" si="632"/>
        <v>1.0210039219709528</v>
      </c>
      <c r="Z1326">
        <f t="shared" ca="1" si="633"/>
        <v>5.8280213985932798</v>
      </c>
      <c r="AA1326">
        <f t="shared" ca="1" si="634"/>
        <v>633.61270126076442</v>
      </c>
      <c r="AB1326">
        <f t="shared" ca="1" si="635"/>
        <v>635.34388543112436</v>
      </c>
      <c r="AC1326">
        <f t="shared" ca="1" si="636"/>
        <v>7.4334127178890133E-3</v>
      </c>
      <c r="AD1326">
        <f t="shared" ca="1" si="637"/>
        <v>1.435082209170033</v>
      </c>
      <c r="AE1326">
        <f t="shared" ca="1" si="638"/>
        <v>37.617615668083168</v>
      </c>
      <c r="AF1326">
        <f t="shared" ca="1" si="639"/>
        <v>7.1139645476705482E-3</v>
      </c>
      <c r="AG1326">
        <f t="shared" ca="1" si="640"/>
        <v>0</v>
      </c>
      <c r="AH1326">
        <f ca="1">IFERROR(IF(V32="Supercritical",MAX($D$16,IFERROR(L1326,MAX($D$16,POWER((ABS(K1326)^2)/($I$5*MAX(F1326,0.1)^2),1/3)))),IF(V32="Subcritical",MAX($D$16,IFERROR(W1326,MAX($D$16,POWER((ABS(K1326)^2)/($I$5*MAX(F1326,0.1)^2),1/3)))),IF(AND(IFERROR(V1326,0)=1,IFERROR(AG1326,0)=1),IF(IFERROR(T1326,-1E+99)&gt;=IFERROR(AE1326,-1E+99),MAX($D$16,IFERROR(L1326,MAX($D$16,POWER((ABS(K1326)^2)/($I$5*MAX(F1326,0.1)^2),1/3)))),MAX($D$16,IFERROR(W1326,MAX($D$16,POWER((ABS(K1326)^2)/($I$5*MAX(F1326,0.1)^2),1/3))))),IF(IFERROR(V1326,0)=1,MAX($D$16,IFERROR(L1326,MAX($D$16,POWER((ABS(K1326)^2)/($I$5*MAX(F1326,0.1)^2),1/3)))),IF(IFERROR(AG1326,0)=1,MAX($D$16,IFERROR(W1326,MAX($D$16,POWER((ABS(K1326)^2)/($I$5*MAX(F1326,0.1)^2),1/3)))),MAX($D$16,POWER((ABS(K1326)^2)/($I$5*MAX(F1326,0.1)^2),1/3))))))),MAX($D$16,POWER((ABS(K1326)^2)/($I$5*MAX(F1326,0.1)^2),1/3)))</f>
        <v>2.1389677043987478</v>
      </c>
      <c r="AI1326">
        <f t="shared" ca="1" si="641"/>
        <v>634.07046770439877</v>
      </c>
      <c r="AJ1326">
        <f t="shared" ca="1" si="642"/>
        <v>635.13995155659813</v>
      </c>
      <c r="AM1326">
        <v>0</v>
      </c>
      <c r="AN1326">
        <v>0</v>
      </c>
      <c r="AO1326">
        <f t="shared" si="643"/>
        <v>0</v>
      </c>
      <c r="AP1326">
        <f t="shared" si="652"/>
        <v>0</v>
      </c>
      <c r="AQ1326">
        <f t="shared" ca="1" si="644"/>
        <v>1.0000000000000004</v>
      </c>
      <c r="AR1326" t="str">
        <f t="shared" ca="1" si="645"/>
        <v>Supercritical</v>
      </c>
      <c r="AS1326">
        <f t="shared" ca="1" si="646"/>
        <v>3.8141460404132466E-3</v>
      </c>
    </row>
    <row r="1327" spans="1:45" x14ac:dyDescent="0.35">
      <c r="A1327">
        <v>1266</v>
      </c>
      <c r="B1327">
        <v>1264.9960000000001</v>
      </c>
      <c r="C1327">
        <v>616070.09499999997</v>
      </c>
      <c r="D1327">
        <v>3096742.2930000001</v>
      </c>
      <c r="E1327">
        <v>631.93100000000004</v>
      </c>
      <c r="F1327">
        <v>5.2</v>
      </c>
      <c r="G1327">
        <v>0</v>
      </c>
      <c r="H1327" t="s">
        <v>154</v>
      </c>
      <c r="I1327">
        <v>0.06</v>
      </c>
      <c r="J1327">
        <f t="shared" si="647"/>
        <v>1.0010000000002037</v>
      </c>
      <c r="K1327">
        <f t="shared" ca="1" si="648"/>
        <v>50.95</v>
      </c>
      <c r="L1327">
        <f t="shared" ca="1" si="649"/>
        <v>2.1389677043987478</v>
      </c>
      <c r="M1327">
        <f t="shared" ca="1" si="622"/>
        <v>11.122632062873489</v>
      </c>
      <c r="N1327">
        <f t="shared" ca="1" si="623"/>
        <v>1.1735290000551568</v>
      </c>
      <c r="O1327">
        <f t="shared" ca="1" si="624"/>
        <v>4.5807502857230418</v>
      </c>
      <c r="P1327">
        <f t="shared" ca="1" si="625"/>
        <v>634.06996770439878</v>
      </c>
      <c r="Q1327">
        <f t="shared" ca="1" si="626"/>
        <v>635.13945155659815</v>
      </c>
      <c r="R1327">
        <f t="shared" ca="1" si="627"/>
        <v>3.8141460404132466E-3</v>
      </c>
      <c r="S1327">
        <f t="shared" ca="1" si="628"/>
        <v>1.0000000000000004</v>
      </c>
      <c r="T1327">
        <f t="shared" ca="1" si="629"/>
        <v>35.686426155594638</v>
      </c>
      <c r="U1327">
        <f t="shared" ca="1" si="650"/>
        <v>-3.4249085716737682E-3</v>
      </c>
      <c r="V1327">
        <f t="shared" ca="1" si="651"/>
        <v>1</v>
      </c>
      <c r="W1327">
        <f t="shared" ca="1" si="630"/>
        <v>1.6812012607192437</v>
      </c>
      <c r="X1327">
        <f t="shared" ca="1" si="631"/>
        <v>8.742246555740067</v>
      </c>
      <c r="Y1327">
        <f t="shared" ca="1" si="632"/>
        <v>1.0210039219542981</v>
      </c>
      <c r="Z1327">
        <f t="shared" ca="1" si="633"/>
        <v>5.8280213987498177</v>
      </c>
      <c r="AA1327">
        <f t="shared" ca="1" si="634"/>
        <v>633.6122012607193</v>
      </c>
      <c r="AB1327">
        <f t="shared" ca="1" si="635"/>
        <v>635.34338543117224</v>
      </c>
      <c r="AC1327">
        <f t="shared" ca="1" si="636"/>
        <v>7.4334127184500012E-3</v>
      </c>
      <c r="AD1327">
        <f t="shared" ca="1" si="637"/>
        <v>1.4350822092278519</v>
      </c>
      <c r="AE1327">
        <f t="shared" ca="1" si="638"/>
        <v>37.617615668501408</v>
      </c>
      <c r="AF1327">
        <f t="shared" ca="1" si="639"/>
        <v>7.0978752146402257E-3</v>
      </c>
      <c r="AG1327">
        <f t="shared" ca="1" si="640"/>
        <v>0</v>
      </c>
      <c r="AH1327">
        <f ca="1">IFERROR(IF(V32="Supercritical",MAX($D$16,IFERROR(L1327,MAX($D$16,POWER((ABS(K1327)^2)/($I$5*MAX(F1327,0.1)^2),1/3)))),IF(V32="Subcritical",MAX($D$16,IFERROR(W1327,MAX($D$16,POWER((ABS(K1327)^2)/($I$5*MAX(F1327,0.1)^2),1/3)))),IF(AND(IFERROR(V1327,0)=1,IFERROR(AG1327,0)=1),IF(IFERROR(T1327,-1E+99)&gt;=IFERROR(AE1327,-1E+99),MAX($D$16,IFERROR(L1327,MAX($D$16,POWER((ABS(K1327)^2)/($I$5*MAX(F1327,0.1)^2),1/3)))),MAX($D$16,IFERROR(W1327,MAX($D$16,POWER((ABS(K1327)^2)/($I$5*MAX(F1327,0.1)^2),1/3))))),IF(IFERROR(V1327,0)=1,MAX($D$16,IFERROR(L1327,MAX($D$16,POWER((ABS(K1327)^2)/($I$5*MAX(F1327,0.1)^2),1/3)))),IF(IFERROR(AG1327,0)=1,MAX($D$16,IFERROR(W1327,MAX($D$16,POWER((ABS(K1327)^2)/($I$5*MAX(F1327,0.1)^2),1/3)))),MAX($D$16,POWER((ABS(K1327)^2)/($I$5*MAX(F1327,0.1)^2),1/3))))))),MAX($D$16,POWER((ABS(K1327)^2)/($I$5*MAX(F1327,0.1)^2),1/3)))</f>
        <v>2.1389677043987478</v>
      </c>
      <c r="AI1327">
        <f t="shared" ca="1" si="641"/>
        <v>634.06996770439878</v>
      </c>
      <c r="AJ1327">
        <f t="shared" ca="1" si="642"/>
        <v>635.13945155659815</v>
      </c>
      <c r="AM1327">
        <v>0</v>
      </c>
      <c r="AN1327">
        <v>0</v>
      </c>
      <c r="AO1327">
        <f t="shared" si="643"/>
        <v>0</v>
      </c>
      <c r="AP1327">
        <f t="shared" si="652"/>
        <v>0</v>
      </c>
      <c r="AQ1327">
        <f t="shared" ca="1" si="644"/>
        <v>1.0000000000000004</v>
      </c>
      <c r="AR1327" t="str">
        <f t="shared" ca="1" si="645"/>
        <v>Supercritical</v>
      </c>
      <c r="AS1327">
        <f t="shared" ca="1" si="646"/>
        <v>3.8141460404132466E-3</v>
      </c>
    </row>
    <row r="1328" spans="1:45" x14ac:dyDescent="0.35">
      <c r="A1328">
        <v>1267</v>
      </c>
      <c r="B1328">
        <v>1265.9960000000001</v>
      </c>
      <c r="C1328">
        <v>616070.05200000003</v>
      </c>
      <c r="D1328">
        <v>3096741.2940000002</v>
      </c>
      <c r="E1328">
        <v>631.93050000000005</v>
      </c>
      <c r="F1328">
        <v>5.2</v>
      </c>
      <c r="G1328">
        <v>0</v>
      </c>
      <c r="H1328" t="s">
        <v>154</v>
      </c>
      <c r="I1328">
        <v>5.7000000000000002E-2</v>
      </c>
      <c r="J1328">
        <f t="shared" si="647"/>
        <v>1</v>
      </c>
      <c r="K1328">
        <f t="shared" ca="1" si="648"/>
        <v>50.95</v>
      </c>
      <c r="L1328">
        <f t="shared" ca="1" si="649"/>
        <v>2.1389677043987478</v>
      </c>
      <c r="M1328">
        <f t="shared" ca="1" si="622"/>
        <v>11.122632062873489</v>
      </c>
      <c r="N1328">
        <f t="shared" ca="1" si="623"/>
        <v>1.1735290000551568</v>
      </c>
      <c r="O1328">
        <f t="shared" ca="1" si="624"/>
        <v>4.5807502857230418</v>
      </c>
      <c r="P1328">
        <f t="shared" ca="1" si="625"/>
        <v>634.06946770439879</v>
      </c>
      <c r="Q1328">
        <f t="shared" ca="1" si="626"/>
        <v>635.13895155659816</v>
      </c>
      <c r="R1328">
        <f t="shared" ca="1" si="627"/>
        <v>3.8141460404132466E-3</v>
      </c>
      <c r="S1328">
        <f t="shared" ca="1" si="628"/>
        <v>1.0000000000000004</v>
      </c>
      <c r="T1328">
        <f t="shared" ca="1" si="629"/>
        <v>35.686426155594638</v>
      </c>
      <c r="U1328">
        <f t="shared" ca="1" si="650"/>
        <v>-3.4157470064428708E-3</v>
      </c>
      <c r="V1328">
        <f t="shared" ca="1" si="651"/>
        <v>1</v>
      </c>
      <c r="W1328">
        <f t="shared" ca="1" si="630"/>
        <v>1.6812012606770204</v>
      </c>
      <c r="X1328">
        <f t="shared" ca="1" si="631"/>
        <v>8.7422465555205058</v>
      </c>
      <c r="Y1328">
        <f t="shared" ca="1" si="632"/>
        <v>1.0210039219387252</v>
      </c>
      <c r="Z1328">
        <f t="shared" ca="1" si="633"/>
        <v>5.8280213988961886</v>
      </c>
      <c r="AA1328">
        <f t="shared" ca="1" si="634"/>
        <v>633.61170126067702</v>
      </c>
      <c r="AB1328">
        <f t="shared" ca="1" si="635"/>
        <v>635.34288543121693</v>
      </c>
      <c r="AC1328">
        <f t="shared" ca="1" si="636"/>
        <v>7.4334127189745539E-3</v>
      </c>
      <c r="AD1328">
        <f t="shared" ca="1" si="637"/>
        <v>1.4350822092819147</v>
      </c>
      <c r="AE1328">
        <f t="shared" ca="1" si="638"/>
        <v>37.617615668892483</v>
      </c>
      <c r="AF1328">
        <f t="shared" ca="1" si="639"/>
        <v>6.9334127189222272E-3</v>
      </c>
      <c r="AG1328">
        <f t="shared" ca="1" si="640"/>
        <v>0</v>
      </c>
      <c r="AH1328">
        <f ca="1">IFERROR(IF(V32="Supercritical",MAX($D$16,IFERROR(L1328,MAX($D$16,POWER((ABS(K1328)^2)/($I$5*MAX(F1328,0.1)^2),1/3)))),IF(V32="Subcritical",MAX($D$16,IFERROR(W1328,MAX($D$16,POWER((ABS(K1328)^2)/($I$5*MAX(F1328,0.1)^2),1/3)))),IF(AND(IFERROR(V1328,0)=1,IFERROR(AG1328,0)=1),IF(IFERROR(T1328,-1E+99)&gt;=IFERROR(AE1328,-1E+99),MAX($D$16,IFERROR(L1328,MAX($D$16,POWER((ABS(K1328)^2)/($I$5*MAX(F1328,0.1)^2),1/3)))),MAX($D$16,IFERROR(W1328,MAX($D$16,POWER((ABS(K1328)^2)/($I$5*MAX(F1328,0.1)^2),1/3))))),IF(IFERROR(V1328,0)=1,MAX($D$16,IFERROR(L1328,MAX($D$16,POWER((ABS(K1328)^2)/($I$5*MAX(F1328,0.1)^2),1/3)))),IF(IFERROR(AG1328,0)=1,MAX($D$16,IFERROR(W1328,MAX($D$16,POWER((ABS(K1328)^2)/($I$5*MAX(F1328,0.1)^2),1/3)))),MAX($D$16,POWER((ABS(K1328)^2)/($I$5*MAX(F1328,0.1)^2),1/3))))))),MAX($D$16,POWER((ABS(K1328)^2)/($I$5*MAX(F1328,0.1)^2),1/3)))</f>
        <v>2.1389677043987478</v>
      </c>
      <c r="AI1328">
        <f t="shared" ca="1" si="641"/>
        <v>634.06946770439879</v>
      </c>
      <c r="AJ1328">
        <f t="shared" ca="1" si="642"/>
        <v>635.13895155659816</v>
      </c>
      <c r="AM1328">
        <v>0</v>
      </c>
      <c r="AN1328">
        <v>0</v>
      </c>
      <c r="AO1328">
        <f t="shared" si="643"/>
        <v>0</v>
      </c>
      <c r="AP1328">
        <f t="shared" si="652"/>
        <v>0</v>
      </c>
      <c r="AQ1328">
        <f t="shared" ca="1" si="644"/>
        <v>1.0000000000000004</v>
      </c>
      <c r="AR1328" t="str">
        <f t="shared" ca="1" si="645"/>
        <v>Supercritical</v>
      </c>
      <c r="AS1328">
        <f t="shared" ca="1" si="646"/>
        <v>3.8141460404132466E-3</v>
      </c>
    </row>
    <row r="1329" spans="1:45" x14ac:dyDescent="0.35">
      <c r="A1329">
        <v>1268</v>
      </c>
      <c r="B1329">
        <v>1266.9960000000001</v>
      </c>
      <c r="C1329">
        <v>616070.01</v>
      </c>
      <c r="D1329">
        <v>3096740.2949999999</v>
      </c>
      <c r="E1329">
        <v>631.92999999999995</v>
      </c>
      <c r="F1329">
        <v>5.2</v>
      </c>
      <c r="G1329">
        <v>0</v>
      </c>
      <c r="H1329" t="s">
        <v>154</v>
      </c>
      <c r="I1329">
        <v>0</v>
      </c>
      <c r="J1329">
        <f t="shared" si="647"/>
        <v>1</v>
      </c>
      <c r="K1329">
        <f t="shared" ca="1" si="648"/>
        <v>50.95</v>
      </c>
      <c r="L1329">
        <f t="shared" ca="1" si="649"/>
        <v>2.1389677043987478</v>
      </c>
      <c r="M1329">
        <f t="shared" ca="1" si="622"/>
        <v>11.122632062873489</v>
      </c>
      <c r="N1329">
        <f t="shared" ca="1" si="623"/>
        <v>1.1735290000551568</v>
      </c>
      <c r="O1329">
        <f t="shared" ca="1" si="624"/>
        <v>4.5807502857230418</v>
      </c>
      <c r="P1329">
        <f t="shared" ca="1" si="625"/>
        <v>634.06896770439869</v>
      </c>
      <c r="Q1329">
        <f t="shared" ca="1" si="626"/>
        <v>635.13845155659806</v>
      </c>
      <c r="R1329">
        <f t="shared" ca="1" si="627"/>
        <v>3.8141460404132466E-3</v>
      </c>
      <c r="S1329">
        <f t="shared" ca="1" si="628"/>
        <v>1.0000000000000004</v>
      </c>
      <c r="T1329">
        <f t="shared" ca="1" si="629"/>
        <v>35.686426155594638</v>
      </c>
      <c r="U1329">
        <f t="shared" ca="1" si="650"/>
        <v>-3.3141460403385281E-3</v>
      </c>
      <c r="V1329">
        <f t="shared" ca="1" si="651"/>
        <v>1</v>
      </c>
      <c r="W1329">
        <f t="shared" ca="1" si="630"/>
        <v>1.6812012606375597</v>
      </c>
      <c r="X1329">
        <f t="shared" ca="1" si="631"/>
        <v>8.7422465553153099</v>
      </c>
      <c r="Y1329">
        <f t="shared" ca="1" si="632"/>
        <v>1.0210039219241713</v>
      </c>
      <c r="Z1329">
        <f t="shared" ca="1" si="633"/>
        <v>5.8280213990329823</v>
      </c>
      <c r="AA1329">
        <f t="shared" ca="1" si="634"/>
        <v>633.61120126063747</v>
      </c>
      <c r="AB1329">
        <f t="shared" ca="1" si="635"/>
        <v>635.34238543125855</v>
      </c>
      <c r="AC1329">
        <f t="shared" ca="1" si="636"/>
        <v>7.4334127194647832E-3</v>
      </c>
      <c r="AD1329">
        <f t="shared" ca="1" si="637"/>
        <v>1.4350822093324409</v>
      </c>
      <c r="AE1329">
        <f t="shared" ca="1" si="638"/>
        <v>37.617615669257972</v>
      </c>
      <c r="AF1329">
        <f t="shared" ca="1" si="639"/>
        <v>6.9334127194906614E-3</v>
      </c>
      <c r="AG1329">
        <f t="shared" ca="1" si="640"/>
        <v>0</v>
      </c>
      <c r="AH1329">
        <f ca="1">IFERROR(IF(V32="Supercritical",MAX($D$16,IFERROR(L1329,MAX($D$16,POWER((ABS(K1329)^2)/($I$5*MAX(F1329,0.1)^2),1/3)))),IF(V32="Subcritical",MAX($D$16,IFERROR(W1329,MAX($D$16,POWER((ABS(K1329)^2)/($I$5*MAX(F1329,0.1)^2),1/3)))),IF(AND(IFERROR(V1329,0)=1,IFERROR(AG1329,0)=1),IF(IFERROR(T1329,-1E+99)&gt;=IFERROR(AE1329,-1E+99),MAX($D$16,IFERROR(L1329,MAX($D$16,POWER((ABS(K1329)^2)/($I$5*MAX(F1329,0.1)^2),1/3)))),MAX($D$16,IFERROR(W1329,MAX($D$16,POWER((ABS(K1329)^2)/($I$5*MAX(F1329,0.1)^2),1/3))))),IF(IFERROR(V1329,0)=1,MAX($D$16,IFERROR(L1329,MAX($D$16,POWER((ABS(K1329)^2)/($I$5*MAX(F1329,0.1)^2),1/3)))),IF(IFERROR(AG1329,0)=1,MAX($D$16,IFERROR(W1329,MAX($D$16,POWER((ABS(K1329)^2)/($I$5*MAX(F1329,0.1)^2),1/3)))),MAX($D$16,POWER((ABS(K1329)^2)/($I$5*MAX(F1329,0.1)^2),1/3))))))),MAX($D$16,POWER((ABS(K1329)^2)/($I$5*MAX(F1329,0.1)^2),1/3)))</f>
        <v>2.1389677043987478</v>
      </c>
      <c r="AI1329">
        <f t="shared" ca="1" si="641"/>
        <v>634.06896770439869</v>
      </c>
      <c r="AJ1329">
        <f t="shared" ca="1" si="642"/>
        <v>635.13845155659806</v>
      </c>
      <c r="AM1329">
        <v>0</v>
      </c>
      <c r="AN1329">
        <v>0</v>
      </c>
      <c r="AO1329">
        <f t="shared" si="643"/>
        <v>0</v>
      </c>
      <c r="AP1329">
        <f t="shared" si="652"/>
        <v>0</v>
      </c>
      <c r="AQ1329">
        <f t="shared" ca="1" si="644"/>
        <v>1.0000000000000004</v>
      </c>
      <c r="AR1329" t="str">
        <f t="shared" ca="1" si="645"/>
        <v>Supercritical</v>
      </c>
      <c r="AS1329">
        <f t="shared" ca="1" si="646"/>
        <v>3.8141460404132466E-3</v>
      </c>
    </row>
    <row r="1330" spans="1:45" x14ac:dyDescent="0.35">
      <c r="A1330">
        <v>1269</v>
      </c>
      <c r="B1330">
        <v>1267.9960000000001</v>
      </c>
      <c r="C1330">
        <v>616069.96799999999</v>
      </c>
      <c r="D1330">
        <v>3096739.2960000001</v>
      </c>
      <c r="E1330">
        <v>631.92949999999996</v>
      </c>
      <c r="F1330">
        <v>5.2</v>
      </c>
      <c r="G1330">
        <v>0</v>
      </c>
      <c r="H1330" t="s">
        <v>154</v>
      </c>
      <c r="I1330">
        <v>0</v>
      </c>
      <c r="J1330">
        <f t="shared" si="647"/>
        <v>1</v>
      </c>
      <c r="K1330">
        <f t="shared" ca="1" si="648"/>
        <v>50.95</v>
      </c>
      <c r="L1330">
        <f t="shared" ca="1" si="649"/>
        <v>2.1389677043987478</v>
      </c>
      <c r="M1330">
        <f t="shared" ca="1" si="622"/>
        <v>11.122632062873489</v>
      </c>
      <c r="N1330">
        <f t="shared" ca="1" si="623"/>
        <v>1.1735290000551568</v>
      </c>
      <c r="O1330">
        <f t="shared" ca="1" si="624"/>
        <v>4.5807502857230418</v>
      </c>
      <c r="P1330">
        <f t="shared" ca="1" si="625"/>
        <v>634.0684677043987</v>
      </c>
      <c r="Q1330">
        <f t="shared" ca="1" si="626"/>
        <v>635.13795155659807</v>
      </c>
      <c r="R1330">
        <f t="shared" ca="1" si="627"/>
        <v>3.8141460404132466E-3</v>
      </c>
      <c r="S1330">
        <f t="shared" ca="1" si="628"/>
        <v>1.0000000000000004</v>
      </c>
      <c r="T1330">
        <f t="shared" ca="1" si="629"/>
        <v>35.686426155594638</v>
      </c>
      <c r="U1330">
        <f t="shared" ca="1" si="650"/>
        <v>-3.3141460404522149E-3</v>
      </c>
      <c r="V1330">
        <f t="shared" ca="1" si="651"/>
        <v>1</v>
      </c>
      <c r="W1330">
        <f t="shared" ca="1" si="630"/>
        <v>1.681201260600657</v>
      </c>
      <c r="X1330">
        <f t="shared" ca="1" si="631"/>
        <v>8.7422465551234172</v>
      </c>
      <c r="Y1330">
        <f t="shared" ca="1" si="632"/>
        <v>1.0210039219105611</v>
      </c>
      <c r="Z1330">
        <f t="shared" ca="1" si="633"/>
        <v>5.8280213991609076</v>
      </c>
      <c r="AA1330">
        <f t="shared" ca="1" si="634"/>
        <v>633.61070126060065</v>
      </c>
      <c r="AB1330">
        <f t="shared" ca="1" si="635"/>
        <v>635.34188543129778</v>
      </c>
      <c r="AC1330">
        <f t="shared" ca="1" si="636"/>
        <v>7.4334127199232316E-3</v>
      </c>
      <c r="AD1330">
        <f t="shared" ca="1" si="637"/>
        <v>1.4350822093796909</v>
      </c>
      <c r="AE1330">
        <f t="shared" ca="1" si="638"/>
        <v>37.617615669599765</v>
      </c>
      <c r="AF1330">
        <f t="shared" ca="1" si="639"/>
        <v>7.0978752161181546E-3</v>
      </c>
      <c r="AG1330">
        <f t="shared" ca="1" si="640"/>
        <v>0</v>
      </c>
      <c r="AH1330">
        <f ca="1">IFERROR(IF(V32="Supercritical",MAX($D$16,IFERROR(L1330,MAX($D$16,POWER((ABS(K1330)^2)/($I$5*MAX(F1330,0.1)^2),1/3)))),IF(V32="Subcritical",MAX($D$16,IFERROR(W1330,MAX($D$16,POWER((ABS(K1330)^2)/($I$5*MAX(F1330,0.1)^2),1/3)))),IF(AND(IFERROR(V1330,0)=1,IFERROR(AG1330,0)=1),IF(IFERROR(T1330,-1E+99)&gt;=IFERROR(AE1330,-1E+99),MAX($D$16,IFERROR(L1330,MAX($D$16,POWER((ABS(K1330)^2)/($I$5*MAX(F1330,0.1)^2),1/3)))),MAX($D$16,IFERROR(W1330,MAX($D$16,POWER((ABS(K1330)^2)/($I$5*MAX(F1330,0.1)^2),1/3))))),IF(IFERROR(V1330,0)=1,MAX($D$16,IFERROR(L1330,MAX($D$16,POWER((ABS(K1330)^2)/($I$5*MAX(F1330,0.1)^2),1/3)))),IF(IFERROR(AG1330,0)=1,MAX($D$16,IFERROR(W1330,MAX($D$16,POWER((ABS(K1330)^2)/($I$5*MAX(F1330,0.1)^2),1/3)))),MAX($D$16,POWER((ABS(K1330)^2)/($I$5*MAX(F1330,0.1)^2),1/3))))))),MAX($D$16,POWER((ABS(K1330)^2)/($I$5*MAX(F1330,0.1)^2),1/3)))</f>
        <v>2.1389677043987478</v>
      </c>
      <c r="AI1330">
        <f t="shared" ca="1" si="641"/>
        <v>634.0684677043987</v>
      </c>
      <c r="AJ1330">
        <f t="shared" ca="1" si="642"/>
        <v>635.13795155659807</v>
      </c>
      <c r="AM1330">
        <v>0</v>
      </c>
      <c r="AN1330">
        <v>0</v>
      </c>
      <c r="AO1330">
        <f t="shared" si="643"/>
        <v>0</v>
      </c>
      <c r="AP1330">
        <f t="shared" si="652"/>
        <v>0</v>
      </c>
      <c r="AQ1330">
        <f t="shared" ca="1" si="644"/>
        <v>1.0000000000000004</v>
      </c>
      <c r="AR1330" t="str">
        <f t="shared" ca="1" si="645"/>
        <v>Supercritical</v>
      </c>
      <c r="AS1330">
        <f t="shared" ca="1" si="646"/>
        <v>3.8141460404132466E-3</v>
      </c>
    </row>
    <row r="1331" spans="1:45" x14ac:dyDescent="0.35">
      <c r="A1331">
        <v>1270</v>
      </c>
      <c r="B1331">
        <v>1268.9960000000001</v>
      </c>
      <c r="C1331">
        <v>616069.92599999998</v>
      </c>
      <c r="D1331">
        <v>3096738.2969999998</v>
      </c>
      <c r="E1331">
        <v>631.92899999999997</v>
      </c>
      <c r="F1331">
        <v>5.2</v>
      </c>
      <c r="G1331">
        <v>0</v>
      </c>
      <c r="H1331" t="s">
        <v>154</v>
      </c>
      <c r="I1331">
        <v>5.7000000000000002E-2</v>
      </c>
      <c r="J1331">
        <f t="shared" si="647"/>
        <v>1</v>
      </c>
      <c r="K1331">
        <f t="shared" ca="1" si="648"/>
        <v>50.95</v>
      </c>
      <c r="L1331">
        <f t="shared" ca="1" si="649"/>
        <v>2.1389677043987478</v>
      </c>
      <c r="M1331">
        <f t="shared" ca="1" si="622"/>
        <v>11.122632062873489</v>
      </c>
      <c r="N1331">
        <f t="shared" ca="1" si="623"/>
        <v>1.1735290000551568</v>
      </c>
      <c r="O1331">
        <f t="shared" ca="1" si="624"/>
        <v>4.5807502857230418</v>
      </c>
      <c r="P1331">
        <f t="shared" ca="1" si="625"/>
        <v>634.06796770439871</v>
      </c>
      <c r="Q1331">
        <f t="shared" ca="1" si="626"/>
        <v>635.13745155659808</v>
      </c>
      <c r="R1331">
        <f t="shared" ca="1" si="627"/>
        <v>3.8141460404132466E-3</v>
      </c>
      <c r="S1331">
        <f t="shared" ca="1" si="628"/>
        <v>1.0000000000000004</v>
      </c>
      <c r="T1331">
        <f t="shared" ca="1" si="629"/>
        <v>35.686426155594638</v>
      </c>
      <c r="U1331">
        <f t="shared" ca="1" si="650"/>
        <v>-3.4157470064428708E-3</v>
      </c>
      <c r="V1331">
        <f t="shared" ca="1" si="651"/>
        <v>1</v>
      </c>
      <c r="W1331">
        <f t="shared" ca="1" si="630"/>
        <v>1.6812012605661928</v>
      </c>
      <c r="X1331">
        <f t="shared" ca="1" si="631"/>
        <v>8.7422465549442023</v>
      </c>
      <c r="Y1331">
        <f t="shared" ca="1" si="632"/>
        <v>1.0210039218978497</v>
      </c>
      <c r="Z1331">
        <f t="shared" ca="1" si="633"/>
        <v>5.8280213992803809</v>
      </c>
      <c r="AA1331">
        <f t="shared" ca="1" si="634"/>
        <v>633.61020126056621</v>
      </c>
      <c r="AB1331">
        <f t="shared" ca="1" si="635"/>
        <v>635.34138543133429</v>
      </c>
      <c r="AC1331">
        <f t="shared" ca="1" si="636"/>
        <v>7.4334127203513909E-3</v>
      </c>
      <c r="AD1331">
        <f t="shared" ca="1" si="637"/>
        <v>1.4350822094238191</v>
      </c>
      <c r="AE1331">
        <f t="shared" ca="1" si="638"/>
        <v>37.617615669918976</v>
      </c>
      <c r="AF1331">
        <f t="shared" ca="1" si="639"/>
        <v>7.097875216572902E-3</v>
      </c>
      <c r="AG1331">
        <f t="shared" ca="1" si="640"/>
        <v>0</v>
      </c>
      <c r="AH1331">
        <f ca="1">IFERROR(IF(V32="Supercritical",MAX($D$16,IFERROR(L1331,MAX($D$16,POWER((ABS(K1331)^2)/($I$5*MAX(F1331,0.1)^2),1/3)))),IF(V32="Subcritical",MAX($D$16,IFERROR(W1331,MAX($D$16,POWER((ABS(K1331)^2)/($I$5*MAX(F1331,0.1)^2),1/3)))),IF(AND(IFERROR(V1331,0)=1,IFERROR(AG1331,0)=1),IF(IFERROR(T1331,-1E+99)&gt;=IFERROR(AE1331,-1E+99),MAX($D$16,IFERROR(L1331,MAX($D$16,POWER((ABS(K1331)^2)/($I$5*MAX(F1331,0.1)^2),1/3)))),MAX($D$16,IFERROR(W1331,MAX($D$16,POWER((ABS(K1331)^2)/($I$5*MAX(F1331,0.1)^2),1/3))))),IF(IFERROR(V1331,0)=1,MAX($D$16,IFERROR(L1331,MAX($D$16,POWER((ABS(K1331)^2)/($I$5*MAX(F1331,0.1)^2),1/3)))),IF(IFERROR(AG1331,0)=1,MAX($D$16,IFERROR(W1331,MAX($D$16,POWER((ABS(K1331)^2)/($I$5*MAX(F1331,0.1)^2),1/3)))),MAX($D$16,POWER((ABS(K1331)^2)/($I$5*MAX(F1331,0.1)^2),1/3))))))),MAX($D$16,POWER((ABS(K1331)^2)/($I$5*MAX(F1331,0.1)^2),1/3)))</f>
        <v>2.1389677043987478</v>
      </c>
      <c r="AI1331">
        <f t="shared" ca="1" si="641"/>
        <v>634.06796770439871</v>
      </c>
      <c r="AJ1331">
        <f t="shared" ca="1" si="642"/>
        <v>635.13745155659808</v>
      </c>
      <c r="AM1331">
        <v>0</v>
      </c>
      <c r="AN1331">
        <v>0</v>
      </c>
      <c r="AO1331">
        <f t="shared" si="643"/>
        <v>0</v>
      </c>
      <c r="AP1331">
        <f t="shared" si="652"/>
        <v>0</v>
      </c>
      <c r="AQ1331">
        <f t="shared" ca="1" si="644"/>
        <v>1.0000000000000004</v>
      </c>
      <c r="AR1331" t="str">
        <f t="shared" ca="1" si="645"/>
        <v>Supercritical</v>
      </c>
      <c r="AS1331">
        <f t="shared" ca="1" si="646"/>
        <v>3.8141460404132466E-3</v>
      </c>
    </row>
    <row r="1332" spans="1:45" x14ac:dyDescent="0.35">
      <c r="A1332">
        <v>1271</v>
      </c>
      <c r="B1332">
        <v>1269.9960000000001</v>
      </c>
      <c r="C1332">
        <v>616069.88300000003</v>
      </c>
      <c r="D1332">
        <v>3096737.298</v>
      </c>
      <c r="E1332">
        <v>631.92849999999999</v>
      </c>
      <c r="F1332">
        <v>5.2</v>
      </c>
      <c r="G1332">
        <v>0</v>
      </c>
      <c r="H1332" t="s">
        <v>154</v>
      </c>
      <c r="I1332">
        <v>5.7000000000000002E-2</v>
      </c>
      <c r="J1332">
        <f t="shared" si="647"/>
        <v>1</v>
      </c>
      <c r="K1332">
        <f t="shared" ca="1" si="648"/>
        <v>50.95</v>
      </c>
      <c r="L1332">
        <f t="shared" ca="1" si="649"/>
        <v>2.1389677043987478</v>
      </c>
      <c r="M1332">
        <f t="shared" ca="1" si="622"/>
        <v>11.122632062873489</v>
      </c>
      <c r="N1332">
        <f t="shared" ca="1" si="623"/>
        <v>1.1735290000551568</v>
      </c>
      <c r="O1332">
        <f t="shared" ca="1" si="624"/>
        <v>4.5807502857230418</v>
      </c>
      <c r="P1332">
        <f t="shared" ca="1" si="625"/>
        <v>634.06746770439872</v>
      </c>
      <c r="Q1332">
        <f t="shared" ca="1" si="626"/>
        <v>635.13695155659809</v>
      </c>
      <c r="R1332">
        <f t="shared" ca="1" si="627"/>
        <v>3.8141460404132466E-3</v>
      </c>
      <c r="S1332">
        <f t="shared" ca="1" si="628"/>
        <v>1.0000000000000004</v>
      </c>
      <c r="T1332">
        <f t="shared" ca="1" si="629"/>
        <v>35.686426155594638</v>
      </c>
      <c r="U1332">
        <f t="shared" ca="1" si="650"/>
        <v>-3.4157470064428708E-3</v>
      </c>
      <c r="V1332">
        <f t="shared" ca="1" si="651"/>
        <v>1</v>
      </c>
      <c r="W1332">
        <f t="shared" ca="1" si="630"/>
        <v>1.6812012605339626</v>
      </c>
      <c r="X1332">
        <f t="shared" ca="1" si="631"/>
        <v>8.7422465547766048</v>
      </c>
      <c r="Y1332">
        <f t="shared" ca="1" si="632"/>
        <v>1.0210039218859626</v>
      </c>
      <c r="Z1332">
        <f t="shared" ca="1" si="633"/>
        <v>5.8280213993921102</v>
      </c>
      <c r="AA1332">
        <f t="shared" ca="1" si="634"/>
        <v>633.60970126053394</v>
      </c>
      <c r="AB1332">
        <f t="shared" ca="1" si="635"/>
        <v>635.34088543136841</v>
      </c>
      <c r="AC1332">
        <f t="shared" ca="1" si="636"/>
        <v>7.4334127207517963E-3</v>
      </c>
      <c r="AD1332">
        <f t="shared" ca="1" si="637"/>
        <v>1.4350822094650872</v>
      </c>
      <c r="AE1332">
        <f t="shared" ca="1" si="638"/>
        <v>37.617615670217489</v>
      </c>
      <c r="AF1332">
        <f t="shared" ca="1" si="639"/>
        <v>6.9259793079936571E-3</v>
      </c>
      <c r="AG1332">
        <f t="shared" ca="1" si="640"/>
        <v>0</v>
      </c>
      <c r="AH1332">
        <f ca="1">IFERROR(IF(V32="Supercritical",MAX($D$16,IFERROR(L1332,MAX($D$16,POWER((ABS(K1332)^2)/($I$5*MAX(F1332,0.1)^2),1/3)))),IF(V32="Subcritical",MAX($D$16,IFERROR(W1332,MAX($D$16,POWER((ABS(K1332)^2)/($I$5*MAX(F1332,0.1)^2),1/3)))),IF(AND(IFERROR(V1332,0)=1,IFERROR(AG1332,0)=1),IF(IFERROR(T1332,-1E+99)&gt;=IFERROR(AE1332,-1E+99),MAX($D$16,IFERROR(L1332,MAX($D$16,POWER((ABS(K1332)^2)/($I$5*MAX(F1332,0.1)^2),1/3)))),MAX($D$16,IFERROR(W1332,MAX($D$16,POWER((ABS(K1332)^2)/($I$5*MAX(F1332,0.1)^2),1/3))))),IF(IFERROR(V1332,0)=1,MAX($D$16,IFERROR(L1332,MAX($D$16,POWER((ABS(K1332)^2)/($I$5*MAX(F1332,0.1)^2),1/3)))),IF(IFERROR(AG1332,0)=1,MAX($D$16,IFERROR(W1332,MAX($D$16,POWER((ABS(K1332)^2)/($I$5*MAX(F1332,0.1)^2),1/3)))),MAX($D$16,POWER((ABS(K1332)^2)/($I$5*MAX(F1332,0.1)^2),1/3))))))),MAX($D$16,POWER((ABS(K1332)^2)/($I$5*MAX(F1332,0.1)^2),1/3)))</f>
        <v>2.1389677043987478</v>
      </c>
      <c r="AI1332">
        <f t="shared" ca="1" si="641"/>
        <v>634.06746770439872</v>
      </c>
      <c r="AJ1332">
        <f t="shared" ca="1" si="642"/>
        <v>635.13695155659809</v>
      </c>
      <c r="AM1332">
        <v>0</v>
      </c>
      <c r="AN1332">
        <v>0</v>
      </c>
      <c r="AO1332">
        <f t="shared" si="643"/>
        <v>0</v>
      </c>
      <c r="AP1332">
        <f t="shared" si="652"/>
        <v>0</v>
      </c>
      <c r="AQ1332">
        <f t="shared" ca="1" si="644"/>
        <v>1.0000000000000004</v>
      </c>
      <c r="AR1332" t="str">
        <f t="shared" ca="1" si="645"/>
        <v>Supercritical</v>
      </c>
      <c r="AS1332">
        <f t="shared" ca="1" si="646"/>
        <v>3.8141460404132466E-3</v>
      </c>
    </row>
    <row r="1333" spans="1:45" x14ac:dyDescent="0.35">
      <c r="A1333">
        <v>1272</v>
      </c>
      <c r="B1333">
        <v>1270.9949999999999</v>
      </c>
      <c r="C1333">
        <v>616069.84100000001</v>
      </c>
      <c r="D1333">
        <v>3096736.2990000001</v>
      </c>
      <c r="E1333">
        <v>631.928</v>
      </c>
      <c r="F1333">
        <v>5.2</v>
      </c>
      <c r="G1333">
        <v>0</v>
      </c>
      <c r="H1333" t="s">
        <v>154</v>
      </c>
      <c r="I1333">
        <v>0</v>
      </c>
      <c r="J1333">
        <f t="shared" si="647"/>
        <v>0.99899999999979627</v>
      </c>
      <c r="K1333">
        <f t="shared" ca="1" si="648"/>
        <v>50.95</v>
      </c>
      <c r="L1333">
        <f t="shared" ca="1" si="649"/>
        <v>2.1389677043987478</v>
      </c>
      <c r="M1333">
        <f t="shared" ca="1" si="622"/>
        <v>11.122632062873489</v>
      </c>
      <c r="N1333">
        <f t="shared" ca="1" si="623"/>
        <v>1.1735290000551568</v>
      </c>
      <c r="O1333">
        <f t="shared" ca="1" si="624"/>
        <v>4.5807502857230418</v>
      </c>
      <c r="P1333">
        <f t="shared" ca="1" si="625"/>
        <v>634.06696770439873</v>
      </c>
      <c r="Q1333">
        <f t="shared" ca="1" si="626"/>
        <v>635.1364515565981</v>
      </c>
      <c r="R1333">
        <f t="shared" ca="1" si="627"/>
        <v>3.8141460404132466E-3</v>
      </c>
      <c r="S1333">
        <f t="shared" ca="1" si="628"/>
        <v>1.0000000000000004</v>
      </c>
      <c r="T1333">
        <f t="shared" ca="1" si="629"/>
        <v>35.686426155594638</v>
      </c>
      <c r="U1333">
        <f t="shared" ca="1" si="650"/>
        <v>-3.3103318943403792E-3</v>
      </c>
      <c r="V1333">
        <f t="shared" ca="1" si="651"/>
        <v>1</v>
      </c>
      <c r="W1333">
        <f t="shared" ca="1" si="630"/>
        <v>1.6812012605038298</v>
      </c>
      <c r="X1333">
        <f t="shared" ca="1" si="631"/>
        <v>8.742246554619916</v>
      </c>
      <c r="Y1333">
        <f t="shared" ca="1" si="632"/>
        <v>1.0210039218748492</v>
      </c>
      <c r="Z1333">
        <f t="shared" ca="1" si="633"/>
        <v>5.8280213994965671</v>
      </c>
      <c r="AA1333">
        <f t="shared" ca="1" si="634"/>
        <v>633.60920126050382</v>
      </c>
      <c r="AB1333">
        <f t="shared" ca="1" si="635"/>
        <v>635.34038543140036</v>
      </c>
      <c r="AC1333">
        <f t="shared" ca="1" si="636"/>
        <v>7.4334127211261349E-3</v>
      </c>
      <c r="AD1333">
        <f t="shared" ca="1" si="637"/>
        <v>1.435082209503669</v>
      </c>
      <c r="AE1333">
        <f t="shared" ca="1" si="638"/>
        <v>37.617615670496583</v>
      </c>
      <c r="AF1333">
        <f t="shared" ca="1" si="639"/>
        <v>6.9334127210822771E-3</v>
      </c>
      <c r="AG1333">
        <f t="shared" ca="1" si="640"/>
        <v>0</v>
      </c>
      <c r="AH1333">
        <f ca="1">IFERROR(IF(V32="Supercritical",MAX($D$16,IFERROR(L1333,MAX($D$16,POWER((ABS(K1333)^2)/($I$5*MAX(F1333,0.1)^2),1/3)))),IF(V32="Subcritical",MAX($D$16,IFERROR(W1333,MAX($D$16,POWER((ABS(K1333)^2)/($I$5*MAX(F1333,0.1)^2),1/3)))),IF(AND(IFERROR(V1333,0)=1,IFERROR(AG1333,0)=1),IF(IFERROR(T1333,-1E+99)&gt;=IFERROR(AE1333,-1E+99),MAX($D$16,IFERROR(L1333,MAX($D$16,POWER((ABS(K1333)^2)/($I$5*MAX(F1333,0.1)^2),1/3)))),MAX($D$16,IFERROR(W1333,MAX($D$16,POWER((ABS(K1333)^2)/($I$5*MAX(F1333,0.1)^2),1/3))))),IF(IFERROR(V1333,0)=1,MAX($D$16,IFERROR(L1333,MAX($D$16,POWER((ABS(K1333)^2)/($I$5*MAX(F1333,0.1)^2),1/3)))),IF(IFERROR(AG1333,0)=1,MAX($D$16,IFERROR(W1333,MAX($D$16,POWER((ABS(K1333)^2)/($I$5*MAX(F1333,0.1)^2),1/3)))),MAX($D$16,POWER((ABS(K1333)^2)/($I$5*MAX(F1333,0.1)^2),1/3))))))),MAX($D$16,POWER((ABS(K1333)^2)/($I$5*MAX(F1333,0.1)^2),1/3)))</f>
        <v>2.1389677043987478</v>
      </c>
      <c r="AI1333">
        <f t="shared" ca="1" si="641"/>
        <v>634.06696770439873</v>
      </c>
      <c r="AJ1333">
        <f t="shared" ca="1" si="642"/>
        <v>635.1364515565981</v>
      </c>
      <c r="AM1333">
        <v>0</v>
      </c>
      <c r="AN1333">
        <v>0</v>
      </c>
      <c r="AO1333">
        <f t="shared" si="643"/>
        <v>0</v>
      </c>
      <c r="AP1333">
        <f t="shared" si="652"/>
        <v>0</v>
      </c>
      <c r="AQ1333">
        <f t="shared" ca="1" si="644"/>
        <v>1.0000000000000004</v>
      </c>
      <c r="AR1333" t="str">
        <f t="shared" ca="1" si="645"/>
        <v>Supercritical</v>
      </c>
      <c r="AS1333">
        <f t="shared" ca="1" si="646"/>
        <v>3.8141460404132466E-3</v>
      </c>
    </row>
    <row r="1334" spans="1:45" x14ac:dyDescent="0.35">
      <c r="A1334">
        <v>1273</v>
      </c>
      <c r="B1334">
        <v>1271.9949999999999</v>
      </c>
      <c r="C1334">
        <v>616069.799</v>
      </c>
      <c r="D1334">
        <v>3096735.3</v>
      </c>
      <c r="E1334">
        <v>631.92750000000001</v>
      </c>
      <c r="F1334">
        <v>5.2</v>
      </c>
      <c r="G1334">
        <v>0</v>
      </c>
      <c r="H1334" t="s">
        <v>154</v>
      </c>
      <c r="I1334">
        <v>0</v>
      </c>
      <c r="J1334">
        <f t="shared" si="647"/>
        <v>1</v>
      </c>
      <c r="K1334">
        <f t="shared" ca="1" si="648"/>
        <v>50.95</v>
      </c>
      <c r="L1334">
        <f t="shared" ca="1" si="649"/>
        <v>2.1389677043987478</v>
      </c>
      <c r="M1334">
        <f t="shared" ca="1" si="622"/>
        <v>11.122632062873489</v>
      </c>
      <c r="N1334">
        <f t="shared" ca="1" si="623"/>
        <v>1.1735290000551568</v>
      </c>
      <c r="O1334">
        <f t="shared" ca="1" si="624"/>
        <v>4.5807502857230418</v>
      </c>
      <c r="P1334">
        <f t="shared" ca="1" si="625"/>
        <v>634.06646770439875</v>
      </c>
      <c r="Q1334">
        <f t="shared" ca="1" si="626"/>
        <v>635.13595155659812</v>
      </c>
      <c r="R1334">
        <f t="shared" ca="1" si="627"/>
        <v>3.8141460404132466E-3</v>
      </c>
      <c r="S1334">
        <f t="shared" ca="1" si="628"/>
        <v>1.0000000000000004</v>
      </c>
      <c r="T1334">
        <f t="shared" ca="1" si="629"/>
        <v>35.686426155594638</v>
      </c>
      <c r="U1334">
        <f t="shared" ca="1" si="650"/>
        <v>-3.3141460404522149E-3</v>
      </c>
      <c r="V1334">
        <f t="shared" ca="1" si="651"/>
        <v>1</v>
      </c>
      <c r="W1334">
        <f t="shared" ca="1" si="630"/>
        <v>1.6812012604756752</v>
      </c>
      <c r="X1334">
        <f t="shared" ca="1" si="631"/>
        <v>8.7422465544735122</v>
      </c>
      <c r="Y1334">
        <f t="shared" ca="1" si="632"/>
        <v>1.0210039218644653</v>
      </c>
      <c r="Z1334">
        <f t="shared" ca="1" si="633"/>
        <v>5.8280213995941672</v>
      </c>
      <c r="AA1334">
        <f t="shared" ca="1" si="634"/>
        <v>633.60870126047564</v>
      </c>
      <c r="AB1334">
        <f t="shared" ca="1" si="635"/>
        <v>635.33988543143016</v>
      </c>
      <c r="AC1334">
        <f t="shared" ca="1" si="636"/>
        <v>7.4334127214759063E-3</v>
      </c>
      <c r="AD1334">
        <f t="shared" ca="1" si="637"/>
        <v>1.4350822095397182</v>
      </c>
      <c r="AE1334">
        <f t="shared" ca="1" si="638"/>
        <v>37.61761567075736</v>
      </c>
      <c r="AF1334">
        <f t="shared" ca="1" si="639"/>
        <v>7.0921046038847635E-3</v>
      </c>
      <c r="AG1334">
        <f t="shared" ca="1" si="640"/>
        <v>0</v>
      </c>
      <c r="AH1334">
        <f ca="1">IFERROR(IF(V32="Supercritical",MAX($D$16,IFERROR(L1334,MAX($D$16,POWER((ABS(K1334)^2)/($I$5*MAX(F1334,0.1)^2),1/3)))),IF(V32="Subcritical",MAX($D$16,IFERROR(W1334,MAX($D$16,POWER((ABS(K1334)^2)/($I$5*MAX(F1334,0.1)^2),1/3)))),IF(AND(IFERROR(V1334,0)=1,IFERROR(AG1334,0)=1),IF(IFERROR(T1334,-1E+99)&gt;=IFERROR(AE1334,-1E+99),MAX($D$16,IFERROR(L1334,MAX($D$16,POWER((ABS(K1334)^2)/($I$5*MAX(F1334,0.1)^2),1/3)))),MAX($D$16,IFERROR(W1334,MAX($D$16,POWER((ABS(K1334)^2)/($I$5*MAX(F1334,0.1)^2),1/3))))),IF(IFERROR(V1334,0)=1,MAX($D$16,IFERROR(L1334,MAX($D$16,POWER((ABS(K1334)^2)/($I$5*MAX(F1334,0.1)^2),1/3)))),IF(IFERROR(AG1334,0)=1,MAX($D$16,IFERROR(W1334,MAX($D$16,POWER((ABS(K1334)^2)/($I$5*MAX(F1334,0.1)^2),1/3)))),MAX($D$16,POWER((ABS(K1334)^2)/($I$5*MAX(F1334,0.1)^2),1/3))))))),MAX($D$16,POWER((ABS(K1334)^2)/($I$5*MAX(F1334,0.1)^2),1/3)))</f>
        <v>2.1389677043987478</v>
      </c>
      <c r="AI1334">
        <f t="shared" ca="1" si="641"/>
        <v>634.06646770439875</v>
      </c>
      <c r="AJ1334">
        <f t="shared" ca="1" si="642"/>
        <v>635.13595155659812</v>
      </c>
      <c r="AM1334">
        <v>0</v>
      </c>
      <c r="AN1334">
        <v>0</v>
      </c>
      <c r="AO1334">
        <f t="shared" si="643"/>
        <v>0</v>
      </c>
      <c r="AP1334">
        <f t="shared" si="652"/>
        <v>0</v>
      </c>
      <c r="AQ1334">
        <f t="shared" ca="1" si="644"/>
        <v>1.0000000000000004</v>
      </c>
      <c r="AR1334" t="str">
        <f t="shared" ca="1" si="645"/>
        <v>Supercritical</v>
      </c>
      <c r="AS1334">
        <f t="shared" ca="1" si="646"/>
        <v>3.8141460404132466E-3</v>
      </c>
    </row>
    <row r="1335" spans="1:45" x14ac:dyDescent="0.35">
      <c r="A1335">
        <v>1274</v>
      </c>
      <c r="B1335">
        <v>1272.9949999999999</v>
      </c>
      <c r="C1335">
        <v>616069.75699999998</v>
      </c>
      <c r="D1335">
        <v>3096734.301</v>
      </c>
      <c r="E1335">
        <v>631.92700000000002</v>
      </c>
      <c r="F1335">
        <v>5.2</v>
      </c>
      <c r="G1335">
        <v>0</v>
      </c>
      <c r="H1335" t="s">
        <v>154</v>
      </c>
      <c r="I1335">
        <v>5.5E-2</v>
      </c>
      <c r="J1335">
        <f t="shared" si="647"/>
        <v>1</v>
      </c>
      <c r="K1335">
        <f t="shared" ca="1" si="648"/>
        <v>50.95</v>
      </c>
      <c r="L1335">
        <f t="shared" ca="1" si="649"/>
        <v>2.1389677043987478</v>
      </c>
      <c r="M1335">
        <f t="shared" ca="1" si="622"/>
        <v>11.122632062873489</v>
      </c>
      <c r="N1335">
        <f t="shared" ca="1" si="623"/>
        <v>1.1735290000551568</v>
      </c>
      <c r="O1335">
        <f t="shared" ca="1" si="624"/>
        <v>4.5807502857230418</v>
      </c>
      <c r="P1335">
        <f t="shared" ca="1" si="625"/>
        <v>634.06596770439876</v>
      </c>
      <c r="Q1335">
        <f t="shared" ca="1" si="626"/>
        <v>635.13545155659813</v>
      </c>
      <c r="R1335">
        <f t="shared" ca="1" si="627"/>
        <v>3.8141460404132466E-3</v>
      </c>
      <c r="S1335">
        <f t="shared" ca="1" si="628"/>
        <v>1.0000000000000004</v>
      </c>
      <c r="T1335">
        <f t="shared" ca="1" si="629"/>
        <v>35.686426155594638</v>
      </c>
      <c r="U1335">
        <f t="shared" ca="1" si="650"/>
        <v>-3.4121820602877051E-3</v>
      </c>
      <c r="V1335">
        <f t="shared" ca="1" si="651"/>
        <v>1</v>
      </c>
      <c r="W1335">
        <f t="shared" ca="1" si="630"/>
        <v>1.6812012604493625</v>
      </c>
      <c r="X1335">
        <f t="shared" ca="1" si="631"/>
        <v>8.7422465543366847</v>
      </c>
      <c r="Y1335">
        <f t="shared" ca="1" si="632"/>
        <v>1.0210039218547602</v>
      </c>
      <c r="Z1335">
        <f t="shared" ca="1" si="633"/>
        <v>5.8280213996853831</v>
      </c>
      <c r="AA1335">
        <f t="shared" ca="1" si="634"/>
        <v>633.60820126044939</v>
      </c>
      <c r="AB1335">
        <f t="shared" ca="1" si="635"/>
        <v>635.33938543145814</v>
      </c>
      <c r="AC1335">
        <f t="shared" ca="1" si="636"/>
        <v>7.4334127218028036E-3</v>
      </c>
      <c r="AD1335">
        <f t="shared" ca="1" si="637"/>
        <v>1.4350822095734097</v>
      </c>
      <c r="AE1335">
        <f t="shared" ca="1" si="638"/>
        <v>37.617615671001069</v>
      </c>
      <c r="AF1335">
        <f t="shared" ca="1" si="639"/>
        <v>7.0995380168596967E-3</v>
      </c>
      <c r="AG1335">
        <f t="shared" ca="1" si="640"/>
        <v>0</v>
      </c>
      <c r="AH1335">
        <f ca="1">IFERROR(IF(V32="Supercritical",MAX($D$16,IFERROR(L1335,MAX($D$16,POWER((ABS(K1335)^2)/($I$5*MAX(F1335,0.1)^2),1/3)))),IF(V32="Subcritical",MAX($D$16,IFERROR(W1335,MAX($D$16,POWER((ABS(K1335)^2)/($I$5*MAX(F1335,0.1)^2),1/3)))),IF(AND(IFERROR(V1335,0)=1,IFERROR(AG1335,0)=1),IF(IFERROR(T1335,-1E+99)&gt;=IFERROR(AE1335,-1E+99),MAX($D$16,IFERROR(L1335,MAX($D$16,POWER((ABS(K1335)^2)/($I$5*MAX(F1335,0.1)^2),1/3)))),MAX($D$16,IFERROR(W1335,MAX($D$16,POWER((ABS(K1335)^2)/($I$5*MAX(F1335,0.1)^2),1/3))))),IF(IFERROR(V1335,0)=1,MAX($D$16,IFERROR(L1335,MAX($D$16,POWER((ABS(K1335)^2)/($I$5*MAX(F1335,0.1)^2),1/3)))),IF(IFERROR(AG1335,0)=1,MAX($D$16,IFERROR(W1335,MAX($D$16,POWER((ABS(K1335)^2)/($I$5*MAX(F1335,0.1)^2),1/3)))),MAX($D$16,POWER((ABS(K1335)^2)/($I$5*MAX(F1335,0.1)^2),1/3))))))),MAX($D$16,POWER((ABS(K1335)^2)/($I$5*MAX(F1335,0.1)^2),1/3)))</f>
        <v>2.1389677043987478</v>
      </c>
      <c r="AI1335">
        <f t="shared" ca="1" si="641"/>
        <v>634.06596770439876</v>
      </c>
      <c r="AJ1335">
        <f t="shared" ca="1" si="642"/>
        <v>635.13545155659813</v>
      </c>
      <c r="AM1335">
        <v>0</v>
      </c>
      <c r="AN1335">
        <v>0</v>
      </c>
      <c r="AO1335">
        <f t="shared" si="643"/>
        <v>0</v>
      </c>
      <c r="AP1335">
        <f t="shared" si="652"/>
        <v>0</v>
      </c>
      <c r="AQ1335">
        <f t="shared" ca="1" si="644"/>
        <v>1.0000000000000004</v>
      </c>
      <c r="AR1335" t="str">
        <f t="shared" ca="1" si="645"/>
        <v>Supercritical</v>
      </c>
      <c r="AS1335">
        <f t="shared" ca="1" si="646"/>
        <v>3.8141460404132466E-3</v>
      </c>
    </row>
    <row r="1336" spans="1:45" x14ac:dyDescent="0.35">
      <c r="A1336">
        <v>1275</v>
      </c>
      <c r="B1336">
        <v>1273.9960000000001</v>
      </c>
      <c r="C1336">
        <v>616069.71400000004</v>
      </c>
      <c r="D1336">
        <v>3096733.301</v>
      </c>
      <c r="E1336">
        <v>631.92650000000003</v>
      </c>
      <c r="F1336">
        <v>5.2</v>
      </c>
      <c r="G1336">
        <v>0</v>
      </c>
      <c r="H1336" t="s">
        <v>154</v>
      </c>
      <c r="I1336">
        <v>5.5E-2</v>
      </c>
      <c r="J1336">
        <f t="shared" si="647"/>
        <v>1.0010000000002037</v>
      </c>
      <c r="K1336">
        <f t="shared" ca="1" si="648"/>
        <v>50.95</v>
      </c>
      <c r="L1336">
        <f t="shared" ca="1" si="649"/>
        <v>2.1389677043987478</v>
      </c>
      <c r="M1336">
        <f t="shared" ca="1" si="622"/>
        <v>11.122632062873489</v>
      </c>
      <c r="N1336">
        <f t="shared" ca="1" si="623"/>
        <v>1.1735290000551568</v>
      </c>
      <c r="O1336">
        <f t="shared" ca="1" si="624"/>
        <v>4.5807502857230418</v>
      </c>
      <c r="P1336">
        <f t="shared" ca="1" si="625"/>
        <v>634.06546770439877</v>
      </c>
      <c r="Q1336">
        <f t="shared" ca="1" si="626"/>
        <v>635.13495155659814</v>
      </c>
      <c r="R1336">
        <f t="shared" ca="1" si="627"/>
        <v>3.8141460404132466E-3</v>
      </c>
      <c r="S1336">
        <f t="shared" ca="1" si="628"/>
        <v>1.0000000000000004</v>
      </c>
      <c r="T1336">
        <f t="shared" ca="1" si="629"/>
        <v>35.686426155594638</v>
      </c>
      <c r="U1336">
        <f t="shared" ca="1" si="650"/>
        <v>-3.415996206285854E-3</v>
      </c>
      <c r="V1336">
        <f t="shared" ca="1" si="651"/>
        <v>1</v>
      </c>
      <c r="W1336">
        <f t="shared" ca="1" si="630"/>
        <v>1.6812012604247719</v>
      </c>
      <c r="X1336">
        <f t="shared" ca="1" si="631"/>
        <v>8.7422465542088137</v>
      </c>
      <c r="Y1336">
        <f t="shared" ca="1" si="632"/>
        <v>1.0210039218456908</v>
      </c>
      <c r="Z1336">
        <f t="shared" ca="1" si="633"/>
        <v>5.8280213997706287</v>
      </c>
      <c r="AA1336">
        <f t="shared" ca="1" si="634"/>
        <v>633.60770126042485</v>
      </c>
      <c r="AB1336">
        <f t="shared" ca="1" si="635"/>
        <v>635.33888543148419</v>
      </c>
      <c r="AC1336">
        <f t="shared" ca="1" si="636"/>
        <v>7.433412722108298E-3</v>
      </c>
      <c r="AD1336">
        <f t="shared" ca="1" si="637"/>
        <v>1.4350822096048959</v>
      </c>
      <c r="AE1336">
        <f t="shared" ca="1" si="638"/>
        <v>37.617615671228833</v>
      </c>
      <c r="AF1336">
        <f t="shared" ca="1" si="639"/>
        <v>6.9334127221054587E-3</v>
      </c>
      <c r="AG1336">
        <f t="shared" ca="1" si="640"/>
        <v>0</v>
      </c>
      <c r="AH1336">
        <f ca="1">IFERROR(IF(V32="Supercritical",MAX($D$16,IFERROR(L1336,MAX($D$16,POWER((ABS(K1336)^2)/($I$5*MAX(F1336,0.1)^2),1/3)))),IF(V32="Subcritical",MAX($D$16,IFERROR(W1336,MAX($D$16,POWER((ABS(K1336)^2)/($I$5*MAX(F1336,0.1)^2),1/3)))),IF(AND(IFERROR(V1336,0)=1,IFERROR(AG1336,0)=1),IF(IFERROR(T1336,-1E+99)&gt;=IFERROR(AE1336,-1E+99),MAX($D$16,IFERROR(L1336,MAX($D$16,POWER((ABS(K1336)^2)/($I$5*MAX(F1336,0.1)^2),1/3)))),MAX($D$16,IFERROR(W1336,MAX($D$16,POWER((ABS(K1336)^2)/($I$5*MAX(F1336,0.1)^2),1/3))))),IF(IFERROR(V1336,0)=1,MAX($D$16,IFERROR(L1336,MAX($D$16,POWER((ABS(K1336)^2)/($I$5*MAX(F1336,0.1)^2),1/3)))),IF(IFERROR(AG1336,0)=1,MAX($D$16,IFERROR(W1336,MAX($D$16,POWER((ABS(K1336)^2)/($I$5*MAX(F1336,0.1)^2),1/3)))),MAX($D$16,POWER((ABS(K1336)^2)/($I$5*MAX(F1336,0.1)^2),1/3))))))),MAX($D$16,POWER((ABS(K1336)^2)/($I$5*MAX(F1336,0.1)^2),1/3)))</f>
        <v>2.1389677043987478</v>
      </c>
      <c r="AI1336">
        <f t="shared" ca="1" si="641"/>
        <v>634.06546770439877</v>
      </c>
      <c r="AJ1336">
        <f t="shared" ca="1" si="642"/>
        <v>635.13495155659814</v>
      </c>
      <c r="AM1336">
        <v>0</v>
      </c>
      <c r="AN1336">
        <v>0</v>
      </c>
      <c r="AO1336">
        <f t="shared" si="643"/>
        <v>0</v>
      </c>
      <c r="AP1336">
        <f t="shared" si="652"/>
        <v>0</v>
      </c>
      <c r="AQ1336">
        <f t="shared" ca="1" si="644"/>
        <v>1.0000000000000004</v>
      </c>
      <c r="AR1336" t="str">
        <f t="shared" ca="1" si="645"/>
        <v>Supercritical</v>
      </c>
      <c r="AS1336">
        <f t="shared" ca="1" si="646"/>
        <v>3.8141460404132466E-3</v>
      </c>
    </row>
    <row r="1337" spans="1:45" x14ac:dyDescent="0.35">
      <c r="A1337">
        <v>1276</v>
      </c>
      <c r="B1337">
        <v>1274.9960000000001</v>
      </c>
      <c r="C1337">
        <v>616069.67200000002</v>
      </c>
      <c r="D1337">
        <v>3096732.3020000001</v>
      </c>
      <c r="E1337">
        <v>631.92600000000004</v>
      </c>
      <c r="F1337">
        <v>5.2</v>
      </c>
      <c r="G1337">
        <v>0</v>
      </c>
      <c r="H1337" t="s">
        <v>154</v>
      </c>
      <c r="I1337">
        <v>0</v>
      </c>
      <c r="J1337">
        <f t="shared" si="647"/>
        <v>1</v>
      </c>
      <c r="K1337">
        <f t="shared" ca="1" si="648"/>
        <v>50.95</v>
      </c>
      <c r="L1337">
        <f t="shared" ca="1" si="649"/>
        <v>2.1389677043987478</v>
      </c>
      <c r="M1337">
        <f t="shared" ca="1" si="622"/>
        <v>11.122632062873489</v>
      </c>
      <c r="N1337">
        <f t="shared" ca="1" si="623"/>
        <v>1.1735290000551568</v>
      </c>
      <c r="O1337">
        <f t="shared" ca="1" si="624"/>
        <v>4.5807502857230418</v>
      </c>
      <c r="P1337">
        <f t="shared" ca="1" si="625"/>
        <v>634.06496770439878</v>
      </c>
      <c r="Q1337">
        <f t="shared" ca="1" si="626"/>
        <v>635.13445155659815</v>
      </c>
      <c r="R1337">
        <f t="shared" ca="1" si="627"/>
        <v>3.8141460404132466E-3</v>
      </c>
      <c r="S1337">
        <f t="shared" ca="1" si="628"/>
        <v>1.0000000000000004</v>
      </c>
      <c r="T1337">
        <f t="shared" ca="1" si="629"/>
        <v>35.686426155594638</v>
      </c>
      <c r="U1337">
        <f t="shared" ca="1" si="650"/>
        <v>-3.3141460404522149E-3</v>
      </c>
      <c r="V1337">
        <f t="shared" ca="1" si="651"/>
        <v>1</v>
      </c>
      <c r="W1337">
        <f t="shared" ca="1" si="630"/>
        <v>1.6812012604017845</v>
      </c>
      <c r="X1337">
        <f t="shared" ca="1" si="631"/>
        <v>8.7422465540892791</v>
      </c>
      <c r="Y1337">
        <f t="shared" ca="1" si="632"/>
        <v>1.0210039218372124</v>
      </c>
      <c r="Z1337">
        <f t="shared" ca="1" si="633"/>
        <v>5.8280213998503161</v>
      </c>
      <c r="AA1337">
        <f t="shared" ca="1" si="634"/>
        <v>633.60720126040178</v>
      </c>
      <c r="AB1337">
        <f t="shared" ca="1" si="635"/>
        <v>635.33838543150841</v>
      </c>
      <c r="AC1337">
        <f t="shared" ca="1" si="636"/>
        <v>7.4334127223938742E-3</v>
      </c>
      <c r="AD1337">
        <f t="shared" ca="1" si="637"/>
        <v>1.435082209634329</v>
      </c>
      <c r="AE1337">
        <f t="shared" ca="1" si="638"/>
        <v>37.61761567144174</v>
      </c>
      <c r="AF1337">
        <f t="shared" ca="1" si="639"/>
        <v>7.0978752187329519E-3</v>
      </c>
      <c r="AG1337">
        <f t="shared" ca="1" si="640"/>
        <v>0</v>
      </c>
      <c r="AH1337">
        <f ca="1">IFERROR(IF(V32="Supercritical",MAX($D$16,IFERROR(L1337,MAX($D$16,POWER((ABS(K1337)^2)/($I$5*MAX(F1337,0.1)^2),1/3)))),IF(V32="Subcritical",MAX($D$16,IFERROR(W1337,MAX($D$16,POWER((ABS(K1337)^2)/($I$5*MAX(F1337,0.1)^2),1/3)))),IF(AND(IFERROR(V1337,0)=1,IFERROR(AG1337,0)=1),IF(IFERROR(T1337,-1E+99)&gt;=IFERROR(AE1337,-1E+99),MAX($D$16,IFERROR(L1337,MAX($D$16,POWER((ABS(K1337)^2)/($I$5*MAX(F1337,0.1)^2),1/3)))),MAX($D$16,IFERROR(W1337,MAX($D$16,POWER((ABS(K1337)^2)/($I$5*MAX(F1337,0.1)^2),1/3))))),IF(IFERROR(V1337,0)=1,MAX($D$16,IFERROR(L1337,MAX($D$16,POWER((ABS(K1337)^2)/($I$5*MAX(F1337,0.1)^2),1/3)))),IF(IFERROR(AG1337,0)=1,MAX($D$16,IFERROR(W1337,MAX($D$16,POWER((ABS(K1337)^2)/($I$5*MAX(F1337,0.1)^2),1/3)))),MAX($D$16,POWER((ABS(K1337)^2)/($I$5*MAX(F1337,0.1)^2),1/3))))))),MAX($D$16,POWER((ABS(K1337)^2)/($I$5*MAX(F1337,0.1)^2),1/3)))</f>
        <v>2.1389677043987478</v>
      </c>
      <c r="AI1337">
        <f t="shared" ca="1" si="641"/>
        <v>634.06496770439878</v>
      </c>
      <c r="AJ1337">
        <f t="shared" ca="1" si="642"/>
        <v>635.13445155659815</v>
      </c>
      <c r="AM1337">
        <v>0</v>
      </c>
      <c r="AN1337">
        <v>0</v>
      </c>
      <c r="AO1337">
        <f t="shared" si="643"/>
        <v>0</v>
      </c>
      <c r="AP1337">
        <f t="shared" si="652"/>
        <v>0</v>
      </c>
      <c r="AQ1337">
        <f t="shared" ca="1" si="644"/>
        <v>1.0000000000000004</v>
      </c>
      <c r="AR1337" t="str">
        <f t="shared" ca="1" si="645"/>
        <v>Supercritical</v>
      </c>
      <c r="AS1337">
        <f t="shared" ca="1" si="646"/>
        <v>3.8141460404132466E-3</v>
      </c>
    </row>
    <row r="1338" spans="1:45" x14ac:dyDescent="0.35">
      <c r="A1338">
        <v>1277</v>
      </c>
      <c r="B1338">
        <v>1275.9960000000001</v>
      </c>
      <c r="C1338">
        <v>616069.63</v>
      </c>
      <c r="D1338">
        <v>3096731.3029999998</v>
      </c>
      <c r="E1338">
        <v>631.92550000000006</v>
      </c>
      <c r="F1338">
        <v>5.2</v>
      </c>
      <c r="G1338">
        <v>0</v>
      </c>
      <c r="H1338" t="s">
        <v>154</v>
      </c>
      <c r="I1338">
        <v>5.7000000000000002E-2</v>
      </c>
      <c r="J1338">
        <f t="shared" si="647"/>
        <v>1</v>
      </c>
      <c r="K1338">
        <f t="shared" ca="1" si="648"/>
        <v>50.95</v>
      </c>
      <c r="L1338">
        <f t="shared" ca="1" si="649"/>
        <v>2.1389677043987478</v>
      </c>
      <c r="M1338">
        <f t="shared" ca="1" si="622"/>
        <v>11.122632062873489</v>
      </c>
      <c r="N1338">
        <f t="shared" ca="1" si="623"/>
        <v>1.1735290000551568</v>
      </c>
      <c r="O1338">
        <f t="shared" ca="1" si="624"/>
        <v>4.5807502857230418</v>
      </c>
      <c r="P1338">
        <f t="shared" ca="1" si="625"/>
        <v>634.06446770439879</v>
      </c>
      <c r="Q1338">
        <f t="shared" ca="1" si="626"/>
        <v>635.13395155659816</v>
      </c>
      <c r="R1338">
        <f t="shared" ca="1" si="627"/>
        <v>3.8141460404132466E-3</v>
      </c>
      <c r="S1338">
        <f t="shared" ca="1" si="628"/>
        <v>1.0000000000000004</v>
      </c>
      <c r="T1338">
        <f t="shared" ca="1" si="629"/>
        <v>35.686426155594638</v>
      </c>
      <c r="U1338">
        <f t="shared" ca="1" si="650"/>
        <v>-3.4157470064428708E-3</v>
      </c>
      <c r="V1338">
        <f t="shared" ca="1" si="651"/>
        <v>1</v>
      </c>
      <c r="W1338">
        <f t="shared" ca="1" si="630"/>
        <v>1.6812012603802806</v>
      </c>
      <c r="X1338">
        <f t="shared" ca="1" si="631"/>
        <v>8.7422465539774592</v>
      </c>
      <c r="Y1338">
        <f t="shared" ca="1" si="632"/>
        <v>1.0210039218292817</v>
      </c>
      <c r="Z1338">
        <f t="shared" ca="1" si="633"/>
        <v>5.8280213999248609</v>
      </c>
      <c r="AA1338">
        <f t="shared" ca="1" si="634"/>
        <v>633.60670126038031</v>
      </c>
      <c r="AB1338">
        <f t="shared" ca="1" si="635"/>
        <v>635.33788543153128</v>
      </c>
      <c r="AC1338">
        <f t="shared" ca="1" si="636"/>
        <v>7.4334127226610182E-3</v>
      </c>
      <c r="AD1338">
        <f t="shared" ca="1" si="637"/>
        <v>1.4350822096618627</v>
      </c>
      <c r="AE1338">
        <f t="shared" ca="1" si="638"/>
        <v>37.617615671640912</v>
      </c>
      <c r="AF1338">
        <f t="shared" ca="1" si="639"/>
        <v>7.0978752188466387E-3</v>
      </c>
      <c r="AG1338">
        <f t="shared" ca="1" si="640"/>
        <v>0</v>
      </c>
      <c r="AH1338">
        <f ca="1">IFERROR(IF(V32="Supercritical",MAX($D$16,IFERROR(L1338,MAX($D$16,POWER((ABS(K1338)^2)/($I$5*MAX(F1338,0.1)^2),1/3)))),IF(V32="Subcritical",MAX($D$16,IFERROR(W1338,MAX($D$16,POWER((ABS(K1338)^2)/($I$5*MAX(F1338,0.1)^2),1/3)))),IF(AND(IFERROR(V1338,0)=1,IFERROR(AG1338,0)=1),IF(IFERROR(T1338,-1E+99)&gt;=IFERROR(AE1338,-1E+99),MAX($D$16,IFERROR(L1338,MAX($D$16,POWER((ABS(K1338)^2)/($I$5*MAX(F1338,0.1)^2),1/3)))),MAX($D$16,IFERROR(W1338,MAX($D$16,POWER((ABS(K1338)^2)/($I$5*MAX(F1338,0.1)^2),1/3))))),IF(IFERROR(V1338,0)=1,MAX($D$16,IFERROR(L1338,MAX($D$16,POWER((ABS(K1338)^2)/($I$5*MAX(F1338,0.1)^2),1/3)))),IF(IFERROR(AG1338,0)=1,MAX($D$16,IFERROR(W1338,MAX($D$16,POWER((ABS(K1338)^2)/($I$5*MAX(F1338,0.1)^2),1/3)))),MAX($D$16,POWER((ABS(K1338)^2)/($I$5*MAX(F1338,0.1)^2),1/3))))))),MAX($D$16,POWER((ABS(K1338)^2)/($I$5*MAX(F1338,0.1)^2),1/3)))</f>
        <v>2.1389677043987478</v>
      </c>
      <c r="AI1338">
        <f t="shared" ca="1" si="641"/>
        <v>634.06446770439879</v>
      </c>
      <c r="AJ1338">
        <f t="shared" ca="1" si="642"/>
        <v>635.13395155659816</v>
      </c>
      <c r="AM1338">
        <v>0</v>
      </c>
      <c r="AN1338">
        <v>0</v>
      </c>
      <c r="AO1338">
        <f t="shared" si="643"/>
        <v>0</v>
      </c>
      <c r="AP1338">
        <f t="shared" si="652"/>
        <v>0</v>
      </c>
      <c r="AQ1338">
        <f t="shared" ca="1" si="644"/>
        <v>1.0000000000000004</v>
      </c>
      <c r="AR1338" t="str">
        <f t="shared" ca="1" si="645"/>
        <v>Supercritical</v>
      </c>
      <c r="AS1338">
        <f t="shared" ca="1" si="646"/>
        <v>3.8141460404132466E-3</v>
      </c>
    </row>
    <row r="1339" spans="1:45" x14ac:dyDescent="0.35">
      <c r="A1339">
        <v>1278</v>
      </c>
      <c r="B1339">
        <v>1276.9960000000001</v>
      </c>
      <c r="C1339">
        <v>616069.58700000006</v>
      </c>
      <c r="D1339">
        <v>3096730.304</v>
      </c>
      <c r="E1339">
        <v>631.92499999999995</v>
      </c>
      <c r="F1339">
        <v>5.2</v>
      </c>
      <c r="G1339">
        <v>0</v>
      </c>
      <c r="H1339" t="s">
        <v>154</v>
      </c>
      <c r="I1339">
        <v>5.7000000000000002E-2</v>
      </c>
      <c r="J1339">
        <f t="shared" si="647"/>
        <v>1</v>
      </c>
      <c r="K1339">
        <f t="shared" ca="1" si="648"/>
        <v>50.95</v>
      </c>
      <c r="L1339">
        <f t="shared" ca="1" si="649"/>
        <v>2.1389677043987478</v>
      </c>
      <c r="M1339">
        <f t="shared" ca="1" si="622"/>
        <v>11.122632062873489</v>
      </c>
      <c r="N1339">
        <f t="shared" ca="1" si="623"/>
        <v>1.1735290000551568</v>
      </c>
      <c r="O1339">
        <f t="shared" ca="1" si="624"/>
        <v>4.5807502857230418</v>
      </c>
      <c r="P1339">
        <f t="shared" ca="1" si="625"/>
        <v>634.06396770439869</v>
      </c>
      <c r="Q1339">
        <f t="shared" ca="1" si="626"/>
        <v>635.13345155659806</v>
      </c>
      <c r="R1339">
        <f t="shared" ca="1" si="627"/>
        <v>3.8141460404132466E-3</v>
      </c>
      <c r="S1339">
        <f t="shared" ca="1" si="628"/>
        <v>1.0000000000000004</v>
      </c>
      <c r="T1339">
        <f t="shared" ca="1" si="629"/>
        <v>35.686426155594638</v>
      </c>
      <c r="U1339">
        <f t="shared" ca="1" si="650"/>
        <v>-3.4157470063291839E-3</v>
      </c>
      <c r="V1339">
        <f t="shared" ca="1" si="651"/>
        <v>1</v>
      </c>
      <c r="W1339">
        <f t="shared" ca="1" si="630"/>
        <v>1.6812012603601922</v>
      </c>
      <c r="X1339">
        <f t="shared" ca="1" si="631"/>
        <v>8.7422465538730005</v>
      </c>
      <c r="Y1339">
        <f t="shared" ca="1" si="632"/>
        <v>1.0210039218218725</v>
      </c>
      <c r="Z1339">
        <f t="shared" ca="1" si="633"/>
        <v>5.8280213999944985</v>
      </c>
      <c r="AA1339">
        <f t="shared" ca="1" si="634"/>
        <v>633.60620126036019</v>
      </c>
      <c r="AB1339">
        <f t="shared" ca="1" si="635"/>
        <v>635.33738543155255</v>
      </c>
      <c r="AC1339">
        <f t="shared" ca="1" si="636"/>
        <v>7.4334127229105824E-3</v>
      </c>
      <c r="AD1339">
        <f t="shared" ca="1" si="637"/>
        <v>1.4350822096875837</v>
      </c>
      <c r="AE1339">
        <f t="shared" ca="1" si="638"/>
        <v>37.617615671826961</v>
      </c>
      <c r="AF1339">
        <f t="shared" ca="1" si="639"/>
        <v>6.9334127229012665E-3</v>
      </c>
      <c r="AG1339">
        <f t="shared" ca="1" si="640"/>
        <v>0</v>
      </c>
      <c r="AH1339">
        <f ca="1">IFERROR(IF(V32="Supercritical",MAX($D$16,IFERROR(L1339,MAX($D$16,POWER((ABS(K1339)^2)/($I$5*MAX(F1339,0.1)^2),1/3)))),IF(V32="Subcritical",MAX($D$16,IFERROR(W1339,MAX($D$16,POWER((ABS(K1339)^2)/($I$5*MAX(F1339,0.1)^2),1/3)))),IF(AND(IFERROR(V1339,0)=1,IFERROR(AG1339,0)=1),IF(IFERROR(T1339,-1E+99)&gt;=IFERROR(AE1339,-1E+99),MAX($D$16,IFERROR(L1339,MAX($D$16,POWER((ABS(K1339)^2)/($I$5*MAX(F1339,0.1)^2),1/3)))),MAX($D$16,IFERROR(W1339,MAX($D$16,POWER((ABS(K1339)^2)/($I$5*MAX(F1339,0.1)^2),1/3))))),IF(IFERROR(V1339,0)=1,MAX($D$16,IFERROR(L1339,MAX($D$16,POWER((ABS(K1339)^2)/($I$5*MAX(F1339,0.1)^2),1/3)))),IF(IFERROR(AG1339,0)=1,MAX($D$16,IFERROR(W1339,MAX($D$16,POWER((ABS(K1339)^2)/($I$5*MAX(F1339,0.1)^2),1/3)))),MAX($D$16,POWER((ABS(K1339)^2)/($I$5*MAX(F1339,0.1)^2),1/3))))))),MAX($D$16,POWER((ABS(K1339)^2)/($I$5*MAX(F1339,0.1)^2),1/3)))</f>
        <v>2.1389677043987478</v>
      </c>
      <c r="AI1339">
        <f t="shared" ca="1" si="641"/>
        <v>634.06396770439869</v>
      </c>
      <c r="AJ1339">
        <f t="shared" ca="1" si="642"/>
        <v>635.13345155659806</v>
      </c>
      <c r="AM1339">
        <v>0</v>
      </c>
      <c r="AN1339">
        <v>0</v>
      </c>
      <c r="AO1339">
        <f t="shared" si="643"/>
        <v>0</v>
      </c>
      <c r="AP1339">
        <f t="shared" si="652"/>
        <v>0</v>
      </c>
      <c r="AQ1339">
        <f t="shared" ca="1" si="644"/>
        <v>1.0000000000000004</v>
      </c>
      <c r="AR1339" t="str">
        <f t="shared" ca="1" si="645"/>
        <v>Supercritical</v>
      </c>
      <c r="AS1339">
        <f t="shared" ca="1" si="646"/>
        <v>3.8141460404132466E-3</v>
      </c>
    </row>
    <row r="1340" spans="1:45" x14ac:dyDescent="0.35">
      <c r="A1340">
        <v>1279</v>
      </c>
      <c r="B1340">
        <v>1277.9960000000001</v>
      </c>
      <c r="C1340">
        <v>616069.54500000004</v>
      </c>
      <c r="D1340">
        <v>3096729.3050000002</v>
      </c>
      <c r="E1340">
        <v>631.92449999999997</v>
      </c>
      <c r="F1340">
        <v>5.2</v>
      </c>
      <c r="G1340">
        <v>0</v>
      </c>
      <c r="H1340" t="s">
        <v>154</v>
      </c>
      <c r="I1340">
        <v>0</v>
      </c>
      <c r="J1340">
        <f t="shared" si="647"/>
        <v>1</v>
      </c>
      <c r="K1340">
        <f t="shared" ca="1" si="648"/>
        <v>50.95</v>
      </c>
      <c r="L1340">
        <f t="shared" ca="1" si="649"/>
        <v>2.1389677043987478</v>
      </c>
      <c r="M1340">
        <f t="shared" ca="1" si="622"/>
        <v>11.122632062873489</v>
      </c>
      <c r="N1340">
        <f t="shared" ca="1" si="623"/>
        <v>1.1735290000551568</v>
      </c>
      <c r="O1340">
        <f t="shared" ca="1" si="624"/>
        <v>4.5807502857230418</v>
      </c>
      <c r="P1340">
        <f t="shared" ca="1" si="625"/>
        <v>634.0634677043987</v>
      </c>
      <c r="Q1340">
        <f t="shared" ca="1" si="626"/>
        <v>635.13295155659807</v>
      </c>
      <c r="R1340">
        <f t="shared" ca="1" si="627"/>
        <v>3.8141460404132466E-3</v>
      </c>
      <c r="S1340">
        <f t="shared" ca="1" si="628"/>
        <v>1.0000000000000004</v>
      </c>
      <c r="T1340">
        <f t="shared" ca="1" si="629"/>
        <v>35.686426155594638</v>
      </c>
      <c r="U1340">
        <f t="shared" ca="1" si="650"/>
        <v>-3.3141460404522149E-3</v>
      </c>
      <c r="V1340">
        <f t="shared" ca="1" si="651"/>
        <v>1</v>
      </c>
      <c r="W1340">
        <f t="shared" ca="1" si="630"/>
        <v>1.6812012603414339</v>
      </c>
      <c r="X1340">
        <f t="shared" ca="1" si="631"/>
        <v>8.7422465537754572</v>
      </c>
      <c r="Y1340">
        <f t="shared" ca="1" si="632"/>
        <v>1.0210039218149543</v>
      </c>
      <c r="Z1340">
        <f t="shared" ca="1" si="633"/>
        <v>5.8280214000595256</v>
      </c>
      <c r="AA1340">
        <f t="shared" ca="1" si="634"/>
        <v>633.60570126034145</v>
      </c>
      <c r="AB1340">
        <f t="shared" ca="1" si="635"/>
        <v>635.33688543157245</v>
      </c>
      <c r="AC1340">
        <f t="shared" ca="1" si="636"/>
        <v>7.4334127231436191E-3</v>
      </c>
      <c r="AD1340">
        <f t="shared" ca="1" si="637"/>
        <v>1.4350822097116021</v>
      </c>
      <c r="AE1340">
        <f t="shared" ca="1" si="638"/>
        <v>37.617615672000703</v>
      </c>
      <c r="AF1340">
        <f t="shared" ca="1" si="639"/>
        <v>6.9334127231286402E-3</v>
      </c>
      <c r="AG1340">
        <f t="shared" ca="1" si="640"/>
        <v>0</v>
      </c>
      <c r="AH1340">
        <f ca="1">IFERROR(IF(V32="Supercritical",MAX($D$16,IFERROR(L1340,MAX($D$16,POWER((ABS(K1340)^2)/($I$5*MAX(F1340,0.1)^2),1/3)))),IF(V32="Subcritical",MAX($D$16,IFERROR(W1340,MAX($D$16,POWER((ABS(K1340)^2)/($I$5*MAX(F1340,0.1)^2),1/3)))),IF(AND(IFERROR(V1340,0)=1,IFERROR(AG1340,0)=1),IF(IFERROR(T1340,-1E+99)&gt;=IFERROR(AE1340,-1E+99),MAX($D$16,IFERROR(L1340,MAX($D$16,POWER((ABS(K1340)^2)/($I$5*MAX(F1340,0.1)^2),1/3)))),MAX($D$16,IFERROR(W1340,MAX($D$16,POWER((ABS(K1340)^2)/($I$5*MAX(F1340,0.1)^2),1/3))))),IF(IFERROR(V1340,0)=1,MAX($D$16,IFERROR(L1340,MAX($D$16,POWER((ABS(K1340)^2)/($I$5*MAX(F1340,0.1)^2),1/3)))),IF(IFERROR(AG1340,0)=1,MAX($D$16,IFERROR(W1340,MAX($D$16,POWER((ABS(K1340)^2)/($I$5*MAX(F1340,0.1)^2),1/3)))),MAX($D$16,POWER((ABS(K1340)^2)/($I$5*MAX(F1340,0.1)^2),1/3))))))),MAX($D$16,POWER((ABS(K1340)^2)/($I$5*MAX(F1340,0.1)^2),1/3)))</f>
        <v>2.1389677043987478</v>
      </c>
      <c r="AI1340">
        <f t="shared" ca="1" si="641"/>
        <v>634.0634677043987</v>
      </c>
      <c r="AJ1340">
        <f t="shared" ca="1" si="642"/>
        <v>635.13295155659807</v>
      </c>
      <c r="AM1340">
        <v>0</v>
      </c>
      <c r="AN1340">
        <v>0</v>
      </c>
      <c r="AO1340">
        <f t="shared" si="643"/>
        <v>0</v>
      </c>
      <c r="AP1340">
        <f t="shared" si="652"/>
        <v>0</v>
      </c>
      <c r="AQ1340">
        <f t="shared" ca="1" si="644"/>
        <v>1.0000000000000004</v>
      </c>
      <c r="AR1340" t="str">
        <f t="shared" ca="1" si="645"/>
        <v>Supercritical</v>
      </c>
      <c r="AS1340">
        <f t="shared" ca="1" si="646"/>
        <v>3.8141460404132466E-3</v>
      </c>
    </row>
    <row r="1341" spans="1:45" x14ac:dyDescent="0.35">
      <c r="A1341">
        <v>1280</v>
      </c>
      <c r="B1341">
        <v>1278.9960000000001</v>
      </c>
      <c r="C1341">
        <v>616069.50300000003</v>
      </c>
      <c r="D1341">
        <v>3096728.3059999999</v>
      </c>
      <c r="E1341">
        <v>631.92399999999998</v>
      </c>
      <c r="F1341">
        <v>5.2</v>
      </c>
      <c r="G1341">
        <v>0</v>
      </c>
      <c r="H1341" t="s">
        <v>154</v>
      </c>
      <c r="I1341">
        <v>0</v>
      </c>
      <c r="J1341">
        <f t="shared" si="647"/>
        <v>1</v>
      </c>
      <c r="K1341">
        <f t="shared" ca="1" si="648"/>
        <v>50.95</v>
      </c>
      <c r="L1341">
        <f t="shared" ca="1" si="649"/>
        <v>2.1389677043987478</v>
      </c>
      <c r="M1341">
        <f t="shared" ca="1" si="622"/>
        <v>11.122632062873489</v>
      </c>
      <c r="N1341">
        <f t="shared" ca="1" si="623"/>
        <v>1.1735290000551568</v>
      </c>
      <c r="O1341">
        <f t="shared" ca="1" si="624"/>
        <v>4.5807502857230418</v>
      </c>
      <c r="P1341">
        <f t="shared" ca="1" si="625"/>
        <v>634.06296770439872</v>
      </c>
      <c r="Q1341">
        <f t="shared" ca="1" si="626"/>
        <v>635.13245155659808</v>
      </c>
      <c r="R1341">
        <f t="shared" ca="1" si="627"/>
        <v>3.8141460404132466E-3</v>
      </c>
      <c r="S1341">
        <f t="shared" ca="1" si="628"/>
        <v>1.0000000000000004</v>
      </c>
      <c r="T1341">
        <f t="shared" ca="1" si="629"/>
        <v>35.686426155594638</v>
      </c>
      <c r="U1341">
        <f t="shared" ca="1" si="650"/>
        <v>-3.3141460404522149E-3</v>
      </c>
      <c r="V1341">
        <f t="shared" ca="1" si="651"/>
        <v>1</v>
      </c>
      <c r="W1341">
        <f t="shared" ca="1" si="630"/>
        <v>1.6812012603239035</v>
      </c>
      <c r="X1341">
        <f t="shared" ca="1" si="631"/>
        <v>8.7422465536842981</v>
      </c>
      <c r="Y1341">
        <f t="shared" ca="1" si="632"/>
        <v>1.0210039218084883</v>
      </c>
      <c r="Z1341">
        <f t="shared" ca="1" si="633"/>
        <v>5.8280214001202966</v>
      </c>
      <c r="AA1341">
        <f t="shared" ca="1" si="634"/>
        <v>633.60520126032384</v>
      </c>
      <c r="AB1341">
        <f t="shared" ca="1" si="635"/>
        <v>635.33638543159088</v>
      </c>
      <c r="AC1341">
        <f t="shared" ca="1" si="636"/>
        <v>7.4334127233614085E-3</v>
      </c>
      <c r="AD1341">
        <f t="shared" ca="1" si="637"/>
        <v>1.4350822097340483</v>
      </c>
      <c r="AE1341">
        <f t="shared" ca="1" si="638"/>
        <v>37.617615672163076</v>
      </c>
      <c r="AF1341">
        <f t="shared" ca="1" si="639"/>
        <v>7.0904418068948871E-3</v>
      </c>
      <c r="AG1341">
        <f t="shared" ca="1" si="640"/>
        <v>0</v>
      </c>
      <c r="AH1341">
        <f ca="1">IFERROR(IF(V32="Supercritical",MAX($D$16,IFERROR(L1341,MAX($D$16,POWER((ABS(K1341)^2)/($I$5*MAX(F1341,0.1)^2),1/3)))),IF(V32="Subcritical",MAX($D$16,IFERROR(W1341,MAX($D$16,POWER((ABS(K1341)^2)/($I$5*MAX(F1341,0.1)^2),1/3)))),IF(AND(IFERROR(V1341,0)=1,IFERROR(AG1341,0)=1),IF(IFERROR(T1341,-1E+99)&gt;=IFERROR(AE1341,-1E+99),MAX($D$16,IFERROR(L1341,MAX($D$16,POWER((ABS(K1341)^2)/($I$5*MAX(F1341,0.1)^2),1/3)))),MAX($D$16,IFERROR(W1341,MAX($D$16,POWER((ABS(K1341)^2)/($I$5*MAX(F1341,0.1)^2),1/3))))),IF(IFERROR(V1341,0)=1,MAX($D$16,IFERROR(L1341,MAX($D$16,POWER((ABS(K1341)^2)/($I$5*MAX(F1341,0.1)^2),1/3)))),IF(IFERROR(AG1341,0)=1,MAX($D$16,IFERROR(W1341,MAX($D$16,POWER((ABS(K1341)^2)/($I$5*MAX(F1341,0.1)^2),1/3)))),MAX($D$16,POWER((ABS(K1341)^2)/($I$5*MAX(F1341,0.1)^2),1/3))))))),MAX($D$16,POWER((ABS(K1341)^2)/($I$5*MAX(F1341,0.1)^2),1/3)))</f>
        <v>2.1389677043987478</v>
      </c>
      <c r="AI1341">
        <f t="shared" ca="1" si="641"/>
        <v>634.06296770439872</v>
      </c>
      <c r="AJ1341">
        <f t="shared" ca="1" si="642"/>
        <v>635.13245155659808</v>
      </c>
      <c r="AM1341">
        <v>0</v>
      </c>
      <c r="AN1341">
        <v>0</v>
      </c>
      <c r="AO1341">
        <f t="shared" si="643"/>
        <v>0</v>
      </c>
      <c r="AP1341">
        <f t="shared" si="652"/>
        <v>0</v>
      </c>
      <c r="AQ1341">
        <f t="shared" ca="1" si="644"/>
        <v>1.0000000000000004</v>
      </c>
      <c r="AR1341" t="str">
        <f t="shared" ca="1" si="645"/>
        <v>Supercritical</v>
      </c>
      <c r="AS1341">
        <f t="shared" ca="1" si="646"/>
        <v>3.8141460404132466E-3</v>
      </c>
    </row>
    <row r="1342" spans="1:45" x14ac:dyDescent="0.35">
      <c r="A1342">
        <v>1281</v>
      </c>
      <c r="B1342">
        <v>1279.9949999999999</v>
      </c>
      <c r="C1342">
        <v>616069.46100000001</v>
      </c>
      <c r="D1342">
        <v>3096727.307</v>
      </c>
      <c r="E1342">
        <v>631.92349999999999</v>
      </c>
      <c r="F1342">
        <v>5.2</v>
      </c>
      <c r="G1342">
        <v>0</v>
      </c>
      <c r="H1342" t="s">
        <v>154</v>
      </c>
      <c r="I1342">
        <v>5.7000000000000002E-2</v>
      </c>
      <c r="J1342">
        <f t="shared" si="647"/>
        <v>0.99899999999979627</v>
      </c>
      <c r="K1342">
        <f t="shared" ca="1" si="648"/>
        <v>50.95</v>
      </c>
      <c r="L1342">
        <f t="shared" ca="1" si="649"/>
        <v>2.1389677043987478</v>
      </c>
      <c r="M1342">
        <f t="shared" ref="M1342:M1405" ca="1" si="653">((F1342)+(G1342)*(L1342))*(L1342)</f>
        <v>11.122632062873489</v>
      </c>
      <c r="N1342">
        <f t="shared" ref="N1342:N1405" ca="1" si="654">(((F1342)+(G1342)*(L1342))*(L1342))/MAX((F1342)+2*(L1342)*SQRT(1+(G1342)^2),0.000001)</f>
        <v>1.1735290000551568</v>
      </c>
      <c r="O1342">
        <f t="shared" ref="O1342:O1405" ca="1" si="655">ABS(K1342)/MAX(((F1342)+(G1342)*(L1342))*(L1342),0.000001)</f>
        <v>4.5807502857230418</v>
      </c>
      <c r="P1342">
        <f t="shared" ref="P1342:P1405" ca="1" si="656">E1342+L1342</f>
        <v>634.06246770439873</v>
      </c>
      <c r="Q1342">
        <f t="shared" ref="Q1342:Q1405" ca="1" si="657">P1342+((ABS(K1342)/MAX(((F1342)+(G1342)*(L1342))*(L1342),0.000001))^2)/(2*$I$5)</f>
        <v>635.1319515565981</v>
      </c>
      <c r="R1342">
        <f t="shared" ref="R1342:R1405" ca="1" si="658">((ABS(K1342)*$D$6)/(MAX(((F1342)+(G1342)*(L1342))*(L1342),0.000001)*MAX(((((F1342)+(G1342)*(L1342))*(L1342))/MAX((F1342)+2*(L1342)*SQRT(1+(G1342)^2),0.000001))^(2/3),0.000001)))^2</f>
        <v>3.8141460404132466E-3</v>
      </c>
      <c r="S1342">
        <f t="shared" ref="S1342:S1405" ca="1" si="659">ABS(ABS(K1342)/MAX(((F1342)+(G1342)*(L1342))*(L1342),0.000001))/SQRT($I$5*MAX((((F1342)+(G1342)*(L1342))*(L1342))/MAX((F1342)+2*(G1342)*(L1342),0.000001),0.000001))</f>
        <v>1.0000000000000004</v>
      </c>
      <c r="T1342">
        <f t="shared" ref="T1342:T1405" ca="1" si="660">((F1342)*(L1342)^2)/2+(G1342)*(L1342)^3/3+(ABS(K1342)^2)/($I$5*MAX(((F1342)+(G1342)*(L1342))*(L1342),0.000001))</f>
        <v>35.686426155594638</v>
      </c>
      <c r="U1342">
        <f t="shared" ca="1" si="650"/>
        <v>-3.411932860331035E-3</v>
      </c>
      <c r="V1342">
        <f t="shared" ca="1" si="651"/>
        <v>1</v>
      </c>
      <c r="W1342">
        <f t="shared" ref="W1342:W1405" ca="1" si="661">IF($D$20=0,IFERROR(W1343,MAX($D$16,POWER((ABS(K1342)^2)/($I$5*MAX(F1342,0.1)^2),1/3))),IF(IFERROR(AG1343,0)=0,IFERROR(W1343,MAX($D$16,POWER((ABS(K1342)^2)/($I$5*MAX(F1342,0.1)^2),1/3))),IF(OR(IFERROR(W1342,0)=0,IFERROR(AD1343,0)&gt;1),MAX($D$16,POWER((ABS(K1342)^2)/($I$5*MAX(F1342,0.1)^2),1/3)),IF(IFERROR(AF1342,0)&gt;0,MAX($D$16,IFERROR(W1342,0)+((IFERROR(AF1342,0))*$D$18*IF((IFERROR(AD1342,0))&lt;1,1,-1))),IF(IFERROR(AF1342,0)&lt;0,IF(ABS((MAX($D$16,POWER((ABS(K1342)^2)/($I$5*MAX(F1342,0.1)^2),1/3)))-IFERROR(W1342,0))&gt;$D$19,MAX($D$16,IF((MAX($D$16,POWER((ABS(K1342)^2)/($I$5*MAX(F1342,0.1)^2),1/3)))&gt;IFERROR(W1342,0),MIN((MAX($D$16,POWER((ABS(K1342)^2)/($I$5*MAX(F1342,0.1)^2),1/3))),IFERROR(W1342,0)+(MIN(ABS(IFERROR(AF1342,0))*$D$18,ABS((MAX($D$16,POWER((ABS(K1342)^2)/($I$5*MAX(F1342,0.1)^2),1/3)))-IFERROR(W1342,0))))),MAX((MAX($D$16,POWER((ABS(K1342)^2)/($I$5*MAX(F1342,0.1)^2),1/3))),IFERROR(W1342,0)-(MIN(ABS(IFERROR(AF1342,0))*$D$18,ABS((MAX($D$16,POWER((ABS(K1342)^2)/($I$5*MAX(F1342,0.1)^2),1/3)))-IFERROR(W1342,0))))))),MAX($D$16,POWER((ABS(K1342)^2)/($I$5*MAX(F1342,0.1)^2),1/3))),MAX($D$16,IFERROR(W1342,0)))))))</f>
        <v>1.6812012603074984</v>
      </c>
      <c r="X1342">
        <f t="shared" ref="X1342:X1405" ca="1" si="662">((F1342)+(G1342)*(W1342))*(W1342)</f>
        <v>8.7422465535989922</v>
      </c>
      <c r="Y1342">
        <f t="shared" ref="Y1342:Y1405" ca="1" si="663">(((F1342)+(G1342)*(W1342))*(W1342))/MAX((F1342)+2*(W1342)*SQRT(1+(G1342)^2),0.000001)</f>
        <v>1.021003921802438</v>
      </c>
      <c r="Z1342">
        <f t="shared" ref="Z1342:Z1405" ca="1" si="664">ABS(K1342)/MAX(((F1342)+(G1342)*(W1342))*(W1342),0.000001)</f>
        <v>5.8280214001771657</v>
      </c>
      <c r="AA1342">
        <f t="shared" ref="AA1342:AA1405" ca="1" si="665">E1342+W1342</f>
        <v>633.60470126030748</v>
      </c>
      <c r="AB1342">
        <f t="shared" ref="AB1342:AB1405" ca="1" si="666">AA1342+((ABS(K1342)/MAX(((F1342)+(G1342)*(W1342))*(W1342),0.000001))^2)/(2*$I$5)</f>
        <v>635.33588543160829</v>
      </c>
      <c r="AC1342">
        <f t="shared" ref="AC1342:AC1405" ca="1" si="667">((ABS(K1342)*$D$6)/(MAX(((F1342)+(G1342)*(W1342))*(W1342),0.000001)*MAX(((((F1342)+(G1342)*(W1342))*(W1342))/MAX((F1342)+2*(W1342)*SQRT(1+(G1342)^2),0.000001))^(2/3),0.000001)))^2</f>
        <v>7.4334127235652098E-3</v>
      </c>
      <c r="AD1342">
        <f t="shared" ref="AD1342:AD1405" ca="1" si="668">ABS(ABS(K1342)/MAX(((F1342)+(G1342)*(W1342))*(W1342),0.000001))/SQRT($I$5*MAX((((F1342)+(G1342)*(W1342))*(W1342))/MAX((F1342)+2*(G1342)*(W1342),0.000001),0.000001))</f>
        <v>1.4350822097550533</v>
      </c>
      <c r="AE1342">
        <f t="shared" ref="AE1342:AE1405" ca="1" si="669">((F1342)*(W1342)^2)/2+(G1342)*(W1342)^3/3+(ABS(K1342)^2)/($I$5*MAX(((F1342)+(G1342)*(W1342))*(W1342),0.000001))</f>
        <v>37.617615672315019</v>
      </c>
      <c r="AF1342">
        <f t="shared" ref="AF1342:AF1405" ca="1" si="670">IF($D$20=0,0,IFERROR(AB1343+(((AC1342+AC1343)/2)*J1343)+(IF(Z1342&gt;Z1343,$D$8*((Z1342^2-Z1343^2)/(2*$I$5)),$D$9*((Z1343^2-Z1342^2)/(2*$I$5)))+($D$10*(ABS(I1343)/90)*(MAX(Z1342^2,Z1343^2)/(2*$I$5))))-AB1342,0))</f>
        <v>7.0978752198698203E-3</v>
      </c>
      <c r="AG1342">
        <f t="shared" ref="AG1342:AG1405" ca="1" si="671">IF($D$20=0,1,IFERROR(IF(ROUND(AD1342,3)=1,1,IF(AND(ABS(AF1342)&lt;$D$19,AD1342&lt;1),1,0)),0))</f>
        <v>0</v>
      </c>
      <c r="AH1342">
        <f ca="1">IFERROR(IF(V32="Supercritical",MAX($D$16,IFERROR(L1342,MAX($D$16,POWER((ABS(K1342)^2)/($I$5*MAX(F1342,0.1)^2),1/3)))),IF(V32="Subcritical",MAX($D$16,IFERROR(W1342,MAX($D$16,POWER((ABS(K1342)^2)/($I$5*MAX(F1342,0.1)^2),1/3)))),IF(AND(IFERROR(V1342,0)=1,IFERROR(AG1342,0)=1),IF(IFERROR(T1342,-1E+99)&gt;=IFERROR(AE1342,-1E+99),MAX($D$16,IFERROR(L1342,MAX($D$16,POWER((ABS(K1342)^2)/($I$5*MAX(F1342,0.1)^2),1/3)))),MAX($D$16,IFERROR(W1342,MAX($D$16,POWER((ABS(K1342)^2)/($I$5*MAX(F1342,0.1)^2),1/3))))),IF(IFERROR(V1342,0)=1,MAX($D$16,IFERROR(L1342,MAX($D$16,POWER((ABS(K1342)^2)/($I$5*MAX(F1342,0.1)^2),1/3)))),IF(IFERROR(AG1342,0)=1,MAX($D$16,IFERROR(W1342,MAX($D$16,POWER((ABS(K1342)^2)/($I$5*MAX(F1342,0.1)^2),1/3)))),MAX($D$16,POWER((ABS(K1342)^2)/($I$5*MAX(F1342,0.1)^2),1/3))))))),MAX($D$16,POWER((ABS(K1342)^2)/($I$5*MAX(F1342,0.1)^2),1/3)))</f>
        <v>2.1389677043987478</v>
      </c>
      <c r="AI1342">
        <f t="shared" ref="AI1342:AI1405" ca="1" si="672">E1342+AH1342</f>
        <v>634.06246770439873</v>
      </c>
      <c r="AJ1342">
        <f t="shared" ref="AJ1342:AJ1405" ca="1" si="673">AI1342+((ABS(K1342)/MAX(((F1342)+(G1342)*(AH1342))*(AH1342),0.000001))^2)/(2*$I$5)</f>
        <v>635.1319515565981</v>
      </c>
      <c r="AM1342">
        <v>0</v>
      </c>
      <c r="AN1342">
        <v>0</v>
      </c>
      <c r="AO1342">
        <f t="shared" ref="AO1342:AO1405" si="674">AM1342+AN1342</f>
        <v>0</v>
      </c>
      <c r="AP1342">
        <f t="shared" si="652"/>
        <v>0</v>
      </c>
      <c r="AQ1342">
        <f t="shared" ref="AQ1342:AQ1405" ca="1" si="675">ABS(ABS(K1342)/MAX(((F1342)+(G1342)*(AH1342))*(AH1342),0.000001))/SQRT($I$5*MAX((((F1342)+(G1342)*(AH1342))*(AH1342))/MAX((F1342)+2*(G1342)*(AH1342),0.000001),0.000001))</f>
        <v>1.0000000000000004</v>
      </c>
      <c r="AR1342" t="str">
        <f t="shared" ref="AR1342:AR1405" ca="1" si="676">IF(AQ1342&lt;1,"Subcritical","Supercritical")</f>
        <v>Supercritical</v>
      </c>
      <c r="AS1342">
        <f t="shared" ref="AS1342:AS1405" ca="1" si="677">((ABS(K1342)*$D$6)/(MAX(((F1342)+(G1342)*(AH1342))*(AH1342),0.000001)*MAX(((((F1342)+(G1342)*(AH1342))*(AH1342))/MAX((F1342)+2*(AH1342)*SQRT(1+(G1342)^2),0.000001))^(2/3),0.000001)))^2</f>
        <v>3.8141460404132466E-3</v>
      </c>
    </row>
    <row r="1343" spans="1:45" x14ac:dyDescent="0.35">
      <c r="A1343">
        <v>1282</v>
      </c>
      <c r="B1343">
        <v>1280.9949999999999</v>
      </c>
      <c r="C1343">
        <v>616069.41799999995</v>
      </c>
      <c r="D1343">
        <v>3096726.3080000002</v>
      </c>
      <c r="E1343">
        <v>631.923</v>
      </c>
      <c r="F1343">
        <v>5.2</v>
      </c>
      <c r="G1343">
        <v>0</v>
      </c>
      <c r="H1343" t="s">
        <v>154</v>
      </c>
      <c r="I1343">
        <v>5.7000000000000002E-2</v>
      </c>
      <c r="J1343">
        <f t="shared" ref="J1343:J1406" si="678">B1343-B1342</f>
        <v>1</v>
      </c>
      <c r="K1343">
        <f t="shared" ref="K1343:K1406" ca="1" si="679">MAX(0,K1342-AO1342)</f>
        <v>50.95</v>
      </c>
      <c r="L1343">
        <f t="shared" ref="L1343:L1406" ca="1" si="680">IF($D$20=0,IFERROR(L1342,MAX($D$16,POWER((ABS(K1343)^2)/($I$5*MAX(F1343,0.1)^2),1/3))),IF(IFERROR(V1342,0)=0,IFERROR(L1342,MAX($D$16,POWER((ABS(K1343)^2)/($I$5*MAX(F1343,0.1)^2),1/3))),IF(OR(IFERROR(L1343,0)=0,IFERROR(S1342,0)&lt;1,IFERROR(S1343,0)&lt;1),MAX($D$16,POWER((ABS(K1343)^2)/($I$5*MAX(F1343,0.1)^2),1/3)),IF(IFERROR(U1343,0)&gt;0,MAX($D$16,IFERROR(L1343,0)+((IFERROR(U1343,0))*$D$18*IF((IFERROR(S1343,0))&lt;1,1,-1))),IF(IFERROR(U1343,0)&lt;0,IF(ABS((MAX($D$16,POWER((ABS(K1343)^2)/($I$5*MAX(F1343,0.1)^2),1/3)))-IFERROR(L1343,0))&gt;$D$19,MAX($D$16,IF((MAX($D$16,POWER((ABS(K1343)^2)/($I$5*MAX(F1343,0.1)^2),1/3)))&gt;IFERROR(L1343,0),MIN((MAX($D$16,POWER((ABS(K1343)^2)/($I$5*MAX(F1343,0.1)^2),1/3))),IFERROR(L1343,0)+(MIN(ABS(IFERROR(U1343,0))*$D$18,ABS((MAX($D$16,POWER((ABS(K1343)^2)/($I$5*MAX(F1343,0.1)^2),1/3)))-IFERROR(L1343,0))))),MAX((MAX($D$16,POWER((ABS(K1343)^2)/($I$5*MAX(F1343,0.1)^2),1/3))),IFERROR(L1343,0)-(MIN(ABS(IFERROR(U1343,0))*$D$18,ABS((MAX($D$16,POWER((ABS(K1343)^2)/($I$5*MAX(F1343,0.1)^2),1/3)))-IFERROR(L1343,0))))))),MAX($D$16,POWER((ABS(K1343)^2)/($I$5*MAX(F1343,0.1)^2),1/3))),MAX($D$16,IFERROR(L1343,0)))))))</f>
        <v>2.1389677043987478</v>
      </c>
      <c r="M1343">
        <f t="shared" ca="1" si="653"/>
        <v>11.122632062873489</v>
      </c>
      <c r="N1343">
        <f t="shared" ca="1" si="654"/>
        <v>1.1735290000551568</v>
      </c>
      <c r="O1343">
        <f t="shared" ca="1" si="655"/>
        <v>4.5807502857230418</v>
      </c>
      <c r="P1343">
        <f t="shared" ca="1" si="656"/>
        <v>634.06196770439874</v>
      </c>
      <c r="Q1343">
        <f t="shared" ca="1" si="657"/>
        <v>635.13145155659811</v>
      </c>
      <c r="R1343">
        <f t="shared" ca="1" si="658"/>
        <v>3.8141460404132466E-3</v>
      </c>
      <c r="S1343">
        <f t="shared" ca="1" si="659"/>
        <v>1.0000000000000004</v>
      </c>
      <c r="T1343">
        <f t="shared" ca="1" si="660"/>
        <v>35.686426155594638</v>
      </c>
      <c r="U1343">
        <f t="shared" ref="U1343:U1406" ca="1" si="681">IF($D$20=0,0,IFERROR(Q1342-(((R1342+R1343)/2)*J1343)-(IF(O1342&gt;O1343,$D$8*((O1342^2-O1343^2)/(2*$I$5)),$D$9*((O1343^2-O1342^2)/(2*$I$5)))+($D$10*(ABS(I1343)/90)*(MAX(O1342^2,O1343^2)/(2*$I$5))))-Q1343,0))</f>
        <v>-3.4157470064428708E-3</v>
      </c>
      <c r="V1343">
        <f t="shared" ref="V1343:V1406" ca="1" si="682">IF($D$20=0,1,IFERROR(IF(ROUND(S1343,3)=1,1,IF(AND(ABS(U1343)&lt;$D$19,S1343&gt;1),1,0)),0))</f>
        <v>1</v>
      </c>
      <c r="W1343">
        <f t="shared" ca="1" si="661"/>
        <v>1.6812012602921678</v>
      </c>
      <c r="X1343">
        <f t="shared" ca="1" si="662"/>
        <v>8.7422465535192728</v>
      </c>
      <c r="Y1343">
        <f t="shared" ca="1" si="663"/>
        <v>1.0210039217967837</v>
      </c>
      <c r="Z1343">
        <f t="shared" ca="1" si="664"/>
        <v>5.8280214002303108</v>
      </c>
      <c r="AA1343">
        <f t="shared" ca="1" si="665"/>
        <v>633.60420126029214</v>
      </c>
      <c r="AB1343">
        <f t="shared" ca="1" si="666"/>
        <v>635.33538543162456</v>
      </c>
      <c r="AC1343">
        <f t="shared" ca="1" si="667"/>
        <v>7.4334127237556669E-3</v>
      </c>
      <c r="AD1343">
        <f t="shared" ca="1" si="668"/>
        <v>1.4350822097746829</v>
      </c>
      <c r="AE1343">
        <f t="shared" ca="1" si="669"/>
        <v>37.617615672457013</v>
      </c>
      <c r="AF1343">
        <f t="shared" ca="1" si="670"/>
        <v>6.9334127238107612E-3</v>
      </c>
      <c r="AG1343">
        <f t="shared" ca="1" si="671"/>
        <v>0</v>
      </c>
      <c r="AH1343">
        <f ca="1">IFERROR(IF(V32="Supercritical",MAX($D$16,IFERROR(L1343,MAX($D$16,POWER((ABS(K1343)^2)/($I$5*MAX(F1343,0.1)^2),1/3)))),IF(V32="Subcritical",MAX($D$16,IFERROR(W1343,MAX($D$16,POWER((ABS(K1343)^2)/($I$5*MAX(F1343,0.1)^2),1/3)))),IF(AND(IFERROR(V1343,0)=1,IFERROR(AG1343,0)=1),IF(IFERROR(T1343,-1E+99)&gt;=IFERROR(AE1343,-1E+99),MAX($D$16,IFERROR(L1343,MAX($D$16,POWER((ABS(K1343)^2)/($I$5*MAX(F1343,0.1)^2),1/3)))),MAX($D$16,IFERROR(W1343,MAX($D$16,POWER((ABS(K1343)^2)/($I$5*MAX(F1343,0.1)^2),1/3))))),IF(IFERROR(V1343,0)=1,MAX($D$16,IFERROR(L1343,MAX($D$16,POWER((ABS(K1343)^2)/($I$5*MAX(F1343,0.1)^2),1/3)))),IF(IFERROR(AG1343,0)=1,MAX($D$16,IFERROR(W1343,MAX($D$16,POWER((ABS(K1343)^2)/($I$5*MAX(F1343,0.1)^2),1/3)))),MAX($D$16,POWER((ABS(K1343)^2)/($I$5*MAX(F1343,0.1)^2),1/3))))))),MAX($D$16,POWER((ABS(K1343)^2)/($I$5*MAX(F1343,0.1)^2),1/3)))</f>
        <v>2.1389677043987478</v>
      </c>
      <c r="AI1343">
        <f t="shared" ca="1" si="672"/>
        <v>634.06196770439874</v>
      </c>
      <c r="AJ1343">
        <f t="shared" ca="1" si="673"/>
        <v>635.13145155659811</v>
      </c>
      <c r="AM1343">
        <v>0</v>
      </c>
      <c r="AN1343">
        <v>0</v>
      </c>
      <c r="AO1343">
        <f t="shared" si="674"/>
        <v>0</v>
      </c>
      <c r="AP1343">
        <f t="shared" ref="AP1343:AP1406" si="683">AP1342+AO1343</f>
        <v>0</v>
      </c>
      <c r="AQ1343">
        <f t="shared" ca="1" si="675"/>
        <v>1.0000000000000004</v>
      </c>
      <c r="AR1343" t="str">
        <f t="shared" ca="1" si="676"/>
        <v>Supercritical</v>
      </c>
      <c r="AS1343">
        <f t="shared" ca="1" si="677"/>
        <v>3.8141460404132466E-3</v>
      </c>
    </row>
    <row r="1344" spans="1:45" x14ac:dyDescent="0.35">
      <c r="A1344">
        <v>1283</v>
      </c>
      <c r="B1344">
        <v>1281.9949999999999</v>
      </c>
      <c r="C1344">
        <v>616069.37600000005</v>
      </c>
      <c r="D1344">
        <v>3096725.3089999999</v>
      </c>
      <c r="E1344">
        <v>631.92250000000001</v>
      </c>
      <c r="F1344">
        <v>5.2</v>
      </c>
      <c r="G1344">
        <v>0</v>
      </c>
      <c r="H1344" t="s">
        <v>154</v>
      </c>
      <c r="I1344">
        <v>0</v>
      </c>
      <c r="J1344">
        <f t="shared" si="678"/>
        <v>1</v>
      </c>
      <c r="K1344">
        <f t="shared" ca="1" si="679"/>
        <v>50.95</v>
      </c>
      <c r="L1344">
        <f t="shared" ca="1" si="680"/>
        <v>2.1389677043987478</v>
      </c>
      <c r="M1344">
        <f t="shared" ca="1" si="653"/>
        <v>11.122632062873489</v>
      </c>
      <c r="N1344">
        <f t="shared" ca="1" si="654"/>
        <v>1.1735290000551568</v>
      </c>
      <c r="O1344">
        <f t="shared" ca="1" si="655"/>
        <v>4.5807502857230418</v>
      </c>
      <c r="P1344">
        <f t="shared" ca="1" si="656"/>
        <v>634.06146770439875</v>
      </c>
      <c r="Q1344">
        <f t="shared" ca="1" si="657"/>
        <v>635.13095155659812</v>
      </c>
      <c r="R1344">
        <f t="shared" ca="1" si="658"/>
        <v>3.8141460404132466E-3</v>
      </c>
      <c r="S1344">
        <f t="shared" ca="1" si="659"/>
        <v>1.0000000000000004</v>
      </c>
      <c r="T1344">
        <f t="shared" ca="1" si="660"/>
        <v>35.686426155594638</v>
      </c>
      <c r="U1344">
        <f t="shared" ca="1" si="681"/>
        <v>-3.3141460404522149E-3</v>
      </c>
      <c r="V1344">
        <f t="shared" ca="1" si="682"/>
        <v>1</v>
      </c>
      <c r="W1344">
        <f t="shared" ca="1" si="661"/>
        <v>1.6812012602778261</v>
      </c>
      <c r="X1344">
        <f t="shared" ca="1" si="662"/>
        <v>8.742246553444696</v>
      </c>
      <c r="Y1344">
        <f t="shared" ca="1" si="663"/>
        <v>1.0210039217914941</v>
      </c>
      <c r="Z1344">
        <f t="shared" ca="1" si="664"/>
        <v>5.8280214002800275</v>
      </c>
      <c r="AA1344">
        <f t="shared" ca="1" si="665"/>
        <v>633.60370126027783</v>
      </c>
      <c r="AB1344">
        <f t="shared" ca="1" si="666"/>
        <v>635.3348854316398</v>
      </c>
      <c r="AC1344">
        <f t="shared" ca="1" si="667"/>
        <v>7.4334127239338386E-3</v>
      </c>
      <c r="AD1344">
        <f t="shared" ca="1" si="668"/>
        <v>1.4350822097930462</v>
      </c>
      <c r="AE1344">
        <f t="shared" ca="1" si="669"/>
        <v>37.617615672589849</v>
      </c>
      <c r="AF1344">
        <f t="shared" ca="1" si="670"/>
        <v>6.9391833378631418E-3</v>
      </c>
      <c r="AG1344">
        <f t="shared" ca="1" si="671"/>
        <v>0</v>
      </c>
      <c r="AH1344">
        <f ca="1">IFERROR(IF(V32="Supercritical",MAX($D$16,IFERROR(L1344,MAX($D$16,POWER((ABS(K1344)^2)/($I$5*MAX(F1344,0.1)^2),1/3)))),IF(V32="Subcritical",MAX($D$16,IFERROR(W1344,MAX($D$16,POWER((ABS(K1344)^2)/($I$5*MAX(F1344,0.1)^2),1/3)))),IF(AND(IFERROR(V1344,0)=1,IFERROR(AG1344,0)=1),IF(IFERROR(T1344,-1E+99)&gt;=IFERROR(AE1344,-1E+99),MAX($D$16,IFERROR(L1344,MAX($D$16,POWER((ABS(K1344)^2)/($I$5*MAX(F1344,0.1)^2),1/3)))),MAX($D$16,IFERROR(W1344,MAX($D$16,POWER((ABS(K1344)^2)/($I$5*MAX(F1344,0.1)^2),1/3))))),IF(IFERROR(V1344,0)=1,MAX($D$16,IFERROR(L1344,MAX($D$16,POWER((ABS(K1344)^2)/($I$5*MAX(F1344,0.1)^2),1/3)))),IF(IFERROR(AG1344,0)=1,MAX($D$16,IFERROR(W1344,MAX($D$16,POWER((ABS(K1344)^2)/($I$5*MAX(F1344,0.1)^2),1/3)))),MAX($D$16,POWER((ABS(K1344)^2)/($I$5*MAX(F1344,0.1)^2),1/3))))))),MAX($D$16,POWER((ABS(K1344)^2)/($I$5*MAX(F1344,0.1)^2),1/3)))</f>
        <v>2.1389677043987478</v>
      </c>
      <c r="AI1344">
        <f t="shared" ca="1" si="672"/>
        <v>634.06146770439875</v>
      </c>
      <c r="AJ1344">
        <f t="shared" ca="1" si="673"/>
        <v>635.13095155659812</v>
      </c>
      <c r="AM1344">
        <v>0</v>
      </c>
      <c r="AN1344">
        <v>0</v>
      </c>
      <c r="AO1344">
        <f t="shared" si="674"/>
        <v>0</v>
      </c>
      <c r="AP1344">
        <f t="shared" si="683"/>
        <v>0</v>
      </c>
      <c r="AQ1344">
        <f t="shared" ca="1" si="675"/>
        <v>1.0000000000000004</v>
      </c>
      <c r="AR1344" t="str">
        <f t="shared" ca="1" si="676"/>
        <v>Supercritical</v>
      </c>
      <c r="AS1344">
        <f t="shared" ca="1" si="677"/>
        <v>3.8141460404132466E-3</v>
      </c>
    </row>
    <row r="1345" spans="1:45" x14ac:dyDescent="0.35">
      <c r="A1345">
        <v>1284</v>
      </c>
      <c r="B1345">
        <v>1282.9949999999999</v>
      </c>
      <c r="C1345">
        <v>616069.33400000003</v>
      </c>
      <c r="D1345">
        <v>3096724.31</v>
      </c>
      <c r="E1345">
        <v>631.92200000000003</v>
      </c>
      <c r="F1345">
        <v>5.2</v>
      </c>
      <c r="G1345">
        <v>0</v>
      </c>
      <c r="H1345" t="s">
        <v>154</v>
      </c>
      <c r="I1345">
        <v>2E-3</v>
      </c>
      <c r="J1345">
        <f t="shared" si="678"/>
        <v>1</v>
      </c>
      <c r="K1345">
        <f t="shared" ca="1" si="679"/>
        <v>50.95</v>
      </c>
      <c r="L1345">
        <f t="shared" ca="1" si="680"/>
        <v>2.1389677043987478</v>
      </c>
      <c r="M1345">
        <f t="shared" ca="1" si="653"/>
        <v>11.122632062873489</v>
      </c>
      <c r="N1345">
        <f t="shared" ca="1" si="654"/>
        <v>1.1735290000551568</v>
      </c>
      <c r="O1345">
        <f t="shared" ca="1" si="655"/>
        <v>4.5807502857230418</v>
      </c>
      <c r="P1345">
        <f t="shared" ca="1" si="656"/>
        <v>634.06096770439876</v>
      </c>
      <c r="Q1345">
        <f t="shared" ca="1" si="657"/>
        <v>635.13045155659813</v>
      </c>
      <c r="R1345">
        <f t="shared" ca="1" si="658"/>
        <v>3.8141460404132466E-3</v>
      </c>
      <c r="S1345">
        <f t="shared" ca="1" si="659"/>
        <v>1.0000000000000004</v>
      </c>
      <c r="T1345">
        <f t="shared" ca="1" si="660"/>
        <v>35.686426155594638</v>
      </c>
      <c r="U1345">
        <f t="shared" ca="1" si="681"/>
        <v>-3.3177109866073806E-3</v>
      </c>
      <c r="V1345">
        <f t="shared" ca="1" si="682"/>
        <v>1</v>
      </c>
      <c r="W1345">
        <f t="shared" ca="1" si="661"/>
        <v>1.6812012602644224</v>
      </c>
      <c r="X1345">
        <f t="shared" ca="1" si="662"/>
        <v>8.7422465533749971</v>
      </c>
      <c r="Y1345">
        <f t="shared" ca="1" si="663"/>
        <v>1.0210039217865505</v>
      </c>
      <c r="Z1345">
        <f t="shared" ca="1" si="664"/>
        <v>5.8280214003264925</v>
      </c>
      <c r="AA1345">
        <f t="shared" ca="1" si="665"/>
        <v>633.60320126026443</v>
      </c>
      <c r="AB1345">
        <f t="shared" ca="1" si="666"/>
        <v>635.33438543165403</v>
      </c>
      <c r="AC1345">
        <f t="shared" ca="1" si="667"/>
        <v>7.4334127241003555E-3</v>
      </c>
      <c r="AD1345">
        <f t="shared" ca="1" si="668"/>
        <v>1.4350822098102083</v>
      </c>
      <c r="AE1345">
        <f t="shared" ca="1" si="669"/>
        <v>37.617615672713995</v>
      </c>
      <c r="AF1345">
        <f t="shared" ca="1" si="670"/>
        <v>7.1139645539233243E-3</v>
      </c>
      <c r="AG1345">
        <f t="shared" ca="1" si="671"/>
        <v>0</v>
      </c>
      <c r="AH1345">
        <f ca="1">IFERROR(IF(V32="Supercritical",MAX($D$16,IFERROR(L1345,MAX($D$16,POWER((ABS(K1345)^2)/($I$5*MAX(F1345,0.1)^2),1/3)))),IF(V32="Subcritical",MAX($D$16,IFERROR(W1345,MAX($D$16,POWER((ABS(K1345)^2)/($I$5*MAX(F1345,0.1)^2),1/3)))),IF(AND(IFERROR(V1345,0)=1,IFERROR(AG1345,0)=1),IF(IFERROR(T1345,-1E+99)&gt;=IFERROR(AE1345,-1E+99),MAX($D$16,IFERROR(L1345,MAX($D$16,POWER((ABS(K1345)^2)/($I$5*MAX(F1345,0.1)^2),1/3)))),MAX($D$16,IFERROR(W1345,MAX($D$16,POWER((ABS(K1345)^2)/($I$5*MAX(F1345,0.1)^2),1/3))))),IF(IFERROR(V1345,0)=1,MAX($D$16,IFERROR(L1345,MAX($D$16,POWER((ABS(K1345)^2)/($I$5*MAX(F1345,0.1)^2),1/3)))),IF(IFERROR(AG1345,0)=1,MAX($D$16,IFERROR(W1345,MAX($D$16,POWER((ABS(K1345)^2)/($I$5*MAX(F1345,0.1)^2),1/3)))),MAX($D$16,POWER((ABS(K1345)^2)/($I$5*MAX(F1345,0.1)^2),1/3))))))),MAX($D$16,POWER((ABS(K1345)^2)/($I$5*MAX(F1345,0.1)^2),1/3)))</f>
        <v>2.1389677043987478</v>
      </c>
      <c r="AI1345">
        <f t="shared" ca="1" si="672"/>
        <v>634.06096770439876</v>
      </c>
      <c r="AJ1345">
        <f t="shared" ca="1" si="673"/>
        <v>635.13045155659813</v>
      </c>
      <c r="AM1345">
        <v>0</v>
      </c>
      <c r="AN1345">
        <v>0</v>
      </c>
      <c r="AO1345">
        <f t="shared" si="674"/>
        <v>0</v>
      </c>
      <c r="AP1345">
        <f t="shared" si="683"/>
        <v>0</v>
      </c>
      <c r="AQ1345">
        <f t="shared" ca="1" si="675"/>
        <v>1.0000000000000004</v>
      </c>
      <c r="AR1345" t="str">
        <f t="shared" ca="1" si="676"/>
        <v>Supercritical</v>
      </c>
      <c r="AS1345">
        <f t="shared" ca="1" si="677"/>
        <v>3.8141460404132466E-3</v>
      </c>
    </row>
    <row r="1346" spans="1:45" x14ac:dyDescent="0.35">
      <c r="A1346">
        <v>1285</v>
      </c>
      <c r="B1346">
        <v>1283.9960000000001</v>
      </c>
      <c r="C1346">
        <v>616069.29200000002</v>
      </c>
      <c r="D1346">
        <v>3096723.31</v>
      </c>
      <c r="E1346">
        <v>631.92150000000004</v>
      </c>
      <c r="F1346">
        <v>5.2</v>
      </c>
      <c r="G1346">
        <v>0</v>
      </c>
      <c r="H1346" t="s">
        <v>154</v>
      </c>
      <c r="I1346">
        <v>0.06</v>
      </c>
      <c r="J1346">
        <f t="shared" si="678"/>
        <v>1.0010000000002037</v>
      </c>
      <c r="K1346">
        <f t="shared" ca="1" si="679"/>
        <v>50.95</v>
      </c>
      <c r="L1346">
        <f t="shared" ca="1" si="680"/>
        <v>2.1389677043987478</v>
      </c>
      <c r="M1346">
        <f t="shared" ca="1" si="653"/>
        <v>11.122632062873489</v>
      </c>
      <c r="N1346">
        <f t="shared" ca="1" si="654"/>
        <v>1.1735290000551568</v>
      </c>
      <c r="O1346">
        <f t="shared" ca="1" si="655"/>
        <v>4.5807502857230418</v>
      </c>
      <c r="P1346">
        <f t="shared" ca="1" si="656"/>
        <v>634.06046770439877</v>
      </c>
      <c r="Q1346">
        <f t="shared" ca="1" si="657"/>
        <v>635.12995155659814</v>
      </c>
      <c r="R1346">
        <f t="shared" ca="1" si="658"/>
        <v>3.8141460404132466E-3</v>
      </c>
      <c r="S1346">
        <f t="shared" ca="1" si="659"/>
        <v>1.0000000000000004</v>
      </c>
      <c r="T1346">
        <f t="shared" ca="1" si="660"/>
        <v>35.686426155594638</v>
      </c>
      <c r="U1346">
        <f t="shared" ca="1" si="681"/>
        <v>-3.4249085716737682E-3</v>
      </c>
      <c r="V1346">
        <f t="shared" ca="1" si="682"/>
        <v>1</v>
      </c>
      <c r="W1346">
        <f t="shared" ca="1" si="661"/>
        <v>1.6812012602518884</v>
      </c>
      <c r="X1346">
        <f t="shared" ca="1" si="662"/>
        <v>8.7422465533098208</v>
      </c>
      <c r="Y1346">
        <f t="shared" ca="1" si="663"/>
        <v>1.0210039217819278</v>
      </c>
      <c r="Z1346">
        <f t="shared" ca="1" si="664"/>
        <v>5.8280214003699422</v>
      </c>
      <c r="AA1346">
        <f t="shared" ca="1" si="665"/>
        <v>633.60270126025193</v>
      </c>
      <c r="AB1346">
        <f t="shared" ca="1" si="666"/>
        <v>635.33388543166734</v>
      </c>
      <c r="AC1346">
        <f t="shared" ca="1" si="667"/>
        <v>7.4334127242560687E-3</v>
      </c>
      <c r="AD1346">
        <f t="shared" ca="1" si="668"/>
        <v>1.4350822098262568</v>
      </c>
      <c r="AE1346">
        <f t="shared" ca="1" si="669"/>
        <v>37.617615672830084</v>
      </c>
      <c r="AF1346">
        <f t="shared" ca="1" si="670"/>
        <v>7.0978752205519413E-3</v>
      </c>
      <c r="AG1346">
        <f t="shared" ca="1" si="671"/>
        <v>0</v>
      </c>
      <c r="AH1346">
        <f ca="1">IFERROR(IF(V32="Supercritical",MAX($D$16,IFERROR(L1346,MAX($D$16,POWER((ABS(K1346)^2)/($I$5*MAX(F1346,0.1)^2),1/3)))),IF(V32="Subcritical",MAX($D$16,IFERROR(W1346,MAX($D$16,POWER((ABS(K1346)^2)/($I$5*MAX(F1346,0.1)^2),1/3)))),IF(AND(IFERROR(V1346,0)=1,IFERROR(AG1346,0)=1),IF(IFERROR(T1346,-1E+99)&gt;=IFERROR(AE1346,-1E+99),MAX($D$16,IFERROR(L1346,MAX($D$16,POWER((ABS(K1346)^2)/($I$5*MAX(F1346,0.1)^2),1/3)))),MAX($D$16,IFERROR(W1346,MAX($D$16,POWER((ABS(K1346)^2)/($I$5*MAX(F1346,0.1)^2),1/3))))),IF(IFERROR(V1346,0)=1,MAX($D$16,IFERROR(L1346,MAX($D$16,POWER((ABS(K1346)^2)/($I$5*MAX(F1346,0.1)^2),1/3)))),IF(IFERROR(AG1346,0)=1,MAX($D$16,IFERROR(W1346,MAX($D$16,POWER((ABS(K1346)^2)/($I$5*MAX(F1346,0.1)^2),1/3)))),MAX($D$16,POWER((ABS(K1346)^2)/($I$5*MAX(F1346,0.1)^2),1/3))))))),MAX($D$16,POWER((ABS(K1346)^2)/($I$5*MAX(F1346,0.1)^2),1/3)))</f>
        <v>2.1389677043987478</v>
      </c>
      <c r="AI1346">
        <f t="shared" ca="1" si="672"/>
        <v>634.06046770439877</v>
      </c>
      <c r="AJ1346">
        <f t="shared" ca="1" si="673"/>
        <v>635.12995155659814</v>
      </c>
      <c r="AM1346">
        <v>0</v>
      </c>
      <c r="AN1346">
        <v>0</v>
      </c>
      <c r="AO1346">
        <f t="shared" si="674"/>
        <v>0</v>
      </c>
      <c r="AP1346">
        <f t="shared" si="683"/>
        <v>0</v>
      </c>
      <c r="AQ1346">
        <f t="shared" ca="1" si="675"/>
        <v>1.0000000000000004</v>
      </c>
      <c r="AR1346" t="str">
        <f t="shared" ca="1" si="676"/>
        <v>Supercritical</v>
      </c>
      <c r="AS1346">
        <f t="shared" ca="1" si="677"/>
        <v>3.8141460404132466E-3</v>
      </c>
    </row>
    <row r="1347" spans="1:45" x14ac:dyDescent="0.35">
      <c r="A1347">
        <v>1286</v>
      </c>
      <c r="B1347">
        <v>1284.9960000000001</v>
      </c>
      <c r="C1347">
        <v>616069.24899999995</v>
      </c>
      <c r="D1347">
        <v>3096722.3110000002</v>
      </c>
      <c r="E1347">
        <v>631.92100000000005</v>
      </c>
      <c r="F1347">
        <v>5.2</v>
      </c>
      <c r="G1347">
        <v>0</v>
      </c>
      <c r="H1347" t="s">
        <v>154</v>
      </c>
      <c r="I1347">
        <v>5.7000000000000002E-2</v>
      </c>
      <c r="J1347">
        <f t="shared" si="678"/>
        <v>1</v>
      </c>
      <c r="K1347">
        <f t="shared" ca="1" si="679"/>
        <v>50.95</v>
      </c>
      <c r="L1347">
        <f t="shared" ca="1" si="680"/>
        <v>2.1389677043987478</v>
      </c>
      <c r="M1347">
        <f t="shared" ca="1" si="653"/>
        <v>11.122632062873489</v>
      </c>
      <c r="N1347">
        <f t="shared" ca="1" si="654"/>
        <v>1.1735290000551568</v>
      </c>
      <c r="O1347">
        <f t="shared" ca="1" si="655"/>
        <v>4.5807502857230418</v>
      </c>
      <c r="P1347">
        <f t="shared" ca="1" si="656"/>
        <v>634.05996770439879</v>
      </c>
      <c r="Q1347">
        <f t="shared" ca="1" si="657"/>
        <v>635.12945155659816</v>
      </c>
      <c r="R1347">
        <f t="shared" ca="1" si="658"/>
        <v>3.8141460404132466E-3</v>
      </c>
      <c r="S1347">
        <f t="shared" ca="1" si="659"/>
        <v>1.0000000000000004</v>
      </c>
      <c r="T1347">
        <f t="shared" ca="1" si="660"/>
        <v>35.686426155594638</v>
      </c>
      <c r="U1347">
        <f t="shared" ca="1" si="681"/>
        <v>-3.4157470064428708E-3</v>
      </c>
      <c r="V1347">
        <f t="shared" ca="1" si="682"/>
        <v>1</v>
      </c>
      <c r="W1347">
        <f t="shared" ca="1" si="661"/>
        <v>1.68120126024019</v>
      </c>
      <c r="X1347">
        <f t="shared" ca="1" si="662"/>
        <v>8.7422465532489877</v>
      </c>
      <c r="Y1347">
        <f t="shared" ca="1" si="663"/>
        <v>1.0210039217776132</v>
      </c>
      <c r="Z1347">
        <f t="shared" ca="1" si="664"/>
        <v>5.8280214004104964</v>
      </c>
      <c r="AA1347">
        <f t="shared" ca="1" si="665"/>
        <v>633.60220126024024</v>
      </c>
      <c r="AB1347">
        <f t="shared" ca="1" si="666"/>
        <v>635.33338543167974</v>
      </c>
      <c r="AC1347">
        <f t="shared" ca="1" si="667"/>
        <v>7.4334127244013986E-3</v>
      </c>
      <c r="AD1347">
        <f t="shared" ca="1" si="668"/>
        <v>1.4350822098412359</v>
      </c>
      <c r="AE1347">
        <f t="shared" ca="1" si="669"/>
        <v>37.617615672938442</v>
      </c>
      <c r="AF1347">
        <f t="shared" ca="1" si="670"/>
        <v>6.9334127242655086E-3</v>
      </c>
      <c r="AG1347">
        <f t="shared" ca="1" si="671"/>
        <v>0</v>
      </c>
      <c r="AH1347">
        <f ca="1">IFERROR(IF(V32="Supercritical",MAX($D$16,IFERROR(L1347,MAX($D$16,POWER((ABS(K1347)^2)/($I$5*MAX(F1347,0.1)^2),1/3)))),IF(V32="Subcritical",MAX($D$16,IFERROR(W1347,MAX($D$16,POWER((ABS(K1347)^2)/($I$5*MAX(F1347,0.1)^2),1/3)))),IF(AND(IFERROR(V1347,0)=1,IFERROR(AG1347,0)=1),IF(IFERROR(T1347,-1E+99)&gt;=IFERROR(AE1347,-1E+99),MAX($D$16,IFERROR(L1347,MAX($D$16,POWER((ABS(K1347)^2)/($I$5*MAX(F1347,0.1)^2),1/3)))),MAX($D$16,IFERROR(W1347,MAX($D$16,POWER((ABS(K1347)^2)/($I$5*MAX(F1347,0.1)^2),1/3))))),IF(IFERROR(V1347,0)=1,MAX($D$16,IFERROR(L1347,MAX($D$16,POWER((ABS(K1347)^2)/($I$5*MAX(F1347,0.1)^2),1/3)))),IF(IFERROR(AG1347,0)=1,MAX($D$16,IFERROR(W1347,MAX($D$16,POWER((ABS(K1347)^2)/($I$5*MAX(F1347,0.1)^2),1/3)))),MAX($D$16,POWER((ABS(K1347)^2)/($I$5*MAX(F1347,0.1)^2),1/3))))))),MAX($D$16,POWER((ABS(K1347)^2)/($I$5*MAX(F1347,0.1)^2),1/3)))</f>
        <v>2.1389677043987478</v>
      </c>
      <c r="AI1347">
        <f t="shared" ca="1" si="672"/>
        <v>634.05996770439879</v>
      </c>
      <c r="AJ1347">
        <f t="shared" ca="1" si="673"/>
        <v>635.12945155659816</v>
      </c>
      <c r="AM1347">
        <v>0</v>
      </c>
      <c r="AN1347">
        <v>0</v>
      </c>
      <c r="AO1347">
        <f t="shared" si="674"/>
        <v>0</v>
      </c>
      <c r="AP1347">
        <f t="shared" si="683"/>
        <v>0</v>
      </c>
      <c r="AQ1347">
        <f t="shared" ca="1" si="675"/>
        <v>1.0000000000000004</v>
      </c>
      <c r="AR1347" t="str">
        <f t="shared" ca="1" si="676"/>
        <v>Supercritical</v>
      </c>
      <c r="AS1347">
        <f t="shared" ca="1" si="677"/>
        <v>3.8141460404132466E-3</v>
      </c>
    </row>
    <row r="1348" spans="1:45" x14ac:dyDescent="0.35">
      <c r="A1348">
        <v>1287</v>
      </c>
      <c r="B1348">
        <v>1285.9960000000001</v>
      </c>
      <c r="C1348">
        <v>616069.20700000005</v>
      </c>
      <c r="D1348">
        <v>3096721.3119999999</v>
      </c>
      <c r="E1348">
        <v>631.92049999999995</v>
      </c>
      <c r="F1348">
        <v>5.2</v>
      </c>
      <c r="G1348">
        <v>0</v>
      </c>
      <c r="H1348" t="s">
        <v>154</v>
      </c>
      <c r="I1348">
        <v>0</v>
      </c>
      <c r="J1348">
        <f t="shared" si="678"/>
        <v>1</v>
      </c>
      <c r="K1348">
        <f t="shared" ca="1" si="679"/>
        <v>50.95</v>
      </c>
      <c r="L1348">
        <f t="shared" ca="1" si="680"/>
        <v>2.1389677043987478</v>
      </c>
      <c r="M1348">
        <f t="shared" ca="1" si="653"/>
        <v>11.122632062873489</v>
      </c>
      <c r="N1348">
        <f t="shared" ca="1" si="654"/>
        <v>1.1735290000551568</v>
      </c>
      <c r="O1348">
        <f t="shared" ca="1" si="655"/>
        <v>4.5807502857230418</v>
      </c>
      <c r="P1348">
        <f t="shared" ca="1" si="656"/>
        <v>634.05946770439868</v>
      </c>
      <c r="Q1348">
        <f t="shared" ca="1" si="657"/>
        <v>635.12895155659805</v>
      </c>
      <c r="R1348">
        <f t="shared" ca="1" si="658"/>
        <v>3.8141460404132466E-3</v>
      </c>
      <c r="S1348">
        <f t="shared" ca="1" si="659"/>
        <v>1.0000000000000004</v>
      </c>
      <c r="T1348">
        <f t="shared" ca="1" si="660"/>
        <v>35.686426155594638</v>
      </c>
      <c r="U1348">
        <f t="shared" ca="1" si="681"/>
        <v>-3.3141460403385281E-3</v>
      </c>
      <c r="V1348">
        <f t="shared" ca="1" si="682"/>
        <v>1</v>
      </c>
      <c r="W1348">
        <f t="shared" ca="1" si="661"/>
        <v>1.681201260229259</v>
      </c>
      <c r="X1348">
        <f t="shared" ca="1" si="662"/>
        <v>8.7422465531921478</v>
      </c>
      <c r="Y1348">
        <f t="shared" ca="1" si="663"/>
        <v>1.0210039217735818</v>
      </c>
      <c r="Z1348">
        <f t="shared" ca="1" si="664"/>
        <v>5.8280214004483888</v>
      </c>
      <c r="AA1348">
        <f t="shared" ca="1" si="665"/>
        <v>633.60170126022922</v>
      </c>
      <c r="AB1348">
        <f t="shared" ca="1" si="666"/>
        <v>635.33288543169124</v>
      </c>
      <c r="AC1348">
        <f t="shared" ca="1" si="667"/>
        <v>7.4334127245371971E-3</v>
      </c>
      <c r="AD1348">
        <f t="shared" ca="1" si="668"/>
        <v>1.4350822098552316</v>
      </c>
      <c r="AE1348">
        <f t="shared" ca="1" si="669"/>
        <v>37.61761567303968</v>
      </c>
      <c r="AF1348">
        <f t="shared" ca="1" si="670"/>
        <v>6.9334127244928823E-3</v>
      </c>
      <c r="AG1348">
        <f t="shared" ca="1" si="671"/>
        <v>0</v>
      </c>
      <c r="AH1348">
        <f ca="1">IFERROR(IF(V32="Supercritical",MAX($D$16,IFERROR(L1348,MAX($D$16,POWER((ABS(K1348)^2)/($I$5*MAX(F1348,0.1)^2),1/3)))),IF(V32="Subcritical",MAX($D$16,IFERROR(W1348,MAX($D$16,POWER((ABS(K1348)^2)/($I$5*MAX(F1348,0.1)^2),1/3)))),IF(AND(IFERROR(V1348,0)=1,IFERROR(AG1348,0)=1),IF(IFERROR(T1348,-1E+99)&gt;=IFERROR(AE1348,-1E+99),MAX($D$16,IFERROR(L1348,MAX($D$16,POWER((ABS(K1348)^2)/($I$5*MAX(F1348,0.1)^2),1/3)))),MAX($D$16,IFERROR(W1348,MAX($D$16,POWER((ABS(K1348)^2)/($I$5*MAX(F1348,0.1)^2),1/3))))),IF(IFERROR(V1348,0)=1,MAX($D$16,IFERROR(L1348,MAX($D$16,POWER((ABS(K1348)^2)/($I$5*MAX(F1348,0.1)^2),1/3)))),IF(IFERROR(AG1348,0)=1,MAX($D$16,IFERROR(W1348,MAX($D$16,POWER((ABS(K1348)^2)/($I$5*MAX(F1348,0.1)^2),1/3)))),MAX($D$16,POWER((ABS(K1348)^2)/($I$5*MAX(F1348,0.1)^2),1/3))))))),MAX($D$16,POWER((ABS(K1348)^2)/($I$5*MAX(F1348,0.1)^2),1/3)))</f>
        <v>2.1389677043987478</v>
      </c>
      <c r="AI1348">
        <f t="shared" ca="1" si="672"/>
        <v>634.05946770439868</v>
      </c>
      <c r="AJ1348">
        <f t="shared" ca="1" si="673"/>
        <v>635.12895155659805</v>
      </c>
      <c r="AM1348">
        <v>0</v>
      </c>
      <c r="AN1348">
        <v>0</v>
      </c>
      <c r="AO1348">
        <f t="shared" si="674"/>
        <v>0</v>
      </c>
      <c r="AP1348">
        <f t="shared" si="683"/>
        <v>0</v>
      </c>
      <c r="AQ1348">
        <f t="shared" ca="1" si="675"/>
        <v>1.0000000000000004</v>
      </c>
      <c r="AR1348" t="str">
        <f t="shared" ca="1" si="676"/>
        <v>Supercritical</v>
      </c>
      <c r="AS1348">
        <f t="shared" ca="1" si="677"/>
        <v>3.8141460404132466E-3</v>
      </c>
    </row>
    <row r="1349" spans="1:45" x14ac:dyDescent="0.35">
      <c r="A1349">
        <v>1288</v>
      </c>
      <c r="B1349">
        <v>1286.9960000000001</v>
      </c>
      <c r="C1349">
        <v>616069.16500000004</v>
      </c>
      <c r="D1349">
        <v>3096720.3130000001</v>
      </c>
      <c r="E1349">
        <v>631.91999999999996</v>
      </c>
      <c r="F1349">
        <v>5.2</v>
      </c>
      <c r="G1349">
        <v>0</v>
      </c>
      <c r="H1349" t="s">
        <v>154</v>
      </c>
      <c r="I1349">
        <v>0</v>
      </c>
      <c r="J1349">
        <f t="shared" si="678"/>
        <v>1</v>
      </c>
      <c r="K1349">
        <f t="shared" ca="1" si="679"/>
        <v>50.95</v>
      </c>
      <c r="L1349">
        <f t="shared" ca="1" si="680"/>
        <v>2.1389677043987478</v>
      </c>
      <c r="M1349">
        <f t="shared" ca="1" si="653"/>
        <v>11.122632062873489</v>
      </c>
      <c r="N1349">
        <f t="shared" ca="1" si="654"/>
        <v>1.1735290000551568</v>
      </c>
      <c r="O1349">
        <f t="shared" ca="1" si="655"/>
        <v>4.5807502857230418</v>
      </c>
      <c r="P1349">
        <f t="shared" ca="1" si="656"/>
        <v>634.0589677043987</v>
      </c>
      <c r="Q1349">
        <f t="shared" ca="1" si="657"/>
        <v>635.12845155659807</v>
      </c>
      <c r="R1349">
        <f t="shared" ca="1" si="658"/>
        <v>3.8141460404132466E-3</v>
      </c>
      <c r="S1349">
        <f t="shared" ca="1" si="659"/>
        <v>1.0000000000000004</v>
      </c>
      <c r="T1349">
        <f t="shared" ca="1" si="660"/>
        <v>35.686426155594638</v>
      </c>
      <c r="U1349">
        <f t="shared" ca="1" si="681"/>
        <v>-3.3141460404522149E-3</v>
      </c>
      <c r="V1349">
        <f t="shared" ca="1" si="682"/>
        <v>1</v>
      </c>
      <c r="W1349">
        <f t="shared" ca="1" si="661"/>
        <v>1.6812012602190272</v>
      </c>
      <c r="X1349">
        <f t="shared" ca="1" si="662"/>
        <v>8.7422465531389424</v>
      </c>
      <c r="Y1349">
        <f t="shared" ca="1" si="663"/>
        <v>1.0210039217698081</v>
      </c>
      <c r="Z1349">
        <f t="shared" ca="1" si="664"/>
        <v>5.8280214004838582</v>
      </c>
      <c r="AA1349">
        <f t="shared" ca="1" si="665"/>
        <v>633.601201260219</v>
      </c>
      <c r="AB1349">
        <f t="shared" ca="1" si="666"/>
        <v>635.33238543170205</v>
      </c>
      <c r="AC1349">
        <f t="shared" ca="1" si="667"/>
        <v>7.4334127246643089E-3</v>
      </c>
      <c r="AD1349">
        <f t="shared" ca="1" si="668"/>
        <v>1.4350822098683325</v>
      </c>
      <c r="AE1349">
        <f t="shared" ca="1" si="669"/>
        <v>37.617615673134438</v>
      </c>
      <c r="AF1349">
        <f t="shared" ca="1" si="670"/>
        <v>7.0978752210066887E-3</v>
      </c>
      <c r="AG1349">
        <f t="shared" ca="1" si="671"/>
        <v>0</v>
      </c>
      <c r="AH1349">
        <f ca="1">IFERROR(IF(V32="Supercritical",MAX($D$16,IFERROR(L1349,MAX($D$16,POWER((ABS(K1349)^2)/($I$5*MAX(F1349,0.1)^2),1/3)))),IF(V32="Subcritical",MAX($D$16,IFERROR(W1349,MAX($D$16,POWER((ABS(K1349)^2)/($I$5*MAX(F1349,0.1)^2),1/3)))),IF(AND(IFERROR(V1349,0)=1,IFERROR(AG1349,0)=1),IF(IFERROR(T1349,-1E+99)&gt;=IFERROR(AE1349,-1E+99),MAX($D$16,IFERROR(L1349,MAX($D$16,POWER((ABS(K1349)^2)/($I$5*MAX(F1349,0.1)^2),1/3)))),MAX($D$16,IFERROR(W1349,MAX($D$16,POWER((ABS(K1349)^2)/($I$5*MAX(F1349,0.1)^2),1/3))))),IF(IFERROR(V1349,0)=1,MAX($D$16,IFERROR(L1349,MAX($D$16,POWER((ABS(K1349)^2)/($I$5*MAX(F1349,0.1)^2),1/3)))),IF(IFERROR(AG1349,0)=1,MAX($D$16,IFERROR(W1349,MAX($D$16,POWER((ABS(K1349)^2)/($I$5*MAX(F1349,0.1)^2),1/3)))),MAX($D$16,POWER((ABS(K1349)^2)/($I$5*MAX(F1349,0.1)^2),1/3))))))),MAX($D$16,POWER((ABS(K1349)^2)/($I$5*MAX(F1349,0.1)^2),1/3)))</f>
        <v>2.1389677043987478</v>
      </c>
      <c r="AI1349">
        <f t="shared" ca="1" si="672"/>
        <v>634.0589677043987</v>
      </c>
      <c r="AJ1349">
        <f t="shared" ca="1" si="673"/>
        <v>635.12845155659807</v>
      </c>
      <c r="AM1349">
        <v>0</v>
      </c>
      <c r="AN1349">
        <v>0</v>
      </c>
      <c r="AO1349">
        <f t="shared" si="674"/>
        <v>0</v>
      </c>
      <c r="AP1349">
        <f t="shared" si="683"/>
        <v>0</v>
      </c>
      <c r="AQ1349">
        <f t="shared" ca="1" si="675"/>
        <v>1.0000000000000004</v>
      </c>
      <c r="AR1349" t="str">
        <f t="shared" ca="1" si="676"/>
        <v>Supercritical</v>
      </c>
      <c r="AS1349">
        <f t="shared" ca="1" si="677"/>
        <v>3.8141460404132466E-3</v>
      </c>
    </row>
    <row r="1350" spans="1:45" x14ac:dyDescent="0.35">
      <c r="A1350">
        <v>1289</v>
      </c>
      <c r="B1350">
        <v>1287.9960000000001</v>
      </c>
      <c r="C1350">
        <v>616069.12300000002</v>
      </c>
      <c r="D1350">
        <v>3096719.3139999998</v>
      </c>
      <c r="E1350">
        <v>631.91949999999997</v>
      </c>
      <c r="F1350">
        <v>5.2</v>
      </c>
      <c r="G1350">
        <v>0</v>
      </c>
      <c r="H1350" t="s">
        <v>154</v>
      </c>
      <c r="I1350">
        <v>5.7000000000000002E-2</v>
      </c>
      <c r="J1350">
        <f t="shared" si="678"/>
        <v>1</v>
      </c>
      <c r="K1350">
        <f t="shared" ca="1" si="679"/>
        <v>50.95</v>
      </c>
      <c r="L1350">
        <f t="shared" ca="1" si="680"/>
        <v>2.1389677043987478</v>
      </c>
      <c r="M1350">
        <f t="shared" ca="1" si="653"/>
        <v>11.122632062873489</v>
      </c>
      <c r="N1350">
        <f t="shared" ca="1" si="654"/>
        <v>1.1735290000551568</v>
      </c>
      <c r="O1350">
        <f t="shared" ca="1" si="655"/>
        <v>4.5807502857230418</v>
      </c>
      <c r="P1350">
        <f t="shared" ca="1" si="656"/>
        <v>634.05846770439871</v>
      </c>
      <c r="Q1350">
        <f t="shared" ca="1" si="657"/>
        <v>635.12795155659808</v>
      </c>
      <c r="R1350">
        <f t="shared" ca="1" si="658"/>
        <v>3.8141460404132466E-3</v>
      </c>
      <c r="S1350">
        <f t="shared" ca="1" si="659"/>
        <v>1.0000000000000004</v>
      </c>
      <c r="T1350">
        <f t="shared" ca="1" si="660"/>
        <v>35.686426155594638</v>
      </c>
      <c r="U1350">
        <f t="shared" ca="1" si="681"/>
        <v>-3.4157470064428708E-3</v>
      </c>
      <c r="V1350">
        <f t="shared" ca="1" si="682"/>
        <v>1</v>
      </c>
      <c r="W1350">
        <f t="shared" ca="1" si="661"/>
        <v>1.6812012602094775</v>
      </c>
      <c r="X1350">
        <f t="shared" ca="1" si="662"/>
        <v>8.7422465530892826</v>
      </c>
      <c r="Y1350">
        <f t="shared" ca="1" si="663"/>
        <v>1.0210039217662858</v>
      </c>
      <c r="Z1350">
        <f t="shared" ca="1" si="664"/>
        <v>5.8280214005169642</v>
      </c>
      <c r="AA1350">
        <f t="shared" ca="1" si="665"/>
        <v>633.60070126020946</v>
      </c>
      <c r="AB1350">
        <f t="shared" ca="1" si="666"/>
        <v>635.33188543171218</v>
      </c>
      <c r="AC1350">
        <f t="shared" ca="1" si="667"/>
        <v>7.4334127247829493E-3</v>
      </c>
      <c r="AD1350">
        <f t="shared" ca="1" si="668"/>
        <v>1.4350822098805605</v>
      </c>
      <c r="AE1350">
        <f t="shared" ca="1" si="669"/>
        <v>37.617615673222893</v>
      </c>
      <c r="AF1350">
        <f t="shared" ca="1" si="670"/>
        <v>7.0978752211203755E-3</v>
      </c>
      <c r="AG1350">
        <f t="shared" ca="1" si="671"/>
        <v>0</v>
      </c>
      <c r="AH1350">
        <f ca="1">IFERROR(IF(V32="Supercritical",MAX($D$16,IFERROR(L1350,MAX($D$16,POWER((ABS(K1350)^2)/($I$5*MAX(F1350,0.1)^2),1/3)))),IF(V32="Subcritical",MAX($D$16,IFERROR(W1350,MAX($D$16,POWER((ABS(K1350)^2)/($I$5*MAX(F1350,0.1)^2),1/3)))),IF(AND(IFERROR(V1350,0)=1,IFERROR(AG1350,0)=1),IF(IFERROR(T1350,-1E+99)&gt;=IFERROR(AE1350,-1E+99),MAX($D$16,IFERROR(L1350,MAX($D$16,POWER((ABS(K1350)^2)/($I$5*MAX(F1350,0.1)^2),1/3)))),MAX($D$16,IFERROR(W1350,MAX($D$16,POWER((ABS(K1350)^2)/($I$5*MAX(F1350,0.1)^2),1/3))))),IF(IFERROR(V1350,0)=1,MAX($D$16,IFERROR(L1350,MAX($D$16,POWER((ABS(K1350)^2)/($I$5*MAX(F1350,0.1)^2),1/3)))),IF(IFERROR(AG1350,0)=1,MAX($D$16,IFERROR(W1350,MAX($D$16,POWER((ABS(K1350)^2)/($I$5*MAX(F1350,0.1)^2),1/3)))),MAX($D$16,POWER((ABS(K1350)^2)/($I$5*MAX(F1350,0.1)^2),1/3))))))),MAX($D$16,POWER((ABS(K1350)^2)/($I$5*MAX(F1350,0.1)^2),1/3)))</f>
        <v>2.1389677043987478</v>
      </c>
      <c r="AI1350">
        <f t="shared" ca="1" si="672"/>
        <v>634.05846770439871</v>
      </c>
      <c r="AJ1350">
        <f t="shared" ca="1" si="673"/>
        <v>635.12795155659808</v>
      </c>
      <c r="AM1350">
        <v>0</v>
      </c>
      <c r="AN1350">
        <v>0</v>
      </c>
      <c r="AO1350">
        <f t="shared" si="674"/>
        <v>0</v>
      </c>
      <c r="AP1350">
        <f t="shared" si="683"/>
        <v>0</v>
      </c>
      <c r="AQ1350">
        <f t="shared" ca="1" si="675"/>
        <v>1.0000000000000004</v>
      </c>
      <c r="AR1350" t="str">
        <f t="shared" ca="1" si="676"/>
        <v>Supercritical</v>
      </c>
      <c r="AS1350">
        <f t="shared" ca="1" si="677"/>
        <v>3.8141460404132466E-3</v>
      </c>
    </row>
    <row r="1351" spans="1:45" x14ac:dyDescent="0.35">
      <c r="A1351">
        <v>1290</v>
      </c>
      <c r="B1351">
        <v>1288.9960000000001</v>
      </c>
      <c r="C1351">
        <v>616069.07999999996</v>
      </c>
      <c r="D1351">
        <v>3096718.3149999999</v>
      </c>
      <c r="E1351">
        <v>631.91899999999998</v>
      </c>
      <c r="F1351">
        <v>5.2</v>
      </c>
      <c r="G1351">
        <v>0</v>
      </c>
      <c r="H1351" t="s">
        <v>154</v>
      </c>
      <c r="I1351">
        <v>5.7000000000000002E-2</v>
      </c>
      <c r="J1351">
        <f t="shared" si="678"/>
        <v>1</v>
      </c>
      <c r="K1351">
        <f t="shared" ca="1" si="679"/>
        <v>50.95</v>
      </c>
      <c r="L1351">
        <f t="shared" ca="1" si="680"/>
        <v>2.1389677043987478</v>
      </c>
      <c r="M1351">
        <f t="shared" ca="1" si="653"/>
        <v>11.122632062873489</v>
      </c>
      <c r="N1351">
        <f t="shared" ca="1" si="654"/>
        <v>1.1735290000551568</v>
      </c>
      <c r="O1351">
        <f t="shared" ca="1" si="655"/>
        <v>4.5807502857230418</v>
      </c>
      <c r="P1351">
        <f t="shared" ca="1" si="656"/>
        <v>634.05796770439872</v>
      </c>
      <c r="Q1351">
        <f t="shared" ca="1" si="657"/>
        <v>635.12745155659809</v>
      </c>
      <c r="R1351">
        <f t="shared" ca="1" si="658"/>
        <v>3.8141460404132466E-3</v>
      </c>
      <c r="S1351">
        <f t="shared" ca="1" si="659"/>
        <v>1.0000000000000004</v>
      </c>
      <c r="T1351">
        <f t="shared" ca="1" si="660"/>
        <v>35.686426155594638</v>
      </c>
      <c r="U1351">
        <f t="shared" ca="1" si="681"/>
        <v>-3.4157470064428708E-3</v>
      </c>
      <c r="V1351">
        <f t="shared" ca="1" si="682"/>
        <v>1</v>
      </c>
      <c r="W1351">
        <f t="shared" ca="1" si="661"/>
        <v>1.6812012602005417</v>
      </c>
      <c r="X1351">
        <f t="shared" ca="1" si="662"/>
        <v>8.7422465530428166</v>
      </c>
      <c r="Y1351">
        <f t="shared" ca="1" si="663"/>
        <v>1.02100392176299</v>
      </c>
      <c r="Z1351">
        <f t="shared" ca="1" si="664"/>
        <v>5.8280214005479403</v>
      </c>
      <c r="AA1351">
        <f t="shared" ca="1" si="665"/>
        <v>633.60020126020049</v>
      </c>
      <c r="AB1351">
        <f t="shared" ca="1" si="666"/>
        <v>635.33138543172163</v>
      </c>
      <c r="AC1351">
        <f t="shared" ca="1" si="667"/>
        <v>7.4334127248939612E-3</v>
      </c>
      <c r="AD1351">
        <f t="shared" ca="1" si="668"/>
        <v>1.4350822098920017</v>
      </c>
      <c r="AE1351">
        <f t="shared" ca="1" si="669"/>
        <v>37.617615673305664</v>
      </c>
      <c r="AF1351">
        <f t="shared" ca="1" si="670"/>
        <v>6.9259793122000701E-3</v>
      </c>
      <c r="AG1351">
        <f t="shared" ca="1" si="671"/>
        <v>0</v>
      </c>
      <c r="AH1351">
        <f ca="1">IFERROR(IF(V32="Supercritical",MAX($D$16,IFERROR(L1351,MAX($D$16,POWER((ABS(K1351)^2)/($I$5*MAX(F1351,0.1)^2),1/3)))),IF(V32="Subcritical",MAX($D$16,IFERROR(W1351,MAX($D$16,POWER((ABS(K1351)^2)/($I$5*MAX(F1351,0.1)^2),1/3)))),IF(AND(IFERROR(V1351,0)=1,IFERROR(AG1351,0)=1),IF(IFERROR(T1351,-1E+99)&gt;=IFERROR(AE1351,-1E+99),MAX($D$16,IFERROR(L1351,MAX($D$16,POWER((ABS(K1351)^2)/($I$5*MAX(F1351,0.1)^2),1/3)))),MAX($D$16,IFERROR(W1351,MAX($D$16,POWER((ABS(K1351)^2)/($I$5*MAX(F1351,0.1)^2),1/3))))),IF(IFERROR(V1351,0)=1,MAX($D$16,IFERROR(L1351,MAX($D$16,POWER((ABS(K1351)^2)/($I$5*MAX(F1351,0.1)^2),1/3)))),IF(IFERROR(AG1351,0)=1,MAX($D$16,IFERROR(W1351,MAX($D$16,POWER((ABS(K1351)^2)/($I$5*MAX(F1351,0.1)^2),1/3)))),MAX($D$16,POWER((ABS(K1351)^2)/($I$5*MAX(F1351,0.1)^2),1/3))))))),MAX($D$16,POWER((ABS(K1351)^2)/($I$5*MAX(F1351,0.1)^2),1/3)))</f>
        <v>2.1389677043987478</v>
      </c>
      <c r="AI1351">
        <f t="shared" ca="1" si="672"/>
        <v>634.05796770439872</v>
      </c>
      <c r="AJ1351">
        <f t="shared" ca="1" si="673"/>
        <v>635.12745155659809</v>
      </c>
      <c r="AM1351">
        <v>0</v>
      </c>
      <c r="AN1351">
        <v>0</v>
      </c>
      <c r="AO1351">
        <f t="shared" si="674"/>
        <v>0</v>
      </c>
      <c r="AP1351">
        <f t="shared" si="683"/>
        <v>0</v>
      </c>
      <c r="AQ1351">
        <f t="shared" ca="1" si="675"/>
        <v>1.0000000000000004</v>
      </c>
      <c r="AR1351" t="str">
        <f t="shared" ca="1" si="676"/>
        <v>Supercritical</v>
      </c>
      <c r="AS1351">
        <f t="shared" ca="1" si="677"/>
        <v>3.8141460404132466E-3</v>
      </c>
    </row>
    <row r="1352" spans="1:45" x14ac:dyDescent="0.35">
      <c r="A1352">
        <v>1291</v>
      </c>
      <c r="B1352">
        <v>1289.9949999999999</v>
      </c>
      <c r="C1352">
        <v>616069.03799999994</v>
      </c>
      <c r="D1352">
        <v>3096717.3160000001</v>
      </c>
      <c r="E1352">
        <v>631.91849999999999</v>
      </c>
      <c r="F1352">
        <v>5.2</v>
      </c>
      <c r="G1352">
        <v>0</v>
      </c>
      <c r="H1352" t="s">
        <v>154</v>
      </c>
      <c r="I1352">
        <v>0</v>
      </c>
      <c r="J1352">
        <f t="shared" si="678"/>
        <v>0.99899999999979627</v>
      </c>
      <c r="K1352">
        <f t="shared" ca="1" si="679"/>
        <v>50.95</v>
      </c>
      <c r="L1352">
        <f t="shared" ca="1" si="680"/>
        <v>2.1389677043987478</v>
      </c>
      <c r="M1352">
        <f t="shared" ca="1" si="653"/>
        <v>11.122632062873489</v>
      </c>
      <c r="N1352">
        <f t="shared" ca="1" si="654"/>
        <v>1.1735290000551568</v>
      </c>
      <c r="O1352">
        <f t="shared" ca="1" si="655"/>
        <v>4.5807502857230418</v>
      </c>
      <c r="P1352">
        <f t="shared" ca="1" si="656"/>
        <v>634.05746770439873</v>
      </c>
      <c r="Q1352">
        <f t="shared" ca="1" si="657"/>
        <v>635.1269515565981</v>
      </c>
      <c r="R1352">
        <f t="shared" ca="1" si="658"/>
        <v>3.8141460404132466E-3</v>
      </c>
      <c r="S1352">
        <f t="shared" ca="1" si="659"/>
        <v>1.0000000000000004</v>
      </c>
      <c r="T1352">
        <f t="shared" ca="1" si="660"/>
        <v>35.686426155594638</v>
      </c>
      <c r="U1352">
        <f t="shared" ca="1" si="681"/>
        <v>-3.3103318943403792E-3</v>
      </c>
      <c r="V1352">
        <f t="shared" ca="1" si="682"/>
        <v>1</v>
      </c>
      <c r="W1352">
        <f t="shared" ca="1" si="661"/>
        <v>1.6812012601921857</v>
      </c>
      <c r="X1352">
        <f t="shared" ca="1" si="662"/>
        <v>8.7422465529993669</v>
      </c>
      <c r="Y1352">
        <f t="shared" ca="1" si="663"/>
        <v>1.0210039217599085</v>
      </c>
      <c r="Z1352">
        <f t="shared" ca="1" si="664"/>
        <v>5.8280214005769064</v>
      </c>
      <c r="AA1352">
        <f t="shared" ca="1" si="665"/>
        <v>633.59970126019221</v>
      </c>
      <c r="AB1352">
        <f t="shared" ca="1" si="666"/>
        <v>635.33088543173051</v>
      </c>
      <c r="AC1352">
        <f t="shared" ca="1" si="667"/>
        <v>7.4334127249977653E-3</v>
      </c>
      <c r="AD1352">
        <f t="shared" ca="1" si="668"/>
        <v>1.4350822099027003</v>
      </c>
      <c r="AE1352">
        <f t="shared" ca="1" si="669"/>
        <v>37.61761567338305</v>
      </c>
      <c r="AF1352">
        <f t="shared" ca="1" si="670"/>
        <v>6.9334127250613165E-3</v>
      </c>
      <c r="AG1352">
        <f t="shared" ca="1" si="671"/>
        <v>0</v>
      </c>
      <c r="AH1352">
        <f ca="1">IFERROR(IF(V32="Supercritical",MAX($D$16,IFERROR(L1352,MAX($D$16,POWER((ABS(K1352)^2)/($I$5*MAX(F1352,0.1)^2),1/3)))),IF(V32="Subcritical",MAX($D$16,IFERROR(W1352,MAX($D$16,POWER((ABS(K1352)^2)/($I$5*MAX(F1352,0.1)^2),1/3)))),IF(AND(IFERROR(V1352,0)=1,IFERROR(AG1352,0)=1),IF(IFERROR(T1352,-1E+99)&gt;=IFERROR(AE1352,-1E+99),MAX($D$16,IFERROR(L1352,MAX($D$16,POWER((ABS(K1352)^2)/($I$5*MAX(F1352,0.1)^2),1/3)))),MAX($D$16,IFERROR(W1352,MAX($D$16,POWER((ABS(K1352)^2)/($I$5*MAX(F1352,0.1)^2),1/3))))),IF(IFERROR(V1352,0)=1,MAX($D$16,IFERROR(L1352,MAX($D$16,POWER((ABS(K1352)^2)/($I$5*MAX(F1352,0.1)^2),1/3)))),IF(IFERROR(AG1352,0)=1,MAX($D$16,IFERROR(W1352,MAX($D$16,POWER((ABS(K1352)^2)/($I$5*MAX(F1352,0.1)^2),1/3)))),MAX($D$16,POWER((ABS(K1352)^2)/($I$5*MAX(F1352,0.1)^2),1/3))))))),MAX($D$16,POWER((ABS(K1352)^2)/($I$5*MAX(F1352,0.1)^2),1/3)))</f>
        <v>2.1389677043987478</v>
      </c>
      <c r="AI1352">
        <f t="shared" ca="1" si="672"/>
        <v>634.05746770439873</v>
      </c>
      <c r="AJ1352">
        <f t="shared" ca="1" si="673"/>
        <v>635.1269515565981</v>
      </c>
      <c r="AM1352">
        <v>0</v>
      </c>
      <c r="AN1352">
        <v>0</v>
      </c>
      <c r="AO1352">
        <f t="shared" si="674"/>
        <v>0</v>
      </c>
      <c r="AP1352">
        <f t="shared" si="683"/>
        <v>0</v>
      </c>
      <c r="AQ1352">
        <f t="shared" ca="1" si="675"/>
        <v>1.0000000000000004</v>
      </c>
      <c r="AR1352" t="str">
        <f t="shared" ca="1" si="676"/>
        <v>Supercritical</v>
      </c>
      <c r="AS1352">
        <f t="shared" ca="1" si="677"/>
        <v>3.8141460404132466E-3</v>
      </c>
    </row>
    <row r="1353" spans="1:45" x14ac:dyDescent="0.35">
      <c r="A1353">
        <v>1292</v>
      </c>
      <c r="B1353">
        <v>1290.9949999999999</v>
      </c>
      <c r="C1353">
        <v>616068.99600000004</v>
      </c>
      <c r="D1353">
        <v>3096716.3169999998</v>
      </c>
      <c r="E1353">
        <v>631.91800000000001</v>
      </c>
      <c r="F1353">
        <v>5.2</v>
      </c>
      <c r="G1353">
        <v>0</v>
      </c>
      <c r="H1353" t="s">
        <v>154</v>
      </c>
      <c r="I1353">
        <v>0</v>
      </c>
      <c r="J1353">
        <f t="shared" si="678"/>
        <v>1</v>
      </c>
      <c r="K1353">
        <f t="shared" ca="1" si="679"/>
        <v>50.95</v>
      </c>
      <c r="L1353">
        <f t="shared" ca="1" si="680"/>
        <v>2.1389677043987478</v>
      </c>
      <c r="M1353">
        <f t="shared" ca="1" si="653"/>
        <v>11.122632062873489</v>
      </c>
      <c r="N1353">
        <f t="shared" ca="1" si="654"/>
        <v>1.1735290000551568</v>
      </c>
      <c r="O1353">
        <f t="shared" ca="1" si="655"/>
        <v>4.5807502857230418</v>
      </c>
      <c r="P1353">
        <f t="shared" ca="1" si="656"/>
        <v>634.05696770439874</v>
      </c>
      <c r="Q1353">
        <f t="shared" ca="1" si="657"/>
        <v>635.12645155659811</v>
      </c>
      <c r="R1353">
        <f t="shared" ca="1" si="658"/>
        <v>3.8141460404132466E-3</v>
      </c>
      <c r="S1353">
        <f t="shared" ca="1" si="659"/>
        <v>1.0000000000000004</v>
      </c>
      <c r="T1353">
        <f t="shared" ca="1" si="660"/>
        <v>35.686426155594638</v>
      </c>
      <c r="U1353">
        <f t="shared" ca="1" si="681"/>
        <v>-3.3141460404522149E-3</v>
      </c>
      <c r="V1353">
        <f t="shared" ca="1" si="682"/>
        <v>1</v>
      </c>
      <c r="W1353">
        <f t="shared" ca="1" si="661"/>
        <v>1.6812012601843755</v>
      </c>
      <c r="X1353">
        <f t="shared" ca="1" si="662"/>
        <v>8.7422465529587523</v>
      </c>
      <c r="Y1353">
        <f t="shared" ca="1" si="663"/>
        <v>1.0210039217570275</v>
      </c>
      <c r="Z1353">
        <f t="shared" ca="1" si="664"/>
        <v>5.8280214006039825</v>
      </c>
      <c r="AA1353">
        <f t="shared" ca="1" si="665"/>
        <v>633.59920126018437</v>
      </c>
      <c r="AB1353">
        <f t="shared" ca="1" si="666"/>
        <v>635.33038543173882</v>
      </c>
      <c r="AC1353">
        <f t="shared" ca="1" si="667"/>
        <v>7.4334127250947997E-3</v>
      </c>
      <c r="AD1353">
        <f t="shared" ca="1" si="668"/>
        <v>1.4350822099127014</v>
      </c>
      <c r="AE1353">
        <f t="shared" ca="1" si="669"/>
        <v>37.617615673455397</v>
      </c>
      <c r="AF1353">
        <f t="shared" ca="1" si="670"/>
        <v>7.0921046074090555E-3</v>
      </c>
      <c r="AG1353">
        <f t="shared" ca="1" si="671"/>
        <v>0</v>
      </c>
      <c r="AH1353">
        <f ca="1">IFERROR(IF(V32="Supercritical",MAX($D$16,IFERROR(L1353,MAX($D$16,POWER((ABS(K1353)^2)/($I$5*MAX(F1353,0.1)^2),1/3)))),IF(V32="Subcritical",MAX($D$16,IFERROR(W1353,MAX($D$16,POWER((ABS(K1353)^2)/($I$5*MAX(F1353,0.1)^2),1/3)))),IF(AND(IFERROR(V1353,0)=1,IFERROR(AG1353,0)=1),IF(IFERROR(T1353,-1E+99)&gt;=IFERROR(AE1353,-1E+99),MAX($D$16,IFERROR(L1353,MAX($D$16,POWER((ABS(K1353)^2)/($I$5*MAX(F1353,0.1)^2),1/3)))),MAX($D$16,IFERROR(W1353,MAX($D$16,POWER((ABS(K1353)^2)/($I$5*MAX(F1353,0.1)^2),1/3))))),IF(IFERROR(V1353,0)=1,MAX($D$16,IFERROR(L1353,MAX($D$16,POWER((ABS(K1353)^2)/($I$5*MAX(F1353,0.1)^2),1/3)))),IF(IFERROR(AG1353,0)=1,MAX($D$16,IFERROR(W1353,MAX($D$16,POWER((ABS(K1353)^2)/($I$5*MAX(F1353,0.1)^2),1/3)))),MAX($D$16,POWER((ABS(K1353)^2)/($I$5*MAX(F1353,0.1)^2),1/3))))))),MAX($D$16,POWER((ABS(K1353)^2)/($I$5*MAX(F1353,0.1)^2),1/3)))</f>
        <v>2.1389677043987478</v>
      </c>
      <c r="AI1353">
        <f t="shared" ca="1" si="672"/>
        <v>634.05696770439874</v>
      </c>
      <c r="AJ1353">
        <f t="shared" ca="1" si="673"/>
        <v>635.12645155659811</v>
      </c>
      <c r="AM1353">
        <v>0</v>
      </c>
      <c r="AN1353">
        <v>0</v>
      </c>
      <c r="AO1353">
        <f t="shared" si="674"/>
        <v>0</v>
      </c>
      <c r="AP1353">
        <f t="shared" si="683"/>
        <v>0</v>
      </c>
      <c r="AQ1353">
        <f t="shared" ca="1" si="675"/>
        <v>1.0000000000000004</v>
      </c>
      <c r="AR1353" t="str">
        <f t="shared" ca="1" si="676"/>
        <v>Supercritical</v>
      </c>
      <c r="AS1353">
        <f t="shared" ca="1" si="677"/>
        <v>3.8141460404132466E-3</v>
      </c>
    </row>
    <row r="1354" spans="1:45" x14ac:dyDescent="0.35">
      <c r="A1354">
        <v>1293</v>
      </c>
      <c r="B1354">
        <v>1291.9949999999999</v>
      </c>
      <c r="C1354">
        <v>616068.95400000003</v>
      </c>
      <c r="D1354">
        <v>3096715.318</v>
      </c>
      <c r="E1354">
        <v>631.91750000000002</v>
      </c>
      <c r="F1354">
        <v>5.2</v>
      </c>
      <c r="G1354">
        <v>0</v>
      </c>
      <c r="H1354" t="s">
        <v>154</v>
      </c>
      <c r="I1354">
        <v>5.5E-2</v>
      </c>
      <c r="J1354">
        <f t="shared" si="678"/>
        <v>1</v>
      </c>
      <c r="K1354">
        <f t="shared" ca="1" si="679"/>
        <v>50.95</v>
      </c>
      <c r="L1354">
        <f t="shared" ca="1" si="680"/>
        <v>2.1389677043987478</v>
      </c>
      <c r="M1354">
        <f t="shared" ca="1" si="653"/>
        <v>11.122632062873489</v>
      </c>
      <c r="N1354">
        <f t="shared" ca="1" si="654"/>
        <v>1.1735290000551568</v>
      </c>
      <c r="O1354">
        <f t="shared" ca="1" si="655"/>
        <v>4.5807502857230418</v>
      </c>
      <c r="P1354">
        <f t="shared" ca="1" si="656"/>
        <v>634.05646770439876</v>
      </c>
      <c r="Q1354">
        <f t="shared" ca="1" si="657"/>
        <v>635.12595155659812</v>
      </c>
      <c r="R1354">
        <f t="shared" ca="1" si="658"/>
        <v>3.8141460404132466E-3</v>
      </c>
      <c r="S1354">
        <f t="shared" ca="1" si="659"/>
        <v>1.0000000000000004</v>
      </c>
      <c r="T1354">
        <f t="shared" ca="1" si="660"/>
        <v>35.686426155594638</v>
      </c>
      <c r="U1354">
        <f t="shared" ca="1" si="681"/>
        <v>-3.4121820602877051E-3</v>
      </c>
      <c r="V1354">
        <f t="shared" ca="1" si="682"/>
        <v>1</v>
      </c>
      <c r="W1354">
        <f t="shared" ca="1" si="661"/>
        <v>1.6812012601770769</v>
      </c>
      <c r="X1354">
        <f t="shared" ca="1" si="662"/>
        <v>8.7422465529208004</v>
      </c>
      <c r="Y1354">
        <f t="shared" ca="1" si="663"/>
        <v>1.0210039217543356</v>
      </c>
      <c r="Z1354">
        <f t="shared" ca="1" si="664"/>
        <v>5.8280214006292832</v>
      </c>
      <c r="AA1354">
        <f t="shared" ca="1" si="665"/>
        <v>633.59870126017711</v>
      </c>
      <c r="AB1354">
        <f t="shared" ca="1" si="666"/>
        <v>635.32988543174656</v>
      </c>
      <c r="AC1354">
        <f t="shared" ca="1" si="667"/>
        <v>7.4334127251854702E-3</v>
      </c>
      <c r="AD1354">
        <f t="shared" ca="1" si="668"/>
        <v>1.4350822099220464</v>
      </c>
      <c r="AE1354">
        <f t="shared" ca="1" si="669"/>
        <v>37.617615673522991</v>
      </c>
      <c r="AF1354">
        <f t="shared" ca="1" si="670"/>
        <v>7.0995380202703018E-3</v>
      </c>
      <c r="AG1354">
        <f t="shared" ca="1" si="671"/>
        <v>0</v>
      </c>
      <c r="AH1354">
        <f ca="1">IFERROR(IF(V32="Supercritical",MAX($D$16,IFERROR(L1354,MAX($D$16,POWER((ABS(K1354)^2)/($I$5*MAX(F1354,0.1)^2),1/3)))),IF(V32="Subcritical",MAX($D$16,IFERROR(W1354,MAX($D$16,POWER((ABS(K1354)^2)/($I$5*MAX(F1354,0.1)^2),1/3)))),IF(AND(IFERROR(V1354,0)=1,IFERROR(AG1354,0)=1),IF(IFERROR(T1354,-1E+99)&gt;=IFERROR(AE1354,-1E+99),MAX($D$16,IFERROR(L1354,MAX($D$16,POWER((ABS(K1354)^2)/($I$5*MAX(F1354,0.1)^2),1/3)))),MAX($D$16,IFERROR(W1354,MAX($D$16,POWER((ABS(K1354)^2)/($I$5*MAX(F1354,0.1)^2),1/3))))),IF(IFERROR(V1354,0)=1,MAX($D$16,IFERROR(L1354,MAX($D$16,POWER((ABS(K1354)^2)/($I$5*MAX(F1354,0.1)^2),1/3)))),IF(IFERROR(AG1354,0)=1,MAX($D$16,IFERROR(W1354,MAX($D$16,POWER((ABS(K1354)^2)/($I$5*MAX(F1354,0.1)^2),1/3)))),MAX($D$16,POWER((ABS(K1354)^2)/($I$5*MAX(F1354,0.1)^2),1/3))))))),MAX($D$16,POWER((ABS(K1354)^2)/($I$5*MAX(F1354,0.1)^2),1/3)))</f>
        <v>2.1389677043987478</v>
      </c>
      <c r="AI1354">
        <f t="shared" ca="1" si="672"/>
        <v>634.05646770439876</v>
      </c>
      <c r="AJ1354">
        <f t="shared" ca="1" si="673"/>
        <v>635.12595155659812</v>
      </c>
      <c r="AM1354">
        <v>0</v>
      </c>
      <c r="AN1354">
        <v>0</v>
      </c>
      <c r="AO1354">
        <f t="shared" si="674"/>
        <v>0</v>
      </c>
      <c r="AP1354">
        <f t="shared" si="683"/>
        <v>0</v>
      </c>
      <c r="AQ1354">
        <f t="shared" ca="1" si="675"/>
        <v>1.0000000000000004</v>
      </c>
      <c r="AR1354" t="str">
        <f t="shared" ca="1" si="676"/>
        <v>Supercritical</v>
      </c>
      <c r="AS1354">
        <f t="shared" ca="1" si="677"/>
        <v>3.8141460404132466E-3</v>
      </c>
    </row>
    <row r="1355" spans="1:45" x14ac:dyDescent="0.35">
      <c r="A1355">
        <v>1294</v>
      </c>
      <c r="B1355">
        <v>1292.9960000000001</v>
      </c>
      <c r="C1355">
        <v>616068.91099999996</v>
      </c>
      <c r="D1355">
        <v>3096714.318</v>
      </c>
      <c r="E1355">
        <v>631.91700000000003</v>
      </c>
      <c r="F1355">
        <v>5.2</v>
      </c>
      <c r="G1355">
        <v>0</v>
      </c>
      <c r="H1355" t="s">
        <v>154</v>
      </c>
      <c r="I1355">
        <v>5.5E-2</v>
      </c>
      <c r="J1355">
        <f t="shared" si="678"/>
        <v>1.0010000000002037</v>
      </c>
      <c r="K1355">
        <f t="shared" ca="1" si="679"/>
        <v>50.95</v>
      </c>
      <c r="L1355">
        <f t="shared" ca="1" si="680"/>
        <v>2.1389677043987478</v>
      </c>
      <c r="M1355">
        <f t="shared" ca="1" si="653"/>
        <v>11.122632062873489</v>
      </c>
      <c r="N1355">
        <f t="shared" ca="1" si="654"/>
        <v>1.1735290000551568</v>
      </c>
      <c r="O1355">
        <f t="shared" ca="1" si="655"/>
        <v>4.5807502857230418</v>
      </c>
      <c r="P1355">
        <f t="shared" ca="1" si="656"/>
        <v>634.05596770439877</v>
      </c>
      <c r="Q1355">
        <f t="shared" ca="1" si="657"/>
        <v>635.12545155659814</v>
      </c>
      <c r="R1355">
        <f t="shared" ca="1" si="658"/>
        <v>3.8141460404132466E-3</v>
      </c>
      <c r="S1355">
        <f t="shared" ca="1" si="659"/>
        <v>1.0000000000000004</v>
      </c>
      <c r="T1355">
        <f t="shared" ca="1" si="660"/>
        <v>35.686426155594638</v>
      </c>
      <c r="U1355">
        <f t="shared" ca="1" si="681"/>
        <v>-3.415996206285854E-3</v>
      </c>
      <c r="V1355">
        <f t="shared" ca="1" si="682"/>
        <v>1</v>
      </c>
      <c r="W1355">
        <f t="shared" ca="1" si="661"/>
        <v>1.6812012601702728</v>
      </c>
      <c r="X1355">
        <f t="shared" ca="1" si="662"/>
        <v>8.742246552885419</v>
      </c>
      <c r="Y1355">
        <f t="shared" ca="1" si="663"/>
        <v>1.0210039217518263</v>
      </c>
      <c r="Z1355">
        <f t="shared" ca="1" si="664"/>
        <v>5.8280214006528697</v>
      </c>
      <c r="AA1355">
        <f t="shared" ca="1" si="665"/>
        <v>633.5982012601703</v>
      </c>
      <c r="AB1355">
        <f t="shared" ca="1" si="666"/>
        <v>635.32938543175374</v>
      </c>
      <c r="AC1355">
        <f t="shared" ca="1" si="667"/>
        <v>7.4334127252699963E-3</v>
      </c>
      <c r="AD1355">
        <f t="shared" ca="1" si="668"/>
        <v>1.4350822099307581</v>
      </c>
      <c r="AE1355">
        <f t="shared" ca="1" si="669"/>
        <v>37.617615673586016</v>
      </c>
      <c r="AF1355">
        <f t="shared" ca="1" si="670"/>
        <v>6.9334127252886901E-3</v>
      </c>
      <c r="AG1355">
        <f t="shared" ca="1" si="671"/>
        <v>0</v>
      </c>
      <c r="AH1355">
        <f ca="1">IFERROR(IF(V32="Supercritical",MAX($D$16,IFERROR(L1355,MAX($D$16,POWER((ABS(K1355)^2)/($I$5*MAX(F1355,0.1)^2),1/3)))),IF(V32="Subcritical",MAX($D$16,IFERROR(W1355,MAX($D$16,POWER((ABS(K1355)^2)/($I$5*MAX(F1355,0.1)^2),1/3)))),IF(AND(IFERROR(V1355,0)=1,IFERROR(AG1355,0)=1),IF(IFERROR(T1355,-1E+99)&gt;=IFERROR(AE1355,-1E+99),MAX($D$16,IFERROR(L1355,MAX($D$16,POWER((ABS(K1355)^2)/($I$5*MAX(F1355,0.1)^2),1/3)))),MAX($D$16,IFERROR(W1355,MAX($D$16,POWER((ABS(K1355)^2)/($I$5*MAX(F1355,0.1)^2),1/3))))),IF(IFERROR(V1355,0)=1,MAX($D$16,IFERROR(L1355,MAX($D$16,POWER((ABS(K1355)^2)/($I$5*MAX(F1355,0.1)^2),1/3)))),IF(IFERROR(AG1355,0)=1,MAX($D$16,IFERROR(W1355,MAX($D$16,POWER((ABS(K1355)^2)/($I$5*MAX(F1355,0.1)^2),1/3)))),MAX($D$16,POWER((ABS(K1355)^2)/($I$5*MAX(F1355,0.1)^2),1/3))))))),MAX($D$16,POWER((ABS(K1355)^2)/($I$5*MAX(F1355,0.1)^2),1/3)))</f>
        <v>2.1389677043987478</v>
      </c>
      <c r="AI1355">
        <f t="shared" ca="1" si="672"/>
        <v>634.05596770439877</v>
      </c>
      <c r="AJ1355">
        <f t="shared" ca="1" si="673"/>
        <v>635.12545155659814</v>
      </c>
      <c r="AM1355">
        <v>0</v>
      </c>
      <c r="AN1355">
        <v>0</v>
      </c>
      <c r="AO1355">
        <f t="shared" si="674"/>
        <v>0</v>
      </c>
      <c r="AP1355">
        <f t="shared" si="683"/>
        <v>0</v>
      </c>
      <c r="AQ1355">
        <f t="shared" ca="1" si="675"/>
        <v>1.0000000000000004</v>
      </c>
      <c r="AR1355" t="str">
        <f t="shared" ca="1" si="676"/>
        <v>Supercritical</v>
      </c>
      <c r="AS1355">
        <f t="shared" ca="1" si="677"/>
        <v>3.8141460404132466E-3</v>
      </c>
    </row>
    <row r="1356" spans="1:45" x14ac:dyDescent="0.35">
      <c r="A1356">
        <v>1295</v>
      </c>
      <c r="B1356">
        <v>1293.9960000000001</v>
      </c>
      <c r="C1356">
        <v>616068.86899999995</v>
      </c>
      <c r="D1356">
        <v>3096713.3190000001</v>
      </c>
      <c r="E1356">
        <v>631.91650000000004</v>
      </c>
      <c r="F1356">
        <v>5.2</v>
      </c>
      <c r="G1356">
        <v>0</v>
      </c>
      <c r="H1356" t="s">
        <v>154</v>
      </c>
      <c r="I1356">
        <v>0</v>
      </c>
      <c r="J1356">
        <f t="shared" si="678"/>
        <v>1</v>
      </c>
      <c r="K1356">
        <f t="shared" ca="1" si="679"/>
        <v>50.95</v>
      </c>
      <c r="L1356">
        <f t="shared" ca="1" si="680"/>
        <v>2.1389677043987478</v>
      </c>
      <c r="M1356">
        <f t="shared" ca="1" si="653"/>
        <v>11.122632062873489</v>
      </c>
      <c r="N1356">
        <f t="shared" ca="1" si="654"/>
        <v>1.1735290000551568</v>
      </c>
      <c r="O1356">
        <f t="shared" ca="1" si="655"/>
        <v>4.5807502857230418</v>
      </c>
      <c r="P1356">
        <f t="shared" ca="1" si="656"/>
        <v>634.05546770439878</v>
      </c>
      <c r="Q1356">
        <f t="shared" ca="1" si="657"/>
        <v>635.12495155659815</v>
      </c>
      <c r="R1356">
        <f t="shared" ca="1" si="658"/>
        <v>3.8141460404132466E-3</v>
      </c>
      <c r="S1356">
        <f t="shared" ca="1" si="659"/>
        <v>1.0000000000000004</v>
      </c>
      <c r="T1356">
        <f t="shared" ca="1" si="660"/>
        <v>35.686426155594638</v>
      </c>
      <c r="U1356">
        <f t="shared" ca="1" si="681"/>
        <v>-3.3141460404522149E-3</v>
      </c>
      <c r="V1356">
        <f t="shared" ca="1" si="682"/>
        <v>1</v>
      </c>
      <c r="W1356">
        <f t="shared" ca="1" si="661"/>
        <v>1.681201260163895</v>
      </c>
      <c r="X1356">
        <f t="shared" ca="1" si="662"/>
        <v>8.7422465528522544</v>
      </c>
      <c r="Y1356">
        <f t="shared" ca="1" si="663"/>
        <v>1.021003921749474</v>
      </c>
      <c r="Z1356">
        <f t="shared" ca="1" si="664"/>
        <v>5.8280214006749791</v>
      </c>
      <c r="AA1356">
        <f t="shared" ca="1" si="665"/>
        <v>633.59770126016394</v>
      </c>
      <c r="AB1356">
        <f t="shared" ca="1" si="666"/>
        <v>635.32888543176057</v>
      </c>
      <c r="AC1356">
        <f t="shared" ca="1" si="667"/>
        <v>7.4334127253492316E-3</v>
      </c>
      <c r="AD1356">
        <f t="shared" ca="1" si="668"/>
        <v>1.4350822099389244</v>
      </c>
      <c r="AE1356">
        <f t="shared" ca="1" si="669"/>
        <v>37.617615673645084</v>
      </c>
      <c r="AF1356">
        <f t="shared" ca="1" si="670"/>
        <v>6.933412725402377E-3</v>
      </c>
      <c r="AG1356">
        <f t="shared" ca="1" si="671"/>
        <v>0</v>
      </c>
      <c r="AH1356">
        <f ca="1">IFERROR(IF(V32="Supercritical",MAX($D$16,IFERROR(L1356,MAX($D$16,POWER((ABS(K1356)^2)/($I$5*MAX(F1356,0.1)^2),1/3)))),IF(V32="Subcritical",MAX($D$16,IFERROR(W1356,MAX($D$16,POWER((ABS(K1356)^2)/($I$5*MAX(F1356,0.1)^2),1/3)))),IF(AND(IFERROR(V1356,0)=1,IFERROR(AG1356,0)=1),IF(IFERROR(T1356,-1E+99)&gt;=IFERROR(AE1356,-1E+99),MAX($D$16,IFERROR(L1356,MAX($D$16,POWER((ABS(K1356)^2)/($I$5*MAX(F1356,0.1)^2),1/3)))),MAX($D$16,IFERROR(W1356,MAX($D$16,POWER((ABS(K1356)^2)/($I$5*MAX(F1356,0.1)^2),1/3))))),IF(IFERROR(V1356,0)=1,MAX($D$16,IFERROR(L1356,MAX($D$16,POWER((ABS(K1356)^2)/($I$5*MAX(F1356,0.1)^2),1/3)))),IF(IFERROR(AG1356,0)=1,MAX($D$16,IFERROR(W1356,MAX($D$16,POWER((ABS(K1356)^2)/($I$5*MAX(F1356,0.1)^2),1/3)))),MAX($D$16,POWER((ABS(K1356)^2)/($I$5*MAX(F1356,0.1)^2),1/3))))))),MAX($D$16,POWER((ABS(K1356)^2)/($I$5*MAX(F1356,0.1)^2),1/3)))</f>
        <v>2.1389677043987478</v>
      </c>
      <c r="AI1356">
        <f t="shared" ca="1" si="672"/>
        <v>634.05546770439878</v>
      </c>
      <c r="AJ1356">
        <f t="shared" ca="1" si="673"/>
        <v>635.12495155659815</v>
      </c>
      <c r="AM1356">
        <v>0</v>
      </c>
      <c r="AN1356">
        <v>0</v>
      </c>
      <c r="AO1356">
        <f t="shared" si="674"/>
        <v>0</v>
      </c>
      <c r="AP1356">
        <f t="shared" si="683"/>
        <v>0</v>
      </c>
      <c r="AQ1356">
        <f t="shared" ca="1" si="675"/>
        <v>1.0000000000000004</v>
      </c>
      <c r="AR1356" t="str">
        <f t="shared" ca="1" si="676"/>
        <v>Supercritical</v>
      </c>
      <c r="AS1356">
        <f t="shared" ca="1" si="677"/>
        <v>3.8141460404132466E-3</v>
      </c>
    </row>
    <row r="1357" spans="1:45" x14ac:dyDescent="0.35">
      <c r="A1357">
        <v>1296</v>
      </c>
      <c r="B1357">
        <v>1294.9960000000001</v>
      </c>
      <c r="C1357">
        <v>616068.82700000005</v>
      </c>
      <c r="D1357">
        <v>3096712.32</v>
      </c>
      <c r="E1357">
        <v>631.91600000000005</v>
      </c>
      <c r="F1357">
        <v>5.2</v>
      </c>
      <c r="G1357">
        <v>0</v>
      </c>
      <c r="H1357" t="s">
        <v>154</v>
      </c>
      <c r="I1357">
        <v>0</v>
      </c>
      <c r="J1357">
        <f t="shared" si="678"/>
        <v>1</v>
      </c>
      <c r="K1357">
        <f t="shared" ca="1" si="679"/>
        <v>50.95</v>
      </c>
      <c r="L1357">
        <f t="shared" ca="1" si="680"/>
        <v>2.1389677043987478</v>
      </c>
      <c r="M1357">
        <f t="shared" ca="1" si="653"/>
        <v>11.122632062873489</v>
      </c>
      <c r="N1357">
        <f t="shared" ca="1" si="654"/>
        <v>1.1735290000551568</v>
      </c>
      <c r="O1357">
        <f t="shared" ca="1" si="655"/>
        <v>4.5807502857230418</v>
      </c>
      <c r="P1357">
        <f t="shared" ca="1" si="656"/>
        <v>634.05496770439879</v>
      </c>
      <c r="Q1357">
        <f t="shared" ca="1" si="657"/>
        <v>635.12445155659816</v>
      </c>
      <c r="R1357">
        <f t="shared" ca="1" si="658"/>
        <v>3.8141460404132466E-3</v>
      </c>
      <c r="S1357">
        <f t="shared" ca="1" si="659"/>
        <v>1.0000000000000004</v>
      </c>
      <c r="T1357">
        <f t="shared" ca="1" si="660"/>
        <v>35.686426155594638</v>
      </c>
      <c r="U1357">
        <f t="shared" ca="1" si="681"/>
        <v>-3.3141460404522149E-3</v>
      </c>
      <c r="V1357">
        <f t="shared" ca="1" si="682"/>
        <v>1</v>
      </c>
      <c r="W1357">
        <f t="shared" ca="1" si="661"/>
        <v>1.6812012601579436</v>
      </c>
      <c r="X1357">
        <f t="shared" ca="1" si="662"/>
        <v>8.7422465528213067</v>
      </c>
      <c r="Y1357">
        <f t="shared" ca="1" si="663"/>
        <v>1.0210039217472791</v>
      </c>
      <c r="Z1357">
        <f t="shared" ca="1" si="664"/>
        <v>5.8280214006956106</v>
      </c>
      <c r="AA1357">
        <f t="shared" ca="1" si="665"/>
        <v>633.59720126015804</v>
      </c>
      <c r="AB1357">
        <f t="shared" ca="1" si="666"/>
        <v>635.32838543176695</v>
      </c>
      <c r="AC1357">
        <f t="shared" ca="1" si="667"/>
        <v>7.4334127254231707E-3</v>
      </c>
      <c r="AD1357">
        <f t="shared" ca="1" si="668"/>
        <v>1.435082209946545</v>
      </c>
      <c r="AE1357">
        <f t="shared" ca="1" si="669"/>
        <v>37.617615673700207</v>
      </c>
      <c r="AF1357">
        <f t="shared" ca="1" si="670"/>
        <v>7.0978752215751229E-3</v>
      </c>
      <c r="AG1357">
        <f t="shared" ca="1" si="671"/>
        <v>0</v>
      </c>
      <c r="AH1357">
        <f ca="1">IFERROR(IF(V32="Supercritical",MAX($D$16,IFERROR(L1357,MAX($D$16,POWER((ABS(K1357)^2)/($I$5*MAX(F1357,0.1)^2),1/3)))),IF(V32="Subcritical",MAX($D$16,IFERROR(W1357,MAX($D$16,POWER((ABS(K1357)^2)/($I$5*MAX(F1357,0.1)^2),1/3)))),IF(AND(IFERROR(V1357,0)=1,IFERROR(AG1357,0)=1),IF(IFERROR(T1357,-1E+99)&gt;=IFERROR(AE1357,-1E+99),MAX($D$16,IFERROR(L1357,MAX($D$16,POWER((ABS(K1357)^2)/($I$5*MAX(F1357,0.1)^2),1/3)))),MAX($D$16,IFERROR(W1357,MAX($D$16,POWER((ABS(K1357)^2)/($I$5*MAX(F1357,0.1)^2),1/3))))),IF(IFERROR(V1357,0)=1,MAX($D$16,IFERROR(L1357,MAX($D$16,POWER((ABS(K1357)^2)/($I$5*MAX(F1357,0.1)^2),1/3)))),IF(IFERROR(AG1357,0)=1,MAX($D$16,IFERROR(W1357,MAX($D$16,POWER((ABS(K1357)^2)/($I$5*MAX(F1357,0.1)^2),1/3)))),MAX($D$16,POWER((ABS(K1357)^2)/($I$5*MAX(F1357,0.1)^2),1/3))))))),MAX($D$16,POWER((ABS(K1357)^2)/($I$5*MAX(F1357,0.1)^2),1/3)))</f>
        <v>2.1389677043987478</v>
      </c>
      <c r="AI1357">
        <f t="shared" ca="1" si="672"/>
        <v>634.05496770439879</v>
      </c>
      <c r="AJ1357">
        <f t="shared" ca="1" si="673"/>
        <v>635.12445155659816</v>
      </c>
      <c r="AM1357">
        <v>0</v>
      </c>
      <c r="AN1357">
        <v>0</v>
      </c>
      <c r="AO1357">
        <f t="shared" si="674"/>
        <v>0</v>
      </c>
      <c r="AP1357">
        <f t="shared" si="683"/>
        <v>0</v>
      </c>
      <c r="AQ1357">
        <f t="shared" ca="1" si="675"/>
        <v>1.0000000000000004</v>
      </c>
      <c r="AR1357" t="str">
        <f t="shared" ca="1" si="676"/>
        <v>Supercritical</v>
      </c>
      <c r="AS1357">
        <f t="shared" ca="1" si="677"/>
        <v>3.8141460404132466E-3</v>
      </c>
    </row>
    <row r="1358" spans="1:45" x14ac:dyDescent="0.35">
      <c r="A1358">
        <v>1297</v>
      </c>
      <c r="B1358">
        <v>1295.9960000000001</v>
      </c>
      <c r="C1358">
        <v>616068.78500000003</v>
      </c>
      <c r="D1358">
        <v>3096711.321</v>
      </c>
      <c r="E1358">
        <v>631.91549999999995</v>
      </c>
      <c r="F1358">
        <v>5.2</v>
      </c>
      <c r="G1358">
        <v>0</v>
      </c>
      <c r="H1358" t="s">
        <v>154</v>
      </c>
      <c r="I1358">
        <v>5.7000000000000002E-2</v>
      </c>
      <c r="J1358">
        <f t="shared" si="678"/>
        <v>1</v>
      </c>
      <c r="K1358">
        <f t="shared" ca="1" si="679"/>
        <v>50.95</v>
      </c>
      <c r="L1358">
        <f t="shared" ca="1" si="680"/>
        <v>2.1389677043987478</v>
      </c>
      <c r="M1358">
        <f t="shared" ca="1" si="653"/>
        <v>11.122632062873489</v>
      </c>
      <c r="N1358">
        <f t="shared" ca="1" si="654"/>
        <v>1.1735290000551568</v>
      </c>
      <c r="O1358">
        <f t="shared" ca="1" si="655"/>
        <v>4.5807502857230418</v>
      </c>
      <c r="P1358">
        <f t="shared" ca="1" si="656"/>
        <v>634.05446770439869</v>
      </c>
      <c r="Q1358">
        <f t="shared" ca="1" si="657"/>
        <v>635.12395155659806</v>
      </c>
      <c r="R1358">
        <f t="shared" ca="1" si="658"/>
        <v>3.8141460404132466E-3</v>
      </c>
      <c r="S1358">
        <f t="shared" ca="1" si="659"/>
        <v>1.0000000000000004</v>
      </c>
      <c r="T1358">
        <f t="shared" ca="1" si="660"/>
        <v>35.686426155594638</v>
      </c>
      <c r="U1358">
        <f t="shared" ca="1" si="681"/>
        <v>-3.4157470063291839E-3</v>
      </c>
      <c r="V1358">
        <f t="shared" ca="1" si="682"/>
        <v>1</v>
      </c>
      <c r="W1358">
        <f t="shared" ca="1" si="661"/>
        <v>1.6812012601523842</v>
      </c>
      <c r="X1358">
        <f t="shared" ca="1" si="662"/>
        <v>8.7422465527923983</v>
      </c>
      <c r="Y1358">
        <f t="shared" ca="1" si="663"/>
        <v>1.0210039217452287</v>
      </c>
      <c r="Z1358">
        <f t="shared" ca="1" si="664"/>
        <v>5.8280214007148823</v>
      </c>
      <c r="AA1358">
        <f t="shared" ca="1" si="665"/>
        <v>633.59670126015237</v>
      </c>
      <c r="AB1358">
        <f t="shared" ca="1" si="666"/>
        <v>635.32788543177264</v>
      </c>
      <c r="AC1358">
        <f t="shared" ca="1" si="667"/>
        <v>7.43341272549223E-3</v>
      </c>
      <c r="AD1358">
        <f t="shared" ca="1" si="668"/>
        <v>1.4350822099536629</v>
      </c>
      <c r="AE1358">
        <f t="shared" ca="1" si="669"/>
        <v>37.6176156737517</v>
      </c>
      <c r="AF1358">
        <f t="shared" ca="1" si="670"/>
        <v>7.0978752218024965E-3</v>
      </c>
      <c r="AG1358">
        <f t="shared" ca="1" si="671"/>
        <v>0</v>
      </c>
      <c r="AH1358">
        <f ca="1">IFERROR(IF(V32="Supercritical",MAX($D$16,IFERROR(L1358,MAX($D$16,POWER((ABS(K1358)^2)/($I$5*MAX(F1358,0.1)^2),1/3)))),IF(V32="Subcritical",MAX($D$16,IFERROR(W1358,MAX($D$16,POWER((ABS(K1358)^2)/($I$5*MAX(F1358,0.1)^2),1/3)))),IF(AND(IFERROR(V1358,0)=1,IFERROR(AG1358,0)=1),IF(IFERROR(T1358,-1E+99)&gt;=IFERROR(AE1358,-1E+99),MAX($D$16,IFERROR(L1358,MAX($D$16,POWER((ABS(K1358)^2)/($I$5*MAX(F1358,0.1)^2),1/3)))),MAX($D$16,IFERROR(W1358,MAX($D$16,POWER((ABS(K1358)^2)/($I$5*MAX(F1358,0.1)^2),1/3))))),IF(IFERROR(V1358,0)=1,MAX($D$16,IFERROR(L1358,MAX($D$16,POWER((ABS(K1358)^2)/($I$5*MAX(F1358,0.1)^2),1/3)))),IF(IFERROR(AG1358,0)=1,MAX($D$16,IFERROR(W1358,MAX($D$16,POWER((ABS(K1358)^2)/($I$5*MAX(F1358,0.1)^2),1/3)))),MAX($D$16,POWER((ABS(K1358)^2)/($I$5*MAX(F1358,0.1)^2),1/3))))))),MAX($D$16,POWER((ABS(K1358)^2)/($I$5*MAX(F1358,0.1)^2),1/3)))</f>
        <v>2.1389677043987478</v>
      </c>
      <c r="AI1358">
        <f t="shared" ca="1" si="672"/>
        <v>634.05446770439869</v>
      </c>
      <c r="AJ1358">
        <f t="shared" ca="1" si="673"/>
        <v>635.12395155659806</v>
      </c>
      <c r="AM1358">
        <v>0</v>
      </c>
      <c r="AN1358">
        <v>0</v>
      </c>
      <c r="AO1358">
        <f t="shared" si="674"/>
        <v>0</v>
      </c>
      <c r="AP1358">
        <f t="shared" si="683"/>
        <v>0</v>
      </c>
      <c r="AQ1358">
        <f t="shared" ca="1" si="675"/>
        <v>1.0000000000000004</v>
      </c>
      <c r="AR1358" t="str">
        <f t="shared" ca="1" si="676"/>
        <v>Supercritical</v>
      </c>
      <c r="AS1358">
        <f t="shared" ca="1" si="677"/>
        <v>3.8141460404132466E-3</v>
      </c>
    </row>
    <row r="1359" spans="1:45" x14ac:dyDescent="0.35">
      <c r="A1359">
        <v>1298</v>
      </c>
      <c r="B1359">
        <v>1296.9960000000001</v>
      </c>
      <c r="C1359">
        <v>616068.74199999997</v>
      </c>
      <c r="D1359">
        <v>3096710.3220000002</v>
      </c>
      <c r="E1359">
        <v>631.91499999999996</v>
      </c>
      <c r="F1359">
        <v>5.2</v>
      </c>
      <c r="G1359">
        <v>0</v>
      </c>
      <c r="H1359" t="s">
        <v>154</v>
      </c>
      <c r="I1359">
        <v>5.7000000000000002E-2</v>
      </c>
      <c r="J1359">
        <f t="shared" si="678"/>
        <v>1</v>
      </c>
      <c r="K1359">
        <f t="shared" ca="1" si="679"/>
        <v>50.95</v>
      </c>
      <c r="L1359">
        <f t="shared" ca="1" si="680"/>
        <v>2.1389677043987478</v>
      </c>
      <c r="M1359">
        <f t="shared" ca="1" si="653"/>
        <v>11.122632062873489</v>
      </c>
      <c r="N1359">
        <f t="shared" ca="1" si="654"/>
        <v>1.1735290000551568</v>
      </c>
      <c r="O1359">
        <f t="shared" ca="1" si="655"/>
        <v>4.5807502857230418</v>
      </c>
      <c r="P1359">
        <f t="shared" ca="1" si="656"/>
        <v>634.0539677043987</v>
      </c>
      <c r="Q1359">
        <f t="shared" ca="1" si="657"/>
        <v>635.12345155659807</v>
      </c>
      <c r="R1359">
        <f t="shared" ca="1" si="658"/>
        <v>3.8141460404132466E-3</v>
      </c>
      <c r="S1359">
        <f t="shared" ca="1" si="659"/>
        <v>1.0000000000000004</v>
      </c>
      <c r="T1359">
        <f t="shared" ca="1" si="660"/>
        <v>35.686426155594638</v>
      </c>
      <c r="U1359">
        <f t="shared" ca="1" si="681"/>
        <v>-3.4157470064428708E-3</v>
      </c>
      <c r="V1359">
        <f t="shared" ca="1" si="682"/>
        <v>1</v>
      </c>
      <c r="W1359">
        <f t="shared" ca="1" si="661"/>
        <v>1.6812012601471831</v>
      </c>
      <c r="X1359">
        <f t="shared" ca="1" si="662"/>
        <v>8.7422465527653515</v>
      </c>
      <c r="Y1359">
        <f t="shared" ca="1" si="663"/>
        <v>1.0210039217433102</v>
      </c>
      <c r="Z1359">
        <f t="shared" ca="1" si="664"/>
        <v>5.8280214007329132</v>
      </c>
      <c r="AA1359">
        <f t="shared" ca="1" si="665"/>
        <v>633.59620126014715</v>
      </c>
      <c r="AB1359">
        <f t="shared" ca="1" si="666"/>
        <v>635.32738543177823</v>
      </c>
      <c r="AC1359">
        <f t="shared" ca="1" si="667"/>
        <v>7.4334127255568511E-3</v>
      </c>
      <c r="AD1359">
        <f t="shared" ca="1" si="668"/>
        <v>1.4350822099603229</v>
      </c>
      <c r="AE1359">
        <f t="shared" ca="1" si="669"/>
        <v>37.617615673799875</v>
      </c>
      <c r="AF1359">
        <f t="shared" ca="1" si="670"/>
        <v>6.9334127255160638E-3</v>
      </c>
      <c r="AG1359">
        <f t="shared" ca="1" si="671"/>
        <v>0</v>
      </c>
      <c r="AH1359">
        <f ca="1">IFERROR(IF(V32="Supercritical",MAX($D$16,IFERROR(L1359,MAX($D$16,POWER((ABS(K1359)^2)/($I$5*MAX(F1359,0.1)^2),1/3)))),IF(V32="Subcritical",MAX($D$16,IFERROR(W1359,MAX($D$16,POWER((ABS(K1359)^2)/($I$5*MAX(F1359,0.1)^2),1/3)))),IF(AND(IFERROR(V1359,0)=1,IFERROR(AG1359,0)=1),IF(IFERROR(T1359,-1E+99)&gt;=IFERROR(AE1359,-1E+99),MAX($D$16,IFERROR(L1359,MAX($D$16,POWER((ABS(K1359)^2)/($I$5*MAX(F1359,0.1)^2),1/3)))),MAX($D$16,IFERROR(W1359,MAX($D$16,POWER((ABS(K1359)^2)/($I$5*MAX(F1359,0.1)^2),1/3))))),IF(IFERROR(V1359,0)=1,MAX($D$16,IFERROR(L1359,MAX($D$16,POWER((ABS(K1359)^2)/($I$5*MAX(F1359,0.1)^2),1/3)))),IF(IFERROR(AG1359,0)=1,MAX($D$16,IFERROR(W1359,MAX($D$16,POWER((ABS(K1359)^2)/($I$5*MAX(F1359,0.1)^2),1/3)))),MAX($D$16,POWER((ABS(K1359)^2)/($I$5*MAX(F1359,0.1)^2),1/3))))))),MAX($D$16,POWER((ABS(K1359)^2)/($I$5*MAX(F1359,0.1)^2),1/3)))</f>
        <v>2.1389677043987478</v>
      </c>
      <c r="AI1359">
        <f t="shared" ca="1" si="672"/>
        <v>634.0539677043987</v>
      </c>
      <c r="AJ1359">
        <f t="shared" ca="1" si="673"/>
        <v>635.12345155659807</v>
      </c>
      <c r="AM1359">
        <v>0</v>
      </c>
      <c r="AN1359">
        <v>0</v>
      </c>
      <c r="AO1359">
        <f t="shared" si="674"/>
        <v>0</v>
      </c>
      <c r="AP1359">
        <f t="shared" si="683"/>
        <v>0</v>
      </c>
      <c r="AQ1359">
        <f t="shared" ca="1" si="675"/>
        <v>1.0000000000000004</v>
      </c>
      <c r="AR1359" t="str">
        <f t="shared" ca="1" si="676"/>
        <v>Supercritical</v>
      </c>
      <c r="AS1359">
        <f t="shared" ca="1" si="677"/>
        <v>3.8141460404132466E-3</v>
      </c>
    </row>
    <row r="1360" spans="1:45" x14ac:dyDescent="0.35">
      <c r="A1360">
        <v>1299</v>
      </c>
      <c r="B1360">
        <v>1297.9960000000001</v>
      </c>
      <c r="C1360">
        <v>616068.69999999995</v>
      </c>
      <c r="D1360">
        <v>3096709.3229999999</v>
      </c>
      <c r="E1360">
        <v>631.91449999999998</v>
      </c>
      <c r="F1360">
        <v>5.2</v>
      </c>
      <c r="G1360">
        <v>0</v>
      </c>
      <c r="H1360" t="s">
        <v>154</v>
      </c>
      <c r="I1360">
        <v>0</v>
      </c>
      <c r="J1360">
        <f t="shared" si="678"/>
        <v>1</v>
      </c>
      <c r="K1360">
        <f t="shared" ca="1" si="679"/>
        <v>50.95</v>
      </c>
      <c r="L1360">
        <f t="shared" ca="1" si="680"/>
        <v>2.1389677043987478</v>
      </c>
      <c r="M1360">
        <f t="shared" ca="1" si="653"/>
        <v>11.122632062873489</v>
      </c>
      <c r="N1360">
        <f t="shared" ca="1" si="654"/>
        <v>1.1735290000551568</v>
      </c>
      <c r="O1360">
        <f t="shared" ca="1" si="655"/>
        <v>4.5807502857230418</v>
      </c>
      <c r="P1360">
        <f t="shared" ca="1" si="656"/>
        <v>634.05346770439871</v>
      </c>
      <c r="Q1360">
        <f t="shared" ca="1" si="657"/>
        <v>635.12295155659808</v>
      </c>
      <c r="R1360">
        <f t="shared" ca="1" si="658"/>
        <v>3.8141460404132466E-3</v>
      </c>
      <c r="S1360">
        <f t="shared" ca="1" si="659"/>
        <v>1.0000000000000004</v>
      </c>
      <c r="T1360">
        <f t="shared" ca="1" si="660"/>
        <v>35.686426155594638</v>
      </c>
      <c r="U1360">
        <f t="shared" ca="1" si="681"/>
        <v>-3.3141460404522149E-3</v>
      </c>
      <c r="V1360">
        <f t="shared" ca="1" si="682"/>
        <v>1</v>
      </c>
      <c r="W1360">
        <f t="shared" ca="1" si="661"/>
        <v>1.681201260142323</v>
      </c>
      <c r="X1360">
        <f t="shared" ca="1" si="662"/>
        <v>8.7422465527400792</v>
      </c>
      <c r="Y1360">
        <f t="shared" ca="1" si="663"/>
        <v>1.0210039217415177</v>
      </c>
      <c r="Z1360">
        <f t="shared" ca="1" si="664"/>
        <v>5.828021400749761</v>
      </c>
      <c r="AA1360">
        <f t="shared" ca="1" si="665"/>
        <v>633.59570126014228</v>
      </c>
      <c r="AB1360">
        <f t="shared" ca="1" si="666"/>
        <v>635.32688543178335</v>
      </c>
      <c r="AC1360">
        <f t="shared" ca="1" si="667"/>
        <v>7.4334127256172264E-3</v>
      </c>
      <c r="AD1360">
        <f t="shared" ca="1" si="668"/>
        <v>1.4350822099665455</v>
      </c>
      <c r="AE1360">
        <f t="shared" ca="1" si="669"/>
        <v>37.617615673844888</v>
      </c>
      <c r="AF1360">
        <f t="shared" ca="1" si="670"/>
        <v>6.9259793128821912E-3</v>
      </c>
      <c r="AG1360">
        <f t="shared" ca="1" si="671"/>
        <v>0</v>
      </c>
      <c r="AH1360">
        <f ca="1">IFERROR(IF(V32="Supercritical",MAX($D$16,IFERROR(L1360,MAX($D$16,POWER((ABS(K1360)^2)/($I$5*MAX(F1360,0.1)^2),1/3)))),IF(V32="Subcritical",MAX($D$16,IFERROR(W1360,MAX($D$16,POWER((ABS(K1360)^2)/($I$5*MAX(F1360,0.1)^2),1/3)))),IF(AND(IFERROR(V1360,0)=1,IFERROR(AG1360,0)=1),IF(IFERROR(T1360,-1E+99)&gt;=IFERROR(AE1360,-1E+99),MAX($D$16,IFERROR(L1360,MAX($D$16,POWER((ABS(K1360)^2)/($I$5*MAX(F1360,0.1)^2),1/3)))),MAX($D$16,IFERROR(W1360,MAX($D$16,POWER((ABS(K1360)^2)/($I$5*MAX(F1360,0.1)^2),1/3))))),IF(IFERROR(V1360,0)=1,MAX($D$16,IFERROR(L1360,MAX($D$16,POWER((ABS(K1360)^2)/($I$5*MAX(F1360,0.1)^2),1/3)))),IF(IFERROR(AG1360,0)=1,MAX($D$16,IFERROR(W1360,MAX($D$16,POWER((ABS(K1360)^2)/($I$5*MAX(F1360,0.1)^2),1/3)))),MAX($D$16,POWER((ABS(K1360)^2)/($I$5*MAX(F1360,0.1)^2),1/3))))))),MAX($D$16,POWER((ABS(K1360)^2)/($I$5*MAX(F1360,0.1)^2),1/3)))</f>
        <v>2.1389677043987478</v>
      </c>
      <c r="AI1360">
        <f t="shared" ca="1" si="672"/>
        <v>634.05346770439871</v>
      </c>
      <c r="AJ1360">
        <f t="shared" ca="1" si="673"/>
        <v>635.12295155659808</v>
      </c>
      <c r="AM1360">
        <v>0</v>
      </c>
      <c r="AN1360">
        <v>0</v>
      </c>
      <c r="AO1360">
        <f t="shared" si="674"/>
        <v>0</v>
      </c>
      <c r="AP1360">
        <f t="shared" si="683"/>
        <v>0</v>
      </c>
      <c r="AQ1360">
        <f t="shared" ca="1" si="675"/>
        <v>1.0000000000000004</v>
      </c>
      <c r="AR1360" t="str">
        <f t="shared" ca="1" si="676"/>
        <v>Supercritical</v>
      </c>
      <c r="AS1360">
        <f t="shared" ca="1" si="677"/>
        <v>3.8141460404132466E-3</v>
      </c>
    </row>
    <row r="1361" spans="1:45" x14ac:dyDescent="0.35">
      <c r="A1361">
        <v>1300</v>
      </c>
      <c r="B1361">
        <v>1298.9949999999999</v>
      </c>
      <c r="C1361">
        <v>616068.65800000005</v>
      </c>
      <c r="D1361">
        <v>3096708.324</v>
      </c>
      <c r="E1361">
        <v>631.91399999999999</v>
      </c>
      <c r="F1361">
        <v>5.2</v>
      </c>
      <c r="G1361">
        <v>0</v>
      </c>
      <c r="H1361" t="s">
        <v>154</v>
      </c>
      <c r="I1361">
        <v>0</v>
      </c>
      <c r="J1361">
        <f t="shared" si="678"/>
        <v>0.99899999999979627</v>
      </c>
      <c r="K1361">
        <f t="shared" ca="1" si="679"/>
        <v>50.95</v>
      </c>
      <c r="L1361">
        <f t="shared" ca="1" si="680"/>
        <v>2.1389677043987478</v>
      </c>
      <c r="M1361">
        <f t="shared" ca="1" si="653"/>
        <v>11.122632062873489</v>
      </c>
      <c r="N1361">
        <f t="shared" ca="1" si="654"/>
        <v>1.1735290000551568</v>
      </c>
      <c r="O1361">
        <f t="shared" ca="1" si="655"/>
        <v>4.5807502857230418</v>
      </c>
      <c r="P1361">
        <f t="shared" ca="1" si="656"/>
        <v>634.05296770439872</v>
      </c>
      <c r="Q1361">
        <f t="shared" ca="1" si="657"/>
        <v>635.12245155659809</v>
      </c>
      <c r="R1361">
        <f t="shared" ca="1" si="658"/>
        <v>3.8141460404132466E-3</v>
      </c>
      <c r="S1361">
        <f t="shared" ca="1" si="659"/>
        <v>1.0000000000000004</v>
      </c>
      <c r="T1361">
        <f t="shared" ca="1" si="660"/>
        <v>35.686426155594638</v>
      </c>
      <c r="U1361">
        <f t="shared" ca="1" si="681"/>
        <v>-3.3103318943403792E-3</v>
      </c>
      <c r="V1361">
        <f t="shared" ca="1" si="682"/>
        <v>1</v>
      </c>
      <c r="W1361">
        <f t="shared" ca="1" si="661"/>
        <v>1.6812012601377868</v>
      </c>
      <c r="X1361">
        <f t="shared" ca="1" si="662"/>
        <v>8.742246552716491</v>
      </c>
      <c r="Y1361">
        <f t="shared" ca="1" si="663"/>
        <v>1.0210039217398446</v>
      </c>
      <c r="Z1361">
        <f t="shared" ca="1" si="664"/>
        <v>5.8280214007654854</v>
      </c>
      <c r="AA1361">
        <f t="shared" ca="1" si="665"/>
        <v>633.59520126013774</v>
      </c>
      <c r="AB1361">
        <f t="shared" ca="1" si="666"/>
        <v>635.32638543178814</v>
      </c>
      <c r="AC1361">
        <f t="shared" ca="1" si="667"/>
        <v>7.4334127256735849E-3</v>
      </c>
      <c r="AD1361">
        <f t="shared" ca="1" si="668"/>
        <v>1.4350822099723537</v>
      </c>
      <c r="AE1361">
        <f t="shared" ca="1" si="669"/>
        <v>37.617615673886903</v>
      </c>
      <c r="AF1361">
        <f t="shared" ca="1" si="670"/>
        <v>7.0978752219161834E-3</v>
      </c>
      <c r="AG1361">
        <f t="shared" ca="1" si="671"/>
        <v>0</v>
      </c>
      <c r="AH1361">
        <f ca="1">IFERROR(IF(V32="Supercritical",MAX($D$16,IFERROR(L1361,MAX($D$16,POWER((ABS(K1361)^2)/($I$5*MAX(F1361,0.1)^2),1/3)))),IF(V32="Subcritical",MAX($D$16,IFERROR(W1361,MAX($D$16,POWER((ABS(K1361)^2)/($I$5*MAX(F1361,0.1)^2),1/3)))),IF(AND(IFERROR(V1361,0)=1,IFERROR(AG1361,0)=1),IF(IFERROR(T1361,-1E+99)&gt;=IFERROR(AE1361,-1E+99),MAX($D$16,IFERROR(L1361,MAX($D$16,POWER((ABS(K1361)^2)/($I$5*MAX(F1361,0.1)^2),1/3)))),MAX($D$16,IFERROR(W1361,MAX($D$16,POWER((ABS(K1361)^2)/($I$5*MAX(F1361,0.1)^2),1/3))))),IF(IFERROR(V1361,0)=1,MAX($D$16,IFERROR(L1361,MAX($D$16,POWER((ABS(K1361)^2)/($I$5*MAX(F1361,0.1)^2),1/3)))),IF(IFERROR(AG1361,0)=1,MAX($D$16,IFERROR(W1361,MAX($D$16,POWER((ABS(K1361)^2)/($I$5*MAX(F1361,0.1)^2),1/3)))),MAX($D$16,POWER((ABS(K1361)^2)/($I$5*MAX(F1361,0.1)^2),1/3))))))),MAX($D$16,POWER((ABS(K1361)^2)/($I$5*MAX(F1361,0.1)^2),1/3)))</f>
        <v>2.1389677043987478</v>
      </c>
      <c r="AI1361">
        <f t="shared" ca="1" si="672"/>
        <v>634.05296770439872</v>
      </c>
      <c r="AJ1361">
        <f t="shared" ca="1" si="673"/>
        <v>635.12245155659809</v>
      </c>
      <c r="AM1361">
        <v>0</v>
      </c>
      <c r="AN1361">
        <v>0</v>
      </c>
      <c r="AO1361">
        <f t="shared" si="674"/>
        <v>0</v>
      </c>
      <c r="AP1361">
        <f t="shared" si="683"/>
        <v>0</v>
      </c>
      <c r="AQ1361">
        <f t="shared" ca="1" si="675"/>
        <v>1.0000000000000004</v>
      </c>
      <c r="AR1361" t="str">
        <f t="shared" ca="1" si="676"/>
        <v>Supercritical</v>
      </c>
      <c r="AS1361">
        <f t="shared" ca="1" si="677"/>
        <v>3.8141460404132466E-3</v>
      </c>
    </row>
    <row r="1362" spans="1:45" x14ac:dyDescent="0.35">
      <c r="A1362">
        <v>1301</v>
      </c>
      <c r="B1362">
        <v>1299.9949999999999</v>
      </c>
      <c r="C1362">
        <v>616068.61600000004</v>
      </c>
      <c r="D1362">
        <v>3096707.3250000002</v>
      </c>
      <c r="E1362">
        <v>631.9135</v>
      </c>
      <c r="F1362">
        <v>5.2</v>
      </c>
      <c r="G1362">
        <v>0</v>
      </c>
      <c r="H1362" t="s">
        <v>154</v>
      </c>
      <c r="I1362">
        <v>5.7000000000000002E-2</v>
      </c>
      <c r="J1362">
        <f t="shared" si="678"/>
        <v>1</v>
      </c>
      <c r="K1362">
        <f t="shared" ca="1" si="679"/>
        <v>50.95</v>
      </c>
      <c r="L1362">
        <f t="shared" ca="1" si="680"/>
        <v>2.1389677043987478</v>
      </c>
      <c r="M1362">
        <f t="shared" ca="1" si="653"/>
        <v>11.122632062873489</v>
      </c>
      <c r="N1362">
        <f t="shared" ca="1" si="654"/>
        <v>1.1735290000551568</v>
      </c>
      <c r="O1362">
        <f t="shared" ca="1" si="655"/>
        <v>4.5807502857230418</v>
      </c>
      <c r="P1362">
        <f t="shared" ca="1" si="656"/>
        <v>634.05246770439874</v>
      </c>
      <c r="Q1362">
        <f t="shared" ca="1" si="657"/>
        <v>635.12195155659811</v>
      </c>
      <c r="R1362">
        <f t="shared" ca="1" si="658"/>
        <v>3.8141460404132466E-3</v>
      </c>
      <c r="S1362">
        <f t="shared" ca="1" si="659"/>
        <v>1.0000000000000004</v>
      </c>
      <c r="T1362">
        <f t="shared" ca="1" si="660"/>
        <v>35.686426155594638</v>
      </c>
      <c r="U1362">
        <f t="shared" ca="1" si="681"/>
        <v>-3.4157470064428708E-3</v>
      </c>
      <c r="V1362">
        <f t="shared" ca="1" si="682"/>
        <v>1</v>
      </c>
      <c r="W1362">
        <f t="shared" ca="1" si="661"/>
        <v>1.6812012601335236</v>
      </c>
      <c r="X1362">
        <f t="shared" ca="1" si="662"/>
        <v>8.742246552694322</v>
      </c>
      <c r="Y1362">
        <f t="shared" ca="1" si="663"/>
        <v>1.0210039217382723</v>
      </c>
      <c r="Z1362">
        <f t="shared" ca="1" si="664"/>
        <v>5.8280214007802646</v>
      </c>
      <c r="AA1362">
        <f t="shared" ca="1" si="665"/>
        <v>633.59470126013355</v>
      </c>
      <c r="AB1362">
        <f t="shared" ca="1" si="666"/>
        <v>635.3258854317927</v>
      </c>
      <c r="AC1362">
        <f t="shared" ca="1" si="667"/>
        <v>7.4334127257265469E-3</v>
      </c>
      <c r="AD1362">
        <f t="shared" ca="1" si="668"/>
        <v>1.4350822099778122</v>
      </c>
      <c r="AE1362">
        <f t="shared" ca="1" si="669"/>
        <v>37.617615673926387</v>
      </c>
      <c r="AF1362">
        <f t="shared" ca="1" si="670"/>
        <v>7.1065311428810674E-3</v>
      </c>
      <c r="AG1362">
        <f t="shared" ca="1" si="671"/>
        <v>0</v>
      </c>
      <c r="AH1362">
        <f ca="1">IFERROR(IF(V32="Supercritical",MAX($D$16,IFERROR(L1362,MAX($D$16,POWER((ABS(K1362)^2)/($I$5*MAX(F1362,0.1)^2),1/3)))),IF(V32="Subcritical",MAX($D$16,IFERROR(W1362,MAX($D$16,POWER((ABS(K1362)^2)/($I$5*MAX(F1362,0.1)^2),1/3)))),IF(AND(IFERROR(V1362,0)=1,IFERROR(AG1362,0)=1),IF(IFERROR(T1362,-1E+99)&gt;=IFERROR(AE1362,-1E+99),MAX($D$16,IFERROR(L1362,MAX($D$16,POWER((ABS(K1362)^2)/($I$5*MAX(F1362,0.1)^2),1/3)))),MAX($D$16,IFERROR(W1362,MAX($D$16,POWER((ABS(K1362)^2)/($I$5*MAX(F1362,0.1)^2),1/3))))),IF(IFERROR(V1362,0)=1,MAX($D$16,IFERROR(L1362,MAX($D$16,POWER((ABS(K1362)^2)/($I$5*MAX(F1362,0.1)^2),1/3)))),IF(IFERROR(AG1362,0)=1,MAX($D$16,IFERROR(W1362,MAX($D$16,POWER((ABS(K1362)^2)/($I$5*MAX(F1362,0.1)^2),1/3)))),MAX($D$16,POWER((ABS(K1362)^2)/($I$5*MAX(F1362,0.1)^2),1/3))))))),MAX($D$16,POWER((ABS(K1362)^2)/($I$5*MAX(F1362,0.1)^2),1/3)))</f>
        <v>2.1389677043987478</v>
      </c>
      <c r="AI1362">
        <f t="shared" ca="1" si="672"/>
        <v>634.05246770439874</v>
      </c>
      <c r="AJ1362">
        <f t="shared" ca="1" si="673"/>
        <v>635.12195155659811</v>
      </c>
      <c r="AM1362">
        <v>0</v>
      </c>
      <c r="AN1362">
        <v>0</v>
      </c>
      <c r="AO1362">
        <f t="shared" si="674"/>
        <v>0</v>
      </c>
      <c r="AP1362">
        <f t="shared" si="683"/>
        <v>0</v>
      </c>
      <c r="AQ1362">
        <f t="shared" ca="1" si="675"/>
        <v>1.0000000000000004</v>
      </c>
      <c r="AR1362" t="str">
        <f t="shared" ca="1" si="676"/>
        <v>Supercritical</v>
      </c>
      <c r="AS1362">
        <f t="shared" ca="1" si="677"/>
        <v>3.8141460404132466E-3</v>
      </c>
    </row>
    <row r="1363" spans="1:45" x14ac:dyDescent="0.35">
      <c r="A1363">
        <v>1302</v>
      </c>
      <c r="B1363">
        <v>1300.9949999999999</v>
      </c>
      <c r="C1363">
        <v>616068.57299999997</v>
      </c>
      <c r="D1363">
        <v>3096706.3259999999</v>
      </c>
      <c r="E1363">
        <v>631.91300000000001</v>
      </c>
      <c r="F1363">
        <v>5.2</v>
      </c>
      <c r="G1363">
        <v>0</v>
      </c>
      <c r="H1363" t="s">
        <v>154</v>
      </c>
      <c r="I1363">
        <v>0.06</v>
      </c>
      <c r="J1363">
        <f t="shared" si="678"/>
        <v>1</v>
      </c>
      <c r="K1363">
        <f t="shared" ca="1" si="679"/>
        <v>50.95</v>
      </c>
      <c r="L1363">
        <f t="shared" ca="1" si="680"/>
        <v>2.1389677043987478</v>
      </c>
      <c r="M1363">
        <f t="shared" ca="1" si="653"/>
        <v>11.122632062873489</v>
      </c>
      <c r="N1363">
        <f t="shared" ca="1" si="654"/>
        <v>1.1735290000551568</v>
      </c>
      <c r="O1363">
        <f t="shared" ca="1" si="655"/>
        <v>4.5807502857230418</v>
      </c>
      <c r="P1363">
        <f t="shared" ca="1" si="656"/>
        <v>634.05196770439875</v>
      </c>
      <c r="Q1363">
        <f t="shared" ca="1" si="657"/>
        <v>635.12145155659812</v>
      </c>
      <c r="R1363">
        <f t="shared" ca="1" si="658"/>
        <v>3.8141460404132466E-3</v>
      </c>
      <c r="S1363">
        <f t="shared" ca="1" si="659"/>
        <v>1.0000000000000004</v>
      </c>
      <c r="T1363">
        <f t="shared" ca="1" si="660"/>
        <v>35.686426155594638</v>
      </c>
      <c r="U1363">
        <f t="shared" ca="1" si="681"/>
        <v>-3.4210944256756193E-3</v>
      </c>
      <c r="V1363">
        <f t="shared" ca="1" si="682"/>
        <v>1</v>
      </c>
      <c r="W1363">
        <f t="shared" ca="1" si="661"/>
        <v>1.6812012601295503</v>
      </c>
      <c r="X1363">
        <f t="shared" ca="1" si="662"/>
        <v>8.7422465526736612</v>
      </c>
      <c r="Y1363">
        <f t="shared" ca="1" si="663"/>
        <v>1.021003921736807</v>
      </c>
      <c r="Z1363">
        <f t="shared" ca="1" si="664"/>
        <v>5.8280214007940385</v>
      </c>
      <c r="AA1363">
        <f t="shared" ca="1" si="665"/>
        <v>633.59420126012958</v>
      </c>
      <c r="AB1363">
        <f t="shared" ca="1" si="666"/>
        <v>635.32538543179692</v>
      </c>
      <c r="AC1363">
        <f t="shared" ca="1" si="667"/>
        <v>7.433412725775905E-3</v>
      </c>
      <c r="AD1363">
        <f t="shared" ca="1" si="668"/>
        <v>1.4350822099828997</v>
      </c>
      <c r="AE1363">
        <f t="shared" ca="1" si="669"/>
        <v>37.617615673963194</v>
      </c>
      <c r="AF1363">
        <f t="shared" ca="1" si="670"/>
        <v>6.9466167524296907E-3</v>
      </c>
      <c r="AG1363">
        <f t="shared" ca="1" si="671"/>
        <v>0</v>
      </c>
      <c r="AH1363">
        <f ca="1">IFERROR(IF(V32="Supercritical",MAX($D$16,IFERROR(L1363,MAX($D$16,POWER((ABS(K1363)^2)/($I$5*MAX(F1363,0.1)^2),1/3)))),IF(V32="Subcritical",MAX($D$16,IFERROR(W1363,MAX($D$16,POWER((ABS(K1363)^2)/($I$5*MAX(F1363,0.1)^2),1/3)))),IF(AND(IFERROR(V1363,0)=1,IFERROR(AG1363,0)=1),IF(IFERROR(T1363,-1E+99)&gt;=IFERROR(AE1363,-1E+99),MAX($D$16,IFERROR(L1363,MAX($D$16,POWER((ABS(K1363)^2)/($I$5*MAX(F1363,0.1)^2),1/3)))),MAX($D$16,IFERROR(W1363,MAX($D$16,POWER((ABS(K1363)^2)/($I$5*MAX(F1363,0.1)^2),1/3))))),IF(IFERROR(V1363,0)=1,MAX($D$16,IFERROR(L1363,MAX($D$16,POWER((ABS(K1363)^2)/($I$5*MAX(F1363,0.1)^2),1/3)))),IF(IFERROR(AG1363,0)=1,MAX($D$16,IFERROR(W1363,MAX($D$16,POWER((ABS(K1363)^2)/($I$5*MAX(F1363,0.1)^2),1/3)))),MAX($D$16,POWER((ABS(K1363)^2)/($I$5*MAX(F1363,0.1)^2),1/3))))))),MAX($D$16,POWER((ABS(K1363)^2)/($I$5*MAX(F1363,0.1)^2),1/3)))</f>
        <v>2.1389677043987478</v>
      </c>
      <c r="AI1363">
        <f t="shared" ca="1" si="672"/>
        <v>634.05196770439875</v>
      </c>
      <c r="AJ1363">
        <f t="shared" ca="1" si="673"/>
        <v>635.12145155659812</v>
      </c>
      <c r="AM1363">
        <v>0</v>
      </c>
      <c r="AN1363">
        <v>0</v>
      </c>
      <c r="AO1363">
        <f t="shared" si="674"/>
        <v>0</v>
      </c>
      <c r="AP1363">
        <f t="shared" si="683"/>
        <v>0</v>
      </c>
      <c r="AQ1363">
        <f t="shared" ca="1" si="675"/>
        <v>1.0000000000000004</v>
      </c>
      <c r="AR1363" t="str">
        <f t="shared" ca="1" si="676"/>
        <v>Supercritical</v>
      </c>
      <c r="AS1363">
        <f t="shared" ca="1" si="677"/>
        <v>3.8141460404132466E-3</v>
      </c>
    </row>
    <row r="1364" spans="1:45" x14ac:dyDescent="0.35">
      <c r="A1364">
        <v>1303</v>
      </c>
      <c r="B1364">
        <v>1301.9960000000001</v>
      </c>
      <c r="C1364">
        <v>616068.53099999996</v>
      </c>
      <c r="D1364">
        <v>3096705.3259999999</v>
      </c>
      <c r="E1364">
        <v>631.91250000000002</v>
      </c>
      <c r="F1364">
        <v>5.2</v>
      </c>
      <c r="G1364">
        <v>0</v>
      </c>
      <c r="H1364" t="s">
        <v>154</v>
      </c>
      <c r="I1364">
        <v>2E-3</v>
      </c>
      <c r="J1364">
        <f t="shared" si="678"/>
        <v>1.0010000000002037</v>
      </c>
      <c r="K1364">
        <f t="shared" ca="1" si="679"/>
        <v>50.95</v>
      </c>
      <c r="L1364">
        <f t="shared" ca="1" si="680"/>
        <v>2.1389677043987478</v>
      </c>
      <c r="M1364">
        <f t="shared" ca="1" si="653"/>
        <v>11.122632062873489</v>
      </c>
      <c r="N1364">
        <f t="shared" ca="1" si="654"/>
        <v>1.1735290000551568</v>
      </c>
      <c r="O1364">
        <f t="shared" ca="1" si="655"/>
        <v>4.5807502857230418</v>
      </c>
      <c r="P1364">
        <f t="shared" ca="1" si="656"/>
        <v>634.05146770439876</v>
      </c>
      <c r="Q1364">
        <f t="shared" ca="1" si="657"/>
        <v>635.12095155659813</v>
      </c>
      <c r="R1364">
        <f t="shared" ca="1" si="658"/>
        <v>3.8141460404132466E-3</v>
      </c>
      <c r="S1364">
        <f t="shared" ca="1" si="659"/>
        <v>1.0000000000000004</v>
      </c>
      <c r="T1364">
        <f t="shared" ca="1" si="660"/>
        <v>35.686426155594638</v>
      </c>
      <c r="U1364">
        <f t="shared" ca="1" si="681"/>
        <v>-3.3215251326055295E-3</v>
      </c>
      <c r="V1364">
        <f t="shared" ca="1" si="682"/>
        <v>1</v>
      </c>
      <c r="W1364">
        <f t="shared" ca="1" si="661"/>
        <v>1.6812012601258328</v>
      </c>
      <c r="X1364">
        <f t="shared" ca="1" si="662"/>
        <v>8.7422465526543309</v>
      </c>
      <c r="Y1364">
        <f t="shared" ca="1" si="663"/>
        <v>1.0210039217354359</v>
      </c>
      <c r="Z1364">
        <f t="shared" ca="1" si="664"/>
        <v>5.8280214008069251</v>
      </c>
      <c r="AA1364">
        <f t="shared" ca="1" si="665"/>
        <v>633.59370126012584</v>
      </c>
      <c r="AB1364">
        <f t="shared" ca="1" si="666"/>
        <v>635.32488543180079</v>
      </c>
      <c r="AC1364">
        <f t="shared" ca="1" si="667"/>
        <v>7.4334127258220851E-3</v>
      </c>
      <c r="AD1364">
        <f t="shared" ca="1" si="668"/>
        <v>1.4350822099876595</v>
      </c>
      <c r="AE1364">
        <f t="shared" ca="1" si="669"/>
        <v>37.617615673997619</v>
      </c>
      <c r="AF1364">
        <f t="shared" ca="1" si="670"/>
        <v>7.097875222143557E-3</v>
      </c>
      <c r="AG1364">
        <f t="shared" ca="1" si="671"/>
        <v>0</v>
      </c>
      <c r="AH1364">
        <f ca="1">IFERROR(IF(V32="Supercritical",MAX($D$16,IFERROR(L1364,MAX($D$16,POWER((ABS(K1364)^2)/($I$5*MAX(F1364,0.1)^2),1/3)))),IF(V32="Subcritical",MAX($D$16,IFERROR(W1364,MAX($D$16,POWER((ABS(K1364)^2)/($I$5*MAX(F1364,0.1)^2),1/3)))),IF(AND(IFERROR(V1364,0)=1,IFERROR(AG1364,0)=1),IF(IFERROR(T1364,-1E+99)&gt;=IFERROR(AE1364,-1E+99),MAX($D$16,IFERROR(L1364,MAX($D$16,POWER((ABS(K1364)^2)/($I$5*MAX(F1364,0.1)^2),1/3)))),MAX($D$16,IFERROR(W1364,MAX($D$16,POWER((ABS(K1364)^2)/($I$5*MAX(F1364,0.1)^2),1/3))))),IF(IFERROR(V1364,0)=1,MAX($D$16,IFERROR(L1364,MAX($D$16,POWER((ABS(K1364)^2)/($I$5*MAX(F1364,0.1)^2),1/3)))),IF(IFERROR(AG1364,0)=1,MAX($D$16,IFERROR(W1364,MAX($D$16,POWER((ABS(K1364)^2)/($I$5*MAX(F1364,0.1)^2),1/3)))),MAX($D$16,POWER((ABS(K1364)^2)/($I$5*MAX(F1364,0.1)^2),1/3))))))),MAX($D$16,POWER((ABS(K1364)^2)/($I$5*MAX(F1364,0.1)^2),1/3)))</f>
        <v>2.1389677043987478</v>
      </c>
      <c r="AI1364">
        <f t="shared" ca="1" si="672"/>
        <v>634.05146770439876</v>
      </c>
      <c r="AJ1364">
        <f t="shared" ca="1" si="673"/>
        <v>635.12095155659813</v>
      </c>
      <c r="AM1364">
        <v>0</v>
      </c>
      <c r="AN1364">
        <v>0</v>
      </c>
      <c r="AO1364">
        <f t="shared" si="674"/>
        <v>0</v>
      </c>
      <c r="AP1364">
        <f t="shared" si="683"/>
        <v>0</v>
      </c>
      <c r="AQ1364">
        <f t="shared" ca="1" si="675"/>
        <v>1.0000000000000004</v>
      </c>
      <c r="AR1364" t="str">
        <f t="shared" ca="1" si="676"/>
        <v>Supercritical</v>
      </c>
      <c r="AS1364">
        <f t="shared" ca="1" si="677"/>
        <v>3.8141460404132466E-3</v>
      </c>
    </row>
    <row r="1365" spans="1:45" x14ac:dyDescent="0.35">
      <c r="A1365">
        <v>1304</v>
      </c>
      <c r="B1365">
        <v>1302.9960000000001</v>
      </c>
      <c r="C1365">
        <v>616068.48899999994</v>
      </c>
      <c r="D1365">
        <v>3096704.327</v>
      </c>
      <c r="E1365">
        <v>631.91200000000003</v>
      </c>
      <c r="F1365">
        <v>5.2</v>
      </c>
      <c r="G1365">
        <v>0</v>
      </c>
      <c r="H1365" t="s">
        <v>154</v>
      </c>
      <c r="I1365">
        <v>5.7000000000000002E-2</v>
      </c>
      <c r="J1365">
        <f t="shared" si="678"/>
        <v>1</v>
      </c>
      <c r="K1365">
        <f t="shared" ca="1" si="679"/>
        <v>50.95</v>
      </c>
      <c r="L1365">
        <f t="shared" ca="1" si="680"/>
        <v>2.1389677043987478</v>
      </c>
      <c r="M1365">
        <f t="shared" ca="1" si="653"/>
        <v>11.122632062873489</v>
      </c>
      <c r="N1365">
        <f t="shared" ca="1" si="654"/>
        <v>1.1735290000551568</v>
      </c>
      <c r="O1365">
        <f t="shared" ca="1" si="655"/>
        <v>4.5807502857230418</v>
      </c>
      <c r="P1365">
        <f t="shared" ca="1" si="656"/>
        <v>634.05096770439877</v>
      </c>
      <c r="Q1365">
        <f t="shared" ca="1" si="657"/>
        <v>635.12045155659814</v>
      </c>
      <c r="R1365">
        <f t="shared" ca="1" si="658"/>
        <v>3.8141460404132466E-3</v>
      </c>
      <c r="S1365">
        <f t="shared" ca="1" si="659"/>
        <v>1.0000000000000004</v>
      </c>
      <c r="T1365">
        <f t="shared" ca="1" si="660"/>
        <v>35.686426155594638</v>
      </c>
      <c r="U1365">
        <f t="shared" ca="1" si="681"/>
        <v>-3.4157470064428708E-3</v>
      </c>
      <c r="V1365">
        <f t="shared" ca="1" si="682"/>
        <v>1</v>
      </c>
      <c r="W1365">
        <f t="shared" ca="1" si="661"/>
        <v>1.681201260122354</v>
      </c>
      <c r="X1365">
        <f t="shared" ca="1" si="662"/>
        <v>8.7422465526362405</v>
      </c>
      <c r="Y1365">
        <f t="shared" ca="1" si="663"/>
        <v>1.0210039217341527</v>
      </c>
      <c r="Z1365">
        <f t="shared" ca="1" si="664"/>
        <v>5.8280214008189848</v>
      </c>
      <c r="AA1365">
        <f t="shared" ca="1" si="665"/>
        <v>633.59320126012244</v>
      </c>
      <c r="AB1365">
        <f t="shared" ca="1" si="666"/>
        <v>635.32438543180456</v>
      </c>
      <c r="AC1365">
        <f t="shared" ca="1" si="667"/>
        <v>7.4334127258653074E-3</v>
      </c>
      <c r="AD1365">
        <f t="shared" ca="1" si="668"/>
        <v>1.4350822099921141</v>
      </c>
      <c r="AE1365">
        <f t="shared" ca="1" si="669"/>
        <v>37.617615674029842</v>
      </c>
      <c r="AF1365">
        <f t="shared" ca="1" si="670"/>
        <v>7.097875222143557E-3</v>
      </c>
      <c r="AG1365">
        <f t="shared" ca="1" si="671"/>
        <v>0</v>
      </c>
      <c r="AH1365">
        <f ca="1">IFERROR(IF(V32="Supercritical",MAX($D$16,IFERROR(L1365,MAX($D$16,POWER((ABS(K1365)^2)/($I$5*MAX(F1365,0.1)^2),1/3)))),IF(V32="Subcritical",MAX($D$16,IFERROR(W1365,MAX($D$16,POWER((ABS(K1365)^2)/($I$5*MAX(F1365,0.1)^2),1/3)))),IF(AND(IFERROR(V1365,0)=1,IFERROR(AG1365,0)=1),IF(IFERROR(T1365,-1E+99)&gt;=IFERROR(AE1365,-1E+99),MAX($D$16,IFERROR(L1365,MAX($D$16,POWER((ABS(K1365)^2)/($I$5*MAX(F1365,0.1)^2),1/3)))),MAX($D$16,IFERROR(W1365,MAX($D$16,POWER((ABS(K1365)^2)/($I$5*MAX(F1365,0.1)^2),1/3))))),IF(IFERROR(V1365,0)=1,MAX($D$16,IFERROR(L1365,MAX($D$16,POWER((ABS(K1365)^2)/($I$5*MAX(F1365,0.1)^2),1/3)))),IF(IFERROR(AG1365,0)=1,MAX($D$16,IFERROR(W1365,MAX($D$16,POWER((ABS(K1365)^2)/($I$5*MAX(F1365,0.1)^2),1/3)))),MAX($D$16,POWER((ABS(K1365)^2)/($I$5*MAX(F1365,0.1)^2),1/3))))))),MAX($D$16,POWER((ABS(K1365)^2)/($I$5*MAX(F1365,0.1)^2),1/3)))</f>
        <v>2.1389677043987478</v>
      </c>
      <c r="AI1365">
        <f t="shared" ca="1" si="672"/>
        <v>634.05096770439877</v>
      </c>
      <c r="AJ1365">
        <f t="shared" ca="1" si="673"/>
        <v>635.12045155659814</v>
      </c>
      <c r="AM1365">
        <v>0</v>
      </c>
      <c r="AN1365">
        <v>0</v>
      </c>
      <c r="AO1365">
        <f t="shared" si="674"/>
        <v>0</v>
      </c>
      <c r="AP1365">
        <f t="shared" si="683"/>
        <v>0</v>
      </c>
      <c r="AQ1365">
        <f t="shared" ca="1" si="675"/>
        <v>1.0000000000000004</v>
      </c>
      <c r="AR1365" t="str">
        <f t="shared" ca="1" si="676"/>
        <v>Supercritical</v>
      </c>
      <c r="AS1365">
        <f t="shared" ca="1" si="677"/>
        <v>3.8141460404132466E-3</v>
      </c>
    </row>
    <row r="1366" spans="1:45" x14ac:dyDescent="0.35">
      <c r="A1366">
        <v>1305</v>
      </c>
      <c r="B1366">
        <v>1303.9960000000001</v>
      </c>
      <c r="C1366">
        <v>616068.446</v>
      </c>
      <c r="D1366">
        <v>3096703.3280000002</v>
      </c>
      <c r="E1366">
        <v>631.91150000000005</v>
      </c>
      <c r="F1366">
        <v>5.2</v>
      </c>
      <c r="G1366">
        <v>0</v>
      </c>
      <c r="H1366" t="s">
        <v>154</v>
      </c>
      <c r="I1366">
        <v>5.7000000000000002E-2</v>
      </c>
      <c r="J1366">
        <f t="shared" si="678"/>
        <v>1</v>
      </c>
      <c r="K1366">
        <f t="shared" ca="1" si="679"/>
        <v>50.95</v>
      </c>
      <c r="L1366">
        <f t="shared" ca="1" si="680"/>
        <v>2.1389677043987478</v>
      </c>
      <c r="M1366">
        <f t="shared" ca="1" si="653"/>
        <v>11.122632062873489</v>
      </c>
      <c r="N1366">
        <f t="shared" ca="1" si="654"/>
        <v>1.1735290000551568</v>
      </c>
      <c r="O1366">
        <f t="shared" ca="1" si="655"/>
        <v>4.5807502857230418</v>
      </c>
      <c r="P1366">
        <f t="shared" ca="1" si="656"/>
        <v>634.05046770439878</v>
      </c>
      <c r="Q1366">
        <f t="shared" ca="1" si="657"/>
        <v>635.11995155659815</v>
      </c>
      <c r="R1366">
        <f t="shared" ca="1" si="658"/>
        <v>3.8141460404132466E-3</v>
      </c>
      <c r="S1366">
        <f t="shared" ca="1" si="659"/>
        <v>1.0000000000000004</v>
      </c>
      <c r="T1366">
        <f t="shared" ca="1" si="660"/>
        <v>35.686426155594638</v>
      </c>
      <c r="U1366">
        <f t="shared" ca="1" si="681"/>
        <v>-3.4157470064428708E-3</v>
      </c>
      <c r="V1366">
        <f t="shared" ca="1" si="682"/>
        <v>1</v>
      </c>
      <c r="W1366">
        <f t="shared" ca="1" si="661"/>
        <v>1.681201260119114</v>
      </c>
      <c r="X1366">
        <f t="shared" ca="1" si="662"/>
        <v>8.7422465526193935</v>
      </c>
      <c r="Y1366">
        <f t="shared" ca="1" si="663"/>
        <v>1.0210039217329578</v>
      </c>
      <c r="Z1366">
        <f t="shared" ca="1" si="664"/>
        <v>5.8280214008302158</v>
      </c>
      <c r="AA1366">
        <f t="shared" ca="1" si="665"/>
        <v>633.59270126011916</v>
      </c>
      <c r="AB1366">
        <f t="shared" ca="1" si="666"/>
        <v>635.32388543180798</v>
      </c>
      <c r="AC1366">
        <f t="shared" ca="1" si="667"/>
        <v>7.4334127259055556E-3</v>
      </c>
      <c r="AD1366">
        <f t="shared" ca="1" si="668"/>
        <v>1.4350822099962621</v>
      </c>
      <c r="AE1366">
        <f t="shared" ca="1" si="669"/>
        <v>37.617615674059849</v>
      </c>
      <c r="AF1366">
        <f t="shared" ca="1" si="670"/>
        <v>6.9334127258571243E-3</v>
      </c>
      <c r="AG1366">
        <f t="shared" ca="1" si="671"/>
        <v>0</v>
      </c>
      <c r="AH1366">
        <f ca="1">IFERROR(IF(V32="Supercritical",MAX($D$16,IFERROR(L1366,MAX($D$16,POWER((ABS(K1366)^2)/($I$5*MAX(F1366,0.1)^2),1/3)))),IF(V32="Subcritical",MAX($D$16,IFERROR(W1366,MAX($D$16,POWER((ABS(K1366)^2)/($I$5*MAX(F1366,0.1)^2),1/3)))),IF(AND(IFERROR(V1366,0)=1,IFERROR(AG1366,0)=1),IF(IFERROR(T1366,-1E+99)&gt;=IFERROR(AE1366,-1E+99),MAX($D$16,IFERROR(L1366,MAX($D$16,POWER((ABS(K1366)^2)/($I$5*MAX(F1366,0.1)^2),1/3)))),MAX($D$16,IFERROR(W1366,MAX($D$16,POWER((ABS(K1366)^2)/($I$5*MAX(F1366,0.1)^2),1/3))))),IF(IFERROR(V1366,0)=1,MAX($D$16,IFERROR(L1366,MAX($D$16,POWER((ABS(K1366)^2)/($I$5*MAX(F1366,0.1)^2),1/3)))),IF(IFERROR(AG1366,0)=1,MAX($D$16,IFERROR(W1366,MAX($D$16,POWER((ABS(K1366)^2)/($I$5*MAX(F1366,0.1)^2),1/3)))),MAX($D$16,POWER((ABS(K1366)^2)/($I$5*MAX(F1366,0.1)^2),1/3))))))),MAX($D$16,POWER((ABS(K1366)^2)/($I$5*MAX(F1366,0.1)^2),1/3)))</f>
        <v>2.1389677043987478</v>
      </c>
      <c r="AI1366">
        <f t="shared" ca="1" si="672"/>
        <v>634.05046770439878</v>
      </c>
      <c r="AJ1366">
        <f t="shared" ca="1" si="673"/>
        <v>635.11995155659815</v>
      </c>
      <c r="AM1366">
        <v>0</v>
      </c>
      <c r="AN1366">
        <v>0</v>
      </c>
      <c r="AO1366">
        <f t="shared" si="674"/>
        <v>0</v>
      </c>
      <c r="AP1366">
        <f t="shared" si="683"/>
        <v>0</v>
      </c>
      <c r="AQ1366">
        <f t="shared" ca="1" si="675"/>
        <v>1.0000000000000004</v>
      </c>
      <c r="AR1366" t="str">
        <f t="shared" ca="1" si="676"/>
        <v>Supercritical</v>
      </c>
      <c r="AS1366">
        <f t="shared" ca="1" si="677"/>
        <v>3.8141460404132466E-3</v>
      </c>
    </row>
    <row r="1367" spans="1:45" x14ac:dyDescent="0.35">
      <c r="A1367">
        <v>1306</v>
      </c>
      <c r="B1367">
        <v>1304.9960000000001</v>
      </c>
      <c r="C1367">
        <v>616068.40399999998</v>
      </c>
      <c r="D1367">
        <v>3096702.3289999999</v>
      </c>
      <c r="E1367">
        <v>631.91099999999994</v>
      </c>
      <c r="F1367">
        <v>5.2</v>
      </c>
      <c r="G1367">
        <v>0</v>
      </c>
      <c r="H1367" t="s">
        <v>154</v>
      </c>
      <c r="I1367">
        <v>0</v>
      </c>
      <c r="J1367">
        <f t="shared" si="678"/>
        <v>1</v>
      </c>
      <c r="K1367">
        <f t="shared" ca="1" si="679"/>
        <v>50.95</v>
      </c>
      <c r="L1367">
        <f t="shared" ca="1" si="680"/>
        <v>2.1389677043987478</v>
      </c>
      <c r="M1367">
        <f t="shared" ca="1" si="653"/>
        <v>11.122632062873489</v>
      </c>
      <c r="N1367">
        <f t="shared" ca="1" si="654"/>
        <v>1.1735290000551568</v>
      </c>
      <c r="O1367">
        <f t="shared" ca="1" si="655"/>
        <v>4.5807502857230418</v>
      </c>
      <c r="P1367">
        <f t="shared" ca="1" si="656"/>
        <v>634.04996770439868</v>
      </c>
      <c r="Q1367">
        <f t="shared" ca="1" si="657"/>
        <v>635.11945155659805</v>
      </c>
      <c r="R1367">
        <f t="shared" ca="1" si="658"/>
        <v>3.8141460404132466E-3</v>
      </c>
      <c r="S1367">
        <f t="shared" ca="1" si="659"/>
        <v>1.0000000000000004</v>
      </c>
      <c r="T1367">
        <f t="shared" ca="1" si="660"/>
        <v>35.686426155594638</v>
      </c>
      <c r="U1367">
        <f t="shared" ca="1" si="681"/>
        <v>-3.3141460403385281E-3</v>
      </c>
      <c r="V1367">
        <f t="shared" ca="1" si="682"/>
        <v>1</v>
      </c>
      <c r="W1367">
        <f t="shared" ca="1" si="661"/>
        <v>1.6812012601160786</v>
      </c>
      <c r="X1367">
        <f t="shared" ca="1" si="662"/>
        <v>8.7422465526036088</v>
      </c>
      <c r="Y1367">
        <f t="shared" ca="1" si="663"/>
        <v>1.0210039217318383</v>
      </c>
      <c r="Z1367">
        <f t="shared" ca="1" si="664"/>
        <v>5.8280214008407389</v>
      </c>
      <c r="AA1367">
        <f t="shared" ca="1" si="665"/>
        <v>633.59220126011598</v>
      </c>
      <c r="AB1367">
        <f t="shared" ca="1" si="666"/>
        <v>635.32338543181106</v>
      </c>
      <c r="AC1367">
        <f t="shared" ca="1" si="667"/>
        <v>7.4334127259432668E-3</v>
      </c>
      <c r="AD1367">
        <f t="shared" ca="1" si="668"/>
        <v>1.435082210000149</v>
      </c>
      <c r="AE1367">
        <f t="shared" ca="1" si="669"/>
        <v>37.617615674087965</v>
      </c>
      <c r="AF1367">
        <f t="shared" ca="1" si="670"/>
        <v>6.9334127259708112E-3</v>
      </c>
      <c r="AG1367">
        <f t="shared" ca="1" si="671"/>
        <v>0</v>
      </c>
      <c r="AH1367">
        <f ca="1">IFERROR(IF(V32="Supercritical",MAX($D$16,IFERROR(L1367,MAX($D$16,POWER((ABS(K1367)^2)/($I$5*MAX(F1367,0.1)^2),1/3)))),IF(V32="Subcritical",MAX($D$16,IFERROR(W1367,MAX($D$16,POWER((ABS(K1367)^2)/($I$5*MAX(F1367,0.1)^2),1/3)))),IF(AND(IFERROR(V1367,0)=1,IFERROR(AG1367,0)=1),IF(IFERROR(T1367,-1E+99)&gt;=IFERROR(AE1367,-1E+99),MAX($D$16,IFERROR(L1367,MAX($D$16,POWER((ABS(K1367)^2)/($I$5*MAX(F1367,0.1)^2),1/3)))),MAX($D$16,IFERROR(W1367,MAX($D$16,POWER((ABS(K1367)^2)/($I$5*MAX(F1367,0.1)^2),1/3))))),IF(IFERROR(V1367,0)=1,MAX($D$16,IFERROR(L1367,MAX($D$16,POWER((ABS(K1367)^2)/($I$5*MAX(F1367,0.1)^2),1/3)))),IF(IFERROR(AG1367,0)=1,MAX($D$16,IFERROR(W1367,MAX($D$16,POWER((ABS(K1367)^2)/($I$5*MAX(F1367,0.1)^2),1/3)))),MAX($D$16,POWER((ABS(K1367)^2)/($I$5*MAX(F1367,0.1)^2),1/3))))))),MAX($D$16,POWER((ABS(K1367)^2)/($I$5*MAX(F1367,0.1)^2),1/3)))</f>
        <v>2.1389677043987478</v>
      </c>
      <c r="AI1367">
        <f t="shared" ca="1" si="672"/>
        <v>634.04996770439868</v>
      </c>
      <c r="AJ1367">
        <f t="shared" ca="1" si="673"/>
        <v>635.11945155659805</v>
      </c>
      <c r="AM1367">
        <v>0</v>
      </c>
      <c r="AN1367">
        <v>0</v>
      </c>
      <c r="AO1367">
        <f t="shared" si="674"/>
        <v>0</v>
      </c>
      <c r="AP1367">
        <f t="shared" si="683"/>
        <v>0</v>
      </c>
      <c r="AQ1367">
        <f t="shared" ca="1" si="675"/>
        <v>1.0000000000000004</v>
      </c>
      <c r="AR1367" t="str">
        <f t="shared" ca="1" si="676"/>
        <v>Supercritical</v>
      </c>
      <c r="AS1367">
        <f t="shared" ca="1" si="677"/>
        <v>3.8141460404132466E-3</v>
      </c>
    </row>
    <row r="1368" spans="1:45" x14ac:dyDescent="0.35">
      <c r="A1368">
        <v>1307</v>
      </c>
      <c r="B1368">
        <v>1305.9960000000001</v>
      </c>
      <c r="C1368">
        <v>616068.36199999996</v>
      </c>
      <c r="D1368">
        <v>3096701.33</v>
      </c>
      <c r="E1368">
        <v>631.91049999999996</v>
      </c>
      <c r="F1368">
        <v>5.2</v>
      </c>
      <c r="G1368">
        <v>0</v>
      </c>
      <c r="H1368" t="s">
        <v>154</v>
      </c>
      <c r="I1368">
        <v>0</v>
      </c>
      <c r="J1368">
        <f t="shared" si="678"/>
        <v>1</v>
      </c>
      <c r="K1368">
        <f t="shared" ca="1" si="679"/>
        <v>50.95</v>
      </c>
      <c r="L1368">
        <f t="shared" ca="1" si="680"/>
        <v>2.1389677043987478</v>
      </c>
      <c r="M1368">
        <f t="shared" ca="1" si="653"/>
        <v>11.122632062873489</v>
      </c>
      <c r="N1368">
        <f t="shared" ca="1" si="654"/>
        <v>1.1735290000551568</v>
      </c>
      <c r="O1368">
        <f t="shared" ca="1" si="655"/>
        <v>4.5807502857230418</v>
      </c>
      <c r="P1368">
        <f t="shared" ca="1" si="656"/>
        <v>634.04946770439869</v>
      </c>
      <c r="Q1368">
        <f t="shared" ca="1" si="657"/>
        <v>635.11895155659806</v>
      </c>
      <c r="R1368">
        <f t="shared" ca="1" si="658"/>
        <v>3.8141460404132466E-3</v>
      </c>
      <c r="S1368">
        <f t="shared" ca="1" si="659"/>
        <v>1.0000000000000004</v>
      </c>
      <c r="T1368">
        <f t="shared" ca="1" si="660"/>
        <v>35.686426155594638</v>
      </c>
      <c r="U1368">
        <f t="shared" ca="1" si="681"/>
        <v>-3.3141460404522149E-3</v>
      </c>
      <c r="V1368">
        <f t="shared" ca="1" si="682"/>
        <v>1</v>
      </c>
      <c r="W1368">
        <f t="shared" ca="1" si="661"/>
        <v>1.6812012601132307</v>
      </c>
      <c r="X1368">
        <f t="shared" ca="1" si="662"/>
        <v>8.7422465525887993</v>
      </c>
      <c r="Y1368">
        <f t="shared" ca="1" si="663"/>
        <v>1.021003921730788</v>
      </c>
      <c r="Z1368">
        <f t="shared" ca="1" si="664"/>
        <v>5.828021400850611</v>
      </c>
      <c r="AA1368">
        <f t="shared" ca="1" si="665"/>
        <v>633.59170126011315</v>
      </c>
      <c r="AB1368">
        <f t="shared" ca="1" si="666"/>
        <v>635.32288543181414</v>
      </c>
      <c r="AC1368">
        <f t="shared" ca="1" si="667"/>
        <v>7.4334127259786473E-3</v>
      </c>
      <c r="AD1368">
        <f t="shared" ca="1" si="668"/>
        <v>1.4350822100037954</v>
      </c>
      <c r="AE1368">
        <f t="shared" ca="1" si="669"/>
        <v>37.617615674114347</v>
      </c>
      <c r="AF1368">
        <f t="shared" ca="1" si="670"/>
        <v>7.0978752222572439E-3</v>
      </c>
      <c r="AG1368">
        <f t="shared" ca="1" si="671"/>
        <v>0</v>
      </c>
      <c r="AH1368">
        <f ca="1">IFERROR(IF(V32="Supercritical",MAX($D$16,IFERROR(L1368,MAX($D$16,POWER((ABS(K1368)^2)/($I$5*MAX(F1368,0.1)^2),1/3)))),IF(V32="Subcritical",MAX($D$16,IFERROR(W1368,MAX($D$16,POWER((ABS(K1368)^2)/($I$5*MAX(F1368,0.1)^2),1/3)))),IF(AND(IFERROR(V1368,0)=1,IFERROR(AG1368,0)=1),IF(IFERROR(T1368,-1E+99)&gt;=IFERROR(AE1368,-1E+99),MAX($D$16,IFERROR(L1368,MAX($D$16,POWER((ABS(K1368)^2)/($I$5*MAX(F1368,0.1)^2),1/3)))),MAX($D$16,IFERROR(W1368,MAX($D$16,POWER((ABS(K1368)^2)/($I$5*MAX(F1368,0.1)^2),1/3))))),IF(IFERROR(V1368,0)=1,MAX($D$16,IFERROR(L1368,MAX($D$16,POWER((ABS(K1368)^2)/($I$5*MAX(F1368,0.1)^2),1/3)))),IF(IFERROR(AG1368,0)=1,MAX($D$16,IFERROR(W1368,MAX($D$16,POWER((ABS(K1368)^2)/($I$5*MAX(F1368,0.1)^2),1/3)))),MAX($D$16,POWER((ABS(K1368)^2)/($I$5*MAX(F1368,0.1)^2),1/3))))))),MAX($D$16,POWER((ABS(K1368)^2)/($I$5*MAX(F1368,0.1)^2),1/3)))</f>
        <v>2.1389677043987478</v>
      </c>
      <c r="AI1368">
        <f t="shared" ca="1" si="672"/>
        <v>634.04946770439869</v>
      </c>
      <c r="AJ1368">
        <f t="shared" ca="1" si="673"/>
        <v>635.11895155659806</v>
      </c>
      <c r="AM1368">
        <v>0</v>
      </c>
      <c r="AN1368">
        <v>0</v>
      </c>
      <c r="AO1368">
        <f t="shared" si="674"/>
        <v>0</v>
      </c>
      <c r="AP1368">
        <f t="shared" si="683"/>
        <v>0</v>
      </c>
      <c r="AQ1368">
        <f t="shared" ca="1" si="675"/>
        <v>1.0000000000000004</v>
      </c>
      <c r="AR1368" t="str">
        <f t="shared" ca="1" si="676"/>
        <v>Supercritical</v>
      </c>
      <c r="AS1368">
        <f t="shared" ca="1" si="677"/>
        <v>3.8141460404132466E-3</v>
      </c>
    </row>
    <row r="1369" spans="1:45" x14ac:dyDescent="0.35">
      <c r="A1369">
        <v>1308</v>
      </c>
      <c r="B1369">
        <v>1306.9960000000001</v>
      </c>
      <c r="C1369">
        <v>616068.31999999995</v>
      </c>
      <c r="D1369">
        <v>3096700.3309999998</v>
      </c>
      <c r="E1369">
        <v>631.91</v>
      </c>
      <c r="F1369">
        <v>5.2</v>
      </c>
      <c r="G1369">
        <v>0</v>
      </c>
      <c r="H1369" t="s">
        <v>154</v>
      </c>
      <c r="I1369">
        <v>5.7000000000000002E-2</v>
      </c>
      <c r="J1369">
        <f t="shared" si="678"/>
        <v>1</v>
      </c>
      <c r="K1369">
        <f t="shared" ca="1" si="679"/>
        <v>50.95</v>
      </c>
      <c r="L1369">
        <f t="shared" ca="1" si="680"/>
        <v>2.1389677043987478</v>
      </c>
      <c r="M1369">
        <f t="shared" ca="1" si="653"/>
        <v>11.122632062873489</v>
      </c>
      <c r="N1369">
        <f t="shared" ca="1" si="654"/>
        <v>1.1735290000551568</v>
      </c>
      <c r="O1369">
        <f t="shared" ca="1" si="655"/>
        <v>4.5807502857230418</v>
      </c>
      <c r="P1369">
        <f t="shared" ca="1" si="656"/>
        <v>634.04896770439871</v>
      </c>
      <c r="Q1369">
        <f t="shared" ca="1" si="657"/>
        <v>635.11845155659807</v>
      </c>
      <c r="R1369">
        <f t="shared" ca="1" si="658"/>
        <v>3.8141460404132466E-3</v>
      </c>
      <c r="S1369">
        <f t="shared" ca="1" si="659"/>
        <v>1.0000000000000004</v>
      </c>
      <c r="T1369">
        <f t="shared" ca="1" si="660"/>
        <v>35.686426155594638</v>
      </c>
      <c r="U1369">
        <f t="shared" ca="1" si="681"/>
        <v>-3.4157470064428708E-3</v>
      </c>
      <c r="V1369">
        <f t="shared" ca="1" si="682"/>
        <v>1</v>
      </c>
      <c r="W1369">
        <f t="shared" ca="1" si="661"/>
        <v>1.6812012601105875</v>
      </c>
      <c r="X1369">
        <f t="shared" ca="1" si="662"/>
        <v>8.7422465525750557</v>
      </c>
      <c r="Y1369">
        <f t="shared" ca="1" si="663"/>
        <v>1.0210039217298132</v>
      </c>
      <c r="Z1369">
        <f t="shared" ca="1" si="664"/>
        <v>5.8280214008597735</v>
      </c>
      <c r="AA1369">
        <f t="shared" ca="1" si="665"/>
        <v>633.59120126011055</v>
      </c>
      <c r="AB1369">
        <f t="shared" ca="1" si="666"/>
        <v>635.322385431817</v>
      </c>
      <c r="AC1369">
        <f t="shared" ca="1" si="667"/>
        <v>7.4334127260114822E-3</v>
      </c>
      <c r="AD1369">
        <f t="shared" ca="1" si="668"/>
        <v>1.4350822100071796</v>
      </c>
      <c r="AE1369">
        <f t="shared" ca="1" si="669"/>
        <v>37.617615674138818</v>
      </c>
      <c r="AF1369">
        <f t="shared" ca="1" si="670"/>
        <v>7.0978752222572439E-3</v>
      </c>
      <c r="AG1369">
        <f t="shared" ca="1" si="671"/>
        <v>0</v>
      </c>
      <c r="AH1369">
        <f ca="1">IFERROR(IF(V32="Supercritical",MAX($D$16,IFERROR(L1369,MAX($D$16,POWER((ABS(K1369)^2)/($I$5*MAX(F1369,0.1)^2),1/3)))),IF(V32="Subcritical",MAX($D$16,IFERROR(W1369,MAX($D$16,POWER((ABS(K1369)^2)/($I$5*MAX(F1369,0.1)^2),1/3)))),IF(AND(IFERROR(V1369,0)=1,IFERROR(AG1369,0)=1),IF(IFERROR(T1369,-1E+99)&gt;=IFERROR(AE1369,-1E+99),MAX($D$16,IFERROR(L1369,MAX($D$16,POWER((ABS(K1369)^2)/($I$5*MAX(F1369,0.1)^2),1/3)))),MAX($D$16,IFERROR(W1369,MAX($D$16,POWER((ABS(K1369)^2)/($I$5*MAX(F1369,0.1)^2),1/3))))),IF(IFERROR(V1369,0)=1,MAX($D$16,IFERROR(L1369,MAX($D$16,POWER((ABS(K1369)^2)/($I$5*MAX(F1369,0.1)^2),1/3)))),IF(IFERROR(AG1369,0)=1,MAX($D$16,IFERROR(W1369,MAX($D$16,POWER((ABS(K1369)^2)/($I$5*MAX(F1369,0.1)^2),1/3)))),MAX($D$16,POWER((ABS(K1369)^2)/($I$5*MAX(F1369,0.1)^2),1/3))))))),MAX($D$16,POWER((ABS(K1369)^2)/($I$5*MAX(F1369,0.1)^2),1/3)))</f>
        <v>2.1389677043987478</v>
      </c>
      <c r="AI1369">
        <f t="shared" ca="1" si="672"/>
        <v>634.04896770439871</v>
      </c>
      <c r="AJ1369">
        <f t="shared" ca="1" si="673"/>
        <v>635.11845155659807</v>
      </c>
      <c r="AM1369">
        <v>0</v>
      </c>
      <c r="AN1369">
        <v>0</v>
      </c>
      <c r="AO1369">
        <f t="shared" si="674"/>
        <v>0</v>
      </c>
      <c r="AP1369">
        <f t="shared" si="683"/>
        <v>0</v>
      </c>
      <c r="AQ1369">
        <f t="shared" ca="1" si="675"/>
        <v>1.0000000000000004</v>
      </c>
      <c r="AR1369" t="str">
        <f t="shared" ca="1" si="676"/>
        <v>Supercritical</v>
      </c>
      <c r="AS1369">
        <f t="shared" ca="1" si="677"/>
        <v>3.8141460404132466E-3</v>
      </c>
    </row>
    <row r="1370" spans="1:45" x14ac:dyDescent="0.35">
      <c r="A1370">
        <v>1309</v>
      </c>
      <c r="B1370">
        <v>1307.9960000000001</v>
      </c>
      <c r="C1370">
        <v>616068.277</v>
      </c>
      <c r="D1370">
        <v>3096699.3319999999</v>
      </c>
      <c r="E1370">
        <v>631.90949999999998</v>
      </c>
      <c r="F1370">
        <v>5.2</v>
      </c>
      <c r="G1370">
        <v>0</v>
      </c>
      <c r="H1370" t="s">
        <v>154</v>
      </c>
      <c r="I1370">
        <v>5.7000000000000002E-2</v>
      </c>
      <c r="J1370">
        <f t="shared" si="678"/>
        <v>1</v>
      </c>
      <c r="K1370">
        <f t="shared" ca="1" si="679"/>
        <v>50.95</v>
      </c>
      <c r="L1370">
        <f t="shared" ca="1" si="680"/>
        <v>2.1389677043987478</v>
      </c>
      <c r="M1370">
        <f t="shared" ca="1" si="653"/>
        <v>11.122632062873489</v>
      </c>
      <c r="N1370">
        <f t="shared" ca="1" si="654"/>
        <v>1.1735290000551568</v>
      </c>
      <c r="O1370">
        <f t="shared" ca="1" si="655"/>
        <v>4.5807502857230418</v>
      </c>
      <c r="P1370">
        <f t="shared" ca="1" si="656"/>
        <v>634.04846770439872</v>
      </c>
      <c r="Q1370">
        <f t="shared" ca="1" si="657"/>
        <v>635.11795155659809</v>
      </c>
      <c r="R1370">
        <f t="shared" ca="1" si="658"/>
        <v>3.8141460404132466E-3</v>
      </c>
      <c r="S1370">
        <f t="shared" ca="1" si="659"/>
        <v>1.0000000000000004</v>
      </c>
      <c r="T1370">
        <f t="shared" ca="1" si="660"/>
        <v>35.686426155594638</v>
      </c>
      <c r="U1370">
        <f t="shared" ca="1" si="681"/>
        <v>-3.4157470064428708E-3</v>
      </c>
      <c r="V1370">
        <f t="shared" ca="1" si="682"/>
        <v>1</v>
      </c>
      <c r="W1370">
        <f t="shared" ca="1" si="661"/>
        <v>1.6812012601081148</v>
      </c>
      <c r="X1370">
        <f t="shared" ca="1" si="662"/>
        <v>8.7422465525621966</v>
      </c>
      <c r="Y1370">
        <f t="shared" ca="1" si="663"/>
        <v>1.0210039217289011</v>
      </c>
      <c r="Z1370">
        <f t="shared" ca="1" si="664"/>
        <v>5.8280214008683462</v>
      </c>
      <c r="AA1370">
        <f t="shared" ca="1" si="665"/>
        <v>633.59070126010806</v>
      </c>
      <c r="AB1370">
        <f t="shared" ca="1" si="666"/>
        <v>635.32188543181951</v>
      </c>
      <c r="AC1370">
        <f t="shared" ca="1" si="667"/>
        <v>7.4334127260422033E-3</v>
      </c>
      <c r="AD1370">
        <f t="shared" ca="1" si="668"/>
        <v>1.4350822100103457</v>
      </c>
      <c r="AE1370">
        <f t="shared" ca="1" si="669"/>
        <v>37.617615674161726</v>
      </c>
      <c r="AF1370">
        <f t="shared" ca="1" si="670"/>
        <v>6.9259793133369385E-3</v>
      </c>
      <c r="AG1370">
        <f t="shared" ca="1" si="671"/>
        <v>0</v>
      </c>
      <c r="AH1370">
        <f ca="1">IFERROR(IF(V32="Supercritical",MAX($D$16,IFERROR(L1370,MAX($D$16,POWER((ABS(K1370)^2)/($I$5*MAX(F1370,0.1)^2),1/3)))),IF(V32="Subcritical",MAX($D$16,IFERROR(W1370,MAX($D$16,POWER((ABS(K1370)^2)/($I$5*MAX(F1370,0.1)^2),1/3)))),IF(AND(IFERROR(V1370,0)=1,IFERROR(AG1370,0)=1),IF(IFERROR(T1370,-1E+99)&gt;=IFERROR(AE1370,-1E+99),MAX($D$16,IFERROR(L1370,MAX($D$16,POWER((ABS(K1370)^2)/($I$5*MAX(F1370,0.1)^2),1/3)))),MAX($D$16,IFERROR(W1370,MAX($D$16,POWER((ABS(K1370)^2)/($I$5*MAX(F1370,0.1)^2),1/3))))),IF(IFERROR(V1370,0)=1,MAX($D$16,IFERROR(L1370,MAX($D$16,POWER((ABS(K1370)^2)/($I$5*MAX(F1370,0.1)^2),1/3)))),IF(IFERROR(AG1370,0)=1,MAX($D$16,IFERROR(W1370,MAX($D$16,POWER((ABS(K1370)^2)/($I$5*MAX(F1370,0.1)^2),1/3)))),MAX($D$16,POWER((ABS(K1370)^2)/($I$5*MAX(F1370,0.1)^2),1/3))))))),MAX($D$16,POWER((ABS(K1370)^2)/($I$5*MAX(F1370,0.1)^2),1/3)))</f>
        <v>2.1389677043987478</v>
      </c>
      <c r="AI1370">
        <f t="shared" ca="1" si="672"/>
        <v>634.04846770439872</v>
      </c>
      <c r="AJ1370">
        <f t="shared" ca="1" si="673"/>
        <v>635.11795155659809</v>
      </c>
      <c r="AM1370">
        <v>0</v>
      </c>
      <c r="AN1370">
        <v>0</v>
      </c>
      <c r="AO1370">
        <f t="shared" si="674"/>
        <v>0</v>
      </c>
      <c r="AP1370">
        <f t="shared" si="683"/>
        <v>0</v>
      </c>
      <c r="AQ1370">
        <f t="shared" ca="1" si="675"/>
        <v>1.0000000000000004</v>
      </c>
      <c r="AR1370" t="str">
        <f t="shared" ca="1" si="676"/>
        <v>Supercritical</v>
      </c>
      <c r="AS1370">
        <f t="shared" ca="1" si="677"/>
        <v>3.8141460404132466E-3</v>
      </c>
    </row>
    <row r="1371" spans="1:45" x14ac:dyDescent="0.35">
      <c r="A1371">
        <v>1310</v>
      </c>
      <c r="B1371">
        <v>1308.9949999999999</v>
      </c>
      <c r="C1371">
        <v>616068.23499999999</v>
      </c>
      <c r="D1371">
        <v>3096698.3330000001</v>
      </c>
      <c r="E1371">
        <v>631.90899999999999</v>
      </c>
      <c r="F1371">
        <v>5.2</v>
      </c>
      <c r="G1371">
        <v>0</v>
      </c>
      <c r="H1371" t="s">
        <v>154</v>
      </c>
      <c r="I1371">
        <v>0</v>
      </c>
      <c r="J1371">
        <f t="shared" si="678"/>
        <v>0.99899999999979627</v>
      </c>
      <c r="K1371">
        <f t="shared" ca="1" si="679"/>
        <v>50.95</v>
      </c>
      <c r="L1371">
        <f t="shared" ca="1" si="680"/>
        <v>2.1389677043987478</v>
      </c>
      <c r="M1371">
        <f t="shared" ca="1" si="653"/>
        <v>11.122632062873489</v>
      </c>
      <c r="N1371">
        <f t="shared" ca="1" si="654"/>
        <v>1.1735290000551568</v>
      </c>
      <c r="O1371">
        <f t="shared" ca="1" si="655"/>
        <v>4.5807502857230418</v>
      </c>
      <c r="P1371">
        <f t="shared" ca="1" si="656"/>
        <v>634.04796770439873</v>
      </c>
      <c r="Q1371">
        <f t="shared" ca="1" si="657"/>
        <v>635.1174515565981</v>
      </c>
      <c r="R1371">
        <f t="shared" ca="1" si="658"/>
        <v>3.8141460404132466E-3</v>
      </c>
      <c r="S1371">
        <f t="shared" ca="1" si="659"/>
        <v>1.0000000000000004</v>
      </c>
      <c r="T1371">
        <f t="shared" ca="1" si="660"/>
        <v>35.686426155594638</v>
      </c>
      <c r="U1371">
        <f t="shared" ca="1" si="681"/>
        <v>-3.3103318943403792E-3</v>
      </c>
      <c r="V1371">
        <f t="shared" ca="1" si="682"/>
        <v>1</v>
      </c>
      <c r="W1371">
        <f t="shared" ca="1" si="661"/>
        <v>1.6812012601057955</v>
      </c>
      <c r="X1371">
        <f t="shared" ca="1" si="662"/>
        <v>8.7422465525501369</v>
      </c>
      <c r="Y1371">
        <f t="shared" ca="1" si="663"/>
        <v>1.0210039217280458</v>
      </c>
      <c r="Z1371">
        <f t="shared" ca="1" si="664"/>
        <v>5.828021400876386</v>
      </c>
      <c r="AA1371">
        <f t="shared" ca="1" si="665"/>
        <v>633.5902012601058</v>
      </c>
      <c r="AB1371">
        <f t="shared" ca="1" si="666"/>
        <v>635.32138543182202</v>
      </c>
      <c r="AC1371">
        <f t="shared" ca="1" si="667"/>
        <v>7.4334127260710136E-3</v>
      </c>
      <c r="AD1371">
        <f t="shared" ca="1" si="668"/>
        <v>1.4350822100133154</v>
      </c>
      <c r="AE1371">
        <f t="shared" ca="1" si="669"/>
        <v>37.617615674183206</v>
      </c>
      <c r="AF1371">
        <f t="shared" ca="1" si="670"/>
        <v>6.933412726084498E-3</v>
      </c>
      <c r="AG1371">
        <f t="shared" ca="1" si="671"/>
        <v>0</v>
      </c>
      <c r="AH1371">
        <f ca="1">IFERROR(IF(V32="Supercritical",MAX($D$16,IFERROR(L1371,MAX($D$16,POWER((ABS(K1371)^2)/($I$5*MAX(F1371,0.1)^2),1/3)))),IF(V32="Subcritical",MAX($D$16,IFERROR(W1371,MAX($D$16,POWER((ABS(K1371)^2)/($I$5*MAX(F1371,0.1)^2),1/3)))),IF(AND(IFERROR(V1371,0)=1,IFERROR(AG1371,0)=1),IF(IFERROR(T1371,-1E+99)&gt;=IFERROR(AE1371,-1E+99),MAX($D$16,IFERROR(L1371,MAX($D$16,POWER((ABS(K1371)^2)/($I$5*MAX(F1371,0.1)^2),1/3)))),MAX($D$16,IFERROR(W1371,MAX($D$16,POWER((ABS(K1371)^2)/($I$5*MAX(F1371,0.1)^2),1/3))))),IF(IFERROR(V1371,0)=1,MAX($D$16,IFERROR(L1371,MAX($D$16,POWER((ABS(K1371)^2)/($I$5*MAX(F1371,0.1)^2),1/3)))),IF(IFERROR(AG1371,0)=1,MAX($D$16,IFERROR(W1371,MAX($D$16,POWER((ABS(K1371)^2)/($I$5*MAX(F1371,0.1)^2),1/3)))),MAX($D$16,POWER((ABS(K1371)^2)/($I$5*MAX(F1371,0.1)^2),1/3))))))),MAX($D$16,POWER((ABS(K1371)^2)/($I$5*MAX(F1371,0.1)^2),1/3)))</f>
        <v>2.1389677043987478</v>
      </c>
      <c r="AI1371">
        <f t="shared" ca="1" si="672"/>
        <v>634.04796770439873</v>
      </c>
      <c r="AJ1371">
        <f t="shared" ca="1" si="673"/>
        <v>635.1174515565981</v>
      </c>
      <c r="AM1371">
        <v>0</v>
      </c>
      <c r="AN1371">
        <v>0</v>
      </c>
      <c r="AO1371">
        <f t="shared" si="674"/>
        <v>0</v>
      </c>
      <c r="AP1371">
        <f t="shared" si="683"/>
        <v>0</v>
      </c>
      <c r="AQ1371">
        <f t="shared" ca="1" si="675"/>
        <v>1.0000000000000004</v>
      </c>
      <c r="AR1371" t="str">
        <f t="shared" ca="1" si="676"/>
        <v>Supercritical</v>
      </c>
      <c r="AS1371">
        <f t="shared" ca="1" si="677"/>
        <v>3.8141460404132466E-3</v>
      </c>
    </row>
    <row r="1372" spans="1:45" x14ac:dyDescent="0.35">
      <c r="A1372">
        <v>1311</v>
      </c>
      <c r="B1372">
        <v>1309.9949999999999</v>
      </c>
      <c r="C1372">
        <v>616068.19299999997</v>
      </c>
      <c r="D1372">
        <v>3096697.3339999998</v>
      </c>
      <c r="E1372">
        <v>631.9085</v>
      </c>
      <c r="F1372">
        <v>5.2</v>
      </c>
      <c r="G1372">
        <v>0</v>
      </c>
      <c r="H1372" t="s">
        <v>154</v>
      </c>
      <c r="I1372">
        <v>0</v>
      </c>
      <c r="J1372">
        <f t="shared" si="678"/>
        <v>1</v>
      </c>
      <c r="K1372">
        <f t="shared" ca="1" si="679"/>
        <v>50.95</v>
      </c>
      <c r="L1372">
        <f t="shared" ca="1" si="680"/>
        <v>2.1389677043987478</v>
      </c>
      <c r="M1372">
        <f t="shared" ca="1" si="653"/>
        <v>11.122632062873489</v>
      </c>
      <c r="N1372">
        <f t="shared" ca="1" si="654"/>
        <v>1.1735290000551568</v>
      </c>
      <c r="O1372">
        <f t="shared" ca="1" si="655"/>
        <v>4.5807502857230418</v>
      </c>
      <c r="P1372">
        <f t="shared" ca="1" si="656"/>
        <v>634.04746770439874</v>
      </c>
      <c r="Q1372">
        <f t="shared" ca="1" si="657"/>
        <v>635.11695155659811</v>
      </c>
      <c r="R1372">
        <f t="shared" ca="1" si="658"/>
        <v>3.8141460404132466E-3</v>
      </c>
      <c r="S1372">
        <f t="shared" ca="1" si="659"/>
        <v>1.0000000000000004</v>
      </c>
      <c r="T1372">
        <f t="shared" ca="1" si="660"/>
        <v>35.686426155594638</v>
      </c>
      <c r="U1372">
        <f t="shared" ca="1" si="681"/>
        <v>-3.3141460404522149E-3</v>
      </c>
      <c r="V1372">
        <f t="shared" ca="1" si="682"/>
        <v>1</v>
      </c>
      <c r="W1372">
        <f t="shared" ca="1" si="661"/>
        <v>1.6812012601036297</v>
      </c>
      <c r="X1372">
        <f t="shared" ca="1" si="662"/>
        <v>8.7422465525388748</v>
      </c>
      <c r="Y1372">
        <f t="shared" ca="1" si="663"/>
        <v>1.0210039217272471</v>
      </c>
      <c r="Z1372">
        <f t="shared" ca="1" si="664"/>
        <v>5.8280214008838938</v>
      </c>
      <c r="AA1372">
        <f t="shared" ca="1" si="665"/>
        <v>633.58970126010365</v>
      </c>
      <c r="AB1372">
        <f t="shared" ca="1" si="666"/>
        <v>635.32088543182442</v>
      </c>
      <c r="AC1372">
        <f t="shared" ca="1" si="667"/>
        <v>7.4334127260979226E-3</v>
      </c>
      <c r="AD1372">
        <f t="shared" ca="1" si="668"/>
        <v>1.4350822100160887</v>
      </c>
      <c r="AE1372">
        <f t="shared" ca="1" si="669"/>
        <v>37.617615674203265</v>
      </c>
      <c r="AF1372">
        <f t="shared" ca="1" si="670"/>
        <v>7.0921046085459238E-3</v>
      </c>
      <c r="AG1372">
        <f t="shared" ca="1" si="671"/>
        <v>0</v>
      </c>
      <c r="AH1372">
        <f ca="1">IFERROR(IF(V32="Supercritical",MAX($D$16,IFERROR(L1372,MAX($D$16,POWER((ABS(K1372)^2)/($I$5*MAX(F1372,0.1)^2),1/3)))),IF(V32="Subcritical",MAX($D$16,IFERROR(W1372,MAX($D$16,POWER((ABS(K1372)^2)/($I$5*MAX(F1372,0.1)^2),1/3)))),IF(AND(IFERROR(V1372,0)=1,IFERROR(AG1372,0)=1),IF(IFERROR(T1372,-1E+99)&gt;=IFERROR(AE1372,-1E+99),MAX($D$16,IFERROR(L1372,MAX($D$16,POWER((ABS(K1372)^2)/($I$5*MAX(F1372,0.1)^2),1/3)))),MAX($D$16,IFERROR(W1372,MAX($D$16,POWER((ABS(K1372)^2)/($I$5*MAX(F1372,0.1)^2),1/3))))),IF(IFERROR(V1372,0)=1,MAX($D$16,IFERROR(L1372,MAX($D$16,POWER((ABS(K1372)^2)/($I$5*MAX(F1372,0.1)^2),1/3)))),IF(IFERROR(AG1372,0)=1,MAX($D$16,IFERROR(W1372,MAX($D$16,POWER((ABS(K1372)^2)/($I$5*MAX(F1372,0.1)^2),1/3)))),MAX($D$16,POWER((ABS(K1372)^2)/($I$5*MAX(F1372,0.1)^2),1/3))))))),MAX($D$16,POWER((ABS(K1372)^2)/($I$5*MAX(F1372,0.1)^2),1/3)))</f>
        <v>2.1389677043987478</v>
      </c>
      <c r="AI1372">
        <f t="shared" ca="1" si="672"/>
        <v>634.04746770439874</v>
      </c>
      <c r="AJ1372">
        <f t="shared" ca="1" si="673"/>
        <v>635.11695155659811</v>
      </c>
      <c r="AM1372">
        <v>0</v>
      </c>
      <c r="AN1372">
        <v>0</v>
      </c>
      <c r="AO1372">
        <f t="shared" si="674"/>
        <v>0</v>
      </c>
      <c r="AP1372">
        <f t="shared" si="683"/>
        <v>0</v>
      </c>
      <c r="AQ1372">
        <f t="shared" ca="1" si="675"/>
        <v>1.0000000000000004</v>
      </c>
      <c r="AR1372" t="str">
        <f t="shared" ca="1" si="676"/>
        <v>Supercritical</v>
      </c>
      <c r="AS1372">
        <f t="shared" ca="1" si="677"/>
        <v>3.8141460404132466E-3</v>
      </c>
    </row>
    <row r="1373" spans="1:45" x14ac:dyDescent="0.35">
      <c r="A1373">
        <v>1312</v>
      </c>
      <c r="B1373">
        <v>1310.9949999999999</v>
      </c>
      <c r="C1373">
        <v>616068.15099999995</v>
      </c>
      <c r="D1373">
        <v>3096696.335</v>
      </c>
      <c r="E1373">
        <v>631.90800000000002</v>
      </c>
      <c r="F1373">
        <v>5.2</v>
      </c>
      <c r="G1373">
        <v>0</v>
      </c>
      <c r="H1373" t="s">
        <v>154</v>
      </c>
      <c r="I1373">
        <v>5.5E-2</v>
      </c>
      <c r="J1373">
        <f t="shared" si="678"/>
        <v>1</v>
      </c>
      <c r="K1373">
        <f t="shared" ca="1" si="679"/>
        <v>50.95</v>
      </c>
      <c r="L1373">
        <f t="shared" ca="1" si="680"/>
        <v>2.1389677043987478</v>
      </c>
      <c r="M1373">
        <f t="shared" ca="1" si="653"/>
        <v>11.122632062873489</v>
      </c>
      <c r="N1373">
        <f t="shared" ca="1" si="654"/>
        <v>1.1735290000551568</v>
      </c>
      <c r="O1373">
        <f t="shared" ca="1" si="655"/>
        <v>4.5807502857230418</v>
      </c>
      <c r="P1373">
        <f t="shared" ca="1" si="656"/>
        <v>634.04696770439875</v>
      </c>
      <c r="Q1373">
        <f t="shared" ca="1" si="657"/>
        <v>635.11645155659812</v>
      </c>
      <c r="R1373">
        <f t="shared" ca="1" si="658"/>
        <v>3.8141460404132466E-3</v>
      </c>
      <c r="S1373">
        <f t="shared" ca="1" si="659"/>
        <v>1.0000000000000004</v>
      </c>
      <c r="T1373">
        <f t="shared" ca="1" si="660"/>
        <v>35.686426155594638</v>
      </c>
      <c r="U1373">
        <f t="shared" ca="1" si="681"/>
        <v>-3.4121820602877051E-3</v>
      </c>
      <c r="V1373">
        <f t="shared" ca="1" si="682"/>
        <v>1</v>
      </c>
      <c r="W1373">
        <f t="shared" ca="1" si="661"/>
        <v>1.6812012601016344</v>
      </c>
      <c r="X1373">
        <f t="shared" ca="1" si="662"/>
        <v>8.7422465525284991</v>
      </c>
      <c r="Y1373">
        <f t="shared" ca="1" si="663"/>
        <v>1.021003921726511</v>
      </c>
      <c r="Z1373">
        <f t="shared" ca="1" si="664"/>
        <v>5.8280214008908109</v>
      </c>
      <c r="AA1373">
        <f t="shared" ca="1" si="665"/>
        <v>633.58920126010162</v>
      </c>
      <c r="AB1373">
        <f t="shared" ca="1" si="666"/>
        <v>635.32038543182648</v>
      </c>
      <c r="AC1373">
        <f t="shared" ca="1" si="667"/>
        <v>7.4334127261227092E-3</v>
      </c>
      <c r="AD1373">
        <f t="shared" ca="1" si="668"/>
        <v>1.4350822100186436</v>
      </c>
      <c r="AE1373">
        <f t="shared" ca="1" si="669"/>
        <v>37.617615674221746</v>
      </c>
      <c r="AF1373">
        <f t="shared" ca="1" si="670"/>
        <v>7.0995380212934833E-3</v>
      </c>
      <c r="AG1373">
        <f t="shared" ca="1" si="671"/>
        <v>0</v>
      </c>
      <c r="AH1373">
        <f ca="1">IFERROR(IF(V32="Supercritical",MAX($D$16,IFERROR(L1373,MAX($D$16,POWER((ABS(K1373)^2)/($I$5*MAX(F1373,0.1)^2),1/3)))),IF(V32="Subcritical",MAX($D$16,IFERROR(W1373,MAX($D$16,POWER((ABS(K1373)^2)/($I$5*MAX(F1373,0.1)^2),1/3)))),IF(AND(IFERROR(V1373,0)=1,IFERROR(AG1373,0)=1),IF(IFERROR(T1373,-1E+99)&gt;=IFERROR(AE1373,-1E+99),MAX($D$16,IFERROR(L1373,MAX($D$16,POWER((ABS(K1373)^2)/($I$5*MAX(F1373,0.1)^2),1/3)))),MAX($D$16,IFERROR(W1373,MAX($D$16,POWER((ABS(K1373)^2)/($I$5*MAX(F1373,0.1)^2),1/3))))),IF(IFERROR(V1373,0)=1,MAX($D$16,IFERROR(L1373,MAX($D$16,POWER((ABS(K1373)^2)/($I$5*MAX(F1373,0.1)^2),1/3)))),IF(IFERROR(AG1373,0)=1,MAX($D$16,IFERROR(W1373,MAX($D$16,POWER((ABS(K1373)^2)/($I$5*MAX(F1373,0.1)^2),1/3)))),MAX($D$16,POWER((ABS(K1373)^2)/($I$5*MAX(F1373,0.1)^2),1/3))))))),MAX($D$16,POWER((ABS(K1373)^2)/($I$5*MAX(F1373,0.1)^2),1/3)))</f>
        <v>2.1389677043987478</v>
      </c>
      <c r="AI1373">
        <f t="shared" ca="1" si="672"/>
        <v>634.04696770439875</v>
      </c>
      <c r="AJ1373">
        <f t="shared" ca="1" si="673"/>
        <v>635.11645155659812</v>
      </c>
      <c r="AM1373">
        <v>0</v>
      </c>
      <c r="AN1373">
        <v>0</v>
      </c>
      <c r="AO1373">
        <f t="shared" si="674"/>
        <v>0</v>
      </c>
      <c r="AP1373">
        <f t="shared" si="683"/>
        <v>0</v>
      </c>
      <c r="AQ1373">
        <f t="shared" ca="1" si="675"/>
        <v>1.0000000000000004</v>
      </c>
      <c r="AR1373" t="str">
        <f t="shared" ca="1" si="676"/>
        <v>Supercritical</v>
      </c>
      <c r="AS1373">
        <f t="shared" ca="1" si="677"/>
        <v>3.8141460404132466E-3</v>
      </c>
    </row>
    <row r="1374" spans="1:45" x14ac:dyDescent="0.35">
      <c r="A1374">
        <v>1313</v>
      </c>
      <c r="B1374">
        <v>1311.9960000000001</v>
      </c>
      <c r="C1374">
        <v>616068.10800000001</v>
      </c>
      <c r="D1374">
        <v>3096695.335</v>
      </c>
      <c r="E1374">
        <v>631.90750000000003</v>
      </c>
      <c r="F1374">
        <v>5.2</v>
      </c>
      <c r="G1374">
        <v>0</v>
      </c>
      <c r="H1374" t="s">
        <v>154</v>
      </c>
      <c r="I1374">
        <v>5.5E-2</v>
      </c>
      <c r="J1374">
        <f t="shared" si="678"/>
        <v>1.0010000000002037</v>
      </c>
      <c r="K1374">
        <f t="shared" ca="1" si="679"/>
        <v>50.95</v>
      </c>
      <c r="L1374">
        <f t="shared" ca="1" si="680"/>
        <v>2.1389677043987478</v>
      </c>
      <c r="M1374">
        <f t="shared" ca="1" si="653"/>
        <v>11.122632062873489</v>
      </c>
      <c r="N1374">
        <f t="shared" ca="1" si="654"/>
        <v>1.1735290000551568</v>
      </c>
      <c r="O1374">
        <f t="shared" ca="1" si="655"/>
        <v>4.5807502857230418</v>
      </c>
      <c r="P1374">
        <f t="shared" ca="1" si="656"/>
        <v>634.04646770439876</v>
      </c>
      <c r="Q1374">
        <f t="shared" ca="1" si="657"/>
        <v>635.11595155659813</v>
      </c>
      <c r="R1374">
        <f t="shared" ca="1" si="658"/>
        <v>3.8141460404132466E-3</v>
      </c>
      <c r="S1374">
        <f t="shared" ca="1" si="659"/>
        <v>1.0000000000000004</v>
      </c>
      <c r="T1374">
        <f t="shared" ca="1" si="660"/>
        <v>35.686426155594638</v>
      </c>
      <c r="U1374">
        <f t="shared" ca="1" si="681"/>
        <v>-3.415996206285854E-3</v>
      </c>
      <c r="V1374">
        <f t="shared" ca="1" si="682"/>
        <v>1</v>
      </c>
      <c r="W1374">
        <f t="shared" ca="1" si="661"/>
        <v>1.6812012600997415</v>
      </c>
      <c r="X1374">
        <f t="shared" ca="1" si="662"/>
        <v>8.7422465525186563</v>
      </c>
      <c r="Y1374">
        <f t="shared" ca="1" si="663"/>
        <v>1.0210039217258129</v>
      </c>
      <c r="Z1374">
        <f t="shared" ca="1" si="664"/>
        <v>5.8280214008973719</v>
      </c>
      <c r="AA1374">
        <f t="shared" ca="1" si="665"/>
        <v>633.58870126009981</v>
      </c>
      <c r="AB1374">
        <f t="shared" ca="1" si="666"/>
        <v>635.31988543182854</v>
      </c>
      <c r="AC1374">
        <f t="shared" ca="1" si="667"/>
        <v>7.4334127261462251E-3</v>
      </c>
      <c r="AD1374">
        <f t="shared" ca="1" si="668"/>
        <v>1.435082210021067</v>
      </c>
      <c r="AE1374">
        <f t="shared" ca="1" si="669"/>
        <v>37.617615674239282</v>
      </c>
      <c r="AF1374">
        <f t="shared" ca="1" si="670"/>
        <v>6.9334127261981848E-3</v>
      </c>
      <c r="AG1374">
        <f t="shared" ca="1" si="671"/>
        <v>0</v>
      </c>
      <c r="AH1374">
        <f ca="1">IFERROR(IF(V32="Supercritical",MAX($D$16,IFERROR(L1374,MAX($D$16,POWER((ABS(K1374)^2)/($I$5*MAX(F1374,0.1)^2),1/3)))),IF(V32="Subcritical",MAX($D$16,IFERROR(W1374,MAX($D$16,POWER((ABS(K1374)^2)/($I$5*MAX(F1374,0.1)^2),1/3)))),IF(AND(IFERROR(V1374,0)=1,IFERROR(AG1374,0)=1),IF(IFERROR(T1374,-1E+99)&gt;=IFERROR(AE1374,-1E+99),MAX($D$16,IFERROR(L1374,MAX($D$16,POWER((ABS(K1374)^2)/($I$5*MAX(F1374,0.1)^2),1/3)))),MAX($D$16,IFERROR(W1374,MAX($D$16,POWER((ABS(K1374)^2)/($I$5*MAX(F1374,0.1)^2),1/3))))),IF(IFERROR(V1374,0)=1,MAX($D$16,IFERROR(L1374,MAX($D$16,POWER((ABS(K1374)^2)/($I$5*MAX(F1374,0.1)^2),1/3)))),IF(IFERROR(AG1374,0)=1,MAX($D$16,IFERROR(W1374,MAX($D$16,POWER((ABS(K1374)^2)/($I$5*MAX(F1374,0.1)^2),1/3)))),MAX($D$16,POWER((ABS(K1374)^2)/($I$5*MAX(F1374,0.1)^2),1/3))))))),MAX($D$16,POWER((ABS(K1374)^2)/($I$5*MAX(F1374,0.1)^2),1/3)))</f>
        <v>2.1389677043987478</v>
      </c>
      <c r="AI1374">
        <f t="shared" ca="1" si="672"/>
        <v>634.04646770439876</v>
      </c>
      <c r="AJ1374">
        <f t="shared" ca="1" si="673"/>
        <v>635.11595155659813</v>
      </c>
      <c r="AM1374">
        <v>0</v>
      </c>
      <c r="AN1374">
        <v>0</v>
      </c>
      <c r="AO1374">
        <f t="shared" si="674"/>
        <v>0</v>
      </c>
      <c r="AP1374">
        <f t="shared" si="683"/>
        <v>0</v>
      </c>
      <c r="AQ1374">
        <f t="shared" ca="1" si="675"/>
        <v>1.0000000000000004</v>
      </c>
      <c r="AR1374" t="str">
        <f t="shared" ca="1" si="676"/>
        <v>Supercritical</v>
      </c>
      <c r="AS1374">
        <f t="shared" ca="1" si="677"/>
        <v>3.8141460404132466E-3</v>
      </c>
    </row>
    <row r="1375" spans="1:45" x14ac:dyDescent="0.35">
      <c r="A1375">
        <v>1314</v>
      </c>
      <c r="B1375">
        <v>1312.9960000000001</v>
      </c>
      <c r="C1375">
        <v>616068.06599999999</v>
      </c>
      <c r="D1375">
        <v>3096694.3360000001</v>
      </c>
      <c r="E1375">
        <v>631.90700000000004</v>
      </c>
      <c r="F1375">
        <v>5.2</v>
      </c>
      <c r="G1375">
        <v>0</v>
      </c>
      <c r="H1375" t="s">
        <v>154</v>
      </c>
      <c r="I1375">
        <v>0</v>
      </c>
      <c r="J1375">
        <f t="shared" si="678"/>
        <v>1</v>
      </c>
      <c r="K1375">
        <f t="shared" ca="1" si="679"/>
        <v>50.95</v>
      </c>
      <c r="L1375">
        <f t="shared" ca="1" si="680"/>
        <v>2.1389677043987478</v>
      </c>
      <c r="M1375">
        <f t="shared" ca="1" si="653"/>
        <v>11.122632062873489</v>
      </c>
      <c r="N1375">
        <f t="shared" ca="1" si="654"/>
        <v>1.1735290000551568</v>
      </c>
      <c r="O1375">
        <f t="shared" ca="1" si="655"/>
        <v>4.5807502857230418</v>
      </c>
      <c r="P1375">
        <f t="shared" ca="1" si="656"/>
        <v>634.04596770439878</v>
      </c>
      <c r="Q1375">
        <f t="shared" ca="1" si="657"/>
        <v>635.11545155659815</v>
      </c>
      <c r="R1375">
        <f t="shared" ca="1" si="658"/>
        <v>3.8141460404132466E-3</v>
      </c>
      <c r="S1375">
        <f t="shared" ca="1" si="659"/>
        <v>1.0000000000000004</v>
      </c>
      <c r="T1375">
        <f t="shared" ca="1" si="660"/>
        <v>35.686426155594638</v>
      </c>
      <c r="U1375">
        <f t="shared" ca="1" si="681"/>
        <v>-3.3141460404522149E-3</v>
      </c>
      <c r="V1375">
        <f t="shared" ca="1" si="682"/>
        <v>1</v>
      </c>
      <c r="W1375">
        <f t="shared" ca="1" si="661"/>
        <v>1.681201260097968</v>
      </c>
      <c r="X1375">
        <f t="shared" ca="1" si="662"/>
        <v>8.7422465525094335</v>
      </c>
      <c r="Y1375">
        <f t="shared" ca="1" si="663"/>
        <v>1.0210039217251587</v>
      </c>
      <c r="Z1375">
        <f t="shared" ca="1" si="664"/>
        <v>5.8280214009035207</v>
      </c>
      <c r="AA1375">
        <f t="shared" ca="1" si="665"/>
        <v>633.588201260098</v>
      </c>
      <c r="AB1375">
        <f t="shared" ca="1" si="666"/>
        <v>635.31938543183037</v>
      </c>
      <c r="AC1375">
        <f t="shared" ca="1" si="667"/>
        <v>7.4334127261682604E-3</v>
      </c>
      <c r="AD1375">
        <f t="shared" ca="1" si="668"/>
        <v>1.435082210023338</v>
      </c>
      <c r="AE1375">
        <f t="shared" ca="1" si="669"/>
        <v>37.617615674255703</v>
      </c>
      <c r="AF1375">
        <f t="shared" ca="1" si="670"/>
        <v>6.9334127261981848E-3</v>
      </c>
      <c r="AG1375">
        <f t="shared" ca="1" si="671"/>
        <v>0</v>
      </c>
      <c r="AH1375">
        <f ca="1">IFERROR(IF(V32="Supercritical",MAX($D$16,IFERROR(L1375,MAX($D$16,POWER((ABS(K1375)^2)/($I$5*MAX(F1375,0.1)^2),1/3)))),IF(V32="Subcritical",MAX($D$16,IFERROR(W1375,MAX($D$16,POWER((ABS(K1375)^2)/($I$5*MAX(F1375,0.1)^2),1/3)))),IF(AND(IFERROR(V1375,0)=1,IFERROR(AG1375,0)=1),IF(IFERROR(T1375,-1E+99)&gt;=IFERROR(AE1375,-1E+99),MAX($D$16,IFERROR(L1375,MAX($D$16,POWER((ABS(K1375)^2)/($I$5*MAX(F1375,0.1)^2),1/3)))),MAX($D$16,IFERROR(W1375,MAX($D$16,POWER((ABS(K1375)^2)/($I$5*MAX(F1375,0.1)^2),1/3))))),IF(IFERROR(V1375,0)=1,MAX($D$16,IFERROR(L1375,MAX($D$16,POWER((ABS(K1375)^2)/($I$5*MAX(F1375,0.1)^2),1/3)))),IF(IFERROR(AG1375,0)=1,MAX($D$16,IFERROR(W1375,MAX($D$16,POWER((ABS(K1375)^2)/($I$5*MAX(F1375,0.1)^2),1/3)))),MAX($D$16,POWER((ABS(K1375)^2)/($I$5*MAX(F1375,0.1)^2),1/3))))))),MAX($D$16,POWER((ABS(K1375)^2)/($I$5*MAX(F1375,0.1)^2),1/3)))</f>
        <v>2.1389677043987478</v>
      </c>
      <c r="AI1375">
        <f t="shared" ca="1" si="672"/>
        <v>634.04596770439878</v>
      </c>
      <c r="AJ1375">
        <f t="shared" ca="1" si="673"/>
        <v>635.11545155659815</v>
      </c>
      <c r="AM1375">
        <v>0</v>
      </c>
      <c r="AN1375">
        <v>0</v>
      </c>
      <c r="AO1375">
        <f t="shared" si="674"/>
        <v>0</v>
      </c>
      <c r="AP1375">
        <f t="shared" si="683"/>
        <v>0</v>
      </c>
      <c r="AQ1375">
        <f t="shared" ca="1" si="675"/>
        <v>1.0000000000000004</v>
      </c>
      <c r="AR1375" t="str">
        <f t="shared" ca="1" si="676"/>
        <v>Supercritical</v>
      </c>
      <c r="AS1375">
        <f t="shared" ca="1" si="677"/>
        <v>3.8141460404132466E-3</v>
      </c>
    </row>
    <row r="1376" spans="1:45" x14ac:dyDescent="0.35">
      <c r="A1376">
        <v>1315</v>
      </c>
      <c r="B1376">
        <v>1313.9960000000001</v>
      </c>
      <c r="C1376">
        <v>616068.02399999998</v>
      </c>
      <c r="D1376">
        <v>3096693.3369999998</v>
      </c>
      <c r="E1376">
        <v>631.90650000000005</v>
      </c>
      <c r="F1376">
        <v>5.2</v>
      </c>
      <c r="G1376">
        <v>0</v>
      </c>
      <c r="H1376" t="s">
        <v>154</v>
      </c>
      <c r="I1376">
        <v>0</v>
      </c>
      <c r="J1376">
        <f t="shared" si="678"/>
        <v>1</v>
      </c>
      <c r="K1376">
        <f t="shared" ca="1" si="679"/>
        <v>50.95</v>
      </c>
      <c r="L1376">
        <f t="shared" ca="1" si="680"/>
        <v>2.1389677043987478</v>
      </c>
      <c r="M1376">
        <f t="shared" ca="1" si="653"/>
        <v>11.122632062873489</v>
      </c>
      <c r="N1376">
        <f t="shared" ca="1" si="654"/>
        <v>1.1735290000551568</v>
      </c>
      <c r="O1376">
        <f t="shared" ca="1" si="655"/>
        <v>4.5807502857230418</v>
      </c>
      <c r="P1376">
        <f t="shared" ca="1" si="656"/>
        <v>634.04546770439879</v>
      </c>
      <c r="Q1376">
        <f t="shared" ca="1" si="657"/>
        <v>635.11495155659816</v>
      </c>
      <c r="R1376">
        <f t="shared" ca="1" si="658"/>
        <v>3.8141460404132466E-3</v>
      </c>
      <c r="S1376">
        <f t="shared" ca="1" si="659"/>
        <v>1.0000000000000004</v>
      </c>
      <c r="T1376">
        <f t="shared" ca="1" si="660"/>
        <v>35.686426155594638</v>
      </c>
      <c r="U1376">
        <f t="shared" ca="1" si="681"/>
        <v>-3.3141460404522149E-3</v>
      </c>
      <c r="V1376">
        <f t="shared" ca="1" si="682"/>
        <v>1</v>
      </c>
      <c r="W1376">
        <f t="shared" ca="1" si="661"/>
        <v>1.6812012600963138</v>
      </c>
      <c r="X1376">
        <f t="shared" ca="1" si="662"/>
        <v>8.7422465525008324</v>
      </c>
      <c r="Y1376">
        <f t="shared" ca="1" si="663"/>
        <v>1.0210039217245488</v>
      </c>
      <c r="Z1376">
        <f t="shared" ca="1" si="664"/>
        <v>5.8280214009092548</v>
      </c>
      <c r="AA1376">
        <f t="shared" ca="1" si="665"/>
        <v>633.58770126009631</v>
      </c>
      <c r="AB1376">
        <f t="shared" ca="1" si="666"/>
        <v>635.31888543183209</v>
      </c>
      <c r="AC1376">
        <f t="shared" ca="1" si="667"/>
        <v>7.4334127261888065E-3</v>
      </c>
      <c r="AD1376">
        <f t="shared" ca="1" si="668"/>
        <v>1.4350822100254559</v>
      </c>
      <c r="AE1376">
        <f t="shared" ca="1" si="669"/>
        <v>37.617615674271029</v>
      </c>
      <c r="AF1376">
        <f t="shared" ca="1" si="670"/>
        <v>7.0978752223709307E-3</v>
      </c>
      <c r="AG1376">
        <f t="shared" ca="1" si="671"/>
        <v>0</v>
      </c>
      <c r="AH1376">
        <f ca="1">IFERROR(IF(V32="Supercritical",MAX($D$16,IFERROR(L1376,MAX($D$16,POWER((ABS(K1376)^2)/($I$5*MAX(F1376,0.1)^2),1/3)))),IF(V32="Subcritical",MAX($D$16,IFERROR(W1376,MAX($D$16,POWER((ABS(K1376)^2)/($I$5*MAX(F1376,0.1)^2),1/3)))),IF(AND(IFERROR(V1376,0)=1,IFERROR(AG1376,0)=1),IF(IFERROR(T1376,-1E+99)&gt;=IFERROR(AE1376,-1E+99),MAX($D$16,IFERROR(L1376,MAX($D$16,POWER((ABS(K1376)^2)/($I$5*MAX(F1376,0.1)^2),1/3)))),MAX($D$16,IFERROR(W1376,MAX($D$16,POWER((ABS(K1376)^2)/($I$5*MAX(F1376,0.1)^2),1/3))))),IF(IFERROR(V1376,0)=1,MAX($D$16,IFERROR(L1376,MAX($D$16,POWER((ABS(K1376)^2)/($I$5*MAX(F1376,0.1)^2),1/3)))),IF(IFERROR(AG1376,0)=1,MAX($D$16,IFERROR(W1376,MAX($D$16,POWER((ABS(K1376)^2)/($I$5*MAX(F1376,0.1)^2),1/3)))),MAX($D$16,POWER((ABS(K1376)^2)/($I$5*MAX(F1376,0.1)^2),1/3))))))),MAX($D$16,POWER((ABS(K1376)^2)/($I$5*MAX(F1376,0.1)^2),1/3)))</f>
        <v>2.1389677043987478</v>
      </c>
      <c r="AI1376">
        <f t="shared" ca="1" si="672"/>
        <v>634.04546770439879</v>
      </c>
      <c r="AJ1376">
        <f t="shared" ca="1" si="673"/>
        <v>635.11495155659816</v>
      </c>
      <c r="AM1376">
        <v>0</v>
      </c>
      <c r="AN1376">
        <v>0</v>
      </c>
      <c r="AO1376">
        <f t="shared" si="674"/>
        <v>0</v>
      </c>
      <c r="AP1376">
        <f t="shared" si="683"/>
        <v>0</v>
      </c>
      <c r="AQ1376">
        <f t="shared" ca="1" si="675"/>
        <v>1.0000000000000004</v>
      </c>
      <c r="AR1376" t="str">
        <f t="shared" ca="1" si="676"/>
        <v>Supercritical</v>
      </c>
      <c r="AS1376">
        <f t="shared" ca="1" si="677"/>
        <v>3.8141460404132466E-3</v>
      </c>
    </row>
    <row r="1377" spans="1:45" x14ac:dyDescent="0.35">
      <c r="A1377">
        <v>1316</v>
      </c>
      <c r="B1377">
        <v>1314.9960000000001</v>
      </c>
      <c r="C1377">
        <v>616067.98199999996</v>
      </c>
      <c r="D1377">
        <v>3096692.338</v>
      </c>
      <c r="E1377">
        <v>631.90599999999995</v>
      </c>
      <c r="F1377">
        <v>5.2</v>
      </c>
      <c r="G1377">
        <v>0</v>
      </c>
      <c r="H1377" t="s">
        <v>154</v>
      </c>
      <c r="I1377">
        <v>5.7000000000000002E-2</v>
      </c>
      <c r="J1377">
        <f t="shared" si="678"/>
        <v>1</v>
      </c>
      <c r="K1377">
        <f t="shared" ca="1" si="679"/>
        <v>50.95</v>
      </c>
      <c r="L1377">
        <f t="shared" ca="1" si="680"/>
        <v>2.1389677043987478</v>
      </c>
      <c r="M1377">
        <f t="shared" ca="1" si="653"/>
        <v>11.122632062873489</v>
      </c>
      <c r="N1377">
        <f t="shared" ca="1" si="654"/>
        <v>1.1735290000551568</v>
      </c>
      <c r="O1377">
        <f t="shared" ca="1" si="655"/>
        <v>4.5807502857230418</v>
      </c>
      <c r="P1377">
        <f t="shared" ca="1" si="656"/>
        <v>634.04496770439869</v>
      </c>
      <c r="Q1377">
        <f t="shared" ca="1" si="657"/>
        <v>635.11445155659806</v>
      </c>
      <c r="R1377">
        <f t="shared" ca="1" si="658"/>
        <v>3.8141460404132466E-3</v>
      </c>
      <c r="S1377">
        <f t="shared" ca="1" si="659"/>
        <v>1.0000000000000004</v>
      </c>
      <c r="T1377">
        <f t="shared" ca="1" si="660"/>
        <v>35.686426155594638</v>
      </c>
      <c r="U1377">
        <f t="shared" ca="1" si="681"/>
        <v>-3.4157470063291839E-3</v>
      </c>
      <c r="V1377">
        <f t="shared" ca="1" si="682"/>
        <v>1</v>
      </c>
      <c r="W1377">
        <f t="shared" ca="1" si="661"/>
        <v>1.6812012600947619</v>
      </c>
      <c r="X1377">
        <f t="shared" ca="1" si="662"/>
        <v>8.7422465524927624</v>
      </c>
      <c r="Y1377">
        <f t="shared" ca="1" si="663"/>
        <v>1.0210039217239764</v>
      </c>
      <c r="Z1377">
        <f t="shared" ca="1" si="664"/>
        <v>5.8280214009146345</v>
      </c>
      <c r="AA1377">
        <f t="shared" ca="1" si="665"/>
        <v>633.58720126009473</v>
      </c>
      <c r="AB1377">
        <f t="shared" ca="1" si="666"/>
        <v>635.31838543183369</v>
      </c>
      <c r="AC1377">
        <f t="shared" ca="1" si="667"/>
        <v>7.4334127262080897E-3</v>
      </c>
      <c r="AD1377">
        <f t="shared" ca="1" si="668"/>
        <v>1.435082210027443</v>
      </c>
      <c r="AE1377">
        <f t="shared" ca="1" si="669"/>
        <v>37.617615674285403</v>
      </c>
      <c r="AF1377">
        <f t="shared" ca="1" si="670"/>
        <v>7.0978752224846176E-3</v>
      </c>
      <c r="AG1377">
        <f t="shared" ca="1" si="671"/>
        <v>0</v>
      </c>
      <c r="AH1377">
        <f ca="1">IFERROR(IF(V32="Supercritical",MAX($D$16,IFERROR(L1377,MAX($D$16,POWER((ABS(K1377)^2)/($I$5*MAX(F1377,0.1)^2),1/3)))),IF(V32="Subcritical",MAX($D$16,IFERROR(W1377,MAX($D$16,POWER((ABS(K1377)^2)/($I$5*MAX(F1377,0.1)^2),1/3)))),IF(AND(IFERROR(V1377,0)=1,IFERROR(AG1377,0)=1),IF(IFERROR(T1377,-1E+99)&gt;=IFERROR(AE1377,-1E+99),MAX($D$16,IFERROR(L1377,MAX($D$16,POWER((ABS(K1377)^2)/($I$5*MAX(F1377,0.1)^2),1/3)))),MAX($D$16,IFERROR(W1377,MAX($D$16,POWER((ABS(K1377)^2)/($I$5*MAX(F1377,0.1)^2),1/3))))),IF(IFERROR(V1377,0)=1,MAX($D$16,IFERROR(L1377,MAX($D$16,POWER((ABS(K1377)^2)/($I$5*MAX(F1377,0.1)^2),1/3)))),IF(IFERROR(AG1377,0)=1,MAX($D$16,IFERROR(W1377,MAX($D$16,POWER((ABS(K1377)^2)/($I$5*MAX(F1377,0.1)^2),1/3)))),MAX($D$16,POWER((ABS(K1377)^2)/($I$5*MAX(F1377,0.1)^2),1/3))))))),MAX($D$16,POWER((ABS(K1377)^2)/($I$5*MAX(F1377,0.1)^2),1/3)))</f>
        <v>2.1389677043987478</v>
      </c>
      <c r="AI1377">
        <f t="shared" ca="1" si="672"/>
        <v>634.04496770439869</v>
      </c>
      <c r="AJ1377">
        <f t="shared" ca="1" si="673"/>
        <v>635.11445155659806</v>
      </c>
      <c r="AM1377">
        <v>0</v>
      </c>
      <c r="AN1377">
        <v>0</v>
      </c>
      <c r="AO1377">
        <f t="shared" si="674"/>
        <v>0</v>
      </c>
      <c r="AP1377">
        <f t="shared" si="683"/>
        <v>0</v>
      </c>
      <c r="AQ1377">
        <f t="shared" ca="1" si="675"/>
        <v>1.0000000000000004</v>
      </c>
      <c r="AR1377" t="str">
        <f t="shared" ca="1" si="676"/>
        <v>Supercritical</v>
      </c>
      <c r="AS1377">
        <f t="shared" ca="1" si="677"/>
        <v>3.8141460404132466E-3</v>
      </c>
    </row>
    <row r="1378" spans="1:45" x14ac:dyDescent="0.35">
      <c r="A1378">
        <v>1317</v>
      </c>
      <c r="B1378">
        <v>1315.9960000000001</v>
      </c>
      <c r="C1378">
        <v>616067.93900000001</v>
      </c>
      <c r="D1378">
        <v>3096691.3390000002</v>
      </c>
      <c r="E1378">
        <v>631.90549999999996</v>
      </c>
      <c r="F1378">
        <v>5.2</v>
      </c>
      <c r="G1378">
        <v>0</v>
      </c>
      <c r="H1378" t="s">
        <v>154</v>
      </c>
      <c r="I1378">
        <v>5.7000000000000002E-2</v>
      </c>
      <c r="J1378">
        <f t="shared" si="678"/>
        <v>1</v>
      </c>
      <c r="K1378">
        <f t="shared" ca="1" si="679"/>
        <v>50.95</v>
      </c>
      <c r="L1378">
        <f t="shared" ca="1" si="680"/>
        <v>2.1389677043987478</v>
      </c>
      <c r="M1378">
        <f t="shared" ca="1" si="653"/>
        <v>11.122632062873489</v>
      </c>
      <c r="N1378">
        <f t="shared" ca="1" si="654"/>
        <v>1.1735290000551568</v>
      </c>
      <c r="O1378">
        <f t="shared" ca="1" si="655"/>
        <v>4.5807502857230418</v>
      </c>
      <c r="P1378">
        <f t="shared" ca="1" si="656"/>
        <v>634.0444677043987</v>
      </c>
      <c r="Q1378">
        <f t="shared" ca="1" si="657"/>
        <v>635.11395155659807</v>
      </c>
      <c r="R1378">
        <f t="shared" ca="1" si="658"/>
        <v>3.8141460404132466E-3</v>
      </c>
      <c r="S1378">
        <f t="shared" ca="1" si="659"/>
        <v>1.0000000000000004</v>
      </c>
      <c r="T1378">
        <f t="shared" ca="1" si="660"/>
        <v>35.686426155594638</v>
      </c>
      <c r="U1378">
        <f t="shared" ca="1" si="681"/>
        <v>-3.4157470064428708E-3</v>
      </c>
      <c r="V1378">
        <f t="shared" ca="1" si="682"/>
        <v>1</v>
      </c>
      <c r="W1378">
        <f t="shared" ca="1" si="661"/>
        <v>1.6812012600933124</v>
      </c>
      <c r="X1378">
        <f t="shared" ca="1" si="662"/>
        <v>8.7422465524852253</v>
      </c>
      <c r="Y1378">
        <f t="shared" ca="1" si="663"/>
        <v>1.0210039217234417</v>
      </c>
      <c r="Z1378">
        <f t="shared" ca="1" si="664"/>
        <v>5.8280214009196589</v>
      </c>
      <c r="AA1378">
        <f t="shared" ca="1" si="665"/>
        <v>633.58670126009326</v>
      </c>
      <c r="AB1378">
        <f t="shared" ca="1" si="666"/>
        <v>635.31788543183529</v>
      </c>
      <c r="AC1378">
        <f t="shared" ca="1" si="667"/>
        <v>7.4334127262260944E-3</v>
      </c>
      <c r="AD1378">
        <f t="shared" ca="1" si="668"/>
        <v>1.4350822100292986</v>
      </c>
      <c r="AE1378">
        <f t="shared" ca="1" si="669"/>
        <v>37.617615674298825</v>
      </c>
      <c r="AF1378">
        <f t="shared" ca="1" si="670"/>
        <v>6.9334127261981848E-3</v>
      </c>
      <c r="AG1378">
        <f t="shared" ca="1" si="671"/>
        <v>0</v>
      </c>
      <c r="AH1378">
        <f ca="1">IFERROR(IF(V32="Supercritical",MAX($D$16,IFERROR(L1378,MAX($D$16,POWER((ABS(K1378)^2)/($I$5*MAX(F1378,0.1)^2),1/3)))),IF(V32="Subcritical",MAX($D$16,IFERROR(W1378,MAX($D$16,POWER((ABS(K1378)^2)/($I$5*MAX(F1378,0.1)^2),1/3)))),IF(AND(IFERROR(V1378,0)=1,IFERROR(AG1378,0)=1),IF(IFERROR(T1378,-1E+99)&gt;=IFERROR(AE1378,-1E+99),MAX($D$16,IFERROR(L1378,MAX($D$16,POWER((ABS(K1378)^2)/($I$5*MAX(F1378,0.1)^2),1/3)))),MAX($D$16,IFERROR(W1378,MAX($D$16,POWER((ABS(K1378)^2)/($I$5*MAX(F1378,0.1)^2),1/3))))),IF(IFERROR(V1378,0)=1,MAX($D$16,IFERROR(L1378,MAX($D$16,POWER((ABS(K1378)^2)/($I$5*MAX(F1378,0.1)^2),1/3)))),IF(IFERROR(AG1378,0)=1,MAX($D$16,IFERROR(W1378,MAX($D$16,POWER((ABS(K1378)^2)/($I$5*MAX(F1378,0.1)^2),1/3)))),MAX($D$16,POWER((ABS(K1378)^2)/($I$5*MAX(F1378,0.1)^2),1/3))))))),MAX($D$16,POWER((ABS(K1378)^2)/($I$5*MAX(F1378,0.1)^2),1/3)))</f>
        <v>2.1389677043987478</v>
      </c>
      <c r="AI1378">
        <f t="shared" ca="1" si="672"/>
        <v>634.0444677043987</v>
      </c>
      <c r="AJ1378">
        <f t="shared" ca="1" si="673"/>
        <v>635.11395155659807</v>
      </c>
      <c r="AM1378">
        <v>0</v>
      </c>
      <c r="AN1378">
        <v>0</v>
      </c>
      <c r="AO1378">
        <f t="shared" si="674"/>
        <v>0</v>
      </c>
      <c r="AP1378">
        <f t="shared" si="683"/>
        <v>0</v>
      </c>
      <c r="AQ1378">
        <f t="shared" ca="1" si="675"/>
        <v>1.0000000000000004</v>
      </c>
      <c r="AR1378" t="str">
        <f t="shared" ca="1" si="676"/>
        <v>Supercritical</v>
      </c>
      <c r="AS1378">
        <f t="shared" ca="1" si="677"/>
        <v>3.8141460404132466E-3</v>
      </c>
    </row>
    <row r="1379" spans="1:45" x14ac:dyDescent="0.35">
      <c r="A1379">
        <v>1318</v>
      </c>
      <c r="B1379">
        <v>1316.9960000000001</v>
      </c>
      <c r="C1379">
        <v>616067.897</v>
      </c>
      <c r="D1379">
        <v>3096690.34</v>
      </c>
      <c r="E1379">
        <v>631.90499999999997</v>
      </c>
      <c r="F1379">
        <v>5.2</v>
      </c>
      <c r="G1379">
        <v>0</v>
      </c>
      <c r="H1379" t="s">
        <v>154</v>
      </c>
      <c r="I1379">
        <v>0</v>
      </c>
      <c r="J1379">
        <f t="shared" si="678"/>
        <v>1</v>
      </c>
      <c r="K1379">
        <f t="shared" ca="1" si="679"/>
        <v>50.95</v>
      </c>
      <c r="L1379">
        <f t="shared" ca="1" si="680"/>
        <v>2.1389677043987478</v>
      </c>
      <c r="M1379">
        <f t="shared" ca="1" si="653"/>
        <v>11.122632062873489</v>
      </c>
      <c r="N1379">
        <f t="shared" ca="1" si="654"/>
        <v>1.1735290000551568</v>
      </c>
      <c r="O1379">
        <f t="shared" ca="1" si="655"/>
        <v>4.5807502857230418</v>
      </c>
      <c r="P1379">
        <f t="shared" ca="1" si="656"/>
        <v>634.04396770439871</v>
      </c>
      <c r="Q1379">
        <f t="shared" ca="1" si="657"/>
        <v>635.11345155659808</v>
      </c>
      <c r="R1379">
        <f t="shared" ca="1" si="658"/>
        <v>3.8141460404132466E-3</v>
      </c>
      <c r="S1379">
        <f t="shared" ca="1" si="659"/>
        <v>1.0000000000000004</v>
      </c>
      <c r="T1379">
        <f t="shared" ca="1" si="660"/>
        <v>35.686426155594638</v>
      </c>
      <c r="U1379">
        <f t="shared" ca="1" si="681"/>
        <v>-3.3141460404522149E-3</v>
      </c>
      <c r="V1379">
        <f t="shared" ca="1" si="682"/>
        <v>1</v>
      </c>
      <c r="W1379">
        <f t="shared" ca="1" si="661"/>
        <v>1.6812012600919823</v>
      </c>
      <c r="X1379">
        <f t="shared" ca="1" si="662"/>
        <v>8.7422465524783082</v>
      </c>
      <c r="Y1379">
        <f t="shared" ca="1" si="663"/>
        <v>1.021003921722951</v>
      </c>
      <c r="Z1379">
        <f t="shared" ca="1" si="664"/>
        <v>5.8280214009242703</v>
      </c>
      <c r="AA1379">
        <f t="shared" ca="1" si="665"/>
        <v>633.58620126009191</v>
      </c>
      <c r="AB1379">
        <f t="shared" ca="1" si="666"/>
        <v>635.31738543183667</v>
      </c>
      <c r="AC1379">
        <f t="shared" ca="1" si="667"/>
        <v>7.4334127262426202E-3</v>
      </c>
      <c r="AD1379">
        <f t="shared" ca="1" si="668"/>
        <v>1.4350822100310019</v>
      </c>
      <c r="AE1379">
        <f t="shared" ca="1" si="669"/>
        <v>37.617615674311146</v>
      </c>
      <c r="AF1379">
        <f t="shared" ca="1" si="670"/>
        <v>6.9259793135643122E-3</v>
      </c>
      <c r="AG1379">
        <f t="shared" ca="1" si="671"/>
        <v>0</v>
      </c>
      <c r="AH1379">
        <f ca="1">IFERROR(IF(V32="Supercritical",MAX($D$16,IFERROR(L1379,MAX($D$16,POWER((ABS(K1379)^2)/($I$5*MAX(F1379,0.1)^2),1/3)))),IF(V32="Subcritical",MAX($D$16,IFERROR(W1379,MAX($D$16,POWER((ABS(K1379)^2)/($I$5*MAX(F1379,0.1)^2),1/3)))),IF(AND(IFERROR(V1379,0)=1,IFERROR(AG1379,0)=1),IF(IFERROR(T1379,-1E+99)&gt;=IFERROR(AE1379,-1E+99),MAX($D$16,IFERROR(L1379,MAX($D$16,POWER((ABS(K1379)^2)/($I$5*MAX(F1379,0.1)^2),1/3)))),MAX($D$16,IFERROR(W1379,MAX($D$16,POWER((ABS(K1379)^2)/($I$5*MAX(F1379,0.1)^2),1/3))))),IF(IFERROR(V1379,0)=1,MAX($D$16,IFERROR(L1379,MAX($D$16,POWER((ABS(K1379)^2)/($I$5*MAX(F1379,0.1)^2),1/3)))),IF(IFERROR(AG1379,0)=1,MAX($D$16,IFERROR(W1379,MAX($D$16,POWER((ABS(K1379)^2)/($I$5*MAX(F1379,0.1)^2),1/3)))),MAX($D$16,POWER((ABS(K1379)^2)/($I$5*MAX(F1379,0.1)^2),1/3))))))),MAX($D$16,POWER((ABS(K1379)^2)/($I$5*MAX(F1379,0.1)^2),1/3)))</f>
        <v>2.1389677043987478</v>
      </c>
      <c r="AI1379">
        <f t="shared" ca="1" si="672"/>
        <v>634.04396770439871</v>
      </c>
      <c r="AJ1379">
        <f t="shared" ca="1" si="673"/>
        <v>635.11345155659808</v>
      </c>
      <c r="AM1379">
        <v>0</v>
      </c>
      <c r="AN1379">
        <v>0</v>
      </c>
      <c r="AO1379">
        <f t="shared" si="674"/>
        <v>0</v>
      </c>
      <c r="AP1379">
        <f t="shared" si="683"/>
        <v>0</v>
      </c>
      <c r="AQ1379">
        <f t="shared" ca="1" si="675"/>
        <v>1.0000000000000004</v>
      </c>
      <c r="AR1379" t="str">
        <f t="shared" ca="1" si="676"/>
        <v>Supercritical</v>
      </c>
      <c r="AS1379">
        <f t="shared" ca="1" si="677"/>
        <v>3.8141460404132466E-3</v>
      </c>
    </row>
    <row r="1380" spans="1:45" x14ac:dyDescent="0.35">
      <c r="A1380">
        <v>1319</v>
      </c>
      <c r="B1380">
        <v>1317.9949999999999</v>
      </c>
      <c r="C1380">
        <v>616067.85499999998</v>
      </c>
      <c r="D1380">
        <v>3096689.341</v>
      </c>
      <c r="E1380">
        <v>631.90449999999998</v>
      </c>
      <c r="F1380">
        <v>5.2</v>
      </c>
      <c r="G1380">
        <v>0</v>
      </c>
      <c r="H1380" t="s">
        <v>154</v>
      </c>
      <c r="I1380">
        <v>0</v>
      </c>
      <c r="J1380">
        <f t="shared" si="678"/>
        <v>0.99899999999979627</v>
      </c>
      <c r="K1380">
        <f t="shared" ca="1" si="679"/>
        <v>50.95</v>
      </c>
      <c r="L1380">
        <f t="shared" ca="1" si="680"/>
        <v>2.1389677043987478</v>
      </c>
      <c r="M1380">
        <f t="shared" ca="1" si="653"/>
        <v>11.122632062873489</v>
      </c>
      <c r="N1380">
        <f t="shared" ca="1" si="654"/>
        <v>1.1735290000551568</v>
      </c>
      <c r="O1380">
        <f t="shared" ca="1" si="655"/>
        <v>4.5807502857230418</v>
      </c>
      <c r="P1380">
        <f t="shared" ca="1" si="656"/>
        <v>634.04346770439872</v>
      </c>
      <c r="Q1380">
        <f t="shared" ca="1" si="657"/>
        <v>635.11295155659809</v>
      </c>
      <c r="R1380">
        <f t="shared" ca="1" si="658"/>
        <v>3.8141460404132466E-3</v>
      </c>
      <c r="S1380">
        <f t="shared" ca="1" si="659"/>
        <v>1.0000000000000004</v>
      </c>
      <c r="T1380">
        <f t="shared" ca="1" si="660"/>
        <v>35.686426155594638</v>
      </c>
      <c r="U1380">
        <f t="shared" ca="1" si="681"/>
        <v>-3.3103318943403792E-3</v>
      </c>
      <c r="V1380">
        <f t="shared" ca="1" si="682"/>
        <v>1</v>
      </c>
      <c r="W1380">
        <f t="shared" ca="1" si="661"/>
        <v>1.6812012600907205</v>
      </c>
      <c r="X1380">
        <f t="shared" ca="1" si="662"/>
        <v>8.7422465524717463</v>
      </c>
      <c r="Y1380">
        <f t="shared" ca="1" si="663"/>
        <v>1.0210039217224856</v>
      </c>
      <c r="Z1380">
        <f t="shared" ca="1" si="664"/>
        <v>5.8280214009286446</v>
      </c>
      <c r="AA1380">
        <f t="shared" ca="1" si="665"/>
        <v>633.58570126009067</v>
      </c>
      <c r="AB1380">
        <f t="shared" ca="1" si="666"/>
        <v>635.31688543183793</v>
      </c>
      <c r="AC1380">
        <f t="shared" ca="1" si="667"/>
        <v>7.4334127262582969E-3</v>
      </c>
      <c r="AD1380">
        <f t="shared" ca="1" si="668"/>
        <v>1.4350822100326179</v>
      </c>
      <c r="AE1380">
        <f t="shared" ca="1" si="669"/>
        <v>37.617615674322835</v>
      </c>
      <c r="AF1380">
        <f t="shared" ca="1" si="670"/>
        <v>7.0978752225983044E-3</v>
      </c>
      <c r="AG1380">
        <f t="shared" ca="1" si="671"/>
        <v>0</v>
      </c>
      <c r="AH1380">
        <f ca="1">IFERROR(IF(V32="Supercritical",MAX($D$16,IFERROR(L1380,MAX($D$16,POWER((ABS(K1380)^2)/($I$5*MAX(F1380,0.1)^2),1/3)))),IF(V32="Subcritical",MAX($D$16,IFERROR(W1380,MAX($D$16,POWER((ABS(K1380)^2)/($I$5*MAX(F1380,0.1)^2),1/3)))),IF(AND(IFERROR(V1380,0)=1,IFERROR(AG1380,0)=1),IF(IFERROR(T1380,-1E+99)&gt;=IFERROR(AE1380,-1E+99),MAX($D$16,IFERROR(L1380,MAX($D$16,POWER((ABS(K1380)^2)/($I$5*MAX(F1380,0.1)^2),1/3)))),MAX($D$16,IFERROR(W1380,MAX($D$16,POWER((ABS(K1380)^2)/($I$5*MAX(F1380,0.1)^2),1/3))))),IF(IFERROR(V1380,0)=1,MAX($D$16,IFERROR(L1380,MAX($D$16,POWER((ABS(K1380)^2)/($I$5*MAX(F1380,0.1)^2),1/3)))),IF(IFERROR(AG1380,0)=1,MAX($D$16,IFERROR(W1380,MAX($D$16,POWER((ABS(K1380)^2)/($I$5*MAX(F1380,0.1)^2),1/3)))),MAX($D$16,POWER((ABS(K1380)^2)/($I$5*MAX(F1380,0.1)^2),1/3))))))),MAX($D$16,POWER((ABS(K1380)^2)/($I$5*MAX(F1380,0.1)^2),1/3)))</f>
        <v>2.1389677043987478</v>
      </c>
      <c r="AI1380">
        <f t="shared" ca="1" si="672"/>
        <v>634.04346770439872</v>
      </c>
      <c r="AJ1380">
        <f t="shared" ca="1" si="673"/>
        <v>635.11295155659809</v>
      </c>
      <c r="AM1380">
        <v>0</v>
      </c>
      <c r="AN1380">
        <v>0</v>
      </c>
      <c r="AO1380">
        <f t="shared" si="674"/>
        <v>0</v>
      </c>
      <c r="AP1380">
        <f t="shared" si="683"/>
        <v>0</v>
      </c>
      <c r="AQ1380">
        <f t="shared" ca="1" si="675"/>
        <v>1.0000000000000004</v>
      </c>
      <c r="AR1380" t="str">
        <f t="shared" ca="1" si="676"/>
        <v>Supercritical</v>
      </c>
      <c r="AS1380">
        <f t="shared" ca="1" si="677"/>
        <v>3.8141460404132466E-3</v>
      </c>
    </row>
    <row r="1381" spans="1:45" x14ac:dyDescent="0.35">
      <c r="A1381">
        <v>1320</v>
      </c>
      <c r="B1381">
        <v>1318.9949999999999</v>
      </c>
      <c r="C1381">
        <v>616067.81299999997</v>
      </c>
      <c r="D1381">
        <v>3096688.3420000002</v>
      </c>
      <c r="E1381">
        <v>631.904</v>
      </c>
      <c r="F1381">
        <v>5.2</v>
      </c>
      <c r="G1381">
        <v>0</v>
      </c>
      <c r="H1381" t="s">
        <v>154</v>
      </c>
      <c r="I1381">
        <v>5.7000000000000002E-2</v>
      </c>
      <c r="J1381">
        <f t="shared" si="678"/>
        <v>1</v>
      </c>
      <c r="K1381">
        <f t="shared" ca="1" si="679"/>
        <v>50.95</v>
      </c>
      <c r="L1381">
        <f t="shared" ca="1" si="680"/>
        <v>2.1389677043987478</v>
      </c>
      <c r="M1381">
        <f t="shared" ca="1" si="653"/>
        <v>11.122632062873489</v>
      </c>
      <c r="N1381">
        <f t="shared" ca="1" si="654"/>
        <v>1.1735290000551568</v>
      </c>
      <c r="O1381">
        <f t="shared" ca="1" si="655"/>
        <v>4.5807502857230418</v>
      </c>
      <c r="P1381">
        <f t="shared" ca="1" si="656"/>
        <v>634.04296770439873</v>
      </c>
      <c r="Q1381">
        <f t="shared" ca="1" si="657"/>
        <v>635.1124515565981</v>
      </c>
      <c r="R1381">
        <f t="shared" ca="1" si="658"/>
        <v>3.8141460404132466E-3</v>
      </c>
      <c r="S1381">
        <f t="shared" ca="1" si="659"/>
        <v>1.0000000000000004</v>
      </c>
      <c r="T1381">
        <f t="shared" ca="1" si="660"/>
        <v>35.686426155594638</v>
      </c>
      <c r="U1381">
        <f t="shared" ca="1" si="681"/>
        <v>-3.4157470064428708E-3</v>
      </c>
      <c r="V1381">
        <f t="shared" ca="1" si="682"/>
        <v>1</v>
      </c>
      <c r="W1381">
        <f t="shared" ca="1" si="661"/>
        <v>1.6812012600895268</v>
      </c>
      <c r="X1381">
        <f t="shared" ca="1" si="662"/>
        <v>8.7422465524655397</v>
      </c>
      <c r="Y1381">
        <f t="shared" ca="1" si="663"/>
        <v>1.0210039217220455</v>
      </c>
      <c r="Z1381">
        <f t="shared" ca="1" si="664"/>
        <v>5.8280214009327826</v>
      </c>
      <c r="AA1381">
        <f t="shared" ca="1" si="665"/>
        <v>633.58520126008955</v>
      </c>
      <c r="AB1381">
        <f t="shared" ca="1" si="666"/>
        <v>635.31638543183931</v>
      </c>
      <c r="AC1381">
        <f t="shared" ca="1" si="667"/>
        <v>7.4334127262731271E-3</v>
      </c>
      <c r="AD1381">
        <f t="shared" ca="1" si="668"/>
        <v>1.4350822100341463</v>
      </c>
      <c r="AE1381">
        <f t="shared" ca="1" si="669"/>
        <v>37.617615674333891</v>
      </c>
      <c r="AF1381">
        <f t="shared" ca="1" si="670"/>
        <v>7.1065311434495015E-3</v>
      </c>
      <c r="AG1381">
        <f t="shared" ca="1" si="671"/>
        <v>0</v>
      </c>
      <c r="AH1381">
        <f ca="1">IFERROR(IF(V32="Supercritical",MAX($D$16,IFERROR(L1381,MAX($D$16,POWER((ABS(K1381)^2)/($I$5*MAX(F1381,0.1)^2),1/3)))),IF(V32="Subcritical",MAX($D$16,IFERROR(W1381,MAX($D$16,POWER((ABS(K1381)^2)/($I$5*MAX(F1381,0.1)^2),1/3)))),IF(AND(IFERROR(V1381,0)=1,IFERROR(AG1381,0)=1),IF(IFERROR(T1381,-1E+99)&gt;=IFERROR(AE1381,-1E+99),MAX($D$16,IFERROR(L1381,MAX($D$16,POWER((ABS(K1381)^2)/($I$5*MAX(F1381,0.1)^2),1/3)))),MAX($D$16,IFERROR(W1381,MAX($D$16,POWER((ABS(K1381)^2)/($I$5*MAX(F1381,0.1)^2),1/3))))),IF(IFERROR(V1381,0)=1,MAX($D$16,IFERROR(L1381,MAX($D$16,POWER((ABS(K1381)^2)/($I$5*MAX(F1381,0.1)^2),1/3)))),IF(IFERROR(AG1381,0)=1,MAX($D$16,IFERROR(W1381,MAX($D$16,POWER((ABS(K1381)^2)/($I$5*MAX(F1381,0.1)^2),1/3)))),MAX($D$16,POWER((ABS(K1381)^2)/($I$5*MAX(F1381,0.1)^2),1/3))))))),MAX($D$16,POWER((ABS(K1381)^2)/($I$5*MAX(F1381,0.1)^2),1/3)))</f>
        <v>2.1389677043987478</v>
      </c>
      <c r="AI1381">
        <f t="shared" ca="1" si="672"/>
        <v>634.04296770439873</v>
      </c>
      <c r="AJ1381">
        <f t="shared" ca="1" si="673"/>
        <v>635.1124515565981</v>
      </c>
      <c r="AM1381">
        <v>0</v>
      </c>
      <c r="AN1381">
        <v>0</v>
      </c>
      <c r="AO1381">
        <f t="shared" si="674"/>
        <v>0</v>
      </c>
      <c r="AP1381">
        <f t="shared" si="683"/>
        <v>0</v>
      </c>
      <c r="AQ1381">
        <f t="shared" ca="1" si="675"/>
        <v>1.0000000000000004</v>
      </c>
      <c r="AR1381" t="str">
        <f t="shared" ca="1" si="676"/>
        <v>Supercritical</v>
      </c>
      <c r="AS1381">
        <f t="shared" ca="1" si="677"/>
        <v>3.8141460404132466E-3</v>
      </c>
    </row>
    <row r="1382" spans="1:45" x14ac:dyDescent="0.35">
      <c r="A1382">
        <v>1321</v>
      </c>
      <c r="B1382">
        <v>1319.9949999999999</v>
      </c>
      <c r="C1382">
        <v>616067.77</v>
      </c>
      <c r="D1382">
        <v>3096687.3429999999</v>
      </c>
      <c r="E1382">
        <v>631.90350000000001</v>
      </c>
      <c r="F1382">
        <v>5.2</v>
      </c>
      <c r="G1382">
        <v>0</v>
      </c>
      <c r="H1382" t="s">
        <v>154</v>
      </c>
      <c r="I1382">
        <v>0.06</v>
      </c>
      <c r="J1382">
        <f t="shared" si="678"/>
        <v>1</v>
      </c>
      <c r="K1382">
        <f t="shared" ca="1" si="679"/>
        <v>50.95</v>
      </c>
      <c r="L1382">
        <f t="shared" ca="1" si="680"/>
        <v>2.1389677043987478</v>
      </c>
      <c r="M1382">
        <f t="shared" ca="1" si="653"/>
        <v>11.122632062873489</v>
      </c>
      <c r="N1382">
        <f t="shared" ca="1" si="654"/>
        <v>1.1735290000551568</v>
      </c>
      <c r="O1382">
        <f t="shared" ca="1" si="655"/>
        <v>4.5807502857230418</v>
      </c>
      <c r="P1382">
        <f t="shared" ca="1" si="656"/>
        <v>634.04246770439875</v>
      </c>
      <c r="Q1382">
        <f t="shared" ca="1" si="657"/>
        <v>635.11195155659811</v>
      </c>
      <c r="R1382">
        <f t="shared" ca="1" si="658"/>
        <v>3.8141460404132466E-3</v>
      </c>
      <c r="S1382">
        <f t="shared" ca="1" si="659"/>
        <v>1.0000000000000004</v>
      </c>
      <c r="T1382">
        <f t="shared" ca="1" si="660"/>
        <v>35.686426155594638</v>
      </c>
      <c r="U1382">
        <f t="shared" ca="1" si="681"/>
        <v>-3.4210944256756193E-3</v>
      </c>
      <c r="V1382">
        <f t="shared" ca="1" si="682"/>
        <v>1</v>
      </c>
      <c r="W1382">
        <f t="shared" ca="1" si="661"/>
        <v>1.6812012600884354</v>
      </c>
      <c r="X1382">
        <f t="shared" ca="1" si="662"/>
        <v>8.7422465524598643</v>
      </c>
      <c r="Y1382">
        <f t="shared" ca="1" si="663"/>
        <v>1.0210039217216429</v>
      </c>
      <c r="Z1382">
        <f t="shared" ca="1" si="664"/>
        <v>5.8280214009365663</v>
      </c>
      <c r="AA1382">
        <f t="shared" ca="1" si="665"/>
        <v>633.58470126008842</v>
      </c>
      <c r="AB1382">
        <f t="shared" ca="1" si="666"/>
        <v>635.31588543184046</v>
      </c>
      <c r="AC1382">
        <f t="shared" ca="1" si="667"/>
        <v>7.4334127262866857E-3</v>
      </c>
      <c r="AD1382">
        <f t="shared" ca="1" si="668"/>
        <v>1.4350822100355436</v>
      </c>
      <c r="AE1382">
        <f t="shared" ca="1" si="669"/>
        <v>37.617615674343995</v>
      </c>
      <c r="AF1382">
        <f t="shared" ca="1" si="670"/>
        <v>6.9466167529981249E-3</v>
      </c>
      <c r="AG1382">
        <f t="shared" ca="1" si="671"/>
        <v>0</v>
      </c>
      <c r="AH1382">
        <f ca="1">IFERROR(IF(V32="Supercritical",MAX($D$16,IFERROR(L1382,MAX($D$16,POWER((ABS(K1382)^2)/($I$5*MAX(F1382,0.1)^2),1/3)))),IF(V32="Subcritical",MAX($D$16,IFERROR(W1382,MAX($D$16,POWER((ABS(K1382)^2)/($I$5*MAX(F1382,0.1)^2),1/3)))),IF(AND(IFERROR(V1382,0)=1,IFERROR(AG1382,0)=1),IF(IFERROR(T1382,-1E+99)&gt;=IFERROR(AE1382,-1E+99),MAX($D$16,IFERROR(L1382,MAX($D$16,POWER((ABS(K1382)^2)/($I$5*MAX(F1382,0.1)^2),1/3)))),MAX($D$16,IFERROR(W1382,MAX($D$16,POWER((ABS(K1382)^2)/($I$5*MAX(F1382,0.1)^2),1/3))))),IF(IFERROR(V1382,0)=1,MAX($D$16,IFERROR(L1382,MAX($D$16,POWER((ABS(K1382)^2)/($I$5*MAX(F1382,0.1)^2),1/3)))),IF(IFERROR(AG1382,0)=1,MAX($D$16,IFERROR(W1382,MAX($D$16,POWER((ABS(K1382)^2)/($I$5*MAX(F1382,0.1)^2),1/3)))),MAX($D$16,POWER((ABS(K1382)^2)/($I$5*MAX(F1382,0.1)^2),1/3))))))),MAX($D$16,POWER((ABS(K1382)^2)/($I$5*MAX(F1382,0.1)^2),1/3)))</f>
        <v>2.1389677043987478</v>
      </c>
      <c r="AI1382">
        <f t="shared" ca="1" si="672"/>
        <v>634.04246770439875</v>
      </c>
      <c r="AJ1382">
        <f t="shared" ca="1" si="673"/>
        <v>635.11195155659811</v>
      </c>
      <c r="AM1382">
        <v>0</v>
      </c>
      <c r="AN1382">
        <v>0</v>
      </c>
      <c r="AO1382">
        <f t="shared" si="674"/>
        <v>0</v>
      </c>
      <c r="AP1382">
        <f t="shared" si="683"/>
        <v>0</v>
      </c>
      <c r="AQ1382">
        <f t="shared" ca="1" si="675"/>
        <v>1.0000000000000004</v>
      </c>
      <c r="AR1382" t="str">
        <f t="shared" ca="1" si="676"/>
        <v>Supercritical</v>
      </c>
      <c r="AS1382">
        <f t="shared" ca="1" si="677"/>
        <v>3.8141460404132466E-3</v>
      </c>
    </row>
    <row r="1383" spans="1:45" x14ac:dyDescent="0.35">
      <c r="A1383">
        <v>1322</v>
      </c>
      <c r="B1383">
        <v>1320.9960000000001</v>
      </c>
      <c r="C1383">
        <v>616067.728</v>
      </c>
      <c r="D1383">
        <v>3096686.3429999999</v>
      </c>
      <c r="E1383">
        <v>631.90300000000002</v>
      </c>
      <c r="F1383">
        <v>5.2</v>
      </c>
      <c r="G1383">
        <v>0</v>
      </c>
      <c r="H1383" t="s">
        <v>154</v>
      </c>
      <c r="I1383">
        <v>2E-3</v>
      </c>
      <c r="J1383">
        <f t="shared" si="678"/>
        <v>1.0010000000002037</v>
      </c>
      <c r="K1383">
        <f t="shared" ca="1" si="679"/>
        <v>50.95</v>
      </c>
      <c r="L1383">
        <f t="shared" ca="1" si="680"/>
        <v>2.1389677043987478</v>
      </c>
      <c r="M1383">
        <f t="shared" ca="1" si="653"/>
        <v>11.122632062873489</v>
      </c>
      <c r="N1383">
        <f t="shared" ca="1" si="654"/>
        <v>1.1735290000551568</v>
      </c>
      <c r="O1383">
        <f t="shared" ca="1" si="655"/>
        <v>4.5807502857230418</v>
      </c>
      <c r="P1383">
        <f t="shared" ca="1" si="656"/>
        <v>634.04196770439876</v>
      </c>
      <c r="Q1383">
        <f t="shared" ca="1" si="657"/>
        <v>635.11145155659813</v>
      </c>
      <c r="R1383">
        <f t="shared" ca="1" si="658"/>
        <v>3.8141460404132466E-3</v>
      </c>
      <c r="S1383">
        <f t="shared" ca="1" si="659"/>
        <v>1.0000000000000004</v>
      </c>
      <c r="T1383">
        <f t="shared" ca="1" si="660"/>
        <v>35.686426155594638</v>
      </c>
      <c r="U1383">
        <f t="shared" ca="1" si="681"/>
        <v>-3.3215251326055295E-3</v>
      </c>
      <c r="V1383">
        <f t="shared" ca="1" si="682"/>
        <v>1</v>
      </c>
      <c r="W1383">
        <f t="shared" ca="1" si="661"/>
        <v>1.6812012600874122</v>
      </c>
      <c r="X1383">
        <f t="shared" ca="1" si="662"/>
        <v>8.7422465524545441</v>
      </c>
      <c r="Y1383">
        <f t="shared" ca="1" si="663"/>
        <v>1.0210039217212656</v>
      </c>
      <c r="Z1383">
        <f t="shared" ca="1" si="664"/>
        <v>5.8280214009401128</v>
      </c>
      <c r="AA1383">
        <f t="shared" ca="1" si="665"/>
        <v>633.58420126008741</v>
      </c>
      <c r="AB1383">
        <f t="shared" ca="1" si="666"/>
        <v>635.31538543184149</v>
      </c>
      <c r="AC1383">
        <f t="shared" ca="1" si="667"/>
        <v>7.4334127262993951E-3</v>
      </c>
      <c r="AD1383">
        <f t="shared" ca="1" si="668"/>
        <v>1.4350822100368534</v>
      </c>
      <c r="AE1383">
        <f t="shared" ca="1" si="669"/>
        <v>37.617615674353473</v>
      </c>
      <c r="AF1383">
        <f t="shared" ca="1" si="670"/>
        <v>6.9334127263118717E-3</v>
      </c>
      <c r="AG1383">
        <f t="shared" ca="1" si="671"/>
        <v>0</v>
      </c>
      <c r="AH1383">
        <f ca="1">IFERROR(IF(V32="Supercritical",MAX($D$16,IFERROR(L1383,MAX($D$16,POWER((ABS(K1383)^2)/($I$5*MAX(F1383,0.1)^2),1/3)))),IF(V32="Subcritical",MAX($D$16,IFERROR(W1383,MAX($D$16,POWER((ABS(K1383)^2)/($I$5*MAX(F1383,0.1)^2),1/3)))),IF(AND(IFERROR(V1383,0)=1,IFERROR(AG1383,0)=1),IF(IFERROR(T1383,-1E+99)&gt;=IFERROR(AE1383,-1E+99),MAX($D$16,IFERROR(L1383,MAX($D$16,POWER((ABS(K1383)^2)/($I$5*MAX(F1383,0.1)^2),1/3)))),MAX($D$16,IFERROR(W1383,MAX($D$16,POWER((ABS(K1383)^2)/($I$5*MAX(F1383,0.1)^2),1/3))))),IF(IFERROR(V1383,0)=1,MAX($D$16,IFERROR(L1383,MAX($D$16,POWER((ABS(K1383)^2)/($I$5*MAX(F1383,0.1)^2),1/3)))),IF(IFERROR(AG1383,0)=1,MAX($D$16,IFERROR(W1383,MAX($D$16,POWER((ABS(K1383)^2)/($I$5*MAX(F1383,0.1)^2),1/3)))),MAX($D$16,POWER((ABS(K1383)^2)/($I$5*MAX(F1383,0.1)^2),1/3))))))),MAX($D$16,POWER((ABS(K1383)^2)/($I$5*MAX(F1383,0.1)^2),1/3)))</f>
        <v>2.1389677043987478</v>
      </c>
      <c r="AI1383">
        <f t="shared" ca="1" si="672"/>
        <v>634.04196770439876</v>
      </c>
      <c r="AJ1383">
        <f t="shared" ca="1" si="673"/>
        <v>635.11145155659813</v>
      </c>
      <c r="AM1383">
        <v>0</v>
      </c>
      <c r="AN1383">
        <v>0</v>
      </c>
      <c r="AO1383">
        <f t="shared" si="674"/>
        <v>0</v>
      </c>
      <c r="AP1383">
        <f t="shared" si="683"/>
        <v>0</v>
      </c>
      <c r="AQ1383">
        <f t="shared" ca="1" si="675"/>
        <v>1.0000000000000004</v>
      </c>
      <c r="AR1383" t="str">
        <f t="shared" ca="1" si="676"/>
        <v>Supercritical</v>
      </c>
      <c r="AS1383">
        <f t="shared" ca="1" si="677"/>
        <v>3.8141460404132466E-3</v>
      </c>
    </row>
    <row r="1384" spans="1:45" x14ac:dyDescent="0.35">
      <c r="A1384">
        <v>1323</v>
      </c>
      <c r="B1384">
        <v>1321.9960000000001</v>
      </c>
      <c r="C1384">
        <v>616067.68599999999</v>
      </c>
      <c r="D1384">
        <v>3096685.344</v>
      </c>
      <c r="E1384">
        <v>631.90250000000003</v>
      </c>
      <c r="F1384">
        <v>5.2</v>
      </c>
      <c r="G1384">
        <v>0</v>
      </c>
      <c r="H1384" t="s">
        <v>154</v>
      </c>
      <c r="I1384">
        <v>0</v>
      </c>
      <c r="J1384">
        <f t="shared" si="678"/>
        <v>1</v>
      </c>
      <c r="K1384">
        <f t="shared" ca="1" si="679"/>
        <v>50.95</v>
      </c>
      <c r="L1384">
        <f t="shared" ca="1" si="680"/>
        <v>2.1389677043987478</v>
      </c>
      <c r="M1384">
        <f t="shared" ca="1" si="653"/>
        <v>11.122632062873489</v>
      </c>
      <c r="N1384">
        <f t="shared" ca="1" si="654"/>
        <v>1.1735290000551568</v>
      </c>
      <c r="O1384">
        <f t="shared" ca="1" si="655"/>
        <v>4.5807502857230418</v>
      </c>
      <c r="P1384">
        <f t="shared" ca="1" si="656"/>
        <v>634.04146770439877</v>
      </c>
      <c r="Q1384">
        <f t="shared" ca="1" si="657"/>
        <v>635.11095155659814</v>
      </c>
      <c r="R1384">
        <f t="shared" ca="1" si="658"/>
        <v>3.8141460404132466E-3</v>
      </c>
      <c r="S1384">
        <f t="shared" ca="1" si="659"/>
        <v>1.0000000000000004</v>
      </c>
      <c r="T1384">
        <f t="shared" ca="1" si="660"/>
        <v>35.686426155594638</v>
      </c>
      <c r="U1384">
        <f t="shared" ca="1" si="681"/>
        <v>-3.3141460404522149E-3</v>
      </c>
      <c r="V1384">
        <f t="shared" ca="1" si="682"/>
        <v>1</v>
      </c>
      <c r="W1384">
        <f t="shared" ca="1" si="661"/>
        <v>1.6812012600864401</v>
      </c>
      <c r="X1384">
        <f t="shared" ca="1" si="662"/>
        <v>8.7422465524494886</v>
      </c>
      <c r="Y1384">
        <f t="shared" ca="1" si="663"/>
        <v>1.0210039217209068</v>
      </c>
      <c r="Z1384">
        <f t="shared" ca="1" si="664"/>
        <v>5.8280214009434834</v>
      </c>
      <c r="AA1384">
        <f t="shared" ca="1" si="665"/>
        <v>633.58370126008651</v>
      </c>
      <c r="AB1384">
        <f t="shared" ca="1" si="666"/>
        <v>635.31488543184264</v>
      </c>
      <c r="AC1384">
        <f t="shared" ca="1" si="667"/>
        <v>7.4334127263114749E-3</v>
      </c>
      <c r="AD1384">
        <f t="shared" ca="1" si="668"/>
        <v>1.4350822100380984</v>
      </c>
      <c r="AE1384">
        <f t="shared" ca="1" si="669"/>
        <v>37.617615674362476</v>
      </c>
      <c r="AF1384">
        <f t="shared" ca="1" si="670"/>
        <v>7.0978752225983044E-3</v>
      </c>
      <c r="AG1384">
        <f t="shared" ca="1" si="671"/>
        <v>0</v>
      </c>
      <c r="AH1384">
        <f ca="1">IFERROR(IF(V32="Supercritical",MAX($D$16,IFERROR(L1384,MAX($D$16,POWER((ABS(K1384)^2)/($I$5*MAX(F1384,0.1)^2),1/3)))),IF(V32="Subcritical",MAX($D$16,IFERROR(W1384,MAX($D$16,POWER((ABS(K1384)^2)/($I$5*MAX(F1384,0.1)^2),1/3)))),IF(AND(IFERROR(V1384,0)=1,IFERROR(AG1384,0)=1),IF(IFERROR(T1384,-1E+99)&gt;=IFERROR(AE1384,-1E+99),MAX($D$16,IFERROR(L1384,MAX($D$16,POWER((ABS(K1384)^2)/($I$5*MAX(F1384,0.1)^2),1/3)))),MAX($D$16,IFERROR(W1384,MAX($D$16,POWER((ABS(K1384)^2)/($I$5*MAX(F1384,0.1)^2),1/3))))),IF(IFERROR(V1384,0)=1,MAX($D$16,IFERROR(L1384,MAX($D$16,POWER((ABS(K1384)^2)/($I$5*MAX(F1384,0.1)^2),1/3)))),IF(IFERROR(AG1384,0)=1,MAX($D$16,IFERROR(W1384,MAX($D$16,POWER((ABS(K1384)^2)/($I$5*MAX(F1384,0.1)^2),1/3)))),MAX($D$16,POWER((ABS(K1384)^2)/($I$5*MAX(F1384,0.1)^2),1/3))))))),MAX($D$16,POWER((ABS(K1384)^2)/($I$5*MAX(F1384,0.1)^2),1/3)))</f>
        <v>2.1389677043987478</v>
      </c>
      <c r="AI1384">
        <f t="shared" ca="1" si="672"/>
        <v>634.04146770439877</v>
      </c>
      <c r="AJ1384">
        <f t="shared" ca="1" si="673"/>
        <v>635.11095155659814</v>
      </c>
      <c r="AM1384">
        <v>0</v>
      </c>
      <c r="AN1384">
        <v>0</v>
      </c>
      <c r="AO1384">
        <f t="shared" si="674"/>
        <v>0</v>
      </c>
      <c r="AP1384">
        <f t="shared" si="683"/>
        <v>0</v>
      </c>
      <c r="AQ1384">
        <f t="shared" ca="1" si="675"/>
        <v>1.0000000000000004</v>
      </c>
      <c r="AR1384" t="str">
        <f t="shared" ca="1" si="676"/>
        <v>Supercritical</v>
      </c>
      <c r="AS1384">
        <f t="shared" ca="1" si="677"/>
        <v>3.8141460404132466E-3</v>
      </c>
    </row>
    <row r="1385" spans="1:45" x14ac:dyDescent="0.35">
      <c r="A1385">
        <v>1324</v>
      </c>
      <c r="B1385">
        <v>1322.9960000000001</v>
      </c>
      <c r="C1385">
        <v>616067.64399999997</v>
      </c>
      <c r="D1385">
        <v>3096684.3450000002</v>
      </c>
      <c r="E1385">
        <v>631.90200000000004</v>
      </c>
      <c r="F1385">
        <v>5.2</v>
      </c>
      <c r="G1385">
        <v>0</v>
      </c>
      <c r="H1385" t="s">
        <v>154</v>
      </c>
      <c r="I1385">
        <v>5.7000000000000002E-2</v>
      </c>
      <c r="J1385">
        <f t="shared" si="678"/>
        <v>1</v>
      </c>
      <c r="K1385">
        <f t="shared" ca="1" si="679"/>
        <v>50.95</v>
      </c>
      <c r="L1385">
        <f t="shared" ca="1" si="680"/>
        <v>2.1389677043987478</v>
      </c>
      <c r="M1385">
        <f t="shared" ca="1" si="653"/>
        <v>11.122632062873489</v>
      </c>
      <c r="N1385">
        <f t="shared" ca="1" si="654"/>
        <v>1.1735290000551568</v>
      </c>
      <c r="O1385">
        <f t="shared" ca="1" si="655"/>
        <v>4.5807502857230418</v>
      </c>
      <c r="P1385">
        <f t="shared" ca="1" si="656"/>
        <v>634.04096770439878</v>
      </c>
      <c r="Q1385">
        <f t="shared" ca="1" si="657"/>
        <v>635.11045155659815</v>
      </c>
      <c r="R1385">
        <f t="shared" ca="1" si="658"/>
        <v>3.8141460404132466E-3</v>
      </c>
      <c r="S1385">
        <f t="shared" ca="1" si="659"/>
        <v>1.0000000000000004</v>
      </c>
      <c r="T1385">
        <f t="shared" ca="1" si="660"/>
        <v>35.686426155594638</v>
      </c>
      <c r="U1385">
        <f t="shared" ca="1" si="681"/>
        <v>-3.4157470064428708E-3</v>
      </c>
      <c r="V1385">
        <f t="shared" ca="1" si="682"/>
        <v>1</v>
      </c>
      <c r="W1385">
        <f t="shared" ca="1" si="661"/>
        <v>1.6812012600855533</v>
      </c>
      <c r="X1385">
        <f t="shared" ca="1" si="662"/>
        <v>8.7422465524448771</v>
      </c>
      <c r="Y1385">
        <f t="shared" ca="1" si="663"/>
        <v>1.02100392172058</v>
      </c>
      <c r="Z1385">
        <f t="shared" ca="1" si="664"/>
        <v>5.8280214009465574</v>
      </c>
      <c r="AA1385">
        <f t="shared" ca="1" si="665"/>
        <v>633.58320126008562</v>
      </c>
      <c r="AB1385">
        <f t="shared" ca="1" si="666"/>
        <v>635.31438543184356</v>
      </c>
      <c r="AC1385">
        <f t="shared" ca="1" si="667"/>
        <v>7.4334127263224921E-3</v>
      </c>
      <c r="AD1385">
        <f t="shared" ca="1" si="668"/>
        <v>1.4350822100392338</v>
      </c>
      <c r="AE1385">
        <f t="shared" ca="1" si="669"/>
        <v>37.617615674370697</v>
      </c>
      <c r="AF1385">
        <f t="shared" ca="1" si="670"/>
        <v>7.0978752225983044E-3</v>
      </c>
      <c r="AG1385">
        <f t="shared" ca="1" si="671"/>
        <v>0</v>
      </c>
      <c r="AH1385">
        <f ca="1">IFERROR(IF(V32="Supercritical",MAX($D$16,IFERROR(L1385,MAX($D$16,POWER((ABS(K1385)^2)/($I$5*MAX(F1385,0.1)^2),1/3)))),IF(V32="Subcritical",MAX($D$16,IFERROR(W1385,MAX($D$16,POWER((ABS(K1385)^2)/($I$5*MAX(F1385,0.1)^2),1/3)))),IF(AND(IFERROR(V1385,0)=1,IFERROR(AG1385,0)=1),IF(IFERROR(T1385,-1E+99)&gt;=IFERROR(AE1385,-1E+99),MAX($D$16,IFERROR(L1385,MAX($D$16,POWER((ABS(K1385)^2)/($I$5*MAX(F1385,0.1)^2),1/3)))),MAX($D$16,IFERROR(W1385,MAX($D$16,POWER((ABS(K1385)^2)/($I$5*MAX(F1385,0.1)^2),1/3))))),IF(IFERROR(V1385,0)=1,MAX($D$16,IFERROR(L1385,MAX($D$16,POWER((ABS(K1385)^2)/($I$5*MAX(F1385,0.1)^2),1/3)))),IF(IFERROR(AG1385,0)=1,MAX($D$16,IFERROR(W1385,MAX($D$16,POWER((ABS(K1385)^2)/($I$5*MAX(F1385,0.1)^2),1/3)))),MAX($D$16,POWER((ABS(K1385)^2)/($I$5*MAX(F1385,0.1)^2),1/3))))))),MAX($D$16,POWER((ABS(K1385)^2)/($I$5*MAX(F1385,0.1)^2),1/3)))</f>
        <v>2.1389677043987478</v>
      </c>
      <c r="AI1385">
        <f t="shared" ca="1" si="672"/>
        <v>634.04096770439878</v>
      </c>
      <c r="AJ1385">
        <f t="shared" ca="1" si="673"/>
        <v>635.11045155659815</v>
      </c>
      <c r="AM1385">
        <v>0</v>
      </c>
      <c r="AN1385">
        <v>0</v>
      </c>
      <c r="AO1385">
        <f t="shared" si="674"/>
        <v>0</v>
      </c>
      <c r="AP1385">
        <f t="shared" si="683"/>
        <v>0</v>
      </c>
      <c r="AQ1385">
        <f t="shared" ca="1" si="675"/>
        <v>1.0000000000000004</v>
      </c>
      <c r="AR1385" t="str">
        <f t="shared" ca="1" si="676"/>
        <v>Supercritical</v>
      </c>
      <c r="AS1385">
        <f t="shared" ca="1" si="677"/>
        <v>3.8141460404132466E-3</v>
      </c>
    </row>
    <row r="1386" spans="1:45" x14ac:dyDescent="0.35">
      <c r="A1386">
        <v>1325</v>
      </c>
      <c r="B1386">
        <v>1323.9960000000001</v>
      </c>
      <c r="C1386">
        <v>616067.60100000002</v>
      </c>
      <c r="D1386">
        <v>3096683.3459999999</v>
      </c>
      <c r="E1386">
        <v>631.90150000000006</v>
      </c>
      <c r="F1386">
        <v>5.2</v>
      </c>
      <c r="G1386">
        <v>0</v>
      </c>
      <c r="H1386" t="s">
        <v>154</v>
      </c>
      <c r="I1386">
        <v>5.7000000000000002E-2</v>
      </c>
      <c r="J1386">
        <f t="shared" si="678"/>
        <v>1</v>
      </c>
      <c r="K1386">
        <f t="shared" ca="1" si="679"/>
        <v>50.95</v>
      </c>
      <c r="L1386">
        <f t="shared" ca="1" si="680"/>
        <v>2.1389677043987478</v>
      </c>
      <c r="M1386">
        <f t="shared" ca="1" si="653"/>
        <v>11.122632062873489</v>
      </c>
      <c r="N1386">
        <f t="shared" ca="1" si="654"/>
        <v>1.1735290000551568</v>
      </c>
      <c r="O1386">
        <f t="shared" ca="1" si="655"/>
        <v>4.5807502857230418</v>
      </c>
      <c r="P1386">
        <f t="shared" ca="1" si="656"/>
        <v>634.04046770439879</v>
      </c>
      <c r="Q1386">
        <f t="shared" ca="1" si="657"/>
        <v>635.10995155659816</v>
      </c>
      <c r="R1386">
        <f t="shared" ca="1" si="658"/>
        <v>3.8141460404132466E-3</v>
      </c>
      <c r="S1386">
        <f t="shared" ca="1" si="659"/>
        <v>1.0000000000000004</v>
      </c>
      <c r="T1386">
        <f t="shared" ca="1" si="660"/>
        <v>35.686426155594638</v>
      </c>
      <c r="U1386">
        <f t="shared" ca="1" si="681"/>
        <v>-3.4157470064428708E-3</v>
      </c>
      <c r="V1386">
        <f t="shared" ca="1" si="682"/>
        <v>1</v>
      </c>
      <c r="W1386">
        <f t="shared" ca="1" si="661"/>
        <v>1.6812012600847177</v>
      </c>
      <c r="X1386">
        <f t="shared" ca="1" si="662"/>
        <v>8.7422465524405322</v>
      </c>
      <c r="Y1386">
        <f t="shared" ca="1" si="663"/>
        <v>1.0210039217202718</v>
      </c>
      <c r="Z1386">
        <f t="shared" ca="1" si="664"/>
        <v>5.8280214009494538</v>
      </c>
      <c r="AA1386">
        <f t="shared" ca="1" si="665"/>
        <v>633.58270126008472</v>
      </c>
      <c r="AB1386">
        <f t="shared" ca="1" si="666"/>
        <v>635.31388543184437</v>
      </c>
      <c r="AC1386">
        <f t="shared" ca="1" si="667"/>
        <v>7.4334127263328727E-3</v>
      </c>
      <c r="AD1386">
        <f t="shared" ca="1" si="668"/>
        <v>1.4350822100403036</v>
      </c>
      <c r="AE1386">
        <f t="shared" ca="1" si="669"/>
        <v>37.617615674378428</v>
      </c>
      <c r="AF1386">
        <f t="shared" ca="1" si="670"/>
        <v>6.9334127261981848E-3</v>
      </c>
      <c r="AG1386">
        <f t="shared" ca="1" si="671"/>
        <v>0</v>
      </c>
      <c r="AH1386">
        <f ca="1">IFERROR(IF(V32="Supercritical",MAX($D$16,IFERROR(L1386,MAX($D$16,POWER((ABS(K1386)^2)/($I$5*MAX(F1386,0.1)^2),1/3)))),IF(V32="Subcritical",MAX($D$16,IFERROR(W1386,MAX($D$16,POWER((ABS(K1386)^2)/($I$5*MAX(F1386,0.1)^2),1/3)))),IF(AND(IFERROR(V1386,0)=1,IFERROR(AG1386,0)=1),IF(IFERROR(T1386,-1E+99)&gt;=IFERROR(AE1386,-1E+99),MAX($D$16,IFERROR(L1386,MAX($D$16,POWER((ABS(K1386)^2)/($I$5*MAX(F1386,0.1)^2),1/3)))),MAX($D$16,IFERROR(W1386,MAX($D$16,POWER((ABS(K1386)^2)/($I$5*MAX(F1386,0.1)^2),1/3))))),IF(IFERROR(V1386,0)=1,MAX($D$16,IFERROR(L1386,MAX($D$16,POWER((ABS(K1386)^2)/($I$5*MAX(F1386,0.1)^2),1/3)))),IF(IFERROR(AG1386,0)=1,MAX($D$16,IFERROR(W1386,MAX($D$16,POWER((ABS(K1386)^2)/($I$5*MAX(F1386,0.1)^2),1/3)))),MAX($D$16,POWER((ABS(K1386)^2)/($I$5*MAX(F1386,0.1)^2),1/3))))))),MAX($D$16,POWER((ABS(K1386)^2)/($I$5*MAX(F1386,0.1)^2),1/3)))</f>
        <v>2.1389677043987478</v>
      </c>
      <c r="AI1386">
        <f t="shared" ca="1" si="672"/>
        <v>634.04046770439879</v>
      </c>
      <c r="AJ1386">
        <f t="shared" ca="1" si="673"/>
        <v>635.10995155659816</v>
      </c>
      <c r="AM1386">
        <v>0</v>
      </c>
      <c r="AN1386">
        <v>0</v>
      </c>
      <c r="AO1386">
        <f t="shared" si="674"/>
        <v>0</v>
      </c>
      <c r="AP1386">
        <f t="shared" si="683"/>
        <v>0</v>
      </c>
      <c r="AQ1386">
        <f t="shared" ca="1" si="675"/>
        <v>1.0000000000000004</v>
      </c>
      <c r="AR1386" t="str">
        <f t="shared" ca="1" si="676"/>
        <v>Supercritical</v>
      </c>
      <c r="AS1386">
        <f t="shared" ca="1" si="677"/>
        <v>3.8141460404132466E-3</v>
      </c>
    </row>
    <row r="1387" spans="1:45" x14ac:dyDescent="0.35">
      <c r="A1387">
        <v>1326</v>
      </c>
      <c r="B1387">
        <v>1324.9960000000001</v>
      </c>
      <c r="C1387">
        <v>616067.55900000001</v>
      </c>
      <c r="D1387">
        <v>3096682.3470000001</v>
      </c>
      <c r="E1387">
        <v>631.90099999999995</v>
      </c>
      <c r="F1387">
        <v>5.2</v>
      </c>
      <c r="G1387">
        <v>0</v>
      </c>
      <c r="H1387" t="s">
        <v>154</v>
      </c>
      <c r="I1387">
        <v>0</v>
      </c>
      <c r="J1387">
        <f t="shared" si="678"/>
        <v>1</v>
      </c>
      <c r="K1387">
        <f t="shared" ca="1" si="679"/>
        <v>50.95</v>
      </c>
      <c r="L1387">
        <f t="shared" ca="1" si="680"/>
        <v>2.1389677043987478</v>
      </c>
      <c r="M1387">
        <f t="shared" ca="1" si="653"/>
        <v>11.122632062873489</v>
      </c>
      <c r="N1387">
        <f t="shared" ca="1" si="654"/>
        <v>1.1735290000551568</v>
      </c>
      <c r="O1387">
        <f t="shared" ca="1" si="655"/>
        <v>4.5807502857230418</v>
      </c>
      <c r="P1387">
        <f t="shared" ca="1" si="656"/>
        <v>634.03996770439869</v>
      </c>
      <c r="Q1387">
        <f t="shared" ca="1" si="657"/>
        <v>635.10945155659806</v>
      </c>
      <c r="R1387">
        <f t="shared" ca="1" si="658"/>
        <v>3.8141460404132466E-3</v>
      </c>
      <c r="S1387">
        <f t="shared" ca="1" si="659"/>
        <v>1.0000000000000004</v>
      </c>
      <c r="T1387">
        <f t="shared" ca="1" si="660"/>
        <v>35.686426155594638</v>
      </c>
      <c r="U1387">
        <f t="shared" ca="1" si="681"/>
        <v>-3.3141460403385281E-3</v>
      </c>
      <c r="V1387">
        <f t="shared" ca="1" si="682"/>
        <v>1</v>
      </c>
      <c r="W1387">
        <f t="shared" ca="1" si="661"/>
        <v>1.6812012600839161</v>
      </c>
      <c r="X1387">
        <f t="shared" ca="1" si="662"/>
        <v>8.7422465524363648</v>
      </c>
      <c r="Y1387">
        <f t="shared" ca="1" si="663"/>
        <v>1.0210039217199762</v>
      </c>
      <c r="Z1387">
        <f t="shared" ca="1" si="664"/>
        <v>5.828021400952232</v>
      </c>
      <c r="AA1387">
        <f t="shared" ca="1" si="665"/>
        <v>633.58220126008382</v>
      </c>
      <c r="AB1387">
        <f t="shared" ca="1" si="666"/>
        <v>635.31338543184518</v>
      </c>
      <c r="AC1387">
        <f t="shared" ca="1" si="667"/>
        <v>7.4334127263428283E-3</v>
      </c>
      <c r="AD1387">
        <f t="shared" ca="1" si="668"/>
        <v>1.4350822100413299</v>
      </c>
      <c r="AE1387">
        <f t="shared" ca="1" si="669"/>
        <v>37.617615674385853</v>
      </c>
      <c r="AF1387">
        <f t="shared" ca="1" si="670"/>
        <v>6.9334127263118717E-3</v>
      </c>
      <c r="AG1387">
        <f t="shared" ca="1" si="671"/>
        <v>0</v>
      </c>
      <c r="AH1387">
        <f ca="1">IFERROR(IF(V32="Supercritical",MAX($D$16,IFERROR(L1387,MAX($D$16,POWER((ABS(K1387)^2)/($I$5*MAX(F1387,0.1)^2),1/3)))),IF(V32="Subcritical",MAX($D$16,IFERROR(W1387,MAX($D$16,POWER((ABS(K1387)^2)/($I$5*MAX(F1387,0.1)^2),1/3)))),IF(AND(IFERROR(V1387,0)=1,IFERROR(AG1387,0)=1),IF(IFERROR(T1387,-1E+99)&gt;=IFERROR(AE1387,-1E+99),MAX($D$16,IFERROR(L1387,MAX($D$16,POWER((ABS(K1387)^2)/($I$5*MAX(F1387,0.1)^2),1/3)))),MAX($D$16,IFERROR(W1387,MAX($D$16,POWER((ABS(K1387)^2)/($I$5*MAX(F1387,0.1)^2),1/3))))),IF(IFERROR(V1387,0)=1,MAX($D$16,IFERROR(L1387,MAX($D$16,POWER((ABS(K1387)^2)/($I$5*MAX(F1387,0.1)^2),1/3)))),IF(IFERROR(AG1387,0)=1,MAX($D$16,IFERROR(W1387,MAX($D$16,POWER((ABS(K1387)^2)/($I$5*MAX(F1387,0.1)^2),1/3)))),MAX($D$16,POWER((ABS(K1387)^2)/($I$5*MAX(F1387,0.1)^2),1/3))))))),MAX($D$16,POWER((ABS(K1387)^2)/($I$5*MAX(F1387,0.1)^2),1/3)))</f>
        <v>2.1389677043987478</v>
      </c>
      <c r="AI1387">
        <f t="shared" ca="1" si="672"/>
        <v>634.03996770439869</v>
      </c>
      <c r="AJ1387">
        <f t="shared" ca="1" si="673"/>
        <v>635.10945155659806</v>
      </c>
      <c r="AM1387">
        <v>0</v>
      </c>
      <c r="AN1387">
        <v>0</v>
      </c>
      <c r="AO1387">
        <f t="shared" si="674"/>
        <v>0</v>
      </c>
      <c r="AP1387">
        <f t="shared" si="683"/>
        <v>0</v>
      </c>
      <c r="AQ1387">
        <f t="shared" ca="1" si="675"/>
        <v>1.0000000000000004</v>
      </c>
      <c r="AR1387" t="str">
        <f t="shared" ca="1" si="676"/>
        <v>Supercritical</v>
      </c>
      <c r="AS1387">
        <f t="shared" ca="1" si="677"/>
        <v>3.8141460404132466E-3</v>
      </c>
    </row>
    <row r="1388" spans="1:45" x14ac:dyDescent="0.35">
      <c r="A1388">
        <v>1327</v>
      </c>
      <c r="B1388">
        <v>1325.9960000000001</v>
      </c>
      <c r="C1388">
        <v>616067.51699999999</v>
      </c>
      <c r="D1388">
        <v>3096681.3480000002</v>
      </c>
      <c r="E1388">
        <v>631.90049999999997</v>
      </c>
      <c r="F1388">
        <v>5.2</v>
      </c>
      <c r="G1388">
        <v>0</v>
      </c>
      <c r="H1388" t="s">
        <v>154</v>
      </c>
      <c r="I1388">
        <v>0</v>
      </c>
      <c r="J1388">
        <f t="shared" si="678"/>
        <v>1</v>
      </c>
      <c r="K1388">
        <f t="shared" ca="1" si="679"/>
        <v>50.95</v>
      </c>
      <c r="L1388">
        <f t="shared" ca="1" si="680"/>
        <v>2.1389677043987478</v>
      </c>
      <c r="M1388">
        <f t="shared" ca="1" si="653"/>
        <v>11.122632062873489</v>
      </c>
      <c r="N1388">
        <f t="shared" ca="1" si="654"/>
        <v>1.1735290000551568</v>
      </c>
      <c r="O1388">
        <f t="shared" ca="1" si="655"/>
        <v>4.5807502857230418</v>
      </c>
      <c r="P1388">
        <f t="shared" ca="1" si="656"/>
        <v>634.0394677043987</v>
      </c>
      <c r="Q1388">
        <f t="shared" ca="1" si="657"/>
        <v>635.10895155659807</v>
      </c>
      <c r="R1388">
        <f t="shared" ca="1" si="658"/>
        <v>3.8141460404132466E-3</v>
      </c>
      <c r="S1388">
        <f t="shared" ca="1" si="659"/>
        <v>1.0000000000000004</v>
      </c>
      <c r="T1388">
        <f t="shared" ca="1" si="660"/>
        <v>35.686426155594638</v>
      </c>
      <c r="U1388">
        <f t="shared" ca="1" si="681"/>
        <v>-3.3141460404522149E-3</v>
      </c>
      <c r="V1388">
        <f t="shared" ca="1" si="682"/>
        <v>1</v>
      </c>
      <c r="W1388">
        <f t="shared" ca="1" si="661"/>
        <v>1.6812012600831658</v>
      </c>
      <c r="X1388">
        <f t="shared" ca="1" si="662"/>
        <v>8.7422465524324622</v>
      </c>
      <c r="Y1388">
        <f t="shared" ca="1" si="663"/>
        <v>1.0210039217196993</v>
      </c>
      <c r="Z1388">
        <f t="shared" ca="1" si="664"/>
        <v>5.8280214009548335</v>
      </c>
      <c r="AA1388">
        <f t="shared" ca="1" si="665"/>
        <v>633.58170126008315</v>
      </c>
      <c r="AB1388">
        <f t="shared" ca="1" si="666"/>
        <v>635.31288543184598</v>
      </c>
      <c r="AC1388">
        <f t="shared" ca="1" si="667"/>
        <v>7.4334127263521507E-3</v>
      </c>
      <c r="AD1388">
        <f t="shared" ca="1" si="668"/>
        <v>1.4350822100422909</v>
      </c>
      <c r="AE1388">
        <f t="shared" ca="1" si="669"/>
        <v>37.617615674392802</v>
      </c>
      <c r="AF1388">
        <f t="shared" ca="1" si="670"/>
        <v>7.0904418099644317E-3</v>
      </c>
      <c r="AG1388">
        <f t="shared" ca="1" si="671"/>
        <v>0</v>
      </c>
      <c r="AH1388">
        <f ca="1">IFERROR(IF(V32="Supercritical",MAX($D$16,IFERROR(L1388,MAX($D$16,POWER((ABS(K1388)^2)/($I$5*MAX(F1388,0.1)^2),1/3)))),IF(V32="Subcritical",MAX($D$16,IFERROR(W1388,MAX($D$16,POWER((ABS(K1388)^2)/($I$5*MAX(F1388,0.1)^2),1/3)))),IF(AND(IFERROR(V1388,0)=1,IFERROR(AG1388,0)=1),IF(IFERROR(T1388,-1E+99)&gt;=IFERROR(AE1388,-1E+99),MAX($D$16,IFERROR(L1388,MAX($D$16,POWER((ABS(K1388)^2)/($I$5*MAX(F1388,0.1)^2),1/3)))),MAX($D$16,IFERROR(W1388,MAX($D$16,POWER((ABS(K1388)^2)/($I$5*MAX(F1388,0.1)^2),1/3))))),IF(IFERROR(V1388,0)=1,MAX($D$16,IFERROR(L1388,MAX($D$16,POWER((ABS(K1388)^2)/($I$5*MAX(F1388,0.1)^2),1/3)))),IF(IFERROR(AG1388,0)=1,MAX($D$16,IFERROR(W1388,MAX($D$16,POWER((ABS(K1388)^2)/($I$5*MAX(F1388,0.1)^2),1/3)))),MAX($D$16,POWER((ABS(K1388)^2)/($I$5*MAX(F1388,0.1)^2),1/3))))))),MAX($D$16,POWER((ABS(K1388)^2)/($I$5*MAX(F1388,0.1)^2),1/3)))</f>
        <v>2.1389677043987478</v>
      </c>
      <c r="AI1388">
        <f t="shared" ca="1" si="672"/>
        <v>634.0394677043987</v>
      </c>
      <c r="AJ1388">
        <f t="shared" ca="1" si="673"/>
        <v>635.10895155659807</v>
      </c>
      <c r="AM1388">
        <v>0</v>
      </c>
      <c r="AN1388">
        <v>0</v>
      </c>
      <c r="AO1388">
        <f t="shared" si="674"/>
        <v>0</v>
      </c>
      <c r="AP1388">
        <f t="shared" si="683"/>
        <v>0</v>
      </c>
      <c r="AQ1388">
        <f t="shared" ca="1" si="675"/>
        <v>1.0000000000000004</v>
      </c>
      <c r="AR1388" t="str">
        <f t="shared" ca="1" si="676"/>
        <v>Supercritical</v>
      </c>
      <c r="AS1388">
        <f t="shared" ca="1" si="677"/>
        <v>3.8141460404132466E-3</v>
      </c>
    </row>
    <row r="1389" spans="1:45" x14ac:dyDescent="0.35">
      <c r="A1389">
        <v>1328</v>
      </c>
      <c r="B1389">
        <v>1326.9949999999999</v>
      </c>
      <c r="C1389">
        <v>616067.47499999998</v>
      </c>
      <c r="D1389">
        <v>3096680.3489999999</v>
      </c>
      <c r="E1389">
        <v>631.9</v>
      </c>
      <c r="F1389">
        <v>5.2</v>
      </c>
      <c r="G1389">
        <v>0</v>
      </c>
      <c r="H1389" t="s">
        <v>154</v>
      </c>
      <c r="I1389">
        <v>5.7000000000000002E-2</v>
      </c>
      <c r="J1389">
        <f t="shared" si="678"/>
        <v>0.99899999999979627</v>
      </c>
      <c r="K1389">
        <f t="shared" ca="1" si="679"/>
        <v>50.95</v>
      </c>
      <c r="L1389">
        <f t="shared" ca="1" si="680"/>
        <v>2.1389677043987478</v>
      </c>
      <c r="M1389">
        <f t="shared" ca="1" si="653"/>
        <v>11.122632062873489</v>
      </c>
      <c r="N1389">
        <f t="shared" ca="1" si="654"/>
        <v>1.1735290000551568</v>
      </c>
      <c r="O1389">
        <f t="shared" ca="1" si="655"/>
        <v>4.5807502857230418</v>
      </c>
      <c r="P1389">
        <f t="shared" ca="1" si="656"/>
        <v>634.03896770439871</v>
      </c>
      <c r="Q1389">
        <f t="shared" ca="1" si="657"/>
        <v>635.10845155659808</v>
      </c>
      <c r="R1389">
        <f t="shared" ca="1" si="658"/>
        <v>3.8141460404132466E-3</v>
      </c>
      <c r="S1389">
        <f t="shared" ca="1" si="659"/>
        <v>1.0000000000000004</v>
      </c>
      <c r="T1389">
        <f t="shared" ca="1" si="660"/>
        <v>35.686426155594638</v>
      </c>
      <c r="U1389">
        <f t="shared" ca="1" si="681"/>
        <v>-3.411932860331035E-3</v>
      </c>
      <c r="V1389">
        <f t="shared" ca="1" si="682"/>
        <v>1</v>
      </c>
      <c r="W1389">
        <f t="shared" ca="1" si="661"/>
        <v>1.6812012600824666</v>
      </c>
      <c r="X1389">
        <f t="shared" ca="1" si="662"/>
        <v>8.742246552428826</v>
      </c>
      <c r="Y1389">
        <f t="shared" ca="1" si="663"/>
        <v>1.0210039217194413</v>
      </c>
      <c r="Z1389">
        <f t="shared" ca="1" si="664"/>
        <v>5.8280214009572573</v>
      </c>
      <c r="AA1389">
        <f t="shared" ca="1" si="665"/>
        <v>633.58120126008248</v>
      </c>
      <c r="AB1389">
        <f t="shared" ca="1" si="666"/>
        <v>635.31238543184679</v>
      </c>
      <c r="AC1389">
        <f t="shared" ca="1" si="667"/>
        <v>7.4334127263608399E-3</v>
      </c>
      <c r="AD1389">
        <f t="shared" ca="1" si="668"/>
        <v>1.4350822100431861</v>
      </c>
      <c r="AE1389">
        <f t="shared" ca="1" si="669"/>
        <v>37.617615674399282</v>
      </c>
      <c r="AF1389">
        <f t="shared" ca="1" si="670"/>
        <v>7.0978752227119912E-3</v>
      </c>
      <c r="AG1389">
        <f t="shared" ca="1" si="671"/>
        <v>0</v>
      </c>
      <c r="AH1389">
        <f ca="1">IFERROR(IF(V32="Supercritical",MAX($D$16,IFERROR(L1389,MAX($D$16,POWER((ABS(K1389)^2)/($I$5*MAX(F1389,0.1)^2),1/3)))),IF(V32="Subcritical",MAX($D$16,IFERROR(W1389,MAX($D$16,POWER((ABS(K1389)^2)/($I$5*MAX(F1389,0.1)^2),1/3)))),IF(AND(IFERROR(V1389,0)=1,IFERROR(AG1389,0)=1),IF(IFERROR(T1389,-1E+99)&gt;=IFERROR(AE1389,-1E+99),MAX($D$16,IFERROR(L1389,MAX($D$16,POWER((ABS(K1389)^2)/($I$5*MAX(F1389,0.1)^2),1/3)))),MAX($D$16,IFERROR(W1389,MAX($D$16,POWER((ABS(K1389)^2)/($I$5*MAX(F1389,0.1)^2),1/3))))),IF(IFERROR(V1389,0)=1,MAX($D$16,IFERROR(L1389,MAX($D$16,POWER((ABS(K1389)^2)/($I$5*MAX(F1389,0.1)^2),1/3)))),IF(IFERROR(AG1389,0)=1,MAX($D$16,IFERROR(W1389,MAX($D$16,POWER((ABS(K1389)^2)/($I$5*MAX(F1389,0.1)^2),1/3)))),MAX($D$16,POWER((ABS(K1389)^2)/($I$5*MAX(F1389,0.1)^2),1/3))))))),MAX($D$16,POWER((ABS(K1389)^2)/($I$5*MAX(F1389,0.1)^2),1/3)))</f>
        <v>2.1389677043987478</v>
      </c>
      <c r="AI1389">
        <f t="shared" ca="1" si="672"/>
        <v>634.03896770439871</v>
      </c>
      <c r="AJ1389">
        <f t="shared" ca="1" si="673"/>
        <v>635.10845155659808</v>
      </c>
      <c r="AM1389">
        <v>0</v>
      </c>
      <c r="AN1389">
        <v>0</v>
      </c>
      <c r="AO1389">
        <f t="shared" si="674"/>
        <v>0</v>
      </c>
      <c r="AP1389">
        <f t="shared" si="683"/>
        <v>0</v>
      </c>
      <c r="AQ1389">
        <f t="shared" ca="1" si="675"/>
        <v>1.0000000000000004</v>
      </c>
      <c r="AR1389" t="str">
        <f t="shared" ca="1" si="676"/>
        <v>Supercritical</v>
      </c>
      <c r="AS1389">
        <f t="shared" ca="1" si="677"/>
        <v>3.8141460404132466E-3</v>
      </c>
    </row>
    <row r="1390" spans="1:45" x14ac:dyDescent="0.35">
      <c r="A1390">
        <v>1329</v>
      </c>
      <c r="B1390">
        <v>1327.9949999999999</v>
      </c>
      <c r="C1390">
        <v>616067.43200000003</v>
      </c>
      <c r="D1390">
        <v>3096679.35</v>
      </c>
      <c r="E1390">
        <v>631.89949999999999</v>
      </c>
      <c r="F1390">
        <v>5.2</v>
      </c>
      <c r="G1390">
        <v>0</v>
      </c>
      <c r="H1390" t="s">
        <v>154</v>
      </c>
      <c r="I1390">
        <v>5.7000000000000002E-2</v>
      </c>
      <c r="J1390">
        <f t="shared" si="678"/>
        <v>1</v>
      </c>
      <c r="K1390">
        <f t="shared" ca="1" si="679"/>
        <v>50.95</v>
      </c>
      <c r="L1390">
        <f t="shared" ca="1" si="680"/>
        <v>2.1389677043987478</v>
      </c>
      <c r="M1390">
        <f t="shared" ca="1" si="653"/>
        <v>11.122632062873489</v>
      </c>
      <c r="N1390">
        <f t="shared" ca="1" si="654"/>
        <v>1.1735290000551568</v>
      </c>
      <c r="O1390">
        <f t="shared" ca="1" si="655"/>
        <v>4.5807502857230418</v>
      </c>
      <c r="P1390">
        <f t="shared" ca="1" si="656"/>
        <v>634.03846770439873</v>
      </c>
      <c r="Q1390">
        <f t="shared" ca="1" si="657"/>
        <v>635.1079515565981</v>
      </c>
      <c r="R1390">
        <f t="shared" ca="1" si="658"/>
        <v>3.8141460404132466E-3</v>
      </c>
      <c r="S1390">
        <f t="shared" ca="1" si="659"/>
        <v>1.0000000000000004</v>
      </c>
      <c r="T1390">
        <f t="shared" ca="1" si="660"/>
        <v>35.686426155594638</v>
      </c>
      <c r="U1390">
        <f t="shared" ca="1" si="681"/>
        <v>-3.4157470064428708E-3</v>
      </c>
      <c r="V1390">
        <f t="shared" ca="1" si="682"/>
        <v>1</v>
      </c>
      <c r="W1390">
        <f t="shared" ca="1" si="661"/>
        <v>1.6812012600818356</v>
      </c>
      <c r="X1390">
        <f t="shared" ca="1" si="662"/>
        <v>8.742246552425545</v>
      </c>
      <c r="Y1390">
        <f t="shared" ca="1" si="663"/>
        <v>1.0210039217192088</v>
      </c>
      <c r="Z1390">
        <f t="shared" ca="1" si="664"/>
        <v>5.8280214009594449</v>
      </c>
      <c r="AA1390">
        <f t="shared" ca="1" si="665"/>
        <v>633.58070126008181</v>
      </c>
      <c r="AB1390">
        <f t="shared" ca="1" si="666"/>
        <v>635.31188543184737</v>
      </c>
      <c r="AC1390">
        <f t="shared" ca="1" si="667"/>
        <v>7.4334127263686774E-3</v>
      </c>
      <c r="AD1390">
        <f t="shared" ca="1" si="668"/>
        <v>1.4350822100439937</v>
      </c>
      <c r="AE1390">
        <f t="shared" ca="1" si="669"/>
        <v>37.61761567440513</v>
      </c>
      <c r="AF1390">
        <f t="shared" ca="1" si="670"/>
        <v>6.9391833403642522E-3</v>
      </c>
      <c r="AG1390">
        <f t="shared" ca="1" si="671"/>
        <v>0</v>
      </c>
      <c r="AH1390">
        <f ca="1">IFERROR(IF(V32="Supercritical",MAX($D$16,IFERROR(L1390,MAX($D$16,POWER((ABS(K1390)^2)/($I$5*MAX(F1390,0.1)^2),1/3)))),IF(V32="Subcritical",MAX($D$16,IFERROR(W1390,MAX($D$16,POWER((ABS(K1390)^2)/($I$5*MAX(F1390,0.1)^2),1/3)))),IF(AND(IFERROR(V1390,0)=1,IFERROR(AG1390,0)=1),IF(IFERROR(T1390,-1E+99)&gt;=IFERROR(AE1390,-1E+99),MAX($D$16,IFERROR(L1390,MAX($D$16,POWER((ABS(K1390)^2)/($I$5*MAX(F1390,0.1)^2),1/3)))),MAX($D$16,IFERROR(W1390,MAX($D$16,POWER((ABS(K1390)^2)/($I$5*MAX(F1390,0.1)^2),1/3))))),IF(IFERROR(V1390,0)=1,MAX($D$16,IFERROR(L1390,MAX($D$16,POWER((ABS(K1390)^2)/($I$5*MAX(F1390,0.1)^2),1/3)))),IF(IFERROR(AG1390,0)=1,MAX($D$16,IFERROR(W1390,MAX($D$16,POWER((ABS(K1390)^2)/($I$5*MAX(F1390,0.1)^2),1/3)))),MAX($D$16,POWER((ABS(K1390)^2)/($I$5*MAX(F1390,0.1)^2),1/3))))))),MAX($D$16,POWER((ABS(K1390)^2)/($I$5*MAX(F1390,0.1)^2),1/3)))</f>
        <v>2.1389677043987478</v>
      </c>
      <c r="AI1390">
        <f t="shared" ca="1" si="672"/>
        <v>634.03846770439873</v>
      </c>
      <c r="AJ1390">
        <f t="shared" ca="1" si="673"/>
        <v>635.1079515565981</v>
      </c>
      <c r="AM1390">
        <v>0</v>
      </c>
      <c r="AN1390">
        <v>0</v>
      </c>
      <c r="AO1390">
        <f t="shared" si="674"/>
        <v>0</v>
      </c>
      <c r="AP1390">
        <f t="shared" si="683"/>
        <v>0</v>
      </c>
      <c r="AQ1390">
        <f t="shared" ca="1" si="675"/>
        <v>1.0000000000000004</v>
      </c>
      <c r="AR1390" t="str">
        <f t="shared" ca="1" si="676"/>
        <v>Supercritical</v>
      </c>
      <c r="AS1390">
        <f t="shared" ca="1" si="677"/>
        <v>3.8141460404132466E-3</v>
      </c>
    </row>
    <row r="1391" spans="1:45" x14ac:dyDescent="0.35">
      <c r="A1391">
        <v>1330</v>
      </c>
      <c r="B1391">
        <v>1328.9949999999999</v>
      </c>
      <c r="C1391">
        <v>616067.39</v>
      </c>
      <c r="D1391">
        <v>3096678.3509999998</v>
      </c>
      <c r="E1391">
        <v>631.899</v>
      </c>
      <c r="F1391">
        <v>5.2</v>
      </c>
      <c r="G1391">
        <v>0</v>
      </c>
      <c r="H1391" t="s">
        <v>154</v>
      </c>
      <c r="I1391">
        <v>2E-3</v>
      </c>
      <c r="J1391">
        <f t="shared" si="678"/>
        <v>1</v>
      </c>
      <c r="K1391">
        <f t="shared" ca="1" si="679"/>
        <v>50.95</v>
      </c>
      <c r="L1391">
        <f t="shared" ca="1" si="680"/>
        <v>2.1389677043987478</v>
      </c>
      <c r="M1391">
        <f t="shared" ca="1" si="653"/>
        <v>11.122632062873489</v>
      </c>
      <c r="N1391">
        <f t="shared" ca="1" si="654"/>
        <v>1.1735290000551568</v>
      </c>
      <c r="O1391">
        <f t="shared" ca="1" si="655"/>
        <v>4.5807502857230418</v>
      </c>
      <c r="P1391">
        <f t="shared" ca="1" si="656"/>
        <v>634.03796770439874</v>
      </c>
      <c r="Q1391">
        <f t="shared" ca="1" si="657"/>
        <v>635.10745155659811</v>
      </c>
      <c r="R1391">
        <f t="shared" ca="1" si="658"/>
        <v>3.8141460404132466E-3</v>
      </c>
      <c r="S1391">
        <f t="shared" ca="1" si="659"/>
        <v>1.0000000000000004</v>
      </c>
      <c r="T1391">
        <f t="shared" ca="1" si="660"/>
        <v>35.686426155594638</v>
      </c>
      <c r="U1391">
        <f t="shared" ca="1" si="681"/>
        <v>-3.3177109866073806E-3</v>
      </c>
      <c r="V1391">
        <f t="shared" ca="1" si="682"/>
        <v>1</v>
      </c>
      <c r="W1391">
        <f t="shared" ca="1" si="661"/>
        <v>1.6812012600812216</v>
      </c>
      <c r="X1391">
        <f t="shared" ca="1" si="662"/>
        <v>8.7422465524223529</v>
      </c>
      <c r="Y1391">
        <f t="shared" ca="1" si="663"/>
        <v>1.0210039217189824</v>
      </c>
      <c r="Z1391">
        <f t="shared" ca="1" si="664"/>
        <v>5.828021400961573</v>
      </c>
      <c r="AA1391">
        <f t="shared" ca="1" si="665"/>
        <v>633.58020126008125</v>
      </c>
      <c r="AB1391">
        <f t="shared" ca="1" si="666"/>
        <v>635.31138543184818</v>
      </c>
      <c r="AC1391">
        <f t="shared" ca="1" si="667"/>
        <v>7.4334127263763015E-3</v>
      </c>
      <c r="AD1391">
        <f t="shared" ca="1" si="668"/>
        <v>1.4350822100447802</v>
      </c>
      <c r="AE1391">
        <f t="shared" ca="1" si="669"/>
        <v>37.617615674410807</v>
      </c>
      <c r="AF1391">
        <f t="shared" ca="1" si="670"/>
        <v>6.9466167529981249E-3</v>
      </c>
      <c r="AG1391">
        <f t="shared" ca="1" si="671"/>
        <v>0</v>
      </c>
      <c r="AH1391">
        <f ca="1">IFERROR(IF(V32="Supercritical",MAX($D$16,IFERROR(L1391,MAX($D$16,POWER((ABS(K1391)^2)/($I$5*MAX(F1391,0.1)^2),1/3)))),IF(V32="Subcritical",MAX($D$16,IFERROR(W1391,MAX($D$16,POWER((ABS(K1391)^2)/($I$5*MAX(F1391,0.1)^2),1/3)))),IF(AND(IFERROR(V1391,0)=1,IFERROR(AG1391,0)=1),IF(IFERROR(T1391,-1E+99)&gt;=IFERROR(AE1391,-1E+99),MAX($D$16,IFERROR(L1391,MAX($D$16,POWER((ABS(K1391)^2)/($I$5*MAX(F1391,0.1)^2),1/3)))),MAX($D$16,IFERROR(W1391,MAX($D$16,POWER((ABS(K1391)^2)/($I$5*MAX(F1391,0.1)^2),1/3))))),IF(IFERROR(V1391,0)=1,MAX($D$16,IFERROR(L1391,MAX($D$16,POWER((ABS(K1391)^2)/($I$5*MAX(F1391,0.1)^2),1/3)))),IF(IFERROR(AG1391,0)=1,MAX($D$16,IFERROR(W1391,MAX($D$16,POWER((ABS(K1391)^2)/($I$5*MAX(F1391,0.1)^2),1/3)))),MAX($D$16,POWER((ABS(K1391)^2)/($I$5*MAX(F1391,0.1)^2),1/3))))))),MAX($D$16,POWER((ABS(K1391)^2)/($I$5*MAX(F1391,0.1)^2),1/3)))</f>
        <v>2.1389677043987478</v>
      </c>
      <c r="AI1391">
        <f t="shared" ca="1" si="672"/>
        <v>634.03796770439874</v>
      </c>
      <c r="AJ1391">
        <f t="shared" ca="1" si="673"/>
        <v>635.10745155659811</v>
      </c>
      <c r="AM1391">
        <v>0</v>
      </c>
      <c r="AN1391">
        <v>0</v>
      </c>
      <c r="AO1391">
        <f t="shared" si="674"/>
        <v>0</v>
      </c>
      <c r="AP1391">
        <f t="shared" si="683"/>
        <v>0</v>
      </c>
      <c r="AQ1391">
        <f t="shared" ca="1" si="675"/>
        <v>1.0000000000000004</v>
      </c>
      <c r="AR1391" t="str">
        <f t="shared" ca="1" si="676"/>
        <v>Supercritical</v>
      </c>
      <c r="AS1391">
        <f t="shared" ca="1" si="677"/>
        <v>3.8141460404132466E-3</v>
      </c>
    </row>
    <row r="1392" spans="1:45" x14ac:dyDescent="0.35">
      <c r="A1392">
        <v>1331</v>
      </c>
      <c r="B1392">
        <v>1329.9960000000001</v>
      </c>
      <c r="C1392">
        <v>616067.348</v>
      </c>
      <c r="D1392">
        <v>3096677.3509999998</v>
      </c>
      <c r="E1392">
        <v>631.89850000000001</v>
      </c>
      <c r="F1392">
        <v>5.2</v>
      </c>
      <c r="G1392">
        <v>0</v>
      </c>
      <c r="H1392" t="s">
        <v>154</v>
      </c>
      <c r="I1392">
        <v>2E-3</v>
      </c>
      <c r="J1392">
        <f t="shared" si="678"/>
        <v>1.0010000000002037</v>
      </c>
      <c r="K1392">
        <f t="shared" ca="1" si="679"/>
        <v>50.95</v>
      </c>
      <c r="L1392">
        <f t="shared" ca="1" si="680"/>
        <v>2.1389677043987478</v>
      </c>
      <c r="M1392">
        <f t="shared" ca="1" si="653"/>
        <v>11.122632062873489</v>
      </c>
      <c r="N1392">
        <f t="shared" ca="1" si="654"/>
        <v>1.1735290000551568</v>
      </c>
      <c r="O1392">
        <f t="shared" ca="1" si="655"/>
        <v>4.5807502857230418</v>
      </c>
      <c r="P1392">
        <f t="shared" ca="1" si="656"/>
        <v>634.03746770439875</v>
      </c>
      <c r="Q1392">
        <f t="shared" ca="1" si="657"/>
        <v>635.10695155659812</v>
      </c>
      <c r="R1392">
        <f t="shared" ca="1" si="658"/>
        <v>3.8141460404132466E-3</v>
      </c>
      <c r="S1392">
        <f t="shared" ca="1" si="659"/>
        <v>1.0000000000000004</v>
      </c>
      <c r="T1392">
        <f t="shared" ca="1" si="660"/>
        <v>35.686426155594638</v>
      </c>
      <c r="U1392">
        <f t="shared" ca="1" si="681"/>
        <v>-3.3215251326055295E-3</v>
      </c>
      <c r="V1392">
        <f t="shared" ca="1" si="682"/>
        <v>1</v>
      </c>
      <c r="W1392">
        <f t="shared" ca="1" si="661"/>
        <v>1.6812012600806758</v>
      </c>
      <c r="X1392">
        <f t="shared" ca="1" si="662"/>
        <v>8.7422465524195143</v>
      </c>
      <c r="Y1392">
        <f t="shared" ca="1" si="663"/>
        <v>1.021003921718781</v>
      </c>
      <c r="Z1392">
        <f t="shared" ca="1" si="664"/>
        <v>5.8280214009634657</v>
      </c>
      <c r="AA1392">
        <f t="shared" ca="1" si="665"/>
        <v>633.5797012600807</v>
      </c>
      <c r="AB1392">
        <f t="shared" ca="1" si="666"/>
        <v>635.31088543184865</v>
      </c>
      <c r="AC1392">
        <f t="shared" ca="1" si="667"/>
        <v>7.4334127263830877E-3</v>
      </c>
      <c r="AD1392">
        <f t="shared" ca="1" si="668"/>
        <v>1.4350822100454792</v>
      </c>
      <c r="AE1392">
        <f t="shared" ca="1" si="669"/>
        <v>37.617615674415866</v>
      </c>
      <c r="AF1392">
        <f t="shared" ca="1" si="670"/>
        <v>7.0978752227119912E-3</v>
      </c>
      <c r="AG1392">
        <f t="shared" ca="1" si="671"/>
        <v>0</v>
      </c>
      <c r="AH1392">
        <f ca="1">IFERROR(IF(V32="Supercritical",MAX($D$16,IFERROR(L1392,MAX($D$16,POWER((ABS(K1392)^2)/($I$5*MAX(F1392,0.1)^2),1/3)))),IF(V32="Subcritical",MAX($D$16,IFERROR(W1392,MAX($D$16,POWER((ABS(K1392)^2)/($I$5*MAX(F1392,0.1)^2),1/3)))),IF(AND(IFERROR(V1392,0)=1,IFERROR(AG1392,0)=1),IF(IFERROR(T1392,-1E+99)&gt;=IFERROR(AE1392,-1E+99),MAX($D$16,IFERROR(L1392,MAX($D$16,POWER((ABS(K1392)^2)/($I$5*MAX(F1392,0.1)^2),1/3)))),MAX($D$16,IFERROR(W1392,MAX($D$16,POWER((ABS(K1392)^2)/($I$5*MAX(F1392,0.1)^2),1/3))))),IF(IFERROR(V1392,0)=1,MAX($D$16,IFERROR(L1392,MAX($D$16,POWER((ABS(K1392)^2)/($I$5*MAX(F1392,0.1)^2),1/3)))),IF(IFERROR(AG1392,0)=1,MAX($D$16,IFERROR(W1392,MAX($D$16,POWER((ABS(K1392)^2)/($I$5*MAX(F1392,0.1)^2),1/3)))),MAX($D$16,POWER((ABS(K1392)^2)/($I$5*MAX(F1392,0.1)^2),1/3))))))),MAX($D$16,POWER((ABS(K1392)^2)/($I$5*MAX(F1392,0.1)^2),1/3)))</f>
        <v>2.1389677043987478</v>
      </c>
      <c r="AI1392">
        <f t="shared" ca="1" si="672"/>
        <v>634.03746770439875</v>
      </c>
      <c r="AJ1392">
        <f t="shared" ca="1" si="673"/>
        <v>635.10695155659812</v>
      </c>
      <c r="AM1392">
        <v>0</v>
      </c>
      <c r="AN1392">
        <v>0</v>
      </c>
      <c r="AO1392">
        <f t="shared" si="674"/>
        <v>0</v>
      </c>
      <c r="AP1392">
        <f t="shared" si="683"/>
        <v>0</v>
      </c>
      <c r="AQ1392">
        <f t="shared" ca="1" si="675"/>
        <v>1.0000000000000004</v>
      </c>
      <c r="AR1392" t="str">
        <f t="shared" ca="1" si="676"/>
        <v>Supercritical</v>
      </c>
      <c r="AS1392">
        <f t="shared" ca="1" si="677"/>
        <v>3.8141460404132466E-3</v>
      </c>
    </row>
    <row r="1393" spans="1:45" x14ac:dyDescent="0.35">
      <c r="A1393">
        <v>1332</v>
      </c>
      <c r="B1393">
        <v>1330.9960000000001</v>
      </c>
      <c r="C1393">
        <v>616067.30599999998</v>
      </c>
      <c r="D1393">
        <v>3096676.352</v>
      </c>
      <c r="E1393">
        <v>631.89800000000002</v>
      </c>
      <c r="F1393">
        <v>5.2</v>
      </c>
      <c r="G1393">
        <v>0</v>
      </c>
      <c r="H1393" t="s">
        <v>154</v>
      </c>
      <c r="I1393">
        <v>5.7000000000000002E-2</v>
      </c>
      <c r="J1393">
        <f t="shared" si="678"/>
        <v>1</v>
      </c>
      <c r="K1393">
        <f t="shared" ca="1" si="679"/>
        <v>50.95</v>
      </c>
      <c r="L1393">
        <f t="shared" ca="1" si="680"/>
        <v>2.1389677043987478</v>
      </c>
      <c r="M1393">
        <f t="shared" ca="1" si="653"/>
        <v>11.122632062873489</v>
      </c>
      <c r="N1393">
        <f t="shared" ca="1" si="654"/>
        <v>1.1735290000551568</v>
      </c>
      <c r="O1393">
        <f t="shared" ca="1" si="655"/>
        <v>4.5807502857230418</v>
      </c>
      <c r="P1393">
        <f t="shared" ca="1" si="656"/>
        <v>634.03696770439876</v>
      </c>
      <c r="Q1393">
        <f t="shared" ca="1" si="657"/>
        <v>635.10645155659813</v>
      </c>
      <c r="R1393">
        <f t="shared" ca="1" si="658"/>
        <v>3.8141460404132466E-3</v>
      </c>
      <c r="S1393">
        <f t="shared" ca="1" si="659"/>
        <v>1.0000000000000004</v>
      </c>
      <c r="T1393">
        <f t="shared" ca="1" si="660"/>
        <v>35.686426155594638</v>
      </c>
      <c r="U1393">
        <f t="shared" ca="1" si="681"/>
        <v>-3.4157470064428708E-3</v>
      </c>
      <c r="V1393">
        <f t="shared" ca="1" si="682"/>
        <v>1</v>
      </c>
      <c r="W1393">
        <f t="shared" ca="1" si="661"/>
        <v>1.6812012600801471</v>
      </c>
      <c r="X1393">
        <f t="shared" ca="1" si="662"/>
        <v>8.7422465524167663</v>
      </c>
      <c r="Y1393">
        <f t="shared" ca="1" si="663"/>
        <v>1.0210039217185862</v>
      </c>
      <c r="Z1393">
        <f t="shared" ca="1" si="664"/>
        <v>5.8280214009652971</v>
      </c>
      <c r="AA1393">
        <f t="shared" ca="1" si="665"/>
        <v>633.57920126008014</v>
      </c>
      <c r="AB1393">
        <f t="shared" ca="1" si="666"/>
        <v>635.31038543184923</v>
      </c>
      <c r="AC1393">
        <f t="shared" ca="1" si="667"/>
        <v>7.4334127263896467E-3</v>
      </c>
      <c r="AD1393">
        <f t="shared" ca="1" si="668"/>
        <v>1.4350822100461553</v>
      </c>
      <c r="AE1393">
        <f t="shared" ca="1" si="669"/>
        <v>37.617615674420762</v>
      </c>
      <c r="AF1393">
        <f t="shared" ca="1" si="670"/>
        <v>7.0978752227119912E-3</v>
      </c>
      <c r="AG1393">
        <f t="shared" ca="1" si="671"/>
        <v>0</v>
      </c>
      <c r="AH1393">
        <f ca="1">IFERROR(IF(V32="Supercritical",MAX($D$16,IFERROR(L1393,MAX($D$16,POWER((ABS(K1393)^2)/($I$5*MAX(F1393,0.1)^2),1/3)))),IF(V32="Subcritical",MAX($D$16,IFERROR(W1393,MAX($D$16,POWER((ABS(K1393)^2)/($I$5*MAX(F1393,0.1)^2),1/3)))),IF(AND(IFERROR(V1393,0)=1,IFERROR(AG1393,0)=1),IF(IFERROR(T1393,-1E+99)&gt;=IFERROR(AE1393,-1E+99),MAX($D$16,IFERROR(L1393,MAX($D$16,POWER((ABS(K1393)^2)/($I$5*MAX(F1393,0.1)^2),1/3)))),MAX($D$16,IFERROR(W1393,MAX($D$16,POWER((ABS(K1393)^2)/($I$5*MAX(F1393,0.1)^2),1/3))))),IF(IFERROR(V1393,0)=1,MAX($D$16,IFERROR(L1393,MAX($D$16,POWER((ABS(K1393)^2)/($I$5*MAX(F1393,0.1)^2),1/3)))),IF(IFERROR(AG1393,0)=1,MAX($D$16,IFERROR(W1393,MAX($D$16,POWER((ABS(K1393)^2)/($I$5*MAX(F1393,0.1)^2),1/3)))),MAX($D$16,POWER((ABS(K1393)^2)/($I$5*MAX(F1393,0.1)^2),1/3))))))),MAX($D$16,POWER((ABS(K1393)^2)/($I$5*MAX(F1393,0.1)^2),1/3)))</f>
        <v>2.1389677043987478</v>
      </c>
      <c r="AI1393">
        <f t="shared" ca="1" si="672"/>
        <v>634.03696770439876</v>
      </c>
      <c r="AJ1393">
        <f t="shared" ca="1" si="673"/>
        <v>635.10645155659813</v>
      </c>
      <c r="AM1393">
        <v>0</v>
      </c>
      <c r="AN1393">
        <v>0</v>
      </c>
      <c r="AO1393">
        <f t="shared" si="674"/>
        <v>0</v>
      </c>
      <c r="AP1393">
        <f t="shared" si="683"/>
        <v>0</v>
      </c>
      <c r="AQ1393">
        <f t="shared" ca="1" si="675"/>
        <v>1.0000000000000004</v>
      </c>
      <c r="AR1393" t="str">
        <f t="shared" ca="1" si="676"/>
        <v>Supercritical</v>
      </c>
      <c r="AS1393">
        <f t="shared" ca="1" si="677"/>
        <v>3.8141460404132466E-3</v>
      </c>
    </row>
    <row r="1394" spans="1:45" x14ac:dyDescent="0.35">
      <c r="A1394">
        <v>1333</v>
      </c>
      <c r="B1394">
        <v>1331.9960000000001</v>
      </c>
      <c r="C1394">
        <v>616067.26300000004</v>
      </c>
      <c r="D1394">
        <v>3096675.3530000001</v>
      </c>
      <c r="E1394">
        <v>631.89750000000004</v>
      </c>
      <c r="F1394">
        <v>5.2</v>
      </c>
      <c r="G1394">
        <v>0</v>
      </c>
      <c r="H1394" t="s">
        <v>154</v>
      </c>
      <c r="I1394">
        <v>5.7000000000000002E-2</v>
      </c>
      <c r="J1394">
        <f t="shared" si="678"/>
        <v>1</v>
      </c>
      <c r="K1394">
        <f t="shared" ca="1" si="679"/>
        <v>50.95</v>
      </c>
      <c r="L1394">
        <f t="shared" ca="1" si="680"/>
        <v>2.1389677043987478</v>
      </c>
      <c r="M1394">
        <f t="shared" ca="1" si="653"/>
        <v>11.122632062873489</v>
      </c>
      <c r="N1394">
        <f t="shared" ca="1" si="654"/>
        <v>1.1735290000551568</v>
      </c>
      <c r="O1394">
        <f t="shared" ca="1" si="655"/>
        <v>4.5807502857230418</v>
      </c>
      <c r="P1394">
        <f t="shared" ca="1" si="656"/>
        <v>634.03646770439877</v>
      </c>
      <c r="Q1394">
        <f t="shared" ca="1" si="657"/>
        <v>635.10595155659814</v>
      </c>
      <c r="R1394">
        <f t="shared" ca="1" si="658"/>
        <v>3.8141460404132466E-3</v>
      </c>
      <c r="S1394">
        <f t="shared" ca="1" si="659"/>
        <v>1.0000000000000004</v>
      </c>
      <c r="T1394">
        <f t="shared" ca="1" si="660"/>
        <v>35.686426155594638</v>
      </c>
      <c r="U1394">
        <f t="shared" ca="1" si="681"/>
        <v>-3.4157470064428708E-3</v>
      </c>
      <c r="V1394">
        <f t="shared" ca="1" si="682"/>
        <v>1</v>
      </c>
      <c r="W1394">
        <f t="shared" ca="1" si="661"/>
        <v>1.6812012600796526</v>
      </c>
      <c r="X1394">
        <f t="shared" ca="1" si="662"/>
        <v>8.7422465524141941</v>
      </c>
      <c r="Y1394">
        <f t="shared" ca="1" si="663"/>
        <v>1.0210039217184037</v>
      </c>
      <c r="Z1394">
        <f t="shared" ca="1" si="664"/>
        <v>5.8280214009670122</v>
      </c>
      <c r="AA1394">
        <f t="shared" ca="1" si="665"/>
        <v>633.5787012600797</v>
      </c>
      <c r="AB1394">
        <f t="shared" ca="1" si="666"/>
        <v>635.30988543184981</v>
      </c>
      <c r="AC1394">
        <f t="shared" ca="1" si="667"/>
        <v>7.4334127263957972E-3</v>
      </c>
      <c r="AD1394">
        <f t="shared" ca="1" si="668"/>
        <v>1.435082210046789</v>
      </c>
      <c r="AE1394">
        <f t="shared" ca="1" si="669"/>
        <v>37.617615674425345</v>
      </c>
      <c r="AF1394">
        <f t="shared" ca="1" si="670"/>
        <v>6.9334127264255585E-3</v>
      </c>
      <c r="AG1394">
        <f t="shared" ca="1" si="671"/>
        <v>0</v>
      </c>
      <c r="AH1394">
        <f ca="1">IFERROR(IF(V32="Supercritical",MAX($D$16,IFERROR(L1394,MAX($D$16,POWER((ABS(K1394)^2)/($I$5*MAX(F1394,0.1)^2),1/3)))),IF(V32="Subcritical",MAX($D$16,IFERROR(W1394,MAX($D$16,POWER((ABS(K1394)^2)/($I$5*MAX(F1394,0.1)^2),1/3)))),IF(AND(IFERROR(V1394,0)=1,IFERROR(AG1394,0)=1),IF(IFERROR(T1394,-1E+99)&gt;=IFERROR(AE1394,-1E+99),MAX($D$16,IFERROR(L1394,MAX($D$16,POWER((ABS(K1394)^2)/($I$5*MAX(F1394,0.1)^2),1/3)))),MAX($D$16,IFERROR(W1394,MAX($D$16,POWER((ABS(K1394)^2)/($I$5*MAX(F1394,0.1)^2),1/3))))),IF(IFERROR(V1394,0)=1,MAX($D$16,IFERROR(L1394,MAX($D$16,POWER((ABS(K1394)^2)/($I$5*MAX(F1394,0.1)^2),1/3)))),IF(IFERROR(AG1394,0)=1,MAX($D$16,IFERROR(W1394,MAX($D$16,POWER((ABS(K1394)^2)/($I$5*MAX(F1394,0.1)^2),1/3)))),MAX($D$16,POWER((ABS(K1394)^2)/($I$5*MAX(F1394,0.1)^2),1/3))))))),MAX($D$16,POWER((ABS(K1394)^2)/($I$5*MAX(F1394,0.1)^2),1/3)))</f>
        <v>2.1389677043987478</v>
      </c>
      <c r="AI1394">
        <f t="shared" ca="1" si="672"/>
        <v>634.03646770439877</v>
      </c>
      <c r="AJ1394">
        <f t="shared" ca="1" si="673"/>
        <v>635.10595155659814</v>
      </c>
      <c r="AM1394">
        <v>0</v>
      </c>
      <c r="AN1394">
        <v>0</v>
      </c>
      <c r="AO1394">
        <f t="shared" si="674"/>
        <v>0</v>
      </c>
      <c r="AP1394">
        <f t="shared" si="683"/>
        <v>0</v>
      </c>
      <c r="AQ1394">
        <f t="shared" ca="1" si="675"/>
        <v>1.0000000000000004</v>
      </c>
      <c r="AR1394" t="str">
        <f t="shared" ca="1" si="676"/>
        <v>Supercritical</v>
      </c>
      <c r="AS1394">
        <f t="shared" ca="1" si="677"/>
        <v>3.8141460404132466E-3</v>
      </c>
    </row>
    <row r="1395" spans="1:45" x14ac:dyDescent="0.35">
      <c r="A1395">
        <v>1334</v>
      </c>
      <c r="B1395">
        <v>1332.9960000000001</v>
      </c>
      <c r="C1395">
        <v>616067.22100000002</v>
      </c>
      <c r="D1395">
        <v>3096674.3539999998</v>
      </c>
      <c r="E1395">
        <v>631.89700000000005</v>
      </c>
      <c r="F1395">
        <v>5.2</v>
      </c>
      <c r="G1395">
        <v>0</v>
      </c>
      <c r="H1395" t="s">
        <v>154</v>
      </c>
      <c r="I1395">
        <v>0</v>
      </c>
      <c r="J1395">
        <f t="shared" si="678"/>
        <v>1</v>
      </c>
      <c r="K1395">
        <f t="shared" ca="1" si="679"/>
        <v>50.95</v>
      </c>
      <c r="L1395">
        <f t="shared" ca="1" si="680"/>
        <v>2.1389677043987478</v>
      </c>
      <c r="M1395">
        <f t="shared" ca="1" si="653"/>
        <v>11.122632062873489</v>
      </c>
      <c r="N1395">
        <f t="shared" ca="1" si="654"/>
        <v>1.1735290000551568</v>
      </c>
      <c r="O1395">
        <f t="shared" ca="1" si="655"/>
        <v>4.5807502857230418</v>
      </c>
      <c r="P1395">
        <f t="shared" ca="1" si="656"/>
        <v>634.03596770439879</v>
      </c>
      <c r="Q1395">
        <f t="shared" ca="1" si="657"/>
        <v>635.10545155659815</v>
      </c>
      <c r="R1395">
        <f t="shared" ca="1" si="658"/>
        <v>3.8141460404132466E-3</v>
      </c>
      <c r="S1395">
        <f t="shared" ca="1" si="659"/>
        <v>1.0000000000000004</v>
      </c>
      <c r="T1395">
        <f t="shared" ca="1" si="660"/>
        <v>35.686426155594638</v>
      </c>
      <c r="U1395">
        <f t="shared" ca="1" si="681"/>
        <v>-3.3141460404522149E-3</v>
      </c>
      <c r="V1395">
        <f t="shared" ca="1" si="682"/>
        <v>1</v>
      </c>
      <c r="W1395">
        <f t="shared" ca="1" si="661"/>
        <v>1.6812012600791921</v>
      </c>
      <c r="X1395">
        <f t="shared" ca="1" si="662"/>
        <v>8.7422465524117996</v>
      </c>
      <c r="Y1395">
        <f t="shared" ca="1" si="663"/>
        <v>1.0210039217182338</v>
      </c>
      <c r="Z1395">
        <f t="shared" ca="1" si="664"/>
        <v>5.8280214009686082</v>
      </c>
      <c r="AA1395">
        <f t="shared" ca="1" si="665"/>
        <v>633.57820126007925</v>
      </c>
      <c r="AB1395">
        <f t="shared" ca="1" si="666"/>
        <v>635.30938543185027</v>
      </c>
      <c r="AC1395">
        <f t="shared" ca="1" si="667"/>
        <v>7.4334127264015139E-3</v>
      </c>
      <c r="AD1395">
        <f t="shared" ca="1" si="668"/>
        <v>1.4350822100473788</v>
      </c>
      <c r="AE1395">
        <f t="shared" ca="1" si="669"/>
        <v>37.617615674429608</v>
      </c>
      <c r="AF1395">
        <f t="shared" ca="1" si="670"/>
        <v>7.0978752225983044E-3</v>
      </c>
      <c r="AG1395">
        <f t="shared" ca="1" si="671"/>
        <v>0</v>
      </c>
      <c r="AH1395">
        <f ca="1">IFERROR(IF(V32="Supercritical",MAX($D$16,IFERROR(L1395,MAX($D$16,POWER((ABS(K1395)^2)/($I$5*MAX(F1395,0.1)^2),1/3)))),IF(V32="Subcritical",MAX($D$16,IFERROR(W1395,MAX($D$16,POWER((ABS(K1395)^2)/($I$5*MAX(F1395,0.1)^2),1/3)))),IF(AND(IFERROR(V1395,0)=1,IFERROR(AG1395,0)=1),IF(IFERROR(T1395,-1E+99)&gt;=IFERROR(AE1395,-1E+99),MAX($D$16,IFERROR(L1395,MAX($D$16,POWER((ABS(K1395)^2)/($I$5*MAX(F1395,0.1)^2),1/3)))),MAX($D$16,IFERROR(W1395,MAX($D$16,POWER((ABS(K1395)^2)/($I$5*MAX(F1395,0.1)^2),1/3))))),IF(IFERROR(V1395,0)=1,MAX($D$16,IFERROR(L1395,MAX($D$16,POWER((ABS(K1395)^2)/($I$5*MAX(F1395,0.1)^2),1/3)))),IF(IFERROR(AG1395,0)=1,MAX($D$16,IFERROR(W1395,MAX($D$16,POWER((ABS(K1395)^2)/($I$5*MAX(F1395,0.1)^2),1/3)))),MAX($D$16,POWER((ABS(K1395)^2)/($I$5*MAX(F1395,0.1)^2),1/3))))))),MAX($D$16,POWER((ABS(K1395)^2)/($I$5*MAX(F1395,0.1)^2),1/3)))</f>
        <v>2.1389677043987478</v>
      </c>
      <c r="AI1395">
        <f t="shared" ca="1" si="672"/>
        <v>634.03596770439879</v>
      </c>
      <c r="AJ1395">
        <f t="shared" ca="1" si="673"/>
        <v>635.10545155659815</v>
      </c>
      <c r="AM1395">
        <v>0</v>
      </c>
      <c r="AN1395">
        <v>0</v>
      </c>
      <c r="AO1395">
        <f t="shared" si="674"/>
        <v>0</v>
      </c>
      <c r="AP1395">
        <f t="shared" si="683"/>
        <v>0</v>
      </c>
      <c r="AQ1395">
        <f t="shared" ca="1" si="675"/>
        <v>1.0000000000000004</v>
      </c>
      <c r="AR1395" t="str">
        <f t="shared" ca="1" si="676"/>
        <v>Supercritical</v>
      </c>
      <c r="AS1395">
        <f t="shared" ca="1" si="677"/>
        <v>3.8141460404132466E-3</v>
      </c>
    </row>
    <row r="1396" spans="1:45" x14ac:dyDescent="0.35">
      <c r="A1396">
        <v>1335</v>
      </c>
      <c r="B1396">
        <v>1333.9960000000001</v>
      </c>
      <c r="C1396">
        <v>616067.179</v>
      </c>
      <c r="D1396">
        <v>3096673.355</v>
      </c>
      <c r="E1396">
        <v>631.89649999999995</v>
      </c>
      <c r="F1396">
        <v>5.2</v>
      </c>
      <c r="G1396">
        <v>0</v>
      </c>
      <c r="H1396" t="s">
        <v>154</v>
      </c>
      <c r="I1396">
        <v>5.7000000000000002E-2</v>
      </c>
      <c r="J1396">
        <f t="shared" si="678"/>
        <v>1</v>
      </c>
      <c r="K1396">
        <f t="shared" ca="1" si="679"/>
        <v>50.95</v>
      </c>
      <c r="L1396">
        <f t="shared" ca="1" si="680"/>
        <v>2.1389677043987478</v>
      </c>
      <c r="M1396">
        <f t="shared" ca="1" si="653"/>
        <v>11.122632062873489</v>
      </c>
      <c r="N1396">
        <f t="shared" ca="1" si="654"/>
        <v>1.1735290000551568</v>
      </c>
      <c r="O1396">
        <f t="shared" ca="1" si="655"/>
        <v>4.5807502857230418</v>
      </c>
      <c r="P1396">
        <f t="shared" ca="1" si="656"/>
        <v>634.03546770439868</v>
      </c>
      <c r="Q1396">
        <f t="shared" ca="1" si="657"/>
        <v>635.10495155659805</v>
      </c>
      <c r="R1396">
        <f t="shared" ca="1" si="658"/>
        <v>3.8141460404132466E-3</v>
      </c>
      <c r="S1396">
        <f t="shared" ca="1" si="659"/>
        <v>1.0000000000000004</v>
      </c>
      <c r="T1396">
        <f t="shared" ca="1" si="660"/>
        <v>35.686426155594638</v>
      </c>
      <c r="U1396">
        <f t="shared" ca="1" si="681"/>
        <v>-3.4157470063291839E-3</v>
      </c>
      <c r="V1396">
        <f t="shared" ca="1" si="682"/>
        <v>1</v>
      </c>
      <c r="W1396">
        <f t="shared" ca="1" si="661"/>
        <v>1.6812012600787658</v>
      </c>
      <c r="X1396">
        <f t="shared" ca="1" si="662"/>
        <v>8.7422465524095827</v>
      </c>
      <c r="Y1396">
        <f t="shared" ca="1" si="663"/>
        <v>1.0210039217180766</v>
      </c>
      <c r="Z1396">
        <f t="shared" ca="1" si="664"/>
        <v>5.8280214009700861</v>
      </c>
      <c r="AA1396">
        <f t="shared" ca="1" si="665"/>
        <v>633.5777012600787</v>
      </c>
      <c r="AB1396">
        <f t="shared" ca="1" si="666"/>
        <v>635.30888543185063</v>
      </c>
      <c r="AC1396">
        <f t="shared" ca="1" si="667"/>
        <v>7.4334127264068101E-3</v>
      </c>
      <c r="AD1396">
        <f t="shared" ca="1" si="668"/>
        <v>1.4350822100479244</v>
      </c>
      <c r="AE1396">
        <f t="shared" ca="1" si="669"/>
        <v>37.617615674433559</v>
      </c>
      <c r="AF1396">
        <f t="shared" ca="1" si="670"/>
        <v>7.0978752227119912E-3</v>
      </c>
      <c r="AG1396">
        <f t="shared" ca="1" si="671"/>
        <v>0</v>
      </c>
      <c r="AH1396">
        <f ca="1">IFERROR(IF(V32="Supercritical",MAX($D$16,IFERROR(L1396,MAX($D$16,POWER((ABS(K1396)^2)/($I$5*MAX(F1396,0.1)^2),1/3)))),IF(V32="Subcritical",MAX($D$16,IFERROR(W1396,MAX($D$16,POWER((ABS(K1396)^2)/($I$5*MAX(F1396,0.1)^2),1/3)))),IF(AND(IFERROR(V1396,0)=1,IFERROR(AG1396,0)=1),IF(IFERROR(T1396,-1E+99)&gt;=IFERROR(AE1396,-1E+99),MAX($D$16,IFERROR(L1396,MAX($D$16,POWER((ABS(K1396)^2)/($I$5*MAX(F1396,0.1)^2),1/3)))),MAX($D$16,IFERROR(W1396,MAX($D$16,POWER((ABS(K1396)^2)/($I$5*MAX(F1396,0.1)^2),1/3))))),IF(IFERROR(V1396,0)=1,MAX($D$16,IFERROR(L1396,MAX($D$16,POWER((ABS(K1396)^2)/($I$5*MAX(F1396,0.1)^2),1/3)))),IF(IFERROR(AG1396,0)=1,MAX($D$16,IFERROR(W1396,MAX($D$16,POWER((ABS(K1396)^2)/($I$5*MAX(F1396,0.1)^2),1/3)))),MAX($D$16,POWER((ABS(K1396)^2)/($I$5*MAX(F1396,0.1)^2),1/3))))))),MAX($D$16,POWER((ABS(K1396)^2)/($I$5*MAX(F1396,0.1)^2),1/3)))</f>
        <v>2.1389677043987478</v>
      </c>
      <c r="AI1396">
        <f t="shared" ca="1" si="672"/>
        <v>634.03546770439868</v>
      </c>
      <c r="AJ1396">
        <f t="shared" ca="1" si="673"/>
        <v>635.10495155659805</v>
      </c>
      <c r="AM1396">
        <v>0</v>
      </c>
      <c r="AN1396">
        <v>0</v>
      </c>
      <c r="AO1396">
        <f t="shared" si="674"/>
        <v>0</v>
      </c>
      <c r="AP1396">
        <f t="shared" si="683"/>
        <v>0</v>
      </c>
      <c r="AQ1396">
        <f t="shared" ca="1" si="675"/>
        <v>1.0000000000000004</v>
      </c>
      <c r="AR1396" t="str">
        <f t="shared" ca="1" si="676"/>
        <v>Supercritical</v>
      </c>
      <c r="AS1396">
        <f t="shared" ca="1" si="677"/>
        <v>3.8141460404132466E-3</v>
      </c>
    </row>
    <row r="1397" spans="1:45" x14ac:dyDescent="0.35">
      <c r="A1397">
        <v>1336</v>
      </c>
      <c r="B1397">
        <v>1334.9960000000001</v>
      </c>
      <c r="C1397">
        <v>616067.13600000006</v>
      </c>
      <c r="D1397">
        <v>3096672.3560000001</v>
      </c>
      <c r="E1397">
        <v>631.89599999999996</v>
      </c>
      <c r="F1397">
        <v>5.2</v>
      </c>
      <c r="G1397">
        <v>0</v>
      </c>
      <c r="H1397" t="s">
        <v>154</v>
      </c>
      <c r="I1397">
        <v>5.7000000000000002E-2</v>
      </c>
      <c r="J1397">
        <f t="shared" si="678"/>
        <v>1</v>
      </c>
      <c r="K1397">
        <f t="shared" ca="1" si="679"/>
        <v>50.95</v>
      </c>
      <c r="L1397">
        <f t="shared" ca="1" si="680"/>
        <v>2.1389677043987478</v>
      </c>
      <c r="M1397">
        <f t="shared" ca="1" si="653"/>
        <v>11.122632062873489</v>
      </c>
      <c r="N1397">
        <f t="shared" ca="1" si="654"/>
        <v>1.1735290000551568</v>
      </c>
      <c r="O1397">
        <f t="shared" ca="1" si="655"/>
        <v>4.5807502857230418</v>
      </c>
      <c r="P1397">
        <f t="shared" ca="1" si="656"/>
        <v>634.0349677043987</v>
      </c>
      <c r="Q1397">
        <f t="shared" ca="1" si="657"/>
        <v>635.10445155659806</v>
      </c>
      <c r="R1397">
        <f t="shared" ca="1" si="658"/>
        <v>3.8141460404132466E-3</v>
      </c>
      <c r="S1397">
        <f t="shared" ca="1" si="659"/>
        <v>1.0000000000000004</v>
      </c>
      <c r="T1397">
        <f t="shared" ca="1" si="660"/>
        <v>35.686426155594638</v>
      </c>
      <c r="U1397">
        <f t="shared" ca="1" si="681"/>
        <v>-3.4157470064428708E-3</v>
      </c>
      <c r="V1397">
        <f t="shared" ca="1" si="682"/>
        <v>1</v>
      </c>
      <c r="W1397">
        <f t="shared" ca="1" si="661"/>
        <v>1.6812012600783737</v>
      </c>
      <c r="X1397">
        <f t="shared" ca="1" si="662"/>
        <v>8.7422465524075434</v>
      </c>
      <c r="Y1397">
        <f t="shared" ca="1" si="663"/>
        <v>1.0210039217179319</v>
      </c>
      <c r="Z1397">
        <f t="shared" ca="1" si="664"/>
        <v>5.8280214009714459</v>
      </c>
      <c r="AA1397">
        <f t="shared" ca="1" si="665"/>
        <v>633.57720126007837</v>
      </c>
      <c r="AB1397">
        <f t="shared" ca="1" si="666"/>
        <v>635.30838543185109</v>
      </c>
      <c r="AC1397">
        <f t="shared" ca="1" si="667"/>
        <v>7.433412726411682E-3</v>
      </c>
      <c r="AD1397">
        <f t="shared" ca="1" si="668"/>
        <v>1.4350822100484268</v>
      </c>
      <c r="AE1397">
        <f t="shared" ca="1" si="669"/>
        <v>37.617615674437189</v>
      </c>
      <c r="AF1397">
        <f t="shared" ca="1" si="670"/>
        <v>6.9334127264255585E-3</v>
      </c>
      <c r="AG1397">
        <f t="shared" ca="1" si="671"/>
        <v>0</v>
      </c>
      <c r="AH1397">
        <f ca="1">IFERROR(IF(V32="Supercritical",MAX($D$16,IFERROR(L1397,MAX($D$16,POWER((ABS(K1397)^2)/($I$5*MAX(F1397,0.1)^2),1/3)))),IF(V32="Subcritical",MAX($D$16,IFERROR(W1397,MAX($D$16,POWER((ABS(K1397)^2)/($I$5*MAX(F1397,0.1)^2),1/3)))),IF(AND(IFERROR(V1397,0)=1,IFERROR(AG1397,0)=1),IF(IFERROR(T1397,-1E+99)&gt;=IFERROR(AE1397,-1E+99),MAX($D$16,IFERROR(L1397,MAX($D$16,POWER((ABS(K1397)^2)/($I$5*MAX(F1397,0.1)^2),1/3)))),MAX($D$16,IFERROR(W1397,MAX($D$16,POWER((ABS(K1397)^2)/($I$5*MAX(F1397,0.1)^2),1/3))))),IF(IFERROR(V1397,0)=1,MAX($D$16,IFERROR(L1397,MAX($D$16,POWER((ABS(K1397)^2)/($I$5*MAX(F1397,0.1)^2),1/3)))),IF(IFERROR(AG1397,0)=1,MAX($D$16,IFERROR(W1397,MAX($D$16,POWER((ABS(K1397)^2)/($I$5*MAX(F1397,0.1)^2),1/3)))),MAX($D$16,POWER((ABS(K1397)^2)/($I$5*MAX(F1397,0.1)^2),1/3))))))),MAX($D$16,POWER((ABS(K1397)^2)/($I$5*MAX(F1397,0.1)^2),1/3)))</f>
        <v>2.1389677043987478</v>
      </c>
      <c r="AI1397">
        <f t="shared" ca="1" si="672"/>
        <v>634.0349677043987</v>
      </c>
      <c r="AJ1397">
        <f t="shared" ca="1" si="673"/>
        <v>635.10445155659806</v>
      </c>
      <c r="AM1397">
        <v>0</v>
      </c>
      <c r="AN1397">
        <v>0</v>
      </c>
      <c r="AO1397">
        <f t="shared" si="674"/>
        <v>0</v>
      </c>
      <c r="AP1397">
        <f t="shared" si="683"/>
        <v>0</v>
      </c>
      <c r="AQ1397">
        <f t="shared" ca="1" si="675"/>
        <v>1.0000000000000004</v>
      </c>
      <c r="AR1397" t="str">
        <f t="shared" ca="1" si="676"/>
        <v>Supercritical</v>
      </c>
      <c r="AS1397">
        <f t="shared" ca="1" si="677"/>
        <v>3.8141460404132466E-3</v>
      </c>
    </row>
    <row r="1398" spans="1:45" x14ac:dyDescent="0.35">
      <c r="A1398">
        <v>1337</v>
      </c>
      <c r="B1398">
        <v>1335.9960000000001</v>
      </c>
      <c r="C1398">
        <v>616067.09400000004</v>
      </c>
      <c r="D1398">
        <v>3096671.3569999998</v>
      </c>
      <c r="E1398">
        <v>631.89549999999997</v>
      </c>
      <c r="F1398">
        <v>5.2</v>
      </c>
      <c r="G1398">
        <v>0</v>
      </c>
      <c r="H1398" t="s">
        <v>154</v>
      </c>
      <c r="I1398">
        <v>0</v>
      </c>
      <c r="J1398">
        <f t="shared" si="678"/>
        <v>1</v>
      </c>
      <c r="K1398">
        <f t="shared" ca="1" si="679"/>
        <v>50.95</v>
      </c>
      <c r="L1398">
        <f t="shared" ca="1" si="680"/>
        <v>2.1389677043987478</v>
      </c>
      <c r="M1398">
        <f t="shared" ca="1" si="653"/>
        <v>11.122632062873489</v>
      </c>
      <c r="N1398">
        <f t="shared" ca="1" si="654"/>
        <v>1.1735290000551568</v>
      </c>
      <c r="O1398">
        <f t="shared" ca="1" si="655"/>
        <v>4.5807502857230418</v>
      </c>
      <c r="P1398">
        <f t="shared" ca="1" si="656"/>
        <v>634.03446770439871</v>
      </c>
      <c r="Q1398">
        <f t="shared" ca="1" si="657"/>
        <v>635.10395155659808</v>
      </c>
      <c r="R1398">
        <f t="shared" ca="1" si="658"/>
        <v>3.8141460404132466E-3</v>
      </c>
      <c r="S1398">
        <f t="shared" ca="1" si="659"/>
        <v>1.0000000000000004</v>
      </c>
      <c r="T1398">
        <f t="shared" ca="1" si="660"/>
        <v>35.686426155594638</v>
      </c>
      <c r="U1398">
        <f t="shared" ca="1" si="681"/>
        <v>-3.3141460404522149E-3</v>
      </c>
      <c r="V1398">
        <f t="shared" ca="1" si="682"/>
        <v>1</v>
      </c>
      <c r="W1398">
        <f t="shared" ca="1" si="661"/>
        <v>1.6812012600779984</v>
      </c>
      <c r="X1398">
        <f t="shared" ca="1" si="662"/>
        <v>8.7422465524055912</v>
      </c>
      <c r="Y1398">
        <f t="shared" ca="1" si="663"/>
        <v>1.0210039217177935</v>
      </c>
      <c r="Z1398">
        <f t="shared" ca="1" si="664"/>
        <v>5.8280214009727471</v>
      </c>
      <c r="AA1398">
        <f t="shared" ca="1" si="665"/>
        <v>633.57670126007793</v>
      </c>
      <c r="AB1398">
        <f t="shared" ca="1" si="666"/>
        <v>635.30788543185145</v>
      </c>
      <c r="AC1398">
        <f t="shared" ca="1" si="667"/>
        <v>7.4334127264163484E-3</v>
      </c>
      <c r="AD1398">
        <f t="shared" ca="1" si="668"/>
        <v>1.4350822100489073</v>
      </c>
      <c r="AE1398">
        <f t="shared" ca="1" si="669"/>
        <v>37.617615674440664</v>
      </c>
      <c r="AF1398">
        <f t="shared" ca="1" si="670"/>
        <v>6.925979313677999E-3</v>
      </c>
      <c r="AG1398">
        <f t="shared" ca="1" si="671"/>
        <v>0</v>
      </c>
      <c r="AH1398">
        <f ca="1">IFERROR(IF(V32="Supercritical",MAX($D$16,IFERROR(L1398,MAX($D$16,POWER((ABS(K1398)^2)/($I$5*MAX(F1398,0.1)^2),1/3)))),IF(V32="Subcritical",MAX($D$16,IFERROR(W1398,MAX($D$16,POWER((ABS(K1398)^2)/($I$5*MAX(F1398,0.1)^2),1/3)))),IF(AND(IFERROR(V1398,0)=1,IFERROR(AG1398,0)=1),IF(IFERROR(T1398,-1E+99)&gt;=IFERROR(AE1398,-1E+99),MAX($D$16,IFERROR(L1398,MAX($D$16,POWER((ABS(K1398)^2)/($I$5*MAX(F1398,0.1)^2),1/3)))),MAX($D$16,IFERROR(W1398,MAX($D$16,POWER((ABS(K1398)^2)/($I$5*MAX(F1398,0.1)^2),1/3))))),IF(IFERROR(V1398,0)=1,MAX($D$16,IFERROR(L1398,MAX($D$16,POWER((ABS(K1398)^2)/($I$5*MAX(F1398,0.1)^2),1/3)))),IF(IFERROR(AG1398,0)=1,MAX($D$16,IFERROR(W1398,MAX($D$16,POWER((ABS(K1398)^2)/($I$5*MAX(F1398,0.1)^2),1/3)))),MAX($D$16,POWER((ABS(K1398)^2)/($I$5*MAX(F1398,0.1)^2),1/3))))))),MAX($D$16,POWER((ABS(K1398)^2)/($I$5*MAX(F1398,0.1)^2),1/3)))</f>
        <v>2.1389677043987478</v>
      </c>
      <c r="AI1398">
        <f t="shared" ca="1" si="672"/>
        <v>634.03446770439871</v>
      </c>
      <c r="AJ1398">
        <f t="shared" ca="1" si="673"/>
        <v>635.10395155659808</v>
      </c>
      <c r="AM1398">
        <v>0</v>
      </c>
      <c r="AN1398">
        <v>0</v>
      </c>
      <c r="AO1398">
        <f t="shared" si="674"/>
        <v>0</v>
      </c>
      <c r="AP1398">
        <f t="shared" si="683"/>
        <v>0</v>
      </c>
      <c r="AQ1398">
        <f t="shared" ca="1" si="675"/>
        <v>1.0000000000000004</v>
      </c>
      <c r="AR1398" t="str">
        <f t="shared" ca="1" si="676"/>
        <v>Supercritical</v>
      </c>
      <c r="AS1398">
        <f t="shared" ca="1" si="677"/>
        <v>3.8141460404132466E-3</v>
      </c>
    </row>
    <row r="1399" spans="1:45" x14ac:dyDescent="0.35">
      <c r="A1399">
        <v>1338</v>
      </c>
      <c r="B1399">
        <v>1336.9949999999999</v>
      </c>
      <c r="C1399">
        <v>616067.05200000003</v>
      </c>
      <c r="D1399">
        <v>3096670.358</v>
      </c>
      <c r="E1399">
        <v>631.89499999999998</v>
      </c>
      <c r="F1399">
        <v>5.2</v>
      </c>
      <c r="G1399">
        <v>0</v>
      </c>
      <c r="H1399" t="s">
        <v>154</v>
      </c>
      <c r="I1399">
        <v>0</v>
      </c>
      <c r="J1399">
        <f t="shared" si="678"/>
        <v>0.99899999999979627</v>
      </c>
      <c r="K1399">
        <f t="shared" ca="1" si="679"/>
        <v>50.95</v>
      </c>
      <c r="L1399">
        <f t="shared" ca="1" si="680"/>
        <v>2.1389677043987478</v>
      </c>
      <c r="M1399">
        <f t="shared" ca="1" si="653"/>
        <v>11.122632062873489</v>
      </c>
      <c r="N1399">
        <f t="shared" ca="1" si="654"/>
        <v>1.1735290000551568</v>
      </c>
      <c r="O1399">
        <f t="shared" ca="1" si="655"/>
        <v>4.5807502857230418</v>
      </c>
      <c r="P1399">
        <f t="shared" ca="1" si="656"/>
        <v>634.03396770439872</v>
      </c>
      <c r="Q1399">
        <f t="shared" ca="1" si="657"/>
        <v>635.10345155659809</v>
      </c>
      <c r="R1399">
        <f t="shared" ca="1" si="658"/>
        <v>3.8141460404132466E-3</v>
      </c>
      <c r="S1399">
        <f t="shared" ca="1" si="659"/>
        <v>1.0000000000000004</v>
      </c>
      <c r="T1399">
        <f t="shared" ca="1" si="660"/>
        <v>35.686426155594638</v>
      </c>
      <c r="U1399">
        <f t="shared" ca="1" si="681"/>
        <v>-3.3103318943403792E-3</v>
      </c>
      <c r="V1399">
        <f t="shared" ca="1" si="682"/>
        <v>1</v>
      </c>
      <c r="W1399">
        <f t="shared" ca="1" si="661"/>
        <v>1.6812012600776403</v>
      </c>
      <c r="X1399">
        <f t="shared" ca="1" si="662"/>
        <v>8.7422465524037296</v>
      </c>
      <c r="Y1399">
        <f t="shared" ca="1" si="663"/>
        <v>1.0210039217176614</v>
      </c>
      <c r="Z1399">
        <f t="shared" ca="1" si="664"/>
        <v>5.8280214009739879</v>
      </c>
      <c r="AA1399">
        <f t="shared" ca="1" si="665"/>
        <v>633.5762012600776</v>
      </c>
      <c r="AB1399">
        <f t="shared" ca="1" si="666"/>
        <v>635.3073854318518</v>
      </c>
      <c r="AC1399">
        <f t="shared" ca="1" si="667"/>
        <v>7.4334127264207945E-3</v>
      </c>
      <c r="AD1399">
        <f t="shared" ca="1" si="668"/>
        <v>1.4350822100493656</v>
      </c>
      <c r="AE1399">
        <f t="shared" ca="1" si="669"/>
        <v>37.617615674443975</v>
      </c>
      <c r="AF1399">
        <f t="shared" ca="1" si="670"/>
        <v>7.0978752227119912E-3</v>
      </c>
      <c r="AG1399">
        <f t="shared" ca="1" si="671"/>
        <v>0</v>
      </c>
      <c r="AH1399">
        <f ca="1">IFERROR(IF(V32="Supercritical",MAX($D$16,IFERROR(L1399,MAX($D$16,POWER((ABS(K1399)^2)/($I$5*MAX(F1399,0.1)^2),1/3)))),IF(V32="Subcritical",MAX($D$16,IFERROR(W1399,MAX($D$16,POWER((ABS(K1399)^2)/($I$5*MAX(F1399,0.1)^2),1/3)))),IF(AND(IFERROR(V1399,0)=1,IFERROR(AG1399,0)=1),IF(IFERROR(T1399,-1E+99)&gt;=IFERROR(AE1399,-1E+99),MAX($D$16,IFERROR(L1399,MAX($D$16,POWER((ABS(K1399)^2)/($I$5*MAX(F1399,0.1)^2),1/3)))),MAX($D$16,IFERROR(W1399,MAX($D$16,POWER((ABS(K1399)^2)/($I$5*MAX(F1399,0.1)^2),1/3))))),IF(IFERROR(V1399,0)=1,MAX($D$16,IFERROR(L1399,MAX($D$16,POWER((ABS(K1399)^2)/($I$5*MAX(F1399,0.1)^2),1/3)))),IF(IFERROR(AG1399,0)=1,MAX($D$16,IFERROR(W1399,MAX($D$16,POWER((ABS(K1399)^2)/($I$5*MAX(F1399,0.1)^2),1/3)))),MAX($D$16,POWER((ABS(K1399)^2)/($I$5*MAX(F1399,0.1)^2),1/3))))))),MAX($D$16,POWER((ABS(K1399)^2)/($I$5*MAX(F1399,0.1)^2),1/3)))</f>
        <v>2.1389677043987478</v>
      </c>
      <c r="AI1399">
        <f t="shared" ca="1" si="672"/>
        <v>634.03396770439872</v>
      </c>
      <c r="AJ1399">
        <f t="shared" ca="1" si="673"/>
        <v>635.10345155659809</v>
      </c>
      <c r="AM1399">
        <v>0</v>
      </c>
      <c r="AN1399">
        <v>0</v>
      </c>
      <c r="AO1399">
        <f t="shared" si="674"/>
        <v>0</v>
      </c>
      <c r="AP1399">
        <f t="shared" si="683"/>
        <v>0</v>
      </c>
      <c r="AQ1399">
        <f t="shared" ca="1" si="675"/>
        <v>1.0000000000000004</v>
      </c>
      <c r="AR1399" t="str">
        <f t="shared" ca="1" si="676"/>
        <v>Supercritical</v>
      </c>
      <c r="AS1399">
        <f t="shared" ca="1" si="677"/>
        <v>3.8141460404132466E-3</v>
      </c>
    </row>
    <row r="1400" spans="1:45" x14ac:dyDescent="0.35">
      <c r="A1400">
        <v>1339</v>
      </c>
      <c r="B1400">
        <v>1337.9949999999999</v>
      </c>
      <c r="C1400">
        <v>616067.01</v>
      </c>
      <c r="D1400">
        <v>3096669.3590000002</v>
      </c>
      <c r="E1400">
        <v>631.89449999999999</v>
      </c>
      <c r="F1400">
        <v>5.2</v>
      </c>
      <c r="G1400">
        <v>0</v>
      </c>
      <c r="H1400" t="s">
        <v>154</v>
      </c>
      <c r="I1400">
        <v>5.7000000000000002E-2</v>
      </c>
      <c r="J1400">
        <f t="shared" si="678"/>
        <v>1</v>
      </c>
      <c r="K1400">
        <f t="shared" ca="1" si="679"/>
        <v>50.95</v>
      </c>
      <c r="L1400">
        <f t="shared" ca="1" si="680"/>
        <v>2.1389677043987478</v>
      </c>
      <c r="M1400">
        <f t="shared" ca="1" si="653"/>
        <v>11.122632062873489</v>
      </c>
      <c r="N1400">
        <f t="shared" ca="1" si="654"/>
        <v>1.1735290000551568</v>
      </c>
      <c r="O1400">
        <f t="shared" ca="1" si="655"/>
        <v>4.5807502857230418</v>
      </c>
      <c r="P1400">
        <f t="shared" ca="1" si="656"/>
        <v>634.03346770439873</v>
      </c>
      <c r="Q1400">
        <f t="shared" ca="1" si="657"/>
        <v>635.1029515565981</v>
      </c>
      <c r="R1400">
        <f t="shared" ca="1" si="658"/>
        <v>3.8141460404132466E-3</v>
      </c>
      <c r="S1400">
        <f t="shared" ca="1" si="659"/>
        <v>1.0000000000000004</v>
      </c>
      <c r="T1400">
        <f t="shared" ca="1" si="660"/>
        <v>35.686426155594638</v>
      </c>
      <c r="U1400">
        <f t="shared" ca="1" si="681"/>
        <v>-3.4157470064428708E-3</v>
      </c>
      <c r="V1400">
        <f t="shared" ca="1" si="682"/>
        <v>1</v>
      </c>
      <c r="W1400">
        <f t="shared" ca="1" si="661"/>
        <v>1.6812012600772992</v>
      </c>
      <c r="X1400">
        <f t="shared" ca="1" si="662"/>
        <v>8.7422465524019568</v>
      </c>
      <c r="Y1400">
        <f t="shared" ca="1" si="663"/>
        <v>1.0210039217175357</v>
      </c>
      <c r="Z1400">
        <f t="shared" ca="1" si="664"/>
        <v>5.8280214009751701</v>
      </c>
      <c r="AA1400">
        <f t="shared" ca="1" si="665"/>
        <v>633.57570126007727</v>
      </c>
      <c r="AB1400">
        <f t="shared" ca="1" si="666"/>
        <v>635.30688543185227</v>
      </c>
      <c r="AC1400">
        <f t="shared" ca="1" si="667"/>
        <v>7.4334127264250325E-3</v>
      </c>
      <c r="AD1400">
        <f t="shared" ca="1" si="668"/>
        <v>1.4350822100498022</v>
      </c>
      <c r="AE1400">
        <f t="shared" ca="1" si="669"/>
        <v>37.617615674447137</v>
      </c>
      <c r="AF1400">
        <f t="shared" ca="1" si="670"/>
        <v>7.1065311435631884E-3</v>
      </c>
      <c r="AG1400">
        <f t="shared" ca="1" si="671"/>
        <v>0</v>
      </c>
      <c r="AH1400">
        <f ca="1">IFERROR(IF(V32="Supercritical",MAX($D$16,IFERROR(L1400,MAX($D$16,POWER((ABS(K1400)^2)/($I$5*MAX(F1400,0.1)^2),1/3)))),IF(V32="Subcritical",MAX($D$16,IFERROR(W1400,MAX($D$16,POWER((ABS(K1400)^2)/($I$5*MAX(F1400,0.1)^2),1/3)))),IF(AND(IFERROR(V1400,0)=1,IFERROR(AG1400,0)=1),IF(IFERROR(T1400,-1E+99)&gt;=IFERROR(AE1400,-1E+99),MAX($D$16,IFERROR(L1400,MAX($D$16,POWER((ABS(K1400)^2)/($I$5*MAX(F1400,0.1)^2),1/3)))),MAX($D$16,IFERROR(W1400,MAX($D$16,POWER((ABS(K1400)^2)/($I$5*MAX(F1400,0.1)^2),1/3))))),IF(IFERROR(V1400,0)=1,MAX($D$16,IFERROR(L1400,MAX($D$16,POWER((ABS(K1400)^2)/($I$5*MAX(F1400,0.1)^2),1/3)))),IF(IFERROR(AG1400,0)=1,MAX($D$16,IFERROR(W1400,MAX($D$16,POWER((ABS(K1400)^2)/($I$5*MAX(F1400,0.1)^2),1/3)))),MAX($D$16,POWER((ABS(K1400)^2)/($I$5*MAX(F1400,0.1)^2),1/3))))))),MAX($D$16,POWER((ABS(K1400)^2)/($I$5*MAX(F1400,0.1)^2),1/3)))</f>
        <v>2.1389677043987478</v>
      </c>
      <c r="AI1400">
        <f t="shared" ca="1" si="672"/>
        <v>634.03346770439873</v>
      </c>
      <c r="AJ1400">
        <f t="shared" ca="1" si="673"/>
        <v>635.1029515565981</v>
      </c>
      <c r="AM1400">
        <v>0</v>
      </c>
      <c r="AN1400">
        <v>0</v>
      </c>
      <c r="AO1400">
        <f t="shared" si="674"/>
        <v>0</v>
      </c>
      <c r="AP1400">
        <f t="shared" si="683"/>
        <v>0</v>
      </c>
      <c r="AQ1400">
        <f t="shared" ca="1" si="675"/>
        <v>1.0000000000000004</v>
      </c>
      <c r="AR1400" t="str">
        <f t="shared" ca="1" si="676"/>
        <v>Supercritical</v>
      </c>
      <c r="AS1400">
        <f t="shared" ca="1" si="677"/>
        <v>3.8141460404132466E-3</v>
      </c>
    </row>
    <row r="1401" spans="1:45" x14ac:dyDescent="0.35">
      <c r="A1401">
        <v>1340</v>
      </c>
      <c r="B1401">
        <v>1338.9949999999999</v>
      </c>
      <c r="C1401">
        <v>616066.96699999995</v>
      </c>
      <c r="D1401">
        <v>3096668.36</v>
      </c>
      <c r="E1401">
        <v>631.89400000000001</v>
      </c>
      <c r="F1401">
        <v>5.2</v>
      </c>
      <c r="G1401">
        <v>0</v>
      </c>
      <c r="H1401" t="s">
        <v>154</v>
      </c>
      <c r="I1401">
        <v>0.06</v>
      </c>
      <c r="J1401">
        <f t="shared" si="678"/>
        <v>1</v>
      </c>
      <c r="K1401">
        <f t="shared" ca="1" si="679"/>
        <v>50.95</v>
      </c>
      <c r="L1401">
        <f t="shared" ca="1" si="680"/>
        <v>2.1389677043987478</v>
      </c>
      <c r="M1401">
        <f t="shared" ca="1" si="653"/>
        <v>11.122632062873489</v>
      </c>
      <c r="N1401">
        <f t="shared" ca="1" si="654"/>
        <v>1.1735290000551568</v>
      </c>
      <c r="O1401">
        <f t="shared" ca="1" si="655"/>
        <v>4.5807502857230418</v>
      </c>
      <c r="P1401">
        <f t="shared" ca="1" si="656"/>
        <v>634.03296770439874</v>
      </c>
      <c r="Q1401">
        <f t="shared" ca="1" si="657"/>
        <v>635.10245155659811</v>
      </c>
      <c r="R1401">
        <f t="shared" ca="1" si="658"/>
        <v>3.8141460404132466E-3</v>
      </c>
      <c r="S1401">
        <f t="shared" ca="1" si="659"/>
        <v>1.0000000000000004</v>
      </c>
      <c r="T1401">
        <f t="shared" ca="1" si="660"/>
        <v>35.686426155594638</v>
      </c>
      <c r="U1401">
        <f t="shared" ca="1" si="681"/>
        <v>-3.4210944256756193E-3</v>
      </c>
      <c r="V1401">
        <f t="shared" ca="1" si="682"/>
        <v>1</v>
      </c>
      <c r="W1401">
        <f t="shared" ca="1" si="661"/>
        <v>1.6812012600770092</v>
      </c>
      <c r="X1401">
        <f t="shared" ca="1" si="662"/>
        <v>8.7422465524004487</v>
      </c>
      <c r="Y1401">
        <f t="shared" ca="1" si="663"/>
        <v>1.0210039217174289</v>
      </c>
      <c r="Z1401">
        <f t="shared" ca="1" si="664"/>
        <v>5.8280214009761755</v>
      </c>
      <c r="AA1401">
        <f t="shared" ca="1" si="665"/>
        <v>633.57520126007705</v>
      </c>
      <c r="AB1401">
        <f t="shared" ca="1" si="666"/>
        <v>635.30638543185262</v>
      </c>
      <c r="AC1401">
        <f t="shared" ca="1" si="667"/>
        <v>7.433412726428632E-3</v>
      </c>
      <c r="AD1401">
        <f t="shared" ca="1" si="668"/>
        <v>1.4350822100501737</v>
      </c>
      <c r="AE1401">
        <f t="shared" ca="1" si="669"/>
        <v>37.617615674449823</v>
      </c>
      <c r="AF1401">
        <f t="shared" ca="1" si="670"/>
        <v>6.9466167531118117E-3</v>
      </c>
      <c r="AG1401">
        <f t="shared" ca="1" si="671"/>
        <v>0</v>
      </c>
      <c r="AH1401">
        <f ca="1">IFERROR(IF(V32="Supercritical",MAX($D$16,IFERROR(L1401,MAX($D$16,POWER((ABS(K1401)^2)/($I$5*MAX(F1401,0.1)^2),1/3)))),IF(V32="Subcritical",MAX($D$16,IFERROR(W1401,MAX($D$16,POWER((ABS(K1401)^2)/($I$5*MAX(F1401,0.1)^2),1/3)))),IF(AND(IFERROR(V1401,0)=1,IFERROR(AG1401,0)=1),IF(IFERROR(T1401,-1E+99)&gt;=IFERROR(AE1401,-1E+99),MAX($D$16,IFERROR(L1401,MAX($D$16,POWER((ABS(K1401)^2)/($I$5*MAX(F1401,0.1)^2),1/3)))),MAX($D$16,IFERROR(W1401,MAX($D$16,POWER((ABS(K1401)^2)/($I$5*MAX(F1401,0.1)^2),1/3))))),IF(IFERROR(V1401,0)=1,MAX($D$16,IFERROR(L1401,MAX($D$16,POWER((ABS(K1401)^2)/($I$5*MAX(F1401,0.1)^2),1/3)))),IF(IFERROR(AG1401,0)=1,MAX($D$16,IFERROR(W1401,MAX($D$16,POWER((ABS(K1401)^2)/($I$5*MAX(F1401,0.1)^2),1/3)))),MAX($D$16,POWER((ABS(K1401)^2)/($I$5*MAX(F1401,0.1)^2),1/3))))))),MAX($D$16,POWER((ABS(K1401)^2)/($I$5*MAX(F1401,0.1)^2),1/3)))</f>
        <v>2.1389677043987478</v>
      </c>
      <c r="AI1401">
        <f t="shared" ca="1" si="672"/>
        <v>634.03296770439874</v>
      </c>
      <c r="AJ1401">
        <f t="shared" ca="1" si="673"/>
        <v>635.10245155659811</v>
      </c>
      <c r="AM1401">
        <v>0</v>
      </c>
      <c r="AN1401">
        <v>0</v>
      </c>
      <c r="AO1401">
        <f t="shared" si="674"/>
        <v>0</v>
      </c>
      <c r="AP1401">
        <f t="shared" si="683"/>
        <v>0</v>
      </c>
      <c r="AQ1401">
        <f t="shared" ca="1" si="675"/>
        <v>1.0000000000000004</v>
      </c>
      <c r="AR1401" t="str">
        <f t="shared" ca="1" si="676"/>
        <v>Supercritical</v>
      </c>
      <c r="AS1401">
        <f t="shared" ca="1" si="677"/>
        <v>3.8141460404132466E-3</v>
      </c>
    </row>
    <row r="1402" spans="1:45" x14ac:dyDescent="0.35">
      <c r="A1402">
        <v>1341</v>
      </c>
      <c r="B1402">
        <v>1339.9960000000001</v>
      </c>
      <c r="C1402">
        <v>616066.92500000005</v>
      </c>
      <c r="D1402">
        <v>3096667.36</v>
      </c>
      <c r="E1402">
        <v>631.89350000000002</v>
      </c>
      <c r="F1402">
        <v>5.2</v>
      </c>
      <c r="G1402">
        <v>0</v>
      </c>
      <c r="H1402" t="s">
        <v>154</v>
      </c>
      <c r="I1402">
        <v>2E-3</v>
      </c>
      <c r="J1402">
        <f t="shared" si="678"/>
        <v>1.0010000000002037</v>
      </c>
      <c r="K1402">
        <f t="shared" ca="1" si="679"/>
        <v>50.95</v>
      </c>
      <c r="L1402">
        <f t="shared" ca="1" si="680"/>
        <v>2.1389677043987478</v>
      </c>
      <c r="M1402">
        <f t="shared" ca="1" si="653"/>
        <v>11.122632062873489</v>
      </c>
      <c r="N1402">
        <f t="shared" ca="1" si="654"/>
        <v>1.1735290000551568</v>
      </c>
      <c r="O1402">
        <f t="shared" ca="1" si="655"/>
        <v>4.5807502857230418</v>
      </c>
      <c r="P1402">
        <f t="shared" ca="1" si="656"/>
        <v>634.03246770439875</v>
      </c>
      <c r="Q1402">
        <f t="shared" ca="1" si="657"/>
        <v>635.10195155659812</v>
      </c>
      <c r="R1402">
        <f t="shared" ca="1" si="658"/>
        <v>3.8141460404132466E-3</v>
      </c>
      <c r="S1402">
        <f t="shared" ca="1" si="659"/>
        <v>1.0000000000000004</v>
      </c>
      <c r="T1402">
        <f t="shared" ca="1" si="660"/>
        <v>35.686426155594638</v>
      </c>
      <c r="U1402">
        <f t="shared" ca="1" si="681"/>
        <v>-3.3215251326055295E-3</v>
      </c>
      <c r="V1402">
        <f t="shared" ca="1" si="682"/>
        <v>1</v>
      </c>
      <c r="W1402">
        <f t="shared" ca="1" si="661"/>
        <v>1.6812012600767363</v>
      </c>
      <c r="X1402">
        <f t="shared" ca="1" si="662"/>
        <v>8.7422465523990294</v>
      </c>
      <c r="Y1402">
        <f t="shared" ca="1" si="663"/>
        <v>1.0210039217173281</v>
      </c>
      <c r="Z1402">
        <f t="shared" ca="1" si="664"/>
        <v>5.8280214009771214</v>
      </c>
      <c r="AA1402">
        <f t="shared" ca="1" si="665"/>
        <v>633.57470126007672</v>
      </c>
      <c r="AB1402">
        <f t="shared" ca="1" si="666"/>
        <v>635.30588543185286</v>
      </c>
      <c r="AC1402">
        <f t="shared" ca="1" si="667"/>
        <v>7.4334127264320251E-3</v>
      </c>
      <c r="AD1402">
        <f t="shared" ca="1" si="668"/>
        <v>1.4350822100505229</v>
      </c>
      <c r="AE1402">
        <f t="shared" ca="1" si="669"/>
        <v>37.617615674452352</v>
      </c>
      <c r="AF1402">
        <f t="shared" ca="1" si="670"/>
        <v>6.9334127264255585E-3</v>
      </c>
      <c r="AG1402">
        <f t="shared" ca="1" si="671"/>
        <v>0</v>
      </c>
      <c r="AH1402">
        <f ca="1">IFERROR(IF(V32="Supercritical",MAX($D$16,IFERROR(L1402,MAX($D$16,POWER((ABS(K1402)^2)/($I$5*MAX(F1402,0.1)^2),1/3)))),IF(V32="Subcritical",MAX($D$16,IFERROR(W1402,MAX($D$16,POWER((ABS(K1402)^2)/($I$5*MAX(F1402,0.1)^2),1/3)))),IF(AND(IFERROR(V1402,0)=1,IFERROR(AG1402,0)=1),IF(IFERROR(T1402,-1E+99)&gt;=IFERROR(AE1402,-1E+99),MAX($D$16,IFERROR(L1402,MAX($D$16,POWER((ABS(K1402)^2)/($I$5*MAX(F1402,0.1)^2),1/3)))),MAX($D$16,IFERROR(W1402,MAX($D$16,POWER((ABS(K1402)^2)/($I$5*MAX(F1402,0.1)^2),1/3))))),IF(IFERROR(V1402,0)=1,MAX($D$16,IFERROR(L1402,MAX($D$16,POWER((ABS(K1402)^2)/($I$5*MAX(F1402,0.1)^2),1/3)))),IF(IFERROR(AG1402,0)=1,MAX($D$16,IFERROR(W1402,MAX($D$16,POWER((ABS(K1402)^2)/($I$5*MAX(F1402,0.1)^2),1/3)))),MAX($D$16,POWER((ABS(K1402)^2)/($I$5*MAX(F1402,0.1)^2),1/3))))))),MAX($D$16,POWER((ABS(K1402)^2)/($I$5*MAX(F1402,0.1)^2),1/3)))</f>
        <v>2.1389677043987478</v>
      </c>
      <c r="AI1402">
        <f t="shared" ca="1" si="672"/>
        <v>634.03246770439875</v>
      </c>
      <c r="AJ1402">
        <f t="shared" ca="1" si="673"/>
        <v>635.10195155659812</v>
      </c>
      <c r="AM1402">
        <v>0</v>
      </c>
      <c r="AN1402">
        <v>0</v>
      </c>
      <c r="AO1402">
        <f t="shared" si="674"/>
        <v>0</v>
      </c>
      <c r="AP1402">
        <f t="shared" si="683"/>
        <v>0</v>
      </c>
      <c r="AQ1402">
        <f t="shared" ca="1" si="675"/>
        <v>1.0000000000000004</v>
      </c>
      <c r="AR1402" t="str">
        <f t="shared" ca="1" si="676"/>
        <v>Supercritical</v>
      </c>
      <c r="AS1402">
        <f t="shared" ca="1" si="677"/>
        <v>3.8141460404132466E-3</v>
      </c>
    </row>
    <row r="1403" spans="1:45" x14ac:dyDescent="0.35">
      <c r="A1403">
        <v>1342</v>
      </c>
      <c r="B1403">
        <v>1340.9960000000001</v>
      </c>
      <c r="C1403">
        <v>616066.88300000003</v>
      </c>
      <c r="D1403">
        <v>3096666.361</v>
      </c>
      <c r="E1403">
        <v>631.89300000000003</v>
      </c>
      <c r="F1403">
        <v>5.2</v>
      </c>
      <c r="G1403">
        <v>0</v>
      </c>
      <c r="H1403" t="s">
        <v>154</v>
      </c>
      <c r="I1403">
        <v>0</v>
      </c>
      <c r="J1403">
        <f t="shared" si="678"/>
        <v>1</v>
      </c>
      <c r="K1403">
        <f t="shared" ca="1" si="679"/>
        <v>50.95</v>
      </c>
      <c r="L1403">
        <f t="shared" ca="1" si="680"/>
        <v>2.1389677043987478</v>
      </c>
      <c r="M1403">
        <f t="shared" ca="1" si="653"/>
        <v>11.122632062873489</v>
      </c>
      <c r="N1403">
        <f t="shared" ca="1" si="654"/>
        <v>1.1735290000551568</v>
      </c>
      <c r="O1403">
        <f t="shared" ca="1" si="655"/>
        <v>4.5807502857230418</v>
      </c>
      <c r="P1403">
        <f t="shared" ca="1" si="656"/>
        <v>634.03196770439877</v>
      </c>
      <c r="Q1403">
        <f t="shared" ca="1" si="657"/>
        <v>635.10145155659814</v>
      </c>
      <c r="R1403">
        <f t="shared" ca="1" si="658"/>
        <v>3.8141460404132466E-3</v>
      </c>
      <c r="S1403">
        <f t="shared" ca="1" si="659"/>
        <v>1.0000000000000004</v>
      </c>
      <c r="T1403">
        <f t="shared" ca="1" si="660"/>
        <v>35.686426155594638</v>
      </c>
      <c r="U1403">
        <f t="shared" ca="1" si="681"/>
        <v>-3.3141460404522149E-3</v>
      </c>
      <c r="V1403">
        <f t="shared" ca="1" si="682"/>
        <v>1</v>
      </c>
      <c r="W1403">
        <f t="shared" ca="1" si="661"/>
        <v>1.6812012600764634</v>
      </c>
      <c r="X1403">
        <f t="shared" ca="1" si="662"/>
        <v>8.7422465523976101</v>
      </c>
      <c r="Y1403">
        <f t="shared" ca="1" si="663"/>
        <v>1.0210039217172273</v>
      </c>
      <c r="Z1403">
        <f t="shared" ca="1" si="664"/>
        <v>5.8280214009780682</v>
      </c>
      <c r="AA1403">
        <f t="shared" ca="1" si="665"/>
        <v>633.57420126007651</v>
      </c>
      <c r="AB1403">
        <f t="shared" ca="1" si="666"/>
        <v>635.30538543185321</v>
      </c>
      <c r="AC1403">
        <f t="shared" ca="1" si="667"/>
        <v>7.4334127264354156E-3</v>
      </c>
      <c r="AD1403">
        <f t="shared" ca="1" si="668"/>
        <v>1.4350822100508727</v>
      </c>
      <c r="AE1403">
        <f t="shared" ca="1" si="669"/>
        <v>37.617615674454882</v>
      </c>
      <c r="AF1403">
        <f t="shared" ca="1" si="670"/>
        <v>7.0978752227119912E-3</v>
      </c>
      <c r="AG1403">
        <f t="shared" ca="1" si="671"/>
        <v>0</v>
      </c>
      <c r="AH1403">
        <f ca="1">IFERROR(IF(V32="Supercritical",MAX($D$16,IFERROR(L1403,MAX($D$16,POWER((ABS(K1403)^2)/($I$5*MAX(F1403,0.1)^2),1/3)))),IF(V32="Subcritical",MAX($D$16,IFERROR(W1403,MAX($D$16,POWER((ABS(K1403)^2)/($I$5*MAX(F1403,0.1)^2),1/3)))),IF(AND(IFERROR(V1403,0)=1,IFERROR(AG1403,0)=1),IF(IFERROR(T1403,-1E+99)&gt;=IFERROR(AE1403,-1E+99),MAX($D$16,IFERROR(L1403,MAX($D$16,POWER((ABS(K1403)^2)/($I$5*MAX(F1403,0.1)^2),1/3)))),MAX($D$16,IFERROR(W1403,MAX($D$16,POWER((ABS(K1403)^2)/($I$5*MAX(F1403,0.1)^2),1/3))))),IF(IFERROR(V1403,0)=1,MAX($D$16,IFERROR(L1403,MAX($D$16,POWER((ABS(K1403)^2)/($I$5*MAX(F1403,0.1)^2),1/3)))),IF(IFERROR(AG1403,0)=1,MAX($D$16,IFERROR(W1403,MAX($D$16,POWER((ABS(K1403)^2)/($I$5*MAX(F1403,0.1)^2),1/3)))),MAX($D$16,POWER((ABS(K1403)^2)/($I$5*MAX(F1403,0.1)^2),1/3))))))),MAX($D$16,POWER((ABS(K1403)^2)/($I$5*MAX(F1403,0.1)^2),1/3)))</f>
        <v>2.1389677043987478</v>
      </c>
      <c r="AI1403">
        <f t="shared" ca="1" si="672"/>
        <v>634.03196770439877</v>
      </c>
      <c r="AJ1403">
        <f t="shared" ca="1" si="673"/>
        <v>635.10145155659814</v>
      </c>
      <c r="AM1403">
        <v>0</v>
      </c>
      <c r="AN1403">
        <v>0</v>
      </c>
      <c r="AO1403">
        <f t="shared" si="674"/>
        <v>0</v>
      </c>
      <c r="AP1403">
        <f t="shared" si="683"/>
        <v>0</v>
      </c>
      <c r="AQ1403">
        <f t="shared" ca="1" si="675"/>
        <v>1.0000000000000004</v>
      </c>
      <c r="AR1403" t="str">
        <f t="shared" ca="1" si="676"/>
        <v>Supercritical</v>
      </c>
      <c r="AS1403">
        <f t="shared" ca="1" si="677"/>
        <v>3.8141460404132466E-3</v>
      </c>
    </row>
    <row r="1404" spans="1:45" x14ac:dyDescent="0.35">
      <c r="A1404">
        <v>1343</v>
      </c>
      <c r="B1404">
        <v>1341.9960000000001</v>
      </c>
      <c r="C1404">
        <v>616066.84100000001</v>
      </c>
      <c r="D1404">
        <v>3096665.3620000002</v>
      </c>
      <c r="E1404">
        <v>631.89250000000004</v>
      </c>
      <c r="F1404">
        <v>5.2</v>
      </c>
      <c r="G1404">
        <v>0</v>
      </c>
      <c r="H1404" t="s">
        <v>154</v>
      </c>
      <c r="I1404">
        <v>5.7000000000000002E-2</v>
      </c>
      <c r="J1404">
        <f t="shared" si="678"/>
        <v>1</v>
      </c>
      <c r="K1404">
        <f t="shared" ca="1" si="679"/>
        <v>50.95</v>
      </c>
      <c r="L1404">
        <f t="shared" ca="1" si="680"/>
        <v>2.1389677043987478</v>
      </c>
      <c r="M1404">
        <f t="shared" ca="1" si="653"/>
        <v>11.122632062873489</v>
      </c>
      <c r="N1404">
        <f t="shared" ca="1" si="654"/>
        <v>1.1735290000551568</v>
      </c>
      <c r="O1404">
        <f t="shared" ca="1" si="655"/>
        <v>4.5807502857230418</v>
      </c>
      <c r="P1404">
        <f t="shared" ca="1" si="656"/>
        <v>634.03146770439878</v>
      </c>
      <c r="Q1404">
        <f t="shared" ca="1" si="657"/>
        <v>635.10095155659815</v>
      </c>
      <c r="R1404">
        <f t="shared" ca="1" si="658"/>
        <v>3.8141460404132466E-3</v>
      </c>
      <c r="S1404">
        <f t="shared" ca="1" si="659"/>
        <v>1.0000000000000004</v>
      </c>
      <c r="T1404">
        <f t="shared" ca="1" si="660"/>
        <v>35.686426155594638</v>
      </c>
      <c r="U1404">
        <f t="shared" ca="1" si="681"/>
        <v>-3.4157470064428708E-3</v>
      </c>
      <c r="V1404">
        <f t="shared" ca="1" si="682"/>
        <v>1</v>
      </c>
      <c r="W1404">
        <f t="shared" ca="1" si="661"/>
        <v>1.6812012600762247</v>
      </c>
      <c r="X1404">
        <f t="shared" ca="1" si="662"/>
        <v>8.7422465523963684</v>
      </c>
      <c r="Y1404">
        <f t="shared" ca="1" si="663"/>
        <v>1.0210039217171394</v>
      </c>
      <c r="Z1404">
        <f t="shared" ca="1" si="664"/>
        <v>5.828021400978896</v>
      </c>
      <c r="AA1404">
        <f t="shared" ca="1" si="665"/>
        <v>633.57370126007629</v>
      </c>
      <c r="AB1404">
        <f t="shared" ca="1" si="666"/>
        <v>635.30488543185345</v>
      </c>
      <c r="AC1404">
        <f t="shared" ca="1" si="667"/>
        <v>7.4334127264383786E-3</v>
      </c>
      <c r="AD1404">
        <f t="shared" ca="1" si="668"/>
        <v>1.4350822100511782</v>
      </c>
      <c r="AE1404">
        <f t="shared" ca="1" si="669"/>
        <v>37.617615674457092</v>
      </c>
      <c r="AF1404">
        <f t="shared" ca="1" si="670"/>
        <v>7.0978752227119912E-3</v>
      </c>
      <c r="AG1404">
        <f t="shared" ca="1" si="671"/>
        <v>0</v>
      </c>
      <c r="AH1404">
        <f ca="1">IFERROR(IF(V32="Supercritical",MAX($D$16,IFERROR(L1404,MAX($D$16,POWER((ABS(K1404)^2)/($I$5*MAX(F1404,0.1)^2),1/3)))),IF(V32="Subcritical",MAX($D$16,IFERROR(W1404,MAX($D$16,POWER((ABS(K1404)^2)/($I$5*MAX(F1404,0.1)^2),1/3)))),IF(AND(IFERROR(V1404,0)=1,IFERROR(AG1404,0)=1),IF(IFERROR(T1404,-1E+99)&gt;=IFERROR(AE1404,-1E+99),MAX($D$16,IFERROR(L1404,MAX($D$16,POWER((ABS(K1404)^2)/($I$5*MAX(F1404,0.1)^2),1/3)))),MAX($D$16,IFERROR(W1404,MAX($D$16,POWER((ABS(K1404)^2)/($I$5*MAX(F1404,0.1)^2),1/3))))),IF(IFERROR(V1404,0)=1,MAX($D$16,IFERROR(L1404,MAX($D$16,POWER((ABS(K1404)^2)/($I$5*MAX(F1404,0.1)^2),1/3)))),IF(IFERROR(AG1404,0)=1,MAX($D$16,IFERROR(W1404,MAX($D$16,POWER((ABS(K1404)^2)/($I$5*MAX(F1404,0.1)^2),1/3)))),MAX($D$16,POWER((ABS(K1404)^2)/($I$5*MAX(F1404,0.1)^2),1/3))))))),MAX($D$16,POWER((ABS(K1404)^2)/($I$5*MAX(F1404,0.1)^2),1/3)))</f>
        <v>2.1389677043987478</v>
      </c>
      <c r="AI1404">
        <f t="shared" ca="1" si="672"/>
        <v>634.03146770439878</v>
      </c>
      <c r="AJ1404">
        <f t="shared" ca="1" si="673"/>
        <v>635.10095155659815</v>
      </c>
      <c r="AM1404">
        <v>0</v>
      </c>
      <c r="AN1404">
        <v>0</v>
      </c>
      <c r="AO1404">
        <f t="shared" si="674"/>
        <v>0</v>
      </c>
      <c r="AP1404">
        <f t="shared" si="683"/>
        <v>0</v>
      </c>
      <c r="AQ1404">
        <f t="shared" ca="1" si="675"/>
        <v>1.0000000000000004</v>
      </c>
      <c r="AR1404" t="str">
        <f t="shared" ca="1" si="676"/>
        <v>Supercritical</v>
      </c>
      <c r="AS1404">
        <f t="shared" ca="1" si="677"/>
        <v>3.8141460404132466E-3</v>
      </c>
    </row>
    <row r="1405" spans="1:45" x14ac:dyDescent="0.35">
      <c r="A1405">
        <v>1344</v>
      </c>
      <c r="B1405">
        <v>1342.9960000000001</v>
      </c>
      <c r="C1405">
        <v>616066.79799999995</v>
      </c>
      <c r="D1405">
        <v>3096664.3629999999</v>
      </c>
      <c r="E1405">
        <v>631.89200000000005</v>
      </c>
      <c r="F1405">
        <v>5.2</v>
      </c>
      <c r="G1405">
        <v>0</v>
      </c>
      <c r="H1405" t="s">
        <v>154</v>
      </c>
      <c r="I1405">
        <v>5.7000000000000002E-2</v>
      </c>
      <c r="J1405">
        <f t="shared" si="678"/>
        <v>1</v>
      </c>
      <c r="K1405">
        <f t="shared" ca="1" si="679"/>
        <v>50.95</v>
      </c>
      <c r="L1405">
        <f t="shared" ca="1" si="680"/>
        <v>2.1389677043987478</v>
      </c>
      <c r="M1405">
        <f t="shared" ca="1" si="653"/>
        <v>11.122632062873489</v>
      </c>
      <c r="N1405">
        <f t="shared" ca="1" si="654"/>
        <v>1.1735290000551568</v>
      </c>
      <c r="O1405">
        <f t="shared" ca="1" si="655"/>
        <v>4.5807502857230418</v>
      </c>
      <c r="P1405">
        <f t="shared" ca="1" si="656"/>
        <v>634.03096770439879</v>
      </c>
      <c r="Q1405">
        <f t="shared" ca="1" si="657"/>
        <v>635.10045155659816</v>
      </c>
      <c r="R1405">
        <f t="shared" ca="1" si="658"/>
        <v>3.8141460404132466E-3</v>
      </c>
      <c r="S1405">
        <f t="shared" ca="1" si="659"/>
        <v>1.0000000000000004</v>
      </c>
      <c r="T1405">
        <f t="shared" ca="1" si="660"/>
        <v>35.686426155594638</v>
      </c>
      <c r="U1405">
        <f t="shared" ca="1" si="681"/>
        <v>-3.4157470064428708E-3</v>
      </c>
      <c r="V1405">
        <f t="shared" ca="1" si="682"/>
        <v>1</v>
      </c>
      <c r="W1405">
        <f t="shared" ca="1" si="661"/>
        <v>1.6812012600760031</v>
      </c>
      <c r="X1405">
        <f t="shared" ca="1" si="662"/>
        <v>8.7422465523952173</v>
      </c>
      <c r="Y1405">
        <f t="shared" ca="1" si="663"/>
        <v>1.0210039217170579</v>
      </c>
      <c r="Z1405">
        <f t="shared" ca="1" si="664"/>
        <v>5.8280214009796634</v>
      </c>
      <c r="AA1405">
        <f t="shared" ca="1" si="665"/>
        <v>633.57320126007608</v>
      </c>
      <c r="AB1405">
        <f t="shared" ca="1" si="666"/>
        <v>635.30438543185369</v>
      </c>
      <c r="AC1405">
        <f t="shared" ca="1" si="667"/>
        <v>7.4334127264411281E-3</v>
      </c>
      <c r="AD1405">
        <f t="shared" ca="1" si="668"/>
        <v>1.4350822100514617</v>
      </c>
      <c r="AE1405">
        <f t="shared" ca="1" si="669"/>
        <v>37.617615674459145</v>
      </c>
      <c r="AF1405">
        <f t="shared" ca="1" si="670"/>
        <v>6.9334127263118717E-3</v>
      </c>
      <c r="AG1405">
        <f t="shared" ca="1" si="671"/>
        <v>0</v>
      </c>
      <c r="AH1405">
        <f ca="1">IFERROR(IF(V32="Supercritical",MAX($D$16,IFERROR(L1405,MAX($D$16,POWER((ABS(K1405)^2)/($I$5*MAX(F1405,0.1)^2),1/3)))),IF(V32="Subcritical",MAX($D$16,IFERROR(W1405,MAX($D$16,POWER((ABS(K1405)^2)/($I$5*MAX(F1405,0.1)^2),1/3)))),IF(AND(IFERROR(V1405,0)=1,IFERROR(AG1405,0)=1),IF(IFERROR(T1405,-1E+99)&gt;=IFERROR(AE1405,-1E+99),MAX($D$16,IFERROR(L1405,MAX($D$16,POWER((ABS(K1405)^2)/($I$5*MAX(F1405,0.1)^2),1/3)))),MAX($D$16,IFERROR(W1405,MAX($D$16,POWER((ABS(K1405)^2)/($I$5*MAX(F1405,0.1)^2),1/3))))),IF(IFERROR(V1405,0)=1,MAX($D$16,IFERROR(L1405,MAX($D$16,POWER((ABS(K1405)^2)/($I$5*MAX(F1405,0.1)^2),1/3)))),IF(IFERROR(AG1405,0)=1,MAX($D$16,IFERROR(W1405,MAX($D$16,POWER((ABS(K1405)^2)/($I$5*MAX(F1405,0.1)^2),1/3)))),MAX($D$16,POWER((ABS(K1405)^2)/($I$5*MAX(F1405,0.1)^2),1/3))))))),MAX($D$16,POWER((ABS(K1405)^2)/($I$5*MAX(F1405,0.1)^2),1/3)))</f>
        <v>2.1389677043987478</v>
      </c>
      <c r="AI1405">
        <f t="shared" ca="1" si="672"/>
        <v>634.03096770439879</v>
      </c>
      <c r="AJ1405">
        <f t="shared" ca="1" si="673"/>
        <v>635.10045155659816</v>
      </c>
      <c r="AM1405">
        <v>0</v>
      </c>
      <c r="AN1405">
        <v>0</v>
      </c>
      <c r="AO1405">
        <f t="shared" si="674"/>
        <v>0</v>
      </c>
      <c r="AP1405">
        <f t="shared" si="683"/>
        <v>0</v>
      </c>
      <c r="AQ1405">
        <f t="shared" ca="1" si="675"/>
        <v>1.0000000000000004</v>
      </c>
      <c r="AR1405" t="str">
        <f t="shared" ca="1" si="676"/>
        <v>Supercritical</v>
      </c>
      <c r="AS1405">
        <f t="shared" ca="1" si="677"/>
        <v>3.8141460404132466E-3</v>
      </c>
    </row>
    <row r="1406" spans="1:45" x14ac:dyDescent="0.35">
      <c r="A1406">
        <v>1345</v>
      </c>
      <c r="B1406">
        <v>1343.9960000000001</v>
      </c>
      <c r="C1406">
        <v>616066.75600000005</v>
      </c>
      <c r="D1406">
        <v>3096663.3640000001</v>
      </c>
      <c r="E1406">
        <v>631.89149999999995</v>
      </c>
      <c r="F1406">
        <v>5.2</v>
      </c>
      <c r="G1406">
        <v>0</v>
      </c>
      <c r="H1406" t="s">
        <v>154</v>
      </c>
      <c r="I1406">
        <v>0</v>
      </c>
      <c r="J1406">
        <f t="shared" si="678"/>
        <v>1</v>
      </c>
      <c r="K1406">
        <f t="shared" ca="1" si="679"/>
        <v>50.95</v>
      </c>
      <c r="L1406">
        <f t="shared" ca="1" si="680"/>
        <v>2.1389677043987478</v>
      </c>
      <c r="M1406">
        <f t="shared" ref="M1406:M1469" ca="1" si="684">((F1406)+(G1406)*(L1406))*(L1406)</f>
        <v>11.122632062873489</v>
      </c>
      <c r="N1406">
        <f t="shared" ref="N1406:N1448" ca="1" si="685">(((F1406)+(G1406)*(L1406))*(L1406))/MAX((F1406)+2*(L1406)*SQRT(1+(G1406)^2),0.000001)</f>
        <v>1.1735290000551568</v>
      </c>
      <c r="O1406">
        <f t="shared" ref="O1406:O1448" ca="1" si="686">ABS(K1406)/MAX(((F1406)+(G1406)*(L1406))*(L1406),0.000001)</f>
        <v>4.5807502857230418</v>
      </c>
      <c r="P1406">
        <f t="shared" ref="P1406:P1448" ca="1" si="687">E1406+L1406</f>
        <v>634.03046770439869</v>
      </c>
      <c r="Q1406">
        <f t="shared" ref="Q1406:Q1469" ca="1" si="688">P1406+((ABS(K1406)/MAX(((F1406)+(G1406)*(L1406))*(L1406),0.000001))^2)/(2*$I$5)</f>
        <v>635.09995155659806</v>
      </c>
      <c r="R1406">
        <f t="shared" ref="R1406:R1448" ca="1" si="689">((ABS(K1406)*$D$6)/(MAX(((F1406)+(G1406)*(L1406))*(L1406),0.000001)*MAX(((((F1406)+(G1406)*(L1406))*(L1406))/MAX((F1406)+2*(L1406)*SQRT(1+(G1406)^2),0.000001))^(2/3),0.000001)))^2</f>
        <v>3.8141460404132466E-3</v>
      </c>
      <c r="S1406">
        <f t="shared" ref="S1406:S1448" ca="1" si="690">ABS(ABS(K1406)/MAX(((F1406)+(G1406)*(L1406))*(L1406),0.000001))/SQRT($I$5*MAX((((F1406)+(G1406)*(L1406))*(L1406))/MAX((F1406)+2*(G1406)*(L1406),0.000001),0.000001))</f>
        <v>1.0000000000000004</v>
      </c>
      <c r="T1406">
        <f t="shared" ref="T1406:T1448" ca="1" si="691">((F1406)*(L1406)^2)/2+(G1406)*(L1406)^3/3+(ABS(K1406)^2)/($I$5*MAX(((F1406)+(G1406)*(L1406))*(L1406),0.000001))</f>
        <v>35.686426155594638</v>
      </c>
      <c r="U1406">
        <f t="shared" ca="1" si="681"/>
        <v>-3.3141460403385281E-3</v>
      </c>
      <c r="V1406">
        <f t="shared" ca="1" si="682"/>
        <v>1</v>
      </c>
      <c r="W1406">
        <f t="shared" ref="W1406:W1447" ca="1" si="692">IF($D$20=0,IFERROR(W1407,MAX($D$16,POWER((ABS(K1406)^2)/($I$5*MAX(F1406,0.1)^2),1/3))),IF(IFERROR(AG1407,0)=0,IFERROR(W1407,MAX($D$16,POWER((ABS(K1406)^2)/($I$5*MAX(F1406,0.1)^2),1/3))),IF(OR(IFERROR(W1406,0)=0,IFERROR(AD1407,0)&gt;1),MAX($D$16,POWER((ABS(K1406)^2)/($I$5*MAX(F1406,0.1)^2),1/3)),IF(IFERROR(AF1406,0)&gt;0,MAX($D$16,IFERROR(W1406,0)+((IFERROR(AF1406,0))*$D$18*IF((IFERROR(AD1406,0))&lt;1,1,-1))),IF(IFERROR(AF1406,0)&lt;0,IF(ABS((MAX($D$16,POWER((ABS(K1406)^2)/($I$5*MAX(F1406,0.1)^2),1/3)))-IFERROR(W1406,0))&gt;$D$19,MAX($D$16,IF((MAX($D$16,POWER((ABS(K1406)^2)/($I$5*MAX(F1406,0.1)^2),1/3)))&gt;IFERROR(W1406,0),MIN((MAX($D$16,POWER((ABS(K1406)^2)/($I$5*MAX(F1406,0.1)^2),1/3))),IFERROR(W1406,0)+(MIN(ABS(IFERROR(AF1406,0))*$D$18,ABS((MAX($D$16,POWER((ABS(K1406)^2)/($I$5*MAX(F1406,0.1)^2),1/3)))-IFERROR(W1406,0))))),MAX((MAX($D$16,POWER((ABS(K1406)^2)/($I$5*MAX(F1406,0.1)^2),1/3))),IFERROR(W1406,0)-(MIN(ABS(IFERROR(AF1406,0))*$D$18,ABS((MAX($D$16,POWER((ABS(K1406)^2)/($I$5*MAX(F1406,0.1)^2),1/3)))-IFERROR(W1406,0))))))),MAX($D$16,POWER((ABS(K1406)^2)/($I$5*MAX(F1406,0.1)^2),1/3))),MAX($D$16,IFERROR(W1406,0)))))))</f>
        <v>1.6812012600757815</v>
      </c>
      <c r="X1406">
        <f t="shared" ref="X1406:X1469" ca="1" si="693">((F1406)+(G1406)*(W1406))*(W1406)</f>
        <v>8.7422465523940645</v>
      </c>
      <c r="Y1406">
        <f t="shared" ref="Y1406:Y1448" ca="1" si="694">(((F1406)+(G1406)*(W1406))*(W1406))/MAX((F1406)+2*(W1406)*SQRT(1+(G1406)^2),0.000001)</f>
        <v>1.021003921716976</v>
      </c>
      <c r="Z1406">
        <f t="shared" ref="Z1406:Z1448" ca="1" si="695">ABS(K1406)/MAX(((F1406)+(G1406)*(W1406))*(W1406),0.000001)</f>
        <v>5.8280214009804316</v>
      </c>
      <c r="AA1406">
        <f t="shared" ref="AA1406:AA1448" ca="1" si="696">E1406+W1406</f>
        <v>633.57270126007575</v>
      </c>
      <c r="AB1406">
        <f t="shared" ref="AB1406:AB1469" ca="1" si="697">AA1406+((ABS(K1406)/MAX(((F1406)+(G1406)*(W1406))*(W1406),0.000001))^2)/(2*$I$5)</f>
        <v>635.30388543185381</v>
      </c>
      <c r="AC1406">
        <f t="shared" ref="AC1406:AC1448" ca="1" si="698">((ABS(K1406)*$D$6)/(MAX(((F1406)+(G1406)*(W1406))*(W1406),0.000001)*MAX(((((F1406)+(G1406)*(W1406))*(W1406))/MAX((F1406)+2*(W1406)*SQRT(1+(G1406)^2),0.000001))^(2/3),0.000001)))^2</f>
        <v>7.4334127264438872E-3</v>
      </c>
      <c r="AD1406">
        <f t="shared" ref="AD1406:AD1448" ca="1" si="699">ABS(ABS(K1406)/MAX(((F1406)+(G1406)*(W1406))*(W1406),0.000001))/SQRT($I$5*MAX((((F1406)+(G1406)*(W1406))*(W1406))/MAX((F1406)+2*(G1406)*(W1406),0.000001),0.000001))</f>
        <v>1.4350822100517455</v>
      </c>
      <c r="AE1406">
        <f t="shared" ref="AE1406:AE1448" ca="1" si="700">((F1406)*(W1406)^2)/2+(G1406)*(W1406)^3/3+(ABS(K1406)^2)/($I$5*MAX(((F1406)+(G1406)*(W1406))*(W1406),0.000001))</f>
        <v>37.617615674461192</v>
      </c>
      <c r="AF1406">
        <f t="shared" ref="AF1406:AF1447" ca="1" si="701">IF($D$20=0,0,IFERROR(AB1407+(((AC1406+AC1407)/2)*J1407)+(IF(Z1406&gt;Z1407,$D$8*((Z1406^2-Z1407^2)/(2*$I$5)),$D$9*((Z1407^2-Z1406^2)/(2*$I$5)))+($D$10*(ABS(I1407)/90)*(MAX(Z1406^2,Z1407^2)/(2*$I$5))))-AB1406,0))</f>
        <v>6.9334127264255585E-3</v>
      </c>
      <c r="AG1406">
        <f t="shared" ref="AG1406:AG1469" ca="1" si="702">IF($D$20=0,1,IFERROR(IF(ROUND(AD1406,3)=1,1,IF(AND(ABS(AF1406)&lt;$D$19,AD1406&lt;1),1,0)),0))</f>
        <v>0</v>
      </c>
      <c r="AH1406">
        <f ca="1">IFERROR(IF(V32="Supercritical",MAX($D$16,IFERROR(L1406,MAX($D$16,POWER((ABS(K1406)^2)/($I$5*MAX(F1406,0.1)^2),1/3)))),IF(V32="Subcritical",MAX($D$16,IFERROR(W1406,MAX($D$16,POWER((ABS(K1406)^2)/($I$5*MAX(F1406,0.1)^2),1/3)))),IF(AND(IFERROR(V1406,0)=1,IFERROR(AG1406,0)=1),IF(IFERROR(T1406,-1E+99)&gt;=IFERROR(AE1406,-1E+99),MAX($D$16,IFERROR(L1406,MAX($D$16,POWER((ABS(K1406)^2)/($I$5*MAX(F1406,0.1)^2),1/3)))),MAX($D$16,IFERROR(W1406,MAX($D$16,POWER((ABS(K1406)^2)/($I$5*MAX(F1406,0.1)^2),1/3))))),IF(IFERROR(V1406,0)=1,MAX($D$16,IFERROR(L1406,MAX($D$16,POWER((ABS(K1406)^2)/($I$5*MAX(F1406,0.1)^2),1/3)))),IF(IFERROR(AG1406,0)=1,MAX($D$16,IFERROR(W1406,MAX($D$16,POWER((ABS(K1406)^2)/($I$5*MAX(F1406,0.1)^2),1/3)))),MAX($D$16,POWER((ABS(K1406)^2)/($I$5*MAX(F1406,0.1)^2),1/3))))))),MAX($D$16,POWER((ABS(K1406)^2)/($I$5*MAX(F1406,0.1)^2),1/3)))</f>
        <v>2.1389677043987478</v>
      </c>
      <c r="AI1406">
        <f t="shared" ref="AI1406:AI1469" ca="1" si="703">E1406+AH1406</f>
        <v>634.03046770439869</v>
      </c>
      <c r="AJ1406">
        <f t="shared" ref="AJ1406:AJ1469" ca="1" si="704">AI1406+((ABS(K1406)/MAX(((F1406)+(G1406)*(AH1406))*(AH1406),0.000001))^2)/(2*$I$5)</f>
        <v>635.09995155659806</v>
      </c>
      <c r="AM1406">
        <v>0</v>
      </c>
      <c r="AN1406">
        <v>0</v>
      </c>
      <c r="AO1406">
        <f t="shared" ref="AO1406:AO1469" si="705">AM1406+AN1406</f>
        <v>0</v>
      </c>
      <c r="AP1406">
        <f t="shared" si="683"/>
        <v>0</v>
      </c>
      <c r="AQ1406">
        <f t="shared" ref="AQ1406:AQ1448" ca="1" si="706">ABS(ABS(K1406)/MAX(((F1406)+(G1406)*(AH1406))*(AH1406),0.000001))/SQRT($I$5*MAX((((F1406)+(G1406)*(AH1406))*(AH1406))/MAX((F1406)+2*(G1406)*(AH1406),0.000001),0.000001))</f>
        <v>1.0000000000000004</v>
      </c>
      <c r="AR1406" t="str">
        <f t="shared" ref="AR1406:AR1469" ca="1" si="707">IF(AQ1406&lt;1,"Subcritical","Supercritical")</f>
        <v>Supercritical</v>
      </c>
      <c r="AS1406">
        <f t="shared" ref="AS1406:AS1448" ca="1" si="708">((ABS(K1406)*$D$6)/(MAX(((F1406)+(G1406)*(AH1406))*(AH1406),0.000001)*MAX(((((F1406)+(G1406)*(AH1406))*(AH1406))/MAX((F1406)+2*(AH1406)*SQRT(1+(G1406)^2),0.000001))^(2/3),0.000001)))^2</f>
        <v>3.8141460404132466E-3</v>
      </c>
    </row>
    <row r="1407" spans="1:45" x14ac:dyDescent="0.35">
      <c r="A1407">
        <v>1346</v>
      </c>
      <c r="B1407">
        <v>1344.9960000000001</v>
      </c>
      <c r="C1407">
        <v>616066.71400000004</v>
      </c>
      <c r="D1407">
        <v>3096662.3650000002</v>
      </c>
      <c r="E1407">
        <v>631.89099999999996</v>
      </c>
      <c r="F1407">
        <v>5.2</v>
      </c>
      <c r="G1407">
        <v>0</v>
      </c>
      <c r="H1407" t="s">
        <v>154</v>
      </c>
      <c r="I1407">
        <v>0</v>
      </c>
      <c r="J1407">
        <f t="shared" ref="J1407:J1448" si="709">B1407-B1406</f>
        <v>1</v>
      </c>
      <c r="K1407">
        <f t="shared" ref="K1407:K1448" ca="1" si="710">MAX(0,K1406-AO1406)</f>
        <v>50.95</v>
      </c>
      <c r="L1407">
        <f t="shared" ref="L1407:L1470" ca="1" si="711">IF($D$20=0,IFERROR(L1406,MAX($D$16,POWER((ABS(K1407)^2)/($I$5*MAX(F1407,0.1)^2),1/3))),IF(IFERROR(V1406,0)=0,IFERROR(L1406,MAX($D$16,POWER((ABS(K1407)^2)/($I$5*MAX(F1407,0.1)^2),1/3))),IF(OR(IFERROR(L1407,0)=0,IFERROR(S1406,0)&lt;1,IFERROR(S1407,0)&lt;1),MAX($D$16,POWER((ABS(K1407)^2)/($I$5*MAX(F1407,0.1)^2),1/3)),IF(IFERROR(U1407,0)&gt;0,MAX($D$16,IFERROR(L1407,0)+((IFERROR(U1407,0))*$D$18*IF((IFERROR(S1407,0))&lt;1,1,-1))),IF(IFERROR(U1407,0)&lt;0,IF(ABS((MAX($D$16,POWER((ABS(K1407)^2)/($I$5*MAX(F1407,0.1)^2),1/3)))-IFERROR(L1407,0))&gt;$D$19,MAX($D$16,IF((MAX($D$16,POWER((ABS(K1407)^2)/($I$5*MAX(F1407,0.1)^2),1/3)))&gt;IFERROR(L1407,0),MIN((MAX($D$16,POWER((ABS(K1407)^2)/($I$5*MAX(F1407,0.1)^2),1/3))),IFERROR(L1407,0)+(MIN(ABS(IFERROR(U1407,0))*$D$18,ABS((MAX($D$16,POWER((ABS(K1407)^2)/($I$5*MAX(F1407,0.1)^2),1/3)))-IFERROR(L1407,0))))),MAX((MAX($D$16,POWER((ABS(K1407)^2)/($I$5*MAX(F1407,0.1)^2),1/3))),IFERROR(L1407,0)-(MIN(ABS(IFERROR(U1407,0))*$D$18,ABS((MAX($D$16,POWER((ABS(K1407)^2)/($I$5*MAX(F1407,0.1)^2),1/3)))-IFERROR(L1407,0))))))),MAX($D$16,POWER((ABS(K1407)^2)/($I$5*MAX(F1407,0.1)^2),1/3))),MAX($D$16,IFERROR(L1407,0)))))))</f>
        <v>2.1389677043987478</v>
      </c>
      <c r="M1407">
        <f t="shared" ca="1" si="684"/>
        <v>11.122632062873489</v>
      </c>
      <c r="N1407">
        <f t="shared" ca="1" si="685"/>
        <v>1.1735290000551568</v>
      </c>
      <c r="O1407">
        <f t="shared" ca="1" si="686"/>
        <v>4.5807502857230418</v>
      </c>
      <c r="P1407">
        <f t="shared" ca="1" si="687"/>
        <v>634.0299677043987</v>
      </c>
      <c r="Q1407">
        <f t="shared" ca="1" si="688"/>
        <v>635.09945155659807</v>
      </c>
      <c r="R1407">
        <f t="shared" ca="1" si="689"/>
        <v>3.8141460404132466E-3</v>
      </c>
      <c r="S1407">
        <f t="shared" ca="1" si="690"/>
        <v>1.0000000000000004</v>
      </c>
      <c r="T1407">
        <f t="shared" ca="1" si="691"/>
        <v>35.686426155594638</v>
      </c>
      <c r="U1407">
        <f t="shared" ref="U1407:U1448" ca="1" si="712">IF($D$20=0,0,IFERROR(Q1406-(((R1406+R1407)/2)*J1407)-(IF(O1406&gt;O1407,$D$8*((O1406^2-O1407^2)/(2*$I$5)),$D$9*((O1407^2-O1406^2)/(2*$I$5)))+($D$10*(ABS(I1407)/90)*(MAX(O1406^2,O1407^2)/(2*$I$5))))-Q1407,0))</f>
        <v>-3.3141460404522149E-3</v>
      </c>
      <c r="V1407">
        <f t="shared" ref="V1407:V1470" ca="1" si="713">IF($D$20=0,1,IFERROR(IF(ROUND(S1407,3)=1,1,IF(AND(ABS(U1407)&lt;$D$19,S1407&gt;1),1,0)),0))</f>
        <v>1</v>
      </c>
      <c r="W1407">
        <f t="shared" ca="1" si="692"/>
        <v>1.6812012600755768</v>
      </c>
      <c r="X1407">
        <f t="shared" ca="1" si="693"/>
        <v>8.7422465523930004</v>
      </c>
      <c r="Y1407">
        <f t="shared" ca="1" si="694"/>
        <v>1.0210039217169007</v>
      </c>
      <c r="Z1407">
        <f t="shared" ca="1" si="695"/>
        <v>5.8280214009811404</v>
      </c>
      <c r="AA1407">
        <f t="shared" ca="1" si="696"/>
        <v>633.57220126007553</v>
      </c>
      <c r="AB1407">
        <f t="shared" ca="1" si="697"/>
        <v>635.30338543185405</v>
      </c>
      <c r="AC1407">
        <f t="shared" ca="1" si="698"/>
        <v>7.4334127264464259E-3</v>
      </c>
      <c r="AD1407">
        <f t="shared" ca="1" si="699"/>
        <v>1.4350822100520073</v>
      </c>
      <c r="AE1407">
        <f t="shared" ca="1" si="700"/>
        <v>37.617615674463089</v>
      </c>
      <c r="AF1407">
        <f t="shared" ca="1" si="701"/>
        <v>7.0904418099644317E-3</v>
      </c>
      <c r="AG1407">
        <f t="shared" ca="1" si="702"/>
        <v>0</v>
      </c>
      <c r="AH1407">
        <f ca="1">IFERROR(IF(V32="Supercritical",MAX($D$16,IFERROR(L1407,MAX($D$16,POWER((ABS(K1407)^2)/($I$5*MAX(F1407,0.1)^2),1/3)))),IF(V32="Subcritical",MAX($D$16,IFERROR(W1407,MAX($D$16,POWER((ABS(K1407)^2)/($I$5*MAX(F1407,0.1)^2),1/3)))),IF(AND(IFERROR(V1407,0)=1,IFERROR(AG1407,0)=1),IF(IFERROR(T1407,-1E+99)&gt;=IFERROR(AE1407,-1E+99),MAX($D$16,IFERROR(L1407,MAX($D$16,POWER((ABS(K1407)^2)/($I$5*MAX(F1407,0.1)^2),1/3)))),MAX($D$16,IFERROR(W1407,MAX($D$16,POWER((ABS(K1407)^2)/($I$5*MAX(F1407,0.1)^2),1/3))))),IF(IFERROR(V1407,0)=1,MAX($D$16,IFERROR(L1407,MAX($D$16,POWER((ABS(K1407)^2)/($I$5*MAX(F1407,0.1)^2),1/3)))),IF(IFERROR(AG1407,0)=1,MAX($D$16,IFERROR(W1407,MAX($D$16,POWER((ABS(K1407)^2)/($I$5*MAX(F1407,0.1)^2),1/3)))),MAX($D$16,POWER((ABS(K1407)^2)/($I$5*MAX(F1407,0.1)^2),1/3))))))),MAX($D$16,POWER((ABS(K1407)^2)/($I$5*MAX(F1407,0.1)^2),1/3)))</f>
        <v>2.1389677043987478</v>
      </c>
      <c r="AI1407">
        <f t="shared" ca="1" si="703"/>
        <v>634.0299677043987</v>
      </c>
      <c r="AJ1407">
        <f t="shared" ca="1" si="704"/>
        <v>635.09945155659807</v>
      </c>
      <c r="AM1407">
        <v>0</v>
      </c>
      <c r="AN1407">
        <v>0</v>
      </c>
      <c r="AO1407">
        <f t="shared" si="705"/>
        <v>0</v>
      </c>
      <c r="AP1407">
        <f t="shared" ref="AP1407:AP1470" si="714">AP1406+AO1407</f>
        <v>0</v>
      </c>
      <c r="AQ1407">
        <f t="shared" ca="1" si="706"/>
        <v>1.0000000000000004</v>
      </c>
      <c r="AR1407" t="str">
        <f t="shared" ca="1" si="707"/>
        <v>Supercritical</v>
      </c>
      <c r="AS1407">
        <f t="shared" ca="1" si="708"/>
        <v>3.8141460404132466E-3</v>
      </c>
    </row>
    <row r="1408" spans="1:45" x14ac:dyDescent="0.35">
      <c r="A1408">
        <v>1347</v>
      </c>
      <c r="B1408">
        <v>1345.9949999999999</v>
      </c>
      <c r="C1408">
        <v>616066.67200000002</v>
      </c>
      <c r="D1408">
        <v>3096661.3659999999</v>
      </c>
      <c r="E1408">
        <v>631.89049999999997</v>
      </c>
      <c r="F1408">
        <v>5.2</v>
      </c>
      <c r="G1408">
        <v>0</v>
      </c>
      <c r="H1408" t="s">
        <v>154</v>
      </c>
      <c r="I1408">
        <v>5.7000000000000002E-2</v>
      </c>
      <c r="J1408">
        <f t="shared" si="709"/>
        <v>0.99899999999979627</v>
      </c>
      <c r="K1408">
        <f t="shared" ca="1" si="710"/>
        <v>50.95</v>
      </c>
      <c r="L1408">
        <f t="shared" ca="1" si="711"/>
        <v>2.1389677043987478</v>
      </c>
      <c r="M1408">
        <f t="shared" ca="1" si="684"/>
        <v>11.122632062873489</v>
      </c>
      <c r="N1408">
        <f t="shared" ca="1" si="685"/>
        <v>1.1735290000551568</v>
      </c>
      <c r="O1408">
        <f t="shared" ca="1" si="686"/>
        <v>4.5807502857230418</v>
      </c>
      <c r="P1408">
        <f t="shared" ca="1" si="687"/>
        <v>634.02946770439871</v>
      </c>
      <c r="Q1408">
        <f t="shared" ca="1" si="688"/>
        <v>635.09895155659808</v>
      </c>
      <c r="R1408">
        <f t="shared" ca="1" si="689"/>
        <v>3.8141460404132466E-3</v>
      </c>
      <c r="S1408">
        <f t="shared" ca="1" si="690"/>
        <v>1.0000000000000004</v>
      </c>
      <c r="T1408">
        <f t="shared" ca="1" si="691"/>
        <v>35.686426155594638</v>
      </c>
      <c r="U1408">
        <f t="shared" ca="1" si="712"/>
        <v>-3.411932860331035E-3</v>
      </c>
      <c r="V1408">
        <f t="shared" ca="1" si="713"/>
        <v>1</v>
      </c>
      <c r="W1408">
        <f t="shared" ca="1" si="692"/>
        <v>1.6812012600753892</v>
      </c>
      <c r="X1408">
        <f t="shared" ca="1" si="693"/>
        <v>8.7422465523920234</v>
      </c>
      <c r="Y1408">
        <f t="shared" ca="1" si="694"/>
        <v>1.0210039217168312</v>
      </c>
      <c r="Z1408">
        <f t="shared" ca="1" si="695"/>
        <v>5.8280214009817923</v>
      </c>
      <c r="AA1408">
        <f t="shared" ca="1" si="696"/>
        <v>633.57170126007532</v>
      </c>
      <c r="AB1408">
        <f t="shared" ca="1" si="697"/>
        <v>635.30288543185418</v>
      </c>
      <c r="AC1408">
        <f t="shared" ca="1" si="698"/>
        <v>7.4334127264487617E-3</v>
      </c>
      <c r="AD1408">
        <f t="shared" ca="1" si="699"/>
        <v>1.4350822100522482</v>
      </c>
      <c r="AE1408">
        <f t="shared" ca="1" si="700"/>
        <v>37.61761567446483</v>
      </c>
      <c r="AF1408">
        <f t="shared" ca="1" si="701"/>
        <v>7.0978752227119912E-3</v>
      </c>
      <c r="AG1408">
        <f t="shared" ca="1" si="702"/>
        <v>0</v>
      </c>
      <c r="AH1408">
        <f ca="1">IFERROR(IF(V32="Supercritical",MAX($D$16,IFERROR(L1408,MAX($D$16,POWER((ABS(K1408)^2)/($I$5*MAX(F1408,0.1)^2),1/3)))),IF(V32="Subcritical",MAX($D$16,IFERROR(W1408,MAX($D$16,POWER((ABS(K1408)^2)/($I$5*MAX(F1408,0.1)^2),1/3)))),IF(AND(IFERROR(V1408,0)=1,IFERROR(AG1408,0)=1),IF(IFERROR(T1408,-1E+99)&gt;=IFERROR(AE1408,-1E+99),MAX($D$16,IFERROR(L1408,MAX($D$16,POWER((ABS(K1408)^2)/($I$5*MAX(F1408,0.1)^2),1/3)))),MAX($D$16,IFERROR(W1408,MAX($D$16,POWER((ABS(K1408)^2)/($I$5*MAX(F1408,0.1)^2),1/3))))),IF(IFERROR(V1408,0)=1,MAX($D$16,IFERROR(L1408,MAX($D$16,POWER((ABS(K1408)^2)/($I$5*MAX(F1408,0.1)^2),1/3)))),IF(IFERROR(AG1408,0)=1,MAX($D$16,IFERROR(W1408,MAX($D$16,POWER((ABS(K1408)^2)/($I$5*MAX(F1408,0.1)^2),1/3)))),MAX($D$16,POWER((ABS(K1408)^2)/($I$5*MAX(F1408,0.1)^2),1/3))))))),MAX($D$16,POWER((ABS(K1408)^2)/($I$5*MAX(F1408,0.1)^2),1/3)))</f>
        <v>2.1389677043987478</v>
      </c>
      <c r="AI1408">
        <f t="shared" ca="1" si="703"/>
        <v>634.02946770439871</v>
      </c>
      <c r="AJ1408">
        <f t="shared" ca="1" si="704"/>
        <v>635.09895155659808</v>
      </c>
      <c r="AM1408">
        <v>0</v>
      </c>
      <c r="AN1408">
        <v>0</v>
      </c>
      <c r="AO1408">
        <f t="shared" si="705"/>
        <v>0</v>
      </c>
      <c r="AP1408">
        <f t="shared" si="714"/>
        <v>0</v>
      </c>
      <c r="AQ1408">
        <f t="shared" ca="1" si="706"/>
        <v>1.0000000000000004</v>
      </c>
      <c r="AR1408" t="str">
        <f t="shared" ca="1" si="707"/>
        <v>Supercritical</v>
      </c>
      <c r="AS1408">
        <f t="shared" ca="1" si="708"/>
        <v>3.8141460404132466E-3</v>
      </c>
    </row>
    <row r="1409" spans="1:45" x14ac:dyDescent="0.35">
      <c r="A1409">
        <v>1348</v>
      </c>
      <c r="B1409">
        <v>1346.9949999999999</v>
      </c>
      <c r="C1409">
        <v>616066.62899999996</v>
      </c>
      <c r="D1409">
        <v>3096660.3670000001</v>
      </c>
      <c r="E1409">
        <v>631.89</v>
      </c>
      <c r="F1409">
        <v>5.2</v>
      </c>
      <c r="G1409">
        <v>0</v>
      </c>
      <c r="H1409" t="s">
        <v>154</v>
      </c>
      <c r="I1409">
        <v>5.7000000000000002E-2</v>
      </c>
      <c r="J1409">
        <f t="shared" si="709"/>
        <v>1</v>
      </c>
      <c r="K1409">
        <f t="shared" ca="1" si="710"/>
        <v>50.95</v>
      </c>
      <c r="L1409">
        <f t="shared" ca="1" si="711"/>
        <v>2.1389677043987478</v>
      </c>
      <c r="M1409">
        <f t="shared" ca="1" si="684"/>
        <v>11.122632062873489</v>
      </c>
      <c r="N1409">
        <f t="shared" ca="1" si="685"/>
        <v>1.1735290000551568</v>
      </c>
      <c r="O1409">
        <f t="shared" ca="1" si="686"/>
        <v>4.5807502857230418</v>
      </c>
      <c r="P1409">
        <f t="shared" ca="1" si="687"/>
        <v>634.02896770439872</v>
      </c>
      <c r="Q1409">
        <f t="shared" ca="1" si="688"/>
        <v>635.09845155659809</v>
      </c>
      <c r="R1409">
        <f t="shared" ca="1" si="689"/>
        <v>3.8141460404132466E-3</v>
      </c>
      <c r="S1409">
        <f t="shared" ca="1" si="690"/>
        <v>1.0000000000000004</v>
      </c>
      <c r="T1409">
        <f t="shared" ca="1" si="691"/>
        <v>35.686426155594638</v>
      </c>
      <c r="U1409">
        <f t="shared" ca="1" si="712"/>
        <v>-3.4157470064428708E-3</v>
      </c>
      <c r="V1409">
        <f t="shared" ca="1" si="713"/>
        <v>1</v>
      </c>
      <c r="W1409">
        <f t="shared" ca="1" si="692"/>
        <v>1.6812012600752015</v>
      </c>
      <c r="X1409">
        <f t="shared" ca="1" si="693"/>
        <v>8.7422465523910482</v>
      </c>
      <c r="Y1409">
        <f t="shared" ca="1" si="694"/>
        <v>1.0210039217167621</v>
      </c>
      <c r="Z1409">
        <f t="shared" ca="1" si="695"/>
        <v>5.8280214009824425</v>
      </c>
      <c r="AA1409">
        <f t="shared" ca="1" si="696"/>
        <v>633.57120126007521</v>
      </c>
      <c r="AB1409">
        <f t="shared" ca="1" si="697"/>
        <v>635.30238543185453</v>
      </c>
      <c r="AC1409">
        <f t="shared" ca="1" si="698"/>
        <v>7.4334127264510923E-3</v>
      </c>
      <c r="AD1409">
        <f t="shared" ca="1" si="699"/>
        <v>1.4350822100524883</v>
      </c>
      <c r="AE1409">
        <f t="shared" ca="1" si="700"/>
        <v>37.617615674466578</v>
      </c>
      <c r="AF1409">
        <f t="shared" ca="1" si="701"/>
        <v>6.9391833403642522E-3</v>
      </c>
      <c r="AG1409">
        <f t="shared" ca="1" si="702"/>
        <v>0</v>
      </c>
      <c r="AH1409">
        <f ca="1">IFERROR(IF(V32="Supercritical",MAX($D$16,IFERROR(L1409,MAX($D$16,POWER((ABS(K1409)^2)/($I$5*MAX(F1409,0.1)^2),1/3)))),IF(V32="Subcritical",MAX($D$16,IFERROR(W1409,MAX($D$16,POWER((ABS(K1409)^2)/($I$5*MAX(F1409,0.1)^2),1/3)))),IF(AND(IFERROR(V1409,0)=1,IFERROR(AG1409,0)=1),IF(IFERROR(T1409,-1E+99)&gt;=IFERROR(AE1409,-1E+99),MAX($D$16,IFERROR(L1409,MAX($D$16,POWER((ABS(K1409)^2)/($I$5*MAX(F1409,0.1)^2),1/3)))),MAX($D$16,IFERROR(W1409,MAX($D$16,POWER((ABS(K1409)^2)/($I$5*MAX(F1409,0.1)^2),1/3))))),IF(IFERROR(V1409,0)=1,MAX($D$16,IFERROR(L1409,MAX($D$16,POWER((ABS(K1409)^2)/($I$5*MAX(F1409,0.1)^2),1/3)))),IF(IFERROR(AG1409,0)=1,MAX($D$16,IFERROR(W1409,MAX($D$16,POWER((ABS(K1409)^2)/($I$5*MAX(F1409,0.1)^2),1/3)))),MAX($D$16,POWER((ABS(K1409)^2)/($I$5*MAX(F1409,0.1)^2),1/3))))))),MAX($D$16,POWER((ABS(K1409)^2)/($I$5*MAX(F1409,0.1)^2),1/3)))</f>
        <v>2.1389677043987478</v>
      </c>
      <c r="AI1409">
        <f t="shared" ca="1" si="703"/>
        <v>634.02896770439872</v>
      </c>
      <c r="AJ1409">
        <f t="shared" ca="1" si="704"/>
        <v>635.09845155659809</v>
      </c>
      <c r="AM1409">
        <v>0</v>
      </c>
      <c r="AN1409">
        <v>0</v>
      </c>
      <c r="AO1409">
        <f t="shared" si="705"/>
        <v>0</v>
      </c>
      <c r="AP1409">
        <f t="shared" si="714"/>
        <v>0</v>
      </c>
      <c r="AQ1409">
        <f t="shared" ca="1" si="706"/>
        <v>1.0000000000000004</v>
      </c>
      <c r="AR1409" t="str">
        <f t="shared" ca="1" si="707"/>
        <v>Supercritical</v>
      </c>
      <c r="AS1409">
        <f t="shared" ca="1" si="708"/>
        <v>3.8141460404132466E-3</v>
      </c>
    </row>
    <row r="1410" spans="1:45" x14ac:dyDescent="0.35">
      <c r="A1410">
        <v>1349</v>
      </c>
      <c r="B1410">
        <v>1347.9949999999999</v>
      </c>
      <c r="C1410">
        <v>616066.58700000006</v>
      </c>
      <c r="D1410">
        <v>3096659.3679999998</v>
      </c>
      <c r="E1410">
        <v>631.8895</v>
      </c>
      <c r="F1410">
        <v>5.2</v>
      </c>
      <c r="G1410">
        <v>0</v>
      </c>
      <c r="H1410" t="s">
        <v>154</v>
      </c>
      <c r="I1410">
        <v>2E-3</v>
      </c>
      <c r="J1410">
        <f t="shared" si="709"/>
        <v>1</v>
      </c>
      <c r="K1410">
        <f t="shared" ca="1" si="710"/>
        <v>50.95</v>
      </c>
      <c r="L1410">
        <f t="shared" ca="1" si="711"/>
        <v>2.1389677043987478</v>
      </c>
      <c r="M1410">
        <f t="shared" ca="1" si="684"/>
        <v>11.122632062873489</v>
      </c>
      <c r="N1410">
        <f t="shared" ca="1" si="685"/>
        <v>1.1735290000551568</v>
      </c>
      <c r="O1410">
        <f t="shared" ca="1" si="686"/>
        <v>4.5807502857230418</v>
      </c>
      <c r="P1410">
        <f t="shared" ca="1" si="687"/>
        <v>634.02846770439874</v>
      </c>
      <c r="Q1410">
        <f t="shared" ca="1" si="688"/>
        <v>635.0979515565981</v>
      </c>
      <c r="R1410">
        <f t="shared" ca="1" si="689"/>
        <v>3.8141460404132466E-3</v>
      </c>
      <c r="S1410">
        <f t="shared" ca="1" si="690"/>
        <v>1.0000000000000004</v>
      </c>
      <c r="T1410">
        <f t="shared" ca="1" si="691"/>
        <v>35.686426155594638</v>
      </c>
      <c r="U1410">
        <f t="shared" ca="1" si="712"/>
        <v>-3.3177109866073806E-3</v>
      </c>
      <c r="V1410">
        <f t="shared" ca="1" si="713"/>
        <v>1</v>
      </c>
      <c r="W1410">
        <f t="shared" ca="1" si="692"/>
        <v>1.6812012600750481</v>
      </c>
      <c r="X1410">
        <f t="shared" ca="1" si="693"/>
        <v>8.7422465523902506</v>
      </c>
      <c r="Y1410">
        <f t="shared" ca="1" si="694"/>
        <v>1.0210039217167055</v>
      </c>
      <c r="Z1410">
        <f t="shared" ca="1" si="695"/>
        <v>5.8280214009829736</v>
      </c>
      <c r="AA1410">
        <f t="shared" ca="1" si="696"/>
        <v>633.570701260075</v>
      </c>
      <c r="AB1410">
        <f t="shared" ca="1" si="697"/>
        <v>635.30188543185454</v>
      </c>
      <c r="AC1410">
        <f t="shared" ca="1" si="698"/>
        <v>7.4334127264529971E-3</v>
      </c>
      <c r="AD1410">
        <f t="shared" ca="1" si="699"/>
        <v>1.4350822100526843</v>
      </c>
      <c r="AE1410">
        <f t="shared" ca="1" si="700"/>
        <v>37.617615674467991</v>
      </c>
      <c r="AF1410">
        <f t="shared" ca="1" si="701"/>
        <v>6.9466167531118117E-3</v>
      </c>
      <c r="AG1410">
        <f t="shared" ca="1" si="702"/>
        <v>0</v>
      </c>
      <c r="AH1410">
        <f ca="1">IFERROR(IF(V32="Supercritical",MAX($D$16,IFERROR(L1410,MAX($D$16,POWER((ABS(K1410)^2)/($I$5*MAX(F1410,0.1)^2),1/3)))),IF(V32="Subcritical",MAX($D$16,IFERROR(W1410,MAX($D$16,POWER((ABS(K1410)^2)/($I$5*MAX(F1410,0.1)^2),1/3)))),IF(AND(IFERROR(V1410,0)=1,IFERROR(AG1410,0)=1),IF(IFERROR(T1410,-1E+99)&gt;=IFERROR(AE1410,-1E+99),MAX($D$16,IFERROR(L1410,MAX($D$16,POWER((ABS(K1410)^2)/($I$5*MAX(F1410,0.1)^2),1/3)))),MAX($D$16,IFERROR(W1410,MAX($D$16,POWER((ABS(K1410)^2)/($I$5*MAX(F1410,0.1)^2),1/3))))),IF(IFERROR(V1410,0)=1,MAX($D$16,IFERROR(L1410,MAX($D$16,POWER((ABS(K1410)^2)/($I$5*MAX(F1410,0.1)^2),1/3)))),IF(IFERROR(AG1410,0)=1,MAX($D$16,IFERROR(W1410,MAX($D$16,POWER((ABS(K1410)^2)/($I$5*MAX(F1410,0.1)^2),1/3)))),MAX($D$16,POWER((ABS(K1410)^2)/($I$5*MAX(F1410,0.1)^2),1/3))))))),MAX($D$16,POWER((ABS(K1410)^2)/($I$5*MAX(F1410,0.1)^2),1/3)))</f>
        <v>2.1389677043987478</v>
      </c>
      <c r="AI1410">
        <f t="shared" ca="1" si="703"/>
        <v>634.02846770439874</v>
      </c>
      <c r="AJ1410">
        <f t="shared" ca="1" si="704"/>
        <v>635.0979515565981</v>
      </c>
      <c r="AM1410">
        <v>0</v>
      </c>
      <c r="AN1410">
        <v>0</v>
      </c>
      <c r="AO1410">
        <f t="shared" si="705"/>
        <v>0</v>
      </c>
      <c r="AP1410">
        <f t="shared" si="714"/>
        <v>0</v>
      </c>
      <c r="AQ1410">
        <f t="shared" ca="1" si="706"/>
        <v>1.0000000000000004</v>
      </c>
      <c r="AR1410" t="str">
        <f t="shared" ca="1" si="707"/>
        <v>Supercritical</v>
      </c>
      <c r="AS1410">
        <f t="shared" ca="1" si="708"/>
        <v>3.8141460404132466E-3</v>
      </c>
    </row>
    <row r="1411" spans="1:45" x14ac:dyDescent="0.35">
      <c r="A1411">
        <v>1350</v>
      </c>
      <c r="B1411">
        <v>1348.9960000000001</v>
      </c>
      <c r="C1411">
        <v>616066.54500000004</v>
      </c>
      <c r="D1411">
        <v>3096658.3679999998</v>
      </c>
      <c r="E1411">
        <v>631.88900000000001</v>
      </c>
      <c r="F1411">
        <v>5.2</v>
      </c>
      <c r="G1411">
        <v>0</v>
      </c>
      <c r="H1411" t="s">
        <v>154</v>
      </c>
      <c r="I1411">
        <v>2E-3</v>
      </c>
      <c r="J1411">
        <f t="shared" si="709"/>
        <v>1.0010000000002037</v>
      </c>
      <c r="K1411">
        <f t="shared" ca="1" si="710"/>
        <v>50.95</v>
      </c>
      <c r="L1411">
        <f t="shared" ca="1" si="711"/>
        <v>2.1389677043987478</v>
      </c>
      <c r="M1411">
        <f t="shared" ca="1" si="684"/>
        <v>11.122632062873489</v>
      </c>
      <c r="N1411">
        <f t="shared" ca="1" si="685"/>
        <v>1.1735290000551568</v>
      </c>
      <c r="O1411">
        <f t="shared" ca="1" si="686"/>
        <v>4.5807502857230418</v>
      </c>
      <c r="P1411">
        <f t="shared" ca="1" si="687"/>
        <v>634.02796770439875</v>
      </c>
      <c r="Q1411">
        <f t="shared" ca="1" si="688"/>
        <v>635.09745155659812</v>
      </c>
      <c r="R1411">
        <f t="shared" ca="1" si="689"/>
        <v>3.8141460404132466E-3</v>
      </c>
      <c r="S1411">
        <f t="shared" ca="1" si="690"/>
        <v>1.0000000000000004</v>
      </c>
      <c r="T1411">
        <f t="shared" ca="1" si="691"/>
        <v>35.686426155594638</v>
      </c>
      <c r="U1411">
        <f t="shared" ca="1" si="712"/>
        <v>-3.3215251326055295E-3</v>
      </c>
      <c r="V1411">
        <f t="shared" ca="1" si="713"/>
        <v>1</v>
      </c>
      <c r="W1411">
        <f t="shared" ca="1" si="692"/>
        <v>1.6812012600748776</v>
      </c>
      <c r="X1411">
        <f t="shared" ca="1" si="693"/>
        <v>8.7422465523893642</v>
      </c>
      <c r="Y1411">
        <f t="shared" ca="1" si="694"/>
        <v>1.0210039217166427</v>
      </c>
      <c r="Z1411">
        <f t="shared" ca="1" si="695"/>
        <v>5.8280214009835651</v>
      </c>
      <c r="AA1411">
        <f t="shared" ca="1" si="696"/>
        <v>633.5702012600749</v>
      </c>
      <c r="AB1411">
        <f t="shared" ca="1" si="697"/>
        <v>635.30138543185478</v>
      </c>
      <c r="AC1411">
        <f t="shared" ca="1" si="698"/>
        <v>7.4334127264551126E-3</v>
      </c>
      <c r="AD1411">
        <f t="shared" ca="1" si="699"/>
        <v>1.4350822100529028</v>
      </c>
      <c r="AE1411">
        <f t="shared" ca="1" si="700"/>
        <v>37.617615674469569</v>
      </c>
      <c r="AF1411">
        <f t="shared" ca="1" si="701"/>
        <v>7.0978752227119912E-3</v>
      </c>
      <c r="AG1411">
        <f t="shared" ca="1" si="702"/>
        <v>0</v>
      </c>
      <c r="AH1411">
        <f ca="1">IFERROR(IF(V32="Supercritical",MAX($D$16,IFERROR(L1411,MAX($D$16,POWER((ABS(K1411)^2)/($I$5*MAX(F1411,0.1)^2),1/3)))),IF(V32="Subcritical",MAX($D$16,IFERROR(W1411,MAX($D$16,POWER((ABS(K1411)^2)/($I$5*MAX(F1411,0.1)^2),1/3)))),IF(AND(IFERROR(V1411,0)=1,IFERROR(AG1411,0)=1),IF(IFERROR(T1411,-1E+99)&gt;=IFERROR(AE1411,-1E+99),MAX($D$16,IFERROR(L1411,MAX($D$16,POWER((ABS(K1411)^2)/($I$5*MAX(F1411,0.1)^2),1/3)))),MAX($D$16,IFERROR(W1411,MAX($D$16,POWER((ABS(K1411)^2)/($I$5*MAX(F1411,0.1)^2),1/3))))),IF(IFERROR(V1411,0)=1,MAX($D$16,IFERROR(L1411,MAX($D$16,POWER((ABS(K1411)^2)/($I$5*MAX(F1411,0.1)^2),1/3)))),IF(IFERROR(AG1411,0)=1,MAX($D$16,IFERROR(W1411,MAX($D$16,POWER((ABS(K1411)^2)/($I$5*MAX(F1411,0.1)^2),1/3)))),MAX($D$16,POWER((ABS(K1411)^2)/($I$5*MAX(F1411,0.1)^2),1/3))))))),MAX($D$16,POWER((ABS(K1411)^2)/($I$5*MAX(F1411,0.1)^2),1/3)))</f>
        <v>2.1389677043987478</v>
      </c>
      <c r="AI1411">
        <f t="shared" ca="1" si="703"/>
        <v>634.02796770439875</v>
      </c>
      <c r="AJ1411">
        <f t="shared" ca="1" si="704"/>
        <v>635.09745155659812</v>
      </c>
      <c r="AM1411">
        <v>0</v>
      </c>
      <c r="AN1411">
        <v>0</v>
      </c>
      <c r="AO1411">
        <f t="shared" si="705"/>
        <v>0</v>
      </c>
      <c r="AP1411">
        <f t="shared" si="714"/>
        <v>0</v>
      </c>
      <c r="AQ1411">
        <f t="shared" ca="1" si="706"/>
        <v>1.0000000000000004</v>
      </c>
      <c r="AR1411" t="str">
        <f t="shared" ca="1" si="707"/>
        <v>Supercritical</v>
      </c>
      <c r="AS1411">
        <f t="shared" ca="1" si="708"/>
        <v>3.8141460404132466E-3</v>
      </c>
    </row>
    <row r="1412" spans="1:45" x14ac:dyDescent="0.35">
      <c r="A1412">
        <v>1351</v>
      </c>
      <c r="B1412">
        <v>1349.9960000000001</v>
      </c>
      <c r="C1412">
        <v>616066.50300000003</v>
      </c>
      <c r="D1412">
        <v>3096657.3689999999</v>
      </c>
      <c r="E1412">
        <v>631.88850000000002</v>
      </c>
      <c r="F1412">
        <v>5.2</v>
      </c>
      <c r="G1412">
        <v>0</v>
      </c>
      <c r="H1412" t="s">
        <v>154</v>
      </c>
      <c r="I1412">
        <v>5.7000000000000002E-2</v>
      </c>
      <c r="J1412">
        <f t="shared" si="709"/>
        <v>1</v>
      </c>
      <c r="K1412">
        <f t="shared" ca="1" si="710"/>
        <v>50.95</v>
      </c>
      <c r="L1412">
        <f t="shared" ca="1" si="711"/>
        <v>2.1389677043987478</v>
      </c>
      <c r="M1412">
        <f t="shared" ca="1" si="684"/>
        <v>11.122632062873489</v>
      </c>
      <c r="N1412">
        <f t="shared" ca="1" si="685"/>
        <v>1.1735290000551568</v>
      </c>
      <c r="O1412">
        <f t="shared" ca="1" si="686"/>
        <v>4.5807502857230418</v>
      </c>
      <c r="P1412">
        <f t="shared" ca="1" si="687"/>
        <v>634.02746770439876</v>
      </c>
      <c r="Q1412">
        <f t="shared" ca="1" si="688"/>
        <v>635.09695155659813</v>
      </c>
      <c r="R1412">
        <f t="shared" ca="1" si="689"/>
        <v>3.8141460404132466E-3</v>
      </c>
      <c r="S1412">
        <f t="shared" ca="1" si="690"/>
        <v>1.0000000000000004</v>
      </c>
      <c r="T1412">
        <f t="shared" ca="1" si="691"/>
        <v>35.686426155594638</v>
      </c>
      <c r="U1412">
        <f t="shared" ca="1" si="712"/>
        <v>-3.4157470064428708E-3</v>
      </c>
      <c r="V1412">
        <f t="shared" ca="1" si="713"/>
        <v>1</v>
      </c>
      <c r="W1412">
        <f t="shared" ca="1" si="692"/>
        <v>1.6812012600747241</v>
      </c>
      <c r="X1412">
        <f t="shared" ca="1" si="693"/>
        <v>8.7422465523885666</v>
      </c>
      <c r="Y1412">
        <f t="shared" ca="1" si="694"/>
        <v>1.021003921716586</v>
      </c>
      <c r="Z1412">
        <f t="shared" ca="1" si="695"/>
        <v>5.8280214009840963</v>
      </c>
      <c r="AA1412">
        <f t="shared" ca="1" si="696"/>
        <v>633.56970126007479</v>
      </c>
      <c r="AB1412">
        <f t="shared" ca="1" si="697"/>
        <v>635.30088543185502</v>
      </c>
      <c r="AC1412">
        <f t="shared" ca="1" si="698"/>
        <v>7.4334127264570199E-3</v>
      </c>
      <c r="AD1412">
        <f t="shared" ca="1" si="699"/>
        <v>1.4350822100530991</v>
      </c>
      <c r="AE1412">
        <f t="shared" ca="1" si="700"/>
        <v>37.61761567447099</v>
      </c>
      <c r="AF1412">
        <f t="shared" ca="1" si="701"/>
        <v>7.0978752227119912E-3</v>
      </c>
      <c r="AG1412">
        <f t="shared" ca="1" si="702"/>
        <v>0</v>
      </c>
      <c r="AH1412">
        <f ca="1">IFERROR(IF(V32="Supercritical",MAX($D$16,IFERROR(L1412,MAX($D$16,POWER((ABS(K1412)^2)/($I$5*MAX(F1412,0.1)^2),1/3)))),IF(V32="Subcritical",MAX($D$16,IFERROR(W1412,MAX($D$16,POWER((ABS(K1412)^2)/($I$5*MAX(F1412,0.1)^2),1/3)))),IF(AND(IFERROR(V1412,0)=1,IFERROR(AG1412,0)=1),IF(IFERROR(T1412,-1E+99)&gt;=IFERROR(AE1412,-1E+99),MAX($D$16,IFERROR(L1412,MAX($D$16,POWER((ABS(K1412)^2)/($I$5*MAX(F1412,0.1)^2),1/3)))),MAX($D$16,IFERROR(W1412,MAX($D$16,POWER((ABS(K1412)^2)/($I$5*MAX(F1412,0.1)^2),1/3))))),IF(IFERROR(V1412,0)=1,MAX($D$16,IFERROR(L1412,MAX($D$16,POWER((ABS(K1412)^2)/($I$5*MAX(F1412,0.1)^2),1/3)))),IF(IFERROR(AG1412,0)=1,MAX($D$16,IFERROR(W1412,MAX($D$16,POWER((ABS(K1412)^2)/($I$5*MAX(F1412,0.1)^2),1/3)))),MAX($D$16,POWER((ABS(K1412)^2)/($I$5*MAX(F1412,0.1)^2),1/3))))))),MAX($D$16,POWER((ABS(K1412)^2)/($I$5*MAX(F1412,0.1)^2),1/3)))</f>
        <v>2.1389677043987478</v>
      </c>
      <c r="AI1412">
        <f t="shared" ca="1" si="703"/>
        <v>634.02746770439876</v>
      </c>
      <c r="AJ1412">
        <f t="shared" ca="1" si="704"/>
        <v>635.09695155659813</v>
      </c>
      <c r="AM1412">
        <v>0</v>
      </c>
      <c r="AN1412">
        <v>0</v>
      </c>
      <c r="AO1412">
        <f t="shared" si="705"/>
        <v>0</v>
      </c>
      <c r="AP1412">
        <f t="shared" si="714"/>
        <v>0</v>
      </c>
      <c r="AQ1412">
        <f t="shared" ca="1" si="706"/>
        <v>1.0000000000000004</v>
      </c>
      <c r="AR1412" t="str">
        <f t="shared" ca="1" si="707"/>
        <v>Supercritical</v>
      </c>
      <c r="AS1412">
        <f t="shared" ca="1" si="708"/>
        <v>3.8141460404132466E-3</v>
      </c>
    </row>
    <row r="1413" spans="1:45" x14ac:dyDescent="0.35">
      <c r="A1413">
        <v>1352</v>
      </c>
      <c r="B1413">
        <v>1350.9960000000001</v>
      </c>
      <c r="C1413">
        <v>616066.46</v>
      </c>
      <c r="D1413">
        <v>3096656.37</v>
      </c>
      <c r="E1413">
        <v>631.88800000000003</v>
      </c>
      <c r="F1413">
        <v>5.2</v>
      </c>
      <c r="G1413">
        <v>0</v>
      </c>
      <c r="H1413" t="s">
        <v>154</v>
      </c>
      <c r="I1413">
        <v>5.7000000000000002E-2</v>
      </c>
      <c r="J1413">
        <f t="shared" si="709"/>
        <v>1</v>
      </c>
      <c r="K1413">
        <f t="shared" ca="1" si="710"/>
        <v>50.95</v>
      </c>
      <c r="L1413">
        <f t="shared" ca="1" si="711"/>
        <v>2.1389677043987478</v>
      </c>
      <c r="M1413">
        <f t="shared" ca="1" si="684"/>
        <v>11.122632062873489</v>
      </c>
      <c r="N1413">
        <f t="shared" ca="1" si="685"/>
        <v>1.1735290000551568</v>
      </c>
      <c r="O1413">
        <f t="shared" ca="1" si="686"/>
        <v>4.5807502857230418</v>
      </c>
      <c r="P1413">
        <f t="shared" ca="1" si="687"/>
        <v>634.02696770439877</v>
      </c>
      <c r="Q1413">
        <f t="shared" ca="1" si="688"/>
        <v>635.09645155659814</v>
      </c>
      <c r="R1413">
        <f t="shared" ca="1" si="689"/>
        <v>3.8141460404132466E-3</v>
      </c>
      <c r="S1413">
        <f t="shared" ca="1" si="690"/>
        <v>1.0000000000000004</v>
      </c>
      <c r="T1413">
        <f t="shared" ca="1" si="691"/>
        <v>35.686426155594638</v>
      </c>
      <c r="U1413">
        <f t="shared" ca="1" si="712"/>
        <v>-3.4157470064428708E-3</v>
      </c>
      <c r="V1413">
        <f t="shared" ca="1" si="713"/>
        <v>1</v>
      </c>
      <c r="W1413">
        <f t="shared" ca="1" si="692"/>
        <v>1.6812012600746047</v>
      </c>
      <c r="X1413">
        <f t="shared" ca="1" si="693"/>
        <v>8.7422465523879449</v>
      </c>
      <c r="Y1413">
        <f t="shared" ca="1" si="694"/>
        <v>1.0210039217165419</v>
      </c>
      <c r="Z1413">
        <f t="shared" ca="1" si="695"/>
        <v>5.828021400984511</v>
      </c>
      <c r="AA1413">
        <f t="shared" ca="1" si="696"/>
        <v>633.56920126007469</v>
      </c>
      <c r="AB1413">
        <f t="shared" ca="1" si="697"/>
        <v>635.30038543185515</v>
      </c>
      <c r="AC1413">
        <f t="shared" ca="1" si="698"/>
        <v>7.4334127264585057E-3</v>
      </c>
      <c r="AD1413">
        <f t="shared" ca="1" si="699"/>
        <v>1.4350822100532525</v>
      </c>
      <c r="AE1413">
        <f t="shared" ca="1" si="700"/>
        <v>37.617615674472098</v>
      </c>
      <c r="AF1413">
        <f t="shared" ca="1" si="701"/>
        <v>6.9334127264255585E-3</v>
      </c>
      <c r="AG1413">
        <f t="shared" ca="1" si="702"/>
        <v>0</v>
      </c>
      <c r="AH1413">
        <f ca="1">IFERROR(IF(V32="Supercritical",MAX($D$16,IFERROR(L1413,MAX($D$16,POWER((ABS(K1413)^2)/($I$5*MAX(F1413,0.1)^2),1/3)))),IF(V32="Subcritical",MAX($D$16,IFERROR(W1413,MAX($D$16,POWER((ABS(K1413)^2)/($I$5*MAX(F1413,0.1)^2),1/3)))),IF(AND(IFERROR(V1413,0)=1,IFERROR(AG1413,0)=1),IF(IFERROR(T1413,-1E+99)&gt;=IFERROR(AE1413,-1E+99),MAX($D$16,IFERROR(L1413,MAX($D$16,POWER((ABS(K1413)^2)/($I$5*MAX(F1413,0.1)^2),1/3)))),MAX($D$16,IFERROR(W1413,MAX($D$16,POWER((ABS(K1413)^2)/($I$5*MAX(F1413,0.1)^2),1/3))))),IF(IFERROR(V1413,0)=1,MAX($D$16,IFERROR(L1413,MAX($D$16,POWER((ABS(K1413)^2)/($I$5*MAX(F1413,0.1)^2),1/3)))),IF(IFERROR(AG1413,0)=1,MAX($D$16,IFERROR(W1413,MAX($D$16,POWER((ABS(K1413)^2)/($I$5*MAX(F1413,0.1)^2),1/3)))),MAX($D$16,POWER((ABS(K1413)^2)/($I$5*MAX(F1413,0.1)^2),1/3))))))),MAX($D$16,POWER((ABS(K1413)^2)/($I$5*MAX(F1413,0.1)^2),1/3)))</f>
        <v>2.1389677043987478</v>
      </c>
      <c r="AI1413">
        <f t="shared" ca="1" si="703"/>
        <v>634.02696770439877</v>
      </c>
      <c r="AJ1413">
        <f t="shared" ca="1" si="704"/>
        <v>635.09645155659814</v>
      </c>
      <c r="AM1413">
        <v>0</v>
      </c>
      <c r="AN1413">
        <v>0</v>
      </c>
      <c r="AO1413">
        <f t="shared" si="705"/>
        <v>0</v>
      </c>
      <c r="AP1413">
        <f t="shared" si="714"/>
        <v>0</v>
      </c>
      <c r="AQ1413">
        <f t="shared" ca="1" si="706"/>
        <v>1.0000000000000004</v>
      </c>
      <c r="AR1413" t="str">
        <f t="shared" ca="1" si="707"/>
        <v>Supercritical</v>
      </c>
      <c r="AS1413">
        <f t="shared" ca="1" si="708"/>
        <v>3.8141460404132466E-3</v>
      </c>
    </row>
    <row r="1414" spans="1:45" x14ac:dyDescent="0.35">
      <c r="A1414">
        <v>1353</v>
      </c>
      <c r="B1414">
        <v>1351.9960000000001</v>
      </c>
      <c r="C1414">
        <v>616066.41799999995</v>
      </c>
      <c r="D1414">
        <v>3096655.3709999998</v>
      </c>
      <c r="E1414">
        <v>631.88750000000005</v>
      </c>
      <c r="F1414">
        <v>5.2</v>
      </c>
      <c r="G1414">
        <v>0</v>
      </c>
      <c r="H1414" t="s">
        <v>154</v>
      </c>
      <c r="I1414">
        <v>0</v>
      </c>
      <c r="J1414">
        <f t="shared" si="709"/>
        <v>1</v>
      </c>
      <c r="K1414">
        <f t="shared" ca="1" si="710"/>
        <v>50.95</v>
      </c>
      <c r="L1414">
        <f t="shared" ca="1" si="711"/>
        <v>2.1389677043987478</v>
      </c>
      <c r="M1414">
        <f t="shared" ca="1" si="684"/>
        <v>11.122632062873489</v>
      </c>
      <c r="N1414">
        <f t="shared" ca="1" si="685"/>
        <v>1.1735290000551568</v>
      </c>
      <c r="O1414">
        <f t="shared" ca="1" si="686"/>
        <v>4.5807502857230418</v>
      </c>
      <c r="P1414">
        <f t="shared" ca="1" si="687"/>
        <v>634.02646770439878</v>
      </c>
      <c r="Q1414">
        <f t="shared" ca="1" si="688"/>
        <v>635.09595155659815</v>
      </c>
      <c r="R1414">
        <f t="shared" ca="1" si="689"/>
        <v>3.8141460404132466E-3</v>
      </c>
      <c r="S1414">
        <f t="shared" ca="1" si="690"/>
        <v>1.0000000000000004</v>
      </c>
      <c r="T1414">
        <f t="shared" ca="1" si="691"/>
        <v>35.686426155594638</v>
      </c>
      <c r="U1414">
        <f t="shared" ca="1" si="712"/>
        <v>-3.3141460404522149E-3</v>
      </c>
      <c r="V1414">
        <f t="shared" ca="1" si="713"/>
        <v>1</v>
      </c>
      <c r="W1414">
        <f t="shared" ca="1" si="692"/>
        <v>1.6812012600744852</v>
      </c>
      <c r="X1414">
        <f t="shared" ca="1" si="693"/>
        <v>8.7422465523873232</v>
      </c>
      <c r="Y1414">
        <f t="shared" ca="1" si="694"/>
        <v>1.0210039217164977</v>
      </c>
      <c r="Z1414">
        <f t="shared" ca="1" si="695"/>
        <v>5.8280214009849258</v>
      </c>
      <c r="AA1414">
        <f t="shared" ca="1" si="696"/>
        <v>633.56870126007448</v>
      </c>
      <c r="AB1414">
        <f t="shared" ca="1" si="697"/>
        <v>635.29988543185527</v>
      </c>
      <c r="AC1414">
        <f t="shared" ca="1" si="698"/>
        <v>7.4334127264599941E-3</v>
      </c>
      <c r="AD1414">
        <f t="shared" ca="1" si="699"/>
        <v>1.4350822100534055</v>
      </c>
      <c r="AE1414">
        <f t="shared" ca="1" si="700"/>
        <v>37.617615674473207</v>
      </c>
      <c r="AF1414">
        <f t="shared" ca="1" si="701"/>
        <v>6.9334127263118717E-3</v>
      </c>
      <c r="AG1414">
        <f t="shared" ca="1" si="702"/>
        <v>0</v>
      </c>
      <c r="AH1414">
        <f ca="1">IFERROR(IF(V32="Supercritical",MAX($D$16,IFERROR(L1414,MAX($D$16,POWER((ABS(K1414)^2)/($I$5*MAX(F1414,0.1)^2),1/3)))),IF(V32="Subcritical",MAX($D$16,IFERROR(W1414,MAX($D$16,POWER((ABS(K1414)^2)/($I$5*MAX(F1414,0.1)^2),1/3)))),IF(AND(IFERROR(V1414,0)=1,IFERROR(AG1414,0)=1),IF(IFERROR(T1414,-1E+99)&gt;=IFERROR(AE1414,-1E+99),MAX($D$16,IFERROR(L1414,MAX($D$16,POWER((ABS(K1414)^2)/($I$5*MAX(F1414,0.1)^2),1/3)))),MAX($D$16,IFERROR(W1414,MAX($D$16,POWER((ABS(K1414)^2)/($I$5*MAX(F1414,0.1)^2),1/3))))),IF(IFERROR(V1414,0)=1,MAX($D$16,IFERROR(L1414,MAX($D$16,POWER((ABS(K1414)^2)/($I$5*MAX(F1414,0.1)^2),1/3)))),IF(IFERROR(AG1414,0)=1,MAX($D$16,IFERROR(W1414,MAX($D$16,POWER((ABS(K1414)^2)/($I$5*MAX(F1414,0.1)^2),1/3)))),MAX($D$16,POWER((ABS(K1414)^2)/($I$5*MAX(F1414,0.1)^2),1/3))))))),MAX($D$16,POWER((ABS(K1414)^2)/($I$5*MAX(F1414,0.1)^2),1/3)))</f>
        <v>2.1389677043987478</v>
      </c>
      <c r="AI1414">
        <f t="shared" ca="1" si="703"/>
        <v>634.02646770439878</v>
      </c>
      <c r="AJ1414">
        <f t="shared" ca="1" si="704"/>
        <v>635.09595155659815</v>
      </c>
      <c r="AM1414">
        <v>0</v>
      </c>
      <c r="AN1414">
        <v>0</v>
      </c>
      <c r="AO1414">
        <f t="shared" si="705"/>
        <v>0</v>
      </c>
      <c r="AP1414">
        <f t="shared" si="714"/>
        <v>0</v>
      </c>
      <c r="AQ1414">
        <f t="shared" ca="1" si="706"/>
        <v>1.0000000000000004</v>
      </c>
      <c r="AR1414" t="str">
        <f t="shared" ca="1" si="707"/>
        <v>Supercritical</v>
      </c>
      <c r="AS1414">
        <f t="shared" ca="1" si="708"/>
        <v>3.8141460404132466E-3</v>
      </c>
    </row>
    <row r="1415" spans="1:45" x14ac:dyDescent="0.35">
      <c r="A1415">
        <v>1354</v>
      </c>
      <c r="B1415">
        <v>1352.9960000000001</v>
      </c>
      <c r="C1415">
        <v>616066.37600000005</v>
      </c>
      <c r="D1415">
        <v>3096654.372</v>
      </c>
      <c r="E1415">
        <v>631.88699999999994</v>
      </c>
      <c r="F1415">
        <v>5.2</v>
      </c>
      <c r="G1415">
        <v>0</v>
      </c>
      <c r="H1415" t="s">
        <v>154</v>
      </c>
      <c r="I1415">
        <v>0</v>
      </c>
      <c r="J1415">
        <f t="shared" si="709"/>
        <v>1</v>
      </c>
      <c r="K1415">
        <f t="shared" ca="1" si="710"/>
        <v>50.95</v>
      </c>
      <c r="L1415">
        <f t="shared" ca="1" si="711"/>
        <v>2.1389677043987478</v>
      </c>
      <c r="M1415">
        <f t="shared" ca="1" si="684"/>
        <v>11.122632062873489</v>
      </c>
      <c r="N1415">
        <f t="shared" ca="1" si="685"/>
        <v>1.1735290000551568</v>
      </c>
      <c r="O1415">
        <f t="shared" ca="1" si="686"/>
        <v>4.5807502857230418</v>
      </c>
      <c r="P1415">
        <f t="shared" ca="1" si="687"/>
        <v>634.02596770439868</v>
      </c>
      <c r="Q1415">
        <f t="shared" ca="1" si="688"/>
        <v>635.09545155659805</v>
      </c>
      <c r="R1415">
        <f t="shared" ca="1" si="689"/>
        <v>3.8141460404132466E-3</v>
      </c>
      <c r="S1415">
        <f t="shared" ca="1" si="690"/>
        <v>1.0000000000000004</v>
      </c>
      <c r="T1415">
        <f t="shared" ca="1" si="691"/>
        <v>35.686426155594638</v>
      </c>
      <c r="U1415">
        <f t="shared" ca="1" si="712"/>
        <v>-3.3141460403385281E-3</v>
      </c>
      <c r="V1415">
        <f t="shared" ca="1" si="713"/>
        <v>1</v>
      </c>
      <c r="W1415">
        <f t="shared" ca="1" si="692"/>
        <v>1.6812012600743658</v>
      </c>
      <c r="X1415">
        <f t="shared" ca="1" si="693"/>
        <v>8.7422465523867015</v>
      </c>
      <c r="Y1415">
        <f t="shared" ca="1" si="694"/>
        <v>1.0210039217164537</v>
      </c>
      <c r="Z1415">
        <f t="shared" ca="1" si="695"/>
        <v>5.8280214009853397</v>
      </c>
      <c r="AA1415">
        <f t="shared" ca="1" si="696"/>
        <v>633.56820126007426</v>
      </c>
      <c r="AB1415">
        <f t="shared" ca="1" si="697"/>
        <v>635.29938543185528</v>
      </c>
      <c r="AC1415">
        <f t="shared" ca="1" si="698"/>
        <v>7.4334127264614781E-3</v>
      </c>
      <c r="AD1415">
        <f t="shared" ca="1" si="699"/>
        <v>1.4350822100535585</v>
      </c>
      <c r="AE1415">
        <f t="shared" ca="1" si="700"/>
        <v>37.617615674474315</v>
      </c>
      <c r="AF1415">
        <f t="shared" ca="1" si="701"/>
        <v>7.0978752227119912E-3</v>
      </c>
      <c r="AG1415">
        <f t="shared" ca="1" si="702"/>
        <v>0</v>
      </c>
      <c r="AH1415">
        <f ca="1">IFERROR(IF(V32="Supercritical",MAX($D$16,IFERROR(L1415,MAX($D$16,POWER((ABS(K1415)^2)/($I$5*MAX(F1415,0.1)^2),1/3)))),IF(V32="Subcritical",MAX($D$16,IFERROR(W1415,MAX($D$16,POWER((ABS(K1415)^2)/($I$5*MAX(F1415,0.1)^2),1/3)))),IF(AND(IFERROR(V1415,0)=1,IFERROR(AG1415,0)=1),IF(IFERROR(T1415,-1E+99)&gt;=IFERROR(AE1415,-1E+99),MAX($D$16,IFERROR(L1415,MAX($D$16,POWER((ABS(K1415)^2)/($I$5*MAX(F1415,0.1)^2),1/3)))),MAX($D$16,IFERROR(W1415,MAX($D$16,POWER((ABS(K1415)^2)/($I$5*MAX(F1415,0.1)^2),1/3))))),IF(IFERROR(V1415,0)=1,MAX($D$16,IFERROR(L1415,MAX($D$16,POWER((ABS(K1415)^2)/($I$5*MAX(F1415,0.1)^2),1/3)))),IF(IFERROR(AG1415,0)=1,MAX($D$16,IFERROR(W1415,MAX($D$16,POWER((ABS(K1415)^2)/($I$5*MAX(F1415,0.1)^2),1/3)))),MAX($D$16,POWER((ABS(K1415)^2)/($I$5*MAX(F1415,0.1)^2),1/3))))))),MAX($D$16,POWER((ABS(K1415)^2)/($I$5*MAX(F1415,0.1)^2),1/3)))</f>
        <v>2.1389677043987478</v>
      </c>
      <c r="AI1415">
        <f t="shared" ca="1" si="703"/>
        <v>634.02596770439868</v>
      </c>
      <c r="AJ1415">
        <f t="shared" ca="1" si="704"/>
        <v>635.09545155659805</v>
      </c>
      <c r="AM1415">
        <v>0</v>
      </c>
      <c r="AN1415">
        <v>0</v>
      </c>
      <c r="AO1415">
        <f t="shared" si="705"/>
        <v>0</v>
      </c>
      <c r="AP1415">
        <f t="shared" si="714"/>
        <v>0</v>
      </c>
      <c r="AQ1415">
        <f t="shared" ca="1" si="706"/>
        <v>1.0000000000000004</v>
      </c>
      <c r="AR1415" t="str">
        <f t="shared" ca="1" si="707"/>
        <v>Supercritical</v>
      </c>
      <c r="AS1415">
        <f t="shared" ca="1" si="708"/>
        <v>3.8141460404132466E-3</v>
      </c>
    </row>
    <row r="1416" spans="1:45" x14ac:dyDescent="0.35">
      <c r="A1416">
        <v>1355</v>
      </c>
      <c r="B1416">
        <v>1353.9960000000001</v>
      </c>
      <c r="C1416">
        <v>616066.33400000003</v>
      </c>
      <c r="D1416">
        <v>3096653.3730000001</v>
      </c>
      <c r="E1416">
        <v>631.88649999999996</v>
      </c>
      <c r="F1416">
        <v>5.2</v>
      </c>
      <c r="G1416">
        <v>0</v>
      </c>
      <c r="H1416" t="s">
        <v>154</v>
      </c>
      <c r="I1416">
        <v>5.7000000000000002E-2</v>
      </c>
      <c r="J1416">
        <f t="shared" si="709"/>
        <v>1</v>
      </c>
      <c r="K1416">
        <f t="shared" ca="1" si="710"/>
        <v>50.95</v>
      </c>
      <c r="L1416">
        <f t="shared" ca="1" si="711"/>
        <v>2.1389677043987478</v>
      </c>
      <c r="M1416">
        <f t="shared" ca="1" si="684"/>
        <v>11.122632062873489</v>
      </c>
      <c r="N1416">
        <f t="shared" ca="1" si="685"/>
        <v>1.1735290000551568</v>
      </c>
      <c r="O1416">
        <f t="shared" ca="1" si="686"/>
        <v>4.5807502857230418</v>
      </c>
      <c r="P1416">
        <f t="shared" ca="1" si="687"/>
        <v>634.02546770439869</v>
      </c>
      <c r="Q1416">
        <f t="shared" ca="1" si="688"/>
        <v>635.09495155659806</v>
      </c>
      <c r="R1416">
        <f t="shared" ca="1" si="689"/>
        <v>3.8141460404132466E-3</v>
      </c>
      <c r="S1416">
        <f t="shared" ca="1" si="690"/>
        <v>1.0000000000000004</v>
      </c>
      <c r="T1416">
        <f t="shared" ca="1" si="691"/>
        <v>35.686426155594638</v>
      </c>
      <c r="U1416">
        <f t="shared" ca="1" si="712"/>
        <v>-3.4157470064428708E-3</v>
      </c>
      <c r="V1416">
        <f t="shared" ca="1" si="713"/>
        <v>1</v>
      </c>
      <c r="W1416">
        <f t="shared" ca="1" si="692"/>
        <v>1.6812012600742634</v>
      </c>
      <c r="X1416">
        <f t="shared" ca="1" si="693"/>
        <v>8.7422465523861703</v>
      </c>
      <c r="Y1416">
        <f t="shared" ca="1" si="694"/>
        <v>1.021003921716416</v>
      </c>
      <c r="Z1416">
        <f t="shared" ca="1" si="695"/>
        <v>5.8280214009856941</v>
      </c>
      <c r="AA1416">
        <f t="shared" ca="1" si="696"/>
        <v>633.56770126007427</v>
      </c>
      <c r="AB1416">
        <f t="shared" ca="1" si="697"/>
        <v>635.29888543185552</v>
      </c>
      <c r="AC1416">
        <f t="shared" ca="1" si="698"/>
        <v>7.4334127264627462E-3</v>
      </c>
      <c r="AD1416">
        <f t="shared" ca="1" si="699"/>
        <v>1.4350822100536895</v>
      </c>
      <c r="AE1416">
        <f t="shared" ca="1" si="700"/>
        <v>37.61761567447526</v>
      </c>
      <c r="AF1416">
        <f t="shared" ca="1" si="701"/>
        <v>7.0978752227119912E-3</v>
      </c>
      <c r="AG1416">
        <f t="shared" ca="1" si="702"/>
        <v>0</v>
      </c>
      <c r="AH1416">
        <f ca="1">IFERROR(IF(V32="Supercritical",MAX($D$16,IFERROR(L1416,MAX($D$16,POWER((ABS(K1416)^2)/($I$5*MAX(F1416,0.1)^2),1/3)))),IF(V32="Subcritical",MAX($D$16,IFERROR(W1416,MAX($D$16,POWER((ABS(K1416)^2)/($I$5*MAX(F1416,0.1)^2),1/3)))),IF(AND(IFERROR(V1416,0)=1,IFERROR(AG1416,0)=1),IF(IFERROR(T1416,-1E+99)&gt;=IFERROR(AE1416,-1E+99),MAX($D$16,IFERROR(L1416,MAX($D$16,POWER((ABS(K1416)^2)/($I$5*MAX(F1416,0.1)^2),1/3)))),MAX($D$16,IFERROR(W1416,MAX($D$16,POWER((ABS(K1416)^2)/($I$5*MAX(F1416,0.1)^2),1/3))))),IF(IFERROR(V1416,0)=1,MAX($D$16,IFERROR(L1416,MAX($D$16,POWER((ABS(K1416)^2)/($I$5*MAX(F1416,0.1)^2),1/3)))),IF(IFERROR(AG1416,0)=1,MAX($D$16,IFERROR(W1416,MAX($D$16,POWER((ABS(K1416)^2)/($I$5*MAX(F1416,0.1)^2),1/3)))),MAX($D$16,POWER((ABS(K1416)^2)/($I$5*MAX(F1416,0.1)^2),1/3))))))),MAX($D$16,POWER((ABS(K1416)^2)/($I$5*MAX(F1416,0.1)^2),1/3)))</f>
        <v>2.1389677043987478</v>
      </c>
      <c r="AI1416">
        <f t="shared" ca="1" si="703"/>
        <v>634.02546770439869</v>
      </c>
      <c r="AJ1416">
        <f t="shared" ca="1" si="704"/>
        <v>635.09495155659806</v>
      </c>
      <c r="AM1416">
        <v>0</v>
      </c>
      <c r="AN1416">
        <v>0</v>
      </c>
      <c r="AO1416">
        <f t="shared" si="705"/>
        <v>0</v>
      </c>
      <c r="AP1416">
        <f t="shared" si="714"/>
        <v>0</v>
      </c>
      <c r="AQ1416">
        <f t="shared" ca="1" si="706"/>
        <v>1.0000000000000004</v>
      </c>
      <c r="AR1416" t="str">
        <f t="shared" ca="1" si="707"/>
        <v>Supercritical</v>
      </c>
      <c r="AS1416">
        <f t="shared" ca="1" si="708"/>
        <v>3.8141460404132466E-3</v>
      </c>
    </row>
    <row r="1417" spans="1:45" x14ac:dyDescent="0.35">
      <c r="A1417">
        <v>1356</v>
      </c>
      <c r="B1417">
        <v>1354.9960000000001</v>
      </c>
      <c r="C1417">
        <v>616066.29099999997</v>
      </c>
      <c r="D1417">
        <v>3096652.3739999998</v>
      </c>
      <c r="E1417">
        <v>631.88599999999997</v>
      </c>
      <c r="F1417">
        <v>5.2</v>
      </c>
      <c r="G1417">
        <v>0</v>
      </c>
      <c r="H1417" t="s">
        <v>154</v>
      </c>
      <c r="I1417">
        <v>5.7000000000000002E-2</v>
      </c>
      <c r="J1417">
        <f t="shared" si="709"/>
        <v>1</v>
      </c>
      <c r="K1417">
        <f t="shared" ca="1" si="710"/>
        <v>50.95</v>
      </c>
      <c r="L1417">
        <f t="shared" ca="1" si="711"/>
        <v>2.1389677043987478</v>
      </c>
      <c r="M1417">
        <f t="shared" ca="1" si="684"/>
        <v>11.122632062873489</v>
      </c>
      <c r="N1417">
        <f t="shared" ca="1" si="685"/>
        <v>1.1735290000551568</v>
      </c>
      <c r="O1417">
        <f t="shared" ca="1" si="686"/>
        <v>4.5807502857230418</v>
      </c>
      <c r="P1417">
        <f t="shared" ca="1" si="687"/>
        <v>634.0249677043987</v>
      </c>
      <c r="Q1417">
        <f t="shared" ca="1" si="688"/>
        <v>635.09445155659807</v>
      </c>
      <c r="R1417">
        <f t="shared" ca="1" si="689"/>
        <v>3.8141460404132466E-3</v>
      </c>
      <c r="S1417">
        <f t="shared" ca="1" si="690"/>
        <v>1.0000000000000004</v>
      </c>
      <c r="T1417">
        <f t="shared" ca="1" si="691"/>
        <v>35.686426155594638</v>
      </c>
      <c r="U1417">
        <f t="shared" ca="1" si="712"/>
        <v>-3.4157470064428708E-3</v>
      </c>
      <c r="V1417">
        <f t="shared" ca="1" si="713"/>
        <v>1</v>
      </c>
      <c r="W1417">
        <f t="shared" ca="1" si="692"/>
        <v>1.6812012600741781</v>
      </c>
      <c r="X1417">
        <f t="shared" ca="1" si="693"/>
        <v>8.7422465523857262</v>
      </c>
      <c r="Y1417">
        <f t="shared" ca="1" si="694"/>
        <v>1.0210039217163844</v>
      </c>
      <c r="Z1417">
        <f t="shared" ca="1" si="695"/>
        <v>5.8280214009859899</v>
      </c>
      <c r="AA1417">
        <f t="shared" ca="1" si="696"/>
        <v>633.56720126007417</v>
      </c>
      <c r="AB1417">
        <f t="shared" ca="1" si="697"/>
        <v>635.29838543185554</v>
      </c>
      <c r="AC1417">
        <f t="shared" ca="1" si="698"/>
        <v>7.4334127264638061E-3</v>
      </c>
      <c r="AD1417">
        <f t="shared" ca="1" si="699"/>
        <v>1.4350822100537988</v>
      </c>
      <c r="AE1417">
        <f t="shared" ca="1" si="700"/>
        <v>37.617615674476049</v>
      </c>
      <c r="AF1417">
        <f t="shared" ca="1" si="701"/>
        <v>6.9259793137916859E-3</v>
      </c>
      <c r="AG1417">
        <f t="shared" ca="1" si="702"/>
        <v>0</v>
      </c>
      <c r="AH1417">
        <f ca="1">IFERROR(IF(V32="Supercritical",MAX($D$16,IFERROR(L1417,MAX($D$16,POWER((ABS(K1417)^2)/($I$5*MAX(F1417,0.1)^2),1/3)))),IF(V32="Subcritical",MAX($D$16,IFERROR(W1417,MAX($D$16,POWER((ABS(K1417)^2)/($I$5*MAX(F1417,0.1)^2),1/3)))),IF(AND(IFERROR(V1417,0)=1,IFERROR(AG1417,0)=1),IF(IFERROR(T1417,-1E+99)&gt;=IFERROR(AE1417,-1E+99),MAX($D$16,IFERROR(L1417,MAX($D$16,POWER((ABS(K1417)^2)/($I$5*MAX(F1417,0.1)^2),1/3)))),MAX($D$16,IFERROR(W1417,MAX($D$16,POWER((ABS(K1417)^2)/($I$5*MAX(F1417,0.1)^2),1/3))))),IF(IFERROR(V1417,0)=1,MAX($D$16,IFERROR(L1417,MAX($D$16,POWER((ABS(K1417)^2)/($I$5*MAX(F1417,0.1)^2),1/3)))),IF(IFERROR(AG1417,0)=1,MAX($D$16,IFERROR(W1417,MAX($D$16,POWER((ABS(K1417)^2)/($I$5*MAX(F1417,0.1)^2),1/3)))),MAX($D$16,POWER((ABS(K1417)^2)/($I$5*MAX(F1417,0.1)^2),1/3))))))),MAX($D$16,POWER((ABS(K1417)^2)/($I$5*MAX(F1417,0.1)^2),1/3)))</f>
        <v>2.1389677043987478</v>
      </c>
      <c r="AI1417">
        <f t="shared" ca="1" si="703"/>
        <v>634.0249677043987</v>
      </c>
      <c r="AJ1417">
        <f t="shared" ca="1" si="704"/>
        <v>635.09445155659807</v>
      </c>
      <c r="AM1417">
        <v>0</v>
      </c>
      <c r="AN1417">
        <v>0</v>
      </c>
      <c r="AO1417">
        <f t="shared" si="705"/>
        <v>0</v>
      </c>
      <c r="AP1417">
        <f t="shared" si="714"/>
        <v>0</v>
      </c>
      <c r="AQ1417">
        <f t="shared" ca="1" si="706"/>
        <v>1.0000000000000004</v>
      </c>
      <c r="AR1417" t="str">
        <f t="shared" ca="1" si="707"/>
        <v>Supercritical</v>
      </c>
      <c r="AS1417">
        <f t="shared" ca="1" si="708"/>
        <v>3.8141460404132466E-3</v>
      </c>
    </row>
    <row r="1418" spans="1:45" x14ac:dyDescent="0.35">
      <c r="A1418">
        <v>1357</v>
      </c>
      <c r="B1418">
        <v>1355.9949999999999</v>
      </c>
      <c r="C1418">
        <v>616066.24899999995</v>
      </c>
      <c r="D1418">
        <v>3096651.375</v>
      </c>
      <c r="E1418">
        <v>631.88549999999998</v>
      </c>
      <c r="F1418">
        <v>5.2</v>
      </c>
      <c r="G1418">
        <v>0</v>
      </c>
      <c r="H1418" t="s">
        <v>154</v>
      </c>
      <c r="I1418">
        <v>0</v>
      </c>
      <c r="J1418">
        <f t="shared" si="709"/>
        <v>0.99899999999979627</v>
      </c>
      <c r="K1418">
        <f t="shared" ca="1" si="710"/>
        <v>50.95</v>
      </c>
      <c r="L1418">
        <f t="shared" ca="1" si="711"/>
        <v>2.1389677043987478</v>
      </c>
      <c r="M1418">
        <f t="shared" ca="1" si="684"/>
        <v>11.122632062873489</v>
      </c>
      <c r="N1418">
        <f t="shared" ca="1" si="685"/>
        <v>1.1735290000551568</v>
      </c>
      <c r="O1418">
        <f t="shared" ca="1" si="686"/>
        <v>4.5807502857230418</v>
      </c>
      <c r="P1418">
        <f t="shared" ca="1" si="687"/>
        <v>634.02446770439872</v>
      </c>
      <c r="Q1418">
        <f t="shared" ca="1" si="688"/>
        <v>635.09395155659809</v>
      </c>
      <c r="R1418">
        <f t="shared" ca="1" si="689"/>
        <v>3.8141460404132466E-3</v>
      </c>
      <c r="S1418">
        <f t="shared" ca="1" si="690"/>
        <v>1.0000000000000004</v>
      </c>
      <c r="T1418">
        <f t="shared" ca="1" si="691"/>
        <v>35.686426155594638</v>
      </c>
      <c r="U1418">
        <f t="shared" ca="1" si="712"/>
        <v>-3.3103318943403792E-3</v>
      </c>
      <c r="V1418">
        <f t="shared" ca="1" si="713"/>
        <v>1</v>
      </c>
      <c r="W1418">
        <f t="shared" ca="1" si="692"/>
        <v>1.6812012600740929</v>
      </c>
      <c r="X1418">
        <f t="shared" ca="1" si="693"/>
        <v>8.7422465523852839</v>
      </c>
      <c r="Y1418">
        <f t="shared" ca="1" si="694"/>
        <v>1.0210039217163531</v>
      </c>
      <c r="Z1418">
        <f t="shared" ca="1" si="695"/>
        <v>5.8280214009862847</v>
      </c>
      <c r="AA1418">
        <f t="shared" ca="1" si="696"/>
        <v>633.56670126007407</v>
      </c>
      <c r="AB1418">
        <f t="shared" ca="1" si="697"/>
        <v>635.29788543185566</v>
      </c>
      <c r="AC1418">
        <f t="shared" ca="1" si="698"/>
        <v>7.4334127264648643E-3</v>
      </c>
      <c r="AD1418">
        <f t="shared" ca="1" si="699"/>
        <v>1.4350822100539073</v>
      </c>
      <c r="AE1418">
        <f t="shared" ca="1" si="700"/>
        <v>37.617615674476838</v>
      </c>
      <c r="AF1418">
        <f t="shared" ca="1" si="701"/>
        <v>6.9391833403642522E-3</v>
      </c>
      <c r="AG1418">
        <f t="shared" ca="1" si="702"/>
        <v>0</v>
      </c>
      <c r="AH1418">
        <f ca="1">IFERROR(IF(V32="Supercritical",MAX($D$16,IFERROR(L1418,MAX($D$16,POWER((ABS(K1418)^2)/($I$5*MAX(F1418,0.1)^2),1/3)))),IF(V32="Subcritical",MAX($D$16,IFERROR(W1418,MAX($D$16,POWER((ABS(K1418)^2)/($I$5*MAX(F1418,0.1)^2),1/3)))),IF(AND(IFERROR(V1418,0)=1,IFERROR(AG1418,0)=1),IF(IFERROR(T1418,-1E+99)&gt;=IFERROR(AE1418,-1E+99),MAX($D$16,IFERROR(L1418,MAX($D$16,POWER((ABS(K1418)^2)/($I$5*MAX(F1418,0.1)^2),1/3)))),MAX($D$16,IFERROR(W1418,MAX($D$16,POWER((ABS(K1418)^2)/($I$5*MAX(F1418,0.1)^2),1/3))))),IF(IFERROR(V1418,0)=1,MAX($D$16,IFERROR(L1418,MAX($D$16,POWER((ABS(K1418)^2)/($I$5*MAX(F1418,0.1)^2),1/3)))),IF(IFERROR(AG1418,0)=1,MAX($D$16,IFERROR(W1418,MAX($D$16,POWER((ABS(K1418)^2)/($I$5*MAX(F1418,0.1)^2),1/3)))),MAX($D$16,POWER((ABS(K1418)^2)/($I$5*MAX(F1418,0.1)^2),1/3))))))),MAX($D$16,POWER((ABS(K1418)^2)/($I$5*MAX(F1418,0.1)^2),1/3)))</f>
        <v>2.1389677043987478</v>
      </c>
      <c r="AI1418">
        <f t="shared" ca="1" si="703"/>
        <v>634.02446770439872</v>
      </c>
      <c r="AJ1418">
        <f t="shared" ca="1" si="704"/>
        <v>635.09395155659809</v>
      </c>
      <c r="AM1418">
        <v>0</v>
      </c>
      <c r="AN1418">
        <v>0</v>
      </c>
      <c r="AO1418">
        <f t="shared" si="705"/>
        <v>0</v>
      </c>
      <c r="AP1418">
        <f t="shared" si="714"/>
        <v>0</v>
      </c>
      <c r="AQ1418">
        <f t="shared" ca="1" si="706"/>
        <v>1.0000000000000004</v>
      </c>
      <c r="AR1418" t="str">
        <f t="shared" ca="1" si="707"/>
        <v>Supercritical</v>
      </c>
      <c r="AS1418">
        <f t="shared" ca="1" si="708"/>
        <v>3.8141460404132466E-3</v>
      </c>
    </row>
    <row r="1419" spans="1:45" x14ac:dyDescent="0.35">
      <c r="A1419">
        <v>1358</v>
      </c>
      <c r="B1419">
        <v>1356.9949999999999</v>
      </c>
      <c r="C1419">
        <v>616066.20700000005</v>
      </c>
      <c r="D1419">
        <v>3096650.3760000002</v>
      </c>
      <c r="E1419">
        <v>631.88499999999999</v>
      </c>
      <c r="F1419">
        <v>5.2</v>
      </c>
      <c r="G1419">
        <v>0</v>
      </c>
      <c r="H1419" t="s">
        <v>154</v>
      </c>
      <c r="I1419">
        <v>2E-3</v>
      </c>
      <c r="J1419">
        <f t="shared" si="709"/>
        <v>1</v>
      </c>
      <c r="K1419">
        <f t="shared" ca="1" si="710"/>
        <v>50.95</v>
      </c>
      <c r="L1419">
        <f t="shared" ca="1" si="711"/>
        <v>2.1389677043987478</v>
      </c>
      <c r="M1419">
        <f t="shared" ca="1" si="684"/>
        <v>11.122632062873489</v>
      </c>
      <c r="N1419">
        <f t="shared" ca="1" si="685"/>
        <v>1.1735290000551568</v>
      </c>
      <c r="O1419">
        <f t="shared" ca="1" si="686"/>
        <v>4.5807502857230418</v>
      </c>
      <c r="P1419">
        <f t="shared" ca="1" si="687"/>
        <v>634.02396770439873</v>
      </c>
      <c r="Q1419">
        <f t="shared" ca="1" si="688"/>
        <v>635.0934515565981</v>
      </c>
      <c r="R1419">
        <f t="shared" ca="1" si="689"/>
        <v>3.8141460404132466E-3</v>
      </c>
      <c r="S1419">
        <f t="shared" ca="1" si="690"/>
        <v>1.0000000000000004</v>
      </c>
      <c r="T1419">
        <f t="shared" ca="1" si="691"/>
        <v>35.686426155594638</v>
      </c>
      <c r="U1419">
        <f t="shared" ca="1" si="712"/>
        <v>-3.3177109866073806E-3</v>
      </c>
      <c r="V1419">
        <f t="shared" ca="1" si="713"/>
        <v>1</v>
      </c>
      <c r="W1419">
        <f t="shared" ca="1" si="692"/>
        <v>1.6812012600740076</v>
      </c>
      <c r="X1419">
        <f t="shared" ca="1" si="693"/>
        <v>8.7422465523848398</v>
      </c>
      <c r="Y1419">
        <f t="shared" ca="1" si="694"/>
        <v>1.0210039217163216</v>
      </c>
      <c r="Z1419">
        <f t="shared" ca="1" si="695"/>
        <v>5.8280214009865814</v>
      </c>
      <c r="AA1419">
        <f t="shared" ca="1" si="696"/>
        <v>633.56620126007397</v>
      </c>
      <c r="AB1419">
        <f t="shared" ca="1" si="697"/>
        <v>635.29738543185567</v>
      </c>
      <c r="AC1419">
        <f t="shared" ca="1" si="698"/>
        <v>7.4334127264659242E-3</v>
      </c>
      <c r="AD1419">
        <f t="shared" ca="1" si="699"/>
        <v>1.4350822100540168</v>
      </c>
      <c r="AE1419">
        <f t="shared" ca="1" si="700"/>
        <v>37.617615674477626</v>
      </c>
      <c r="AF1419">
        <f t="shared" ca="1" si="701"/>
        <v>7.1139645563107479E-3</v>
      </c>
      <c r="AG1419">
        <f t="shared" ca="1" si="702"/>
        <v>0</v>
      </c>
      <c r="AH1419">
        <f ca="1">IFERROR(IF(V32="Supercritical",MAX($D$16,IFERROR(L1419,MAX($D$16,POWER((ABS(K1419)^2)/($I$5*MAX(F1419,0.1)^2),1/3)))),IF(V32="Subcritical",MAX($D$16,IFERROR(W1419,MAX($D$16,POWER((ABS(K1419)^2)/($I$5*MAX(F1419,0.1)^2),1/3)))),IF(AND(IFERROR(V1419,0)=1,IFERROR(AG1419,0)=1),IF(IFERROR(T1419,-1E+99)&gt;=IFERROR(AE1419,-1E+99),MAX($D$16,IFERROR(L1419,MAX($D$16,POWER((ABS(K1419)^2)/($I$5*MAX(F1419,0.1)^2),1/3)))),MAX($D$16,IFERROR(W1419,MAX($D$16,POWER((ABS(K1419)^2)/($I$5*MAX(F1419,0.1)^2),1/3))))),IF(IFERROR(V1419,0)=1,MAX($D$16,IFERROR(L1419,MAX($D$16,POWER((ABS(K1419)^2)/($I$5*MAX(F1419,0.1)^2),1/3)))),IF(IFERROR(AG1419,0)=1,MAX($D$16,IFERROR(W1419,MAX($D$16,POWER((ABS(K1419)^2)/($I$5*MAX(F1419,0.1)^2),1/3)))),MAX($D$16,POWER((ABS(K1419)^2)/($I$5*MAX(F1419,0.1)^2),1/3))))))),MAX($D$16,POWER((ABS(K1419)^2)/($I$5*MAX(F1419,0.1)^2),1/3)))</f>
        <v>2.1389677043987478</v>
      </c>
      <c r="AI1419">
        <f t="shared" ca="1" si="703"/>
        <v>634.02396770439873</v>
      </c>
      <c r="AJ1419">
        <f t="shared" ca="1" si="704"/>
        <v>635.0934515565981</v>
      </c>
      <c r="AM1419">
        <v>0</v>
      </c>
      <c r="AN1419">
        <v>0</v>
      </c>
      <c r="AO1419">
        <f t="shared" si="705"/>
        <v>0</v>
      </c>
      <c r="AP1419">
        <f t="shared" si="714"/>
        <v>0</v>
      </c>
      <c r="AQ1419">
        <f t="shared" ca="1" si="706"/>
        <v>1.0000000000000004</v>
      </c>
      <c r="AR1419" t="str">
        <f t="shared" ca="1" si="707"/>
        <v>Supercritical</v>
      </c>
      <c r="AS1419">
        <f t="shared" ca="1" si="708"/>
        <v>3.8141460404132466E-3</v>
      </c>
    </row>
    <row r="1420" spans="1:45" x14ac:dyDescent="0.35">
      <c r="A1420">
        <v>1359</v>
      </c>
      <c r="B1420">
        <v>1357.9960000000001</v>
      </c>
      <c r="C1420">
        <v>616066.16500000004</v>
      </c>
      <c r="D1420">
        <v>3096649.3760000002</v>
      </c>
      <c r="E1420">
        <v>631.8845</v>
      </c>
      <c r="F1420">
        <v>5.2</v>
      </c>
      <c r="G1420">
        <v>0</v>
      </c>
      <c r="H1420" t="s">
        <v>154</v>
      </c>
      <c r="I1420">
        <v>0.06</v>
      </c>
      <c r="J1420">
        <f t="shared" si="709"/>
        <v>1.0010000000002037</v>
      </c>
      <c r="K1420">
        <f t="shared" ca="1" si="710"/>
        <v>50.95</v>
      </c>
      <c r="L1420">
        <f t="shared" ca="1" si="711"/>
        <v>2.1389677043987478</v>
      </c>
      <c r="M1420">
        <f t="shared" ca="1" si="684"/>
        <v>11.122632062873489</v>
      </c>
      <c r="N1420">
        <f t="shared" ca="1" si="685"/>
        <v>1.1735290000551568</v>
      </c>
      <c r="O1420">
        <f t="shared" ca="1" si="686"/>
        <v>4.5807502857230418</v>
      </c>
      <c r="P1420">
        <f t="shared" ca="1" si="687"/>
        <v>634.02346770439874</v>
      </c>
      <c r="Q1420">
        <f t="shared" ca="1" si="688"/>
        <v>635.09295155659811</v>
      </c>
      <c r="R1420">
        <f t="shared" ca="1" si="689"/>
        <v>3.8141460404132466E-3</v>
      </c>
      <c r="S1420">
        <f t="shared" ca="1" si="690"/>
        <v>1.0000000000000004</v>
      </c>
      <c r="T1420">
        <f t="shared" ca="1" si="691"/>
        <v>35.686426155594638</v>
      </c>
      <c r="U1420">
        <f t="shared" ca="1" si="712"/>
        <v>-3.4249085716737682E-3</v>
      </c>
      <c r="V1420">
        <f t="shared" ca="1" si="713"/>
        <v>1</v>
      </c>
      <c r="W1420">
        <f t="shared" ca="1" si="692"/>
        <v>1.6812012600739223</v>
      </c>
      <c r="X1420">
        <f t="shared" ca="1" si="693"/>
        <v>8.7422465523843957</v>
      </c>
      <c r="Y1420">
        <f t="shared" ca="1" si="694"/>
        <v>1.0210039217162901</v>
      </c>
      <c r="Z1420">
        <f t="shared" ca="1" si="695"/>
        <v>5.8280214009868772</v>
      </c>
      <c r="AA1420">
        <f t="shared" ca="1" si="696"/>
        <v>633.56570126007398</v>
      </c>
      <c r="AB1420">
        <f t="shared" ca="1" si="697"/>
        <v>635.29688543185591</v>
      </c>
      <c r="AC1420">
        <f t="shared" ca="1" si="698"/>
        <v>7.4334127264669867E-3</v>
      </c>
      <c r="AD1420">
        <f t="shared" ca="1" si="699"/>
        <v>1.4350822100541263</v>
      </c>
      <c r="AE1420">
        <f t="shared" ca="1" si="700"/>
        <v>37.617615674478415</v>
      </c>
      <c r="AF1420">
        <f t="shared" ca="1" si="701"/>
        <v>7.0978752227119912E-3</v>
      </c>
      <c r="AG1420">
        <f t="shared" ca="1" si="702"/>
        <v>0</v>
      </c>
      <c r="AH1420">
        <f ca="1">IFERROR(IF(V32="Supercritical",MAX($D$16,IFERROR(L1420,MAX($D$16,POWER((ABS(K1420)^2)/($I$5*MAX(F1420,0.1)^2),1/3)))),IF(V32="Subcritical",MAX($D$16,IFERROR(W1420,MAX($D$16,POWER((ABS(K1420)^2)/($I$5*MAX(F1420,0.1)^2),1/3)))),IF(AND(IFERROR(V1420,0)=1,IFERROR(AG1420,0)=1),IF(IFERROR(T1420,-1E+99)&gt;=IFERROR(AE1420,-1E+99),MAX($D$16,IFERROR(L1420,MAX($D$16,POWER((ABS(K1420)^2)/($I$5*MAX(F1420,0.1)^2),1/3)))),MAX($D$16,IFERROR(W1420,MAX($D$16,POWER((ABS(K1420)^2)/($I$5*MAX(F1420,0.1)^2),1/3))))),IF(IFERROR(V1420,0)=1,MAX($D$16,IFERROR(L1420,MAX($D$16,POWER((ABS(K1420)^2)/($I$5*MAX(F1420,0.1)^2),1/3)))),IF(IFERROR(AG1420,0)=1,MAX($D$16,IFERROR(W1420,MAX($D$16,POWER((ABS(K1420)^2)/($I$5*MAX(F1420,0.1)^2),1/3)))),MAX($D$16,POWER((ABS(K1420)^2)/($I$5*MAX(F1420,0.1)^2),1/3))))))),MAX($D$16,POWER((ABS(K1420)^2)/($I$5*MAX(F1420,0.1)^2),1/3)))</f>
        <v>2.1389677043987478</v>
      </c>
      <c r="AI1420">
        <f t="shared" ca="1" si="703"/>
        <v>634.02346770439874</v>
      </c>
      <c r="AJ1420">
        <f t="shared" ca="1" si="704"/>
        <v>635.09295155659811</v>
      </c>
      <c r="AM1420">
        <v>0</v>
      </c>
      <c r="AN1420">
        <v>0</v>
      </c>
      <c r="AO1420">
        <f t="shared" si="705"/>
        <v>0</v>
      </c>
      <c r="AP1420">
        <f t="shared" si="714"/>
        <v>0</v>
      </c>
      <c r="AQ1420">
        <f t="shared" ca="1" si="706"/>
        <v>1.0000000000000004</v>
      </c>
      <c r="AR1420" t="str">
        <f t="shared" ca="1" si="707"/>
        <v>Supercritical</v>
      </c>
      <c r="AS1420">
        <f t="shared" ca="1" si="708"/>
        <v>3.8141460404132466E-3</v>
      </c>
    </row>
    <row r="1421" spans="1:45" x14ac:dyDescent="0.35">
      <c r="A1421">
        <v>1360</v>
      </c>
      <c r="B1421">
        <v>1358.9960000000001</v>
      </c>
      <c r="C1421">
        <v>616066.12199999997</v>
      </c>
      <c r="D1421">
        <v>3096648.3769999999</v>
      </c>
      <c r="E1421">
        <v>631.88400000000001</v>
      </c>
      <c r="F1421">
        <v>5.2</v>
      </c>
      <c r="G1421">
        <v>0</v>
      </c>
      <c r="H1421" t="s">
        <v>154</v>
      </c>
      <c r="I1421">
        <v>5.7000000000000002E-2</v>
      </c>
      <c r="J1421">
        <f t="shared" si="709"/>
        <v>1</v>
      </c>
      <c r="K1421">
        <f t="shared" ca="1" si="710"/>
        <v>50.95</v>
      </c>
      <c r="L1421">
        <f t="shared" ca="1" si="711"/>
        <v>2.1389677043987478</v>
      </c>
      <c r="M1421">
        <f t="shared" ca="1" si="684"/>
        <v>11.122632062873489</v>
      </c>
      <c r="N1421">
        <f t="shared" ca="1" si="685"/>
        <v>1.1735290000551568</v>
      </c>
      <c r="O1421">
        <f t="shared" ca="1" si="686"/>
        <v>4.5807502857230418</v>
      </c>
      <c r="P1421">
        <f t="shared" ca="1" si="687"/>
        <v>634.02296770439875</v>
      </c>
      <c r="Q1421">
        <f t="shared" ca="1" si="688"/>
        <v>635.09245155659812</v>
      </c>
      <c r="R1421">
        <f t="shared" ca="1" si="689"/>
        <v>3.8141460404132466E-3</v>
      </c>
      <c r="S1421">
        <f t="shared" ca="1" si="690"/>
        <v>1.0000000000000004</v>
      </c>
      <c r="T1421">
        <f t="shared" ca="1" si="691"/>
        <v>35.686426155594638</v>
      </c>
      <c r="U1421">
        <f t="shared" ca="1" si="712"/>
        <v>-3.4157470064428708E-3</v>
      </c>
      <c r="V1421">
        <f t="shared" ca="1" si="713"/>
        <v>1</v>
      </c>
      <c r="W1421">
        <f t="shared" ca="1" si="692"/>
        <v>1.6812012600738542</v>
      </c>
      <c r="X1421">
        <f t="shared" ca="1" si="693"/>
        <v>8.7422465523840422</v>
      </c>
      <c r="Y1421">
        <f t="shared" ca="1" si="694"/>
        <v>1.0210039217162652</v>
      </c>
      <c r="Z1421">
        <f t="shared" ca="1" si="695"/>
        <v>5.8280214009871125</v>
      </c>
      <c r="AA1421">
        <f t="shared" ca="1" si="696"/>
        <v>633.56520126007388</v>
      </c>
      <c r="AB1421">
        <f t="shared" ca="1" si="697"/>
        <v>635.29638543185592</v>
      </c>
      <c r="AC1421">
        <f t="shared" ca="1" si="698"/>
        <v>7.433412726467829E-3</v>
      </c>
      <c r="AD1421">
        <f t="shared" ca="1" si="699"/>
        <v>1.4350822100542131</v>
      </c>
      <c r="AE1421">
        <f t="shared" ca="1" si="700"/>
        <v>37.617615674479048</v>
      </c>
      <c r="AF1421">
        <f t="shared" ca="1" si="701"/>
        <v>6.9334127264255585E-3</v>
      </c>
      <c r="AG1421">
        <f t="shared" ca="1" si="702"/>
        <v>0</v>
      </c>
      <c r="AH1421">
        <f ca="1">IFERROR(IF(V32="Supercritical",MAX($D$16,IFERROR(L1421,MAX($D$16,POWER((ABS(K1421)^2)/($I$5*MAX(F1421,0.1)^2),1/3)))),IF(V32="Subcritical",MAX($D$16,IFERROR(W1421,MAX($D$16,POWER((ABS(K1421)^2)/($I$5*MAX(F1421,0.1)^2),1/3)))),IF(AND(IFERROR(V1421,0)=1,IFERROR(AG1421,0)=1),IF(IFERROR(T1421,-1E+99)&gt;=IFERROR(AE1421,-1E+99),MAX($D$16,IFERROR(L1421,MAX($D$16,POWER((ABS(K1421)^2)/($I$5*MAX(F1421,0.1)^2),1/3)))),MAX($D$16,IFERROR(W1421,MAX($D$16,POWER((ABS(K1421)^2)/($I$5*MAX(F1421,0.1)^2),1/3))))),IF(IFERROR(V1421,0)=1,MAX($D$16,IFERROR(L1421,MAX($D$16,POWER((ABS(K1421)^2)/($I$5*MAX(F1421,0.1)^2),1/3)))),IF(IFERROR(AG1421,0)=1,MAX($D$16,IFERROR(W1421,MAX($D$16,POWER((ABS(K1421)^2)/($I$5*MAX(F1421,0.1)^2),1/3)))),MAX($D$16,POWER((ABS(K1421)^2)/($I$5*MAX(F1421,0.1)^2),1/3))))))),MAX($D$16,POWER((ABS(K1421)^2)/($I$5*MAX(F1421,0.1)^2),1/3)))</f>
        <v>2.1389677043987478</v>
      </c>
      <c r="AI1421">
        <f t="shared" ca="1" si="703"/>
        <v>634.02296770439875</v>
      </c>
      <c r="AJ1421">
        <f t="shared" ca="1" si="704"/>
        <v>635.09245155659812</v>
      </c>
      <c r="AM1421">
        <v>0</v>
      </c>
      <c r="AN1421">
        <v>0</v>
      </c>
      <c r="AO1421">
        <f t="shared" si="705"/>
        <v>0</v>
      </c>
      <c r="AP1421">
        <f t="shared" si="714"/>
        <v>0</v>
      </c>
      <c r="AQ1421">
        <f t="shared" ca="1" si="706"/>
        <v>1.0000000000000004</v>
      </c>
      <c r="AR1421" t="str">
        <f t="shared" ca="1" si="707"/>
        <v>Supercritical</v>
      </c>
      <c r="AS1421">
        <f t="shared" ca="1" si="708"/>
        <v>3.8141460404132466E-3</v>
      </c>
    </row>
    <row r="1422" spans="1:45" x14ac:dyDescent="0.35">
      <c r="A1422">
        <v>1361</v>
      </c>
      <c r="B1422">
        <v>1359.9960000000001</v>
      </c>
      <c r="C1422">
        <v>616066.07999999996</v>
      </c>
      <c r="D1422">
        <v>3096647.378</v>
      </c>
      <c r="E1422">
        <v>631.88350000000003</v>
      </c>
      <c r="F1422">
        <v>5.2</v>
      </c>
      <c r="G1422">
        <v>0</v>
      </c>
      <c r="H1422" t="s">
        <v>154</v>
      </c>
      <c r="I1422">
        <v>0</v>
      </c>
      <c r="J1422">
        <f t="shared" si="709"/>
        <v>1</v>
      </c>
      <c r="K1422">
        <f t="shared" ca="1" si="710"/>
        <v>50.95</v>
      </c>
      <c r="L1422">
        <f t="shared" ca="1" si="711"/>
        <v>2.1389677043987478</v>
      </c>
      <c r="M1422">
        <f t="shared" ca="1" si="684"/>
        <v>11.122632062873489</v>
      </c>
      <c r="N1422">
        <f t="shared" ca="1" si="685"/>
        <v>1.1735290000551568</v>
      </c>
      <c r="O1422">
        <f t="shared" ca="1" si="686"/>
        <v>4.5807502857230418</v>
      </c>
      <c r="P1422">
        <f t="shared" ca="1" si="687"/>
        <v>634.02246770439876</v>
      </c>
      <c r="Q1422">
        <f t="shared" ca="1" si="688"/>
        <v>635.09195155659813</v>
      </c>
      <c r="R1422">
        <f t="shared" ca="1" si="689"/>
        <v>3.8141460404132466E-3</v>
      </c>
      <c r="S1422">
        <f t="shared" ca="1" si="690"/>
        <v>1.0000000000000004</v>
      </c>
      <c r="T1422">
        <f t="shared" ca="1" si="691"/>
        <v>35.686426155594638</v>
      </c>
      <c r="U1422">
        <f t="shared" ca="1" si="712"/>
        <v>-3.3141460404522149E-3</v>
      </c>
      <c r="V1422">
        <f t="shared" ca="1" si="713"/>
        <v>1</v>
      </c>
      <c r="W1422">
        <f t="shared" ca="1" si="692"/>
        <v>1.681201260073786</v>
      </c>
      <c r="X1422">
        <f t="shared" ca="1" si="693"/>
        <v>8.742246552383687</v>
      </c>
      <c r="Y1422">
        <f t="shared" ca="1" si="694"/>
        <v>1.0210039217162399</v>
      </c>
      <c r="Z1422">
        <f t="shared" ca="1" si="695"/>
        <v>5.8280214009873497</v>
      </c>
      <c r="AA1422">
        <f t="shared" ca="1" si="696"/>
        <v>633.56470126007378</v>
      </c>
      <c r="AB1422">
        <f t="shared" ca="1" si="697"/>
        <v>635.29588543185594</v>
      </c>
      <c r="AC1422">
        <f t="shared" ca="1" si="698"/>
        <v>7.433412726468679E-3</v>
      </c>
      <c r="AD1422">
        <f t="shared" ca="1" si="699"/>
        <v>1.4350822100543008</v>
      </c>
      <c r="AE1422">
        <f t="shared" ca="1" si="700"/>
        <v>37.61761567447968</v>
      </c>
      <c r="AF1422">
        <f t="shared" ca="1" si="701"/>
        <v>7.0978752227119912E-3</v>
      </c>
      <c r="AG1422">
        <f t="shared" ca="1" si="702"/>
        <v>0</v>
      </c>
      <c r="AH1422">
        <f ca="1">IFERROR(IF(V32="Supercritical",MAX($D$16,IFERROR(L1422,MAX($D$16,POWER((ABS(K1422)^2)/($I$5*MAX(F1422,0.1)^2),1/3)))),IF(V32="Subcritical",MAX($D$16,IFERROR(W1422,MAX($D$16,POWER((ABS(K1422)^2)/($I$5*MAX(F1422,0.1)^2),1/3)))),IF(AND(IFERROR(V1422,0)=1,IFERROR(AG1422,0)=1),IF(IFERROR(T1422,-1E+99)&gt;=IFERROR(AE1422,-1E+99),MAX($D$16,IFERROR(L1422,MAX($D$16,POWER((ABS(K1422)^2)/($I$5*MAX(F1422,0.1)^2),1/3)))),MAX($D$16,IFERROR(W1422,MAX($D$16,POWER((ABS(K1422)^2)/($I$5*MAX(F1422,0.1)^2),1/3))))),IF(IFERROR(V1422,0)=1,MAX($D$16,IFERROR(L1422,MAX($D$16,POWER((ABS(K1422)^2)/($I$5*MAX(F1422,0.1)^2),1/3)))),IF(IFERROR(AG1422,0)=1,MAX($D$16,IFERROR(W1422,MAX($D$16,POWER((ABS(K1422)^2)/($I$5*MAX(F1422,0.1)^2),1/3)))),MAX($D$16,POWER((ABS(K1422)^2)/($I$5*MAX(F1422,0.1)^2),1/3))))))),MAX($D$16,POWER((ABS(K1422)^2)/($I$5*MAX(F1422,0.1)^2),1/3)))</f>
        <v>2.1389677043987478</v>
      </c>
      <c r="AI1422">
        <f t="shared" ca="1" si="703"/>
        <v>634.02246770439876</v>
      </c>
      <c r="AJ1422">
        <f t="shared" ca="1" si="704"/>
        <v>635.09195155659813</v>
      </c>
      <c r="AM1422">
        <v>0</v>
      </c>
      <c r="AN1422">
        <v>0</v>
      </c>
      <c r="AO1422">
        <f t="shared" si="705"/>
        <v>0</v>
      </c>
      <c r="AP1422">
        <f t="shared" si="714"/>
        <v>0</v>
      </c>
      <c r="AQ1422">
        <f t="shared" ca="1" si="706"/>
        <v>1.0000000000000004</v>
      </c>
      <c r="AR1422" t="str">
        <f t="shared" ca="1" si="707"/>
        <v>Supercritical</v>
      </c>
      <c r="AS1422">
        <f t="shared" ca="1" si="708"/>
        <v>3.8141460404132466E-3</v>
      </c>
    </row>
    <row r="1423" spans="1:45" x14ac:dyDescent="0.35">
      <c r="A1423">
        <v>1362</v>
      </c>
      <c r="B1423">
        <v>1360.9960000000001</v>
      </c>
      <c r="C1423">
        <v>616066.03799999994</v>
      </c>
      <c r="D1423">
        <v>3096646.3790000002</v>
      </c>
      <c r="E1423">
        <v>631.88300000000004</v>
      </c>
      <c r="F1423">
        <v>5.2</v>
      </c>
      <c r="G1423">
        <v>0</v>
      </c>
      <c r="H1423" t="s">
        <v>154</v>
      </c>
      <c r="I1423">
        <v>5.7000000000000002E-2</v>
      </c>
      <c r="J1423">
        <f t="shared" si="709"/>
        <v>1</v>
      </c>
      <c r="K1423">
        <f t="shared" ca="1" si="710"/>
        <v>50.95</v>
      </c>
      <c r="L1423">
        <f t="shared" ca="1" si="711"/>
        <v>2.1389677043987478</v>
      </c>
      <c r="M1423">
        <f t="shared" ca="1" si="684"/>
        <v>11.122632062873489</v>
      </c>
      <c r="N1423">
        <f t="shared" ca="1" si="685"/>
        <v>1.1735290000551568</v>
      </c>
      <c r="O1423">
        <f t="shared" ca="1" si="686"/>
        <v>4.5807502857230418</v>
      </c>
      <c r="P1423">
        <f t="shared" ca="1" si="687"/>
        <v>634.02196770439878</v>
      </c>
      <c r="Q1423">
        <f t="shared" ca="1" si="688"/>
        <v>635.09145155659814</v>
      </c>
      <c r="R1423">
        <f t="shared" ca="1" si="689"/>
        <v>3.8141460404132466E-3</v>
      </c>
      <c r="S1423">
        <f t="shared" ca="1" si="690"/>
        <v>1.0000000000000004</v>
      </c>
      <c r="T1423">
        <f t="shared" ca="1" si="691"/>
        <v>35.686426155594638</v>
      </c>
      <c r="U1423">
        <f t="shared" ca="1" si="712"/>
        <v>-3.4157470064428708E-3</v>
      </c>
      <c r="V1423">
        <f t="shared" ca="1" si="713"/>
        <v>1</v>
      </c>
      <c r="W1423">
        <f t="shared" ca="1" si="692"/>
        <v>1.6812012600737007</v>
      </c>
      <c r="X1423">
        <f t="shared" ca="1" si="693"/>
        <v>8.7422465523832447</v>
      </c>
      <c r="Y1423">
        <f t="shared" ca="1" si="694"/>
        <v>1.0210039217162086</v>
      </c>
      <c r="Z1423">
        <f t="shared" ca="1" si="695"/>
        <v>5.8280214009876445</v>
      </c>
      <c r="AA1423">
        <f t="shared" ca="1" si="696"/>
        <v>633.56420126007379</v>
      </c>
      <c r="AB1423">
        <f t="shared" ca="1" si="697"/>
        <v>635.29538543185618</v>
      </c>
      <c r="AC1423">
        <f t="shared" ca="1" si="698"/>
        <v>7.4334127264697363E-3</v>
      </c>
      <c r="AD1423">
        <f t="shared" ca="1" si="699"/>
        <v>1.4350822100544098</v>
      </c>
      <c r="AE1423">
        <f t="shared" ca="1" si="700"/>
        <v>37.617615674480469</v>
      </c>
      <c r="AF1423">
        <f t="shared" ca="1" si="701"/>
        <v>7.0978752227119912E-3</v>
      </c>
      <c r="AG1423">
        <f t="shared" ca="1" si="702"/>
        <v>0</v>
      </c>
      <c r="AH1423">
        <f ca="1">IFERROR(IF(V32="Supercritical",MAX($D$16,IFERROR(L1423,MAX($D$16,POWER((ABS(K1423)^2)/($I$5*MAX(F1423,0.1)^2),1/3)))),IF(V32="Subcritical",MAX($D$16,IFERROR(W1423,MAX($D$16,POWER((ABS(K1423)^2)/($I$5*MAX(F1423,0.1)^2),1/3)))),IF(AND(IFERROR(V1423,0)=1,IFERROR(AG1423,0)=1),IF(IFERROR(T1423,-1E+99)&gt;=IFERROR(AE1423,-1E+99),MAX($D$16,IFERROR(L1423,MAX($D$16,POWER((ABS(K1423)^2)/($I$5*MAX(F1423,0.1)^2),1/3)))),MAX($D$16,IFERROR(W1423,MAX($D$16,POWER((ABS(K1423)^2)/($I$5*MAX(F1423,0.1)^2),1/3))))),IF(IFERROR(V1423,0)=1,MAX($D$16,IFERROR(L1423,MAX($D$16,POWER((ABS(K1423)^2)/($I$5*MAX(F1423,0.1)^2),1/3)))),IF(IFERROR(AG1423,0)=1,MAX($D$16,IFERROR(W1423,MAX($D$16,POWER((ABS(K1423)^2)/($I$5*MAX(F1423,0.1)^2),1/3)))),MAX($D$16,POWER((ABS(K1423)^2)/($I$5*MAX(F1423,0.1)^2),1/3))))))),MAX($D$16,POWER((ABS(K1423)^2)/($I$5*MAX(F1423,0.1)^2),1/3)))</f>
        <v>2.1389677043987478</v>
      </c>
      <c r="AI1423">
        <f t="shared" ca="1" si="703"/>
        <v>634.02196770439878</v>
      </c>
      <c r="AJ1423">
        <f t="shared" ca="1" si="704"/>
        <v>635.09145155659814</v>
      </c>
      <c r="AM1423">
        <v>0</v>
      </c>
      <c r="AN1423">
        <v>0</v>
      </c>
      <c r="AO1423">
        <f t="shared" si="705"/>
        <v>0</v>
      </c>
      <c r="AP1423">
        <f t="shared" si="714"/>
        <v>0</v>
      </c>
      <c r="AQ1423">
        <f t="shared" ca="1" si="706"/>
        <v>1.0000000000000004</v>
      </c>
      <c r="AR1423" t="str">
        <f t="shared" ca="1" si="707"/>
        <v>Supercritical</v>
      </c>
      <c r="AS1423">
        <f t="shared" ca="1" si="708"/>
        <v>3.8141460404132466E-3</v>
      </c>
    </row>
    <row r="1424" spans="1:45" x14ac:dyDescent="0.35">
      <c r="A1424">
        <v>1363</v>
      </c>
      <c r="B1424">
        <v>1361.9960000000001</v>
      </c>
      <c r="C1424">
        <v>616065.995</v>
      </c>
      <c r="D1424">
        <v>3096645.38</v>
      </c>
      <c r="E1424">
        <v>631.88250000000005</v>
      </c>
      <c r="F1424">
        <v>5.2</v>
      </c>
      <c r="G1424">
        <v>0</v>
      </c>
      <c r="H1424" t="s">
        <v>154</v>
      </c>
      <c r="I1424">
        <v>5.7000000000000002E-2</v>
      </c>
      <c r="J1424">
        <f t="shared" si="709"/>
        <v>1</v>
      </c>
      <c r="K1424">
        <f t="shared" ca="1" si="710"/>
        <v>50.95</v>
      </c>
      <c r="L1424">
        <f t="shared" ca="1" si="711"/>
        <v>2.1389677043987478</v>
      </c>
      <c r="M1424">
        <f t="shared" ca="1" si="684"/>
        <v>11.122632062873489</v>
      </c>
      <c r="N1424">
        <f t="shared" ca="1" si="685"/>
        <v>1.1735290000551568</v>
      </c>
      <c r="O1424">
        <f t="shared" ca="1" si="686"/>
        <v>4.5807502857230418</v>
      </c>
      <c r="P1424">
        <f t="shared" ca="1" si="687"/>
        <v>634.02146770439879</v>
      </c>
      <c r="Q1424">
        <f t="shared" ca="1" si="688"/>
        <v>635.09095155659816</v>
      </c>
      <c r="R1424">
        <f t="shared" ca="1" si="689"/>
        <v>3.8141460404132466E-3</v>
      </c>
      <c r="S1424">
        <f t="shared" ca="1" si="690"/>
        <v>1.0000000000000004</v>
      </c>
      <c r="T1424">
        <f t="shared" ca="1" si="691"/>
        <v>35.686426155594638</v>
      </c>
      <c r="U1424">
        <f t="shared" ca="1" si="712"/>
        <v>-3.4157470064428708E-3</v>
      </c>
      <c r="V1424">
        <f t="shared" ca="1" si="713"/>
        <v>1</v>
      </c>
      <c r="W1424">
        <f t="shared" ca="1" si="692"/>
        <v>1.6812012600736497</v>
      </c>
      <c r="X1424">
        <f t="shared" ca="1" si="693"/>
        <v>8.7422465523829782</v>
      </c>
      <c r="Y1424">
        <f t="shared" ca="1" si="694"/>
        <v>1.0210039217161895</v>
      </c>
      <c r="Z1424">
        <f t="shared" ca="1" si="695"/>
        <v>5.8280214009878222</v>
      </c>
      <c r="AA1424">
        <f t="shared" ca="1" si="696"/>
        <v>633.56370126007369</v>
      </c>
      <c r="AB1424">
        <f t="shared" ca="1" si="697"/>
        <v>635.29488543185619</v>
      </c>
      <c r="AC1424">
        <f t="shared" ca="1" si="698"/>
        <v>7.4334127264703729E-3</v>
      </c>
      <c r="AD1424">
        <f t="shared" ca="1" si="699"/>
        <v>1.4350822100544751</v>
      </c>
      <c r="AE1424">
        <f t="shared" ca="1" si="700"/>
        <v>37.617615674480945</v>
      </c>
      <c r="AF1424">
        <f t="shared" ca="1" si="701"/>
        <v>6.9334127263118717E-3</v>
      </c>
      <c r="AG1424">
        <f t="shared" ca="1" si="702"/>
        <v>0</v>
      </c>
      <c r="AH1424">
        <f ca="1">IFERROR(IF(V32="Supercritical",MAX($D$16,IFERROR(L1424,MAX($D$16,POWER((ABS(K1424)^2)/($I$5*MAX(F1424,0.1)^2),1/3)))),IF(V32="Subcritical",MAX($D$16,IFERROR(W1424,MAX($D$16,POWER((ABS(K1424)^2)/($I$5*MAX(F1424,0.1)^2),1/3)))),IF(AND(IFERROR(V1424,0)=1,IFERROR(AG1424,0)=1),IF(IFERROR(T1424,-1E+99)&gt;=IFERROR(AE1424,-1E+99),MAX($D$16,IFERROR(L1424,MAX($D$16,POWER((ABS(K1424)^2)/($I$5*MAX(F1424,0.1)^2),1/3)))),MAX($D$16,IFERROR(W1424,MAX($D$16,POWER((ABS(K1424)^2)/($I$5*MAX(F1424,0.1)^2),1/3))))),IF(IFERROR(V1424,0)=1,MAX($D$16,IFERROR(L1424,MAX($D$16,POWER((ABS(K1424)^2)/($I$5*MAX(F1424,0.1)^2),1/3)))),IF(IFERROR(AG1424,0)=1,MAX($D$16,IFERROR(W1424,MAX($D$16,POWER((ABS(K1424)^2)/($I$5*MAX(F1424,0.1)^2),1/3)))),MAX($D$16,POWER((ABS(K1424)^2)/($I$5*MAX(F1424,0.1)^2),1/3))))))),MAX($D$16,POWER((ABS(K1424)^2)/($I$5*MAX(F1424,0.1)^2),1/3)))</f>
        <v>2.1389677043987478</v>
      </c>
      <c r="AI1424">
        <f t="shared" ca="1" si="703"/>
        <v>634.02146770439879</v>
      </c>
      <c r="AJ1424">
        <f t="shared" ca="1" si="704"/>
        <v>635.09095155659816</v>
      </c>
      <c r="AM1424">
        <v>0</v>
      </c>
      <c r="AN1424">
        <v>0</v>
      </c>
      <c r="AO1424">
        <f t="shared" si="705"/>
        <v>0</v>
      </c>
      <c r="AP1424">
        <f t="shared" si="714"/>
        <v>0</v>
      </c>
      <c r="AQ1424">
        <f t="shared" ca="1" si="706"/>
        <v>1.0000000000000004</v>
      </c>
      <c r="AR1424" t="str">
        <f t="shared" ca="1" si="707"/>
        <v>Supercritical</v>
      </c>
      <c r="AS1424">
        <f t="shared" ca="1" si="708"/>
        <v>3.8141460404132466E-3</v>
      </c>
    </row>
    <row r="1425" spans="1:45" x14ac:dyDescent="0.35">
      <c r="A1425">
        <v>1364</v>
      </c>
      <c r="B1425">
        <v>1362.9960000000001</v>
      </c>
      <c r="C1425">
        <v>616065.95299999998</v>
      </c>
      <c r="D1425">
        <v>3096644.3810000001</v>
      </c>
      <c r="E1425">
        <v>631.88199999999995</v>
      </c>
      <c r="F1425">
        <v>5.2</v>
      </c>
      <c r="G1425">
        <v>0</v>
      </c>
      <c r="H1425" t="s">
        <v>154</v>
      </c>
      <c r="I1425">
        <v>0</v>
      </c>
      <c r="J1425">
        <f t="shared" si="709"/>
        <v>1</v>
      </c>
      <c r="K1425">
        <f t="shared" ca="1" si="710"/>
        <v>50.95</v>
      </c>
      <c r="L1425">
        <f t="shared" ca="1" si="711"/>
        <v>2.1389677043987478</v>
      </c>
      <c r="M1425">
        <f t="shared" ca="1" si="684"/>
        <v>11.122632062873489</v>
      </c>
      <c r="N1425">
        <f t="shared" ca="1" si="685"/>
        <v>1.1735290000551568</v>
      </c>
      <c r="O1425">
        <f t="shared" ca="1" si="686"/>
        <v>4.5807502857230418</v>
      </c>
      <c r="P1425">
        <f t="shared" ca="1" si="687"/>
        <v>634.02096770439869</v>
      </c>
      <c r="Q1425">
        <f t="shared" ca="1" si="688"/>
        <v>635.09045155659805</v>
      </c>
      <c r="R1425">
        <f t="shared" ca="1" si="689"/>
        <v>3.8141460404132466E-3</v>
      </c>
      <c r="S1425">
        <f t="shared" ca="1" si="690"/>
        <v>1.0000000000000004</v>
      </c>
      <c r="T1425">
        <f t="shared" ca="1" si="691"/>
        <v>35.686426155594638</v>
      </c>
      <c r="U1425">
        <f t="shared" ca="1" si="712"/>
        <v>-3.3141460403385281E-3</v>
      </c>
      <c r="V1425">
        <f t="shared" ca="1" si="713"/>
        <v>1</v>
      </c>
      <c r="W1425">
        <f t="shared" ca="1" si="692"/>
        <v>1.6812012600735986</v>
      </c>
      <c r="X1425">
        <f t="shared" ca="1" si="693"/>
        <v>8.7422465523827135</v>
      </c>
      <c r="Y1425">
        <f t="shared" ca="1" si="694"/>
        <v>1.021003921716171</v>
      </c>
      <c r="Z1425">
        <f t="shared" ca="1" si="695"/>
        <v>5.8280214009879989</v>
      </c>
      <c r="AA1425">
        <f t="shared" ca="1" si="696"/>
        <v>633.56320126007358</v>
      </c>
      <c r="AB1425">
        <f t="shared" ca="1" si="697"/>
        <v>635.2943854318562</v>
      </c>
      <c r="AC1425">
        <f t="shared" ca="1" si="698"/>
        <v>7.4334127264710044E-3</v>
      </c>
      <c r="AD1425">
        <f t="shared" ca="1" si="699"/>
        <v>1.4350822100545406</v>
      </c>
      <c r="AE1425">
        <f t="shared" ca="1" si="700"/>
        <v>37.617615674481414</v>
      </c>
      <c r="AF1425">
        <f t="shared" ca="1" si="701"/>
        <v>6.9334127265392453E-3</v>
      </c>
      <c r="AG1425">
        <f t="shared" ca="1" si="702"/>
        <v>0</v>
      </c>
      <c r="AH1425">
        <f ca="1">IFERROR(IF(V32="Supercritical",MAX($D$16,IFERROR(L1425,MAX($D$16,POWER((ABS(K1425)^2)/($I$5*MAX(F1425,0.1)^2),1/3)))),IF(V32="Subcritical",MAX($D$16,IFERROR(W1425,MAX($D$16,POWER((ABS(K1425)^2)/($I$5*MAX(F1425,0.1)^2),1/3)))),IF(AND(IFERROR(V1425,0)=1,IFERROR(AG1425,0)=1),IF(IFERROR(T1425,-1E+99)&gt;=IFERROR(AE1425,-1E+99),MAX($D$16,IFERROR(L1425,MAX($D$16,POWER((ABS(K1425)^2)/($I$5*MAX(F1425,0.1)^2),1/3)))),MAX($D$16,IFERROR(W1425,MAX($D$16,POWER((ABS(K1425)^2)/($I$5*MAX(F1425,0.1)^2),1/3))))),IF(IFERROR(V1425,0)=1,MAX($D$16,IFERROR(L1425,MAX($D$16,POWER((ABS(K1425)^2)/($I$5*MAX(F1425,0.1)^2),1/3)))),IF(IFERROR(AG1425,0)=1,MAX($D$16,IFERROR(W1425,MAX($D$16,POWER((ABS(K1425)^2)/($I$5*MAX(F1425,0.1)^2),1/3)))),MAX($D$16,POWER((ABS(K1425)^2)/($I$5*MAX(F1425,0.1)^2),1/3))))))),MAX($D$16,POWER((ABS(K1425)^2)/($I$5*MAX(F1425,0.1)^2),1/3)))</f>
        <v>2.1389677043987478</v>
      </c>
      <c r="AI1425">
        <f t="shared" ca="1" si="703"/>
        <v>634.02096770439869</v>
      </c>
      <c r="AJ1425">
        <f t="shared" ca="1" si="704"/>
        <v>635.09045155659805</v>
      </c>
      <c r="AM1425">
        <v>0</v>
      </c>
      <c r="AN1425">
        <v>0</v>
      </c>
      <c r="AO1425">
        <f t="shared" si="705"/>
        <v>0</v>
      </c>
      <c r="AP1425">
        <f t="shared" si="714"/>
        <v>0</v>
      </c>
      <c r="AQ1425">
        <f t="shared" ca="1" si="706"/>
        <v>1.0000000000000004</v>
      </c>
      <c r="AR1425" t="str">
        <f t="shared" ca="1" si="707"/>
        <v>Supercritical</v>
      </c>
      <c r="AS1425">
        <f t="shared" ca="1" si="708"/>
        <v>3.8141460404132466E-3</v>
      </c>
    </row>
    <row r="1426" spans="1:45" x14ac:dyDescent="0.35">
      <c r="A1426">
        <v>1365</v>
      </c>
      <c r="B1426">
        <v>1363.9960000000001</v>
      </c>
      <c r="C1426">
        <v>616065.91099999996</v>
      </c>
      <c r="D1426">
        <v>3096643.3820000002</v>
      </c>
      <c r="E1426">
        <v>631.88149999999996</v>
      </c>
      <c r="F1426">
        <v>5.2</v>
      </c>
      <c r="G1426">
        <v>0</v>
      </c>
      <c r="H1426" t="s">
        <v>154</v>
      </c>
      <c r="I1426">
        <v>0</v>
      </c>
      <c r="J1426">
        <f t="shared" si="709"/>
        <v>1</v>
      </c>
      <c r="K1426">
        <f t="shared" ca="1" si="710"/>
        <v>50.95</v>
      </c>
      <c r="L1426">
        <f t="shared" ca="1" si="711"/>
        <v>2.1389677043987478</v>
      </c>
      <c r="M1426">
        <f t="shared" ca="1" si="684"/>
        <v>11.122632062873489</v>
      </c>
      <c r="N1426">
        <f t="shared" ca="1" si="685"/>
        <v>1.1735290000551568</v>
      </c>
      <c r="O1426">
        <f t="shared" ca="1" si="686"/>
        <v>4.5807502857230418</v>
      </c>
      <c r="P1426">
        <f t="shared" ca="1" si="687"/>
        <v>634.0204677043987</v>
      </c>
      <c r="Q1426">
        <f t="shared" ca="1" si="688"/>
        <v>635.08995155659807</v>
      </c>
      <c r="R1426">
        <f t="shared" ca="1" si="689"/>
        <v>3.8141460404132466E-3</v>
      </c>
      <c r="S1426">
        <f t="shared" ca="1" si="690"/>
        <v>1.0000000000000004</v>
      </c>
      <c r="T1426">
        <f t="shared" ca="1" si="691"/>
        <v>35.686426155594638</v>
      </c>
      <c r="U1426">
        <f t="shared" ca="1" si="712"/>
        <v>-3.3141460404522149E-3</v>
      </c>
      <c r="V1426">
        <f t="shared" ca="1" si="713"/>
        <v>1</v>
      </c>
      <c r="W1426">
        <f t="shared" ca="1" si="692"/>
        <v>1.6812012600735475</v>
      </c>
      <c r="X1426">
        <f t="shared" ca="1" si="693"/>
        <v>8.7422465523824471</v>
      </c>
      <c r="Y1426">
        <f t="shared" ca="1" si="694"/>
        <v>1.021003921716152</v>
      </c>
      <c r="Z1426">
        <f t="shared" ca="1" si="695"/>
        <v>5.8280214009881766</v>
      </c>
      <c r="AA1426">
        <f t="shared" ca="1" si="696"/>
        <v>633.56270126007348</v>
      </c>
      <c r="AB1426">
        <f t="shared" ca="1" si="697"/>
        <v>635.29388543185621</v>
      </c>
      <c r="AC1426">
        <f t="shared" ca="1" si="698"/>
        <v>7.433412726471641E-3</v>
      </c>
      <c r="AD1426">
        <f t="shared" ca="1" si="699"/>
        <v>1.4350822100546061</v>
      </c>
      <c r="AE1426">
        <f t="shared" ca="1" si="700"/>
        <v>37.61761567448189</v>
      </c>
      <c r="AF1426">
        <f t="shared" ca="1" si="701"/>
        <v>7.0904418100781186E-3</v>
      </c>
      <c r="AG1426">
        <f t="shared" ca="1" si="702"/>
        <v>0</v>
      </c>
      <c r="AH1426">
        <f ca="1">IFERROR(IF(V32="Supercritical",MAX($D$16,IFERROR(L1426,MAX($D$16,POWER((ABS(K1426)^2)/($I$5*MAX(F1426,0.1)^2),1/3)))),IF(V32="Subcritical",MAX($D$16,IFERROR(W1426,MAX($D$16,POWER((ABS(K1426)^2)/($I$5*MAX(F1426,0.1)^2),1/3)))),IF(AND(IFERROR(V1426,0)=1,IFERROR(AG1426,0)=1),IF(IFERROR(T1426,-1E+99)&gt;=IFERROR(AE1426,-1E+99),MAX($D$16,IFERROR(L1426,MAX($D$16,POWER((ABS(K1426)^2)/($I$5*MAX(F1426,0.1)^2),1/3)))),MAX($D$16,IFERROR(W1426,MAX($D$16,POWER((ABS(K1426)^2)/($I$5*MAX(F1426,0.1)^2),1/3))))),IF(IFERROR(V1426,0)=1,MAX($D$16,IFERROR(L1426,MAX($D$16,POWER((ABS(K1426)^2)/($I$5*MAX(F1426,0.1)^2),1/3)))),IF(IFERROR(AG1426,0)=1,MAX($D$16,IFERROR(W1426,MAX($D$16,POWER((ABS(K1426)^2)/($I$5*MAX(F1426,0.1)^2),1/3)))),MAX($D$16,POWER((ABS(K1426)^2)/($I$5*MAX(F1426,0.1)^2),1/3))))))),MAX($D$16,POWER((ABS(K1426)^2)/($I$5*MAX(F1426,0.1)^2),1/3)))</f>
        <v>2.1389677043987478</v>
      </c>
      <c r="AI1426">
        <f t="shared" ca="1" si="703"/>
        <v>634.0204677043987</v>
      </c>
      <c r="AJ1426">
        <f t="shared" ca="1" si="704"/>
        <v>635.08995155659807</v>
      </c>
      <c r="AM1426">
        <v>0</v>
      </c>
      <c r="AN1426">
        <v>0</v>
      </c>
      <c r="AO1426">
        <f t="shared" si="705"/>
        <v>0</v>
      </c>
      <c r="AP1426">
        <f t="shared" si="714"/>
        <v>0</v>
      </c>
      <c r="AQ1426">
        <f t="shared" ca="1" si="706"/>
        <v>1.0000000000000004</v>
      </c>
      <c r="AR1426" t="str">
        <f t="shared" ca="1" si="707"/>
        <v>Supercritical</v>
      </c>
      <c r="AS1426">
        <f t="shared" ca="1" si="708"/>
        <v>3.8141460404132466E-3</v>
      </c>
    </row>
    <row r="1427" spans="1:45" x14ac:dyDescent="0.35">
      <c r="A1427">
        <v>1366</v>
      </c>
      <c r="B1427">
        <v>1364.9949999999999</v>
      </c>
      <c r="C1427">
        <v>616065.86899999995</v>
      </c>
      <c r="D1427">
        <v>3096642.3829999999</v>
      </c>
      <c r="E1427">
        <v>631.88099999999997</v>
      </c>
      <c r="F1427">
        <v>5.2</v>
      </c>
      <c r="G1427">
        <v>0</v>
      </c>
      <c r="H1427" t="s">
        <v>154</v>
      </c>
      <c r="I1427">
        <v>5.7000000000000002E-2</v>
      </c>
      <c r="J1427">
        <f t="shared" si="709"/>
        <v>0.99899999999979627</v>
      </c>
      <c r="K1427">
        <f t="shared" ca="1" si="710"/>
        <v>50.95</v>
      </c>
      <c r="L1427">
        <f t="shared" ca="1" si="711"/>
        <v>2.1389677043987478</v>
      </c>
      <c r="M1427">
        <f t="shared" ca="1" si="684"/>
        <v>11.122632062873489</v>
      </c>
      <c r="N1427">
        <f t="shared" ca="1" si="685"/>
        <v>1.1735290000551568</v>
      </c>
      <c r="O1427">
        <f t="shared" ca="1" si="686"/>
        <v>4.5807502857230418</v>
      </c>
      <c r="P1427">
        <f t="shared" ca="1" si="687"/>
        <v>634.01996770439871</v>
      </c>
      <c r="Q1427">
        <f t="shared" ca="1" si="688"/>
        <v>635.08945155659808</v>
      </c>
      <c r="R1427">
        <f t="shared" ca="1" si="689"/>
        <v>3.8141460404132466E-3</v>
      </c>
      <c r="S1427">
        <f t="shared" ca="1" si="690"/>
        <v>1.0000000000000004</v>
      </c>
      <c r="T1427">
        <f t="shared" ca="1" si="691"/>
        <v>35.686426155594638</v>
      </c>
      <c r="U1427">
        <f t="shared" ca="1" si="712"/>
        <v>-3.411932860331035E-3</v>
      </c>
      <c r="V1427">
        <f t="shared" ca="1" si="713"/>
        <v>1</v>
      </c>
      <c r="W1427">
        <f t="shared" ca="1" si="692"/>
        <v>1.6812012600734965</v>
      </c>
      <c r="X1427">
        <f t="shared" ca="1" si="693"/>
        <v>8.7422465523821824</v>
      </c>
      <c r="Y1427">
        <f t="shared" ca="1" si="694"/>
        <v>1.0210039217161333</v>
      </c>
      <c r="Z1427">
        <f t="shared" ca="1" si="695"/>
        <v>5.8280214009883524</v>
      </c>
      <c r="AA1427">
        <f t="shared" ca="1" si="696"/>
        <v>633.56220126007349</v>
      </c>
      <c r="AB1427">
        <f t="shared" ca="1" si="697"/>
        <v>635.29338543185622</v>
      </c>
      <c r="AC1427">
        <f t="shared" ca="1" si="698"/>
        <v>7.4334127264722707E-3</v>
      </c>
      <c r="AD1427">
        <f t="shared" ca="1" si="699"/>
        <v>1.4350822100546714</v>
      </c>
      <c r="AE1427">
        <f t="shared" ca="1" si="700"/>
        <v>37.617615674482366</v>
      </c>
      <c r="AF1427">
        <f t="shared" ca="1" si="701"/>
        <v>7.0978752228256781E-3</v>
      </c>
      <c r="AG1427">
        <f t="shared" ca="1" si="702"/>
        <v>0</v>
      </c>
      <c r="AH1427">
        <f ca="1">IFERROR(IF(V32="Supercritical",MAX($D$16,IFERROR(L1427,MAX($D$16,POWER((ABS(K1427)^2)/($I$5*MAX(F1427,0.1)^2),1/3)))),IF(V32="Subcritical",MAX($D$16,IFERROR(W1427,MAX($D$16,POWER((ABS(K1427)^2)/($I$5*MAX(F1427,0.1)^2),1/3)))),IF(AND(IFERROR(V1427,0)=1,IFERROR(AG1427,0)=1),IF(IFERROR(T1427,-1E+99)&gt;=IFERROR(AE1427,-1E+99),MAX($D$16,IFERROR(L1427,MAX($D$16,POWER((ABS(K1427)^2)/($I$5*MAX(F1427,0.1)^2),1/3)))),MAX($D$16,IFERROR(W1427,MAX($D$16,POWER((ABS(K1427)^2)/($I$5*MAX(F1427,0.1)^2),1/3))))),IF(IFERROR(V1427,0)=1,MAX($D$16,IFERROR(L1427,MAX($D$16,POWER((ABS(K1427)^2)/($I$5*MAX(F1427,0.1)^2),1/3)))),IF(IFERROR(AG1427,0)=1,MAX($D$16,IFERROR(W1427,MAX($D$16,POWER((ABS(K1427)^2)/($I$5*MAX(F1427,0.1)^2),1/3)))),MAX($D$16,POWER((ABS(K1427)^2)/($I$5*MAX(F1427,0.1)^2),1/3))))))),MAX($D$16,POWER((ABS(K1427)^2)/($I$5*MAX(F1427,0.1)^2),1/3)))</f>
        <v>2.1389677043987478</v>
      </c>
      <c r="AI1427">
        <f t="shared" ca="1" si="703"/>
        <v>634.01996770439871</v>
      </c>
      <c r="AJ1427">
        <f t="shared" ca="1" si="704"/>
        <v>635.08945155659808</v>
      </c>
      <c r="AM1427">
        <v>0</v>
      </c>
      <c r="AN1427">
        <v>0</v>
      </c>
      <c r="AO1427">
        <f t="shared" si="705"/>
        <v>0</v>
      </c>
      <c r="AP1427">
        <f t="shared" si="714"/>
        <v>0</v>
      </c>
      <c r="AQ1427">
        <f t="shared" ca="1" si="706"/>
        <v>1.0000000000000004</v>
      </c>
      <c r="AR1427" t="str">
        <f t="shared" ca="1" si="707"/>
        <v>Supercritical</v>
      </c>
      <c r="AS1427">
        <f t="shared" ca="1" si="708"/>
        <v>3.8141460404132466E-3</v>
      </c>
    </row>
    <row r="1428" spans="1:45" x14ac:dyDescent="0.35">
      <c r="A1428">
        <v>1367</v>
      </c>
      <c r="B1428">
        <v>1365.9949999999999</v>
      </c>
      <c r="C1428">
        <v>616065.826</v>
      </c>
      <c r="D1428">
        <v>3096641.3840000001</v>
      </c>
      <c r="E1428">
        <v>631.88049999999998</v>
      </c>
      <c r="F1428">
        <v>5.2</v>
      </c>
      <c r="G1428">
        <v>0</v>
      </c>
      <c r="H1428" t="s">
        <v>154</v>
      </c>
      <c r="I1428">
        <v>5.7000000000000002E-2</v>
      </c>
      <c r="J1428">
        <f t="shared" si="709"/>
        <v>1</v>
      </c>
      <c r="K1428">
        <f t="shared" ca="1" si="710"/>
        <v>50.95</v>
      </c>
      <c r="L1428">
        <f t="shared" ca="1" si="711"/>
        <v>2.1389677043987478</v>
      </c>
      <c r="M1428">
        <f t="shared" ca="1" si="684"/>
        <v>11.122632062873489</v>
      </c>
      <c r="N1428">
        <f t="shared" ca="1" si="685"/>
        <v>1.1735290000551568</v>
      </c>
      <c r="O1428">
        <f t="shared" ca="1" si="686"/>
        <v>4.5807502857230418</v>
      </c>
      <c r="P1428">
        <f t="shared" ca="1" si="687"/>
        <v>634.01946770439872</v>
      </c>
      <c r="Q1428">
        <f t="shared" ca="1" si="688"/>
        <v>635.08895155659809</v>
      </c>
      <c r="R1428">
        <f t="shared" ca="1" si="689"/>
        <v>3.8141460404132466E-3</v>
      </c>
      <c r="S1428">
        <f t="shared" ca="1" si="690"/>
        <v>1.0000000000000004</v>
      </c>
      <c r="T1428">
        <f t="shared" ca="1" si="691"/>
        <v>35.686426155594638</v>
      </c>
      <c r="U1428">
        <f t="shared" ca="1" si="712"/>
        <v>-3.4157470064428708E-3</v>
      </c>
      <c r="V1428">
        <f t="shared" ca="1" si="713"/>
        <v>1</v>
      </c>
      <c r="W1428">
        <f t="shared" ca="1" si="692"/>
        <v>1.6812012600734454</v>
      </c>
      <c r="X1428">
        <f t="shared" ca="1" si="693"/>
        <v>8.7422465523819159</v>
      </c>
      <c r="Y1428">
        <f t="shared" ca="1" si="694"/>
        <v>1.0210039217161142</v>
      </c>
      <c r="Z1428">
        <f t="shared" ca="1" si="695"/>
        <v>5.8280214009885301</v>
      </c>
      <c r="AA1428">
        <f t="shared" ca="1" si="696"/>
        <v>633.56170126007339</v>
      </c>
      <c r="AB1428">
        <f t="shared" ca="1" si="697"/>
        <v>635.29288543185623</v>
      </c>
      <c r="AC1428">
        <f t="shared" ca="1" si="698"/>
        <v>7.4334127264729117E-3</v>
      </c>
      <c r="AD1428">
        <f t="shared" ca="1" si="699"/>
        <v>1.4350822100547367</v>
      </c>
      <c r="AE1428">
        <f t="shared" ca="1" si="700"/>
        <v>37.617615674482835</v>
      </c>
      <c r="AF1428">
        <f t="shared" ca="1" si="701"/>
        <v>6.9391833404779391E-3</v>
      </c>
      <c r="AG1428">
        <f t="shared" ca="1" si="702"/>
        <v>0</v>
      </c>
      <c r="AH1428">
        <f ca="1">IFERROR(IF(V32="Supercritical",MAX($D$16,IFERROR(L1428,MAX($D$16,POWER((ABS(K1428)^2)/($I$5*MAX(F1428,0.1)^2),1/3)))),IF(V32="Subcritical",MAX($D$16,IFERROR(W1428,MAX($D$16,POWER((ABS(K1428)^2)/($I$5*MAX(F1428,0.1)^2),1/3)))),IF(AND(IFERROR(V1428,0)=1,IFERROR(AG1428,0)=1),IF(IFERROR(T1428,-1E+99)&gt;=IFERROR(AE1428,-1E+99),MAX($D$16,IFERROR(L1428,MAX($D$16,POWER((ABS(K1428)^2)/($I$5*MAX(F1428,0.1)^2),1/3)))),MAX($D$16,IFERROR(W1428,MAX($D$16,POWER((ABS(K1428)^2)/($I$5*MAX(F1428,0.1)^2),1/3))))),IF(IFERROR(V1428,0)=1,MAX($D$16,IFERROR(L1428,MAX($D$16,POWER((ABS(K1428)^2)/($I$5*MAX(F1428,0.1)^2),1/3)))),IF(IFERROR(AG1428,0)=1,MAX($D$16,IFERROR(W1428,MAX($D$16,POWER((ABS(K1428)^2)/($I$5*MAX(F1428,0.1)^2),1/3)))),MAX($D$16,POWER((ABS(K1428)^2)/($I$5*MAX(F1428,0.1)^2),1/3))))))),MAX($D$16,POWER((ABS(K1428)^2)/($I$5*MAX(F1428,0.1)^2),1/3)))</f>
        <v>2.1389677043987478</v>
      </c>
      <c r="AI1428">
        <f t="shared" ca="1" si="703"/>
        <v>634.01946770439872</v>
      </c>
      <c r="AJ1428">
        <f t="shared" ca="1" si="704"/>
        <v>635.08895155659809</v>
      </c>
      <c r="AM1428">
        <v>0</v>
      </c>
      <c r="AN1428">
        <v>0</v>
      </c>
      <c r="AO1428">
        <f t="shared" si="705"/>
        <v>0</v>
      </c>
      <c r="AP1428">
        <f t="shared" si="714"/>
        <v>0</v>
      </c>
      <c r="AQ1428">
        <f t="shared" ca="1" si="706"/>
        <v>1.0000000000000004</v>
      </c>
      <c r="AR1428" t="str">
        <f t="shared" ca="1" si="707"/>
        <v>Supercritical</v>
      </c>
      <c r="AS1428">
        <f t="shared" ca="1" si="708"/>
        <v>3.8141460404132466E-3</v>
      </c>
    </row>
    <row r="1429" spans="1:45" x14ac:dyDescent="0.35">
      <c r="A1429">
        <v>1368</v>
      </c>
      <c r="B1429">
        <v>1366.9949999999999</v>
      </c>
      <c r="C1429">
        <v>616065.78399999999</v>
      </c>
      <c r="D1429">
        <v>3096640.3849999998</v>
      </c>
      <c r="E1429">
        <v>631.88</v>
      </c>
      <c r="F1429">
        <v>5.2</v>
      </c>
      <c r="G1429">
        <v>0</v>
      </c>
      <c r="H1429" t="s">
        <v>154</v>
      </c>
      <c r="I1429">
        <v>2E-3</v>
      </c>
      <c r="J1429">
        <f t="shared" si="709"/>
        <v>1</v>
      </c>
      <c r="K1429">
        <f t="shared" ca="1" si="710"/>
        <v>50.95</v>
      </c>
      <c r="L1429">
        <f t="shared" ca="1" si="711"/>
        <v>2.1389677043987478</v>
      </c>
      <c r="M1429">
        <f t="shared" ca="1" si="684"/>
        <v>11.122632062873489</v>
      </c>
      <c r="N1429">
        <f t="shared" ca="1" si="685"/>
        <v>1.1735290000551568</v>
      </c>
      <c r="O1429">
        <f t="shared" ca="1" si="686"/>
        <v>4.5807502857230418</v>
      </c>
      <c r="P1429">
        <f t="shared" ca="1" si="687"/>
        <v>634.01896770439873</v>
      </c>
      <c r="Q1429">
        <f t="shared" ca="1" si="688"/>
        <v>635.0884515565981</v>
      </c>
      <c r="R1429">
        <f t="shared" ca="1" si="689"/>
        <v>3.8141460404132466E-3</v>
      </c>
      <c r="S1429">
        <f t="shared" ca="1" si="690"/>
        <v>1.0000000000000004</v>
      </c>
      <c r="T1429">
        <f t="shared" ca="1" si="691"/>
        <v>35.686426155594638</v>
      </c>
      <c r="U1429">
        <f t="shared" ca="1" si="712"/>
        <v>-3.3177109866073806E-3</v>
      </c>
      <c r="V1429">
        <f t="shared" ca="1" si="713"/>
        <v>1</v>
      </c>
      <c r="W1429">
        <f t="shared" ca="1" si="692"/>
        <v>1.6812012600733943</v>
      </c>
      <c r="X1429">
        <f t="shared" ca="1" si="693"/>
        <v>8.7422465523816513</v>
      </c>
      <c r="Y1429">
        <f t="shared" ca="1" si="694"/>
        <v>1.0210039217160956</v>
      </c>
      <c r="Z1429">
        <f t="shared" ca="1" si="695"/>
        <v>5.8280214009887068</v>
      </c>
      <c r="AA1429">
        <f t="shared" ca="1" si="696"/>
        <v>633.5612012600734</v>
      </c>
      <c r="AB1429">
        <f t="shared" ca="1" si="697"/>
        <v>635.29238543185636</v>
      </c>
      <c r="AC1429">
        <f t="shared" ca="1" si="698"/>
        <v>7.433412726473544E-3</v>
      </c>
      <c r="AD1429">
        <f t="shared" ca="1" si="699"/>
        <v>1.4350822100548022</v>
      </c>
      <c r="AE1429">
        <f t="shared" ca="1" si="700"/>
        <v>37.617615674483304</v>
      </c>
      <c r="AF1429">
        <f t="shared" ca="1" si="701"/>
        <v>6.9466167531118117E-3</v>
      </c>
      <c r="AG1429">
        <f t="shared" ca="1" si="702"/>
        <v>0</v>
      </c>
      <c r="AH1429">
        <f ca="1">IFERROR(IF(V32="Supercritical",MAX($D$16,IFERROR(L1429,MAX($D$16,POWER((ABS(K1429)^2)/($I$5*MAX(F1429,0.1)^2),1/3)))),IF(V32="Subcritical",MAX($D$16,IFERROR(W1429,MAX($D$16,POWER((ABS(K1429)^2)/($I$5*MAX(F1429,0.1)^2),1/3)))),IF(AND(IFERROR(V1429,0)=1,IFERROR(AG1429,0)=1),IF(IFERROR(T1429,-1E+99)&gt;=IFERROR(AE1429,-1E+99),MAX($D$16,IFERROR(L1429,MAX($D$16,POWER((ABS(K1429)^2)/($I$5*MAX(F1429,0.1)^2),1/3)))),MAX($D$16,IFERROR(W1429,MAX($D$16,POWER((ABS(K1429)^2)/($I$5*MAX(F1429,0.1)^2),1/3))))),IF(IFERROR(V1429,0)=1,MAX($D$16,IFERROR(L1429,MAX($D$16,POWER((ABS(K1429)^2)/($I$5*MAX(F1429,0.1)^2),1/3)))),IF(IFERROR(AG1429,0)=1,MAX($D$16,IFERROR(W1429,MAX($D$16,POWER((ABS(K1429)^2)/($I$5*MAX(F1429,0.1)^2),1/3)))),MAX($D$16,POWER((ABS(K1429)^2)/($I$5*MAX(F1429,0.1)^2),1/3))))))),MAX($D$16,POWER((ABS(K1429)^2)/($I$5*MAX(F1429,0.1)^2),1/3)))</f>
        <v>2.1389677043987478</v>
      </c>
      <c r="AI1429">
        <f t="shared" ca="1" si="703"/>
        <v>634.01896770439873</v>
      </c>
      <c r="AJ1429">
        <f t="shared" ca="1" si="704"/>
        <v>635.0884515565981</v>
      </c>
      <c r="AM1429">
        <v>0</v>
      </c>
      <c r="AN1429">
        <v>0</v>
      </c>
      <c r="AO1429">
        <f t="shared" si="705"/>
        <v>0</v>
      </c>
      <c r="AP1429">
        <f t="shared" si="714"/>
        <v>0</v>
      </c>
      <c r="AQ1429">
        <f t="shared" ca="1" si="706"/>
        <v>1.0000000000000004</v>
      </c>
      <c r="AR1429" t="str">
        <f t="shared" ca="1" si="707"/>
        <v>Supercritical</v>
      </c>
      <c r="AS1429">
        <f t="shared" ca="1" si="708"/>
        <v>3.8141460404132466E-3</v>
      </c>
    </row>
    <row r="1430" spans="1:45" x14ac:dyDescent="0.35">
      <c r="A1430">
        <v>1369</v>
      </c>
      <c r="B1430">
        <v>1367.9960000000001</v>
      </c>
      <c r="C1430">
        <v>616065.74199999997</v>
      </c>
      <c r="D1430">
        <v>3096639.3849999998</v>
      </c>
      <c r="E1430">
        <v>631.87950000000001</v>
      </c>
      <c r="F1430">
        <v>5.2</v>
      </c>
      <c r="G1430">
        <v>0</v>
      </c>
      <c r="H1430" t="s">
        <v>154</v>
      </c>
      <c r="I1430">
        <v>2E-3</v>
      </c>
      <c r="J1430">
        <f t="shared" si="709"/>
        <v>1.0010000000002037</v>
      </c>
      <c r="K1430">
        <f t="shared" ca="1" si="710"/>
        <v>50.95</v>
      </c>
      <c r="L1430">
        <f t="shared" ca="1" si="711"/>
        <v>2.1389677043987478</v>
      </c>
      <c r="M1430">
        <f t="shared" ca="1" si="684"/>
        <v>11.122632062873489</v>
      </c>
      <c r="N1430">
        <f t="shared" ca="1" si="685"/>
        <v>1.1735290000551568</v>
      </c>
      <c r="O1430">
        <f t="shared" ca="1" si="686"/>
        <v>4.5807502857230418</v>
      </c>
      <c r="P1430">
        <f t="shared" ca="1" si="687"/>
        <v>634.01846770439874</v>
      </c>
      <c r="Q1430">
        <f t="shared" ca="1" si="688"/>
        <v>635.08795155659811</v>
      </c>
      <c r="R1430">
        <f t="shared" ca="1" si="689"/>
        <v>3.8141460404132466E-3</v>
      </c>
      <c r="S1430">
        <f t="shared" ca="1" si="690"/>
        <v>1.0000000000000004</v>
      </c>
      <c r="T1430">
        <f t="shared" ca="1" si="691"/>
        <v>35.686426155594638</v>
      </c>
      <c r="U1430">
        <f t="shared" ca="1" si="712"/>
        <v>-3.3215251326055295E-3</v>
      </c>
      <c r="V1430">
        <f t="shared" ca="1" si="713"/>
        <v>1</v>
      </c>
      <c r="W1430">
        <f t="shared" ca="1" si="692"/>
        <v>1.6812012600733433</v>
      </c>
      <c r="X1430">
        <f t="shared" ca="1" si="693"/>
        <v>8.7422465523813848</v>
      </c>
      <c r="Y1430">
        <f t="shared" ca="1" si="694"/>
        <v>1.0210039217160765</v>
      </c>
      <c r="Z1430">
        <f t="shared" ca="1" si="695"/>
        <v>5.8280214009888844</v>
      </c>
      <c r="AA1430">
        <f t="shared" ca="1" si="696"/>
        <v>633.5607012600733</v>
      </c>
      <c r="AB1430">
        <f t="shared" ca="1" si="697"/>
        <v>635.29188543185637</v>
      </c>
      <c r="AC1430">
        <f t="shared" ca="1" si="698"/>
        <v>7.4334127264741798E-3</v>
      </c>
      <c r="AD1430">
        <f t="shared" ca="1" si="699"/>
        <v>1.4350822100548677</v>
      </c>
      <c r="AE1430">
        <f t="shared" ca="1" si="700"/>
        <v>37.61761567448378</v>
      </c>
      <c r="AF1430">
        <f t="shared" ca="1" si="701"/>
        <v>8.4193458072832073E-3</v>
      </c>
      <c r="AG1430">
        <f t="shared" ca="1" si="702"/>
        <v>0</v>
      </c>
      <c r="AH1430">
        <f ca="1">IFERROR(IF(V32="Supercritical",MAX($D$16,IFERROR(L1430,MAX($D$16,POWER((ABS(K1430)^2)/($I$5*MAX(F1430,0.1)^2),1/3)))),IF(V32="Subcritical",MAX($D$16,IFERROR(W1430,MAX($D$16,POWER((ABS(K1430)^2)/($I$5*MAX(F1430,0.1)^2),1/3)))),IF(AND(IFERROR(V1430,0)=1,IFERROR(AG1430,0)=1),IF(IFERROR(T1430,-1E+99)&gt;=IFERROR(AE1430,-1E+99),MAX($D$16,IFERROR(L1430,MAX($D$16,POWER((ABS(K1430)^2)/($I$5*MAX(F1430,0.1)^2),1/3)))),MAX($D$16,IFERROR(W1430,MAX($D$16,POWER((ABS(K1430)^2)/($I$5*MAX(F1430,0.1)^2),1/3))))),IF(IFERROR(V1430,0)=1,MAX($D$16,IFERROR(L1430,MAX($D$16,POWER((ABS(K1430)^2)/($I$5*MAX(F1430,0.1)^2),1/3)))),IF(IFERROR(AG1430,0)=1,MAX($D$16,IFERROR(W1430,MAX($D$16,POWER((ABS(K1430)^2)/($I$5*MAX(F1430,0.1)^2),1/3)))),MAX($D$16,POWER((ABS(K1430)^2)/($I$5*MAX(F1430,0.1)^2),1/3))))))),MAX($D$16,POWER((ABS(K1430)^2)/($I$5*MAX(F1430,0.1)^2),1/3)))</f>
        <v>2.1389677043987478</v>
      </c>
      <c r="AI1430">
        <f t="shared" ca="1" si="703"/>
        <v>634.01846770439874</v>
      </c>
      <c r="AJ1430">
        <f t="shared" ca="1" si="704"/>
        <v>635.08795155659811</v>
      </c>
      <c r="AM1430">
        <v>0</v>
      </c>
      <c r="AN1430">
        <v>0</v>
      </c>
      <c r="AO1430">
        <f t="shared" si="705"/>
        <v>0</v>
      </c>
      <c r="AP1430">
        <f t="shared" si="714"/>
        <v>0</v>
      </c>
      <c r="AQ1430">
        <f t="shared" ca="1" si="706"/>
        <v>1.0000000000000004</v>
      </c>
      <c r="AR1430" t="str">
        <f t="shared" ca="1" si="707"/>
        <v>Supercritical</v>
      </c>
      <c r="AS1430">
        <f t="shared" ca="1" si="708"/>
        <v>3.8141460404132466E-3</v>
      </c>
    </row>
    <row r="1431" spans="1:45" x14ac:dyDescent="0.35">
      <c r="A1431">
        <v>1370</v>
      </c>
      <c r="B1431">
        <v>1368.9960000000001</v>
      </c>
      <c r="C1431">
        <v>616065.69999999995</v>
      </c>
      <c r="D1431">
        <v>3096638.3859999999</v>
      </c>
      <c r="E1431">
        <v>631.87900000000002</v>
      </c>
      <c r="F1431">
        <v>5.2</v>
      </c>
      <c r="G1431">
        <v>0</v>
      </c>
      <c r="H1431" t="s">
        <v>154</v>
      </c>
      <c r="I1431">
        <v>0.51500000000000001</v>
      </c>
      <c r="J1431">
        <f t="shared" si="709"/>
        <v>1</v>
      </c>
      <c r="K1431">
        <f t="shared" ca="1" si="710"/>
        <v>50.95</v>
      </c>
      <c r="L1431">
        <f t="shared" ca="1" si="711"/>
        <v>2.1389677043987478</v>
      </c>
      <c r="M1431">
        <f t="shared" ca="1" si="684"/>
        <v>11.122632062873489</v>
      </c>
      <c r="N1431">
        <f t="shared" ca="1" si="685"/>
        <v>1.1735290000551568</v>
      </c>
      <c r="O1431">
        <f t="shared" ca="1" si="686"/>
        <v>4.5807502857230418</v>
      </c>
      <c r="P1431">
        <f t="shared" ca="1" si="687"/>
        <v>634.01796770439876</v>
      </c>
      <c r="Q1431">
        <f t="shared" ca="1" si="688"/>
        <v>635.08745155659813</v>
      </c>
      <c r="R1431">
        <f t="shared" ca="1" si="689"/>
        <v>3.8141460404132466E-3</v>
      </c>
      <c r="S1431">
        <f t="shared" ca="1" si="690"/>
        <v>1.0000000000000004</v>
      </c>
      <c r="T1431">
        <f t="shared" ca="1" si="691"/>
        <v>35.686426155594638</v>
      </c>
      <c r="U1431">
        <f t="shared" ca="1" si="712"/>
        <v>-4.2321196802959093E-3</v>
      </c>
      <c r="V1431">
        <f t="shared" ca="1" si="713"/>
        <v>1</v>
      </c>
      <c r="W1431">
        <f t="shared" ca="1" si="692"/>
        <v>1.6812012600732922</v>
      </c>
      <c r="X1431">
        <f t="shared" ca="1" si="693"/>
        <v>8.7422465523811201</v>
      </c>
      <c r="Y1431">
        <f t="shared" ca="1" si="694"/>
        <v>1.021003921716058</v>
      </c>
      <c r="Z1431">
        <f t="shared" ca="1" si="695"/>
        <v>5.8280214009890612</v>
      </c>
      <c r="AA1431">
        <f t="shared" ca="1" si="696"/>
        <v>633.56020126007331</v>
      </c>
      <c r="AB1431">
        <f t="shared" ca="1" si="697"/>
        <v>635.2913854318565</v>
      </c>
      <c r="AC1431">
        <f t="shared" ca="1" si="698"/>
        <v>7.4334127264748095E-3</v>
      </c>
      <c r="AD1431">
        <f t="shared" ca="1" si="699"/>
        <v>1.4350822100549327</v>
      </c>
      <c r="AE1431">
        <f t="shared" ca="1" si="700"/>
        <v>37.617615674484249</v>
      </c>
      <c r="AF1431">
        <f t="shared" ca="1" si="701"/>
        <v>1.4121880929792496E-2</v>
      </c>
      <c r="AG1431">
        <f t="shared" ca="1" si="702"/>
        <v>0</v>
      </c>
      <c r="AH1431">
        <f ca="1">IFERROR(IF(V32="Supercritical",MAX($D$16,IFERROR(L1431,MAX($D$16,POWER((ABS(K1431)^2)/($I$5*MAX(F1431,0.1)^2),1/3)))),IF(V32="Subcritical",MAX($D$16,IFERROR(W1431,MAX($D$16,POWER((ABS(K1431)^2)/($I$5*MAX(F1431,0.1)^2),1/3)))),IF(AND(IFERROR(V1431,0)=1,IFERROR(AG1431,0)=1),IF(IFERROR(T1431,-1E+99)&gt;=IFERROR(AE1431,-1E+99),MAX($D$16,IFERROR(L1431,MAX($D$16,POWER((ABS(K1431)^2)/($I$5*MAX(F1431,0.1)^2),1/3)))),MAX($D$16,IFERROR(W1431,MAX($D$16,POWER((ABS(K1431)^2)/($I$5*MAX(F1431,0.1)^2),1/3))))),IF(IFERROR(V1431,0)=1,MAX($D$16,IFERROR(L1431,MAX($D$16,POWER((ABS(K1431)^2)/($I$5*MAX(F1431,0.1)^2),1/3)))),IF(IFERROR(AG1431,0)=1,MAX($D$16,IFERROR(W1431,MAX($D$16,POWER((ABS(K1431)^2)/($I$5*MAX(F1431,0.1)^2),1/3)))),MAX($D$16,POWER((ABS(K1431)^2)/($I$5*MAX(F1431,0.1)^2),1/3))))))),MAX($D$16,POWER((ABS(K1431)^2)/($I$5*MAX(F1431,0.1)^2),1/3)))</f>
        <v>2.1389677043987478</v>
      </c>
      <c r="AI1431">
        <f t="shared" ca="1" si="703"/>
        <v>634.01796770439876</v>
      </c>
      <c r="AJ1431">
        <f t="shared" ca="1" si="704"/>
        <v>635.08745155659813</v>
      </c>
      <c r="AM1431">
        <v>0</v>
      </c>
      <c r="AN1431">
        <v>0</v>
      </c>
      <c r="AO1431">
        <f t="shared" si="705"/>
        <v>0</v>
      </c>
      <c r="AP1431">
        <f t="shared" si="714"/>
        <v>0</v>
      </c>
      <c r="AQ1431">
        <f t="shared" ca="1" si="706"/>
        <v>1.0000000000000004</v>
      </c>
      <c r="AR1431" t="str">
        <f t="shared" ca="1" si="707"/>
        <v>Supercritical</v>
      </c>
      <c r="AS1431">
        <f t="shared" ca="1" si="708"/>
        <v>3.8141460404132466E-3</v>
      </c>
    </row>
    <row r="1432" spans="1:45" x14ac:dyDescent="0.35">
      <c r="A1432">
        <v>1371</v>
      </c>
      <c r="B1432">
        <v>1369.9960000000001</v>
      </c>
      <c r="C1432">
        <v>616065.66700000002</v>
      </c>
      <c r="D1432">
        <v>3096637.3870000001</v>
      </c>
      <c r="E1432">
        <v>631.87850000000003</v>
      </c>
      <c r="F1432">
        <v>5.1989999999999998</v>
      </c>
      <c r="G1432">
        <v>0</v>
      </c>
      <c r="H1432" t="s">
        <v>154</v>
      </c>
      <c r="I1432">
        <v>2.2360000000000002</v>
      </c>
      <c r="J1432">
        <f t="shared" si="709"/>
        <v>1</v>
      </c>
      <c r="K1432">
        <f t="shared" ca="1" si="710"/>
        <v>50.95</v>
      </c>
      <c r="L1432">
        <f t="shared" ca="1" si="711"/>
        <v>2.1392419749816058</v>
      </c>
      <c r="M1432">
        <f t="shared" ca="1" si="684"/>
        <v>11.121919027929369</v>
      </c>
      <c r="N1432">
        <f t="shared" ca="1" si="685"/>
        <v>1.1735096663468938</v>
      </c>
      <c r="O1432">
        <f t="shared" ca="1" si="686"/>
        <v>4.5810439612133784</v>
      </c>
      <c r="P1432">
        <f t="shared" ca="1" si="687"/>
        <v>634.01774197498162</v>
      </c>
      <c r="Q1432">
        <f t="shared" ca="1" si="688"/>
        <v>635.08736296247241</v>
      </c>
      <c r="R1432">
        <f t="shared" ca="1" si="689"/>
        <v>3.8147189075127259E-3</v>
      </c>
      <c r="S1432">
        <f t="shared" ca="1" si="690"/>
        <v>1.0000000000000002</v>
      </c>
      <c r="T1432">
        <f t="shared" ca="1" si="691"/>
        <v>35.68871404033969</v>
      </c>
      <c r="U1432">
        <f t="shared" ca="1" si="712"/>
        <v>-7.7256727574877004E-3</v>
      </c>
      <c r="V1432">
        <f t="shared" ca="1" si="713"/>
        <v>1</v>
      </c>
      <c r="W1432">
        <f t="shared" ca="1" si="692"/>
        <v>1.681201260073258</v>
      </c>
      <c r="X1432">
        <f t="shared" ca="1" si="693"/>
        <v>8.7405653511208676</v>
      </c>
      <c r="Y1432">
        <f t="shared" ca="1" si="694"/>
        <v>1.0209268084934391</v>
      </c>
      <c r="Z1432">
        <f t="shared" ca="1" si="695"/>
        <v>5.8291423899103165</v>
      </c>
      <c r="AA1432">
        <f t="shared" ca="1" si="696"/>
        <v>633.55970126007333</v>
      </c>
      <c r="AB1432">
        <f t="shared" ca="1" si="697"/>
        <v>635.29155146404116</v>
      </c>
      <c r="AC1432">
        <f t="shared" ca="1" si="698"/>
        <v>7.4370214733960188E-3</v>
      </c>
      <c r="AD1432">
        <f t="shared" ca="1" si="699"/>
        <v>1.4353582404858394</v>
      </c>
      <c r="AE1432">
        <f t="shared" ca="1" si="700"/>
        <v>37.622024513294647</v>
      </c>
      <c r="AF1432">
        <f t="shared" ca="1" si="701"/>
        <v>7.1015472427689019E-3</v>
      </c>
      <c r="AG1432">
        <f t="shared" ca="1" si="702"/>
        <v>0</v>
      </c>
      <c r="AH1432">
        <f ca="1">IFERROR(IF(V32="Supercritical",MAX($D$16,IFERROR(L1432,MAX($D$16,POWER((ABS(K1432)^2)/($I$5*MAX(F1432,0.1)^2),1/3)))),IF(V32="Subcritical",MAX($D$16,IFERROR(W1432,MAX($D$16,POWER((ABS(K1432)^2)/($I$5*MAX(F1432,0.1)^2),1/3)))),IF(AND(IFERROR(V1432,0)=1,IFERROR(AG1432,0)=1),IF(IFERROR(T1432,-1E+99)&gt;=IFERROR(AE1432,-1E+99),MAX($D$16,IFERROR(L1432,MAX($D$16,POWER((ABS(K1432)^2)/($I$5*MAX(F1432,0.1)^2),1/3)))),MAX($D$16,IFERROR(W1432,MAX($D$16,POWER((ABS(K1432)^2)/($I$5*MAX(F1432,0.1)^2),1/3))))),IF(IFERROR(V1432,0)=1,MAX($D$16,IFERROR(L1432,MAX($D$16,POWER((ABS(K1432)^2)/($I$5*MAX(F1432,0.1)^2),1/3)))),IF(IFERROR(AG1432,0)=1,MAX($D$16,IFERROR(W1432,MAX($D$16,POWER((ABS(K1432)^2)/($I$5*MAX(F1432,0.1)^2),1/3)))),MAX($D$16,POWER((ABS(K1432)^2)/($I$5*MAX(F1432,0.1)^2),1/3))))))),MAX($D$16,POWER((ABS(K1432)^2)/($I$5*MAX(F1432,0.1)^2),1/3)))</f>
        <v>2.1392419749816058</v>
      </c>
      <c r="AI1432">
        <f t="shared" ca="1" si="703"/>
        <v>634.01774197498162</v>
      </c>
      <c r="AJ1432">
        <f t="shared" ca="1" si="704"/>
        <v>635.08736296247241</v>
      </c>
      <c r="AM1432">
        <v>0</v>
      </c>
      <c r="AN1432">
        <v>0</v>
      </c>
      <c r="AO1432">
        <f t="shared" si="705"/>
        <v>0</v>
      </c>
      <c r="AP1432">
        <f t="shared" si="714"/>
        <v>0</v>
      </c>
      <c r="AQ1432">
        <f t="shared" ca="1" si="706"/>
        <v>1.0000000000000002</v>
      </c>
      <c r="AR1432" t="str">
        <f t="shared" ca="1" si="707"/>
        <v>Supercritical</v>
      </c>
      <c r="AS1432">
        <f t="shared" ca="1" si="708"/>
        <v>3.8147189075127259E-3</v>
      </c>
    </row>
    <row r="1433" spans="1:45" x14ac:dyDescent="0.35">
      <c r="A1433">
        <v>1372</v>
      </c>
      <c r="B1433">
        <v>1370.9960000000001</v>
      </c>
      <c r="C1433">
        <v>616065.67299999995</v>
      </c>
      <c r="D1433">
        <v>3096636.3870000001</v>
      </c>
      <c r="E1433">
        <v>631.87800000000004</v>
      </c>
      <c r="F1433">
        <v>5.1989999999999998</v>
      </c>
      <c r="G1433">
        <v>0</v>
      </c>
      <c r="H1433" t="s">
        <v>154</v>
      </c>
      <c r="I1433">
        <v>5.7000000000000002E-2</v>
      </c>
      <c r="J1433">
        <f t="shared" si="709"/>
        <v>1</v>
      </c>
      <c r="K1433">
        <f t="shared" ca="1" si="710"/>
        <v>50.95</v>
      </c>
      <c r="L1433">
        <f t="shared" ca="1" si="711"/>
        <v>2.1392419749816058</v>
      </c>
      <c r="M1433">
        <f t="shared" ca="1" si="684"/>
        <v>11.121919027929369</v>
      </c>
      <c r="N1433">
        <f t="shared" ca="1" si="685"/>
        <v>1.1735096663468938</v>
      </c>
      <c r="O1433">
        <f t="shared" ca="1" si="686"/>
        <v>4.5810439612133784</v>
      </c>
      <c r="P1433">
        <f t="shared" ca="1" si="687"/>
        <v>634.01724197498163</v>
      </c>
      <c r="Q1433">
        <f t="shared" ca="1" si="688"/>
        <v>635.08686296247242</v>
      </c>
      <c r="R1433">
        <f t="shared" ca="1" si="689"/>
        <v>3.8147189075127259E-3</v>
      </c>
      <c r="S1433">
        <f t="shared" ca="1" si="690"/>
        <v>1.0000000000000002</v>
      </c>
      <c r="T1433">
        <f t="shared" ca="1" si="691"/>
        <v>35.68871404033969</v>
      </c>
      <c r="U1433">
        <f t="shared" ca="1" si="712"/>
        <v>-3.4163329013381372E-3</v>
      </c>
      <c r="V1433">
        <f t="shared" ca="1" si="713"/>
        <v>1</v>
      </c>
      <c r="W1433">
        <f t="shared" ca="1" si="692"/>
        <v>1.6812012600732409</v>
      </c>
      <c r="X1433">
        <f t="shared" ca="1" si="693"/>
        <v>8.7405653511207788</v>
      </c>
      <c r="Y1433">
        <f t="shared" ca="1" si="694"/>
        <v>1.0209268084934326</v>
      </c>
      <c r="Z1433">
        <f t="shared" ca="1" si="695"/>
        <v>5.829142389910376</v>
      </c>
      <c r="AA1433">
        <f t="shared" ca="1" si="696"/>
        <v>633.55920126007334</v>
      </c>
      <c r="AB1433">
        <f t="shared" ca="1" si="697"/>
        <v>635.29105146404117</v>
      </c>
      <c r="AC1433">
        <f t="shared" ca="1" si="698"/>
        <v>7.4370214733962348E-3</v>
      </c>
      <c r="AD1433">
        <f t="shared" ca="1" si="699"/>
        <v>1.4353582404858614</v>
      </c>
      <c r="AE1433">
        <f t="shared" ca="1" si="700"/>
        <v>37.622024513294811</v>
      </c>
      <c r="AF1433">
        <f t="shared" ca="1" si="701"/>
        <v>7.4015472426935958E-3</v>
      </c>
      <c r="AG1433">
        <f t="shared" ca="1" si="702"/>
        <v>0</v>
      </c>
      <c r="AH1433">
        <f ca="1">IFERROR(IF(V32="Supercritical",MAX($D$16,IFERROR(L1433,MAX($D$16,POWER((ABS(K1433)^2)/($I$5*MAX(F1433,0.1)^2),1/3)))),IF(V32="Subcritical",MAX($D$16,IFERROR(W1433,MAX($D$16,POWER((ABS(K1433)^2)/($I$5*MAX(F1433,0.1)^2),1/3)))),IF(AND(IFERROR(V1433,0)=1,IFERROR(AG1433,0)=1),IF(IFERROR(T1433,-1E+99)&gt;=IFERROR(AE1433,-1E+99),MAX($D$16,IFERROR(L1433,MAX($D$16,POWER((ABS(K1433)^2)/($I$5*MAX(F1433,0.1)^2),1/3)))),MAX($D$16,IFERROR(W1433,MAX($D$16,POWER((ABS(K1433)^2)/($I$5*MAX(F1433,0.1)^2),1/3))))),IF(IFERROR(V1433,0)=1,MAX($D$16,IFERROR(L1433,MAX($D$16,POWER((ABS(K1433)^2)/($I$5*MAX(F1433,0.1)^2),1/3)))),IF(IFERROR(AG1433,0)=1,MAX($D$16,IFERROR(W1433,MAX($D$16,POWER((ABS(K1433)^2)/($I$5*MAX(F1433,0.1)^2),1/3)))),MAX($D$16,POWER((ABS(K1433)^2)/($I$5*MAX(F1433,0.1)^2),1/3))))))),MAX($D$16,POWER((ABS(K1433)^2)/($I$5*MAX(F1433,0.1)^2),1/3)))</f>
        <v>2.1392419749816058</v>
      </c>
      <c r="AI1433">
        <f t="shared" ca="1" si="703"/>
        <v>634.01724197498163</v>
      </c>
      <c r="AJ1433">
        <f t="shared" ca="1" si="704"/>
        <v>635.08686296247242</v>
      </c>
      <c r="AM1433">
        <v>0</v>
      </c>
      <c r="AN1433">
        <v>0</v>
      </c>
      <c r="AO1433">
        <f t="shared" si="705"/>
        <v>0</v>
      </c>
      <c r="AP1433">
        <f t="shared" si="714"/>
        <v>0</v>
      </c>
      <c r="AQ1433">
        <f t="shared" ca="1" si="706"/>
        <v>1.0000000000000002</v>
      </c>
      <c r="AR1433" t="str">
        <f t="shared" ca="1" si="707"/>
        <v>Supercritical</v>
      </c>
      <c r="AS1433">
        <f t="shared" ca="1" si="708"/>
        <v>3.8147189075127259E-3</v>
      </c>
    </row>
    <row r="1434" spans="1:45" x14ac:dyDescent="0.35">
      <c r="A1434">
        <v>1373</v>
      </c>
      <c r="B1434">
        <v>1371.9960000000001</v>
      </c>
      <c r="C1434">
        <v>616065.68000000005</v>
      </c>
      <c r="D1434">
        <v>3096635.3870000001</v>
      </c>
      <c r="E1434">
        <v>631.87779999999998</v>
      </c>
      <c r="F1434">
        <v>5.1989999999999998</v>
      </c>
      <c r="G1434">
        <v>0</v>
      </c>
      <c r="H1434" t="s">
        <v>154</v>
      </c>
      <c r="I1434">
        <v>5.7000000000000002E-2</v>
      </c>
      <c r="J1434">
        <f t="shared" si="709"/>
        <v>1</v>
      </c>
      <c r="K1434">
        <f t="shared" ca="1" si="710"/>
        <v>50.95</v>
      </c>
      <c r="L1434">
        <f t="shared" ca="1" si="711"/>
        <v>2.1392419749816058</v>
      </c>
      <c r="M1434">
        <f t="shared" ca="1" si="684"/>
        <v>11.121919027929369</v>
      </c>
      <c r="N1434">
        <f t="shared" ca="1" si="685"/>
        <v>1.1735096663468938</v>
      </c>
      <c r="O1434">
        <f t="shared" ca="1" si="686"/>
        <v>4.5810439612133784</v>
      </c>
      <c r="P1434">
        <f t="shared" ca="1" si="687"/>
        <v>634.01704197498157</v>
      </c>
      <c r="Q1434">
        <f t="shared" ca="1" si="688"/>
        <v>635.08666296247236</v>
      </c>
      <c r="R1434">
        <f t="shared" ca="1" si="689"/>
        <v>3.8147189075127259E-3</v>
      </c>
      <c r="S1434">
        <f t="shared" ca="1" si="690"/>
        <v>1.0000000000000002</v>
      </c>
      <c r="T1434">
        <f t="shared" ca="1" si="691"/>
        <v>35.68871404033969</v>
      </c>
      <c r="U1434">
        <f t="shared" ca="1" si="712"/>
        <v>-3.716332901262831E-3</v>
      </c>
      <c r="V1434">
        <f t="shared" ca="1" si="713"/>
        <v>1</v>
      </c>
      <c r="W1434">
        <f t="shared" ca="1" si="692"/>
        <v>1.6812012600732067</v>
      </c>
      <c r="X1434">
        <f t="shared" ca="1" si="693"/>
        <v>8.7405653511206012</v>
      </c>
      <c r="Y1434">
        <f t="shared" ca="1" si="694"/>
        <v>1.0209268084934202</v>
      </c>
      <c r="Z1434">
        <f t="shared" ca="1" si="695"/>
        <v>5.829142389910495</v>
      </c>
      <c r="AA1434">
        <f t="shared" ca="1" si="696"/>
        <v>633.55900126007316</v>
      </c>
      <c r="AB1434">
        <f t="shared" ca="1" si="697"/>
        <v>635.29085146404111</v>
      </c>
      <c r="AC1434">
        <f t="shared" ca="1" si="698"/>
        <v>7.4370214733966555E-3</v>
      </c>
      <c r="AD1434">
        <f t="shared" ca="1" si="699"/>
        <v>1.4353582404859053</v>
      </c>
      <c r="AE1434">
        <f t="shared" ca="1" si="700"/>
        <v>37.622024513295123</v>
      </c>
      <c r="AF1434">
        <f t="shared" ca="1" si="701"/>
        <v>7.2370214734291949E-3</v>
      </c>
      <c r="AG1434">
        <f t="shared" ca="1" si="702"/>
        <v>0</v>
      </c>
      <c r="AH1434">
        <f ca="1">IFERROR(IF(V32="Supercritical",MAX($D$16,IFERROR(L1434,MAX($D$16,POWER((ABS(K1434)^2)/($I$5*MAX(F1434,0.1)^2),1/3)))),IF(V32="Subcritical",MAX($D$16,IFERROR(W1434,MAX($D$16,POWER((ABS(K1434)^2)/($I$5*MAX(F1434,0.1)^2),1/3)))),IF(AND(IFERROR(V1434,0)=1,IFERROR(AG1434,0)=1),IF(IFERROR(T1434,-1E+99)&gt;=IFERROR(AE1434,-1E+99),MAX($D$16,IFERROR(L1434,MAX($D$16,POWER((ABS(K1434)^2)/($I$5*MAX(F1434,0.1)^2),1/3)))),MAX($D$16,IFERROR(W1434,MAX($D$16,POWER((ABS(K1434)^2)/($I$5*MAX(F1434,0.1)^2),1/3))))),IF(IFERROR(V1434,0)=1,MAX($D$16,IFERROR(L1434,MAX($D$16,POWER((ABS(K1434)^2)/($I$5*MAX(F1434,0.1)^2),1/3)))),IF(IFERROR(AG1434,0)=1,MAX($D$16,IFERROR(W1434,MAX($D$16,POWER((ABS(K1434)^2)/($I$5*MAX(F1434,0.1)^2),1/3)))),MAX($D$16,POWER((ABS(K1434)^2)/($I$5*MAX(F1434,0.1)^2),1/3))))))),MAX($D$16,POWER((ABS(K1434)^2)/($I$5*MAX(F1434,0.1)^2),1/3)))</f>
        <v>2.1392419749816058</v>
      </c>
      <c r="AI1434">
        <f t="shared" ca="1" si="703"/>
        <v>634.01704197498157</v>
      </c>
      <c r="AJ1434">
        <f t="shared" ca="1" si="704"/>
        <v>635.08666296247236</v>
      </c>
      <c r="AM1434">
        <v>0</v>
      </c>
      <c r="AN1434">
        <v>0</v>
      </c>
      <c r="AO1434">
        <f t="shared" si="705"/>
        <v>0</v>
      </c>
      <c r="AP1434">
        <f t="shared" si="714"/>
        <v>0</v>
      </c>
      <c r="AQ1434">
        <f t="shared" ca="1" si="706"/>
        <v>1.0000000000000002</v>
      </c>
      <c r="AR1434" t="str">
        <f t="shared" ca="1" si="707"/>
        <v>Supercritical</v>
      </c>
      <c r="AS1434">
        <f t="shared" ca="1" si="708"/>
        <v>3.8147189075127259E-3</v>
      </c>
    </row>
    <row r="1435" spans="1:45" x14ac:dyDescent="0.35">
      <c r="A1435">
        <v>1374</v>
      </c>
      <c r="B1435">
        <v>1372.9960000000001</v>
      </c>
      <c r="C1435">
        <v>616065.68599999999</v>
      </c>
      <c r="D1435">
        <v>3096634.3870000001</v>
      </c>
      <c r="E1435">
        <v>631.87760000000003</v>
      </c>
      <c r="F1435">
        <v>5.1989999999999998</v>
      </c>
      <c r="G1435">
        <v>0</v>
      </c>
      <c r="H1435" t="s">
        <v>154</v>
      </c>
      <c r="I1435">
        <v>0</v>
      </c>
      <c r="J1435">
        <f t="shared" si="709"/>
        <v>1</v>
      </c>
      <c r="K1435">
        <f t="shared" ca="1" si="710"/>
        <v>50.95</v>
      </c>
      <c r="L1435">
        <f t="shared" ca="1" si="711"/>
        <v>2.1392419749816058</v>
      </c>
      <c r="M1435">
        <f t="shared" ca="1" si="684"/>
        <v>11.121919027929369</v>
      </c>
      <c r="N1435">
        <f t="shared" ca="1" si="685"/>
        <v>1.1735096663468938</v>
      </c>
      <c r="O1435">
        <f t="shared" ca="1" si="686"/>
        <v>4.5810439612133784</v>
      </c>
      <c r="P1435">
        <f t="shared" ca="1" si="687"/>
        <v>634.01684197498162</v>
      </c>
      <c r="Q1435">
        <f t="shared" ca="1" si="688"/>
        <v>635.08646296247241</v>
      </c>
      <c r="R1435">
        <f t="shared" ca="1" si="689"/>
        <v>3.8147189075127259E-3</v>
      </c>
      <c r="S1435">
        <f t="shared" ca="1" si="690"/>
        <v>1.0000000000000002</v>
      </c>
      <c r="T1435">
        <f t="shared" ca="1" si="691"/>
        <v>35.68871404033969</v>
      </c>
      <c r="U1435">
        <f t="shared" ca="1" si="712"/>
        <v>-3.6147189075563801E-3</v>
      </c>
      <c r="V1435">
        <f t="shared" ca="1" si="713"/>
        <v>1</v>
      </c>
      <c r="W1435">
        <f t="shared" ca="1" si="692"/>
        <v>1.6812012600731725</v>
      </c>
      <c r="X1435">
        <f t="shared" ca="1" si="693"/>
        <v>8.7405653511204235</v>
      </c>
      <c r="Y1435">
        <f t="shared" ca="1" si="694"/>
        <v>1.0209268084934076</v>
      </c>
      <c r="Z1435">
        <f t="shared" ca="1" si="695"/>
        <v>5.8291423899106132</v>
      </c>
      <c r="AA1435">
        <f t="shared" ca="1" si="696"/>
        <v>633.55880126007321</v>
      </c>
      <c r="AB1435">
        <f t="shared" ca="1" si="697"/>
        <v>635.29065146404128</v>
      </c>
      <c r="AC1435">
        <f t="shared" ca="1" si="698"/>
        <v>7.4370214733970796E-3</v>
      </c>
      <c r="AD1435">
        <f t="shared" ca="1" si="699"/>
        <v>1.4353582404859488</v>
      </c>
      <c r="AE1435">
        <f t="shared" ca="1" si="700"/>
        <v>37.622024513295443</v>
      </c>
      <c r="AF1435">
        <f t="shared" ca="1" si="701"/>
        <v>7.237021473315508E-3</v>
      </c>
      <c r="AG1435">
        <f t="shared" ca="1" si="702"/>
        <v>0</v>
      </c>
      <c r="AH1435">
        <f ca="1">IFERROR(IF(V32="Supercritical",MAX($D$16,IFERROR(L1435,MAX($D$16,POWER((ABS(K1435)^2)/($I$5*MAX(F1435,0.1)^2),1/3)))),IF(V32="Subcritical",MAX($D$16,IFERROR(W1435,MAX($D$16,POWER((ABS(K1435)^2)/($I$5*MAX(F1435,0.1)^2),1/3)))),IF(AND(IFERROR(V1435,0)=1,IFERROR(AG1435,0)=1),IF(IFERROR(T1435,-1E+99)&gt;=IFERROR(AE1435,-1E+99),MAX($D$16,IFERROR(L1435,MAX($D$16,POWER((ABS(K1435)^2)/($I$5*MAX(F1435,0.1)^2),1/3)))),MAX($D$16,IFERROR(W1435,MAX($D$16,POWER((ABS(K1435)^2)/($I$5*MAX(F1435,0.1)^2),1/3))))),IF(IFERROR(V1435,0)=1,MAX($D$16,IFERROR(L1435,MAX($D$16,POWER((ABS(K1435)^2)/($I$5*MAX(F1435,0.1)^2),1/3)))),IF(IFERROR(AG1435,0)=1,MAX($D$16,IFERROR(W1435,MAX($D$16,POWER((ABS(K1435)^2)/($I$5*MAX(F1435,0.1)^2),1/3)))),MAX($D$16,POWER((ABS(K1435)^2)/($I$5*MAX(F1435,0.1)^2),1/3))))))),MAX($D$16,POWER((ABS(K1435)^2)/($I$5*MAX(F1435,0.1)^2),1/3)))</f>
        <v>2.1392419749816058</v>
      </c>
      <c r="AI1435">
        <f t="shared" ca="1" si="703"/>
        <v>634.01684197498162</v>
      </c>
      <c r="AJ1435">
        <f t="shared" ca="1" si="704"/>
        <v>635.08646296247241</v>
      </c>
      <c r="AM1435">
        <v>0</v>
      </c>
      <c r="AN1435">
        <v>0</v>
      </c>
      <c r="AO1435">
        <f t="shared" si="705"/>
        <v>0</v>
      </c>
      <c r="AP1435">
        <f t="shared" si="714"/>
        <v>0</v>
      </c>
      <c r="AQ1435">
        <f t="shared" ca="1" si="706"/>
        <v>1.0000000000000002</v>
      </c>
      <c r="AR1435" t="str">
        <f t="shared" ca="1" si="707"/>
        <v>Supercritical</v>
      </c>
      <c r="AS1435">
        <f t="shared" ca="1" si="708"/>
        <v>3.8147189075127259E-3</v>
      </c>
    </row>
    <row r="1436" spans="1:45" x14ac:dyDescent="0.35">
      <c r="A1436">
        <v>1375</v>
      </c>
      <c r="B1436">
        <v>1373.9960000000001</v>
      </c>
      <c r="C1436">
        <v>616065.69200000004</v>
      </c>
      <c r="D1436">
        <v>3096633.3870000001</v>
      </c>
      <c r="E1436">
        <v>631.87739999999997</v>
      </c>
      <c r="F1436">
        <v>5.1989999999999998</v>
      </c>
      <c r="G1436">
        <v>0</v>
      </c>
      <c r="H1436" t="s">
        <v>154</v>
      </c>
      <c r="I1436">
        <v>0</v>
      </c>
      <c r="J1436">
        <f t="shared" si="709"/>
        <v>1</v>
      </c>
      <c r="K1436">
        <f t="shared" ca="1" si="710"/>
        <v>50.95</v>
      </c>
      <c r="L1436">
        <f t="shared" ca="1" si="711"/>
        <v>2.1392419749816058</v>
      </c>
      <c r="M1436">
        <f t="shared" ca="1" si="684"/>
        <v>11.121919027929369</v>
      </c>
      <c r="N1436">
        <f t="shared" ca="1" si="685"/>
        <v>1.1735096663468938</v>
      </c>
      <c r="O1436">
        <f t="shared" ca="1" si="686"/>
        <v>4.5810439612133784</v>
      </c>
      <c r="P1436">
        <f t="shared" ca="1" si="687"/>
        <v>634.01664197498155</v>
      </c>
      <c r="Q1436">
        <f t="shared" ca="1" si="688"/>
        <v>635.08626296247235</v>
      </c>
      <c r="R1436">
        <f t="shared" ca="1" si="689"/>
        <v>3.8147189075127259E-3</v>
      </c>
      <c r="S1436">
        <f t="shared" ca="1" si="690"/>
        <v>1.0000000000000002</v>
      </c>
      <c r="T1436">
        <f t="shared" ca="1" si="691"/>
        <v>35.68871404033969</v>
      </c>
      <c r="U1436">
        <f t="shared" ca="1" si="712"/>
        <v>-3.6147189074426933E-3</v>
      </c>
      <c r="V1436">
        <f t="shared" ca="1" si="713"/>
        <v>1</v>
      </c>
      <c r="W1436">
        <f t="shared" ca="1" si="692"/>
        <v>1.6812012600731383</v>
      </c>
      <c r="X1436">
        <f t="shared" ca="1" si="693"/>
        <v>8.7405653511202459</v>
      </c>
      <c r="Y1436">
        <f t="shared" ca="1" si="694"/>
        <v>1.0209268084933947</v>
      </c>
      <c r="Z1436">
        <f t="shared" ca="1" si="695"/>
        <v>5.8291423899107313</v>
      </c>
      <c r="AA1436">
        <f t="shared" ca="1" si="696"/>
        <v>633.55860126007315</v>
      </c>
      <c r="AB1436">
        <f t="shared" ca="1" si="697"/>
        <v>635.29045146404121</v>
      </c>
      <c r="AC1436">
        <f t="shared" ca="1" si="698"/>
        <v>7.4370214733975055E-3</v>
      </c>
      <c r="AD1436">
        <f t="shared" ca="1" si="699"/>
        <v>1.4353582404859928</v>
      </c>
      <c r="AE1436">
        <f t="shared" ca="1" si="700"/>
        <v>37.622024513295756</v>
      </c>
      <c r="AF1436">
        <f t="shared" ca="1" si="701"/>
        <v>6.933520340112409E-3</v>
      </c>
      <c r="AG1436">
        <f t="shared" ca="1" si="702"/>
        <v>0</v>
      </c>
      <c r="AH1436">
        <f ca="1">IFERROR(IF(V32="Supercritical",MAX($D$16,IFERROR(L1436,MAX($D$16,POWER((ABS(K1436)^2)/($I$5*MAX(F1436,0.1)^2),1/3)))),IF(V32="Subcritical",MAX($D$16,IFERROR(W1436,MAX($D$16,POWER((ABS(K1436)^2)/($I$5*MAX(F1436,0.1)^2),1/3)))),IF(AND(IFERROR(V1436,0)=1,IFERROR(AG1436,0)=1),IF(IFERROR(T1436,-1E+99)&gt;=IFERROR(AE1436,-1E+99),MAX($D$16,IFERROR(L1436,MAX($D$16,POWER((ABS(K1436)^2)/($I$5*MAX(F1436,0.1)^2),1/3)))),MAX($D$16,IFERROR(W1436,MAX($D$16,POWER((ABS(K1436)^2)/($I$5*MAX(F1436,0.1)^2),1/3))))),IF(IFERROR(V1436,0)=1,MAX($D$16,IFERROR(L1436,MAX($D$16,POWER((ABS(K1436)^2)/($I$5*MAX(F1436,0.1)^2),1/3)))),IF(IFERROR(AG1436,0)=1,MAX($D$16,IFERROR(W1436,MAX($D$16,POWER((ABS(K1436)^2)/($I$5*MAX(F1436,0.1)^2),1/3)))),MAX($D$16,POWER((ABS(K1436)^2)/($I$5*MAX(F1436,0.1)^2),1/3))))))),MAX($D$16,POWER((ABS(K1436)^2)/($I$5*MAX(F1436,0.1)^2),1/3)))</f>
        <v>2.1392419749816058</v>
      </c>
      <c r="AI1436">
        <f t="shared" ca="1" si="703"/>
        <v>634.01664197498155</v>
      </c>
      <c r="AJ1436">
        <f t="shared" ca="1" si="704"/>
        <v>635.08626296247235</v>
      </c>
      <c r="AM1436">
        <v>0</v>
      </c>
      <c r="AN1436">
        <v>0</v>
      </c>
      <c r="AO1436">
        <f t="shared" si="705"/>
        <v>0</v>
      </c>
      <c r="AP1436">
        <f t="shared" si="714"/>
        <v>0</v>
      </c>
      <c r="AQ1436">
        <f t="shared" ca="1" si="706"/>
        <v>1.0000000000000002</v>
      </c>
      <c r="AR1436" t="str">
        <f t="shared" ca="1" si="707"/>
        <v>Supercritical</v>
      </c>
      <c r="AS1436">
        <f t="shared" ca="1" si="708"/>
        <v>3.8147189075127259E-3</v>
      </c>
    </row>
    <row r="1437" spans="1:45" x14ac:dyDescent="0.35">
      <c r="A1437">
        <v>1376</v>
      </c>
      <c r="B1437">
        <v>1374.9960000000001</v>
      </c>
      <c r="C1437">
        <v>616065.69799999997</v>
      </c>
      <c r="D1437">
        <v>3096632.3870000001</v>
      </c>
      <c r="E1437">
        <v>631.87720000000002</v>
      </c>
      <c r="F1437">
        <v>5.2</v>
      </c>
      <c r="G1437">
        <v>0</v>
      </c>
      <c r="H1437" t="s">
        <v>154</v>
      </c>
      <c r="I1437">
        <v>5.7000000000000002E-2</v>
      </c>
      <c r="J1437">
        <f t="shared" si="709"/>
        <v>1</v>
      </c>
      <c r="K1437">
        <f t="shared" ca="1" si="710"/>
        <v>50.95</v>
      </c>
      <c r="L1437">
        <f t="shared" ca="1" si="711"/>
        <v>2.1389677043987478</v>
      </c>
      <c r="M1437">
        <f t="shared" ca="1" si="684"/>
        <v>11.122632062873489</v>
      </c>
      <c r="N1437">
        <f t="shared" ca="1" si="685"/>
        <v>1.1735290000551568</v>
      </c>
      <c r="O1437">
        <f t="shared" ca="1" si="686"/>
        <v>4.5807502857230418</v>
      </c>
      <c r="P1437">
        <f t="shared" ca="1" si="687"/>
        <v>634.01616770439875</v>
      </c>
      <c r="Q1437">
        <f t="shared" ca="1" si="688"/>
        <v>635.08565155659812</v>
      </c>
      <c r="R1437">
        <f t="shared" ca="1" si="689"/>
        <v>3.8141460404132466E-3</v>
      </c>
      <c r="S1437">
        <f t="shared" ca="1" si="690"/>
        <v>1.0000000000000004</v>
      </c>
      <c r="T1437">
        <f t="shared" ca="1" si="691"/>
        <v>35.686426155594638</v>
      </c>
      <c r="U1437">
        <f t="shared" ca="1" si="712"/>
        <v>-3.3457811809967097E-3</v>
      </c>
      <c r="V1437">
        <f t="shared" ca="1" si="713"/>
        <v>1</v>
      </c>
      <c r="W1437">
        <f t="shared" ca="1" si="692"/>
        <v>1.6812012600731212</v>
      </c>
      <c r="X1437">
        <f t="shared" ca="1" si="693"/>
        <v>8.7422465523802302</v>
      </c>
      <c r="Y1437">
        <f t="shared" ca="1" si="694"/>
        <v>1.0210039217159947</v>
      </c>
      <c r="Z1437">
        <f t="shared" ca="1" si="695"/>
        <v>5.8280214009896545</v>
      </c>
      <c r="AA1437">
        <f t="shared" ca="1" si="696"/>
        <v>633.55840126007308</v>
      </c>
      <c r="AB1437">
        <f t="shared" ca="1" si="697"/>
        <v>635.28958543185661</v>
      </c>
      <c r="AC1437">
        <f t="shared" ca="1" si="698"/>
        <v>7.4334127264769371E-3</v>
      </c>
      <c r="AD1437">
        <f t="shared" ca="1" si="699"/>
        <v>1.4350822100551521</v>
      </c>
      <c r="AE1437">
        <f t="shared" ca="1" si="700"/>
        <v>37.617615674485833</v>
      </c>
      <c r="AF1437">
        <f t="shared" ca="1" si="701"/>
        <v>7.3978752227503719E-3</v>
      </c>
      <c r="AG1437">
        <f t="shared" ca="1" si="702"/>
        <v>0</v>
      </c>
      <c r="AH1437">
        <f ca="1">IFERROR(IF(V32="Supercritical",MAX($D$16,IFERROR(L1437,MAX($D$16,POWER((ABS(K1437)^2)/($I$5*MAX(F1437,0.1)^2),1/3)))),IF(V32="Subcritical",MAX($D$16,IFERROR(W1437,MAX($D$16,POWER((ABS(K1437)^2)/($I$5*MAX(F1437,0.1)^2),1/3)))),IF(AND(IFERROR(V1437,0)=1,IFERROR(AG1437,0)=1),IF(IFERROR(T1437,-1E+99)&gt;=IFERROR(AE1437,-1E+99),MAX($D$16,IFERROR(L1437,MAX($D$16,POWER((ABS(K1437)^2)/($I$5*MAX(F1437,0.1)^2),1/3)))),MAX($D$16,IFERROR(W1437,MAX($D$16,POWER((ABS(K1437)^2)/($I$5*MAX(F1437,0.1)^2),1/3))))),IF(IFERROR(V1437,0)=1,MAX($D$16,IFERROR(L1437,MAX($D$16,POWER((ABS(K1437)^2)/($I$5*MAX(F1437,0.1)^2),1/3)))),IF(IFERROR(AG1437,0)=1,MAX($D$16,IFERROR(W1437,MAX($D$16,POWER((ABS(K1437)^2)/($I$5*MAX(F1437,0.1)^2),1/3)))),MAX($D$16,POWER((ABS(K1437)^2)/($I$5*MAX(F1437,0.1)^2),1/3))))))),MAX($D$16,POWER((ABS(K1437)^2)/($I$5*MAX(F1437,0.1)^2),1/3)))</f>
        <v>2.1389677043987478</v>
      </c>
      <c r="AI1437">
        <f t="shared" ca="1" si="703"/>
        <v>634.01616770439875</v>
      </c>
      <c r="AJ1437">
        <f t="shared" ca="1" si="704"/>
        <v>635.08565155659812</v>
      </c>
      <c r="AM1437">
        <v>0</v>
      </c>
      <c r="AN1437">
        <v>0</v>
      </c>
      <c r="AO1437">
        <f t="shared" si="705"/>
        <v>0</v>
      </c>
      <c r="AP1437">
        <f t="shared" si="714"/>
        <v>0</v>
      </c>
      <c r="AQ1437">
        <f t="shared" ca="1" si="706"/>
        <v>1.0000000000000004</v>
      </c>
      <c r="AR1437" t="str">
        <f t="shared" ca="1" si="707"/>
        <v>Supercritical</v>
      </c>
      <c r="AS1437">
        <f t="shared" ca="1" si="708"/>
        <v>3.8141460404132466E-3</v>
      </c>
    </row>
    <row r="1438" spans="1:45" x14ac:dyDescent="0.35">
      <c r="A1438">
        <v>1377</v>
      </c>
      <c r="B1438">
        <v>1375.9960000000001</v>
      </c>
      <c r="C1438">
        <v>616065.70499999996</v>
      </c>
      <c r="D1438">
        <v>3096631.3870000001</v>
      </c>
      <c r="E1438">
        <v>631.87699999999995</v>
      </c>
      <c r="F1438">
        <v>5.2</v>
      </c>
      <c r="G1438">
        <v>0</v>
      </c>
      <c r="H1438" t="s">
        <v>154</v>
      </c>
      <c r="I1438">
        <v>5.7000000000000002E-2</v>
      </c>
      <c r="J1438">
        <f t="shared" si="709"/>
        <v>1</v>
      </c>
      <c r="K1438">
        <f t="shared" ca="1" si="710"/>
        <v>50.95</v>
      </c>
      <c r="L1438">
        <f t="shared" ca="1" si="711"/>
        <v>2.1389677043987478</v>
      </c>
      <c r="M1438">
        <f t="shared" ca="1" si="684"/>
        <v>11.122632062873489</v>
      </c>
      <c r="N1438">
        <f t="shared" ca="1" si="685"/>
        <v>1.1735290000551568</v>
      </c>
      <c r="O1438">
        <f t="shared" ca="1" si="686"/>
        <v>4.5807502857230418</v>
      </c>
      <c r="P1438">
        <f t="shared" ca="1" si="687"/>
        <v>634.01596770439869</v>
      </c>
      <c r="Q1438">
        <f t="shared" ca="1" si="688"/>
        <v>635.08545155659806</v>
      </c>
      <c r="R1438">
        <f t="shared" ca="1" si="689"/>
        <v>3.8141460404132466E-3</v>
      </c>
      <c r="S1438">
        <f t="shared" ca="1" si="690"/>
        <v>1.0000000000000004</v>
      </c>
      <c r="T1438">
        <f t="shared" ca="1" si="691"/>
        <v>35.686426155594638</v>
      </c>
      <c r="U1438">
        <f t="shared" ca="1" si="712"/>
        <v>-3.7157470063675646E-3</v>
      </c>
      <c r="V1438">
        <f t="shared" ca="1" si="713"/>
        <v>1</v>
      </c>
      <c r="W1438">
        <f t="shared" ca="1" si="692"/>
        <v>1.681201260073087</v>
      </c>
      <c r="X1438">
        <f t="shared" ca="1" si="693"/>
        <v>8.7422465523800525</v>
      </c>
      <c r="Y1438">
        <f t="shared" ca="1" si="694"/>
        <v>1.0210039217159821</v>
      </c>
      <c r="Z1438">
        <f t="shared" ca="1" si="695"/>
        <v>5.8280214009897726</v>
      </c>
      <c r="AA1438">
        <f t="shared" ca="1" si="696"/>
        <v>633.55820126007302</v>
      </c>
      <c r="AB1438">
        <f t="shared" ca="1" si="697"/>
        <v>635.28938543185666</v>
      </c>
      <c r="AC1438">
        <f t="shared" ca="1" si="698"/>
        <v>7.433412726477363E-3</v>
      </c>
      <c r="AD1438">
        <f t="shared" ca="1" si="699"/>
        <v>1.4350822100551957</v>
      </c>
      <c r="AE1438">
        <f t="shared" ca="1" si="700"/>
        <v>37.617615674486153</v>
      </c>
      <c r="AF1438">
        <f t="shared" ca="1" si="701"/>
        <v>7.233412726577626E-3</v>
      </c>
      <c r="AG1438">
        <f t="shared" ca="1" si="702"/>
        <v>0</v>
      </c>
      <c r="AH1438">
        <f ca="1">IFERROR(IF(V32="Supercritical",MAX($D$16,IFERROR(L1438,MAX($D$16,POWER((ABS(K1438)^2)/($I$5*MAX(F1438,0.1)^2),1/3)))),IF(V32="Subcritical",MAX($D$16,IFERROR(W1438,MAX($D$16,POWER((ABS(K1438)^2)/($I$5*MAX(F1438,0.1)^2),1/3)))),IF(AND(IFERROR(V1438,0)=1,IFERROR(AG1438,0)=1),IF(IFERROR(T1438,-1E+99)&gt;=IFERROR(AE1438,-1E+99),MAX($D$16,IFERROR(L1438,MAX($D$16,POWER((ABS(K1438)^2)/($I$5*MAX(F1438,0.1)^2),1/3)))),MAX($D$16,IFERROR(W1438,MAX($D$16,POWER((ABS(K1438)^2)/($I$5*MAX(F1438,0.1)^2),1/3))))),IF(IFERROR(V1438,0)=1,MAX($D$16,IFERROR(L1438,MAX($D$16,POWER((ABS(K1438)^2)/($I$5*MAX(F1438,0.1)^2),1/3)))),IF(IFERROR(AG1438,0)=1,MAX($D$16,IFERROR(W1438,MAX($D$16,POWER((ABS(K1438)^2)/($I$5*MAX(F1438,0.1)^2),1/3)))),MAX($D$16,POWER((ABS(K1438)^2)/($I$5*MAX(F1438,0.1)^2),1/3))))))),MAX($D$16,POWER((ABS(K1438)^2)/($I$5*MAX(F1438,0.1)^2),1/3)))</f>
        <v>2.1389677043987478</v>
      </c>
      <c r="AI1438">
        <f t="shared" ca="1" si="703"/>
        <v>634.01596770439869</v>
      </c>
      <c r="AJ1438">
        <f t="shared" ca="1" si="704"/>
        <v>635.08545155659806</v>
      </c>
      <c r="AM1438">
        <v>0</v>
      </c>
      <c r="AN1438">
        <v>0</v>
      </c>
      <c r="AO1438">
        <f t="shared" si="705"/>
        <v>0</v>
      </c>
      <c r="AP1438">
        <f t="shared" si="714"/>
        <v>0</v>
      </c>
      <c r="AQ1438">
        <f t="shared" ca="1" si="706"/>
        <v>1.0000000000000004</v>
      </c>
      <c r="AR1438" t="str">
        <f t="shared" ca="1" si="707"/>
        <v>Supercritical</v>
      </c>
      <c r="AS1438">
        <f t="shared" ca="1" si="708"/>
        <v>3.8141460404132466E-3</v>
      </c>
    </row>
    <row r="1439" spans="1:45" x14ac:dyDescent="0.35">
      <c r="A1439">
        <v>1378</v>
      </c>
      <c r="B1439">
        <v>1376.9960000000001</v>
      </c>
      <c r="C1439">
        <v>616065.71100000001</v>
      </c>
      <c r="D1439">
        <v>3096630.3870000001</v>
      </c>
      <c r="E1439">
        <v>631.8768</v>
      </c>
      <c r="F1439">
        <v>5.2</v>
      </c>
      <c r="G1439">
        <v>0</v>
      </c>
      <c r="H1439" t="s">
        <v>154</v>
      </c>
      <c r="I1439">
        <v>0</v>
      </c>
      <c r="J1439">
        <f t="shared" si="709"/>
        <v>1</v>
      </c>
      <c r="K1439">
        <f t="shared" ca="1" si="710"/>
        <v>50.95</v>
      </c>
      <c r="L1439">
        <f t="shared" ca="1" si="711"/>
        <v>2.1389677043987478</v>
      </c>
      <c r="M1439">
        <f t="shared" ca="1" si="684"/>
        <v>11.122632062873489</v>
      </c>
      <c r="N1439">
        <f t="shared" ca="1" si="685"/>
        <v>1.1735290000551568</v>
      </c>
      <c r="O1439">
        <f t="shared" ca="1" si="686"/>
        <v>4.5807502857230418</v>
      </c>
      <c r="P1439">
        <f t="shared" ca="1" si="687"/>
        <v>634.01576770439874</v>
      </c>
      <c r="Q1439">
        <f t="shared" ca="1" si="688"/>
        <v>635.08525155659811</v>
      </c>
      <c r="R1439">
        <f t="shared" ca="1" si="689"/>
        <v>3.8141460404132466E-3</v>
      </c>
      <c r="S1439">
        <f t="shared" ca="1" si="690"/>
        <v>1.0000000000000004</v>
      </c>
      <c r="T1439">
        <f t="shared" ca="1" si="691"/>
        <v>35.686426155594638</v>
      </c>
      <c r="U1439">
        <f t="shared" ca="1" si="712"/>
        <v>-3.6141460404905956E-3</v>
      </c>
      <c r="V1439">
        <f t="shared" ca="1" si="713"/>
        <v>1</v>
      </c>
      <c r="W1439">
        <f t="shared" ca="1" si="692"/>
        <v>1.6812012600730699</v>
      </c>
      <c r="X1439">
        <f t="shared" ca="1" si="693"/>
        <v>8.7422465523799637</v>
      </c>
      <c r="Y1439">
        <f t="shared" ca="1" si="694"/>
        <v>1.0210039217159759</v>
      </c>
      <c r="Z1439">
        <f t="shared" ca="1" si="695"/>
        <v>5.8280214009898321</v>
      </c>
      <c r="AA1439">
        <f t="shared" ca="1" si="696"/>
        <v>633.55800126007307</v>
      </c>
      <c r="AB1439">
        <f t="shared" ca="1" si="697"/>
        <v>635.28918543185671</v>
      </c>
      <c r="AC1439">
        <f t="shared" ca="1" si="698"/>
        <v>7.4334127264775738E-3</v>
      </c>
      <c r="AD1439">
        <f t="shared" ca="1" si="699"/>
        <v>1.4350822100552179</v>
      </c>
      <c r="AE1439">
        <f t="shared" ca="1" si="700"/>
        <v>37.617615674486309</v>
      </c>
      <c r="AF1439">
        <f t="shared" ca="1" si="701"/>
        <v>7.233412726577626E-3</v>
      </c>
      <c r="AG1439">
        <f t="shared" ca="1" si="702"/>
        <v>0</v>
      </c>
      <c r="AH1439">
        <f ca="1">IFERROR(IF(V32="Supercritical",MAX($D$16,IFERROR(L1439,MAX($D$16,POWER((ABS(K1439)^2)/($I$5*MAX(F1439,0.1)^2),1/3)))),IF(V32="Subcritical",MAX($D$16,IFERROR(W1439,MAX($D$16,POWER((ABS(K1439)^2)/($I$5*MAX(F1439,0.1)^2),1/3)))),IF(AND(IFERROR(V1439,0)=1,IFERROR(AG1439,0)=1),IF(IFERROR(T1439,-1E+99)&gt;=IFERROR(AE1439,-1E+99),MAX($D$16,IFERROR(L1439,MAX($D$16,POWER((ABS(K1439)^2)/($I$5*MAX(F1439,0.1)^2),1/3)))),MAX($D$16,IFERROR(W1439,MAX($D$16,POWER((ABS(K1439)^2)/($I$5*MAX(F1439,0.1)^2),1/3))))),IF(IFERROR(V1439,0)=1,MAX($D$16,IFERROR(L1439,MAX($D$16,POWER((ABS(K1439)^2)/($I$5*MAX(F1439,0.1)^2),1/3)))),IF(IFERROR(AG1439,0)=1,MAX($D$16,IFERROR(W1439,MAX($D$16,POWER((ABS(K1439)^2)/($I$5*MAX(F1439,0.1)^2),1/3)))),MAX($D$16,POWER((ABS(K1439)^2)/($I$5*MAX(F1439,0.1)^2),1/3))))))),MAX($D$16,POWER((ABS(K1439)^2)/($I$5*MAX(F1439,0.1)^2),1/3)))</f>
        <v>2.1389677043987478</v>
      </c>
      <c r="AI1439">
        <f t="shared" ca="1" si="703"/>
        <v>634.01576770439874</v>
      </c>
      <c r="AJ1439">
        <f t="shared" ca="1" si="704"/>
        <v>635.08525155659811</v>
      </c>
      <c r="AM1439">
        <v>0</v>
      </c>
      <c r="AN1439">
        <v>0</v>
      </c>
      <c r="AO1439">
        <f t="shared" si="705"/>
        <v>0</v>
      </c>
      <c r="AP1439">
        <f t="shared" si="714"/>
        <v>0</v>
      </c>
      <c r="AQ1439">
        <f t="shared" ca="1" si="706"/>
        <v>1.0000000000000004</v>
      </c>
      <c r="AR1439" t="str">
        <f t="shared" ca="1" si="707"/>
        <v>Supercritical</v>
      </c>
      <c r="AS1439">
        <f t="shared" ca="1" si="708"/>
        <v>3.8141460404132466E-3</v>
      </c>
    </row>
    <row r="1440" spans="1:45" x14ac:dyDescent="0.35">
      <c r="A1440">
        <v>1379</v>
      </c>
      <c r="B1440">
        <v>1377.9960000000001</v>
      </c>
      <c r="C1440">
        <v>616065.71699999995</v>
      </c>
      <c r="D1440">
        <v>3096629.3870000001</v>
      </c>
      <c r="E1440">
        <v>631.87660000000005</v>
      </c>
      <c r="F1440">
        <v>5.2</v>
      </c>
      <c r="G1440">
        <v>0</v>
      </c>
      <c r="H1440" t="s">
        <v>154</v>
      </c>
      <c r="I1440">
        <v>0</v>
      </c>
      <c r="J1440">
        <f t="shared" si="709"/>
        <v>1</v>
      </c>
      <c r="K1440">
        <f t="shared" ca="1" si="710"/>
        <v>50.95</v>
      </c>
      <c r="L1440">
        <f t="shared" ca="1" si="711"/>
        <v>2.1389677043987478</v>
      </c>
      <c r="M1440">
        <f t="shared" ca="1" si="684"/>
        <v>11.122632062873489</v>
      </c>
      <c r="N1440">
        <f t="shared" ca="1" si="685"/>
        <v>1.1735290000551568</v>
      </c>
      <c r="O1440">
        <f t="shared" ca="1" si="686"/>
        <v>4.5807502857230418</v>
      </c>
      <c r="P1440">
        <f t="shared" ca="1" si="687"/>
        <v>634.01556770439879</v>
      </c>
      <c r="Q1440">
        <f t="shared" ca="1" si="688"/>
        <v>635.08505155659816</v>
      </c>
      <c r="R1440">
        <f t="shared" ca="1" si="689"/>
        <v>3.8141460404132466E-3</v>
      </c>
      <c r="S1440">
        <f t="shared" ca="1" si="690"/>
        <v>1.0000000000000004</v>
      </c>
      <c r="T1440">
        <f t="shared" ca="1" si="691"/>
        <v>35.686426155594638</v>
      </c>
      <c r="U1440">
        <f t="shared" ca="1" si="712"/>
        <v>-3.6141460404905956E-3</v>
      </c>
      <c r="V1440">
        <f t="shared" ca="1" si="713"/>
        <v>1</v>
      </c>
      <c r="W1440">
        <f t="shared" ca="1" si="692"/>
        <v>1.6812012600730528</v>
      </c>
      <c r="X1440">
        <f t="shared" ca="1" si="693"/>
        <v>8.7422465523798749</v>
      </c>
      <c r="Y1440">
        <f t="shared" ca="1" si="694"/>
        <v>1.0210039217159694</v>
      </c>
      <c r="Z1440">
        <f t="shared" ca="1" si="695"/>
        <v>5.8280214009898907</v>
      </c>
      <c r="AA1440">
        <f t="shared" ca="1" si="696"/>
        <v>633.55780126007312</v>
      </c>
      <c r="AB1440">
        <f t="shared" ca="1" si="697"/>
        <v>635.28898543185687</v>
      </c>
      <c r="AC1440">
        <f t="shared" ca="1" si="698"/>
        <v>7.4334127264777889E-3</v>
      </c>
      <c r="AD1440">
        <f t="shared" ca="1" si="699"/>
        <v>1.4350822100552394</v>
      </c>
      <c r="AE1440">
        <f t="shared" ca="1" si="700"/>
        <v>37.617615674486473</v>
      </c>
      <c r="AF1440">
        <f t="shared" ca="1" si="701"/>
        <v>7.3978752227503719E-3</v>
      </c>
      <c r="AG1440">
        <f t="shared" ca="1" si="702"/>
        <v>0</v>
      </c>
      <c r="AH1440">
        <f ca="1">IFERROR(IF(V32="Supercritical",MAX($D$16,IFERROR(L1440,MAX($D$16,POWER((ABS(K1440)^2)/($I$5*MAX(F1440,0.1)^2),1/3)))),IF(V32="Subcritical",MAX($D$16,IFERROR(W1440,MAX($D$16,POWER((ABS(K1440)^2)/($I$5*MAX(F1440,0.1)^2),1/3)))),IF(AND(IFERROR(V1440,0)=1,IFERROR(AG1440,0)=1),IF(IFERROR(T1440,-1E+99)&gt;=IFERROR(AE1440,-1E+99),MAX($D$16,IFERROR(L1440,MAX($D$16,POWER((ABS(K1440)^2)/($I$5*MAX(F1440,0.1)^2),1/3)))),MAX($D$16,IFERROR(W1440,MAX($D$16,POWER((ABS(K1440)^2)/($I$5*MAX(F1440,0.1)^2),1/3))))),IF(IFERROR(V1440,0)=1,MAX($D$16,IFERROR(L1440,MAX($D$16,POWER((ABS(K1440)^2)/($I$5*MAX(F1440,0.1)^2),1/3)))),IF(IFERROR(AG1440,0)=1,MAX($D$16,IFERROR(W1440,MAX($D$16,POWER((ABS(K1440)^2)/($I$5*MAX(F1440,0.1)^2),1/3)))),MAX($D$16,POWER((ABS(K1440)^2)/($I$5*MAX(F1440,0.1)^2),1/3))))))),MAX($D$16,POWER((ABS(K1440)^2)/($I$5*MAX(F1440,0.1)^2),1/3)))</f>
        <v>2.1389677043987478</v>
      </c>
      <c r="AI1440">
        <f t="shared" ca="1" si="703"/>
        <v>634.01556770439879</v>
      </c>
      <c r="AJ1440">
        <f t="shared" ca="1" si="704"/>
        <v>635.08505155659816</v>
      </c>
      <c r="AM1440">
        <v>0</v>
      </c>
      <c r="AN1440">
        <v>0</v>
      </c>
      <c r="AO1440">
        <f t="shared" si="705"/>
        <v>0</v>
      </c>
      <c r="AP1440">
        <f t="shared" si="714"/>
        <v>0</v>
      </c>
      <c r="AQ1440">
        <f t="shared" ca="1" si="706"/>
        <v>1.0000000000000004</v>
      </c>
      <c r="AR1440" t="str">
        <f t="shared" ca="1" si="707"/>
        <v>Supercritical</v>
      </c>
      <c r="AS1440">
        <f t="shared" ca="1" si="708"/>
        <v>3.8141460404132466E-3</v>
      </c>
    </row>
    <row r="1441" spans="1:45" x14ac:dyDescent="0.35">
      <c r="A1441">
        <v>1380</v>
      </c>
      <c r="B1441">
        <v>1378.9960000000001</v>
      </c>
      <c r="C1441">
        <v>616065.723</v>
      </c>
      <c r="D1441">
        <v>3096628.3870000001</v>
      </c>
      <c r="E1441">
        <v>631.87639999999999</v>
      </c>
      <c r="F1441">
        <v>5.2</v>
      </c>
      <c r="G1441">
        <v>0</v>
      </c>
      <c r="H1441" t="s">
        <v>154</v>
      </c>
      <c r="I1441">
        <v>5.7000000000000002E-2</v>
      </c>
      <c r="J1441">
        <f t="shared" si="709"/>
        <v>1</v>
      </c>
      <c r="K1441">
        <f t="shared" ca="1" si="710"/>
        <v>50.95</v>
      </c>
      <c r="L1441">
        <f t="shared" ca="1" si="711"/>
        <v>2.1389677043987478</v>
      </c>
      <c r="M1441">
        <f t="shared" ca="1" si="684"/>
        <v>11.122632062873489</v>
      </c>
      <c r="N1441">
        <f t="shared" ca="1" si="685"/>
        <v>1.1735290000551568</v>
      </c>
      <c r="O1441">
        <f t="shared" ca="1" si="686"/>
        <v>4.5807502857230418</v>
      </c>
      <c r="P1441">
        <f t="shared" ca="1" si="687"/>
        <v>634.01536770439873</v>
      </c>
      <c r="Q1441">
        <f t="shared" ca="1" si="688"/>
        <v>635.0848515565981</v>
      </c>
      <c r="R1441">
        <f t="shared" ca="1" si="689"/>
        <v>3.8141460404132466E-3</v>
      </c>
      <c r="S1441">
        <f t="shared" ca="1" si="690"/>
        <v>1.0000000000000004</v>
      </c>
      <c r="T1441">
        <f t="shared" ca="1" si="691"/>
        <v>35.686426155594638</v>
      </c>
      <c r="U1441">
        <f t="shared" ca="1" si="712"/>
        <v>-3.7157470063675646E-3</v>
      </c>
      <c r="V1441">
        <f t="shared" ca="1" si="713"/>
        <v>1</v>
      </c>
      <c r="W1441">
        <f t="shared" ca="1" si="692"/>
        <v>1.6812012600730357</v>
      </c>
      <c r="X1441">
        <f t="shared" ca="1" si="693"/>
        <v>8.7422465523797861</v>
      </c>
      <c r="Y1441">
        <f t="shared" ca="1" si="694"/>
        <v>1.0210039217159632</v>
      </c>
      <c r="Z1441">
        <f t="shared" ca="1" si="695"/>
        <v>5.8280214009899503</v>
      </c>
      <c r="AA1441">
        <f t="shared" ca="1" si="696"/>
        <v>633.55760126007306</v>
      </c>
      <c r="AB1441">
        <f t="shared" ca="1" si="697"/>
        <v>635.28878543185681</v>
      </c>
      <c r="AC1441">
        <f t="shared" ca="1" si="698"/>
        <v>7.433412726477997E-3</v>
      </c>
      <c r="AD1441">
        <f t="shared" ca="1" si="699"/>
        <v>1.4350822100552614</v>
      </c>
      <c r="AE1441">
        <f t="shared" ca="1" si="700"/>
        <v>37.617615674486629</v>
      </c>
      <c r="AF1441">
        <f t="shared" ca="1" si="701"/>
        <v>8.3904208147487225E-3</v>
      </c>
      <c r="AG1441">
        <f t="shared" ca="1" si="702"/>
        <v>0</v>
      </c>
      <c r="AH1441">
        <f ca="1">IFERROR(IF(V32="Supercritical",MAX($D$16,IFERROR(L1441,MAX($D$16,POWER((ABS(K1441)^2)/($I$5*MAX(F1441,0.1)^2),1/3)))),IF(V32="Subcritical",MAX($D$16,IFERROR(W1441,MAX($D$16,POWER((ABS(K1441)^2)/($I$5*MAX(F1441,0.1)^2),1/3)))),IF(AND(IFERROR(V1441,0)=1,IFERROR(AG1441,0)=1),IF(IFERROR(T1441,-1E+99)&gt;=IFERROR(AE1441,-1E+99),MAX($D$16,IFERROR(L1441,MAX($D$16,POWER((ABS(K1441)^2)/($I$5*MAX(F1441,0.1)^2),1/3)))),MAX($D$16,IFERROR(W1441,MAX($D$16,POWER((ABS(K1441)^2)/($I$5*MAX(F1441,0.1)^2),1/3))))),IF(IFERROR(V1441,0)=1,MAX($D$16,IFERROR(L1441,MAX($D$16,POWER((ABS(K1441)^2)/($I$5*MAX(F1441,0.1)^2),1/3)))),IF(IFERROR(AG1441,0)=1,MAX($D$16,IFERROR(W1441,MAX($D$16,POWER((ABS(K1441)^2)/($I$5*MAX(F1441,0.1)^2),1/3)))),MAX($D$16,POWER((ABS(K1441)^2)/($I$5*MAX(F1441,0.1)^2),1/3))))))),MAX($D$16,POWER((ABS(K1441)^2)/($I$5*MAX(F1441,0.1)^2),1/3)))</f>
        <v>2.1389677043987478</v>
      </c>
      <c r="AI1441">
        <f t="shared" ca="1" si="703"/>
        <v>634.01536770439873</v>
      </c>
      <c r="AJ1441">
        <f t="shared" ca="1" si="704"/>
        <v>635.0848515565981</v>
      </c>
      <c r="AM1441">
        <v>0</v>
      </c>
      <c r="AN1441">
        <v>0</v>
      </c>
      <c r="AO1441">
        <f t="shared" si="705"/>
        <v>0</v>
      </c>
      <c r="AP1441">
        <f t="shared" si="714"/>
        <v>0</v>
      </c>
      <c r="AQ1441">
        <f t="shared" ca="1" si="706"/>
        <v>1.0000000000000004</v>
      </c>
      <c r="AR1441" t="str">
        <f t="shared" ca="1" si="707"/>
        <v>Supercritical</v>
      </c>
      <c r="AS1441">
        <f t="shared" ca="1" si="708"/>
        <v>3.8141460404132466E-3</v>
      </c>
    </row>
    <row r="1442" spans="1:45" x14ac:dyDescent="0.35">
      <c r="A1442">
        <v>1381</v>
      </c>
      <c r="B1442">
        <v>1379.9960000000001</v>
      </c>
      <c r="C1442">
        <v>616065.73</v>
      </c>
      <c r="D1442">
        <v>3096627.3870000001</v>
      </c>
      <c r="E1442">
        <v>631.87620000000004</v>
      </c>
      <c r="F1442">
        <v>5.2</v>
      </c>
      <c r="G1442">
        <v>0</v>
      </c>
      <c r="H1442" t="s">
        <v>154</v>
      </c>
      <c r="I1442">
        <v>0.40100000000000002</v>
      </c>
      <c r="J1442">
        <f t="shared" si="709"/>
        <v>1</v>
      </c>
      <c r="K1442">
        <f t="shared" ca="1" si="710"/>
        <v>50.95</v>
      </c>
      <c r="L1442">
        <f t="shared" ca="1" si="711"/>
        <v>2.1389677043987478</v>
      </c>
      <c r="M1442">
        <f t="shared" ca="1" si="684"/>
        <v>11.122632062873489</v>
      </c>
      <c r="N1442">
        <f t="shared" ca="1" si="685"/>
        <v>1.1735290000551568</v>
      </c>
      <c r="O1442">
        <f t="shared" ca="1" si="686"/>
        <v>4.5807502857230418</v>
      </c>
      <c r="P1442">
        <f t="shared" ca="1" si="687"/>
        <v>634.01516770439878</v>
      </c>
      <c r="Q1442">
        <f t="shared" ca="1" si="688"/>
        <v>635.08465155659815</v>
      </c>
      <c r="R1442">
        <f t="shared" ca="1" si="689"/>
        <v>3.8141460404132466E-3</v>
      </c>
      <c r="S1442">
        <f t="shared" ca="1" si="690"/>
        <v>1.0000000000000004</v>
      </c>
      <c r="T1442">
        <f t="shared" ca="1" si="691"/>
        <v>35.686426155594638</v>
      </c>
      <c r="U1442">
        <f t="shared" ca="1" si="712"/>
        <v>-4.3289177483529784E-3</v>
      </c>
      <c r="V1442">
        <f t="shared" ca="1" si="713"/>
        <v>1</v>
      </c>
      <c r="W1442">
        <f t="shared" ca="1" si="692"/>
        <v>1.6812012600730186</v>
      </c>
      <c r="X1442">
        <f t="shared" ca="1" si="693"/>
        <v>8.7422465523796973</v>
      </c>
      <c r="Y1442">
        <f t="shared" ca="1" si="694"/>
        <v>1.021003921715957</v>
      </c>
      <c r="Z1442">
        <f t="shared" ca="1" si="695"/>
        <v>5.8280214009900098</v>
      </c>
      <c r="AA1442">
        <f t="shared" ca="1" si="696"/>
        <v>633.55740126007311</v>
      </c>
      <c r="AB1442">
        <f t="shared" ca="1" si="697"/>
        <v>635.28858543185686</v>
      </c>
      <c r="AC1442">
        <f t="shared" ca="1" si="698"/>
        <v>7.4334127264782121E-3</v>
      </c>
      <c r="AD1442">
        <f t="shared" ca="1" si="699"/>
        <v>1.4350822100552831</v>
      </c>
      <c r="AE1442">
        <f t="shared" ca="1" si="700"/>
        <v>37.617615674486785</v>
      </c>
      <c r="AF1442">
        <f t="shared" ca="1" si="701"/>
        <v>7.2334127264639392E-3</v>
      </c>
      <c r="AG1442">
        <f t="shared" ca="1" si="702"/>
        <v>0</v>
      </c>
      <c r="AH1442">
        <f ca="1">IFERROR(IF(V32="Supercritical",MAX($D$16,IFERROR(L1442,MAX($D$16,POWER((ABS(K1442)^2)/($I$5*MAX(F1442,0.1)^2),1/3)))),IF(V32="Subcritical",MAX($D$16,IFERROR(W1442,MAX($D$16,POWER((ABS(K1442)^2)/($I$5*MAX(F1442,0.1)^2),1/3)))),IF(AND(IFERROR(V1442,0)=1,IFERROR(AG1442,0)=1),IF(IFERROR(T1442,-1E+99)&gt;=IFERROR(AE1442,-1E+99),MAX($D$16,IFERROR(L1442,MAX($D$16,POWER((ABS(K1442)^2)/($I$5*MAX(F1442,0.1)^2),1/3)))),MAX($D$16,IFERROR(W1442,MAX($D$16,POWER((ABS(K1442)^2)/($I$5*MAX(F1442,0.1)^2),1/3))))),IF(IFERROR(V1442,0)=1,MAX($D$16,IFERROR(L1442,MAX($D$16,POWER((ABS(K1442)^2)/($I$5*MAX(F1442,0.1)^2),1/3)))),IF(IFERROR(AG1442,0)=1,MAX($D$16,IFERROR(W1442,MAX($D$16,POWER((ABS(K1442)^2)/($I$5*MAX(F1442,0.1)^2),1/3)))),MAX($D$16,POWER((ABS(K1442)^2)/($I$5*MAX(F1442,0.1)^2),1/3))))))),MAX($D$16,POWER((ABS(K1442)^2)/($I$5*MAX(F1442,0.1)^2),1/3)))</f>
        <v>2.1389677043987478</v>
      </c>
      <c r="AI1442">
        <f t="shared" ca="1" si="703"/>
        <v>634.01516770439878</v>
      </c>
      <c r="AJ1442">
        <f t="shared" ca="1" si="704"/>
        <v>635.08465155659815</v>
      </c>
      <c r="AM1442">
        <v>0</v>
      </c>
      <c r="AN1442">
        <v>0</v>
      </c>
      <c r="AO1442">
        <f t="shared" si="705"/>
        <v>0</v>
      </c>
      <c r="AP1442">
        <f t="shared" si="714"/>
        <v>0</v>
      </c>
      <c r="AQ1442">
        <f t="shared" ca="1" si="706"/>
        <v>1.0000000000000004</v>
      </c>
      <c r="AR1442" t="str">
        <f t="shared" ca="1" si="707"/>
        <v>Supercritical</v>
      </c>
      <c r="AS1442">
        <f t="shared" ca="1" si="708"/>
        <v>3.8141460404132466E-3</v>
      </c>
    </row>
    <row r="1443" spans="1:45" x14ac:dyDescent="0.35">
      <c r="A1443">
        <v>1382</v>
      </c>
      <c r="B1443">
        <v>1380.9960000000001</v>
      </c>
      <c r="C1443">
        <v>616065.73</v>
      </c>
      <c r="D1443">
        <v>3096626.3870000001</v>
      </c>
      <c r="E1443">
        <v>631.87599999999998</v>
      </c>
      <c r="F1443">
        <v>5.2</v>
      </c>
      <c r="G1443">
        <v>0</v>
      </c>
      <c r="H1443" t="s">
        <v>154</v>
      </c>
      <c r="I1443">
        <v>0</v>
      </c>
      <c r="J1443">
        <f t="shared" si="709"/>
        <v>1</v>
      </c>
      <c r="K1443">
        <f t="shared" ca="1" si="710"/>
        <v>50.95</v>
      </c>
      <c r="L1443">
        <f t="shared" ca="1" si="711"/>
        <v>2.1389677043987478</v>
      </c>
      <c r="M1443">
        <f t="shared" ca="1" si="684"/>
        <v>11.122632062873489</v>
      </c>
      <c r="N1443">
        <f t="shared" ca="1" si="685"/>
        <v>1.1735290000551568</v>
      </c>
      <c r="O1443">
        <f t="shared" ca="1" si="686"/>
        <v>4.5807502857230418</v>
      </c>
      <c r="P1443">
        <f t="shared" ca="1" si="687"/>
        <v>634.01496770439871</v>
      </c>
      <c r="Q1443">
        <f t="shared" ca="1" si="688"/>
        <v>635.08445155659808</v>
      </c>
      <c r="R1443">
        <f t="shared" ca="1" si="689"/>
        <v>3.8141460404132466E-3</v>
      </c>
      <c r="S1443">
        <f t="shared" ca="1" si="690"/>
        <v>1.0000000000000004</v>
      </c>
      <c r="T1443">
        <f t="shared" ca="1" si="691"/>
        <v>35.686426155594638</v>
      </c>
      <c r="U1443">
        <f t="shared" ca="1" si="712"/>
        <v>-3.6141460403769088E-3</v>
      </c>
      <c r="V1443">
        <f t="shared" ca="1" si="713"/>
        <v>1</v>
      </c>
      <c r="W1443">
        <f t="shared" ca="1" si="692"/>
        <v>1.6812012600730015</v>
      </c>
      <c r="X1443">
        <f t="shared" ca="1" si="693"/>
        <v>8.7422465523796085</v>
      </c>
      <c r="Y1443">
        <f t="shared" ca="1" si="694"/>
        <v>1.0210039217159506</v>
      </c>
      <c r="Z1443">
        <f t="shared" ca="1" si="695"/>
        <v>5.8280214009900684</v>
      </c>
      <c r="AA1443">
        <f t="shared" ca="1" si="696"/>
        <v>633.55720126007293</v>
      </c>
      <c r="AB1443">
        <f t="shared" ca="1" si="697"/>
        <v>635.28838543185668</v>
      </c>
      <c r="AC1443">
        <f t="shared" ca="1" si="698"/>
        <v>7.4334127264784229E-3</v>
      </c>
      <c r="AD1443">
        <f t="shared" ca="1" si="699"/>
        <v>1.4350822100553051</v>
      </c>
      <c r="AE1443">
        <f t="shared" ca="1" si="700"/>
        <v>37.617615674486949</v>
      </c>
      <c r="AF1443">
        <f t="shared" ca="1" si="701"/>
        <v>2.2737367544323206E-13</v>
      </c>
      <c r="AG1443">
        <f t="shared" ca="1" si="702"/>
        <v>0</v>
      </c>
      <c r="AH1443">
        <f ca="1">IFERROR(IF(V32="Supercritical",MAX($D$16,IFERROR(L1443,MAX($D$16,POWER((ABS(K1443)^2)/($I$5*MAX(F1443,0.1)^2),1/3)))),IF(V32="Subcritical",MAX($D$16,IFERROR(W1443,MAX($D$16,POWER((ABS(K1443)^2)/($I$5*MAX(F1443,0.1)^2),1/3)))),IF(AND(IFERROR(V1443,0)=1,IFERROR(AG1443,0)=1),IF(IFERROR(T1443,-1E+99)&gt;=IFERROR(AE1443,-1E+99),MAX($D$16,IFERROR(L1443,MAX($D$16,POWER((ABS(K1443)^2)/($I$5*MAX(F1443,0.1)^2),1/3)))),MAX($D$16,IFERROR(W1443,MAX($D$16,POWER((ABS(K1443)^2)/($I$5*MAX(F1443,0.1)^2),1/3))))),IF(IFERROR(V1443,0)=1,MAX($D$16,IFERROR(L1443,MAX($D$16,POWER((ABS(K1443)^2)/($I$5*MAX(F1443,0.1)^2),1/3)))),IF(IFERROR(AG1443,0)=1,MAX($D$16,IFERROR(W1443,MAX($D$16,POWER((ABS(K1443)^2)/($I$5*MAX(F1443,0.1)^2),1/3)))),MAX($D$16,POWER((ABS(K1443)^2)/($I$5*MAX(F1443,0.1)^2),1/3))))))),MAX($D$16,POWER((ABS(K1443)^2)/($I$5*MAX(F1443,0.1)^2),1/3)))</f>
        <v>2.1389677043987478</v>
      </c>
      <c r="AI1443">
        <f t="shared" ca="1" si="703"/>
        <v>634.01496770439871</v>
      </c>
      <c r="AJ1443">
        <f t="shared" ca="1" si="704"/>
        <v>635.08445155659808</v>
      </c>
      <c r="AM1443">
        <v>0</v>
      </c>
      <c r="AN1443">
        <v>0</v>
      </c>
      <c r="AO1443">
        <f t="shared" si="705"/>
        <v>0</v>
      </c>
      <c r="AP1443">
        <f t="shared" si="714"/>
        <v>0</v>
      </c>
      <c r="AQ1443">
        <f t="shared" ca="1" si="706"/>
        <v>1.0000000000000004</v>
      </c>
      <c r="AR1443" t="str">
        <f t="shared" ca="1" si="707"/>
        <v>Supercritical</v>
      </c>
      <c r="AS1443">
        <f t="shared" ca="1" si="708"/>
        <v>3.8141460404132466E-3</v>
      </c>
    </row>
    <row r="1444" spans="1:45" x14ac:dyDescent="0.35">
      <c r="A1444">
        <v>1383</v>
      </c>
      <c r="B1444">
        <v>1381.9960000000001</v>
      </c>
      <c r="C1444">
        <v>616065.73</v>
      </c>
      <c r="D1444">
        <v>3096625.3870000001</v>
      </c>
      <c r="E1444">
        <v>631.87580000000003</v>
      </c>
      <c r="F1444">
        <v>5.2</v>
      </c>
      <c r="G1444">
        <v>0</v>
      </c>
      <c r="H1444" t="s">
        <v>154</v>
      </c>
      <c r="I1444">
        <v>0</v>
      </c>
      <c r="J1444">
        <f t="shared" si="709"/>
        <v>1</v>
      </c>
      <c r="K1444">
        <f t="shared" ca="1" si="710"/>
        <v>50.95</v>
      </c>
      <c r="L1444">
        <f t="shared" ca="1" si="711"/>
        <v>2.1389677043987478</v>
      </c>
      <c r="M1444">
        <f t="shared" ca="1" si="684"/>
        <v>11.122632062873489</v>
      </c>
      <c r="N1444">
        <f t="shared" ca="1" si="685"/>
        <v>1.1735290000551568</v>
      </c>
      <c r="O1444">
        <f t="shared" ca="1" si="686"/>
        <v>4.5807502857230418</v>
      </c>
      <c r="P1444">
        <f t="shared" ca="1" si="687"/>
        <v>634.01476770439876</v>
      </c>
      <c r="Q1444">
        <f t="shared" ca="1" si="688"/>
        <v>635.08425155659813</v>
      </c>
      <c r="R1444">
        <f t="shared" ca="1" si="689"/>
        <v>3.8141460404132466E-3</v>
      </c>
      <c r="S1444">
        <f t="shared" ca="1" si="690"/>
        <v>1.0000000000000004</v>
      </c>
      <c r="T1444">
        <f t="shared" ca="1" si="691"/>
        <v>35.686426155594638</v>
      </c>
      <c r="U1444">
        <f t="shared" ca="1" si="712"/>
        <v>-3.6141460404905956E-3</v>
      </c>
      <c r="V1444">
        <f t="shared" ca="1" si="713"/>
        <v>1</v>
      </c>
      <c r="W1444">
        <f t="shared" ca="1" si="692"/>
        <v>2.1389677043987478</v>
      </c>
      <c r="X1444">
        <f t="shared" ca="1" si="693"/>
        <v>11.122632062873489</v>
      </c>
      <c r="Y1444">
        <f t="shared" ca="1" si="694"/>
        <v>1.1735290000551568</v>
      </c>
      <c r="Z1444">
        <f t="shared" ca="1" si="695"/>
        <v>4.5807502857230418</v>
      </c>
      <c r="AA1444">
        <f t="shared" ca="1" si="696"/>
        <v>634.01476770439876</v>
      </c>
      <c r="AB1444">
        <f t="shared" ca="1" si="697"/>
        <v>635.08425155659813</v>
      </c>
      <c r="AC1444">
        <f t="shared" ca="1" si="698"/>
        <v>3.8141460404132466E-3</v>
      </c>
      <c r="AD1444">
        <f t="shared" ca="1" si="699"/>
        <v>1.0000000000000004</v>
      </c>
      <c r="AE1444">
        <f t="shared" ca="1" si="700"/>
        <v>35.686426155594638</v>
      </c>
      <c r="AF1444">
        <f t="shared" ca="1" si="701"/>
        <v>-0.60610591165800543</v>
      </c>
      <c r="AG1444">
        <f t="shared" ca="1" si="702"/>
        <v>1</v>
      </c>
      <c r="AH1444">
        <f ca="1">IFERROR(IF(V32="Supercritical",MAX($D$16,IFERROR(L1444,MAX($D$16,POWER((ABS(K1444)^2)/($I$5*MAX(F1444,0.1)^2),1/3)))),IF(V32="Subcritical",MAX($D$16,IFERROR(W1444,MAX($D$16,POWER((ABS(K1444)^2)/($I$5*MAX(F1444,0.1)^2),1/3)))),IF(AND(IFERROR(V1444,0)=1,IFERROR(AG1444,0)=1),IF(IFERROR(T1444,-1E+99)&gt;=IFERROR(AE1444,-1E+99),MAX($D$16,IFERROR(L1444,MAX($D$16,POWER((ABS(K1444)^2)/($I$5*MAX(F1444,0.1)^2),1/3)))),MAX($D$16,IFERROR(W1444,MAX($D$16,POWER((ABS(K1444)^2)/($I$5*MAX(F1444,0.1)^2),1/3))))),IF(IFERROR(V1444,0)=1,MAX($D$16,IFERROR(L1444,MAX($D$16,POWER((ABS(K1444)^2)/($I$5*MAX(F1444,0.1)^2),1/3)))),IF(IFERROR(AG1444,0)=1,MAX($D$16,IFERROR(W1444,MAX($D$16,POWER((ABS(K1444)^2)/($I$5*MAX(F1444,0.1)^2),1/3)))),MAX($D$16,POWER((ABS(K1444)^2)/($I$5*MAX(F1444,0.1)^2),1/3))))))),MAX($D$16,POWER((ABS(K1444)^2)/($I$5*MAX(F1444,0.1)^2),1/3)))</f>
        <v>2.1389677043987478</v>
      </c>
      <c r="AI1444">
        <f t="shared" ca="1" si="703"/>
        <v>634.01476770439876</v>
      </c>
      <c r="AJ1444">
        <f t="shared" ca="1" si="704"/>
        <v>635.08425155659813</v>
      </c>
      <c r="AM1444">
        <v>0</v>
      </c>
      <c r="AN1444">
        <v>0</v>
      </c>
      <c r="AO1444">
        <f t="shared" si="705"/>
        <v>0</v>
      </c>
      <c r="AP1444">
        <f t="shared" si="714"/>
        <v>0</v>
      </c>
      <c r="AQ1444">
        <f t="shared" ca="1" si="706"/>
        <v>1.0000000000000004</v>
      </c>
      <c r="AR1444" t="str">
        <f t="shared" ca="1" si="707"/>
        <v>Supercritical</v>
      </c>
      <c r="AS1444">
        <f t="shared" ca="1" si="708"/>
        <v>3.8141460404132466E-3</v>
      </c>
    </row>
    <row r="1445" spans="1:45" x14ac:dyDescent="0.35">
      <c r="A1445">
        <v>1384</v>
      </c>
      <c r="B1445">
        <v>1382.9960000000001</v>
      </c>
      <c r="C1445">
        <v>616065.73</v>
      </c>
      <c r="D1445">
        <v>3096624.3870000001</v>
      </c>
      <c r="E1445">
        <v>631.87559999999996</v>
      </c>
      <c r="F1445">
        <v>7.42</v>
      </c>
      <c r="G1445">
        <v>0</v>
      </c>
      <c r="H1445" t="s">
        <v>154</v>
      </c>
      <c r="I1445">
        <v>0</v>
      </c>
      <c r="J1445">
        <f t="shared" si="709"/>
        <v>1</v>
      </c>
      <c r="K1445">
        <f t="shared" ca="1" si="710"/>
        <v>50.95</v>
      </c>
      <c r="L1445">
        <f t="shared" ca="1" si="711"/>
        <v>0.05</v>
      </c>
      <c r="M1445">
        <f t="shared" ca="1" si="684"/>
        <v>0.371</v>
      </c>
      <c r="N1445">
        <f t="shared" ca="1" si="685"/>
        <v>4.9335106382978729E-2</v>
      </c>
      <c r="O1445">
        <f t="shared" ca="1" si="686"/>
        <v>137.33153638814017</v>
      </c>
      <c r="P1445">
        <f t="shared" ca="1" si="687"/>
        <v>631.92559999999992</v>
      </c>
      <c r="Q1445">
        <f t="shared" ca="1" si="688"/>
        <v>1593.1871130849677</v>
      </c>
      <c r="R1445">
        <f t="shared" ca="1" si="689"/>
        <v>234.52095293790322</v>
      </c>
      <c r="S1445">
        <f t="shared" ca="1" si="690"/>
        <v>196.08788979281383</v>
      </c>
      <c r="T1445">
        <f t="shared" ca="1" si="691"/>
        <v>713.26531770904603</v>
      </c>
      <c r="U1445">
        <f t="shared" ca="1" si="712"/>
        <v>-1171.3844479936183</v>
      </c>
      <c r="V1445">
        <f t="shared" ca="1" si="713"/>
        <v>0</v>
      </c>
      <c r="W1445">
        <f t="shared" ca="1" si="692"/>
        <v>1.6876038970090008</v>
      </c>
      <c r="X1445">
        <f t="shared" ca="1" si="693"/>
        <v>12.522020915806786</v>
      </c>
      <c r="Y1445">
        <f t="shared" ca="1" si="694"/>
        <v>1.1599610822448154</v>
      </c>
      <c r="Z1445">
        <f t="shared" ca="1" si="695"/>
        <v>4.0688320473642436</v>
      </c>
      <c r="AA1445">
        <f t="shared" ca="1" si="696"/>
        <v>633.56320389700898</v>
      </c>
      <c r="AB1445">
        <f t="shared" ca="1" si="697"/>
        <v>634.40700584551348</v>
      </c>
      <c r="AC1445">
        <f t="shared" ca="1" si="698"/>
        <v>3.0563105958620026E-3</v>
      </c>
      <c r="AD1445">
        <f t="shared" ca="1" si="699"/>
        <v>1.0000000000000002</v>
      </c>
      <c r="AE1445">
        <f t="shared" ca="1" si="700"/>
        <v>31.698316943915625</v>
      </c>
      <c r="AF1445">
        <f t="shared" ca="1" si="701"/>
        <v>-0.38899837428778028</v>
      </c>
      <c r="AG1445">
        <f t="shared" ca="1" si="702"/>
        <v>1</v>
      </c>
      <c r="AH1445">
        <f ca="1">IFERROR(IF(V32="Supercritical",MAX($D$16,IFERROR(L1445,MAX($D$16,POWER((ABS(K1445)^2)/($I$5*MAX(F1445,0.1)^2),1/3)))),IF(V32="Subcritical",MAX($D$16,IFERROR(W1445,MAX($D$16,POWER((ABS(K1445)^2)/($I$5*MAX(F1445,0.1)^2),1/3)))),IF(AND(IFERROR(V1445,0)=1,IFERROR(AG1445,0)=1),IF(IFERROR(T1445,-1E+99)&gt;=IFERROR(AE1445,-1E+99),MAX($D$16,IFERROR(L1445,MAX($D$16,POWER((ABS(K1445)^2)/($I$5*MAX(F1445,0.1)^2),1/3)))),MAX($D$16,IFERROR(W1445,MAX($D$16,POWER((ABS(K1445)^2)/($I$5*MAX(F1445,0.1)^2),1/3))))),IF(IFERROR(V1445,0)=1,MAX($D$16,IFERROR(L1445,MAX($D$16,POWER((ABS(K1445)^2)/($I$5*MAX(F1445,0.1)^2),1/3)))),IF(IFERROR(AG1445,0)=1,MAX($D$16,IFERROR(W1445,MAX($D$16,POWER((ABS(K1445)^2)/($I$5*MAX(F1445,0.1)^2),1/3)))),MAX($D$16,POWER((ABS(K1445)^2)/($I$5*MAX(F1445,0.1)^2),1/3))))))),MAX($D$16,POWER((ABS(K1445)^2)/($I$5*MAX(F1445,0.1)^2),1/3)))</f>
        <v>1.6876038970090008</v>
      </c>
      <c r="AI1445">
        <f t="shared" ca="1" si="703"/>
        <v>633.56320389700898</v>
      </c>
      <c r="AJ1445">
        <f t="shared" ca="1" si="704"/>
        <v>634.40700584551348</v>
      </c>
      <c r="AM1445">
        <v>0</v>
      </c>
      <c r="AN1445">
        <v>0</v>
      </c>
      <c r="AO1445">
        <f t="shared" si="705"/>
        <v>0</v>
      </c>
      <c r="AP1445">
        <f t="shared" si="714"/>
        <v>0</v>
      </c>
      <c r="AQ1445">
        <f t="shared" ca="1" si="706"/>
        <v>1.0000000000000002</v>
      </c>
      <c r="AR1445" t="str">
        <f t="shared" ca="1" si="707"/>
        <v>Supercritical</v>
      </c>
      <c r="AS1445">
        <f t="shared" ca="1" si="708"/>
        <v>3.0563105958620026E-3</v>
      </c>
    </row>
    <row r="1446" spans="1:45" x14ac:dyDescent="0.35">
      <c r="A1446">
        <v>1385</v>
      </c>
      <c r="B1446">
        <v>1383.9960000000001</v>
      </c>
      <c r="C1446">
        <v>616065.73</v>
      </c>
      <c r="D1446">
        <v>3096623.3870000001</v>
      </c>
      <c r="E1446">
        <v>631.87540000000001</v>
      </c>
      <c r="F1446">
        <v>9.8469999999999995</v>
      </c>
      <c r="G1446">
        <v>0</v>
      </c>
      <c r="H1446" t="s">
        <v>154</v>
      </c>
      <c r="I1446">
        <v>0</v>
      </c>
      <c r="J1446">
        <f t="shared" si="709"/>
        <v>1</v>
      </c>
      <c r="K1446">
        <f t="shared" ca="1" si="710"/>
        <v>50.95</v>
      </c>
      <c r="L1446">
        <f t="shared" ca="1" si="711"/>
        <v>0.05</v>
      </c>
      <c r="M1446">
        <f t="shared" ca="1" si="684"/>
        <v>0.49235000000000001</v>
      </c>
      <c r="N1446">
        <f t="shared" ca="1" si="685"/>
        <v>4.9497335880164882E-2</v>
      </c>
      <c r="O1446">
        <f t="shared" ca="1" si="686"/>
        <v>103.48329440438712</v>
      </c>
      <c r="P1446">
        <f t="shared" ca="1" si="687"/>
        <v>631.92539999999997</v>
      </c>
      <c r="Q1446">
        <f t="shared" ca="1" si="688"/>
        <v>1177.7354010593813</v>
      </c>
      <c r="R1446">
        <f t="shared" ca="1" si="689"/>
        <v>132.58078248317022</v>
      </c>
      <c r="S1446">
        <f t="shared" ca="1" si="690"/>
        <v>147.75791025314092</v>
      </c>
      <c r="T1446">
        <f t="shared" ca="1" si="691"/>
        <v>537.47141679317269</v>
      </c>
      <c r="U1446">
        <f t="shared" ca="1" si="712"/>
        <v>107.26539070737363</v>
      </c>
      <c r="V1446">
        <f t="shared" ca="1" si="713"/>
        <v>0</v>
      </c>
      <c r="W1446">
        <f t="shared" ca="1" si="692"/>
        <v>1.3974528524469285</v>
      </c>
      <c r="X1446">
        <f t="shared" ca="1" si="693"/>
        <v>13.760718238044904</v>
      </c>
      <c r="Y1446">
        <f t="shared" ca="1" si="694"/>
        <v>1.0885003067787429</v>
      </c>
      <c r="Z1446">
        <f t="shared" ca="1" si="695"/>
        <v>3.7025683629751351</v>
      </c>
      <c r="AA1446">
        <f t="shared" ca="1" si="696"/>
        <v>633.27285285244693</v>
      </c>
      <c r="AB1446">
        <f t="shared" ca="1" si="697"/>
        <v>633.97157927867045</v>
      </c>
      <c r="AC1446">
        <f t="shared" ca="1" si="698"/>
        <v>2.7547611460676121E-3</v>
      </c>
      <c r="AD1446">
        <f t="shared" ca="1" si="699"/>
        <v>1.0000000000000002</v>
      </c>
      <c r="AE1446">
        <f t="shared" ca="1" si="700"/>
        <v>28.844932430211486</v>
      </c>
      <c r="AF1446">
        <f t="shared" ca="1" si="701"/>
        <v>-2.9092298854266119E-2</v>
      </c>
      <c r="AG1446">
        <f t="shared" ca="1" si="702"/>
        <v>1</v>
      </c>
      <c r="AH1446">
        <f ca="1">IFERROR(IF(V32="Supercritical",MAX($D$16,IFERROR(L1446,MAX($D$16,POWER((ABS(K1446)^2)/($I$5*MAX(F1446,0.1)^2),1/3)))),IF(V32="Subcritical",MAX($D$16,IFERROR(W1446,MAX($D$16,POWER((ABS(K1446)^2)/($I$5*MAX(F1446,0.1)^2),1/3)))),IF(AND(IFERROR(V1446,0)=1,IFERROR(AG1446,0)=1),IF(IFERROR(T1446,-1E+99)&gt;=IFERROR(AE1446,-1E+99),MAX($D$16,IFERROR(L1446,MAX($D$16,POWER((ABS(K1446)^2)/($I$5*MAX(F1446,0.1)^2),1/3)))),MAX($D$16,IFERROR(W1446,MAX($D$16,POWER((ABS(K1446)^2)/($I$5*MAX(F1446,0.1)^2),1/3))))),IF(IFERROR(V1446,0)=1,MAX($D$16,IFERROR(L1446,MAX($D$16,POWER((ABS(K1446)^2)/($I$5*MAX(F1446,0.1)^2),1/3)))),IF(IFERROR(AG1446,0)=1,MAX($D$16,IFERROR(W1446,MAX($D$16,POWER((ABS(K1446)^2)/($I$5*MAX(F1446,0.1)^2),1/3)))),MAX($D$16,POWER((ABS(K1446)^2)/($I$5*MAX(F1446,0.1)^2),1/3))))))),MAX($D$16,POWER((ABS(K1446)^2)/($I$5*MAX(F1446,0.1)^2),1/3)))</f>
        <v>1.3974528524469285</v>
      </c>
      <c r="AI1446">
        <f t="shared" ca="1" si="703"/>
        <v>633.27285285244693</v>
      </c>
      <c r="AJ1446">
        <f t="shared" ca="1" si="704"/>
        <v>633.97157927867045</v>
      </c>
      <c r="AM1446">
        <v>0</v>
      </c>
      <c r="AN1446">
        <v>0</v>
      </c>
      <c r="AO1446">
        <f t="shared" si="705"/>
        <v>0</v>
      </c>
      <c r="AP1446">
        <f t="shared" si="714"/>
        <v>0</v>
      </c>
      <c r="AQ1446">
        <f t="shared" ca="1" si="706"/>
        <v>1.0000000000000002</v>
      </c>
      <c r="AR1446" t="str">
        <f t="shared" ca="1" si="707"/>
        <v>Supercritical</v>
      </c>
      <c r="AS1446">
        <f t="shared" ca="1" si="708"/>
        <v>2.7547611460676121E-3</v>
      </c>
    </row>
    <row r="1447" spans="1:45" x14ac:dyDescent="0.35">
      <c r="A1447">
        <v>1386</v>
      </c>
      <c r="B1447">
        <v>1384.9960000000001</v>
      </c>
      <c r="C1447">
        <v>616065.73</v>
      </c>
      <c r="D1447">
        <v>3096622.3870000001</v>
      </c>
      <c r="E1447">
        <v>631.87519999999995</v>
      </c>
      <c r="F1447">
        <v>10.1</v>
      </c>
      <c r="G1447">
        <v>0</v>
      </c>
      <c r="H1447" t="s">
        <v>154</v>
      </c>
      <c r="I1447">
        <v>0</v>
      </c>
      <c r="J1447">
        <f t="shared" si="709"/>
        <v>1</v>
      </c>
      <c r="K1447">
        <f t="shared" ca="1" si="710"/>
        <v>50.95</v>
      </c>
      <c r="L1447">
        <f t="shared" ca="1" si="711"/>
        <v>0.05</v>
      </c>
      <c r="M1447">
        <f t="shared" ca="1" si="684"/>
        <v>0.505</v>
      </c>
      <c r="N1447">
        <f t="shared" ca="1" si="685"/>
        <v>4.9509803921568632E-2</v>
      </c>
      <c r="O1447">
        <f t="shared" ca="1" si="686"/>
        <v>100.89108910891089</v>
      </c>
      <c r="P1447">
        <f t="shared" ca="1" si="687"/>
        <v>631.9251999999999</v>
      </c>
      <c r="Q1447">
        <f t="shared" ca="1" si="688"/>
        <v>1150.7331440154026</v>
      </c>
      <c r="R1447">
        <f t="shared" ca="1" si="689"/>
        <v>125.97949508913628</v>
      </c>
      <c r="S1447">
        <f t="shared" ca="1" si="690"/>
        <v>144.05664774878005</v>
      </c>
      <c r="T1447">
        <f t="shared" ca="1" si="691"/>
        <v>524.00864845555645</v>
      </c>
      <c r="U1447">
        <f t="shared" ca="1" si="712"/>
        <v>-110.37849885536798</v>
      </c>
      <c r="V1447">
        <f t="shared" ca="1" si="713"/>
        <v>0</v>
      </c>
      <c r="W1447">
        <f t="shared" ca="1" si="692"/>
        <v>1.3740173201418702</v>
      </c>
      <c r="X1447">
        <f t="shared" ca="1" si="693"/>
        <v>13.877574933432888</v>
      </c>
      <c r="Y1447">
        <f t="shared" ca="1" si="694"/>
        <v>1.0801321230813876</v>
      </c>
      <c r="Z1447">
        <f t="shared" ca="1" si="695"/>
        <v>3.6713907324870436</v>
      </c>
      <c r="AA1447">
        <f t="shared" ca="1" si="696"/>
        <v>633.24921732014184</v>
      </c>
      <c r="AB1447">
        <f t="shared" ca="1" si="697"/>
        <v>633.93622598021273</v>
      </c>
      <c r="AC1447">
        <f t="shared" ca="1" si="698"/>
        <v>2.7365783692813376E-3</v>
      </c>
      <c r="AD1447">
        <f t="shared" ca="1" si="699"/>
        <v>1.0000000000000002</v>
      </c>
      <c r="AE1447">
        <f t="shared" ca="1" si="700"/>
        <v>28.60204248015518</v>
      </c>
      <c r="AF1447">
        <f t="shared" ca="1" si="701"/>
        <v>588.82846545758923</v>
      </c>
      <c r="AG1447">
        <f t="shared" ca="1" si="702"/>
        <v>1</v>
      </c>
      <c r="AH1447">
        <f ca="1">IFERROR(IF(V32="Supercritical",MAX($D$16,IFERROR(L1447,MAX($D$16,POWER((ABS(K1447)^2)/($I$5*MAX(F1447,0.1)^2),1/3)))),IF(V32="Subcritical",MAX($D$16,IFERROR(W1447,MAX($D$16,POWER((ABS(K1447)^2)/($I$5*MAX(F1447,0.1)^2),1/3)))),IF(AND(IFERROR(V1447,0)=1,IFERROR(AG1447,0)=1),IF(IFERROR(T1447,-1E+99)&gt;=IFERROR(AE1447,-1E+99),MAX($D$16,IFERROR(L1447,MAX($D$16,POWER((ABS(K1447)^2)/($I$5*MAX(F1447,0.1)^2),1/3)))),MAX($D$16,IFERROR(W1447,MAX($D$16,POWER((ABS(K1447)^2)/($I$5*MAX(F1447,0.1)^2),1/3))))),IF(IFERROR(V1447,0)=1,MAX($D$16,IFERROR(L1447,MAX($D$16,POWER((ABS(K1447)^2)/($I$5*MAX(F1447,0.1)^2),1/3)))),IF(IFERROR(AG1447,0)=1,MAX($D$16,IFERROR(W1447,MAX($D$16,POWER((ABS(K1447)^2)/($I$5*MAX(F1447,0.1)^2),1/3)))),MAX($D$16,POWER((ABS(K1447)^2)/($I$5*MAX(F1447,0.1)^2),1/3))))))),MAX($D$16,POWER((ABS(K1447)^2)/($I$5*MAX(F1447,0.1)^2),1/3)))</f>
        <v>1.3740173201418702</v>
      </c>
      <c r="AI1447">
        <f t="shared" ca="1" si="703"/>
        <v>633.24921732014184</v>
      </c>
      <c r="AJ1447">
        <f t="shared" ca="1" si="704"/>
        <v>633.93622598021273</v>
      </c>
      <c r="AM1447">
        <v>0</v>
      </c>
      <c r="AN1447">
        <v>0</v>
      </c>
      <c r="AO1447">
        <f t="shared" si="705"/>
        <v>0</v>
      </c>
      <c r="AP1447">
        <f t="shared" si="714"/>
        <v>0</v>
      </c>
      <c r="AQ1447">
        <f t="shared" ca="1" si="706"/>
        <v>1.0000000000000002</v>
      </c>
      <c r="AR1447" t="str">
        <f t="shared" ca="1" si="707"/>
        <v>Supercritical</v>
      </c>
      <c r="AS1447">
        <f t="shared" ca="1" si="708"/>
        <v>2.7365783692813376E-3</v>
      </c>
    </row>
    <row r="1448" spans="1:45" x14ac:dyDescent="0.35">
      <c r="A1448">
        <v>1387</v>
      </c>
      <c r="B1448">
        <v>1385.5150000000001</v>
      </c>
      <c r="C1448">
        <v>616065.73</v>
      </c>
      <c r="D1448">
        <v>3096621.8679999998</v>
      </c>
      <c r="E1448">
        <v>631.875</v>
      </c>
      <c r="F1448">
        <v>10.206</v>
      </c>
      <c r="G1448">
        <v>0</v>
      </c>
      <c r="H1448" t="s">
        <v>155</v>
      </c>
      <c r="I1448">
        <v>0</v>
      </c>
      <c r="J1448">
        <f t="shared" si="709"/>
        <v>0.51900000000000546</v>
      </c>
      <c r="K1448">
        <f t="shared" ca="1" si="710"/>
        <v>50.95</v>
      </c>
      <c r="L1448">
        <f t="shared" ca="1" si="711"/>
        <v>0.05</v>
      </c>
      <c r="M1448">
        <f t="shared" ca="1" si="684"/>
        <v>0.51029999999999998</v>
      </c>
      <c r="N1448">
        <f t="shared" ca="1" si="685"/>
        <v>4.9514845720939261E-2</v>
      </c>
      <c r="O1448">
        <f t="shared" ca="1" si="686"/>
        <v>99.843229472859107</v>
      </c>
      <c r="P1448">
        <f t="shared" ca="1" si="687"/>
        <v>631.92499999999995</v>
      </c>
      <c r="Q1448">
        <f t="shared" ca="1" si="688"/>
        <v>1140.0121799984709</v>
      </c>
      <c r="R1448">
        <f t="shared" ca="1" si="689"/>
        <v>123.3594765449097</v>
      </c>
      <c r="S1448">
        <f t="shared" ca="1" si="690"/>
        <v>142.56046857365067</v>
      </c>
      <c r="T1448">
        <f t="shared" ca="1" si="691"/>
        <v>518.56653340643948</v>
      </c>
      <c r="U1448">
        <f t="shared" ca="1" si="712"/>
        <v>-57.198728327183289</v>
      </c>
      <c r="V1448">
        <f t="shared" ca="1" si="713"/>
        <v>0</v>
      </c>
      <c r="W1448">
        <f>MAX($D$16,($I$14)-E1448)</f>
        <v>0.05</v>
      </c>
      <c r="X1448">
        <f t="shared" si="693"/>
        <v>0.51029999999999998</v>
      </c>
      <c r="Y1448">
        <f t="shared" si="694"/>
        <v>4.9514845720939261E-2</v>
      </c>
      <c r="Z1448">
        <f t="shared" ca="1" si="695"/>
        <v>99.843229472859107</v>
      </c>
      <c r="AA1448">
        <f t="shared" si="696"/>
        <v>631.92499999999995</v>
      </c>
      <c r="AB1448">
        <f t="shared" ca="1" si="697"/>
        <v>1140.0121799984709</v>
      </c>
      <c r="AC1448">
        <f t="shared" ca="1" si="698"/>
        <v>123.3594765449097</v>
      </c>
      <c r="AD1448">
        <f t="shared" ca="1" si="699"/>
        <v>142.56046857365067</v>
      </c>
      <c r="AE1448">
        <f t="shared" ca="1" si="700"/>
        <v>518.56653340643948</v>
      </c>
      <c r="AF1448">
        <v>0</v>
      </c>
      <c r="AG1448">
        <v>1</v>
      </c>
      <c r="AH1448">
        <f ca="1">IFERROR(IF(V32="Supercritical",MAX($D$16,IFERROR(L1448,MAX($D$16,POWER((ABS(K1448)^2)/($I$5*MAX(F1448,0.1)^2),1/3)))),IF(V32="Subcritical",MAX($D$16,IFERROR(W1448,MAX($D$16,POWER((ABS(K1448)^2)/($I$5*MAX(F1448,0.1)^2),1/3)))),IF(AND(IFERROR(V1448,0)=1,IFERROR(AG1448,0)=1),IF(IFERROR(T1448,-1E+99)&gt;=IFERROR(AE1448,-1E+99),MAX($D$16,IFERROR(L1448,MAX($D$16,POWER((ABS(K1448)^2)/($I$5*MAX(F1448,0.1)^2),1/3)))),MAX($D$16,IFERROR(W1448,MAX($D$16,POWER((ABS(K1448)^2)/($I$5*MAX(F1448,0.1)^2),1/3))))),IF(IFERROR(V1448,0)=1,MAX($D$16,IFERROR(L1448,MAX($D$16,POWER((ABS(K1448)^2)/($I$5*MAX(F1448,0.1)^2),1/3)))),IF(IFERROR(AG1448,0)=1,MAX($D$16,IFERROR(W1448,MAX($D$16,POWER((ABS(K1448)^2)/($I$5*MAX(F1448,0.1)^2),1/3)))),MAX($D$16,POWER((ABS(K1448)^2)/($I$5*MAX(F1448,0.1)^2),1/3))))))),MAX($D$16,POWER((ABS(K1448)^2)/($I$5*MAX(F1448,0.1)^2),1/3)))</f>
        <v>0.05</v>
      </c>
      <c r="AI1448">
        <f t="shared" ca="1" si="703"/>
        <v>631.92499999999995</v>
      </c>
      <c r="AJ1448">
        <f t="shared" ca="1" si="704"/>
        <v>1140.0121799984709</v>
      </c>
      <c r="AM1448">
        <v>0</v>
      </c>
      <c r="AN1448">
        <v>0</v>
      </c>
      <c r="AO1448">
        <f t="shared" si="705"/>
        <v>0</v>
      </c>
      <c r="AP1448">
        <f t="shared" si="714"/>
        <v>0</v>
      </c>
      <c r="AQ1448">
        <f t="shared" ca="1" si="706"/>
        <v>142.56046857365067</v>
      </c>
      <c r="AR1448" t="str">
        <f t="shared" ca="1" si="707"/>
        <v>Supercritical</v>
      </c>
      <c r="AS1448">
        <f t="shared" ca="1" si="708"/>
        <v>123.3594765449097</v>
      </c>
    </row>
    <row r="1451" spans="1:45" x14ac:dyDescent="0.35">
      <c r="A1451" t="s">
        <v>157</v>
      </c>
      <c r="E1451">
        <f>E33</f>
        <v>17.254999999999999</v>
      </c>
      <c r="F1451" t="s">
        <v>104</v>
      </c>
      <c r="H1451">
        <f ca="1">N33</f>
        <v>0.05</v>
      </c>
      <c r="I1451" t="s">
        <v>13</v>
      </c>
      <c r="K1451" t="str">
        <f>V33</f>
        <v>Mixed</v>
      </c>
      <c r="L1451" t="s">
        <v>105</v>
      </c>
    </row>
    <row r="1452" spans="1:45" x14ac:dyDescent="0.35">
      <c r="A1452" t="s">
        <v>106</v>
      </c>
      <c r="B1452" t="s">
        <v>107</v>
      </c>
      <c r="C1452" t="s">
        <v>108</v>
      </c>
      <c r="D1452" t="s">
        <v>109</v>
      </c>
      <c r="E1452" t="s">
        <v>110</v>
      </c>
      <c r="F1452" t="s">
        <v>111</v>
      </c>
      <c r="G1452" t="s">
        <v>112</v>
      </c>
      <c r="H1452" t="s">
        <v>9</v>
      </c>
      <c r="I1452" t="s">
        <v>113</v>
      </c>
      <c r="J1452" t="s">
        <v>114</v>
      </c>
      <c r="K1452" t="s">
        <v>115</v>
      </c>
      <c r="L1452" t="s">
        <v>116</v>
      </c>
      <c r="M1452" t="s">
        <v>117</v>
      </c>
      <c r="N1452" t="s">
        <v>118</v>
      </c>
      <c r="O1452" t="s">
        <v>119</v>
      </c>
      <c r="P1452" t="s">
        <v>120</v>
      </c>
      <c r="Q1452" t="s">
        <v>121</v>
      </c>
      <c r="R1452" t="s">
        <v>122</v>
      </c>
      <c r="S1452" t="s">
        <v>123</v>
      </c>
      <c r="T1452" t="s">
        <v>124</v>
      </c>
      <c r="U1452" t="s">
        <v>125</v>
      </c>
      <c r="V1452" t="s">
        <v>126</v>
      </c>
      <c r="W1452" t="s">
        <v>127</v>
      </c>
      <c r="X1452" t="s">
        <v>128</v>
      </c>
      <c r="Y1452" t="s">
        <v>129</v>
      </c>
      <c r="Z1452" t="s">
        <v>130</v>
      </c>
      <c r="AA1452" t="s">
        <v>131</v>
      </c>
      <c r="AB1452" t="s">
        <v>132</v>
      </c>
      <c r="AC1452" t="s">
        <v>133</v>
      </c>
      <c r="AD1452" t="s">
        <v>134</v>
      </c>
      <c r="AE1452" t="s">
        <v>135</v>
      </c>
      <c r="AF1452" t="s">
        <v>136</v>
      </c>
      <c r="AG1452" t="s">
        <v>137</v>
      </c>
      <c r="AH1452" t="s">
        <v>138</v>
      </c>
      <c r="AI1452" t="s">
        <v>139</v>
      </c>
      <c r="AJ1452" t="s">
        <v>140</v>
      </c>
      <c r="AK1452" t="s">
        <v>141</v>
      </c>
      <c r="AL1452" t="s">
        <v>142</v>
      </c>
      <c r="AM1452" t="s">
        <v>143</v>
      </c>
      <c r="AN1452" t="s">
        <v>144</v>
      </c>
      <c r="AO1452" t="s">
        <v>145</v>
      </c>
      <c r="AP1452" t="s">
        <v>146</v>
      </c>
      <c r="AQ1452" t="s">
        <v>147</v>
      </c>
      <c r="AR1452" t="s">
        <v>148</v>
      </c>
      <c r="AS1452" t="s">
        <v>149</v>
      </c>
    </row>
    <row r="1453" spans="1:45" x14ac:dyDescent="0.35">
      <c r="A1453" t="s">
        <v>22</v>
      </c>
      <c r="B1453" t="s">
        <v>54</v>
      </c>
      <c r="C1453" t="s">
        <v>54</v>
      </c>
      <c r="D1453" t="s">
        <v>54</v>
      </c>
      <c r="E1453" t="s">
        <v>54</v>
      </c>
      <c r="F1453" t="s">
        <v>54</v>
      </c>
      <c r="G1453" t="s">
        <v>22</v>
      </c>
      <c r="H1453" t="s">
        <v>22</v>
      </c>
      <c r="I1453" t="s">
        <v>150</v>
      </c>
      <c r="J1453" t="s">
        <v>54</v>
      </c>
      <c r="K1453" t="s">
        <v>13</v>
      </c>
      <c r="L1453" t="s">
        <v>54</v>
      </c>
      <c r="M1453" t="s">
        <v>151</v>
      </c>
      <c r="N1453" t="s">
        <v>54</v>
      </c>
      <c r="O1453" t="s">
        <v>152</v>
      </c>
      <c r="P1453" t="s">
        <v>54</v>
      </c>
      <c r="Q1453" t="s">
        <v>54</v>
      </c>
      <c r="R1453" t="s">
        <v>22</v>
      </c>
      <c r="S1453" t="s">
        <v>22</v>
      </c>
      <c r="T1453" t="s">
        <v>153</v>
      </c>
      <c r="U1453" t="s">
        <v>54</v>
      </c>
      <c r="V1453" t="s">
        <v>22</v>
      </c>
      <c r="W1453" t="s">
        <v>54</v>
      </c>
      <c r="X1453" t="s">
        <v>151</v>
      </c>
      <c r="Y1453" t="s">
        <v>54</v>
      </c>
      <c r="Z1453" t="s">
        <v>152</v>
      </c>
      <c r="AA1453" t="s">
        <v>54</v>
      </c>
      <c r="AB1453" t="s">
        <v>54</v>
      </c>
      <c r="AC1453" t="s">
        <v>22</v>
      </c>
      <c r="AD1453" t="s">
        <v>22</v>
      </c>
      <c r="AE1453" t="s">
        <v>153</v>
      </c>
      <c r="AF1453" t="s">
        <v>54</v>
      </c>
      <c r="AG1453" t="s">
        <v>22</v>
      </c>
      <c r="AH1453" t="s">
        <v>54</v>
      </c>
      <c r="AI1453" t="s">
        <v>54</v>
      </c>
      <c r="AJ1453" t="s">
        <v>54</v>
      </c>
      <c r="AK1453" t="s">
        <v>54</v>
      </c>
      <c r="AL1453" t="s">
        <v>54</v>
      </c>
      <c r="AM1453" t="s">
        <v>13</v>
      </c>
      <c r="AN1453" t="s">
        <v>13</v>
      </c>
      <c r="AO1453" t="s">
        <v>13</v>
      </c>
      <c r="AP1453" t="s">
        <v>13</v>
      </c>
      <c r="AQ1453" t="s">
        <v>22</v>
      </c>
      <c r="AR1453" t="s">
        <v>22</v>
      </c>
      <c r="AS1453" t="s">
        <v>22</v>
      </c>
    </row>
    <row r="1454" spans="1:45" x14ac:dyDescent="0.35">
      <c r="A1454">
        <v>1</v>
      </c>
      <c r="B1454">
        <v>0</v>
      </c>
      <c r="C1454">
        <v>616556.01300000004</v>
      </c>
      <c r="D1454">
        <v>3097760.4479999999</v>
      </c>
      <c r="E1454">
        <v>634.298</v>
      </c>
      <c r="F1454">
        <v>6.5579999999999998</v>
      </c>
      <c r="G1454">
        <v>0</v>
      </c>
      <c r="H1454" t="s">
        <v>155</v>
      </c>
      <c r="I1454">
        <v>0</v>
      </c>
      <c r="J1454">
        <v>0</v>
      </c>
      <c r="K1454">
        <f ca="1">N33</f>
        <v>0.05</v>
      </c>
      <c r="L1454">
        <f>MAX($D$16,($I$13)-E1454)</f>
        <v>0.05</v>
      </c>
      <c r="M1454">
        <f t="shared" ref="M1454:M1472" si="715">((F1454)+(G1454)*(L1454))*(L1454)</f>
        <v>0.32790000000000002</v>
      </c>
      <c r="N1454">
        <f t="shared" ref="N1454:N1472" si="716">(((F1454)+(G1454)*(L1454))*(L1454))/MAX((F1454)+2*(L1454)*SQRT(1+(G1454)^2),0.000001)</f>
        <v>4.9249023730850112E-2</v>
      </c>
      <c r="O1454">
        <f t="shared" ref="O1454:O1472" ca="1" si="717">ABS(K1454)/MAX(((F1454)+(G1454)*(L1454))*(L1454),0.000001)</f>
        <v>0.15248551387618176</v>
      </c>
      <c r="P1454">
        <f t="shared" ref="P1454:P1472" si="718">E1454+L1454</f>
        <v>634.34799999999996</v>
      </c>
      <c r="Q1454">
        <f t="shared" ref="Q1454:Q1472" ca="1" si="719">P1454+((ABS(K1454)/MAX(((F1454)+(G1454)*(L1454))*(L1454),0.000001))^2)/(2*$I$5)</f>
        <v>634.34918510866169</v>
      </c>
      <c r="R1454">
        <f t="shared" ref="R1454:R1472" ca="1" si="720">((ABS(K1454)*$D$6)/(MAX(((F1454)+(G1454)*(L1454))*(L1454),0.000001)*MAX(((((F1454)+(G1454)*(L1454))*(L1454))/MAX((F1454)+2*(L1454)*SQRT(1+(G1454)^2),0.000001))^(2/3),0.000001)))^2</f>
        <v>2.8980743670695011E-4</v>
      </c>
      <c r="S1454">
        <f t="shared" ref="S1454:S1472" ca="1" si="721">ABS(ABS(K1454)/MAX(((F1454)+(G1454)*(L1454))*(L1454),0.000001))/SQRT($I$5*MAX((((F1454)+(G1454)*(L1454))*(L1454))/MAX((F1454)+2*(G1454)*(L1454),0.000001),0.000001))</f>
        <v>0.21772539233410557</v>
      </c>
      <c r="T1454">
        <f t="shared" ref="T1454:T1472" ca="1" si="722">((F1454)*(L1454)^2)/2+(G1454)*(L1454)^3/3+(ABS(K1454)^2)/($I$5*MAX(((F1454)+(G1454)*(L1454))*(L1454),0.000001))</f>
        <v>8.9746942603271262E-3</v>
      </c>
      <c r="U1454">
        <v>0</v>
      </c>
      <c r="V1454">
        <v>1</v>
      </c>
      <c r="W1454">
        <f t="shared" ref="W1454:W1471" ca="1" si="723">IF($D$20=0,IFERROR(W1455,MAX($D$16,POWER((ABS(K1454)^2)/($I$5*MAX(F1454,0.1)^2),1/3))),IF(IFERROR(AG1455,0)=0,IFERROR(W1455,MAX($D$16,POWER((ABS(K1454)^2)/($I$5*MAX(F1454,0.1)^2),1/3))),IF(OR(IFERROR(W1454,0)=0,IFERROR(AD1455,0)&gt;1),MAX($D$16,POWER((ABS(K1454)^2)/($I$5*MAX(F1454,0.1)^2),1/3)),IF(IFERROR(AF1454,0)&gt;0,MAX($D$16,IFERROR(W1454,0)+((IFERROR(AF1454,0))*$D$18*IF((IFERROR(AD1454,0))&lt;1,1,-1))),IF(IFERROR(AF1454,0)&lt;0,IF(ABS((MAX($D$16,POWER((ABS(K1454)^2)/($I$5*MAX(F1454,0.1)^2),1/3)))-IFERROR(W1454,0))&gt;$D$19,MAX($D$16,IF((MAX($D$16,POWER((ABS(K1454)^2)/($I$5*MAX(F1454,0.1)^2),1/3)))&gt;IFERROR(W1454,0),MIN((MAX($D$16,POWER((ABS(K1454)^2)/($I$5*MAX(F1454,0.1)^2),1/3))),IFERROR(W1454,0)+(MIN(ABS(IFERROR(AF1454,0))*$D$18,ABS((MAX($D$16,POWER((ABS(K1454)^2)/($I$5*MAX(F1454,0.1)^2),1/3)))-IFERROR(W1454,0))))),MAX((MAX($D$16,POWER((ABS(K1454)^2)/($I$5*MAX(F1454,0.1)^2),1/3))),IFERROR(W1454,0)-(MIN(ABS(IFERROR(AF1454,0))*$D$18,ABS((MAX($D$16,POWER((ABS(K1454)^2)/($I$5*MAX(F1454,0.1)^2),1/3)))-IFERROR(W1454,0))))))),MAX($D$16,POWER((ABS(K1454)^2)/($I$5*MAX(F1454,0.1)^2),1/3))),MAX($D$16,IFERROR(W1454,0)))))))</f>
        <v>0.05</v>
      </c>
      <c r="X1454">
        <f t="shared" ref="X1454:X1472" ca="1" si="724">((F1454)+(G1454)*(W1454))*(W1454)</f>
        <v>0.32790000000000002</v>
      </c>
      <c r="Y1454">
        <f t="shared" ref="Y1454:Y1472" ca="1" si="725">(((F1454)+(G1454)*(W1454))*(W1454))/MAX((F1454)+2*(W1454)*SQRT(1+(G1454)^2),0.000001)</f>
        <v>4.9249023730850112E-2</v>
      </c>
      <c r="Z1454">
        <f t="shared" ref="Z1454:Z1472" ca="1" si="726">ABS(K1454)/MAX(((F1454)+(G1454)*(W1454))*(W1454),0.000001)</f>
        <v>0.15248551387618176</v>
      </c>
      <c r="AA1454">
        <f t="shared" ref="AA1454:AA1472" ca="1" si="727">E1454+W1454</f>
        <v>634.34799999999996</v>
      </c>
      <c r="AB1454">
        <f t="shared" ref="AB1454:AB1472" ca="1" si="728">AA1454+((ABS(K1454)/MAX(((F1454)+(G1454)*(W1454))*(W1454),0.000001))^2)/(2*$I$5)</f>
        <v>634.34918510866169</v>
      </c>
      <c r="AC1454">
        <f t="shared" ref="AC1454:AC1472" ca="1" si="729">((ABS(K1454)*$D$6)/(MAX(((F1454)+(G1454)*(W1454))*(W1454),0.000001)*MAX(((((F1454)+(G1454)*(W1454))*(W1454))/MAX((F1454)+2*(W1454)*SQRT(1+(G1454)^2),0.000001))^(2/3),0.000001)))^2</f>
        <v>2.8980743670695011E-4</v>
      </c>
      <c r="AD1454">
        <f t="shared" ref="AD1454:AD1472" ca="1" si="730">ABS(ABS(K1454)/MAX(((F1454)+(G1454)*(W1454))*(W1454),0.000001))/SQRT($I$5*MAX((((F1454)+(G1454)*(W1454))*(W1454))/MAX((F1454)+2*(G1454)*(W1454),0.000001),0.000001))</f>
        <v>0.21772539233410557</v>
      </c>
      <c r="AE1454">
        <f t="shared" ref="AE1454:AE1472" ca="1" si="731">((F1454)*(W1454)^2)/2+(G1454)*(W1454)^3/3+(ABS(K1454)^2)/($I$5*MAX(((F1454)+(G1454)*(W1454))*(W1454),0.000001))</f>
        <v>8.9746942603271262E-3</v>
      </c>
      <c r="AF1454">
        <f t="shared" ref="AF1454:AF1471" ca="1" si="732">IF($D$20=0,0,IFERROR(AB1455+(((AC1454+AC1455)/2)*J1455)+(IF(Z1454&gt;Z1455,$D$8*((Z1454^2-Z1455^2)/(2*$I$5)),$D$9*((Z1455^2-Z1454^2)/(2*$I$5)))+($D$10*(ABS(I1455)/90)*(MAX(Z1454^2,Z1455^2)/(2*$I$5))))-AB1454,0))</f>
        <v>-1.8743611622085155E-3</v>
      </c>
      <c r="AG1454">
        <f t="shared" ref="AG1454:AG1471" ca="1" si="733">IF($D$20=0,1,IFERROR(IF(ROUND(AD1454,3)=1,1,IF(AND(ABS(AF1454)&lt;$D$19,AD1454&lt;1),1,0)),0))</f>
        <v>0</v>
      </c>
      <c r="AH1454">
        <f ca="1">IFERROR(IF(V33="Supercritical",MAX($D$16,IFERROR(L1454,MAX($D$16,POWER((ABS(K1454)^2)/($I$5*MAX(F1454,0.1)^2),1/3)))),IF(V33="Subcritical",MAX($D$16,IFERROR(W1454,MAX($D$16,POWER((ABS(K1454)^2)/($I$5*MAX(F1454,0.1)^2),1/3)))),IF(AND(IFERROR(V1454,0)=1,IFERROR(AG1454,0)=1),IF(IFERROR(T1454,-1E+99)&gt;=IFERROR(AE1454,-1E+99),MAX($D$16,IFERROR(L1454,MAX($D$16,POWER((ABS(K1454)^2)/($I$5*MAX(F1454,0.1)^2),1/3)))),MAX($D$16,IFERROR(W1454,MAX($D$16,POWER((ABS(K1454)^2)/($I$5*MAX(F1454,0.1)^2),1/3))))),IF(IFERROR(V1454,0)=1,MAX($D$16,IFERROR(L1454,MAX($D$16,POWER((ABS(K1454)^2)/($I$5*MAX(F1454,0.1)^2),1/3)))),IF(IFERROR(AG1454,0)=1,MAX($D$16,IFERROR(W1454,MAX($D$16,POWER((ABS(K1454)^2)/($I$5*MAX(F1454,0.1)^2),1/3)))),MAX($D$16,POWER((ABS(K1454)^2)/($I$5*MAX(F1454,0.1)^2),1/3))))))),MAX($D$16,POWER((ABS(K1454)^2)/($I$5*MAX(F1454,0.1)^2),1/3)))</f>
        <v>0.05</v>
      </c>
      <c r="AI1454">
        <f t="shared" ref="AI1454:AI1472" ca="1" si="734">E1454+AH1454</f>
        <v>634.34799999999996</v>
      </c>
      <c r="AJ1454">
        <f t="shared" ref="AJ1454:AJ1472" ca="1" si="735">AI1454+((ABS(K1454)/MAX(((F1454)+(G1454)*(AH1454))*(AH1454),0.000001))^2)/(2*$I$5)</f>
        <v>634.34918510866169</v>
      </c>
      <c r="AM1454">
        <v>0</v>
      </c>
      <c r="AN1454">
        <v>0</v>
      </c>
      <c r="AO1454">
        <f t="shared" ref="AO1454:AO1472" si="736">AM1454+AN1454</f>
        <v>0</v>
      </c>
      <c r="AP1454">
        <f>AO1454</f>
        <v>0</v>
      </c>
      <c r="AQ1454">
        <f t="shared" ref="AQ1454:AQ1472" ca="1" si="737">ABS(ABS(K1454)/MAX(((F1454)+(G1454)*(AH1454))*(AH1454),0.000001))/SQRT($I$5*MAX((((F1454)+(G1454)*(AH1454))*(AH1454))/MAX((F1454)+2*(G1454)*(AH1454),0.000001),0.000001))</f>
        <v>0.21772539233410557</v>
      </c>
      <c r="AR1454" t="str">
        <f t="shared" ref="AR1454:AR1472" ca="1" si="738">IF(AQ1454&lt;1,"Subcritical","Supercritical")</f>
        <v>Subcritical</v>
      </c>
      <c r="AS1454">
        <f t="shared" ref="AS1454:AS1472" ca="1" si="739">((ABS(K1454)*$D$6)/(MAX(((F1454)+(G1454)*(AH1454))*(AH1454),0.000001)*MAX(((((F1454)+(G1454)*(AH1454))*(AH1454))/MAX((F1454)+2*(AH1454)*SQRT(1+(G1454)^2),0.000001))^(2/3),0.000001)))^2</f>
        <v>2.8980743670695011E-4</v>
      </c>
    </row>
    <row r="1455" spans="1:45" x14ac:dyDescent="0.35">
      <c r="A1455">
        <v>2</v>
      </c>
      <c r="B1455">
        <v>1</v>
      </c>
      <c r="C1455">
        <v>616555.54299999995</v>
      </c>
      <c r="D1455">
        <v>3097759.5649999999</v>
      </c>
      <c r="E1455">
        <v>634.29600000000005</v>
      </c>
      <c r="F1455">
        <v>7.1909999999999998</v>
      </c>
      <c r="G1455">
        <v>0</v>
      </c>
      <c r="H1455" t="s">
        <v>155</v>
      </c>
      <c r="I1455">
        <v>2.7E-2</v>
      </c>
      <c r="J1455">
        <f t="shared" ref="J1455:J1472" si="740">B1455-B1454</f>
        <v>1</v>
      </c>
      <c r="K1455">
        <f t="shared" ref="K1455:K1472" ca="1" si="741">MAX(0.05,K1454-AO1454)</f>
        <v>0.05</v>
      </c>
      <c r="L1455">
        <f t="shared" ref="L1455:L1472" ca="1" si="742">IF($D$20=0,IFERROR(L1454,MAX($D$16,POWER((ABS(K1455)^2)/($I$5*MAX(F1455,0.1)^2),1/3))),IF(IFERROR(V1454,0)=0,IFERROR(L1454,MAX($D$16,POWER((ABS(K1455)^2)/($I$5*MAX(F1455,0.1)^2),1/3))),IF(OR(IFERROR(L1455,0)=0,IFERROR(S1454,0)&lt;1,IFERROR(S1455,0)&lt;1),MAX($D$16,POWER((ABS(K1455)^2)/($I$5*MAX(F1455,0.1)^2),1/3)),IF(IFERROR(U1455,0)&gt;0,MAX($D$16,IFERROR(L1455,0)+((IFERROR(U1455,0))*$D$18*IF((IFERROR(S1455,0))&lt;1,1,-1))),IF(IFERROR(U1455,0)&lt;0,IF(ABS((MAX($D$16,POWER((ABS(K1455)^2)/($I$5*MAX(F1455,0.1)^2),1/3)))-IFERROR(L1455,0))&gt;$D$19,MAX($D$16,IF((MAX($D$16,POWER((ABS(K1455)^2)/($I$5*MAX(F1455,0.1)^2),1/3)))&gt;IFERROR(L1455,0),MIN((MAX($D$16,POWER((ABS(K1455)^2)/($I$5*MAX(F1455,0.1)^2),1/3))),IFERROR(L1455,0)+(MIN(ABS(IFERROR(U1455,0))*$D$18,ABS((MAX($D$16,POWER((ABS(K1455)^2)/($I$5*MAX(F1455,0.1)^2),1/3)))-IFERROR(L1455,0))))),MAX((MAX($D$16,POWER((ABS(K1455)^2)/($I$5*MAX(F1455,0.1)^2),1/3))),IFERROR(L1455,0)-(MIN(ABS(IFERROR(U1455,0))*$D$18,ABS((MAX($D$16,POWER((ABS(K1455)^2)/($I$5*MAX(F1455,0.1)^2),1/3)))-IFERROR(L1455,0))))))),MAX($D$16,POWER((ABS(K1455)^2)/($I$5*MAX(F1455,0.1)^2),1/3))),MAX($D$16,IFERROR(L1455,0)))))))</f>
        <v>0.05</v>
      </c>
      <c r="M1455">
        <f t="shared" ca="1" si="715"/>
        <v>0.35955000000000004</v>
      </c>
      <c r="N1455">
        <f t="shared" ca="1" si="716"/>
        <v>4.9314223014675633E-2</v>
      </c>
      <c r="O1455">
        <f t="shared" ca="1" si="717"/>
        <v>0.13906271728549574</v>
      </c>
      <c r="P1455">
        <f t="shared" ca="1" si="718"/>
        <v>634.346</v>
      </c>
      <c r="Q1455">
        <f t="shared" ca="1" si="719"/>
        <v>634.34698564930375</v>
      </c>
      <c r="R1455">
        <f t="shared" ca="1" si="720"/>
        <v>2.4060668013528103E-4</v>
      </c>
      <c r="S1455">
        <f t="shared" ca="1" si="721"/>
        <v>0.19855974453164571</v>
      </c>
      <c r="T1455">
        <f t="shared" ca="1" si="722"/>
        <v>9.6975304142991655E-3</v>
      </c>
      <c r="U1455">
        <f t="shared" ref="U1455:U1472" ca="1" si="743">IF($D$20=0,0,IFERROR(Q1454-(((R1454+R1455)/2)*J1455)-(IF(O1454&gt;O1455,$D$8*((O1454^2-O1455^2)/(2*$I$5)),$D$9*((O1455^2-O1454^2)/(2*$I$5)))+($D$10*(ABS(I1455)/90)*(MAX(O1454^2,O1455^2)/(2*$I$5))))-Q1455,0))</f>
        <v>1.8743611622085155E-3</v>
      </c>
      <c r="V1455">
        <f t="shared" ref="V1455:V1472" ca="1" si="744">IF($D$20=0,1,IFERROR(IF(ROUND(S1455,3)=1,1,IF(AND(ABS(U1455)&lt;$D$19,S1455&gt;1),1,0)),0))</f>
        <v>0</v>
      </c>
      <c r="W1455">
        <f t="shared" ca="1" si="723"/>
        <v>0.05</v>
      </c>
      <c r="X1455">
        <f t="shared" ca="1" si="724"/>
        <v>0.35955000000000004</v>
      </c>
      <c r="Y1455">
        <f t="shared" ca="1" si="725"/>
        <v>4.9314223014675633E-2</v>
      </c>
      <c r="Z1455">
        <f t="shared" ca="1" si="726"/>
        <v>0.13906271728549574</v>
      </c>
      <c r="AA1455">
        <f t="shared" ca="1" si="727"/>
        <v>634.346</v>
      </c>
      <c r="AB1455">
        <f t="shared" ca="1" si="728"/>
        <v>634.34698564930375</v>
      </c>
      <c r="AC1455">
        <f t="shared" ca="1" si="729"/>
        <v>2.4060668013528103E-4</v>
      </c>
      <c r="AD1455">
        <f t="shared" ca="1" si="730"/>
        <v>0.19855974453164571</v>
      </c>
      <c r="AE1455">
        <f t="shared" ca="1" si="731"/>
        <v>9.6975304142991655E-3</v>
      </c>
      <c r="AF1455">
        <f t="shared" ca="1" si="732"/>
        <v>-1.9029925072118203E-3</v>
      </c>
      <c r="AG1455">
        <f t="shared" ca="1" si="733"/>
        <v>0</v>
      </c>
      <c r="AH1455">
        <f ca="1">IFERROR(IF(V33="Supercritical",MAX($D$16,IFERROR(L1455,MAX($D$16,POWER((ABS(K1455)^2)/($I$5*MAX(F1455,0.1)^2),1/3)))),IF(V33="Subcritical",MAX($D$16,IFERROR(W1455,MAX($D$16,POWER((ABS(K1455)^2)/($I$5*MAX(F1455,0.1)^2),1/3)))),IF(AND(IFERROR(V1455,0)=1,IFERROR(AG1455,0)=1),IF(IFERROR(T1455,-1E+99)&gt;=IFERROR(AE1455,-1E+99),MAX($D$16,IFERROR(L1455,MAX($D$16,POWER((ABS(K1455)^2)/($I$5*MAX(F1455,0.1)^2),1/3)))),MAX($D$16,IFERROR(W1455,MAX($D$16,POWER((ABS(K1455)^2)/($I$5*MAX(F1455,0.1)^2),1/3))))),IF(IFERROR(V1455,0)=1,MAX($D$16,IFERROR(L1455,MAX($D$16,POWER((ABS(K1455)^2)/($I$5*MAX(F1455,0.1)^2),1/3)))),IF(IFERROR(AG1455,0)=1,MAX($D$16,IFERROR(W1455,MAX($D$16,POWER((ABS(K1455)^2)/($I$5*MAX(F1455,0.1)^2),1/3)))),MAX($D$16,POWER((ABS(K1455)^2)/($I$5*MAX(F1455,0.1)^2),1/3))))))),MAX($D$16,POWER((ABS(K1455)^2)/($I$5*MAX(F1455,0.1)^2),1/3)))</f>
        <v>0.05</v>
      </c>
      <c r="AI1455">
        <f t="shared" ca="1" si="734"/>
        <v>634.346</v>
      </c>
      <c r="AJ1455">
        <f t="shared" ca="1" si="735"/>
        <v>634.34698564930375</v>
      </c>
      <c r="AM1455">
        <v>0</v>
      </c>
      <c r="AN1455">
        <v>0</v>
      </c>
      <c r="AO1455">
        <f t="shared" si="736"/>
        <v>0</v>
      </c>
      <c r="AP1455">
        <f t="shared" ref="AP1455:AP1472" si="745">AP1454+AO1455</f>
        <v>0</v>
      </c>
      <c r="AQ1455">
        <f t="shared" ca="1" si="737"/>
        <v>0.19855974453164571</v>
      </c>
      <c r="AR1455" t="str">
        <f t="shared" ca="1" si="738"/>
        <v>Subcritical</v>
      </c>
      <c r="AS1455">
        <f t="shared" ca="1" si="739"/>
        <v>2.4060668013528103E-4</v>
      </c>
    </row>
    <row r="1456" spans="1:45" x14ac:dyDescent="0.35">
      <c r="A1456">
        <v>3</v>
      </c>
      <c r="B1456">
        <v>2</v>
      </c>
      <c r="C1456">
        <v>616555.07299999997</v>
      </c>
      <c r="D1456">
        <v>3097758.6830000002</v>
      </c>
      <c r="E1456">
        <v>634.29399999999998</v>
      </c>
      <c r="F1456">
        <v>7.9269999999999996</v>
      </c>
      <c r="G1456">
        <v>0</v>
      </c>
      <c r="H1456" t="s">
        <v>155</v>
      </c>
      <c r="I1456">
        <v>2.7E-2</v>
      </c>
      <c r="J1456">
        <f t="shared" si="740"/>
        <v>1</v>
      </c>
      <c r="K1456">
        <f t="shared" ca="1" si="741"/>
        <v>0.05</v>
      </c>
      <c r="L1456">
        <f t="shared" ca="1" si="742"/>
        <v>0.05</v>
      </c>
      <c r="M1456">
        <f t="shared" ca="1" si="715"/>
        <v>0.39634999999999998</v>
      </c>
      <c r="N1456">
        <f t="shared" ca="1" si="716"/>
        <v>4.9377102279805657E-2</v>
      </c>
      <c r="O1456">
        <f t="shared" ca="1" si="717"/>
        <v>0.12615112905260503</v>
      </c>
      <c r="P1456">
        <f t="shared" ca="1" si="718"/>
        <v>634.34399999999994</v>
      </c>
      <c r="Q1456">
        <f t="shared" ca="1" si="719"/>
        <v>634.34481111658306</v>
      </c>
      <c r="R1456">
        <f t="shared" ca="1" si="720"/>
        <v>1.9766540607708103E-4</v>
      </c>
      <c r="S1456">
        <f t="shared" ca="1" si="721"/>
        <v>0.1801240220672467</v>
      </c>
      <c r="T1456">
        <f t="shared" ca="1" si="722"/>
        <v>1.0551722115456703E-2</v>
      </c>
      <c r="U1456">
        <f t="shared" ca="1" si="743"/>
        <v>1.9029925072118203E-3</v>
      </c>
      <c r="V1456">
        <f t="shared" ca="1" si="744"/>
        <v>0</v>
      </c>
      <c r="W1456">
        <f t="shared" ca="1" si="723"/>
        <v>0.05</v>
      </c>
      <c r="X1456">
        <f t="shared" ca="1" si="724"/>
        <v>0.39634999999999998</v>
      </c>
      <c r="Y1456">
        <f t="shared" ca="1" si="725"/>
        <v>4.9377102279805657E-2</v>
      </c>
      <c r="Z1456">
        <f t="shared" ca="1" si="726"/>
        <v>0.12615112905260503</v>
      </c>
      <c r="AA1456">
        <f t="shared" ca="1" si="727"/>
        <v>634.34399999999994</v>
      </c>
      <c r="AB1456">
        <f t="shared" ca="1" si="728"/>
        <v>634.34481111658306</v>
      </c>
      <c r="AC1456">
        <f t="shared" ca="1" si="729"/>
        <v>1.9766540607708103E-4</v>
      </c>
      <c r="AD1456">
        <f t="shared" ca="1" si="730"/>
        <v>0.1801240220672467</v>
      </c>
      <c r="AE1456">
        <f t="shared" ca="1" si="731"/>
        <v>1.0551722115456703E-2</v>
      </c>
      <c r="AF1456">
        <f t="shared" ca="1" si="732"/>
        <v>-1.9110384640725897E-3</v>
      </c>
      <c r="AG1456">
        <f t="shared" ca="1" si="733"/>
        <v>0</v>
      </c>
      <c r="AH1456">
        <f ca="1">IFERROR(IF(V33="Supercritical",MAX($D$16,IFERROR(L1456,MAX($D$16,POWER((ABS(K1456)^2)/($I$5*MAX(F1456,0.1)^2),1/3)))),IF(V33="Subcritical",MAX($D$16,IFERROR(W1456,MAX($D$16,POWER((ABS(K1456)^2)/($I$5*MAX(F1456,0.1)^2),1/3)))),IF(AND(IFERROR(V1456,0)=1,IFERROR(AG1456,0)=1),IF(IFERROR(T1456,-1E+99)&gt;=IFERROR(AE1456,-1E+99),MAX($D$16,IFERROR(L1456,MAX($D$16,POWER((ABS(K1456)^2)/($I$5*MAX(F1456,0.1)^2),1/3)))),MAX($D$16,IFERROR(W1456,MAX($D$16,POWER((ABS(K1456)^2)/($I$5*MAX(F1456,0.1)^2),1/3))))),IF(IFERROR(V1456,0)=1,MAX($D$16,IFERROR(L1456,MAX($D$16,POWER((ABS(K1456)^2)/($I$5*MAX(F1456,0.1)^2),1/3)))),IF(IFERROR(AG1456,0)=1,MAX($D$16,IFERROR(W1456,MAX($D$16,POWER((ABS(K1456)^2)/($I$5*MAX(F1456,0.1)^2),1/3)))),MAX($D$16,POWER((ABS(K1456)^2)/($I$5*MAX(F1456,0.1)^2),1/3))))))),MAX($D$16,POWER((ABS(K1456)^2)/($I$5*MAX(F1456,0.1)^2),1/3)))</f>
        <v>0.05</v>
      </c>
      <c r="AI1456">
        <f t="shared" ca="1" si="734"/>
        <v>634.34399999999994</v>
      </c>
      <c r="AJ1456">
        <f t="shared" ca="1" si="735"/>
        <v>634.34481111658306</v>
      </c>
      <c r="AM1456">
        <v>0</v>
      </c>
      <c r="AN1456">
        <v>0</v>
      </c>
      <c r="AO1456">
        <f t="shared" si="736"/>
        <v>0</v>
      </c>
      <c r="AP1456">
        <f t="shared" si="745"/>
        <v>0</v>
      </c>
      <c r="AQ1456">
        <f t="shared" ca="1" si="737"/>
        <v>0.1801240220672467</v>
      </c>
      <c r="AR1456" t="str">
        <f t="shared" ca="1" si="738"/>
        <v>Subcritical</v>
      </c>
      <c r="AS1456">
        <f t="shared" ca="1" si="739"/>
        <v>1.9766540607708103E-4</v>
      </c>
    </row>
    <row r="1457" spans="1:45" x14ac:dyDescent="0.35">
      <c r="A1457">
        <v>4</v>
      </c>
      <c r="B1457">
        <v>3</v>
      </c>
      <c r="C1457">
        <v>616554.603</v>
      </c>
      <c r="D1457">
        <v>3097757.8</v>
      </c>
      <c r="E1457">
        <v>634.29200000000003</v>
      </c>
      <c r="F1457">
        <v>8.6639999999999997</v>
      </c>
      <c r="G1457">
        <v>0</v>
      </c>
      <c r="H1457" t="s">
        <v>155</v>
      </c>
      <c r="I1457">
        <v>0</v>
      </c>
      <c r="J1457">
        <f t="shared" si="740"/>
        <v>1</v>
      </c>
      <c r="K1457">
        <f t="shared" ca="1" si="741"/>
        <v>0.05</v>
      </c>
      <c r="L1457">
        <f t="shared" ca="1" si="742"/>
        <v>0.05</v>
      </c>
      <c r="M1457">
        <f t="shared" ca="1" si="715"/>
        <v>0.43320000000000003</v>
      </c>
      <c r="N1457">
        <f t="shared" ca="1" si="716"/>
        <v>4.9429484253765414E-2</v>
      </c>
      <c r="O1457">
        <f t="shared" ca="1" si="717"/>
        <v>0.11542012927054478</v>
      </c>
      <c r="P1457">
        <f t="shared" ca="1" si="718"/>
        <v>634.34199999999998</v>
      </c>
      <c r="Q1457">
        <f t="shared" ca="1" si="719"/>
        <v>634.34267899114377</v>
      </c>
      <c r="R1457">
        <f t="shared" ca="1" si="720"/>
        <v>1.6523328055230462E-4</v>
      </c>
      <c r="S1457">
        <f t="shared" ca="1" si="721"/>
        <v>0.16480183782630012</v>
      </c>
      <c r="T1457">
        <f t="shared" ca="1" si="722"/>
        <v>1.1418277926965061E-2</v>
      </c>
      <c r="U1457">
        <f t="shared" ca="1" si="743"/>
        <v>1.9110384640725897E-3</v>
      </c>
      <c r="V1457">
        <f t="shared" ca="1" si="744"/>
        <v>0</v>
      </c>
      <c r="W1457">
        <f t="shared" ca="1" si="723"/>
        <v>0.05</v>
      </c>
      <c r="X1457">
        <f t="shared" ca="1" si="724"/>
        <v>0.43320000000000003</v>
      </c>
      <c r="Y1457">
        <f t="shared" ca="1" si="725"/>
        <v>4.9429484253765414E-2</v>
      </c>
      <c r="Z1457">
        <f t="shared" ca="1" si="726"/>
        <v>0.11542012927054478</v>
      </c>
      <c r="AA1457">
        <f t="shared" ca="1" si="727"/>
        <v>634.34199999999998</v>
      </c>
      <c r="AB1457">
        <f t="shared" ca="1" si="728"/>
        <v>634.34267899114377</v>
      </c>
      <c r="AC1457">
        <f t="shared" ca="1" si="729"/>
        <v>1.6523328055230462E-4</v>
      </c>
      <c r="AD1457">
        <f t="shared" ca="1" si="730"/>
        <v>0.16480183782630012</v>
      </c>
      <c r="AE1457">
        <f t="shared" ca="1" si="731"/>
        <v>1.1418277926965061E-2</v>
      </c>
      <c r="AF1457">
        <f t="shared" ca="1" si="732"/>
        <v>-1.9188973261634601E-3</v>
      </c>
      <c r="AG1457">
        <f t="shared" ca="1" si="733"/>
        <v>0</v>
      </c>
      <c r="AH1457">
        <f ca="1">IFERROR(IF(V33="Supercritical",MAX($D$16,IFERROR(L1457,MAX($D$16,POWER((ABS(K1457)^2)/($I$5*MAX(F1457,0.1)^2),1/3)))),IF(V33="Subcritical",MAX($D$16,IFERROR(W1457,MAX($D$16,POWER((ABS(K1457)^2)/($I$5*MAX(F1457,0.1)^2),1/3)))),IF(AND(IFERROR(V1457,0)=1,IFERROR(AG1457,0)=1),IF(IFERROR(T1457,-1E+99)&gt;=IFERROR(AE1457,-1E+99),MAX($D$16,IFERROR(L1457,MAX($D$16,POWER((ABS(K1457)^2)/($I$5*MAX(F1457,0.1)^2),1/3)))),MAX($D$16,IFERROR(W1457,MAX($D$16,POWER((ABS(K1457)^2)/($I$5*MAX(F1457,0.1)^2),1/3))))),IF(IFERROR(V1457,0)=1,MAX($D$16,IFERROR(L1457,MAX($D$16,POWER((ABS(K1457)^2)/($I$5*MAX(F1457,0.1)^2),1/3)))),IF(IFERROR(AG1457,0)=1,MAX($D$16,IFERROR(W1457,MAX($D$16,POWER((ABS(K1457)^2)/($I$5*MAX(F1457,0.1)^2),1/3)))),MAX($D$16,POWER((ABS(K1457)^2)/($I$5*MAX(F1457,0.1)^2),1/3))))))),MAX($D$16,POWER((ABS(K1457)^2)/($I$5*MAX(F1457,0.1)^2),1/3)))</f>
        <v>0.05</v>
      </c>
      <c r="AI1457">
        <f t="shared" ca="1" si="734"/>
        <v>634.34199999999998</v>
      </c>
      <c r="AJ1457">
        <f t="shared" ca="1" si="735"/>
        <v>634.34267899114377</v>
      </c>
      <c r="AM1457">
        <v>0</v>
      </c>
      <c r="AN1457">
        <v>0</v>
      </c>
      <c r="AO1457">
        <f t="shared" si="736"/>
        <v>0</v>
      </c>
      <c r="AP1457">
        <f t="shared" si="745"/>
        <v>0</v>
      </c>
      <c r="AQ1457">
        <f t="shared" ca="1" si="737"/>
        <v>0.16480183782630012</v>
      </c>
      <c r="AR1457" t="str">
        <f t="shared" ca="1" si="738"/>
        <v>Subcritical</v>
      </c>
      <c r="AS1457">
        <f t="shared" ca="1" si="739"/>
        <v>1.6523328055230462E-4</v>
      </c>
    </row>
    <row r="1458" spans="1:45" x14ac:dyDescent="0.35">
      <c r="A1458">
        <v>5</v>
      </c>
      <c r="B1458">
        <v>4</v>
      </c>
      <c r="C1458">
        <v>616554.13300000003</v>
      </c>
      <c r="D1458">
        <v>3097756.9169999999</v>
      </c>
      <c r="E1458">
        <v>634.29</v>
      </c>
      <c r="F1458">
        <v>9.4009999999999998</v>
      </c>
      <c r="G1458">
        <v>0</v>
      </c>
      <c r="H1458" t="s">
        <v>155</v>
      </c>
      <c r="I1458">
        <v>0</v>
      </c>
      <c r="J1458">
        <f t="shared" si="740"/>
        <v>1</v>
      </c>
      <c r="K1458">
        <f t="shared" ca="1" si="741"/>
        <v>0.05</v>
      </c>
      <c r="L1458">
        <f t="shared" ca="1" si="742"/>
        <v>0.05</v>
      </c>
      <c r="M1458">
        <f t="shared" ca="1" si="715"/>
        <v>0.47005000000000002</v>
      </c>
      <c r="N1458">
        <f t="shared" ca="1" si="716"/>
        <v>4.9473739606357231E-2</v>
      </c>
      <c r="O1458">
        <f t="shared" ca="1" si="717"/>
        <v>0.10637166258908627</v>
      </c>
      <c r="P1458">
        <f t="shared" ca="1" si="718"/>
        <v>634.33999999999992</v>
      </c>
      <c r="Q1458">
        <f t="shared" ca="1" si="719"/>
        <v>634.34057670390416</v>
      </c>
      <c r="R1458">
        <f t="shared" ca="1" si="720"/>
        <v>1.4017420258100451E-4</v>
      </c>
      <c r="S1458">
        <f t="shared" ca="1" si="721"/>
        <v>0.15188204690214493</v>
      </c>
      <c r="T1458">
        <f t="shared" ca="1" si="722"/>
        <v>1.2293409340413284E-2</v>
      </c>
      <c r="U1458">
        <f t="shared" ca="1" si="743"/>
        <v>1.9188973261634601E-3</v>
      </c>
      <c r="V1458">
        <f t="shared" ca="1" si="744"/>
        <v>0</v>
      </c>
      <c r="W1458">
        <f t="shared" ca="1" si="723"/>
        <v>0.05</v>
      </c>
      <c r="X1458">
        <f t="shared" ca="1" si="724"/>
        <v>0.47005000000000002</v>
      </c>
      <c r="Y1458">
        <f t="shared" ca="1" si="725"/>
        <v>4.9473739606357231E-2</v>
      </c>
      <c r="Z1458">
        <f t="shared" ca="1" si="726"/>
        <v>0.10637166258908627</v>
      </c>
      <c r="AA1458">
        <f t="shared" ca="1" si="727"/>
        <v>634.33999999999992</v>
      </c>
      <c r="AB1458">
        <f t="shared" ca="1" si="728"/>
        <v>634.34057670390416</v>
      </c>
      <c r="AC1458">
        <f t="shared" ca="1" si="729"/>
        <v>1.4017420258100451E-4</v>
      </c>
      <c r="AD1458">
        <f t="shared" ca="1" si="730"/>
        <v>0.15188204690214493</v>
      </c>
      <c r="AE1458">
        <f t="shared" ca="1" si="731"/>
        <v>1.2293409340413284E-2</v>
      </c>
      <c r="AF1458">
        <f t="shared" ca="1" si="732"/>
        <v>-1.9261117280393591E-3</v>
      </c>
      <c r="AG1458">
        <f t="shared" ca="1" si="733"/>
        <v>0</v>
      </c>
      <c r="AH1458">
        <f ca="1">IFERROR(IF(V33="Supercritical",MAX($D$16,IFERROR(L1458,MAX($D$16,POWER((ABS(K1458)^2)/($I$5*MAX(F1458,0.1)^2),1/3)))),IF(V33="Subcritical",MAX($D$16,IFERROR(W1458,MAX($D$16,POWER((ABS(K1458)^2)/($I$5*MAX(F1458,0.1)^2),1/3)))),IF(AND(IFERROR(V1458,0)=1,IFERROR(AG1458,0)=1),IF(IFERROR(T1458,-1E+99)&gt;=IFERROR(AE1458,-1E+99),MAX($D$16,IFERROR(L1458,MAX($D$16,POWER((ABS(K1458)^2)/($I$5*MAX(F1458,0.1)^2),1/3)))),MAX($D$16,IFERROR(W1458,MAX($D$16,POWER((ABS(K1458)^2)/($I$5*MAX(F1458,0.1)^2),1/3))))),IF(IFERROR(V1458,0)=1,MAX($D$16,IFERROR(L1458,MAX($D$16,POWER((ABS(K1458)^2)/($I$5*MAX(F1458,0.1)^2),1/3)))),IF(IFERROR(AG1458,0)=1,MAX($D$16,IFERROR(W1458,MAX($D$16,POWER((ABS(K1458)^2)/($I$5*MAX(F1458,0.1)^2),1/3)))),MAX($D$16,POWER((ABS(K1458)^2)/($I$5*MAX(F1458,0.1)^2),1/3))))))),MAX($D$16,POWER((ABS(K1458)^2)/($I$5*MAX(F1458,0.1)^2),1/3)))</f>
        <v>0.05</v>
      </c>
      <c r="AI1458">
        <f t="shared" ca="1" si="734"/>
        <v>634.33999999999992</v>
      </c>
      <c r="AJ1458">
        <f t="shared" ca="1" si="735"/>
        <v>634.34057670390416</v>
      </c>
      <c r="AM1458">
        <v>0</v>
      </c>
      <c r="AN1458">
        <v>0</v>
      </c>
      <c r="AO1458">
        <f t="shared" si="736"/>
        <v>0</v>
      </c>
      <c r="AP1458">
        <f t="shared" si="745"/>
        <v>0</v>
      </c>
      <c r="AQ1458">
        <f t="shared" ca="1" si="737"/>
        <v>0.15188204690214493</v>
      </c>
      <c r="AR1458" t="str">
        <f t="shared" ca="1" si="738"/>
        <v>Subcritical</v>
      </c>
      <c r="AS1458">
        <f t="shared" ca="1" si="739"/>
        <v>1.4017420258100451E-4</v>
      </c>
    </row>
    <row r="1459" spans="1:45" x14ac:dyDescent="0.35">
      <c r="A1459">
        <v>6</v>
      </c>
      <c r="B1459">
        <v>5.0010000000000003</v>
      </c>
      <c r="C1459">
        <v>616553.66299999994</v>
      </c>
      <c r="D1459">
        <v>3097756.034</v>
      </c>
      <c r="E1459">
        <v>634.28800000000001</v>
      </c>
      <c r="F1459">
        <v>10.138</v>
      </c>
      <c r="G1459">
        <v>0</v>
      </c>
      <c r="H1459" t="s">
        <v>155</v>
      </c>
      <c r="I1459">
        <v>2.7E-2</v>
      </c>
      <c r="J1459">
        <f t="shared" si="740"/>
        <v>1.0010000000000003</v>
      </c>
      <c r="K1459">
        <f t="shared" ca="1" si="741"/>
        <v>0.05</v>
      </c>
      <c r="L1459">
        <f t="shared" ca="1" si="742"/>
        <v>0.05</v>
      </c>
      <c r="M1459">
        <f t="shared" ca="1" si="715"/>
        <v>0.50690000000000002</v>
      </c>
      <c r="N1459">
        <f t="shared" ca="1" si="716"/>
        <v>4.9511623363938273E-2</v>
      </c>
      <c r="O1459">
        <f t="shared" ca="1" si="717"/>
        <v>9.8638784770171628E-2</v>
      </c>
      <c r="P1459">
        <f t="shared" ca="1" si="718"/>
        <v>634.33799999999997</v>
      </c>
      <c r="Q1459">
        <f t="shared" ca="1" si="719"/>
        <v>634.33849590264322</v>
      </c>
      <c r="R1459">
        <f t="shared" ca="1" si="720"/>
        <v>1.2041161730808479E-4</v>
      </c>
      <c r="S1459">
        <f t="shared" ca="1" si="721"/>
        <v>0.14084071048797242</v>
      </c>
      <c r="T1459">
        <f t="shared" ca="1" si="722"/>
        <v>1.3175246099746034E-2</v>
      </c>
      <c r="U1459">
        <f t="shared" ca="1" si="743"/>
        <v>1.9261117280393591E-3</v>
      </c>
      <c r="V1459">
        <f t="shared" ca="1" si="744"/>
        <v>0</v>
      </c>
      <c r="W1459">
        <f t="shared" ca="1" si="723"/>
        <v>0.05</v>
      </c>
      <c r="X1459">
        <f t="shared" ca="1" si="724"/>
        <v>0.50690000000000002</v>
      </c>
      <c r="Y1459">
        <f t="shared" ca="1" si="725"/>
        <v>4.9511623363938273E-2</v>
      </c>
      <c r="Z1459">
        <f t="shared" ca="1" si="726"/>
        <v>9.8638784770171628E-2</v>
      </c>
      <c r="AA1459">
        <f t="shared" ca="1" si="727"/>
        <v>634.33799999999997</v>
      </c>
      <c r="AB1459">
        <f t="shared" ca="1" si="728"/>
        <v>634.33849590264322</v>
      </c>
      <c r="AC1459">
        <f t="shared" ca="1" si="729"/>
        <v>1.2041161730808479E-4</v>
      </c>
      <c r="AD1459">
        <f t="shared" ca="1" si="730"/>
        <v>0.14084071048797242</v>
      </c>
      <c r="AE1459">
        <f t="shared" ca="1" si="731"/>
        <v>1.3175246099746034E-2</v>
      </c>
      <c r="AF1459">
        <f t="shared" ca="1" si="732"/>
        <v>-1.932999394853141E-3</v>
      </c>
      <c r="AG1459">
        <f t="shared" ca="1" si="733"/>
        <v>0</v>
      </c>
      <c r="AH1459">
        <f ca="1">IFERROR(IF(V33="Supercritical",MAX($D$16,IFERROR(L1459,MAX($D$16,POWER((ABS(K1459)^2)/($I$5*MAX(F1459,0.1)^2),1/3)))),IF(V33="Subcritical",MAX($D$16,IFERROR(W1459,MAX($D$16,POWER((ABS(K1459)^2)/($I$5*MAX(F1459,0.1)^2),1/3)))),IF(AND(IFERROR(V1459,0)=1,IFERROR(AG1459,0)=1),IF(IFERROR(T1459,-1E+99)&gt;=IFERROR(AE1459,-1E+99),MAX($D$16,IFERROR(L1459,MAX($D$16,POWER((ABS(K1459)^2)/($I$5*MAX(F1459,0.1)^2),1/3)))),MAX($D$16,IFERROR(W1459,MAX($D$16,POWER((ABS(K1459)^2)/($I$5*MAX(F1459,0.1)^2),1/3))))),IF(IFERROR(V1459,0)=1,MAX($D$16,IFERROR(L1459,MAX($D$16,POWER((ABS(K1459)^2)/($I$5*MAX(F1459,0.1)^2),1/3)))),IF(IFERROR(AG1459,0)=1,MAX($D$16,IFERROR(W1459,MAX($D$16,POWER((ABS(K1459)^2)/($I$5*MAX(F1459,0.1)^2),1/3)))),MAX($D$16,POWER((ABS(K1459)^2)/($I$5*MAX(F1459,0.1)^2),1/3))))))),MAX($D$16,POWER((ABS(K1459)^2)/($I$5*MAX(F1459,0.1)^2),1/3)))</f>
        <v>0.05</v>
      </c>
      <c r="AI1459">
        <f t="shared" ca="1" si="734"/>
        <v>634.33799999999997</v>
      </c>
      <c r="AJ1459">
        <f t="shared" ca="1" si="735"/>
        <v>634.33849590264322</v>
      </c>
      <c r="AM1459">
        <v>0</v>
      </c>
      <c r="AN1459">
        <v>0</v>
      </c>
      <c r="AO1459">
        <f t="shared" si="736"/>
        <v>0</v>
      </c>
      <c r="AP1459">
        <f t="shared" si="745"/>
        <v>0</v>
      </c>
      <c r="AQ1459">
        <f t="shared" ca="1" si="737"/>
        <v>0.14084071048797242</v>
      </c>
      <c r="AR1459" t="str">
        <f t="shared" ca="1" si="738"/>
        <v>Subcritical</v>
      </c>
      <c r="AS1459">
        <f t="shared" ca="1" si="739"/>
        <v>1.2041161730808479E-4</v>
      </c>
    </row>
    <row r="1460" spans="1:45" x14ac:dyDescent="0.35">
      <c r="A1460">
        <v>7</v>
      </c>
      <c r="B1460">
        <v>6</v>
      </c>
      <c r="C1460">
        <v>616553.19299999997</v>
      </c>
      <c r="D1460">
        <v>3097755.1519999998</v>
      </c>
      <c r="E1460">
        <v>634.28599999999994</v>
      </c>
      <c r="F1460">
        <v>10.874000000000001</v>
      </c>
      <c r="G1460">
        <v>0</v>
      </c>
      <c r="H1460" t="s">
        <v>155</v>
      </c>
      <c r="I1460">
        <v>2.7E-2</v>
      </c>
      <c r="J1460">
        <f t="shared" si="740"/>
        <v>0.99899999999999967</v>
      </c>
      <c r="K1460">
        <f t="shared" ca="1" si="741"/>
        <v>0.05</v>
      </c>
      <c r="L1460">
        <f t="shared" ca="1" si="742"/>
        <v>0.05</v>
      </c>
      <c r="M1460">
        <f t="shared" ca="1" si="715"/>
        <v>0.54370000000000007</v>
      </c>
      <c r="N1460">
        <f t="shared" ca="1" si="716"/>
        <v>4.9544377619828689E-2</v>
      </c>
      <c r="O1460">
        <f t="shared" ca="1" si="717"/>
        <v>9.1962479308442147E-2</v>
      </c>
      <c r="P1460">
        <f t="shared" ca="1" si="718"/>
        <v>634.3359999999999</v>
      </c>
      <c r="Q1460">
        <f t="shared" ca="1" si="719"/>
        <v>634.33643104472981</v>
      </c>
      <c r="R1460">
        <f t="shared" ca="1" si="720"/>
        <v>1.0457102330289127E-4</v>
      </c>
      <c r="S1460">
        <f t="shared" ca="1" si="721"/>
        <v>0.13130799364788157</v>
      </c>
      <c r="T1460">
        <f t="shared" ca="1" si="722"/>
        <v>1.4061218039288699E-2</v>
      </c>
      <c r="U1460">
        <f t="shared" ca="1" si="743"/>
        <v>1.932999394853141E-3</v>
      </c>
      <c r="V1460">
        <f t="shared" ca="1" si="744"/>
        <v>0</v>
      </c>
      <c r="W1460">
        <f t="shared" ca="1" si="723"/>
        <v>0.05</v>
      </c>
      <c r="X1460">
        <f t="shared" ca="1" si="724"/>
        <v>0.54370000000000007</v>
      </c>
      <c r="Y1460">
        <f t="shared" ca="1" si="725"/>
        <v>4.9544377619828689E-2</v>
      </c>
      <c r="Z1460">
        <f t="shared" ca="1" si="726"/>
        <v>9.1962479308442147E-2</v>
      </c>
      <c r="AA1460">
        <f t="shared" ca="1" si="727"/>
        <v>634.3359999999999</v>
      </c>
      <c r="AB1460">
        <f t="shared" ca="1" si="728"/>
        <v>634.33643104472981</v>
      </c>
      <c r="AC1460">
        <f t="shared" ca="1" si="729"/>
        <v>1.0457102330289127E-4</v>
      </c>
      <c r="AD1460">
        <f t="shared" ca="1" si="730"/>
        <v>0.13130799364788157</v>
      </c>
      <c r="AE1460">
        <f t="shared" ca="1" si="731"/>
        <v>1.4061218039288699E-2</v>
      </c>
      <c r="AF1460">
        <f t="shared" ca="1" si="732"/>
        <v>-1.9389799451801082E-3</v>
      </c>
      <c r="AG1460">
        <f t="shared" ca="1" si="733"/>
        <v>0</v>
      </c>
      <c r="AH1460">
        <f ca="1">IFERROR(IF(V33="Supercritical",MAX($D$16,IFERROR(L1460,MAX($D$16,POWER((ABS(K1460)^2)/($I$5*MAX(F1460,0.1)^2),1/3)))),IF(V33="Subcritical",MAX($D$16,IFERROR(W1460,MAX($D$16,POWER((ABS(K1460)^2)/($I$5*MAX(F1460,0.1)^2),1/3)))),IF(AND(IFERROR(V1460,0)=1,IFERROR(AG1460,0)=1),IF(IFERROR(T1460,-1E+99)&gt;=IFERROR(AE1460,-1E+99),MAX($D$16,IFERROR(L1460,MAX($D$16,POWER((ABS(K1460)^2)/($I$5*MAX(F1460,0.1)^2),1/3)))),MAX($D$16,IFERROR(W1460,MAX($D$16,POWER((ABS(K1460)^2)/($I$5*MAX(F1460,0.1)^2),1/3))))),IF(IFERROR(V1460,0)=1,MAX($D$16,IFERROR(L1460,MAX($D$16,POWER((ABS(K1460)^2)/($I$5*MAX(F1460,0.1)^2),1/3)))),IF(IFERROR(AG1460,0)=1,MAX($D$16,IFERROR(W1460,MAX($D$16,POWER((ABS(K1460)^2)/($I$5*MAX(F1460,0.1)^2),1/3)))),MAX($D$16,POWER((ABS(K1460)^2)/($I$5*MAX(F1460,0.1)^2),1/3))))))),MAX($D$16,POWER((ABS(K1460)^2)/($I$5*MAX(F1460,0.1)^2),1/3)))</f>
        <v>0.05</v>
      </c>
      <c r="AI1460">
        <f t="shared" ca="1" si="734"/>
        <v>634.3359999999999</v>
      </c>
      <c r="AJ1460">
        <f t="shared" ca="1" si="735"/>
        <v>634.33643104472981</v>
      </c>
      <c r="AM1460">
        <v>0</v>
      </c>
      <c r="AN1460">
        <v>0</v>
      </c>
      <c r="AO1460">
        <f t="shared" si="736"/>
        <v>0</v>
      </c>
      <c r="AP1460">
        <f t="shared" si="745"/>
        <v>0</v>
      </c>
      <c r="AQ1460">
        <f t="shared" ca="1" si="737"/>
        <v>0.13130799364788157</v>
      </c>
      <c r="AR1460" t="str">
        <f t="shared" ca="1" si="738"/>
        <v>Subcritical</v>
      </c>
      <c r="AS1460">
        <f t="shared" ca="1" si="739"/>
        <v>1.0457102330289127E-4</v>
      </c>
    </row>
    <row r="1461" spans="1:45" x14ac:dyDescent="0.35">
      <c r="A1461">
        <v>8</v>
      </c>
      <c r="B1461">
        <v>7</v>
      </c>
      <c r="C1461">
        <v>616552.723</v>
      </c>
      <c r="D1461">
        <v>3097754.2689999999</v>
      </c>
      <c r="E1461">
        <v>634.28399999999999</v>
      </c>
      <c r="F1461">
        <v>11.611000000000001</v>
      </c>
      <c r="G1461">
        <v>0</v>
      </c>
      <c r="H1461" t="s">
        <v>155</v>
      </c>
      <c r="I1461">
        <v>0</v>
      </c>
      <c r="J1461">
        <f t="shared" si="740"/>
        <v>1</v>
      </c>
      <c r="K1461">
        <f t="shared" ca="1" si="741"/>
        <v>0.05</v>
      </c>
      <c r="L1461">
        <f t="shared" ca="1" si="742"/>
        <v>0.05</v>
      </c>
      <c r="M1461">
        <f t="shared" ca="1" si="715"/>
        <v>0.58055000000000001</v>
      </c>
      <c r="N1461">
        <f t="shared" ca="1" si="716"/>
        <v>4.9573050977713258E-2</v>
      </c>
      <c r="O1461">
        <f t="shared" ca="1" si="717"/>
        <v>8.6125226078718461E-2</v>
      </c>
      <c r="P1461">
        <f t="shared" ca="1" si="718"/>
        <v>634.33399999999995</v>
      </c>
      <c r="Q1461">
        <f t="shared" ca="1" si="719"/>
        <v>634.33437806088511</v>
      </c>
      <c r="R1461">
        <f t="shared" ca="1" si="720"/>
        <v>9.164646896959399E-5</v>
      </c>
      <c r="S1461">
        <f t="shared" ca="1" si="721"/>
        <v>0.12297331176703681</v>
      </c>
      <c r="T1461">
        <f t="shared" ca="1" si="722"/>
        <v>1.4952716493775327E-2</v>
      </c>
      <c r="U1461">
        <f t="shared" ca="1" si="743"/>
        <v>1.9389799451801082E-3</v>
      </c>
      <c r="V1461">
        <f t="shared" ca="1" si="744"/>
        <v>0</v>
      </c>
      <c r="W1461">
        <f t="shared" ca="1" si="723"/>
        <v>0.05</v>
      </c>
      <c r="X1461">
        <f t="shared" ca="1" si="724"/>
        <v>0.58055000000000001</v>
      </c>
      <c r="Y1461">
        <f t="shared" ca="1" si="725"/>
        <v>4.9573050977713258E-2</v>
      </c>
      <c r="Z1461">
        <f t="shared" ca="1" si="726"/>
        <v>8.6125226078718461E-2</v>
      </c>
      <c r="AA1461">
        <f t="shared" ca="1" si="727"/>
        <v>634.33399999999995</v>
      </c>
      <c r="AB1461">
        <f t="shared" ca="1" si="728"/>
        <v>634.33437806088511</v>
      </c>
      <c r="AC1461">
        <f t="shared" ca="1" si="729"/>
        <v>9.164646896959399E-5</v>
      </c>
      <c r="AD1461">
        <f t="shared" ca="1" si="730"/>
        <v>0.12297331176703681</v>
      </c>
      <c r="AE1461">
        <f t="shared" ca="1" si="731"/>
        <v>1.4952716493775327E-2</v>
      </c>
      <c r="AF1461">
        <f t="shared" ca="1" si="732"/>
        <v>-1.9442325278760109E-3</v>
      </c>
      <c r="AG1461">
        <f t="shared" ca="1" si="733"/>
        <v>0</v>
      </c>
      <c r="AH1461">
        <f ca="1">IFERROR(IF(V33="Supercritical",MAX($D$16,IFERROR(L1461,MAX($D$16,POWER((ABS(K1461)^2)/($I$5*MAX(F1461,0.1)^2),1/3)))),IF(V33="Subcritical",MAX($D$16,IFERROR(W1461,MAX($D$16,POWER((ABS(K1461)^2)/($I$5*MAX(F1461,0.1)^2),1/3)))),IF(AND(IFERROR(V1461,0)=1,IFERROR(AG1461,0)=1),IF(IFERROR(T1461,-1E+99)&gt;=IFERROR(AE1461,-1E+99),MAX($D$16,IFERROR(L1461,MAX($D$16,POWER((ABS(K1461)^2)/($I$5*MAX(F1461,0.1)^2),1/3)))),MAX($D$16,IFERROR(W1461,MAX($D$16,POWER((ABS(K1461)^2)/($I$5*MAX(F1461,0.1)^2),1/3))))),IF(IFERROR(V1461,0)=1,MAX($D$16,IFERROR(L1461,MAX($D$16,POWER((ABS(K1461)^2)/($I$5*MAX(F1461,0.1)^2),1/3)))),IF(IFERROR(AG1461,0)=1,MAX($D$16,IFERROR(W1461,MAX($D$16,POWER((ABS(K1461)^2)/($I$5*MAX(F1461,0.1)^2),1/3)))),MAX($D$16,POWER((ABS(K1461)^2)/($I$5*MAX(F1461,0.1)^2),1/3))))))),MAX($D$16,POWER((ABS(K1461)^2)/($I$5*MAX(F1461,0.1)^2),1/3)))</f>
        <v>0.05</v>
      </c>
      <c r="AI1461">
        <f t="shared" ca="1" si="734"/>
        <v>634.33399999999995</v>
      </c>
      <c r="AJ1461">
        <f t="shared" ca="1" si="735"/>
        <v>634.33437806088511</v>
      </c>
      <c r="AM1461">
        <v>0</v>
      </c>
      <c r="AN1461">
        <v>0</v>
      </c>
      <c r="AO1461">
        <f t="shared" si="736"/>
        <v>0</v>
      </c>
      <c r="AP1461">
        <f t="shared" si="745"/>
        <v>0</v>
      </c>
      <c r="AQ1461">
        <f t="shared" ca="1" si="737"/>
        <v>0.12297331176703681</v>
      </c>
      <c r="AR1461" t="str">
        <f t="shared" ca="1" si="738"/>
        <v>Subcritical</v>
      </c>
      <c r="AS1461">
        <f t="shared" ca="1" si="739"/>
        <v>9.164646896959399E-5</v>
      </c>
    </row>
    <row r="1462" spans="1:45" x14ac:dyDescent="0.35">
      <c r="A1462">
        <v>9</v>
      </c>
      <c r="B1462">
        <v>8.0009999999999994</v>
      </c>
      <c r="C1462">
        <v>616552.25300000003</v>
      </c>
      <c r="D1462">
        <v>3097753.3859999999</v>
      </c>
      <c r="E1462">
        <v>634.28200000000004</v>
      </c>
      <c r="F1462">
        <v>12.348000000000001</v>
      </c>
      <c r="G1462">
        <v>0</v>
      </c>
      <c r="H1462" t="s">
        <v>155</v>
      </c>
      <c r="I1462">
        <v>2.7E-2</v>
      </c>
      <c r="J1462">
        <f t="shared" si="740"/>
        <v>1.0009999999999994</v>
      </c>
      <c r="K1462">
        <f t="shared" ca="1" si="741"/>
        <v>0.05</v>
      </c>
      <c r="L1462">
        <f t="shared" ca="1" si="742"/>
        <v>0.05</v>
      </c>
      <c r="M1462">
        <f t="shared" ca="1" si="715"/>
        <v>0.61740000000000006</v>
      </c>
      <c r="N1462">
        <f t="shared" ca="1" si="716"/>
        <v>4.959832904884319E-2</v>
      </c>
      <c r="O1462">
        <f t="shared" ca="1" si="717"/>
        <v>8.0984774862325873E-2</v>
      </c>
      <c r="P1462">
        <f t="shared" ca="1" si="718"/>
        <v>634.33199999999999</v>
      </c>
      <c r="Q1462">
        <f t="shared" ca="1" si="719"/>
        <v>634.33233427796938</v>
      </c>
      <c r="R1462">
        <f t="shared" ca="1" si="720"/>
        <v>8.0977907297670581E-5</v>
      </c>
      <c r="S1462">
        <f t="shared" ca="1" si="721"/>
        <v>0.11563355384896859</v>
      </c>
      <c r="T1462">
        <f t="shared" ca="1" si="722"/>
        <v>1.584776643660717E-2</v>
      </c>
      <c r="U1462">
        <f t="shared" ca="1" si="743"/>
        <v>1.9442325278760109E-3</v>
      </c>
      <c r="V1462">
        <f t="shared" ca="1" si="744"/>
        <v>0</v>
      </c>
      <c r="W1462">
        <f t="shared" ca="1" si="723"/>
        <v>0.05</v>
      </c>
      <c r="X1462">
        <f t="shared" ca="1" si="724"/>
        <v>0.61740000000000006</v>
      </c>
      <c r="Y1462">
        <f t="shared" ca="1" si="725"/>
        <v>4.959832904884319E-2</v>
      </c>
      <c r="Z1462">
        <f t="shared" ca="1" si="726"/>
        <v>8.0984774862325873E-2</v>
      </c>
      <c r="AA1462">
        <f t="shared" ca="1" si="727"/>
        <v>634.33199999999999</v>
      </c>
      <c r="AB1462">
        <f t="shared" ca="1" si="728"/>
        <v>634.33233427796938</v>
      </c>
      <c r="AC1462">
        <f t="shared" ca="1" si="729"/>
        <v>8.0977907297670581E-5</v>
      </c>
      <c r="AD1462">
        <f t="shared" ca="1" si="730"/>
        <v>0.11563355384896859</v>
      </c>
      <c r="AE1462">
        <f t="shared" ca="1" si="731"/>
        <v>1.584776643660717E-2</v>
      </c>
      <c r="AF1462">
        <f t="shared" ca="1" si="732"/>
        <v>-7.1902671334100887E-4</v>
      </c>
      <c r="AG1462">
        <f t="shared" ca="1" si="733"/>
        <v>1</v>
      </c>
      <c r="AH1462">
        <f ca="1">IFERROR(IF(V33="Supercritical",MAX($D$16,IFERROR(L1462,MAX($D$16,POWER((ABS(K1462)^2)/($I$5*MAX(F1462,0.1)^2),1/3)))),IF(V33="Subcritical",MAX($D$16,IFERROR(W1462,MAX($D$16,POWER((ABS(K1462)^2)/($I$5*MAX(F1462,0.1)^2),1/3)))),IF(AND(IFERROR(V1462,0)=1,IFERROR(AG1462,0)=1),IF(IFERROR(T1462,-1E+99)&gt;=IFERROR(AE1462,-1E+99),MAX($D$16,IFERROR(L1462,MAX($D$16,POWER((ABS(K1462)^2)/($I$5*MAX(F1462,0.1)^2),1/3)))),MAX($D$16,IFERROR(W1462,MAX($D$16,POWER((ABS(K1462)^2)/($I$5*MAX(F1462,0.1)^2),1/3))))),IF(IFERROR(V1462,0)=1,MAX($D$16,IFERROR(L1462,MAX($D$16,POWER((ABS(K1462)^2)/($I$5*MAX(F1462,0.1)^2),1/3)))),IF(IFERROR(AG1462,0)=1,MAX($D$16,IFERROR(W1462,MAX($D$16,POWER((ABS(K1462)^2)/($I$5*MAX(F1462,0.1)^2),1/3)))),MAX($D$16,POWER((ABS(K1462)^2)/($I$5*MAX(F1462,0.1)^2),1/3))))))),MAX($D$16,POWER((ABS(K1462)^2)/($I$5*MAX(F1462,0.1)^2),1/3)))</f>
        <v>0.05</v>
      </c>
      <c r="AI1462">
        <f t="shared" ca="1" si="734"/>
        <v>634.33199999999999</v>
      </c>
      <c r="AJ1462">
        <f t="shared" ca="1" si="735"/>
        <v>634.33233427796938</v>
      </c>
      <c r="AM1462">
        <v>0</v>
      </c>
      <c r="AN1462">
        <v>0</v>
      </c>
      <c r="AO1462">
        <f t="shared" si="736"/>
        <v>0</v>
      </c>
      <c r="AP1462">
        <f t="shared" si="745"/>
        <v>0</v>
      </c>
      <c r="AQ1462">
        <f t="shared" ca="1" si="737"/>
        <v>0.11563355384896859</v>
      </c>
      <c r="AR1462" t="str">
        <f t="shared" ca="1" si="738"/>
        <v>Subcritical</v>
      </c>
      <c r="AS1462">
        <f t="shared" ca="1" si="739"/>
        <v>8.0977907297670581E-5</v>
      </c>
    </row>
    <row r="1463" spans="1:45" x14ac:dyDescent="0.35">
      <c r="A1463">
        <v>10</v>
      </c>
      <c r="B1463">
        <v>9</v>
      </c>
      <c r="C1463">
        <v>616551.78300000005</v>
      </c>
      <c r="D1463">
        <v>3097752.5040000002</v>
      </c>
      <c r="E1463">
        <v>634.28</v>
      </c>
      <c r="F1463">
        <v>6.2240000000000002</v>
      </c>
      <c r="G1463">
        <v>0</v>
      </c>
      <c r="H1463" t="s">
        <v>154</v>
      </c>
      <c r="I1463">
        <v>2.7E-2</v>
      </c>
      <c r="J1463">
        <f t="shared" si="740"/>
        <v>0.99900000000000055</v>
      </c>
      <c r="K1463">
        <f t="shared" ca="1" si="741"/>
        <v>0.05</v>
      </c>
      <c r="L1463">
        <f t="shared" ca="1" si="742"/>
        <v>0.05</v>
      </c>
      <c r="M1463">
        <f t="shared" ca="1" si="715"/>
        <v>0.31120000000000003</v>
      </c>
      <c r="N1463">
        <f t="shared" ca="1" si="716"/>
        <v>4.9209361163820374E-2</v>
      </c>
      <c r="O1463">
        <f t="shared" ca="1" si="717"/>
        <v>0.16066838046272494</v>
      </c>
      <c r="P1463">
        <f t="shared" ca="1" si="718"/>
        <v>634.32999999999993</v>
      </c>
      <c r="Q1463">
        <f t="shared" ca="1" si="719"/>
        <v>634.33131571500917</v>
      </c>
      <c r="R1463">
        <f t="shared" ca="1" si="720"/>
        <v>3.220918338427128E-4</v>
      </c>
      <c r="S1463">
        <f t="shared" ca="1" si="721"/>
        <v>0.22940924211553093</v>
      </c>
      <c r="T1463">
        <f t="shared" ca="1" si="722"/>
        <v>8.5989010217264288E-3</v>
      </c>
      <c r="U1463">
        <f t="shared" ca="1" si="743"/>
        <v>7.1902671334100887E-4</v>
      </c>
      <c r="V1463">
        <f t="shared" ca="1" si="744"/>
        <v>0</v>
      </c>
      <c r="W1463">
        <f t="shared" ca="1" si="723"/>
        <v>0.05</v>
      </c>
      <c r="X1463">
        <f t="shared" ca="1" si="724"/>
        <v>0.31120000000000003</v>
      </c>
      <c r="Y1463">
        <f t="shared" ca="1" si="725"/>
        <v>4.9209361163820374E-2</v>
      </c>
      <c r="Z1463">
        <f t="shared" ca="1" si="726"/>
        <v>0.16066838046272494</v>
      </c>
      <c r="AA1463">
        <f t="shared" ca="1" si="727"/>
        <v>634.32999999999993</v>
      </c>
      <c r="AB1463">
        <f t="shared" ca="1" si="728"/>
        <v>634.33131571500917</v>
      </c>
      <c r="AC1463">
        <f t="shared" ca="1" si="729"/>
        <v>3.220918338427128E-4</v>
      </c>
      <c r="AD1463">
        <f t="shared" ca="1" si="730"/>
        <v>0.22940924211553093</v>
      </c>
      <c r="AE1463">
        <f t="shared" ca="1" si="731"/>
        <v>8.5989010217264288E-3</v>
      </c>
      <c r="AF1463">
        <f t="shared" ca="1" si="732"/>
        <v>-1.6779081661297823E-3</v>
      </c>
      <c r="AG1463">
        <f t="shared" ca="1" si="733"/>
        <v>0</v>
      </c>
      <c r="AH1463">
        <f ca="1">IFERROR(IF(V33="Supercritical",MAX($D$16,IFERROR(L1463,MAX($D$16,POWER((ABS(K1463)^2)/($I$5*MAX(F1463,0.1)^2),1/3)))),IF(V33="Subcritical",MAX($D$16,IFERROR(W1463,MAX($D$16,POWER((ABS(K1463)^2)/($I$5*MAX(F1463,0.1)^2),1/3)))),IF(AND(IFERROR(V1463,0)=1,IFERROR(AG1463,0)=1),IF(IFERROR(T1463,-1E+99)&gt;=IFERROR(AE1463,-1E+99),MAX($D$16,IFERROR(L1463,MAX($D$16,POWER((ABS(K1463)^2)/($I$5*MAX(F1463,0.1)^2),1/3)))),MAX($D$16,IFERROR(W1463,MAX($D$16,POWER((ABS(K1463)^2)/($I$5*MAX(F1463,0.1)^2),1/3))))),IF(IFERROR(V1463,0)=1,MAX($D$16,IFERROR(L1463,MAX($D$16,POWER((ABS(K1463)^2)/($I$5*MAX(F1463,0.1)^2),1/3)))),IF(IFERROR(AG1463,0)=1,MAX($D$16,IFERROR(W1463,MAX($D$16,POWER((ABS(K1463)^2)/($I$5*MAX(F1463,0.1)^2),1/3)))),MAX($D$16,POWER((ABS(K1463)^2)/($I$5*MAX(F1463,0.1)^2),1/3))))))),MAX($D$16,POWER((ABS(K1463)^2)/($I$5*MAX(F1463,0.1)^2),1/3)))</f>
        <v>0.05</v>
      </c>
      <c r="AI1463">
        <f t="shared" ca="1" si="734"/>
        <v>634.32999999999993</v>
      </c>
      <c r="AJ1463">
        <f t="shared" ca="1" si="735"/>
        <v>634.33131571500917</v>
      </c>
      <c r="AM1463">
        <v>0</v>
      </c>
      <c r="AN1463">
        <v>0</v>
      </c>
      <c r="AO1463">
        <f t="shared" si="736"/>
        <v>0</v>
      </c>
      <c r="AP1463">
        <f t="shared" si="745"/>
        <v>0</v>
      </c>
      <c r="AQ1463">
        <f t="shared" ca="1" si="737"/>
        <v>0.22940924211553093</v>
      </c>
      <c r="AR1463" t="str">
        <f t="shared" ca="1" si="738"/>
        <v>Subcritical</v>
      </c>
      <c r="AS1463">
        <f t="shared" ca="1" si="739"/>
        <v>3.220918338427128E-4</v>
      </c>
    </row>
    <row r="1464" spans="1:45" x14ac:dyDescent="0.35">
      <c r="A1464">
        <v>11</v>
      </c>
      <c r="B1464">
        <v>10</v>
      </c>
      <c r="C1464">
        <v>616551.31299999997</v>
      </c>
      <c r="D1464">
        <v>3097751.6209999998</v>
      </c>
      <c r="E1464">
        <v>634.27800000000002</v>
      </c>
      <c r="F1464">
        <v>6.2240000000000002</v>
      </c>
      <c r="G1464">
        <v>0</v>
      </c>
      <c r="H1464" t="s">
        <v>154</v>
      </c>
      <c r="I1464">
        <v>0</v>
      </c>
      <c r="J1464">
        <f t="shared" si="740"/>
        <v>1</v>
      </c>
      <c r="K1464">
        <f t="shared" ca="1" si="741"/>
        <v>0.05</v>
      </c>
      <c r="L1464">
        <f t="shared" ca="1" si="742"/>
        <v>0.05</v>
      </c>
      <c r="M1464">
        <f t="shared" ca="1" si="715"/>
        <v>0.31120000000000003</v>
      </c>
      <c r="N1464">
        <f t="shared" ca="1" si="716"/>
        <v>4.9209361163820374E-2</v>
      </c>
      <c r="O1464">
        <f t="shared" ca="1" si="717"/>
        <v>0.16066838046272494</v>
      </c>
      <c r="P1464">
        <f t="shared" ca="1" si="718"/>
        <v>634.32799999999997</v>
      </c>
      <c r="Q1464">
        <f t="shared" ca="1" si="719"/>
        <v>634.32931571500922</v>
      </c>
      <c r="R1464">
        <f t="shared" ca="1" si="720"/>
        <v>3.220918338427128E-4</v>
      </c>
      <c r="S1464">
        <f t="shared" ca="1" si="721"/>
        <v>0.22940924211553093</v>
      </c>
      <c r="T1464">
        <f t="shared" ca="1" si="722"/>
        <v>8.5989010217264288E-3</v>
      </c>
      <c r="U1464">
        <f t="shared" ca="1" si="743"/>
        <v>1.6779081661297823E-3</v>
      </c>
      <c r="V1464">
        <f t="shared" ca="1" si="744"/>
        <v>0</v>
      </c>
      <c r="W1464">
        <f t="shared" ca="1" si="723"/>
        <v>0.05</v>
      </c>
      <c r="X1464">
        <f t="shared" ca="1" si="724"/>
        <v>0.31120000000000003</v>
      </c>
      <c r="Y1464">
        <f t="shared" ca="1" si="725"/>
        <v>4.9209361163820374E-2</v>
      </c>
      <c r="Z1464">
        <f t="shared" ca="1" si="726"/>
        <v>0.16066838046272494</v>
      </c>
      <c r="AA1464">
        <f t="shared" ca="1" si="727"/>
        <v>634.32799999999997</v>
      </c>
      <c r="AB1464">
        <f t="shared" ca="1" si="728"/>
        <v>634.32931571500922</v>
      </c>
      <c r="AC1464">
        <f t="shared" ca="1" si="729"/>
        <v>3.220918338427128E-4</v>
      </c>
      <c r="AD1464">
        <f t="shared" ca="1" si="730"/>
        <v>0.22940924211553093</v>
      </c>
      <c r="AE1464">
        <f t="shared" ca="1" si="731"/>
        <v>8.5989010217264288E-3</v>
      </c>
      <c r="AF1464">
        <f t="shared" ca="1" si="732"/>
        <v>-1.5521512394798265E-3</v>
      </c>
      <c r="AG1464">
        <f t="shared" ca="1" si="733"/>
        <v>0</v>
      </c>
      <c r="AH1464">
        <f ca="1">IFERROR(IF(V33="Supercritical",MAX($D$16,IFERROR(L1464,MAX($D$16,POWER((ABS(K1464)^2)/($I$5*MAX(F1464,0.1)^2),1/3)))),IF(V33="Subcritical",MAX($D$16,IFERROR(W1464,MAX($D$16,POWER((ABS(K1464)^2)/($I$5*MAX(F1464,0.1)^2),1/3)))),IF(AND(IFERROR(V1464,0)=1,IFERROR(AG1464,0)=1),IF(IFERROR(T1464,-1E+99)&gt;=IFERROR(AE1464,-1E+99),MAX($D$16,IFERROR(L1464,MAX($D$16,POWER((ABS(K1464)^2)/($I$5*MAX(F1464,0.1)^2),1/3)))),MAX($D$16,IFERROR(W1464,MAX($D$16,POWER((ABS(K1464)^2)/($I$5*MAX(F1464,0.1)^2),1/3))))),IF(IFERROR(V1464,0)=1,MAX($D$16,IFERROR(L1464,MAX($D$16,POWER((ABS(K1464)^2)/($I$5*MAX(F1464,0.1)^2),1/3)))),IF(IFERROR(AG1464,0)=1,MAX($D$16,IFERROR(W1464,MAX($D$16,POWER((ABS(K1464)^2)/($I$5*MAX(F1464,0.1)^2),1/3)))),MAX($D$16,POWER((ABS(K1464)^2)/($I$5*MAX(F1464,0.1)^2),1/3))))))),MAX($D$16,POWER((ABS(K1464)^2)/($I$5*MAX(F1464,0.1)^2),1/3)))</f>
        <v>0.05</v>
      </c>
      <c r="AI1464">
        <f t="shared" ca="1" si="734"/>
        <v>634.32799999999997</v>
      </c>
      <c r="AJ1464">
        <f t="shared" ca="1" si="735"/>
        <v>634.32931571500922</v>
      </c>
      <c r="AM1464">
        <v>0</v>
      </c>
      <c r="AN1464">
        <v>0</v>
      </c>
      <c r="AO1464">
        <f t="shared" si="736"/>
        <v>0</v>
      </c>
      <c r="AP1464">
        <f t="shared" si="745"/>
        <v>0</v>
      </c>
      <c r="AQ1464">
        <f t="shared" ca="1" si="737"/>
        <v>0.22940924211553093</v>
      </c>
      <c r="AR1464" t="str">
        <f t="shared" ca="1" si="738"/>
        <v>Subcritical</v>
      </c>
      <c r="AS1464">
        <f t="shared" ca="1" si="739"/>
        <v>3.220918338427128E-4</v>
      </c>
    </row>
    <row r="1465" spans="1:45" x14ac:dyDescent="0.35">
      <c r="A1465">
        <v>12</v>
      </c>
      <c r="B1465">
        <v>11.000999999999999</v>
      </c>
      <c r="C1465">
        <v>616550.84299999999</v>
      </c>
      <c r="D1465">
        <v>3097750.7379999999</v>
      </c>
      <c r="E1465">
        <v>634.27599999999995</v>
      </c>
      <c r="F1465">
        <v>5.9950000000000001</v>
      </c>
      <c r="G1465">
        <v>0</v>
      </c>
      <c r="H1465" t="s">
        <v>154</v>
      </c>
      <c r="I1465">
        <v>2.7E-2</v>
      </c>
      <c r="J1465">
        <f t="shared" si="740"/>
        <v>1.0009999999999994</v>
      </c>
      <c r="K1465">
        <f t="shared" ca="1" si="741"/>
        <v>0.05</v>
      </c>
      <c r="L1465">
        <f t="shared" ca="1" si="742"/>
        <v>0.05</v>
      </c>
      <c r="M1465">
        <f t="shared" ca="1" si="715"/>
        <v>0.29975000000000002</v>
      </c>
      <c r="N1465">
        <f t="shared" ca="1" si="716"/>
        <v>4.9179655455291224E-2</v>
      </c>
      <c r="O1465">
        <f t="shared" ca="1" si="717"/>
        <v>0.16680567139282734</v>
      </c>
      <c r="P1465">
        <f t="shared" ca="1" si="718"/>
        <v>634.32599999999991</v>
      </c>
      <c r="Q1465">
        <f t="shared" ca="1" si="719"/>
        <v>634.32741815147847</v>
      </c>
      <c r="R1465">
        <f t="shared" ca="1" si="720"/>
        <v>3.4744828110961577E-4</v>
      </c>
      <c r="S1465">
        <f t="shared" ca="1" si="721"/>
        <v>0.23817233076348027</v>
      </c>
      <c r="T1465">
        <f t="shared" ca="1" si="722"/>
        <v>8.3439318113803645E-3</v>
      </c>
      <c r="U1465">
        <f t="shared" ca="1" si="743"/>
        <v>1.5521512394798265E-3</v>
      </c>
      <c r="V1465">
        <f t="shared" ca="1" si="744"/>
        <v>0</v>
      </c>
      <c r="W1465">
        <f t="shared" ca="1" si="723"/>
        <v>0.05</v>
      </c>
      <c r="X1465">
        <f t="shared" ca="1" si="724"/>
        <v>0.29975000000000002</v>
      </c>
      <c r="Y1465">
        <f t="shared" ca="1" si="725"/>
        <v>4.9179655455291224E-2</v>
      </c>
      <c r="Z1465">
        <f t="shared" ca="1" si="726"/>
        <v>0.16680567139282734</v>
      </c>
      <c r="AA1465">
        <f t="shared" ca="1" si="727"/>
        <v>634.32599999999991</v>
      </c>
      <c r="AB1465">
        <f t="shared" ca="1" si="728"/>
        <v>634.32741815147847</v>
      </c>
      <c r="AC1465">
        <f t="shared" ca="1" si="729"/>
        <v>3.4744828110961577E-4</v>
      </c>
      <c r="AD1465">
        <f t="shared" ca="1" si="730"/>
        <v>0.23817233076348027</v>
      </c>
      <c r="AE1465">
        <f t="shared" ca="1" si="731"/>
        <v>8.3439318113803645E-3</v>
      </c>
      <c r="AF1465">
        <f t="shared" ca="1" si="732"/>
        <v>-1.6528353502280879E-3</v>
      </c>
      <c r="AG1465">
        <f t="shared" ca="1" si="733"/>
        <v>0</v>
      </c>
      <c r="AH1465">
        <f ca="1">IFERROR(IF(V33="Supercritical",MAX($D$16,IFERROR(L1465,MAX($D$16,POWER((ABS(K1465)^2)/($I$5*MAX(F1465,0.1)^2),1/3)))),IF(V33="Subcritical",MAX($D$16,IFERROR(W1465,MAX($D$16,POWER((ABS(K1465)^2)/($I$5*MAX(F1465,0.1)^2),1/3)))),IF(AND(IFERROR(V1465,0)=1,IFERROR(AG1465,0)=1),IF(IFERROR(T1465,-1E+99)&gt;=IFERROR(AE1465,-1E+99),MAX($D$16,IFERROR(L1465,MAX($D$16,POWER((ABS(K1465)^2)/($I$5*MAX(F1465,0.1)^2),1/3)))),MAX($D$16,IFERROR(W1465,MAX($D$16,POWER((ABS(K1465)^2)/($I$5*MAX(F1465,0.1)^2),1/3))))),IF(IFERROR(V1465,0)=1,MAX($D$16,IFERROR(L1465,MAX($D$16,POWER((ABS(K1465)^2)/($I$5*MAX(F1465,0.1)^2),1/3)))),IF(IFERROR(AG1465,0)=1,MAX($D$16,IFERROR(W1465,MAX($D$16,POWER((ABS(K1465)^2)/($I$5*MAX(F1465,0.1)^2),1/3)))),MAX($D$16,POWER((ABS(K1465)^2)/($I$5*MAX(F1465,0.1)^2),1/3))))))),MAX($D$16,POWER((ABS(K1465)^2)/($I$5*MAX(F1465,0.1)^2),1/3)))</f>
        <v>0.05</v>
      </c>
      <c r="AI1465">
        <f t="shared" ca="1" si="734"/>
        <v>634.32599999999991</v>
      </c>
      <c r="AJ1465">
        <f t="shared" ca="1" si="735"/>
        <v>634.32741815147847</v>
      </c>
      <c r="AM1465">
        <v>0</v>
      </c>
      <c r="AN1465">
        <v>0</v>
      </c>
      <c r="AO1465">
        <f t="shared" si="736"/>
        <v>0</v>
      </c>
      <c r="AP1465">
        <f t="shared" si="745"/>
        <v>0</v>
      </c>
      <c r="AQ1465">
        <f t="shared" ca="1" si="737"/>
        <v>0.23817233076348027</v>
      </c>
      <c r="AR1465" t="str">
        <f t="shared" ca="1" si="738"/>
        <v>Subcritical</v>
      </c>
      <c r="AS1465">
        <f t="shared" ca="1" si="739"/>
        <v>3.4744828110961577E-4</v>
      </c>
    </row>
    <row r="1466" spans="1:45" x14ac:dyDescent="0.35">
      <c r="A1466">
        <v>13</v>
      </c>
      <c r="B1466">
        <v>12</v>
      </c>
      <c r="C1466">
        <v>616550.37300000002</v>
      </c>
      <c r="D1466">
        <v>3097749.8560000001</v>
      </c>
      <c r="E1466">
        <v>634.274</v>
      </c>
      <c r="F1466">
        <v>5.9950000000000001</v>
      </c>
      <c r="G1466">
        <v>0</v>
      </c>
      <c r="H1466" t="s">
        <v>154</v>
      </c>
      <c r="I1466">
        <v>2.7E-2</v>
      </c>
      <c r="J1466">
        <f t="shared" si="740"/>
        <v>0.99900000000000055</v>
      </c>
      <c r="K1466">
        <f t="shared" ca="1" si="741"/>
        <v>0.05</v>
      </c>
      <c r="L1466">
        <f t="shared" ca="1" si="742"/>
        <v>0.05</v>
      </c>
      <c r="M1466">
        <f t="shared" ca="1" si="715"/>
        <v>0.29975000000000002</v>
      </c>
      <c r="N1466">
        <f t="shared" ca="1" si="716"/>
        <v>4.9179655455291224E-2</v>
      </c>
      <c r="O1466">
        <f t="shared" ca="1" si="717"/>
        <v>0.16680567139282734</v>
      </c>
      <c r="P1466">
        <f t="shared" ca="1" si="718"/>
        <v>634.32399999999996</v>
      </c>
      <c r="Q1466">
        <f t="shared" ca="1" si="719"/>
        <v>634.32541815147852</v>
      </c>
      <c r="R1466">
        <f t="shared" ca="1" si="720"/>
        <v>3.4744828110961577E-4</v>
      </c>
      <c r="S1466">
        <f t="shared" ca="1" si="721"/>
        <v>0.23817233076348027</v>
      </c>
      <c r="T1466">
        <f t="shared" ca="1" si="722"/>
        <v>8.3439318113803645E-3</v>
      </c>
      <c r="U1466">
        <f t="shared" ca="1" si="743"/>
        <v>1.6528353502280879E-3</v>
      </c>
      <c r="V1466">
        <f t="shared" ca="1" si="744"/>
        <v>0</v>
      </c>
      <c r="W1466">
        <f t="shared" ca="1" si="723"/>
        <v>0.05</v>
      </c>
      <c r="X1466">
        <f t="shared" ca="1" si="724"/>
        <v>0.29975000000000002</v>
      </c>
      <c r="Y1466">
        <f t="shared" ca="1" si="725"/>
        <v>4.9179655455291224E-2</v>
      </c>
      <c r="Z1466">
        <f t="shared" ca="1" si="726"/>
        <v>0.16680567139282734</v>
      </c>
      <c r="AA1466">
        <f t="shared" ca="1" si="727"/>
        <v>634.32399999999996</v>
      </c>
      <c r="AB1466">
        <f t="shared" ca="1" si="728"/>
        <v>634.32541815147852</v>
      </c>
      <c r="AC1466">
        <f t="shared" ca="1" si="729"/>
        <v>3.4744828110961577E-4</v>
      </c>
      <c r="AD1466">
        <f t="shared" ca="1" si="730"/>
        <v>0.23817233076348027</v>
      </c>
      <c r="AE1466">
        <f t="shared" ca="1" si="731"/>
        <v>8.3439318113803645E-3</v>
      </c>
      <c r="AF1466">
        <f t="shared" ca="1" si="732"/>
        <v>-1.6525517188483718E-3</v>
      </c>
      <c r="AG1466">
        <f t="shared" ca="1" si="733"/>
        <v>0</v>
      </c>
      <c r="AH1466">
        <f ca="1">IFERROR(IF(V33="Supercritical",MAX($D$16,IFERROR(L1466,MAX($D$16,POWER((ABS(K1466)^2)/($I$5*MAX(F1466,0.1)^2),1/3)))),IF(V33="Subcritical",MAX($D$16,IFERROR(W1466,MAX($D$16,POWER((ABS(K1466)^2)/($I$5*MAX(F1466,0.1)^2),1/3)))),IF(AND(IFERROR(V1466,0)=1,IFERROR(AG1466,0)=1),IF(IFERROR(T1466,-1E+99)&gt;=IFERROR(AE1466,-1E+99),MAX($D$16,IFERROR(L1466,MAX($D$16,POWER((ABS(K1466)^2)/($I$5*MAX(F1466,0.1)^2),1/3)))),MAX($D$16,IFERROR(W1466,MAX($D$16,POWER((ABS(K1466)^2)/($I$5*MAX(F1466,0.1)^2),1/3))))),IF(IFERROR(V1466,0)=1,MAX($D$16,IFERROR(L1466,MAX($D$16,POWER((ABS(K1466)^2)/($I$5*MAX(F1466,0.1)^2),1/3)))),IF(IFERROR(AG1466,0)=1,MAX($D$16,IFERROR(W1466,MAX($D$16,POWER((ABS(K1466)^2)/($I$5*MAX(F1466,0.1)^2),1/3)))),MAX($D$16,POWER((ABS(K1466)^2)/($I$5*MAX(F1466,0.1)^2),1/3))))))),MAX($D$16,POWER((ABS(K1466)^2)/($I$5*MAX(F1466,0.1)^2),1/3)))</f>
        <v>0.05</v>
      </c>
      <c r="AI1466">
        <f t="shared" ca="1" si="734"/>
        <v>634.32399999999996</v>
      </c>
      <c r="AJ1466">
        <f t="shared" ca="1" si="735"/>
        <v>634.32541815147852</v>
      </c>
      <c r="AM1466">
        <v>0</v>
      </c>
      <c r="AN1466">
        <v>0</v>
      </c>
      <c r="AO1466">
        <f t="shared" si="736"/>
        <v>0</v>
      </c>
      <c r="AP1466">
        <f t="shared" si="745"/>
        <v>0</v>
      </c>
      <c r="AQ1466">
        <f t="shared" ca="1" si="737"/>
        <v>0.23817233076348027</v>
      </c>
      <c r="AR1466" t="str">
        <f t="shared" ca="1" si="738"/>
        <v>Subcritical</v>
      </c>
      <c r="AS1466">
        <f t="shared" ca="1" si="739"/>
        <v>3.4744828110961577E-4</v>
      </c>
    </row>
    <row r="1467" spans="1:45" x14ac:dyDescent="0.35">
      <c r="A1467">
        <v>14</v>
      </c>
      <c r="B1467">
        <v>13</v>
      </c>
      <c r="C1467">
        <v>616549.90300000005</v>
      </c>
      <c r="D1467">
        <v>3097748.9730000002</v>
      </c>
      <c r="E1467">
        <v>634.27200000000005</v>
      </c>
      <c r="F1467">
        <v>5.9950000000000001</v>
      </c>
      <c r="G1467">
        <v>0</v>
      </c>
      <c r="H1467" t="s">
        <v>154</v>
      </c>
      <c r="I1467">
        <v>0</v>
      </c>
      <c r="J1467">
        <f t="shared" si="740"/>
        <v>1</v>
      </c>
      <c r="K1467">
        <f t="shared" ca="1" si="741"/>
        <v>0.05</v>
      </c>
      <c r="L1467">
        <f t="shared" ca="1" si="742"/>
        <v>0.05</v>
      </c>
      <c r="M1467">
        <f t="shared" ca="1" si="715"/>
        <v>0.29975000000000002</v>
      </c>
      <c r="N1467">
        <f t="shared" ca="1" si="716"/>
        <v>4.9179655455291224E-2</v>
      </c>
      <c r="O1467">
        <f t="shared" ca="1" si="717"/>
        <v>0.16680567139282734</v>
      </c>
      <c r="P1467">
        <f t="shared" ca="1" si="718"/>
        <v>634.322</v>
      </c>
      <c r="Q1467">
        <f t="shared" ca="1" si="719"/>
        <v>634.32341815147856</v>
      </c>
      <c r="R1467">
        <f t="shared" ca="1" si="720"/>
        <v>3.4744828110961577E-4</v>
      </c>
      <c r="S1467">
        <f t="shared" ca="1" si="721"/>
        <v>0.23817233076348027</v>
      </c>
      <c r="T1467">
        <f t="shared" ca="1" si="722"/>
        <v>8.3439318113803645E-3</v>
      </c>
      <c r="U1467">
        <f t="shared" ca="1" si="743"/>
        <v>1.6525517188483718E-3</v>
      </c>
      <c r="V1467">
        <f t="shared" ca="1" si="744"/>
        <v>0</v>
      </c>
      <c r="W1467">
        <f t="shared" ca="1" si="723"/>
        <v>0.05</v>
      </c>
      <c r="X1467">
        <f t="shared" ca="1" si="724"/>
        <v>0.29975000000000002</v>
      </c>
      <c r="Y1467">
        <f t="shared" ca="1" si="725"/>
        <v>4.9179655455291224E-2</v>
      </c>
      <c r="Z1467">
        <f t="shared" ca="1" si="726"/>
        <v>0.16680567139282734</v>
      </c>
      <c r="AA1467">
        <f t="shared" ca="1" si="727"/>
        <v>634.322</v>
      </c>
      <c r="AB1467">
        <f t="shared" ca="1" si="728"/>
        <v>634.32341815147856</v>
      </c>
      <c r="AC1467">
        <f t="shared" ca="1" si="729"/>
        <v>3.4744828110961577E-4</v>
      </c>
      <c r="AD1467">
        <f t="shared" ca="1" si="730"/>
        <v>0.23817233076348027</v>
      </c>
      <c r="AE1467">
        <f t="shared" ca="1" si="731"/>
        <v>8.3439318113803645E-3</v>
      </c>
      <c r="AF1467">
        <f t="shared" ca="1" si="732"/>
        <v>-1.651561216135633E-3</v>
      </c>
      <c r="AG1467">
        <f t="shared" ca="1" si="733"/>
        <v>0</v>
      </c>
      <c r="AH1467">
        <f ca="1">IFERROR(IF(V33="Supercritical",MAX($D$16,IFERROR(L1467,MAX($D$16,POWER((ABS(K1467)^2)/($I$5*MAX(F1467,0.1)^2),1/3)))),IF(V33="Subcritical",MAX($D$16,IFERROR(W1467,MAX($D$16,POWER((ABS(K1467)^2)/($I$5*MAX(F1467,0.1)^2),1/3)))),IF(AND(IFERROR(V1467,0)=1,IFERROR(AG1467,0)=1),IF(IFERROR(T1467,-1E+99)&gt;=IFERROR(AE1467,-1E+99),MAX($D$16,IFERROR(L1467,MAX($D$16,POWER((ABS(K1467)^2)/($I$5*MAX(F1467,0.1)^2),1/3)))),MAX($D$16,IFERROR(W1467,MAX($D$16,POWER((ABS(K1467)^2)/($I$5*MAX(F1467,0.1)^2),1/3))))),IF(IFERROR(V1467,0)=1,MAX($D$16,IFERROR(L1467,MAX($D$16,POWER((ABS(K1467)^2)/($I$5*MAX(F1467,0.1)^2),1/3)))),IF(IFERROR(AG1467,0)=1,MAX($D$16,IFERROR(W1467,MAX($D$16,POWER((ABS(K1467)^2)/($I$5*MAX(F1467,0.1)^2),1/3)))),MAX($D$16,POWER((ABS(K1467)^2)/($I$5*MAX(F1467,0.1)^2),1/3))))))),MAX($D$16,POWER((ABS(K1467)^2)/($I$5*MAX(F1467,0.1)^2),1/3)))</f>
        <v>0.05</v>
      </c>
      <c r="AI1467">
        <f t="shared" ca="1" si="734"/>
        <v>634.322</v>
      </c>
      <c r="AJ1467">
        <f t="shared" ca="1" si="735"/>
        <v>634.32341815147856</v>
      </c>
      <c r="AM1467">
        <v>0</v>
      </c>
      <c r="AN1467">
        <v>0</v>
      </c>
      <c r="AO1467">
        <f t="shared" si="736"/>
        <v>0</v>
      </c>
      <c r="AP1467">
        <f t="shared" si="745"/>
        <v>0</v>
      </c>
      <c r="AQ1467">
        <f t="shared" ca="1" si="737"/>
        <v>0.23817233076348027</v>
      </c>
      <c r="AR1467" t="str">
        <f t="shared" ca="1" si="738"/>
        <v>Subcritical</v>
      </c>
      <c r="AS1467">
        <f t="shared" ca="1" si="739"/>
        <v>3.4744828110961577E-4</v>
      </c>
    </row>
    <row r="1468" spans="1:45" x14ac:dyDescent="0.35">
      <c r="A1468">
        <v>15</v>
      </c>
      <c r="B1468">
        <v>14.000999999999999</v>
      </c>
      <c r="C1468">
        <v>616549.43299999996</v>
      </c>
      <c r="D1468">
        <v>3097748.09</v>
      </c>
      <c r="E1468">
        <v>634.27</v>
      </c>
      <c r="F1468">
        <v>5.9939999999999998</v>
      </c>
      <c r="G1468">
        <v>0</v>
      </c>
      <c r="H1468" t="s">
        <v>154</v>
      </c>
      <c r="I1468">
        <v>2.7E-2</v>
      </c>
      <c r="J1468">
        <f t="shared" si="740"/>
        <v>1.0009999999999994</v>
      </c>
      <c r="K1468">
        <f t="shared" ca="1" si="741"/>
        <v>0.05</v>
      </c>
      <c r="L1468">
        <f t="shared" ca="1" si="742"/>
        <v>0.05</v>
      </c>
      <c r="M1468">
        <f t="shared" ca="1" si="715"/>
        <v>0.29970000000000002</v>
      </c>
      <c r="N1468">
        <f t="shared" ca="1" si="716"/>
        <v>4.9179520840170667E-2</v>
      </c>
      <c r="O1468">
        <f t="shared" ca="1" si="717"/>
        <v>0.16683350016683349</v>
      </c>
      <c r="P1468">
        <f t="shared" ca="1" si="718"/>
        <v>634.31999999999994</v>
      </c>
      <c r="Q1468">
        <f t="shared" ca="1" si="719"/>
        <v>634.32141862470826</v>
      </c>
      <c r="R1468">
        <f t="shared" ca="1" si="720"/>
        <v>3.4756549128580477E-4</v>
      </c>
      <c r="S1468">
        <f t="shared" ca="1" si="721"/>
        <v>0.23821206588706445</v>
      </c>
      <c r="T1468">
        <f t="shared" ca="1" si="722"/>
        <v>8.3428236501877362E-3</v>
      </c>
      <c r="U1468">
        <f t="shared" ca="1" si="743"/>
        <v>1.651561216135633E-3</v>
      </c>
      <c r="V1468">
        <f t="shared" ca="1" si="744"/>
        <v>0</v>
      </c>
      <c r="W1468">
        <f t="shared" ca="1" si="723"/>
        <v>0.05</v>
      </c>
      <c r="X1468">
        <f t="shared" ca="1" si="724"/>
        <v>0.29970000000000002</v>
      </c>
      <c r="Y1468">
        <f t="shared" ca="1" si="725"/>
        <v>4.9179520840170667E-2</v>
      </c>
      <c r="Z1468">
        <f t="shared" ca="1" si="726"/>
        <v>0.16683350016683349</v>
      </c>
      <c r="AA1468">
        <f t="shared" ca="1" si="727"/>
        <v>634.31999999999994</v>
      </c>
      <c r="AB1468">
        <f t="shared" ca="1" si="728"/>
        <v>634.32141862470826</v>
      </c>
      <c r="AC1468">
        <f t="shared" ca="1" si="729"/>
        <v>3.4756549128580477E-4</v>
      </c>
      <c r="AD1468">
        <f t="shared" ca="1" si="730"/>
        <v>0.23821206588706445</v>
      </c>
      <c r="AE1468">
        <f t="shared" ca="1" si="731"/>
        <v>8.3428236501877362E-3</v>
      </c>
      <c r="AF1468">
        <f t="shared" ca="1" si="732"/>
        <v>-1.6527182360732695E-3</v>
      </c>
      <c r="AG1468">
        <f t="shared" ca="1" si="733"/>
        <v>0</v>
      </c>
      <c r="AH1468">
        <f ca="1">IFERROR(IF(V33="Supercritical",MAX($D$16,IFERROR(L1468,MAX($D$16,POWER((ABS(K1468)^2)/($I$5*MAX(F1468,0.1)^2),1/3)))),IF(V33="Subcritical",MAX($D$16,IFERROR(W1468,MAX($D$16,POWER((ABS(K1468)^2)/($I$5*MAX(F1468,0.1)^2),1/3)))),IF(AND(IFERROR(V1468,0)=1,IFERROR(AG1468,0)=1),IF(IFERROR(T1468,-1E+99)&gt;=IFERROR(AE1468,-1E+99),MAX($D$16,IFERROR(L1468,MAX($D$16,POWER((ABS(K1468)^2)/($I$5*MAX(F1468,0.1)^2),1/3)))),MAX($D$16,IFERROR(W1468,MAX($D$16,POWER((ABS(K1468)^2)/($I$5*MAX(F1468,0.1)^2),1/3))))),IF(IFERROR(V1468,0)=1,MAX($D$16,IFERROR(L1468,MAX($D$16,POWER((ABS(K1468)^2)/($I$5*MAX(F1468,0.1)^2),1/3)))),IF(IFERROR(AG1468,0)=1,MAX($D$16,IFERROR(W1468,MAX($D$16,POWER((ABS(K1468)^2)/($I$5*MAX(F1468,0.1)^2),1/3)))),MAX($D$16,POWER((ABS(K1468)^2)/($I$5*MAX(F1468,0.1)^2),1/3))))))),MAX($D$16,POWER((ABS(K1468)^2)/($I$5*MAX(F1468,0.1)^2),1/3)))</f>
        <v>0.05</v>
      </c>
      <c r="AI1468">
        <f t="shared" ca="1" si="734"/>
        <v>634.31999999999994</v>
      </c>
      <c r="AJ1468">
        <f t="shared" ca="1" si="735"/>
        <v>634.32141862470826</v>
      </c>
      <c r="AM1468">
        <v>0</v>
      </c>
      <c r="AN1468">
        <v>0</v>
      </c>
      <c r="AO1468">
        <f t="shared" si="736"/>
        <v>0</v>
      </c>
      <c r="AP1468">
        <f t="shared" si="745"/>
        <v>0</v>
      </c>
      <c r="AQ1468">
        <f t="shared" ca="1" si="737"/>
        <v>0.23821206588706445</v>
      </c>
      <c r="AR1468" t="str">
        <f t="shared" ca="1" si="738"/>
        <v>Subcritical</v>
      </c>
      <c r="AS1468">
        <f t="shared" ca="1" si="739"/>
        <v>3.4756549128580477E-4</v>
      </c>
    </row>
    <row r="1469" spans="1:45" x14ac:dyDescent="0.35">
      <c r="A1469">
        <v>16</v>
      </c>
      <c r="B1469">
        <v>15</v>
      </c>
      <c r="C1469">
        <v>616548.96299999999</v>
      </c>
      <c r="D1469">
        <v>3097747.2080000001</v>
      </c>
      <c r="E1469">
        <v>634.26800000000003</v>
      </c>
      <c r="F1469">
        <v>5.9939999999999998</v>
      </c>
      <c r="G1469">
        <v>0</v>
      </c>
      <c r="H1469" t="s">
        <v>154</v>
      </c>
      <c r="I1469">
        <v>2.7E-2</v>
      </c>
      <c r="J1469">
        <f t="shared" si="740"/>
        <v>0.99900000000000055</v>
      </c>
      <c r="K1469">
        <f t="shared" ca="1" si="741"/>
        <v>0.05</v>
      </c>
      <c r="L1469">
        <f t="shared" ca="1" si="742"/>
        <v>0.05</v>
      </c>
      <c r="M1469">
        <f t="shared" ca="1" si="715"/>
        <v>0.29970000000000002</v>
      </c>
      <c r="N1469">
        <f t="shared" ca="1" si="716"/>
        <v>4.9179520840170667E-2</v>
      </c>
      <c r="O1469">
        <f t="shared" ca="1" si="717"/>
        <v>0.16683350016683349</v>
      </c>
      <c r="P1469">
        <f t="shared" ca="1" si="718"/>
        <v>634.31799999999998</v>
      </c>
      <c r="Q1469">
        <f t="shared" ca="1" si="719"/>
        <v>634.31941862470831</v>
      </c>
      <c r="R1469">
        <f t="shared" ca="1" si="720"/>
        <v>3.4756549128580477E-4</v>
      </c>
      <c r="S1469">
        <f t="shared" ca="1" si="721"/>
        <v>0.23821206588706445</v>
      </c>
      <c r="T1469">
        <f t="shared" ca="1" si="722"/>
        <v>8.3428236501877362E-3</v>
      </c>
      <c r="U1469">
        <f t="shared" ca="1" si="743"/>
        <v>1.6527182360732695E-3</v>
      </c>
      <c r="V1469">
        <f t="shared" ca="1" si="744"/>
        <v>0</v>
      </c>
      <c r="W1469">
        <f t="shared" ca="1" si="723"/>
        <v>0.05</v>
      </c>
      <c r="X1469">
        <f t="shared" ca="1" si="724"/>
        <v>0.29970000000000002</v>
      </c>
      <c r="Y1469">
        <f t="shared" ca="1" si="725"/>
        <v>4.9179520840170667E-2</v>
      </c>
      <c r="Z1469">
        <f t="shared" ca="1" si="726"/>
        <v>0.16683350016683349</v>
      </c>
      <c r="AA1469">
        <f t="shared" ca="1" si="727"/>
        <v>634.31799999999998</v>
      </c>
      <c r="AB1469">
        <f t="shared" ca="1" si="728"/>
        <v>634.31941862470831</v>
      </c>
      <c r="AC1469">
        <f t="shared" ca="1" si="729"/>
        <v>3.4756549128580477E-4</v>
      </c>
      <c r="AD1469">
        <f t="shared" ca="1" si="730"/>
        <v>0.23821206588706445</v>
      </c>
      <c r="AE1469">
        <f t="shared" ca="1" si="731"/>
        <v>8.3428236501877362E-3</v>
      </c>
      <c r="AF1469">
        <f t="shared" ca="1" si="732"/>
        <v>-1.6524345087418624E-3</v>
      </c>
      <c r="AG1469">
        <f t="shared" ca="1" si="733"/>
        <v>0</v>
      </c>
      <c r="AH1469">
        <f ca="1">IFERROR(IF(V33="Supercritical",MAX($D$16,IFERROR(L1469,MAX($D$16,POWER((ABS(K1469)^2)/($I$5*MAX(F1469,0.1)^2),1/3)))),IF(V33="Subcritical",MAX($D$16,IFERROR(W1469,MAX($D$16,POWER((ABS(K1469)^2)/($I$5*MAX(F1469,0.1)^2),1/3)))),IF(AND(IFERROR(V1469,0)=1,IFERROR(AG1469,0)=1),IF(IFERROR(T1469,-1E+99)&gt;=IFERROR(AE1469,-1E+99),MAX($D$16,IFERROR(L1469,MAX($D$16,POWER((ABS(K1469)^2)/($I$5*MAX(F1469,0.1)^2),1/3)))),MAX($D$16,IFERROR(W1469,MAX($D$16,POWER((ABS(K1469)^2)/($I$5*MAX(F1469,0.1)^2),1/3))))),IF(IFERROR(V1469,0)=1,MAX($D$16,IFERROR(L1469,MAX($D$16,POWER((ABS(K1469)^2)/($I$5*MAX(F1469,0.1)^2),1/3)))),IF(IFERROR(AG1469,0)=1,MAX($D$16,IFERROR(W1469,MAX($D$16,POWER((ABS(K1469)^2)/($I$5*MAX(F1469,0.1)^2),1/3)))),MAX($D$16,POWER((ABS(K1469)^2)/($I$5*MAX(F1469,0.1)^2),1/3))))))),MAX($D$16,POWER((ABS(K1469)^2)/($I$5*MAX(F1469,0.1)^2),1/3)))</f>
        <v>0.05</v>
      </c>
      <c r="AI1469">
        <f t="shared" ca="1" si="734"/>
        <v>634.31799999999998</v>
      </c>
      <c r="AJ1469">
        <f t="shared" ca="1" si="735"/>
        <v>634.31941862470831</v>
      </c>
      <c r="AM1469">
        <v>0</v>
      </c>
      <c r="AN1469">
        <v>0</v>
      </c>
      <c r="AO1469">
        <f t="shared" si="736"/>
        <v>0</v>
      </c>
      <c r="AP1469">
        <f t="shared" si="745"/>
        <v>0</v>
      </c>
      <c r="AQ1469">
        <f t="shared" ca="1" si="737"/>
        <v>0.23821206588706445</v>
      </c>
      <c r="AR1469" t="str">
        <f t="shared" ca="1" si="738"/>
        <v>Subcritical</v>
      </c>
      <c r="AS1469">
        <f t="shared" ca="1" si="739"/>
        <v>3.4756549128580477E-4</v>
      </c>
    </row>
    <row r="1470" spans="1:45" x14ac:dyDescent="0.35">
      <c r="A1470">
        <v>17</v>
      </c>
      <c r="B1470">
        <v>16</v>
      </c>
      <c r="C1470">
        <v>616548.49300000002</v>
      </c>
      <c r="D1470">
        <v>3097746.3250000002</v>
      </c>
      <c r="E1470">
        <v>634.26599999999996</v>
      </c>
      <c r="F1470">
        <v>5.9939999999999998</v>
      </c>
      <c r="G1470">
        <v>0</v>
      </c>
      <c r="H1470" t="s">
        <v>154</v>
      </c>
      <c r="I1470">
        <v>0</v>
      </c>
      <c r="J1470">
        <f t="shared" si="740"/>
        <v>1</v>
      </c>
      <c r="K1470">
        <f t="shared" ca="1" si="741"/>
        <v>0.05</v>
      </c>
      <c r="L1470">
        <f t="shared" ca="1" si="742"/>
        <v>0.05</v>
      </c>
      <c r="M1470">
        <f t="shared" ca="1" si="715"/>
        <v>0.29970000000000002</v>
      </c>
      <c r="N1470">
        <f t="shared" ca="1" si="716"/>
        <v>4.9179520840170667E-2</v>
      </c>
      <c r="O1470">
        <f t="shared" ca="1" si="717"/>
        <v>0.16683350016683349</v>
      </c>
      <c r="P1470">
        <f t="shared" ca="1" si="718"/>
        <v>634.31599999999992</v>
      </c>
      <c r="Q1470">
        <f t="shared" ca="1" si="719"/>
        <v>634.31741862470824</v>
      </c>
      <c r="R1470">
        <f t="shared" ca="1" si="720"/>
        <v>3.4756549128580477E-4</v>
      </c>
      <c r="S1470">
        <f t="shared" ca="1" si="721"/>
        <v>0.23821206588706445</v>
      </c>
      <c r="T1470">
        <f t="shared" ca="1" si="722"/>
        <v>8.3428236501877362E-3</v>
      </c>
      <c r="U1470">
        <f t="shared" ca="1" si="743"/>
        <v>1.6524345087418624E-3</v>
      </c>
      <c r="V1470">
        <f t="shared" ca="1" si="744"/>
        <v>0</v>
      </c>
      <c r="W1470">
        <f t="shared" ca="1" si="723"/>
        <v>0.05</v>
      </c>
      <c r="X1470">
        <f t="shared" ca="1" si="724"/>
        <v>0.29970000000000002</v>
      </c>
      <c r="Y1470">
        <f t="shared" ca="1" si="725"/>
        <v>4.9179520840170667E-2</v>
      </c>
      <c r="Z1470">
        <f t="shared" ca="1" si="726"/>
        <v>0.16683350016683349</v>
      </c>
      <c r="AA1470">
        <f t="shared" ca="1" si="727"/>
        <v>634.31599999999992</v>
      </c>
      <c r="AB1470">
        <f t="shared" ca="1" si="728"/>
        <v>634.31741862470824</v>
      </c>
      <c r="AC1470">
        <f t="shared" ca="1" si="729"/>
        <v>3.4756549128580477E-4</v>
      </c>
      <c r="AD1470">
        <f t="shared" ca="1" si="730"/>
        <v>0.23821206588706445</v>
      </c>
      <c r="AE1470">
        <f t="shared" ca="1" si="731"/>
        <v>8.3428236501877362E-3</v>
      </c>
      <c r="AF1470">
        <f t="shared" ca="1" si="732"/>
        <v>-1.6517299226279647E-3</v>
      </c>
      <c r="AG1470">
        <f t="shared" ca="1" si="733"/>
        <v>0</v>
      </c>
      <c r="AH1470">
        <f ca="1">IFERROR(IF(V33="Supercritical",MAX($D$16,IFERROR(L1470,MAX($D$16,POWER((ABS(K1470)^2)/($I$5*MAX(F1470,0.1)^2),1/3)))),IF(V33="Subcritical",MAX($D$16,IFERROR(W1470,MAX($D$16,POWER((ABS(K1470)^2)/($I$5*MAX(F1470,0.1)^2),1/3)))),IF(AND(IFERROR(V1470,0)=1,IFERROR(AG1470,0)=1),IF(IFERROR(T1470,-1E+99)&gt;=IFERROR(AE1470,-1E+99),MAX($D$16,IFERROR(L1470,MAX($D$16,POWER((ABS(K1470)^2)/($I$5*MAX(F1470,0.1)^2),1/3)))),MAX($D$16,IFERROR(W1470,MAX($D$16,POWER((ABS(K1470)^2)/($I$5*MAX(F1470,0.1)^2),1/3))))),IF(IFERROR(V1470,0)=1,MAX($D$16,IFERROR(L1470,MAX($D$16,POWER((ABS(K1470)^2)/($I$5*MAX(F1470,0.1)^2),1/3)))),IF(IFERROR(AG1470,0)=1,MAX($D$16,IFERROR(W1470,MAX($D$16,POWER((ABS(K1470)^2)/($I$5*MAX(F1470,0.1)^2),1/3)))),MAX($D$16,POWER((ABS(K1470)^2)/($I$5*MAX(F1470,0.1)^2),1/3))))))),MAX($D$16,POWER((ABS(K1470)^2)/($I$5*MAX(F1470,0.1)^2),1/3)))</f>
        <v>0.05</v>
      </c>
      <c r="AI1470">
        <f t="shared" ca="1" si="734"/>
        <v>634.31599999999992</v>
      </c>
      <c r="AJ1470">
        <f t="shared" ca="1" si="735"/>
        <v>634.31741862470824</v>
      </c>
      <c r="AM1470">
        <v>0</v>
      </c>
      <c r="AN1470">
        <v>0</v>
      </c>
      <c r="AO1470">
        <f t="shared" si="736"/>
        <v>0</v>
      </c>
      <c r="AP1470">
        <f t="shared" si="745"/>
        <v>0</v>
      </c>
      <c r="AQ1470">
        <f t="shared" ca="1" si="737"/>
        <v>0.23821206588706445</v>
      </c>
      <c r="AR1470" t="str">
        <f t="shared" ca="1" si="738"/>
        <v>Subcritical</v>
      </c>
      <c r="AS1470">
        <f t="shared" ca="1" si="739"/>
        <v>3.4756549128580477E-4</v>
      </c>
    </row>
    <row r="1471" spans="1:45" x14ac:dyDescent="0.35">
      <c r="A1471">
        <v>18</v>
      </c>
      <c r="B1471">
        <v>17.001000000000001</v>
      </c>
      <c r="C1471">
        <v>616548.02300000004</v>
      </c>
      <c r="D1471">
        <v>3097745.4419999998</v>
      </c>
      <c r="E1471">
        <v>634.26400000000001</v>
      </c>
      <c r="F1471">
        <v>5.9939999999999998</v>
      </c>
      <c r="G1471">
        <v>0</v>
      </c>
      <c r="H1471" t="s">
        <v>154</v>
      </c>
      <c r="I1471">
        <v>0.151</v>
      </c>
      <c r="J1471">
        <f t="shared" si="740"/>
        <v>1.0010000000000012</v>
      </c>
      <c r="K1471">
        <f t="shared" ca="1" si="741"/>
        <v>0.05</v>
      </c>
      <c r="L1471">
        <f t="shared" ca="1" si="742"/>
        <v>0.05</v>
      </c>
      <c r="M1471">
        <f t="shared" ca="1" si="715"/>
        <v>0.29970000000000002</v>
      </c>
      <c r="N1471">
        <f t="shared" ca="1" si="716"/>
        <v>4.9179520840170667E-2</v>
      </c>
      <c r="O1471">
        <f t="shared" ca="1" si="717"/>
        <v>0.16683350016683349</v>
      </c>
      <c r="P1471">
        <f t="shared" ca="1" si="718"/>
        <v>634.31399999999996</v>
      </c>
      <c r="Q1471">
        <f t="shared" ca="1" si="719"/>
        <v>634.31541862470829</v>
      </c>
      <c r="R1471">
        <f t="shared" ca="1" si="720"/>
        <v>3.4756549128580477E-4</v>
      </c>
      <c r="S1471">
        <f t="shared" ca="1" si="721"/>
        <v>0.23821206588706445</v>
      </c>
      <c r="T1471">
        <f t="shared" ca="1" si="722"/>
        <v>8.3428236501877362E-3</v>
      </c>
      <c r="U1471">
        <f t="shared" ca="1" si="743"/>
        <v>1.6517299226279647E-3</v>
      </c>
      <c r="V1471">
        <f t="shared" ca="1" si="744"/>
        <v>0</v>
      </c>
      <c r="W1471">
        <f t="shared" ca="1" si="723"/>
        <v>0.05</v>
      </c>
      <c r="X1471">
        <f t="shared" ca="1" si="724"/>
        <v>0.29970000000000002</v>
      </c>
      <c r="Y1471">
        <f t="shared" ca="1" si="725"/>
        <v>4.9179520840170667E-2</v>
      </c>
      <c r="Z1471">
        <f t="shared" ca="1" si="726"/>
        <v>0.16683350016683349</v>
      </c>
      <c r="AA1471">
        <f t="shared" ca="1" si="727"/>
        <v>634.31399999999996</v>
      </c>
      <c r="AB1471">
        <f t="shared" ca="1" si="728"/>
        <v>634.31541862470829</v>
      </c>
      <c r="AC1471">
        <f t="shared" ca="1" si="729"/>
        <v>3.4756549128580477E-4</v>
      </c>
      <c r="AD1471">
        <f t="shared" ca="1" si="730"/>
        <v>0.23821206588706445</v>
      </c>
      <c r="AE1471">
        <f t="shared" ca="1" si="731"/>
        <v>8.3428236501877362E-3</v>
      </c>
      <c r="AF1471">
        <f t="shared" ca="1" si="732"/>
        <v>-1.911718365249726E-3</v>
      </c>
      <c r="AG1471">
        <f t="shared" ca="1" si="733"/>
        <v>0</v>
      </c>
      <c r="AH1471">
        <f ca="1">IFERROR(IF(V33="Supercritical",MAX($D$16,IFERROR(L1471,MAX($D$16,POWER((ABS(K1471)^2)/($I$5*MAX(F1471,0.1)^2),1/3)))),IF(V33="Subcritical",MAX($D$16,IFERROR(W1471,MAX($D$16,POWER((ABS(K1471)^2)/($I$5*MAX(F1471,0.1)^2),1/3)))),IF(AND(IFERROR(V1471,0)=1,IFERROR(AG1471,0)=1),IF(IFERROR(T1471,-1E+99)&gt;=IFERROR(AE1471,-1E+99),MAX($D$16,IFERROR(L1471,MAX($D$16,POWER((ABS(K1471)^2)/($I$5*MAX(F1471,0.1)^2),1/3)))),MAX($D$16,IFERROR(W1471,MAX($D$16,POWER((ABS(K1471)^2)/($I$5*MAX(F1471,0.1)^2),1/3))))),IF(IFERROR(V1471,0)=1,MAX($D$16,IFERROR(L1471,MAX($D$16,POWER((ABS(K1471)^2)/($I$5*MAX(F1471,0.1)^2),1/3)))),IF(IFERROR(AG1471,0)=1,MAX($D$16,IFERROR(W1471,MAX($D$16,POWER((ABS(K1471)^2)/($I$5*MAX(F1471,0.1)^2),1/3)))),MAX($D$16,POWER((ABS(K1471)^2)/($I$5*MAX(F1471,0.1)^2),1/3))))))),MAX($D$16,POWER((ABS(K1471)^2)/($I$5*MAX(F1471,0.1)^2),1/3)))</f>
        <v>0.05</v>
      </c>
      <c r="AI1471">
        <f t="shared" ca="1" si="734"/>
        <v>634.31399999999996</v>
      </c>
      <c r="AJ1471">
        <f t="shared" ca="1" si="735"/>
        <v>634.31541862470829</v>
      </c>
      <c r="AM1471">
        <v>0</v>
      </c>
      <c r="AN1471">
        <v>0</v>
      </c>
      <c r="AO1471">
        <f t="shared" si="736"/>
        <v>0</v>
      </c>
      <c r="AP1471">
        <f t="shared" si="745"/>
        <v>0</v>
      </c>
      <c r="AQ1471">
        <f t="shared" ca="1" si="737"/>
        <v>0.23821206588706445</v>
      </c>
      <c r="AR1471" t="str">
        <f t="shared" ca="1" si="738"/>
        <v>Subcritical</v>
      </c>
      <c r="AS1471">
        <f t="shared" ca="1" si="739"/>
        <v>3.4756549128580477E-4</v>
      </c>
    </row>
    <row r="1472" spans="1:45" x14ac:dyDescent="0.35">
      <c r="A1472">
        <v>19</v>
      </c>
      <c r="B1472">
        <v>17.254999999999999</v>
      </c>
      <c r="C1472">
        <v>616547.90399999998</v>
      </c>
      <c r="D1472">
        <v>3097745.2170000002</v>
      </c>
      <c r="E1472">
        <v>634.26199999999994</v>
      </c>
      <c r="F1472">
        <v>5.9939999999999998</v>
      </c>
      <c r="G1472">
        <v>0</v>
      </c>
      <c r="H1472" t="s">
        <v>154</v>
      </c>
      <c r="I1472">
        <v>0</v>
      </c>
      <c r="J1472">
        <f t="shared" si="740"/>
        <v>0.25399999999999778</v>
      </c>
      <c r="K1472">
        <f t="shared" ca="1" si="741"/>
        <v>0.05</v>
      </c>
      <c r="L1472">
        <f t="shared" ca="1" si="742"/>
        <v>0.05</v>
      </c>
      <c r="M1472">
        <f t="shared" ca="1" si="715"/>
        <v>0.29970000000000002</v>
      </c>
      <c r="N1472">
        <f t="shared" ca="1" si="716"/>
        <v>4.9179520840170667E-2</v>
      </c>
      <c r="O1472">
        <f t="shared" ca="1" si="717"/>
        <v>0.16683350016683349</v>
      </c>
      <c r="P1472">
        <f t="shared" ca="1" si="718"/>
        <v>634.3119999999999</v>
      </c>
      <c r="Q1472">
        <f t="shared" ca="1" si="719"/>
        <v>634.31341862470822</v>
      </c>
      <c r="R1472">
        <f t="shared" ca="1" si="720"/>
        <v>3.4756549128580477E-4</v>
      </c>
      <c r="S1472">
        <f t="shared" ca="1" si="721"/>
        <v>0.23821206588706445</v>
      </c>
      <c r="T1472">
        <f t="shared" ca="1" si="722"/>
        <v>8.3428236501877362E-3</v>
      </c>
      <c r="U1472">
        <f t="shared" ca="1" si="743"/>
        <v>1.911718365249726E-3</v>
      </c>
      <c r="V1472">
        <f t="shared" ca="1" si="744"/>
        <v>0</v>
      </c>
      <c r="W1472">
        <f>MAX($D$16,($I$13)-E1472)</f>
        <v>0.05</v>
      </c>
      <c r="X1472">
        <f t="shared" si="724"/>
        <v>0.29970000000000002</v>
      </c>
      <c r="Y1472">
        <f t="shared" si="725"/>
        <v>4.9179520840170667E-2</v>
      </c>
      <c r="Z1472">
        <f t="shared" ca="1" si="726"/>
        <v>0.16683350016683349</v>
      </c>
      <c r="AA1472">
        <f t="shared" si="727"/>
        <v>634.3119999999999</v>
      </c>
      <c r="AB1472">
        <f t="shared" ca="1" si="728"/>
        <v>634.31341862470822</v>
      </c>
      <c r="AC1472">
        <f t="shared" ca="1" si="729"/>
        <v>3.4756549128580477E-4</v>
      </c>
      <c r="AD1472">
        <f t="shared" ca="1" si="730"/>
        <v>0.23821206588706445</v>
      </c>
      <c r="AE1472">
        <f t="shared" ca="1" si="731"/>
        <v>8.3428236501877362E-3</v>
      </c>
      <c r="AF1472">
        <v>0</v>
      </c>
      <c r="AG1472">
        <v>1</v>
      </c>
      <c r="AH1472">
        <f ca="1">IFERROR(IF(V33="Supercritical",MAX($D$16,IFERROR(L1472,MAX($D$16,POWER((ABS(K1472)^2)/($I$5*MAX(F1472,0.1)^2),1/3)))),IF(V33="Subcritical",MAX($D$16,IFERROR(W1472,MAX($D$16,POWER((ABS(K1472)^2)/($I$5*MAX(F1472,0.1)^2),1/3)))),IF(AND(IFERROR(V1472,0)=1,IFERROR(AG1472,0)=1),IF(IFERROR(T1472,-1E+99)&gt;=IFERROR(AE1472,-1E+99),MAX($D$16,IFERROR(L1472,MAX($D$16,POWER((ABS(K1472)^2)/($I$5*MAX(F1472,0.1)^2),1/3)))),MAX($D$16,IFERROR(W1472,MAX($D$16,POWER((ABS(K1472)^2)/($I$5*MAX(F1472,0.1)^2),1/3))))),IF(IFERROR(V1472,0)=1,MAX($D$16,IFERROR(L1472,MAX($D$16,POWER((ABS(K1472)^2)/($I$5*MAX(F1472,0.1)^2),1/3)))),IF(IFERROR(AG1472,0)=1,MAX($D$16,IFERROR(W1472,MAX($D$16,POWER((ABS(K1472)^2)/($I$5*MAX(F1472,0.1)^2),1/3)))),MAX($D$16,POWER((ABS(K1472)^2)/($I$5*MAX(F1472,0.1)^2),1/3))))))),MAX($D$16,POWER((ABS(K1472)^2)/($I$5*MAX(F1472,0.1)^2),1/3)))</f>
        <v>0.05</v>
      </c>
      <c r="AI1472">
        <f t="shared" ca="1" si="734"/>
        <v>634.3119999999999</v>
      </c>
      <c r="AJ1472">
        <f t="shared" ca="1" si="735"/>
        <v>634.31341862470822</v>
      </c>
      <c r="AM1472">
        <v>0</v>
      </c>
      <c r="AN1472">
        <v>0</v>
      </c>
      <c r="AO1472">
        <f t="shared" si="736"/>
        <v>0</v>
      </c>
      <c r="AP1472">
        <f t="shared" si="745"/>
        <v>0</v>
      </c>
      <c r="AQ1472">
        <f t="shared" ca="1" si="737"/>
        <v>0.23821206588706445</v>
      </c>
      <c r="AR1472" t="str">
        <f t="shared" ca="1" si="738"/>
        <v>Subcritical</v>
      </c>
      <c r="AS1472">
        <f t="shared" ca="1" si="739"/>
        <v>3.4756549128580477E-4</v>
      </c>
    </row>
    <row r="1475" spans="1:45" x14ac:dyDescent="0.35">
      <c r="A1475" t="s">
        <v>158</v>
      </c>
      <c r="E1475">
        <f>E34</f>
        <v>38</v>
      </c>
      <c r="F1475" t="s">
        <v>104</v>
      </c>
      <c r="H1475">
        <f ca="1">N34</f>
        <v>1.0190000000000001</v>
      </c>
      <c r="I1475" t="s">
        <v>13</v>
      </c>
      <c r="K1475" t="str">
        <f>V34</f>
        <v>Mixed</v>
      </c>
      <c r="L1475" t="s">
        <v>105</v>
      </c>
    </row>
    <row r="1476" spans="1:45" x14ac:dyDescent="0.35">
      <c r="A1476" t="s">
        <v>106</v>
      </c>
      <c r="B1476" t="s">
        <v>107</v>
      </c>
      <c r="C1476" t="s">
        <v>108</v>
      </c>
      <c r="D1476" t="s">
        <v>109</v>
      </c>
      <c r="E1476" t="s">
        <v>110</v>
      </c>
      <c r="F1476" t="s">
        <v>111</v>
      </c>
      <c r="G1476" t="s">
        <v>112</v>
      </c>
      <c r="H1476" t="s">
        <v>9</v>
      </c>
      <c r="I1476" t="s">
        <v>113</v>
      </c>
      <c r="J1476" t="s">
        <v>114</v>
      </c>
      <c r="K1476" t="s">
        <v>115</v>
      </c>
      <c r="L1476" t="s">
        <v>116</v>
      </c>
      <c r="M1476" t="s">
        <v>117</v>
      </c>
      <c r="N1476" t="s">
        <v>118</v>
      </c>
      <c r="O1476" t="s">
        <v>119</v>
      </c>
      <c r="P1476" t="s">
        <v>120</v>
      </c>
      <c r="Q1476" t="s">
        <v>121</v>
      </c>
      <c r="R1476" t="s">
        <v>122</v>
      </c>
      <c r="S1476" t="s">
        <v>123</v>
      </c>
      <c r="T1476" t="s">
        <v>124</v>
      </c>
      <c r="U1476" t="s">
        <v>125</v>
      </c>
      <c r="V1476" t="s">
        <v>126</v>
      </c>
      <c r="W1476" t="s">
        <v>127</v>
      </c>
      <c r="X1476" t="s">
        <v>128</v>
      </c>
      <c r="Y1476" t="s">
        <v>129</v>
      </c>
      <c r="Z1476" t="s">
        <v>130</v>
      </c>
      <c r="AA1476" t="s">
        <v>131</v>
      </c>
      <c r="AB1476" t="s">
        <v>132</v>
      </c>
      <c r="AC1476" t="s">
        <v>133</v>
      </c>
      <c r="AD1476" t="s">
        <v>134</v>
      </c>
      <c r="AE1476" t="s">
        <v>135</v>
      </c>
      <c r="AF1476" t="s">
        <v>136</v>
      </c>
      <c r="AG1476" t="s">
        <v>137</v>
      </c>
      <c r="AH1476" t="s">
        <v>138</v>
      </c>
      <c r="AI1476" t="s">
        <v>139</v>
      </c>
      <c r="AJ1476" t="s">
        <v>140</v>
      </c>
      <c r="AK1476" t="s">
        <v>141</v>
      </c>
      <c r="AL1476" t="s">
        <v>142</v>
      </c>
      <c r="AM1476" t="s">
        <v>143</v>
      </c>
      <c r="AN1476" t="s">
        <v>144</v>
      </c>
      <c r="AO1476" t="s">
        <v>145</v>
      </c>
      <c r="AP1476" t="s">
        <v>146</v>
      </c>
      <c r="AQ1476" t="s">
        <v>147</v>
      </c>
      <c r="AR1476" t="s">
        <v>148</v>
      </c>
      <c r="AS1476" t="s">
        <v>149</v>
      </c>
    </row>
    <row r="1477" spans="1:45" x14ac:dyDescent="0.35">
      <c r="A1477" t="s">
        <v>22</v>
      </c>
      <c r="B1477" t="s">
        <v>54</v>
      </c>
      <c r="C1477" t="s">
        <v>54</v>
      </c>
      <c r="D1477" t="s">
        <v>54</v>
      </c>
      <c r="E1477" t="s">
        <v>54</v>
      </c>
      <c r="F1477" t="s">
        <v>54</v>
      </c>
      <c r="G1477" t="s">
        <v>22</v>
      </c>
      <c r="H1477" t="s">
        <v>22</v>
      </c>
      <c r="I1477" t="s">
        <v>150</v>
      </c>
      <c r="J1477" t="s">
        <v>54</v>
      </c>
      <c r="K1477" t="s">
        <v>13</v>
      </c>
      <c r="L1477" t="s">
        <v>54</v>
      </c>
      <c r="M1477" t="s">
        <v>151</v>
      </c>
      <c r="N1477" t="s">
        <v>54</v>
      </c>
      <c r="O1477" t="s">
        <v>152</v>
      </c>
      <c r="P1477" t="s">
        <v>54</v>
      </c>
      <c r="Q1477" t="s">
        <v>54</v>
      </c>
      <c r="R1477" t="s">
        <v>22</v>
      </c>
      <c r="S1477" t="s">
        <v>22</v>
      </c>
      <c r="T1477" t="s">
        <v>153</v>
      </c>
      <c r="U1477" t="s">
        <v>54</v>
      </c>
      <c r="V1477" t="s">
        <v>22</v>
      </c>
      <c r="W1477" t="s">
        <v>54</v>
      </c>
      <c r="X1477" t="s">
        <v>151</v>
      </c>
      <c r="Y1477" t="s">
        <v>54</v>
      </c>
      <c r="Z1477" t="s">
        <v>152</v>
      </c>
      <c r="AA1477" t="s">
        <v>54</v>
      </c>
      <c r="AB1477" t="s">
        <v>54</v>
      </c>
      <c r="AC1477" t="s">
        <v>22</v>
      </c>
      <c r="AD1477" t="s">
        <v>22</v>
      </c>
      <c r="AE1477" t="s">
        <v>153</v>
      </c>
      <c r="AF1477" t="s">
        <v>54</v>
      </c>
      <c r="AG1477" t="s">
        <v>22</v>
      </c>
      <c r="AH1477" t="s">
        <v>54</v>
      </c>
      <c r="AI1477" t="s">
        <v>54</v>
      </c>
      <c r="AJ1477" t="s">
        <v>54</v>
      </c>
      <c r="AK1477" t="s">
        <v>54</v>
      </c>
      <c r="AL1477" t="s">
        <v>54</v>
      </c>
      <c r="AM1477" t="s">
        <v>13</v>
      </c>
      <c r="AN1477" t="s">
        <v>13</v>
      </c>
      <c r="AO1477" t="s">
        <v>13</v>
      </c>
      <c r="AP1477" t="s">
        <v>13</v>
      </c>
      <c r="AQ1477" t="s">
        <v>22</v>
      </c>
      <c r="AR1477" t="s">
        <v>22</v>
      </c>
      <c r="AS1477" t="s">
        <v>22</v>
      </c>
    </row>
    <row r="1478" spans="1:45" x14ac:dyDescent="0.35">
      <c r="A1478">
        <v>1</v>
      </c>
      <c r="B1478">
        <v>0</v>
      </c>
      <c r="C1478">
        <v>616065.73</v>
      </c>
      <c r="D1478">
        <v>3096621.8679999998</v>
      </c>
      <c r="E1478">
        <v>631.875</v>
      </c>
      <c r="F1478">
        <v>10.206</v>
      </c>
      <c r="G1478">
        <v>0</v>
      </c>
      <c r="H1478" t="s">
        <v>155</v>
      </c>
      <c r="I1478">
        <v>0</v>
      </c>
      <c r="J1478">
        <v>0</v>
      </c>
      <c r="K1478">
        <f ca="1">N34</f>
        <v>1.0190000000000001</v>
      </c>
      <c r="L1478">
        <f>MAX($D$16,($I$14)-E1478)</f>
        <v>0.05</v>
      </c>
      <c r="M1478">
        <f t="shared" ref="M1478:M1516" si="746">((F1478)+(G1478)*(L1478))*(L1478)</f>
        <v>0.51029999999999998</v>
      </c>
      <c r="N1478">
        <f t="shared" ref="N1478:N1516" si="747">(((F1478)+(G1478)*(L1478))*(L1478))/MAX((F1478)+2*(L1478)*SQRT(1+(G1478)^2),0.000001)</f>
        <v>4.9514845720939261E-2</v>
      </c>
      <c r="O1478">
        <f t="shared" ref="O1478:O1516" ca="1" si="748">ABS(K1478)/MAX(((F1478)+(G1478)*(L1478))*(L1478),0.000001)</f>
        <v>1.9968645894571824</v>
      </c>
      <c r="P1478">
        <f t="shared" ref="P1478:P1516" si="749">E1478+L1478</f>
        <v>631.92499999999995</v>
      </c>
      <c r="Q1478">
        <f t="shared" ref="Q1478:Q1516" ca="1" si="750">P1478+((ABS(K1478)/MAX(((F1478)+(G1478)*(L1478))*(L1478),0.000001))^2)/(2*$I$5)</f>
        <v>632.12823487199933</v>
      </c>
      <c r="R1478">
        <f t="shared" ref="R1478:R1516" ca="1" si="751">((ABS(K1478)*$D$6)/(MAX(((F1478)+(G1478)*(L1478))*(L1478),0.000001)*MAX(((((F1478)+(G1478)*(L1478))*(L1478))/MAX((F1478)+2*(L1478)*SQRT(1+(G1478)^2),0.000001))^(2/3),0.000001)))^2</f>
        <v>4.9343790617963894E-2</v>
      </c>
      <c r="S1478">
        <f t="shared" ref="S1478:S1516" ca="1" si="752">ABS(ABS(K1478)/MAX(((F1478)+(G1478)*(L1478))*(L1478),0.000001))/SQRT($I$5*MAX((((F1478)+(G1478)*(L1478))*(L1478))/MAX((F1478)+2*(G1478)*(L1478),0.000001),0.000001))</f>
        <v>2.8512093714730136</v>
      </c>
      <c r="T1478">
        <f t="shared" ref="T1478:T1516" ca="1" si="753">((F1478)*(L1478)^2)/2+(G1478)*(L1478)^3/3+(ABS(K1478)^2)/($I$5*MAX(((F1478)+(G1478)*(L1478))*(L1478),0.000001))</f>
        <v>0.22017901036257587</v>
      </c>
      <c r="U1478">
        <v>0</v>
      </c>
      <c r="V1478">
        <v>1</v>
      </c>
      <c r="W1478">
        <f t="shared" ref="W1478:W1515" ca="1" si="754">IF($D$20=0,IFERROR(W1479,MAX($D$16,POWER((ABS(K1478)^2)/($I$5*MAX(F1478,0.1)^2),1/3))),IF(IFERROR(AG1479,0)=0,IFERROR(W1479,MAX($D$16,POWER((ABS(K1478)^2)/($I$5*MAX(F1478,0.1)^2),1/3))),IF(OR(IFERROR(W1478,0)=0,IFERROR(AD1479,0)&gt;1),MAX($D$16,POWER((ABS(K1478)^2)/($I$5*MAX(F1478,0.1)^2),1/3)),IF(IFERROR(AF1478,0)&gt;0,MAX($D$16,IFERROR(W1478,0)+((IFERROR(AF1478,0))*$D$18*IF((IFERROR(AD1478,0))&lt;1,1,-1))),IF(IFERROR(AF1478,0)&lt;0,IF(ABS((MAX($D$16,POWER((ABS(K1478)^2)/($I$5*MAX(F1478,0.1)^2),1/3)))-IFERROR(W1478,0))&gt;$D$19,MAX($D$16,IF((MAX($D$16,POWER((ABS(K1478)^2)/($I$5*MAX(F1478,0.1)^2),1/3)))&gt;IFERROR(W1478,0),MIN((MAX($D$16,POWER((ABS(K1478)^2)/($I$5*MAX(F1478,0.1)^2),1/3))),IFERROR(W1478,0)+(MIN(ABS(IFERROR(AF1478,0))*$D$18,ABS((MAX($D$16,POWER((ABS(K1478)^2)/($I$5*MAX(F1478,0.1)^2),1/3)))-IFERROR(W1478,0))))),MAX((MAX($D$16,POWER((ABS(K1478)^2)/($I$5*MAX(F1478,0.1)^2),1/3))),IFERROR(W1478,0)-(MIN(ABS(IFERROR(AF1478,0))*$D$18,ABS((MAX($D$16,POWER((ABS(K1478)^2)/($I$5*MAX(F1478,0.1)^2),1/3)))-IFERROR(W1478,0))))))),MAX($D$16,POWER((ABS(K1478)^2)/($I$5*MAX(F1478,0.1)^2),1/3))),MAX($D$16,IFERROR(W1478,0)))))))</f>
        <v>0.1005362643975688</v>
      </c>
      <c r="X1478">
        <f t="shared" ref="X1478:X1516" ca="1" si="755">((F1478)+(G1478)*(W1478))*(W1478)</f>
        <v>1.0260731144415871</v>
      </c>
      <c r="Y1478">
        <f t="shared" ref="Y1478:Y1516" ca="1" si="756">(((F1478)+(G1478)*(W1478))*(W1478))/MAX((F1478)+2*(W1478)*SQRT(1+(G1478)^2),0.000001)</f>
        <v>9.8593827572793821E-2</v>
      </c>
      <c r="Z1478">
        <f t="shared" ref="Z1478:Z1516" ca="1" si="757">ABS(K1478)/MAX(((F1478)+(G1478)*(W1478))*(W1478),0.000001)</f>
        <v>0.99310661750899076</v>
      </c>
      <c r="AA1478">
        <f t="shared" ref="AA1478:AA1516" ca="1" si="758">E1478+W1478</f>
        <v>631.97553626439753</v>
      </c>
      <c r="AB1478">
        <f t="shared" ref="AB1478:AB1516" ca="1" si="759">AA1478+((ABS(K1478)/MAX(((F1478)+(G1478)*(W1478))*(W1478),0.000001))^2)/(2*$I$5)</f>
        <v>632.0258043965963</v>
      </c>
      <c r="AC1478">
        <f t="shared" ref="AC1478:AC1516" ca="1" si="760">((ABS(K1478)*$D$6)/(MAX(((F1478)+(G1478)*(W1478))*(W1478),0.000001)*MAX(((((F1478)+(G1478)*(W1478))*(W1478))/MAX((F1478)+2*(W1478)*SQRT(1+(G1478)^2),0.000001))^(2/3),0.000001)))^2</f>
        <v>4.8720077121463682E-3</v>
      </c>
      <c r="AD1478">
        <f t="shared" ref="AD1478:AD1516" ca="1" si="761">ABS(ABS(K1478)/MAX(((F1478)+(G1478)*(W1478))*(W1478),0.000001))/SQRT($I$5*MAX((((F1478)+(G1478)*(W1478))*(W1478))/MAX((F1478)+2*(G1478)*(W1478),0.000001),0.000001))</f>
        <v>0.99999999999999944</v>
      </c>
      <c r="AE1478">
        <f t="shared" ref="AE1478:AE1516" ca="1" si="762">((F1478)*(W1478)^2)/2+(G1478)*(W1478)^3/3+(ABS(K1478)^2)/($I$5*MAX(((F1478)+(G1478)*(W1478))*(W1478),0.000001))</f>
        <v>0.15473633688710431</v>
      </c>
      <c r="AF1478">
        <f t="shared" ref="AF1478:AF1515" ca="1" si="763">IF($D$20=0,0,IFERROR(AB1479+(((AC1478+AC1479)/2)*J1479)+(IF(Z1478&gt;Z1479,$D$8*((Z1478^2-Z1479^2)/(2*$I$5)),$D$9*((Z1479^2-Z1478^2)/(2*$I$5)))+($D$10*(ABS(I1479)/90)*(MAX(Z1478^2,Z1479^2)/(2*$I$5))))-AB1478,0))</f>
        <v>-0.23258336341291397</v>
      </c>
      <c r="AG1478">
        <f t="shared" ref="AG1478:AG1515" ca="1" si="764">IF($D$20=0,1,IFERROR(IF(ROUND(AD1478,3)=1,1,IF(AND(ABS(AF1478)&lt;$D$19,AD1478&lt;1),1,0)),0))</f>
        <v>1</v>
      </c>
      <c r="AH1478">
        <f ca="1">IFERROR(IF(V34="Supercritical",MAX($D$16,IFERROR(L1478,MAX($D$16,POWER((ABS(K1478)^2)/($I$5*MAX(F1478,0.1)^2),1/3)))),IF(V34="Subcritical",MAX($D$16,IFERROR(W1478,MAX($D$16,POWER((ABS(K1478)^2)/($I$5*MAX(F1478,0.1)^2),1/3)))),IF(AND(IFERROR(V1478,0)=1,IFERROR(AG1478,0)=1),IF(IFERROR(T1478,-1E+99)&gt;=IFERROR(AE1478,-1E+99),MAX($D$16,IFERROR(L1478,MAX($D$16,POWER((ABS(K1478)^2)/($I$5*MAX(F1478,0.1)^2),1/3)))),MAX($D$16,IFERROR(W1478,MAX($D$16,POWER((ABS(K1478)^2)/($I$5*MAX(F1478,0.1)^2),1/3))))),IF(IFERROR(V1478,0)=1,MAX($D$16,IFERROR(L1478,MAX($D$16,POWER((ABS(K1478)^2)/($I$5*MAX(F1478,0.1)^2),1/3)))),IF(IFERROR(AG1478,0)=1,MAX($D$16,IFERROR(W1478,MAX($D$16,POWER((ABS(K1478)^2)/($I$5*MAX(F1478,0.1)^2),1/3)))),MAX($D$16,POWER((ABS(K1478)^2)/($I$5*MAX(F1478,0.1)^2),1/3))))))),MAX($D$16,POWER((ABS(K1478)^2)/($I$5*MAX(F1478,0.1)^2),1/3)))</f>
        <v>0.05</v>
      </c>
      <c r="AI1478">
        <f t="shared" ref="AI1478:AI1516" ca="1" si="765">E1478+AH1478</f>
        <v>631.92499999999995</v>
      </c>
      <c r="AJ1478">
        <f t="shared" ref="AJ1478:AJ1516" ca="1" si="766">AI1478+((ABS(K1478)/MAX(((F1478)+(G1478)*(AH1478))*(AH1478),0.000001))^2)/(2*$I$5)</f>
        <v>632.12823487199933</v>
      </c>
      <c r="AM1478">
        <v>0</v>
      </c>
      <c r="AN1478">
        <v>0</v>
      </c>
      <c r="AO1478">
        <f t="shared" ref="AO1478:AO1515" si="767">AM1478+AN1478</f>
        <v>0</v>
      </c>
      <c r="AP1478">
        <f>AO1478</f>
        <v>0</v>
      </c>
      <c r="AQ1478">
        <f t="shared" ref="AQ1478:AQ1516" ca="1" si="768">ABS(ABS(K1478)/MAX(((F1478)+(G1478)*(AH1478))*(AH1478),0.000001))/SQRT($I$5*MAX((((F1478)+(G1478)*(AH1478))*(AH1478))/MAX((F1478)+2*(G1478)*(AH1478),0.000001),0.000001))</f>
        <v>2.8512093714730136</v>
      </c>
      <c r="AR1478" t="str">
        <f t="shared" ref="AR1478:AR1516" ca="1" si="769">IF(AQ1478&lt;1,"Subcritical","Supercritical")</f>
        <v>Supercritical</v>
      </c>
      <c r="AS1478">
        <f t="shared" ref="AS1478:AS1516" ca="1" si="770">((ABS(K1478)*$D$6)/(MAX(((F1478)+(G1478)*(AH1478))*(AH1478),0.000001)*MAX(((((F1478)+(G1478)*(AH1478))*(AH1478))/MAX((F1478)+2*(AH1478)*SQRT(1+(G1478)^2),0.000001))^(2/3),0.000001)))^2</f>
        <v>4.9343790617963894E-2</v>
      </c>
    </row>
    <row r="1479" spans="1:45" x14ac:dyDescent="0.35">
      <c r="A1479">
        <v>2</v>
      </c>
      <c r="B1479">
        <v>1</v>
      </c>
      <c r="C1479">
        <v>616065.73</v>
      </c>
      <c r="D1479">
        <v>3096620.8679999998</v>
      </c>
      <c r="E1479">
        <v>631.65219999999999</v>
      </c>
      <c r="F1479">
        <v>12.125999999999999</v>
      </c>
      <c r="G1479">
        <v>0</v>
      </c>
      <c r="H1479" t="s">
        <v>155</v>
      </c>
      <c r="I1479">
        <v>0</v>
      </c>
      <c r="J1479">
        <f t="shared" ref="J1479:J1516" si="771">B1479-B1478</f>
        <v>1</v>
      </c>
      <c r="K1479">
        <f t="shared" ref="K1479:K1516" ca="1" si="772">MAX(0.05,K1478-AO1478)</f>
        <v>1.0190000000000001</v>
      </c>
      <c r="L1479">
        <f t="shared" ref="L1479:L1516" ca="1" si="773">IF($D$20=0,IFERROR(L1478,MAX($D$16,POWER((ABS(K1479)^2)/($I$5*MAX(F1479,0.1)^2),1/3))),IF(IFERROR(V1478,0)=0,IFERROR(L1478,MAX($D$16,POWER((ABS(K1479)^2)/($I$5*MAX(F1479,0.1)^2),1/3))),IF(OR(IFERROR(L1479,0)=0,IFERROR(S1478,0)&lt;1,IFERROR(S1479,0)&lt;1),MAX($D$16,POWER((ABS(K1479)^2)/($I$5*MAX(F1479,0.1)^2),1/3)),IF(IFERROR(U1479,0)&gt;0,MAX($D$16,IFERROR(L1479,0)+((IFERROR(U1479,0))*$D$18*IF((IFERROR(S1479,0))&lt;1,1,-1))),IF(IFERROR(U1479,0)&lt;0,IF(ABS((MAX($D$16,POWER((ABS(K1479)^2)/($I$5*MAX(F1479,0.1)^2),1/3)))-IFERROR(L1479,0))&gt;$D$19,MAX($D$16,IF((MAX($D$16,POWER((ABS(K1479)^2)/($I$5*MAX(F1479,0.1)^2),1/3)))&gt;IFERROR(L1479,0),MIN((MAX($D$16,POWER((ABS(K1479)^2)/($I$5*MAX(F1479,0.1)^2),1/3))),IFERROR(L1479,0)+(MIN(ABS(IFERROR(U1479,0))*$D$18,ABS((MAX($D$16,POWER((ABS(K1479)^2)/($I$5*MAX(F1479,0.1)^2),1/3)))-IFERROR(L1479,0))))),MAX((MAX($D$16,POWER((ABS(K1479)^2)/($I$5*MAX(F1479,0.1)^2),1/3))),IFERROR(L1479,0)-(MIN(ABS(IFERROR(U1479,0))*$D$18,ABS((MAX($D$16,POWER((ABS(K1479)^2)/($I$5*MAX(F1479,0.1)^2),1/3)))-IFERROR(L1479,0))))))),MAX($D$16,POWER((ABS(K1479)^2)/($I$5*MAX(F1479,0.1)^2),1/3))),MAX($D$16,IFERROR(L1479,0)))))))</f>
        <v>0.05</v>
      </c>
      <c r="M1479">
        <f t="shared" ca="1" si="746"/>
        <v>0.60630000000000006</v>
      </c>
      <c r="N1479">
        <f t="shared" ca="1" si="747"/>
        <v>4.9591035498118774E-2</v>
      </c>
      <c r="O1479">
        <f t="shared" ca="1" si="748"/>
        <v>1.6806861289790533</v>
      </c>
      <c r="P1479">
        <f t="shared" ca="1" si="749"/>
        <v>631.70219999999995</v>
      </c>
      <c r="Q1479">
        <f t="shared" ca="1" si="750"/>
        <v>631.84617073721415</v>
      </c>
      <c r="R1479">
        <f t="shared" ca="1" si="751"/>
        <v>3.4883349611171774E-2</v>
      </c>
      <c r="S1479">
        <f t="shared" ca="1" si="752"/>
        <v>2.3997561310616504</v>
      </c>
      <c r="T1479">
        <f t="shared" ca="1" si="753"/>
        <v>0.18973641594593837</v>
      </c>
      <c r="U1479">
        <f t="shared" ref="U1479:U1516" ca="1" si="774">IF($D$20=0,0,IFERROR(Q1478-(((R1478+R1479)/2)*J1479)-(IF(O1478&gt;O1479,$D$8*((O1478^2-O1479^2)/(2*$I$5)),$D$9*((O1479^2-O1478^2)/(2*$I$5)))+($D$10*(ABS(I1479)/90)*(MAX(O1478^2,O1479^2)/(2*$I$5))))-Q1479,0))</f>
        <v>0.22217132423509156</v>
      </c>
      <c r="V1479">
        <f t="shared" ref="V1479:V1516" ca="1" si="775">IF($D$20=0,1,IFERROR(IF(ROUND(S1479,3)=1,1,IF(AND(ABS(U1479)&lt;$D$19,S1479&gt;1),1,0)),0))</f>
        <v>0</v>
      </c>
      <c r="W1479">
        <f t="shared" ca="1" si="754"/>
        <v>8.9622023298216016E-2</v>
      </c>
      <c r="X1479">
        <f t="shared" ca="1" si="755"/>
        <v>1.0867566545141674</v>
      </c>
      <c r="Y1479">
        <f t="shared" ca="1" si="756"/>
        <v>8.831654621386878E-2</v>
      </c>
      <c r="Z1479">
        <f t="shared" ca="1" si="757"/>
        <v>0.93765241350699824</v>
      </c>
      <c r="AA1479">
        <f t="shared" ca="1" si="758"/>
        <v>631.74182202329825</v>
      </c>
      <c r="AB1479">
        <f t="shared" ca="1" si="759"/>
        <v>631.78663303494739</v>
      </c>
      <c r="AC1479">
        <f t="shared" ca="1" si="760"/>
        <v>5.0297164300300524E-3</v>
      </c>
      <c r="AD1479">
        <f t="shared" ca="1" si="761"/>
        <v>0.99999999999999978</v>
      </c>
      <c r="AE1479">
        <f t="shared" ca="1" si="762"/>
        <v>0.14609599531553999</v>
      </c>
      <c r="AF1479">
        <f t="shared" ca="1" si="763"/>
        <v>-0.22696167667220379</v>
      </c>
      <c r="AG1479">
        <f t="shared" ca="1" si="764"/>
        <v>1</v>
      </c>
      <c r="AH1479">
        <f ca="1">IFERROR(IF(V34="Supercritical",MAX($D$16,IFERROR(L1479,MAX($D$16,POWER((ABS(K1479)^2)/($I$5*MAX(F1479,0.1)^2),1/3)))),IF(V34="Subcritical",MAX($D$16,IFERROR(W1479,MAX($D$16,POWER((ABS(K1479)^2)/($I$5*MAX(F1479,0.1)^2),1/3)))),IF(AND(IFERROR(V1479,0)=1,IFERROR(AG1479,0)=1),IF(IFERROR(T1479,-1E+99)&gt;=IFERROR(AE1479,-1E+99),MAX($D$16,IFERROR(L1479,MAX($D$16,POWER((ABS(K1479)^2)/($I$5*MAX(F1479,0.1)^2),1/3)))),MAX($D$16,IFERROR(W1479,MAX($D$16,POWER((ABS(K1479)^2)/($I$5*MAX(F1479,0.1)^2),1/3))))),IF(IFERROR(V1479,0)=1,MAX($D$16,IFERROR(L1479,MAX($D$16,POWER((ABS(K1479)^2)/($I$5*MAX(F1479,0.1)^2),1/3)))),IF(IFERROR(AG1479,0)=1,MAX($D$16,IFERROR(W1479,MAX($D$16,POWER((ABS(K1479)^2)/($I$5*MAX(F1479,0.1)^2),1/3)))),MAX($D$16,POWER((ABS(K1479)^2)/($I$5*MAX(F1479,0.1)^2),1/3))))))),MAX($D$16,POWER((ABS(K1479)^2)/($I$5*MAX(F1479,0.1)^2),1/3)))</f>
        <v>8.9622023298216016E-2</v>
      </c>
      <c r="AI1479">
        <f t="shared" ca="1" si="765"/>
        <v>631.74182202329825</v>
      </c>
      <c r="AJ1479">
        <f t="shared" ca="1" si="766"/>
        <v>631.78663303494739</v>
      </c>
      <c r="AM1479">
        <v>0</v>
      </c>
      <c r="AN1479">
        <v>0</v>
      </c>
      <c r="AO1479">
        <f t="shared" si="767"/>
        <v>0</v>
      </c>
      <c r="AP1479">
        <f t="shared" ref="AP1479:AP1516" si="776">AP1478+AO1479</f>
        <v>0</v>
      </c>
      <c r="AQ1479">
        <f t="shared" ca="1" si="768"/>
        <v>0.99999999999999978</v>
      </c>
      <c r="AR1479" t="str">
        <f t="shared" ca="1" si="769"/>
        <v>Supercritical</v>
      </c>
      <c r="AS1479">
        <f t="shared" ca="1" si="770"/>
        <v>5.0297164300300524E-3</v>
      </c>
    </row>
    <row r="1480" spans="1:45" x14ac:dyDescent="0.35">
      <c r="A1480">
        <v>3</v>
      </c>
      <c r="B1480">
        <v>2</v>
      </c>
      <c r="C1480">
        <v>616065.73</v>
      </c>
      <c r="D1480">
        <v>3096619.8679999998</v>
      </c>
      <c r="E1480">
        <v>631.42930000000001</v>
      </c>
      <c r="F1480">
        <v>13.644</v>
      </c>
      <c r="G1480">
        <v>0</v>
      </c>
      <c r="H1480" t="s">
        <v>155</v>
      </c>
      <c r="I1480">
        <v>0</v>
      </c>
      <c r="J1480">
        <f t="shared" si="771"/>
        <v>1</v>
      </c>
      <c r="K1480">
        <f t="shared" ca="1" si="772"/>
        <v>1.0190000000000001</v>
      </c>
      <c r="L1480">
        <f t="shared" ca="1" si="773"/>
        <v>0.05</v>
      </c>
      <c r="M1480">
        <f t="shared" ca="1" si="746"/>
        <v>0.68220000000000003</v>
      </c>
      <c r="N1480">
        <f t="shared" ca="1" si="747"/>
        <v>4.9636204889406288E-2</v>
      </c>
      <c r="O1480">
        <f t="shared" ca="1" si="748"/>
        <v>1.4936968630900032</v>
      </c>
      <c r="P1480">
        <f t="shared" ca="1" si="749"/>
        <v>631.47929999999997</v>
      </c>
      <c r="Q1480">
        <f t="shared" ca="1" si="750"/>
        <v>631.59301714163121</v>
      </c>
      <c r="R1480">
        <f t="shared" ca="1" si="751"/>
        <v>2.7519636801311659E-2</v>
      </c>
      <c r="S1480">
        <f t="shared" ca="1" si="752"/>
        <v>2.1327647937007899</v>
      </c>
      <c r="T1480">
        <f t="shared" ca="1" si="753"/>
        <v>0.17221066804166296</v>
      </c>
      <c r="U1480">
        <f t="shared" ca="1" si="774"/>
        <v>0.21287602370182412</v>
      </c>
      <c r="V1480">
        <f t="shared" ca="1" si="775"/>
        <v>0</v>
      </c>
      <c r="W1480">
        <f t="shared" ca="1" si="754"/>
        <v>8.284481129791009E-2</v>
      </c>
      <c r="X1480">
        <f t="shared" ca="1" si="755"/>
        <v>1.1303346053486854</v>
      </c>
      <c r="Y1480">
        <f t="shared" ca="1" si="756"/>
        <v>8.1850833453866956E-2</v>
      </c>
      <c r="Z1480">
        <f t="shared" ca="1" si="757"/>
        <v>0.90150296662434681</v>
      </c>
      <c r="AA1480">
        <f t="shared" ca="1" si="758"/>
        <v>631.51214481129796</v>
      </c>
      <c r="AB1480">
        <f t="shared" ca="1" si="759"/>
        <v>631.55356721694693</v>
      </c>
      <c r="AC1480">
        <f t="shared" ca="1" si="760"/>
        <v>5.1454026264182648E-3</v>
      </c>
      <c r="AD1480">
        <f t="shared" ca="1" si="761"/>
        <v>1.0000000000000002</v>
      </c>
      <c r="AE1480">
        <f t="shared" ca="1" si="762"/>
        <v>0.14046353562541428</v>
      </c>
      <c r="AF1480">
        <f t="shared" ca="1" si="763"/>
        <v>-0.2244521077096806</v>
      </c>
      <c r="AG1480">
        <f t="shared" ca="1" si="764"/>
        <v>1</v>
      </c>
      <c r="AH1480">
        <f ca="1">IFERROR(IF(V34="Supercritical",MAX($D$16,IFERROR(L1480,MAX($D$16,POWER((ABS(K1480)^2)/($I$5*MAX(F1480,0.1)^2),1/3)))),IF(V34="Subcritical",MAX($D$16,IFERROR(W1480,MAX($D$16,POWER((ABS(K1480)^2)/($I$5*MAX(F1480,0.1)^2),1/3)))),IF(AND(IFERROR(V1480,0)=1,IFERROR(AG1480,0)=1),IF(IFERROR(T1480,-1E+99)&gt;=IFERROR(AE1480,-1E+99),MAX($D$16,IFERROR(L1480,MAX($D$16,POWER((ABS(K1480)^2)/($I$5*MAX(F1480,0.1)^2),1/3)))),MAX($D$16,IFERROR(W1480,MAX($D$16,POWER((ABS(K1480)^2)/($I$5*MAX(F1480,0.1)^2),1/3))))),IF(IFERROR(V1480,0)=1,MAX($D$16,IFERROR(L1480,MAX($D$16,POWER((ABS(K1480)^2)/($I$5*MAX(F1480,0.1)^2),1/3)))),IF(IFERROR(AG1480,0)=1,MAX($D$16,IFERROR(W1480,MAX($D$16,POWER((ABS(K1480)^2)/($I$5*MAX(F1480,0.1)^2),1/3)))),MAX($D$16,POWER((ABS(K1480)^2)/($I$5*MAX(F1480,0.1)^2),1/3))))))),MAX($D$16,POWER((ABS(K1480)^2)/($I$5*MAX(F1480,0.1)^2),1/3)))</f>
        <v>8.284481129791009E-2</v>
      </c>
      <c r="AI1480">
        <f t="shared" ca="1" si="765"/>
        <v>631.51214481129796</v>
      </c>
      <c r="AJ1480">
        <f t="shared" ca="1" si="766"/>
        <v>631.55356721694693</v>
      </c>
      <c r="AM1480">
        <v>0</v>
      </c>
      <c r="AN1480">
        <v>0</v>
      </c>
      <c r="AO1480">
        <f t="shared" si="767"/>
        <v>0</v>
      </c>
      <c r="AP1480">
        <f t="shared" si="776"/>
        <v>0</v>
      </c>
      <c r="AQ1480">
        <f t="shared" ca="1" si="768"/>
        <v>1.0000000000000002</v>
      </c>
      <c r="AR1480" t="str">
        <f t="shared" ca="1" si="769"/>
        <v>Supercritical</v>
      </c>
      <c r="AS1480">
        <f t="shared" ca="1" si="770"/>
        <v>5.1454026264182648E-3</v>
      </c>
    </row>
    <row r="1481" spans="1:45" x14ac:dyDescent="0.35">
      <c r="A1481">
        <v>4</v>
      </c>
      <c r="B1481">
        <v>3</v>
      </c>
      <c r="C1481">
        <v>616065.73</v>
      </c>
      <c r="D1481">
        <v>3096618.8679999998</v>
      </c>
      <c r="E1481">
        <v>631.20650000000001</v>
      </c>
      <c r="F1481">
        <v>15</v>
      </c>
      <c r="G1481">
        <v>0</v>
      </c>
      <c r="H1481" t="s">
        <v>155</v>
      </c>
      <c r="I1481">
        <v>0</v>
      </c>
      <c r="J1481">
        <f t="shared" si="771"/>
        <v>1</v>
      </c>
      <c r="K1481">
        <f t="shared" ca="1" si="772"/>
        <v>1.0190000000000001</v>
      </c>
      <c r="L1481">
        <f t="shared" ca="1" si="773"/>
        <v>0.05</v>
      </c>
      <c r="M1481">
        <f t="shared" ca="1" si="746"/>
        <v>0.75</v>
      </c>
      <c r="N1481">
        <f t="shared" ca="1" si="747"/>
        <v>4.9668874172185434E-2</v>
      </c>
      <c r="O1481">
        <f t="shared" ca="1" si="748"/>
        <v>1.3586666666666669</v>
      </c>
      <c r="P1481">
        <f t="shared" ca="1" si="749"/>
        <v>631.25649999999996</v>
      </c>
      <c r="Q1481">
        <f t="shared" ca="1" si="750"/>
        <v>631.35058639710041</v>
      </c>
      <c r="R1481">
        <f t="shared" ca="1" si="751"/>
        <v>2.2749015391606842E-2</v>
      </c>
      <c r="S1481">
        <f t="shared" ca="1" si="752"/>
        <v>1.9399628563502385</v>
      </c>
      <c r="T1481">
        <f t="shared" ca="1" si="753"/>
        <v>0.15987959565069659</v>
      </c>
      <c r="U1481">
        <f t="shared" ca="1" si="774"/>
        <v>0.2114071950751395</v>
      </c>
      <c r="V1481">
        <f t="shared" ca="1" si="775"/>
        <v>0</v>
      </c>
      <c r="W1481">
        <f t="shared" ca="1" si="754"/>
        <v>7.7773614095415666E-2</v>
      </c>
      <c r="X1481">
        <f t="shared" ca="1" si="755"/>
        <v>1.1666042114312349</v>
      </c>
      <c r="Y1481">
        <f t="shared" ca="1" si="756"/>
        <v>7.6975393489008073E-2</v>
      </c>
      <c r="Z1481">
        <f t="shared" ca="1" si="757"/>
        <v>0.87347533123496246</v>
      </c>
      <c r="AA1481">
        <f t="shared" ca="1" si="758"/>
        <v>631.28427361409547</v>
      </c>
      <c r="AB1481">
        <f t="shared" ca="1" si="759"/>
        <v>631.32316042114314</v>
      </c>
      <c r="AC1481">
        <f t="shared" ca="1" si="760"/>
        <v>5.2426144010362108E-3</v>
      </c>
      <c r="AD1481">
        <f t="shared" ca="1" si="761"/>
        <v>0.99999999999999989</v>
      </c>
      <c r="AE1481">
        <f t="shared" ca="1" si="762"/>
        <v>0.13609653861290932</v>
      </c>
      <c r="AF1481">
        <f t="shared" ca="1" si="763"/>
        <v>-0.22599578814254073</v>
      </c>
      <c r="AG1481">
        <f t="shared" ca="1" si="764"/>
        <v>1</v>
      </c>
      <c r="AH1481">
        <f ca="1">IFERROR(IF(V34="Supercritical",MAX($D$16,IFERROR(L1481,MAX($D$16,POWER((ABS(K1481)^2)/($I$5*MAX(F1481,0.1)^2),1/3)))),IF(V34="Subcritical",MAX($D$16,IFERROR(W1481,MAX($D$16,POWER((ABS(K1481)^2)/($I$5*MAX(F1481,0.1)^2),1/3)))),IF(AND(IFERROR(V1481,0)=1,IFERROR(AG1481,0)=1),IF(IFERROR(T1481,-1E+99)&gt;=IFERROR(AE1481,-1E+99),MAX($D$16,IFERROR(L1481,MAX($D$16,POWER((ABS(K1481)^2)/($I$5*MAX(F1481,0.1)^2),1/3)))),MAX($D$16,IFERROR(W1481,MAX($D$16,POWER((ABS(K1481)^2)/($I$5*MAX(F1481,0.1)^2),1/3))))),IF(IFERROR(V1481,0)=1,MAX($D$16,IFERROR(L1481,MAX($D$16,POWER((ABS(K1481)^2)/($I$5*MAX(F1481,0.1)^2),1/3)))),IF(IFERROR(AG1481,0)=1,MAX($D$16,IFERROR(W1481,MAX($D$16,POWER((ABS(K1481)^2)/($I$5*MAX(F1481,0.1)^2),1/3)))),MAX($D$16,POWER((ABS(K1481)^2)/($I$5*MAX(F1481,0.1)^2),1/3))))))),MAX($D$16,POWER((ABS(K1481)^2)/($I$5*MAX(F1481,0.1)^2),1/3)))</f>
        <v>7.7773614095415666E-2</v>
      </c>
      <c r="AI1481">
        <f t="shared" ca="1" si="765"/>
        <v>631.28427361409547</v>
      </c>
      <c r="AJ1481">
        <f t="shared" ca="1" si="766"/>
        <v>631.32316042114314</v>
      </c>
      <c r="AM1481">
        <v>0</v>
      </c>
      <c r="AN1481">
        <v>0</v>
      </c>
      <c r="AO1481">
        <f t="shared" si="767"/>
        <v>0</v>
      </c>
      <c r="AP1481">
        <f t="shared" si="776"/>
        <v>0</v>
      </c>
      <c r="AQ1481">
        <f t="shared" ca="1" si="768"/>
        <v>0.99999999999999989</v>
      </c>
      <c r="AR1481" t="str">
        <f t="shared" ca="1" si="769"/>
        <v>Supercritical</v>
      </c>
      <c r="AS1481">
        <f t="shared" ca="1" si="770"/>
        <v>5.2426144010362108E-3</v>
      </c>
    </row>
    <row r="1482" spans="1:45" x14ac:dyDescent="0.35">
      <c r="A1482">
        <v>5</v>
      </c>
      <c r="B1482">
        <v>4</v>
      </c>
      <c r="C1482">
        <v>616065.73</v>
      </c>
      <c r="D1482">
        <v>3096617.8679999998</v>
      </c>
      <c r="E1482">
        <v>630.98360000000002</v>
      </c>
      <c r="F1482">
        <v>17</v>
      </c>
      <c r="G1482">
        <v>0</v>
      </c>
      <c r="H1482" t="s">
        <v>155</v>
      </c>
      <c r="I1482">
        <v>0</v>
      </c>
      <c r="J1482">
        <f t="shared" si="771"/>
        <v>1</v>
      </c>
      <c r="K1482">
        <f t="shared" ca="1" si="772"/>
        <v>1.0190000000000001</v>
      </c>
      <c r="L1482">
        <f t="shared" ca="1" si="773"/>
        <v>0.05</v>
      </c>
      <c r="M1482">
        <f t="shared" ca="1" si="746"/>
        <v>0.85000000000000009</v>
      </c>
      <c r="N1482">
        <f t="shared" ca="1" si="747"/>
        <v>4.9707602339181291E-2</v>
      </c>
      <c r="O1482">
        <f t="shared" ca="1" si="748"/>
        <v>1.1988235294117646</v>
      </c>
      <c r="P1482">
        <f t="shared" ca="1" si="749"/>
        <v>631.03359999999998</v>
      </c>
      <c r="Q1482">
        <f t="shared" ca="1" si="750"/>
        <v>631.10685065518203</v>
      </c>
      <c r="R1482">
        <f t="shared" ca="1" si="751"/>
        <v>1.7692774714872826E-2</v>
      </c>
      <c r="S1482">
        <f t="shared" ca="1" si="752"/>
        <v>1.7117319320737394</v>
      </c>
      <c r="T1482">
        <f t="shared" ca="1" si="753"/>
        <v>0.14577611380943817</v>
      </c>
      <c r="U1482">
        <f t="shared" ca="1" si="774"/>
        <v>0.21726412428961339</v>
      </c>
      <c r="V1482">
        <f t="shared" ca="1" si="775"/>
        <v>0</v>
      </c>
      <c r="W1482">
        <f t="shared" ca="1" si="754"/>
        <v>7.1547397195015322E-2</v>
      </c>
      <c r="X1482">
        <f t="shared" ca="1" si="755"/>
        <v>1.2163057523152605</v>
      </c>
      <c r="Y1482">
        <f t="shared" ca="1" si="756"/>
        <v>7.0950185302206273E-2</v>
      </c>
      <c r="Z1482">
        <f t="shared" ca="1" si="757"/>
        <v>0.83778276807481566</v>
      </c>
      <c r="AA1482">
        <f t="shared" ca="1" si="758"/>
        <v>631.05514739719501</v>
      </c>
      <c r="AB1482">
        <f t="shared" ca="1" si="759"/>
        <v>631.09092109579251</v>
      </c>
      <c r="AC1482">
        <f t="shared" ca="1" si="760"/>
        <v>5.3765949448906954E-3</v>
      </c>
      <c r="AD1482">
        <f t="shared" ca="1" si="761"/>
        <v>1</v>
      </c>
      <c r="AE1482">
        <f t="shared" ca="1" si="762"/>
        <v>0.13053526615722283</v>
      </c>
      <c r="AF1482">
        <f t="shared" ca="1" si="763"/>
        <v>-0.22426433966109016</v>
      </c>
      <c r="AG1482">
        <f t="shared" ca="1" si="764"/>
        <v>1</v>
      </c>
      <c r="AH1482">
        <f ca="1">IFERROR(IF(V34="Supercritical",MAX($D$16,IFERROR(L1482,MAX($D$16,POWER((ABS(K1482)^2)/($I$5*MAX(F1482,0.1)^2),1/3)))),IF(V34="Subcritical",MAX($D$16,IFERROR(W1482,MAX($D$16,POWER((ABS(K1482)^2)/($I$5*MAX(F1482,0.1)^2),1/3)))),IF(AND(IFERROR(V1482,0)=1,IFERROR(AG1482,0)=1),IF(IFERROR(T1482,-1E+99)&gt;=IFERROR(AE1482,-1E+99),MAX($D$16,IFERROR(L1482,MAX($D$16,POWER((ABS(K1482)^2)/($I$5*MAX(F1482,0.1)^2),1/3)))),MAX($D$16,IFERROR(W1482,MAX($D$16,POWER((ABS(K1482)^2)/($I$5*MAX(F1482,0.1)^2),1/3))))),IF(IFERROR(V1482,0)=1,MAX($D$16,IFERROR(L1482,MAX($D$16,POWER((ABS(K1482)^2)/($I$5*MAX(F1482,0.1)^2),1/3)))),IF(IFERROR(AG1482,0)=1,MAX($D$16,IFERROR(W1482,MAX($D$16,POWER((ABS(K1482)^2)/($I$5*MAX(F1482,0.1)^2),1/3)))),MAX($D$16,POWER((ABS(K1482)^2)/($I$5*MAX(F1482,0.1)^2),1/3))))))),MAX($D$16,POWER((ABS(K1482)^2)/($I$5*MAX(F1482,0.1)^2),1/3)))</f>
        <v>7.1547397195015322E-2</v>
      </c>
      <c r="AI1482">
        <f t="shared" ca="1" si="765"/>
        <v>631.05514739719501</v>
      </c>
      <c r="AJ1482">
        <f t="shared" ca="1" si="766"/>
        <v>631.09092109579251</v>
      </c>
      <c r="AM1482">
        <v>0</v>
      </c>
      <c r="AN1482">
        <v>0</v>
      </c>
      <c r="AO1482">
        <f t="shared" si="767"/>
        <v>0</v>
      </c>
      <c r="AP1482">
        <f t="shared" si="776"/>
        <v>0</v>
      </c>
      <c r="AQ1482">
        <f t="shared" ca="1" si="768"/>
        <v>1</v>
      </c>
      <c r="AR1482" t="str">
        <f t="shared" ca="1" si="769"/>
        <v>Supercritical</v>
      </c>
      <c r="AS1482">
        <f t="shared" ca="1" si="770"/>
        <v>5.3765949448906954E-3</v>
      </c>
    </row>
    <row r="1483" spans="1:45" x14ac:dyDescent="0.35">
      <c r="A1483">
        <v>6</v>
      </c>
      <c r="B1483">
        <v>5</v>
      </c>
      <c r="C1483">
        <v>616065.73</v>
      </c>
      <c r="D1483">
        <v>3096616.8679999998</v>
      </c>
      <c r="E1483">
        <v>630.76080000000002</v>
      </c>
      <c r="F1483">
        <v>19</v>
      </c>
      <c r="G1483">
        <v>0</v>
      </c>
      <c r="H1483" t="s">
        <v>155</v>
      </c>
      <c r="I1483">
        <v>0</v>
      </c>
      <c r="J1483">
        <f t="shared" si="771"/>
        <v>1</v>
      </c>
      <c r="K1483">
        <f t="shared" ca="1" si="772"/>
        <v>1.0190000000000001</v>
      </c>
      <c r="L1483">
        <f t="shared" ca="1" si="773"/>
        <v>0.05</v>
      </c>
      <c r="M1483">
        <f t="shared" ca="1" si="746"/>
        <v>0.95000000000000007</v>
      </c>
      <c r="N1483">
        <f t="shared" ca="1" si="747"/>
        <v>4.9738219895287955E-2</v>
      </c>
      <c r="O1483">
        <f t="shared" ca="1" si="748"/>
        <v>1.0726315789473684</v>
      </c>
      <c r="P1483">
        <f t="shared" ca="1" si="749"/>
        <v>630.81079999999997</v>
      </c>
      <c r="Q1483">
        <f t="shared" ca="1" si="750"/>
        <v>630.86944110622608</v>
      </c>
      <c r="R1483">
        <f t="shared" ca="1" si="751"/>
        <v>1.415239771746965E-2</v>
      </c>
      <c r="S1483">
        <f t="shared" ca="1" si="752"/>
        <v>1.5315496234343984</v>
      </c>
      <c r="T1483">
        <f t="shared" ca="1" si="753"/>
        <v>0.13516810182949732</v>
      </c>
      <c r="U1483">
        <f t="shared" ca="1" si="774"/>
        <v>0.2171040980529142</v>
      </c>
      <c r="V1483">
        <f t="shared" ca="1" si="775"/>
        <v>0</v>
      </c>
      <c r="W1483">
        <f t="shared" ca="1" si="754"/>
        <v>6.6434048555471942E-2</v>
      </c>
      <c r="X1483">
        <f t="shared" ca="1" si="755"/>
        <v>1.262246922553967</v>
      </c>
      <c r="Y1483">
        <f t="shared" ca="1" si="756"/>
        <v>6.5972697671216676E-2</v>
      </c>
      <c r="Z1483">
        <f t="shared" ca="1" si="757"/>
        <v>0.80729054022029756</v>
      </c>
      <c r="AA1483">
        <f t="shared" ca="1" si="758"/>
        <v>630.82723404855551</v>
      </c>
      <c r="AB1483">
        <f t="shared" ca="1" si="759"/>
        <v>630.86045107283326</v>
      </c>
      <c r="AC1483">
        <f t="shared" ca="1" si="760"/>
        <v>5.5007670596747887E-3</v>
      </c>
      <c r="AD1483">
        <f t="shared" ca="1" si="761"/>
        <v>1</v>
      </c>
      <c r="AE1483">
        <f t="shared" ca="1" si="762"/>
        <v>0.12578426001291793</v>
      </c>
      <c r="AF1483">
        <f t="shared" ca="1" si="763"/>
        <v>-0.17979988620197673</v>
      </c>
      <c r="AG1483">
        <f t="shared" ca="1" si="764"/>
        <v>1</v>
      </c>
      <c r="AH1483">
        <f ca="1">IFERROR(IF(V34="Supercritical",MAX($D$16,IFERROR(L1483,MAX($D$16,POWER((ABS(K1483)^2)/($I$5*MAX(F1483,0.1)^2),1/3)))),IF(V34="Subcritical",MAX($D$16,IFERROR(W1483,MAX($D$16,POWER((ABS(K1483)^2)/($I$5*MAX(F1483,0.1)^2),1/3)))),IF(AND(IFERROR(V1483,0)=1,IFERROR(AG1483,0)=1),IF(IFERROR(T1483,-1E+99)&gt;=IFERROR(AE1483,-1E+99),MAX($D$16,IFERROR(L1483,MAX($D$16,POWER((ABS(K1483)^2)/($I$5*MAX(F1483,0.1)^2),1/3)))),MAX($D$16,IFERROR(W1483,MAX($D$16,POWER((ABS(K1483)^2)/($I$5*MAX(F1483,0.1)^2),1/3))))),IF(IFERROR(V1483,0)=1,MAX($D$16,IFERROR(L1483,MAX($D$16,POWER((ABS(K1483)^2)/($I$5*MAX(F1483,0.1)^2),1/3)))),IF(IFERROR(AG1483,0)=1,MAX($D$16,IFERROR(W1483,MAX($D$16,POWER((ABS(K1483)^2)/($I$5*MAX(F1483,0.1)^2),1/3)))),MAX($D$16,POWER((ABS(K1483)^2)/($I$5*MAX(F1483,0.1)^2),1/3))))))),MAX($D$16,POWER((ABS(K1483)^2)/($I$5*MAX(F1483,0.1)^2),1/3)))</f>
        <v>6.6434048555471942E-2</v>
      </c>
      <c r="AI1483">
        <f t="shared" ca="1" si="765"/>
        <v>630.82723404855551</v>
      </c>
      <c r="AJ1483">
        <f t="shared" ca="1" si="766"/>
        <v>630.86045107283326</v>
      </c>
      <c r="AM1483">
        <v>0</v>
      </c>
      <c r="AN1483">
        <v>0</v>
      </c>
      <c r="AO1483">
        <f t="shared" si="767"/>
        <v>0</v>
      </c>
      <c r="AP1483">
        <f t="shared" si="776"/>
        <v>0</v>
      </c>
      <c r="AQ1483">
        <f t="shared" ca="1" si="768"/>
        <v>1</v>
      </c>
      <c r="AR1483" t="str">
        <f t="shared" ca="1" si="769"/>
        <v>Supercritical</v>
      </c>
      <c r="AS1483">
        <f t="shared" ca="1" si="770"/>
        <v>5.5007670596747887E-3</v>
      </c>
    </row>
    <row r="1484" spans="1:45" x14ac:dyDescent="0.35">
      <c r="A1484">
        <v>7</v>
      </c>
      <c r="B1484">
        <v>6</v>
      </c>
      <c r="C1484">
        <v>616065.73</v>
      </c>
      <c r="D1484">
        <v>3096615.8679999998</v>
      </c>
      <c r="E1484">
        <v>630.53790000000004</v>
      </c>
      <c r="F1484">
        <v>11.881</v>
      </c>
      <c r="G1484">
        <v>0</v>
      </c>
      <c r="H1484" t="s">
        <v>154</v>
      </c>
      <c r="I1484">
        <v>0</v>
      </c>
      <c r="J1484">
        <f t="shared" si="771"/>
        <v>1</v>
      </c>
      <c r="K1484">
        <f t="shared" ca="1" si="772"/>
        <v>1.0190000000000001</v>
      </c>
      <c r="L1484">
        <f t="shared" ca="1" si="773"/>
        <v>0.05</v>
      </c>
      <c r="M1484">
        <f t="shared" ca="1" si="746"/>
        <v>0.59405000000000008</v>
      </c>
      <c r="N1484">
        <f t="shared" ca="1" si="747"/>
        <v>4.9582672564894424E-2</v>
      </c>
      <c r="O1484">
        <f t="shared" ca="1" si="748"/>
        <v>1.7153438262772494</v>
      </c>
      <c r="P1484">
        <f t="shared" ca="1" si="749"/>
        <v>630.58789999999999</v>
      </c>
      <c r="Q1484">
        <f t="shared" ca="1" si="750"/>
        <v>630.73786964537953</v>
      </c>
      <c r="R1484">
        <f t="shared" ca="1" si="751"/>
        <v>3.6345025365305914E-2</v>
      </c>
      <c r="S1484">
        <f t="shared" ca="1" si="752"/>
        <v>2.4492418858053675</v>
      </c>
      <c r="T1484">
        <f t="shared" ca="1" si="753"/>
        <v>0.19303018567548597</v>
      </c>
      <c r="U1484">
        <f t="shared" ca="1" si="774"/>
        <v>9.718989538976075E-2</v>
      </c>
      <c r="V1484">
        <f t="shared" ca="1" si="775"/>
        <v>0</v>
      </c>
      <c r="W1484">
        <f t="shared" ca="1" si="754"/>
        <v>9.0849900560837249E-2</v>
      </c>
      <c r="X1484">
        <f t="shared" ca="1" si="755"/>
        <v>1.0793876685633075</v>
      </c>
      <c r="Y1484">
        <f t="shared" ca="1" si="756"/>
        <v>8.9481433373890182E-2</v>
      </c>
      <c r="Z1484">
        <f t="shared" ca="1" si="757"/>
        <v>0.94405377203939633</v>
      </c>
      <c r="AA1484">
        <f t="shared" ca="1" si="758"/>
        <v>630.62874990056082</v>
      </c>
      <c r="AB1484">
        <f t="shared" ca="1" si="759"/>
        <v>630.67417485084127</v>
      </c>
      <c r="AC1484">
        <f t="shared" ca="1" si="760"/>
        <v>5.0103193196741518E-3</v>
      </c>
      <c r="AD1484">
        <f t="shared" ca="1" si="761"/>
        <v>0.99999999999999944</v>
      </c>
      <c r="AE1484">
        <f t="shared" ca="1" si="762"/>
        <v>0.14709339353335554</v>
      </c>
      <c r="AF1484">
        <f t="shared" ca="1" si="763"/>
        <v>-0.21859713840194672</v>
      </c>
      <c r="AG1484">
        <f t="shared" ca="1" si="764"/>
        <v>1</v>
      </c>
      <c r="AH1484">
        <f ca="1">IFERROR(IF(V34="Supercritical",MAX($D$16,IFERROR(L1484,MAX($D$16,POWER((ABS(K1484)^2)/($I$5*MAX(F1484,0.1)^2),1/3)))),IF(V34="Subcritical",MAX($D$16,IFERROR(W1484,MAX($D$16,POWER((ABS(K1484)^2)/($I$5*MAX(F1484,0.1)^2),1/3)))),IF(AND(IFERROR(V1484,0)=1,IFERROR(AG1484,0)=1),IF(IFERROR(T1484,-1E+99)&gt;=IFERROR(AE1484,-1E+99),MAX($D$16,IFERROR(L1484,MAX($D$16,POWER((ABS(K1484)^2)/($I$5*MAX(F1484,0.1)^2),1/3)))),MAX($D$16,IFERROR(W1484,MAX($D$16,POWER((ABS(K1484)^2)/($I$5*MAX(F1484,0.1)^2),1/3))))),IF(IFERROR(V1484,0)=1,MAX($D$16,IFERROR(L1484,MAX($D$16,POWER((ABS(K1484)^2)/($I$5*MAX(F1484,0.1)^2),1/3)))),IF(IFERROR(AG1484,0)=1,MAX($D$16,IFERROR(W1484,MAX($D$16,POWER((ABS(K1484)^2)/($I$5*MAX(F1484,0.1)^2),1/3)))),MAX($D$16,POWER((ABS(K1484)^2)/($I$5*MAX(F1484,0.1)^2),1/3))))))),MAX($D$16,POWER((ABS(K1484)^2)/($I$5*MAX(F1484,0.1)^2),1/3)))</f>
        <v>9.0849900560837249E-2</v>
      </c>
      <c r="AI1484">
        <f t="shared" ca="1" si="765"/>
        <v>630.62874990056082</v>
      </c>
      <c r="AJ1484">
        <f t="shared" ca="1" si="766"/>
        <v>630.67417485084127</v>
      </c>
      <c r="AM1484">
        <v>0</v>
      </c>
      <c r="AN1484">
        <v>0</v>
      </c>
      <c r="AO1484">
        <f t="shared" si="767"/>
        <v>0</v>
      </c>
      <c r="AP1484">
        <f t="shared" si="776"/>
        <v>0</v>
      </c>
      <c r="AQ1484">
        <f t="shared" ca="1" si="768"/>
        <v>0.99999999999999944</v>
      </c>
      <c r="AR1484" t="str">
        <f t="shared" ca="1" si="769"/>
        <v>Subcritical</v>
      </c>
      <c r="AS1484">
        <f t="shared" ca="1" si="770"/>
        <v>5.0103193196741518E-3</v>
      </c>
    </row>
    <row r="1485" spans="1:45" x14ac:dyDescent="0.35">
      <c r="A1485">
        <v>8</v>
      </c>
      <c r="B1485">
        <v>7</v>
      </c>
      <c r="C1485">
        <v>616065.73</v>
      </c>
      <c r="D1485">
        <v>3096614.8679999998</v>
      </c>
      <c r="E1485">
        <v>630.31510000000003</v>
      </c>
      <c r="F1485">
        <v>12</v>
      </c>
      <c r="G1485">
        <v>0</v>
      </c>
      <c r="H1485" t="s">
        <v>154</v>
      </c>
      <c r="I1485">
        <v>0</v>
      </c>
      <c r="J1485">
        <f t="shared" si="771"/>
        <v>1</v>
      </c>
      <c r="K1485">
        <f t="shared" ca="1" si="772"/>
        <v>1.0190000000000001</v>
      </c>
      <c r="L1485">
        <f t="shared" ca="1" si="773"/>
        <v>0.05</v>
      </c>
      <c r="M1485">
        <f t="shared" ca="1" si="746"/>
        <v>0.60000000000000009</v>
      </c>
      <c r="N1485">
        <f t="shared" ca="1" si="747"/>
        <v>4.9586776859504141E-2</v>
      </c>
      <c r="O1485">
        <f t="shared" ca="1" si="748"/>
        <v>1.6983333333333333</v>
      </c>
      <c r="P1485">
        <f t="shared" ca="1" si="749"/>
        <v>630.36509999999998</v>
      </c>
      <c r="Q1485">
        <f t="shared" ca="1" si="750"/>
        <v>630.51210999546947</v>
      </c>
      <c r="R1485">
        <f t="shared" ca="1" si="751"/>
        <v>3.5623824719935464E-2</v>
      </c>
      <c r="S1485">
        <f t="shared" ca="1" si="752"/>
        <v>2.4249535704377974</v>
      </c>
      <c r="T1485">
        <f t="shared" ca="1" si="753"/>
        <v>0.19141199456337074</v>
      </c>
      <c r="U1485">
        <f t="shared" ca="1" si="774"/>
        <v>0.1888873298943281</v>
      </c>
      <c r="V1485">
        <f t="shared" ca="1" si="775"/>
        <v>0</v>
      </c>
      <c r="W1485">
        <f t="shared" ca="1" si="754"/>
        <v>9.0248284683747682E-2</v>
      </c>
      <c r="X1485">
        <f t="shared" ca="1" si="755"/>
        <v>1.0829794162049722</v>
      </c>
      <c r="Y1485">
        <f t="shared" ca="1" si="756"/>
        <v>8.8910941359200163E-2</v>
      </c>
      <c r="Z1485">
        <f t="shared" ca="1" si="757"/>
        <v>0.94092277724984674</v>
      </c>
      <c r="AA1485">
        <f t="shared" ca="1" si="758"/>
        <v>630.40534828468378</v>
      </c>
      <c r="AB1485">
        <f t="shared" ca="1" si="759"/>
        <v>630.4504724270256</v>
      </c>
      <c r="AC1485">
        <f t="shared" ca="1" si="760"/>
        <v>5.0197667446444877E-3</v>
      </c>
      <c r="AD1485">
        <f t="shared" ca="1" si="761"/>
        <v>1</v>
      </c>
      <c r="AE1485">
        <f t="shared" ca="1" si="762"/>
        <v>0.1466055519904578</v>
      </c>
      <c r="AF1485">
        <f t="shared" ca="1" si="763"/>
        <v>-0.21918790593053927</v>
      </c>
      <c r="AG1485">
        <f t="shared" ca="1" si="764"/>
        <v>1</v>
      </c>
      <c r="AH1485">
        <f ca="1">IFERROR(IF(V34="Supercritical",MAX($D$16,IFERROR(L1485,MAX($D$16,POWER((ABS(K1485)^2)/($I$5*MAX(F1485,0.1)^2),1/3)))),IF(V34="Subcritical",MAX($D$16,IFERROR(W1485,MAX($D$16,POWER((ABS(K1485)^2)/($I$5*MAX(F1485,0.1)^2),1/3)))),IF(AND(IFERROR(V1485,0)=1,IFERROR(AG1485,0)=1),IF(IFERROR(T1485,-1E+99)&gt;=IFERROR(AE1485,-1E+99),MAX($D$16,IFERROR(L1485,MAX($D$16,POWER((ABS(K1485)^2)/($I$5*MAX(F1485,0.1)^2),1/3)))),MAX($D$16,IFERROR(W1485,MAX($D$16,POWER((ABS(K1485)^2)/($I$5*MAX(F1485,0.1)^2),1/3))))),IF(IFERROR(V1485,0)=1,MAX($D$16,IFERROR(L1485,MAX($D$16,POWER((ABS(K1485)^2)/($I$5*MAX(F1485,0.1)^2),1/3)))),IF(IFERROR(AG1485,0)=1,MAX($D$16,IFERROR(W1485,MAX($D$16,POWER((ABS(K1485)^2)/($I$5*MAX(F1485,0.1)^2),1/3)))),MAX($D$16,POWER((ABS(K1485)^2)/($I$5*MAX(F1485,0.1)^2),1/3))))))),MAX($D$16,POWER((ABS(K1485)^2)/($I$5*MAX(F1485,0.1)^2),1/3)))</f>
        <v>9.0248284683747682E-2</v>
      </c>
      <c r="AI1485">
        <f t="shared" ca="1" si="765"/>
        <v>630.40534828468378</v>
      </c>
      <c r="AJ1485">
        <f t="shared" ca="1" si="766"/>
        <v>630.4504724270256</v>
      </c>
      <c r="AK1485">
        <v>635.5</v>
      </c>
      <c r="AM1485">
        <f t="shared" ref="AM1485:AM1510" ca="1" si="777">IF($D$20=0,IFERROR(AM1485,0),IF(($D$12*MAX(J1485,0.1)*POWER(MAX(0,AI1485-AK1485),1.5))&lt;=0,0,MAX(0,IFERROR(AM1485,0)+($D$25*(($D$12*MAX(J1485,0.1)*POWER(MAX(0,AI1485-AK1485),1.5))-IFERROR(AM1485,0))))))</f>
        <v>0</v>
      </c>
      <c r="AN1485">
        <v>0</v>
      </c>
      <c r="AO1485">
        <f t="shared" ca="1" si="767"/>
        <v>0</v>
      </c>
      <c r="AP1485">
        <f t="shared" ca="1" si="776"/>
        <v>0</v>
      </c>
      <c r="AQ1485">
        <f t="shared" ca="1" si="768"/>
        <v>1</v>
      </c>
      <c r="AR1485" t="str">
        <f t="shared" ca="1" si="769"/>
        <v>Supercritical</v>
      </c>
      <c r="AS1485">
        <f t="shared" ca="1" si="770"/>
        <v>5.0197667446444877E-3</v>
      </c>
    </row>
    <row r="1486" spans="1:45" x14ac:dyDescent="0.35">
      <c r="A1486">
        <v>9</v>
      </c>
      <c r="B1486">
        <v>8</v>
      </c>
      <c r="C1486">
        <v>616065.73</v>
      </c>
      <c r="D1486">
        <v>3096613.8679999998</v>
      </c>
      <c r="E1486">
        <v>630.09220000000005</v>
      </c>
      <c r="F1486">
        <v>12.196999999999999</v>
      </c>
      <c r="G1486">
        <v>0</v>
      </c>
      <c r="H1486" t="s">
        <v>154</v>
      </c>
      <c r="I1486">
        <v>0</v>
      </c>
      <c r="J1486">
        <f t="shared" si="771"/>
        <v>1</v>
      </c>
      <c r="K1486">
        <f t="shared" ca="1" si="772"/>
        <v>1.0190000000000001</v>
      </c>
      <c r="L1486">
        <f t="shared" ca="1" si="773"/>
        <v>0.05</v>
      </c>
      <c r="M1486">
        <f t="shared" ca="1" si="746"/>
        <v>0.60985</v>
      </c>
      <c r="N1486">
        <f t="shared" ca="1" si="747"/>
        <v>4.9593396763438241E-2</v>
      </c>
      <c r="O1486">
        <f t="shared" ca="1" si="748"/>
        <v>1.6709026809871281</v>
      </c>
      <c r="P1486">
        <f t="shared" ca="1" si="749"/>
        <v>630.1422</v>
      </c>
      <c r="Q1486">
        <f t="shared" ca="1" si="750"/>
        <v>630.28449947855916</v>
      </c>
      <c r="R1486">
        <f t="shared" ca="1" si="751"/>
        <v>3.4476223674636146E-2</v>
      </c>
      <c r="S1486">
        <f t="shared" ca="1" si="752"/>
        <v>2.3857869021278653</v>
      </c>
      <c r="T1486">
        <f t="shared" ca="1" si="753"/>
        <v>0.18880892399856103</v>
      </c>
      <c r="U1486">
        <f t="shared" ca="1" si="774"/>
        <v>0.19114733763990444</v>
      </c>
      <c r="V1486">
        <f t="shared" ca="1" si="775"/>
        <v>0</v>
      </c>
      <c r="W1486">
        <f t="shared" ca="1" si="754"/>
        <v>8.9273885607561748E-2</v>
      </c>
      <c r="X1486">
        <f t="shared" ca="1" si="755"/>
        <v>1.0888735827554306</v>
      </c>
      <c r="Y1486">
        <f t="shared" ca="1" si="756"/>
        <v>8.7985889827688568E-2</v>
      </c>
      <c r="Z1486">
        <f t="shared" ca="1" si="757"/>
        <v>0.93582948116106091</v>
      </c>
      <c r="AA1486">
        <f t="shared" ca="1" si="758"/>
        <v>630.1814738856076</v>
      </c>
      <c r="AB1486">
        <f t="shared" ca="1" si="759"/>
        <v>630.22611082841138</v>
      </c>
      <c r="AC1486">
        <f t="shared" ca="1" si="760"/>
        <v>5.035298899862037E-3</v>
      </c>
      <c r="AD1486">
        <f t="shared" ca="1" si="761"/>
        <v>0.99999999999999978</v>
      </c>
      <c r="AE1486">
        <f t="shared" ca="1" si="762"/>
        <v>0.14581196350200631</v>
      </c>
      <c r="AF1486">
        <f t="shared" ca="1" si="763"/>
        <v>-0.22161713393063565</v>
      </c>
      <c r="AG1486">
        <f t="shared" ca="1" si="764"/>
        <v>1</v>
      </c>
      <c r="AH1486">
        <f ca="1">IFERROR(IF(V34="Supercritical",MAX($D$16,IFERROR(L1486,MAX($D$16,POWER((ABS(K1486)^2)/($I$5*MAX(F1486,0.1)^2),1/3)))),IF(V34="Subcritical",MAX($D$16,IFERROR(W1486,MAX($D$16,POWER((ABS(K1486)^2)/($I$5*MAX(F1486,0.1)^2),1/3)))),IF(AND(IFERROR(V1486,0)=1,IFERROR(AG1486,0)=1),IF(IFERROR(T1486,-1E+99)&gt;=IFERROR(AE1486,-1E+99),MAX($D$16,IFERROR(L1486,MAX($D$16,POWER((ABS(K1486)^2)/($I$5*MAX(F1486,0.1)^2),1/3)))),MAX($D$16,IFERROR(W1486,MAX($D$16,POWER((ABS(K1486)^2)/($I$5*MAX(F1486,0.1)^2),1/3))))),IF(IFERROR(V1486,0)=1,MAX($D$16,IFERROR(L1486,MAX($D$16,POWER((ABS(K1486)^2)/($I$5*MAX(F1486,0.1)^2),1/3)))),IF(IFERROR(AG1486,0)=1,MAX($D$16,IFERROR(W1486,MAX($D$16,POWER((ABS(K1486)^2)/($I$5*MAX(F1486,0.1)^2),1/3)))),MAX($D$16,POWER((ABS(K1486)^2)/($I$5*MAX(F1486,0.1)^2),1/3))))))),MAX($D$16,POWER((ABS(K1486)^2)/($I$5*MAX(F1486,0.1)^2),1/3)))</f>
        <v>8.9273885607561748E-2</v>
      </c>
      <c r="AI1486">
        <f t="shared" ca="1" si="765"/>
        <v>630.1814738856076</v>
      </c>
      <c r="AJ1486">
        <f t="shared" ca="1" si="766"/>
        <v>630.22611082841138</v>
      </c>
      <c r="AK1486">
        <v>635.5</v>
      </c>
      <c r="AM1486">
        <f t="shared" ca="1" si="777"/>
        <v>0</v>
      </c>
      <c r="AN1486">
        <v>0</v>
      </c>
      <c r="AO1486">
        <f t="shared" ca="1" si="767"/>
        <v>0</v>
      </c>
      <c r="AP1486">
        <f t="shared" ca="1" si="776"/>
        <v>0</v>
      </c>
      <c r="AQ1486">
        <f t="shared" ca="1" si="768"/>
        <v>0.99999999999999978</v>
      </c>
      <c r="AR1486" t="str">
        <f t="shared" ca="1" si="769"/>
        <v>Supercritical</v>
      </c>
      <c r="AS1486">
        <f t="shared" ca="1" si="770"/>
        <v>5.035298899862037E-3</v>
      </c>
    </row>
    <row r="1487" spans="1:45" x14ac:dyDescent="0.35">
      <c r="A1487">
        <v>10</v>
      </c>
      <c r="B1487">
        <v>9</v>
      </c>
      <c r="C1487">
        <v>616065.73</v>
      </c>
      <c r="D1487">
        <v>3096612.8679999998</v>
      </c>
      <c r="E1487">
        <v>629.86940000000004</v>
      </c>
      <c r="F1487">
        <v>12.81</v>
      </c>
      <c r="G1487">
        <v>0</v>
      </c>
      <c r="H1487" t="s">
        <v>154</v>
      </c>
      <c r="I1487">
        <v>0</v>
      </c>
      <c r="J1487">
        <f t="shared" si="771"/>
        <v>1</v>
      </c>
      <c r="K1487">
        <f t="shared" ca="1" si="772"/>
        <v>1.0190000000000001</v>
      </c>
      <c r="L1487">
        <f t="shared" ca="1" si="773"/>
        <v>0.05</v>
      </c>
      <c r="M1487">
        <f t="shared" ca="1" si="746"/>
        <v>0.64050000000000007</v>
      </c>
      <c r="N1487">
        <f t="shared" ca="1" si="747"/>
        <v>4.9612703330751358E-2</v>
      </c>
      <c r="O1487">
        <f t="shared" ca="1" si="748"/>
        <v>1.5909445745511319</v>
      </c>
      <c r="P1487">
        <f t="shared" ca="1" si="749"/>
        <v>629.9194</v>
      </c>
      <c r="Q1487">
        <f t="shared" ca="1" si="750"/>
        <v>630.04840635266532</v>
      </c>
      <c r="R1487">
        <f t="shared" ca="1" si="751"/>
        <v>3.1239357671420845E-2</v>
      </c>
      <c r="S1487">
        <f t="shared" ca="1" si="752"/>
        <v>2.2716192697309578</v>
      </c>
      <c r="T1487">
        <f t="shared" ca="1" si="753"/>
        <v>0.18126963776428173</v>
      </c>
      <c r="U1487">
        <f t="shared" ca="1" si="774"/>
        <v>0.19924739745272291</v>
      </c>
      <c r="V1487">
        <f t="shared" ca="1" si="775"/>
        <v>0</v>
      </c>
      <c r="W1487">
        <f t="shared" ca="1" si="754"/>
        <v>8.6402644243428653E-2</v>
      </c>
      <c r="X1487">
        <f t="shared" ca="1" si="755"/>
        <v>1.1068178727583211</v>
      </c>
      <c r="Y1487">
        <f t="shared" ca="1" si="756"/>
        <v>8.5252597428989121E-2</v>
      </c>
      <c r="Z1487">
        <f t="shared" ca="1" si="757"/>
        <v>0.92065734126657306</v>
      </c>
      <c r="AA1487">
        <f t="shared" ca="1" si="758"/>
        <v>629.95580264424348</v>
      </c>
      <c r="AB1487">
        <f t="shared" ca="1" si="759"/>
        <v>629.99900396636519</v>
      </c>
      <c r="AC1487">
        <f t="shared" ca="1" si="760"/>
        <v>5.0827849220151855E-3</v>
      </c>
      <c r="AD1487">
        <f t="shared" ca="1" si="761"/>
        <v>1</v>
      </c>
      <c r="AE1487">
        <f t="shared" ca="1" si="762"/>
        <v>0.14344798635330858</v>
      </c>
      <c r="AF1487">
        <f t="shared" ca="1" si="763"/>
        <v>-2.0013798080867673E-2</v>
      </c>
      <c r="AG1487">
        <f t="shared" ca="1" si="764"/>
        <v>1</v>
      </c>
      <c r="AH1487">
        <f ca="1">IFERROR(IF(V34="Supercritical",MAX($D$16,IFERROR(L1487,MAX($D$16,POWER((ABS(K1487)^2)/($I$5*MAX(F1487,0.1)^2),1/3)))),IF(V34="Subcritical",MAX($D$16,IFERROR(W1487,MAX($D$16,POWER((ABS(K1487)^2)/($I$5*MAX(F1487,0.1)^2),1/3)))),IF(AND(IFERROR(V1487,0)=1,IFERROR(AG1487,0)=1),IF(IFERROR(T1487,-1E+99)&gt;=IFERROR(AE1487,-1E+99),MAX($D$16,IFERROR(L1487,MAX($D$16,POWER((ABS(K1487)^2)/($I$5*MAX(F1487,0.1)^2),1/3)))),MAX($D$16,IFERROR(W1487,MAX($D$16,POWER((ABS(K1487)^2)/($I$5*MAX(F1487,0.1)^2),1/3))))),IF(IFERROR(V1487,0)=1,MAX($D$16,IFERROR(L1487,MAX($D$16,POWER((ABS(K1487)^2)/($I$5*MAX(F1487,0.1)^2),1/3)))),IF(IFERROR(AG1487,0)=1,MAX($D$16,IFERROR(W1487,MAX($D$16,POWER((ABS(K1487)^2)/($I$5*MAX(F1487,0.1)^2),1/3)))),MAX($D$16,POWER((ABS(K1487)^2)/($I$5*MAX(F1487,0.1)^2),1/3))))))),MAX($D$16,POWER((ABS(K1487)^2)/($I$5*MAX(F1487,0.1)^2),1/3)))</f>
        <v>8.6402644243428653E-2</v>
      </c>
      <c r="AI1487">
        <f t="shared" ca="1" si="765"/>
        <v>629.95580264424348</v>
      </c>
      <c r="AJ1487">
        <f t="shared" ca="1" si="766"/>
        <v>629.99900396636519</v>
      </c>
      <c r="AK1487">
        <v>635.5</v>
      </c>
      <c r="AM1487">
        <f t="shared" ca="1" si="777"/>
        <v>0</v>
      </c>
      <c r="AN1487">
        <v>0</v>
      </c>
      <c r="AO1487">
        <f t="shared" ca="1" si="767"/>
        <v>0</v>
      </c>
      <c r="AP1487">
        <f t="shared" ca="1" si="776"/>
        <v>0</v>
      </c>
      <c r="AQ1487">
        <f t="shared" ca="1" si="768"/>
        <v>1</v>
      </c>
      <c r="AR1487" t="str">
        <f t="shared" ca="1" si="769"/>
        <v>Supercritical</v>
      </c>
      <c r="AS1487">
        <f t="shared" ca="1" si="770"/>
        <v>5.0827849220151855E-3</v>
      </c>
    </row>
    <row r="1488" spans="1:45" x14ac:dyDescent="0.35">
      <c r="A1488">
        <v>11</v>
      </c>
      <c r="B1488">
        <v>10</v>
      </c>
      <c r="C1488">
        <v>616065.73</v>
      </c>
      <c r="D1488">
        <v>3096611.8679999998</v>
      </c>
      <c r="E1488">
        <v>629.64649999999995</v>
      </c>
      <c r="F1488">
        <v>13.422000000000001</v>
      </c>
      <c r="G1488">
        <v>0</v>
      </c>
      <c r="H1488" t="s">
        <v>154</v>
      </c>
      <c r="I1488">
        <v>0</v>
      </c>
      <c r="J1488">
        <f t="shared" si="771"/>
        <v>1</v>
      </c>
      <c r="K1488">
        <f t="shared" ca="1" si="772"/>
        <v>1.0190000000000001</v>
      </c>
      <c r="L1488">
        <f t="shared" ca="1" si="773"/>
        <v>0.05</v>
      </c>
      <c r="M1488">
        <f t="shared" ca="1" si="746"/>
        <v>0.67110000000000003</v>
      </c>
      <c r="N1488">
        <f t="shared" ca="1" si="747"/>
        <v>4.9630232214169505E-2</v>
      </c>
      <c r="O1488">
        <f t="shared" ca="1" si="748"/>
        <v>1.5184026225599763</v>
      </c>
      <c r="P1488">
        <f t="shared" ca="1" si="749"/>
        <v>629.6964999999999</v>
      </c>
      <c r="Q1488">
        <f t="shared" ca="1" si="750"/>
        <v>629.81401001652375</v>
      </c>
      <c r="R1488">
        <f t="shared" ca="1" si="751"/>
        <v>2.8442078595899378E-2</v>
      </c>
      <c r="S1488">
        <f t="shared" ca="1" si="752"/>
        <v>2.168040742456681</v>
      </c>
      <c r="T1488">
        <f t="shared" ca="1" si="753"/>
        <v>0.17449944417824834</v>
      </c>
      <c r="U1488">
        <f t="shared" ca="1" si="774"/>
        <v>0.20110671716543038</v>
      </c>
      <c r="V1488">
        <f t="shared" ca="1" si="775"/>
        <v>0</v>
      </c>
      <c r="W1488">
        <f t="shared" ca="1" si="754"/>
        <v>0.31488188368887399</v>
      </c>
      <c r="X1488">
        <f t="shared" ca="1" si="755"/>
        <v>4.2263446428720668</v>
      </c>
      <c r="Y1488">
        <f t="shared" ca="1" si="756"/>
        <v>0.30076969075468313</v>
      </c>
      <c r="Z1488">
        <f t="shared" ca="1" si="757"/>
        <v>0.2411066976562341</v>
      </c>
      <c r="AA1488">
        <f t="shared" ca="1" si="758"/>
        <v>629.96138188368877</v>
      </c>
      <c r="AB1488">
        <f t="shared" ca="1" si="759"/>
        <v>629.96434480110236</v>
      </c>
      <c r="AC1488">
        <f t="shared" ca="1" si="760"/>
        <v>6.4906617201107082E-5</v>
      </c>
      <c r="AD1488">
        <f t="shared" ca="1" si="761"/>
        <v>0.13718320140230122</v>
      </c>
      <c r="AE1488">
        <f t="shared" ca="1" si="762"/>
        <v>0.69044430140939117</v>
      </c>
      <c r="AF1488">
        <f t="shared" ca="1" si="763"/>
        <v>0</v>
      </c>
      <c r="AG1488">
        <f t="shared" ca="1" si="764"/>
        <v>1</v>
      </c>
      <c r="AH1488">
        <f ca="1">IFERROR(IF(V34="Supercritical",MAX($D$16,IFERROR(L1488,MAX($D$16,POWER((ABS(K1488)^2)/($I$5*MAX(F1488,0.1)^2),1/3)))),IF(V34="Subcritical",MAX($D$16,IFERROR(W1488,MAX($D$16,POWER((ABS(K1488)^2)/($I$5*MAX(F1488,0.1)^2),1/3)))),IF(AND(IFERROR(V1488,0)=1,IFERROR(AG1488,0)=1),IF(IFERROR(T1488,-1E+99)&gt;=IFERROR(AE1488,-1E+99),MAX($D$16,IFERROR(L1488,MAX($D$16,POWER((ABS(K1488)^2)/($I$5*MAX(F1488,0.1)^2),1/3)))),MAX($D$16,IFERROR(W1488,MAX($D$16,POWER((ABS(K1488)^2)/($I$5*MAX(F1488,0.1)^2),1/3))))),IF(IFERROR(V1488,0)=1,MAX($D$16,IFERROR(L1488,MAX($D$16,POWER((ABS(K1488)^2)/($I$5*MAX(F1488,0.1)^2),1/3)))),IF(IFERROR(AG1488,0)=1,MAX($D$16,IFERROR(W1488,MAX($D$16,POWER((ABS(K1488)^2)/($I$5*MAX(F1488,0.1)^2),1/3)))),MAX($D$16,POWER((ABS(K1488)^2)/($I$5*MAX(F1488,0.1)^2),1/3))))))),MAX($D$16,POWER((ABS(K1488)^2)/($I$5*MAX(F1488,0.1)^2),1/3)))</f>
        <v>0.31488188368887399</v>
      </c>
      <c r="AI1488">
        <f t="shared" ca="1" si="765"/>
        <v>629.96138188368877</v>
      </c>
      <c r="AJ1488">
        <f t="shared" ca="1" si="766"/>
        <v>629.96434480110236</v>
      </c>
      <c r="AK1488">
        <v>635.5</v>
      </c>
      <c r="AM1488">
        <f t="shared" ca="1" si="777"/>
        <v>0</v>
      </c>
      <c r="AN1488">
        <v>0</v>
      </c>
      <c r="AO1488">
        <f t="shared" ca="1" si="767"/>
        <v>0</v>
      </c>
      <c r="AP1488">
        <f t="shared" ca="1" si="776"/>
        <v>0</v>
      </c>
      <c r="AQ1488">
        <f t="shared" ca="1" si="768"/>
        <v>0.13718320140230122</v>
      </c>
      <c r="AR1488" t="str">
        <f t="shared" ca="1" si="769"/>
        <v>Subcritical</v>
      </c>
      <c r="AS1488">
        <f t="shared" ca="1" si="770"/>
        <v>6.4906617201107082E-5</v>
      </c>
    </row>
    <row r="1489" spans="1:45" x14ac:dyDescent="0.35">
      <c r="A1489">
        <v>12</v>
      </c>
      <c r="B1489">
        <v>11</v>
      </c>
      <c r="C1489">
        <v>616065.73</v>
      </c>
      <c r="D1489">
        <v>3096610.8679999998</v>
      </c>
      <c r="E1489">
        <v>629.42370000000005</v>
      </c>
      <c r="F1489">
        <v>14.035</v>
      </c>
      <c r="G1489">
        <v>0</v>
      </c>
      <c r="H1489" t="s">
        <v>154</v>
      </c>
      <c r="I1489">
        <v>0</v>
      </c>
      <c r="J1489">
        <f t="shared" si="771"/>
        <v>1</v>
      </c>
      <c r="K1489">
        <f t="shared" ca="1" si="772"/>
        <v>1.0190000000000001</v>
      </c>
      <c r="L1489">
        <f t="shared" ca="1" si="773"/>
        <v>0.05</v>
      </c>
      <c r="M1489">
        <f t="shared" ca="1" si="746"/>
        <v>0.7017500000000001</v>
      </c>
      <c r="N1489">
        <f t="shared" ca="1" si="747"/>
        <v>4.9646268128758407E-2</v>
      </c>
      <c r="O1489">
        <f t="shared" ca="1" si="748"/>
        <v>1.452084075525472</v>
      </c>
      <c r="P1489">
        <f t="shared" ca="1" si="749"/>
        <v>629.47370000000001</v>
      </c>
      <c r="Q1489">
        <f t="shared" ca="1" si="750"/>
        <v>629.58116932530049</v>
      </c>
      <c r="R1489">
        <f t="shared" ca="1" si="751"/>
        <v>2.6000631660596019E-2</v>
      </c>
      <c r="S1489">
        <f t="shared" ca="1" si="752"/>
        <v>2.0733482611509491</v>
      </c>
      <c r="T1489">
        <f t="shared" ca="1" si="753"/>
        <v>0.16837694805916983</v>
      </c>
      <c r="U1489">
        <f t="shared" ca="1" si="774"/>
        <v>0.20260712872800468</v>
      </c>
      <c r="V1489">
        <f t="shared" ca="1" si="775"/>
        <v>0</v>
      </c>
      <c r="W1489">
        <f t="shared" ca="1" si="754"/>
        <v>0.53907115078998991</v>
      </c>
      <c r="X1489">
        <f t="shared" ca="1" si="755"/>
        <v>7.565863601337508</v>
      </c>
      <c r="Y1489">
        <f t="shared" ca="1" si="756"/>
        <v>0.50061485893284718</v>
      </c>
      <c r="Z1489">
        <f t="shared" ca="1" si="757"/>
        <v>0.1346838977932221</v>
      </c>
      <c r="AA1489">
        <f t="shared" ca="1" si="758"/>
        <v>629.96277115078999</v>
      </c>
      <c r="AB1489">
        <f t="shared" ca="1" si="759"/>
        <v>629.96369570493493</v>
      </c>
      <c r="AC1489">
        <f t="shared" ca="1" si="760"/>
        <v>1.026775639976427E-5</v>
      </c>
      <c r="AD1489">
        <f t="shared" ca="1" si="761"/>
        <v>5.8567694374766749E-2</v>
      </c>
      <c r="AE1489">
        <f t="shared" ca="1" si="762"/>
        <v>2.0532595002527003</v>
      </c>
      <c r="AF1489">
        <f t="shared" ca="1" si="763"/>
        <v>0</v>
      </c>
      <c r="AG1489">
        <f t="shared" ca="1" si="764"/>
        <v>1</v>
      </c>
      <c r="AH1489">
        <f ca="1">IFERROR(IF(V34="Supercritical",MAX($D$16,IFERROR(L1489,MAX($D$16,POWER((ABS(K1489)^2)/($I$5*MAX(F1489,0.1)^2),1/3)))),IF(V34="Subcritical",MAX($D$16,IFERROR(W1489,MAX($D$16,POWER((ABS(K1489)^2)/($I$5*MAX(F1489,0.1)^2),1/3)))),IF(AND(IFERROR(V1489,0)=1,IFERROR(AG1489,0)=1),IF(IFERROR(T1489,-1E+99)&gt;=IFERROR(AE1489,-1E+99),MAX($D$16,IFERROR(L1489,MAX($D$16,POWER((ABS(K1489)^2)/($I$5*MAX(F1489,0.1)^2),1/3)))),MAX($D$16,IFERROR(W1489,MAX($D$16,POWER((ABS(K1489)^2)/($I$5*MAX(F1489,0.1)^2),1/3))))),IF(IFERROR(V1489,0)=1,MAX($D$16,IFERROR(L1489,MAX($D$16,POWER((ABS(K1489)^2)/($I$5*MAX(F1489,0.1)^2),1/3)))),IF(IFERROR(AG1489,0)=1,MAX($D$16,IFERROR(W1489,MAX($D$16,POWER((ABS(K1489)^2)/($I$5*MAX(F1489,0.1)^2),1/3)))),MAX($D$16,POWER((ABS(K1489)^2)/($I$5*MAX(F1489,0.1)^2),1/3))))))),MAX($D$16,POWER((ABS(K1489)^2)/($I$5*MAX(F1489,0.1)^2),1/3)))</f>
        <v>0.53907115078998991</v>
      </c>
      <c r="AI1489">
        <f t="shared" ca="1" si="765"/>
        <v>629.96277115078999</v>
      </c>
      <c r="AJ1489">
        <f t="shared" ca="1" si="766"/>
        <v>629.96369570493493</v>
      </c>
      <c r="AK1489">
        <v>635.5</v>
      </c>
      <c r="AM1489">
        <f t="shared" ca="1" si="777"/>
        <v>0</v>
      </c>
      <c r="AN1489">
        <v>0</v>
      </c>
      <c r="AO1489">
        <f t="shared" ca="1" si="767"/>
        <v>0</v>
      </c>
      <c r="AP1489">
        <f t="shared" ca="1" si="776"/>
        <v>0</v>
      </c>
      <c r="AQ1489">
        <f t="shared" ca="1" si="768"/>
        <v>5.8567694374766749E-2</v>
      </c>
      <c r="AR1489" t="str">
        <f t="shared" ca="1" si="769"/>
        <v>Subcritical</v>
      </c>
      <c r="AS1489">
        <f t="shared" ca="1" si="770"/>
        <v>1.026775639976427E-5</v>
      </c>
    </row>
    <row r="1490" spans="1:45" x14ac:dyDescent="0.35">
      <c r="A1490">
        <v>13</v>
      </c>
      <c r="B1490">
        <v>12</v>
      </c>
      <c r="C1490">
        <v>616065.73</v>
      </c>
      <c r="D1490">
        <v>3096609.8679999998</v>
      </c>
      <c r="E1490">
        <v>629.20079999999996</v>
      </c>
      <c r="F1490">
        <v>14.647</v>
      </c>
      <c r="G1490">
        <v>0</v>
      </c>
      <c r="H1490" t="s">
        <v>154</v>
      </c>
      <c r="I1490">
        <v>0</v>
      </c>
      <c r="J1490">
        <f t="shared" si="771"/>
        <v>1</v>
      </c>
      <c r="K1490">
        <f t="shared" ca="1" si="772"/>
        <v>1.0190000000000001</v>
      </c>
      <c r="L1490">
        <f t="shared" ca="1" si="773"/>
        <v>0.05</v>
      </c>
      <c r="M1490">
        <f t="shared" ca="1" si="746"/>
        <v>0.73235000000000006</v>
      </c>
      <c r="N1490">
        <f t="shared" ca="1" si="747"/>
        <v>4.9660947989421583E-2</v>
      </c>
      <c r="O1490">
        <f t="shared" ca="1" si="748"/>
        <v>1.3914112104867891</v>
      </c>
      <c r="P1490">
        <f t="shared" ca="1" si="749"/>
        <v>629.25079999999991</v>
      </c>
      <c r="Q1490">
        <f t="shared" ca="1" si="750"/>
        <v>629.34947610380561</v>
      </c>
      <c r="R1490">
        <f t="shared" ca="1" si="751"/>
        <v>2.3863831478805761E-2</v>
      </c>
      <c r="S1490">
        <f t="shared" ca="1" si="752"/>
        <v>1.9867169280571839</v>
      </c>
      <c r="T1490">
        <f t="shared" ca="1" si="753"/>
        <v>0.16283963924424449</v>
      </c>
      <c r="U1490">
        <f t="shared" ca="1" si="774"/>
        <v>0.20412302347676814</v>
      </c>
      <c r="V1490">
        <f t="shared" ca="1" si="775"/>
        <v>0</v>
      </c>
      <c r="W1490">
        <f t="shared" ca="1" si="754"/>
        <v>0.76231451532798544</v>
      </c>
      <c r="X1490">
        <f t="shared" ca="1" si="755"/>
        <v>11.165620706009003</v>
      </c>
      <c r="Y1490">
        <f t="shared" ca="1" si="756"/>
        <v>0.6904450185471569</v>
      </c>
      <c r="Z1490">
        <f t="shared" ca="1" si="757"/>
        <v>9.1262279709322811E-2</v>
      </c>
      <c r="AA1490">
        <f t="shared" ca="1" si="758"/>
        <v>629.9631145153279</v>
      </c>
      <c r="AB1490">
        <f t="shared" ca="1" si="759"/>
        <v>629.96353902112287</v>
      </c>
      <c r="AC1490">
        <f t="shared" ca="1" si="760"/>
        <v>3.0708575920351142E-6</v>
      </c>
      <c r="AD1490">
        <f t="shared" ca="1" si="761"/>
        <v>3.3372574773461054E-2</v>
      </c>
      <c r="AE1490">
        <f t="shared" ca="1" si="762"/>
        <v>4.2653371098074526</v>
      </c>
      <c r="AF1490">
        <f t="shared" ca="1" si="763"/>
        <v>0</v>
      </c>
      <c r="AG1490">
        <f t="shared" ca="1" si="764"/>
        <v>1</v>
      </c>
      <c r="AH1490">
        <f ca="1">IFERROR(IF(V34="Supercritical",MAX($D$16,IFERROR(L1490,MAX($D$16,POWER((ABS(K1490)^2)/($I$5*MAX(F1490,0.1)^2),1/3)))),IF(V34="Subcritical",MAX($D$16,IFERROR(W1490,MAX($D$16,POWER((ABS(K1490)^2)/($I$5*MAX(F1490,0.1)^2),1/3)))),IF(AND(IFERROR(V1490,0)=1,IFERROR(AG1490,0)=1),IF(IFERROR(T1490,-1E+99)&gt;=IFERROR(AE1490,-1E+99),MAX($D$16,IFERROR(L1490,MAX($D$16,POWER((ABS(K1490)^2)/($I$5*MAX(F1490,0.1)^2),1/3)))),MAX($D$16,IFERROR(W1490,MAX($D$16,POWER((ABS(K1490)^2)/($I$5*MAX(F1490,0.1)^2),1/3))))),IF(IFERROR(V1490,0)=1,MAX($D$16,IFERROR(L1490,MAX($D$16,POWER((ABS(K1490)^2)/($I$5*MAX(F1490,0.1)^2),1/3)))),IF(IFERROR(AG1490,0)=1,MAX($D$16,IFERROR(W1490,MAX($D$16,POWER((ABS(K1490)^2)/($I$5*MAX(F1490,0.1)^2),1/3)))),MAX($D$16,POWER((ABS(K1490)^2)/($I$5*MAX(F1490,0.1)^2),1/3))))))),MAX($D$16,POWER((ABS(K1490)^2)/($I$5*MAX(F1490,0.1)^2),1/3)))</f>
        <v>0.76231451532798544</v>
      </c>
      <c r="AI1490">
        <f t="shared" ca="1" si="765"/>
        <v>629.9631145153279</v>
      </c>
      <c r="AJ1490">
        <f t="shared" ca="1" si="766"/>
        <v>629.96353902112287</v>
      </c>
      <c r="AK1490">
        <v>635.5</v>
      </c>
      <c r="AM1490">
        <f t="shared" ca="1" si="777"/>
        <v>0</v>
      </c>
      <c r="AN1490">
        <v>0</v>
      </c>
      <c r="AO1490">
        <f t="shared" ca="1" si="767"/>
        <v>0</v>
      </c>
      <c r="AP1490">
        <f t="shared" ca="1" si="776"/>
        <v>0</v>
      </c>
      <c r="AQ1490">
        <f t="shared" ca="1" si="768"/>
        <v>3.3372574773461054E-2</v>
      </c>
      <c r="AR1490" t="str">
        <f t="shared" ca="1" si="769"/>
        <v>Subcritical</v>
      </c>
      <c r="AS1490">
        <f t="shared" ca="1" si="770"/>
        <v>3.0708575920351142E-6</v>
      </c>
    </row>
    <row r="1491" spans="1:45" x14ac:dyDescent="0.35">
      <c r="A1491">
        <v>14</v>
      </c>
      <c r="B1491">
        <v>13</v>
      </c>
      <c r="C1491">
        <v>616065.73</v>
      </c>
      <c r="D1491">
        <v>3096608.8679999998</v>
      </c>
      <c r="E1491">
        <v>628.97799999999995</v>
      </c>
      <c r="F1491">
        <v>15</v>
      </c>
      <c r="G1491">
        <v>0</v>
      </c>
      <c r="H1491" t="s">
        <v>154</v>
      </c>
      <c r="I1491">
        <v>0</v>
      </c>
      <c r="J1491">
        <f t="shared" si="771"/>
        <v>1</v>
      </c>
      <c r="K1491">
        <f t="shared" ca="1" si="772"/>
        <v>1.0190000000000001</v>
      </c>
      <c r="L1491">
        <f t="shared" ca="1" si="773"/>
        <v>0.05</v>
      </c>
      <c r="M1491">
        <f t="shared" ca="1" si="746"/>
        <v>0.75</v>
      </c>
      <c r="N1491">
        <f t="shared" ca="1" si="747"/>
        <v>4.9668874172185434E-2</v>
      </c>
      <c r="O1491">
        <f t="shared" ca="1" si="748"/>
        <v>1.3586666666666669</v>
      </c>
      <c r="P1491">
        <f t="shared" ca="1" si="749"/>
        <v>629.02799999999991</v>
      </c>
      <c r="Q1491">
        <f t="shared" ca="1" si="750"/>
        <v>629.12208639710036</v>
      </c>
      <c r="R1491">
        <f t="shared" ca="1" si="751"/>
        <v>2.2749015391606842E-2</v>
      </c>
      <c r="S1491">
        <f t="shared" ca="1" si="752"/>
        <v>1.9399628563502385</v>
      </c>
      <c r="T1491">
        <f t="shared" ca="1" si="753"/>
        <v>0.15987959565069659</v>
      </c>
      <c r="U1491">
        <f t="shared" ca="1" si="774"/>
        <v>0.20270637125850044</v>
      </c>
      <c r="V1491">
        <f t="shared" ca="1" si="775"/>
        <v>0</v>
      </c>
      <c r="W1491">
        <f t="shared" ca="1" si="754"/>
        <v>0.98523986928846785</v>
      </c>
      <c r="X1491">
        <f t="shared" ca="1" si="755"/>
        <v>14.778598039327019</v>
      </c>
      <c r="Y1491">
        <f t="shared" ca="1" si="756"/>
        <v>0.87084150047524134</v>
      </c>
      <c r="Z1491">
        <f t="shared" ca="1" si="757"/>
        <v>6.8951059991506677E-2</v>
      </c>
      <c r="AA1491">
        <f t="shared" ca="1" si="758"/>
        <v>629.96323986928837</v>
      </c>
      <c r="AB1491">
        <f t="shared" ca="1" si="759"/>
        <v>629.96348218573451</v>
      </c>
      <c r="AC1491">
        <f t="shared" ca="1" si="760"/>
        <v>1.2863098310975931E-6</v>
      </c>
      <c r="AD1491">
        <f t="shared" ca="1" si="761"/>
        <v>2.2178667718785256E-2</v>
      </c>
      <c r="AE1491">
        <f t="shared" ca="1" si="762"/>
        <v>7.2873941949793544</v>
      </c>
      <c r="AF1491">
        <f t="shared" ca="1" si="763"/>
        <v>0</v>
      </c>
      <c r="AG1491">
        <f t="shared" ca="1" si="764"/>
        <v>1</v>
      </c>
      <c r="AH1491">
        <f ca="1">IFERROR(IF(V34="Supercritical",MAX($D$16,IFERROR(L1491,MAX($D$16,POWER((ABS(K1491)^2)/($I$5*MAX(F1491,0.1)^2),1/3)))),IF(V34="Subcritical",MAX($D$16,IFERROR(W1491,MAX($D$16,POWER((ABS(K1491)^2)/($I$5*MAX(F1491,0.1)^2),1/3)))),IF(AND(IFERROR(V1491,0)=1,IFERROR(AG1491,0)=1),IF(IFERROR(T1491,-1E+99)&gt;=IFERROR(AE1491,-1E+99),MAX($D$16,IFERROR(L1491,MAX($D$16,POWER((ABS(K1491)^2)/($I$5*MAX(F1491,0.1)^2),1/3)))),MAX($D$16,IFERROR(W1491,MAX($D$16,POWER((ABS(K1491)^2)/($I$5*MAX(F1491,0.1)^2),1/3))))),IF(IFERROR(V1491,0)=1,MAX($D$16,IFERROR(L1491,MAX($D$16,POWER((ABS(K1491)^2)/($I$5*MAX(F1491,0.1)^2),1/3)))),IF(IFERROR(AG1491,0)=1,MAX($D$16,IFERROR(W1491,MAX($D$16,POWER((ABS(K1491)^2)/($I$5*MAX(F1491,0.1)^2),1/3)))),MAX($D$16,POWER((ABS(K1491)^2)/($I$5*MAX(F1491,0.1)^2),1/3))))))),MAX($D$16,POWER((ABS(K1491)^2)/($I$5*MAX(F1491,0.1)^2),1/3)))</f>
        <v>0.98523986928846785</v>
      </c>
      <c r="AI1491">
        <f t="shared" ca="1" si="765"/>
        <v>629.96323986928837</v>
      </c>
      <c r="AJ1491">
        <f t="shared" ca="1" si="766"/>
        <v>629.96348218573451</v>
      </c>
      <c r="AK1491">
        <v>635.5</v>
      </c>
      <c r="AM1491">
        <f t="shared" ca="1" si="777"/>
        <v>0</v>
      </c>
      <c r="AN1491">
        <v>0</v>
      </c>
      <c r="AO1491">
        <f t="shared" ca="1" si="767"/>
        <v>0</v>
      </c>
      <c r="AP1491">
        <f t="shared" ca="1" si="776"/>
        <v>0</v>
      </c>
      <c r="AQ1491">
        <f t="shared" ca="1" si="768"/>
        <v>2.2178667718785256E-2</v>
      </c>
      <c r="AR1491" t="str">
        <f t="shared" ca="1" si="769"/>
        <v>Subcritical</v>
      </c>
      <c r="AS1491">
        <f t="shared" ca="1" si="770"/>
        <v>1.2863098310975931E-6</v>
      </c>
    </row>
    <row r="1492" spans="1:45" x14ac:dyDescent="0.35">
      <c r="A1492">
        <v>15</v>
      </c>
      <c r="B1492">
        <v>14</v>
      </c>
      <c r="C1492">
        <v>616065.73</v>
      </c>
      <c r="D1492">
        <v>3096607.8679999998</v>
      </c>
      <c r="E1492">
        <v>628.97799999999995</v>
      </c>
      <c r="F1492">
        <v>15</v>
      </c>
      <c r="G1492">
        <v>0</v>
      </c>
      <c r="H1492" t="s">
        <v>154</v>
      </c>
      <c r="I1492">
        <v>0</v>
      </c>
      <c r="J1492">
        <f t="shared" si="771"/>
        <v>1</v>
      </c>
      <c r="K1492">
        <f t="shared" ca="1" si="772"/>
        <v>1.0190000000000001</v>
      </c>
      <c r="L1492">
        <f t="shared" ca="1" si="773"/>
        <v>0.05</v>
      </c>
      <c r="M1492">
        <f t="shared" ca="1" si="746"/>
        <v>0.75</v>
      </c>
      <c r="N1492">
        <f t="shared" ca="1" si="747"/>
        <v>4.9668874172185434E-2</v>
      </c>
      <c r="O1492">
        <f t="shared" ca="1" si="748"/>
        <v>1.3586666666666669</v>
      </c>
      <c r="P1492">
        <f t="shared" ca="1" si="749"/>
        <v>629.02799999999991</v>
      </c>
      <c r="Q1492">
        <f t="shared" ca="1" si="750"/>
        <v>629.12208639710036</v>
      </c>
      <c r="R1492">
        <f t="shared" ca="1" si="751"/>
        <v>2.2749015391606842E-2</v>
      </c>
      <c r="S1492">
        <f t="shared" ca="1" si="752"/>
        <v>1.9399628563502385</v>
      </c>
      <c r="T1492">
        <f t="shared" ca="1" si="753"/>
        <v>0.15987959565069659</v>
      </c>
      <c r="U1492">
        <f t="shared" ca="1" si="774"/>
        <v>-2.2749015391582361E-2</v>
      </c>
      <c r="V1492">
        <f t="shared" ca="1" si="775"/>
        <v>0</v>
      </c>
      <c r="W1492">
        <f t="shared" ca="1" si="754"/>
        <v>0.98523858227951822</v>
      </c>
      <c r="X1492">
        <f t="shared" ca="1" si="755"/>
        <v>14.778578734192774</v>
      </c>
      <c r="Y1492">
        <f t="shared" ca="1" si="756"/>
        <v>0.87084049498951044</v>
      </c>
      <c r="Z1492">
        <f t="shared" ca="1" si="757"/>
        <v>6.8951150061701744E-2</v>
      </c>
      <c r="AA1492">
        <f t="shared" ca="1" si="758"/>
        <v>629.96323858227947</v>
      </c>
      <c r="AB1492">
        <f t="shared" ca="1" si="759"/>
        <v>629.96348089935873</v>
      </c>
      <c r="AC1492">
        <f t="shared" ca="1" si="760"/>
        <v>1.2863151719542615E-6</v>
      </c>
      <c r="AD1492">
        <f t="shared" ca="1" si="761"/>
        <v>2.2178711176512673E-2</v>
      </c>
      <c r="AE1492">
        <f t="shared" ca="1" si="762"/>
        <v>7.2873751841597532</v>
      </c>
      <c r="AF1492">
        <f t="shared" ca="1" si="763"/>
        <v>3.4106051316484809E-13</v>
      </c>
      <c r="AG1492">
        <f t="shared" ca="1" si="764"/>
        <v>1</v>
      </c>
      <c r="AH1492">
        <f ca="1">IFERROR(IF(V34="Supercritical",MAX($D$16,IFERROR(L1492,MAX($D$16,POWER((ABS(K1492)^2)/($I$5*MAX(F1492,0.1)^2),1/3)))),IF(V34="Subcritical",MAX($D$16,IFERROR(W1492,MAX($D$16,POWER((ABS(K1492)^2)/($I$5*MAX(F1492,0.1)^2),1/3)))),IF(AND(IFERROR(V1492,0)=1,IFERROR(AG1492,0)=1),IF(IFERROR(T1492,-1E+99)&gt;=IFERROR(AE1492,-1E+99),MAX($D$16,IFERROR(L1492,MAX($D$16,POWER((ABS(K1492)^2)/($I$5*MAX(F1492,0.1)^2),1/3)))),MAX($D$16,IFERROR(W1492,MAX($D$16,POWER((ABS(K1492)^2)/($I$5*MAX(F1492,0.1)^2),1/3))))),IF(IFERROR(V1492,0)=1,MAX($D$16,IFERROR(L1492,MAX($D$16,POWER((ABS(K1492)^2)/($I$5*MAX(F1492,0.1)^2),1/3)))),IF(IFERROR(AG1492,0)=1,MAX($D$16,IFERROR(W1492,MAX($D$16,POWER((ABS(K1492)^2)/($I$5*MAX(F1492,0.1)^2),1/3)))),MAX($D$16,POWER((ABS(K1492)^2)/($I$5*MAX(F1492,0.1)^2),1/3))))))),MAX($D$16,POWER((ABS(K1492)^2)/($I$5*MAX(F1492,0.1)^2),1/3)))</f>
        <v>0.98523858227951822</v>
      </c>
      <c r="AI1492">
        <f t="shared" ca="1" si="765"/>
        <v>629.96323858227947</v>
      </c>
      <c r="AJ1492">
        <f t="shared" ca="1" si="766"/>
        <v>629.96348089935873</v>
      </c>
      <c r="AK1492">
        <v>635.5</v>
      </c>
      <c r="AM1492">
        <f t="shared" ca="1" si="777"/>
        <v>0</v>
      </c>
      <c r="AN1492">
        <v>0</v>
      </c>
      <c r="AO1492">
        <f t="shared" ca="1" si="767"/>
        <v>0</v>
      </c>
      <c r="AP1492">
        <f t="shared" ca="1" si="776"/>
        <v>0</v>
      </c>
      <c r="AQ1492">
        <f t="shared" ca="1" si="768"/>
        <v>2.2178711176512673E-2</v>
      </c>
      <c r="AR1492" t="str">
        <f t="shared" ca="1" si="769"/>
        <v>Subcritical</v>
      </c>
      <c r="AS1492">
        <f t="shared" ca="1" si="770"/>
        <v>1.2863151719542615E-6</v>
      </c>
    </row>
    <row r="1493" spans="1:45" x14ac:dyDescent="0.35">
      <c r="A1493">
        <v>16</v>
      </c>
      <c r="B1493">
        <v>15</v>
      </c>
      <c r="C1493">
        <v>616065.73</v>
      </c>
      <c r="D1493">
        <v>3096606.8679999998</v>
      </c>
      <c r="E1493">
        <v>628.97799999999995</v>
      </c>
      <c r="F1493">
        <v>15</v>
      </c>
      <c r="G1493">
        <v>0</v>
      </c>
      <c r="H1493" t="s">
        <v>154</v>
      </c>
      <c r="I1493">
        <v>0</v>
      </c>
      <c r="J1493">
        <f t="shared" si="771"/>
        <v>1</v>
      </c>
      <c r="K1493">
        <f t="shared" ca="1" si="772"/>
        <v>1.0190000000000001</v>
      </c>
      <c r="L1493">
        <f t="shared" ca="1" si="773"/>
        <v>0.05</v>
      </c>
      <c r="M1493">
        <f t="shared" ca="1" si="746"/>
        <v>0.75</v>
      </c>
      <c r="N1493">
        <f t="shared" ca="1" si="747"/>
        <v>4.9668874172185434E-2</v>
      </c>
      <c r="O1493">
        <f t="shared" ca="1" si="748"/>
        <v>1.3586666666666669</v>
      </c>
      <c r="P1493">
        <f t="shared" ca="1" si="749"/>
        <v>629.02799999999991</v>
      </c>
      <c r="Q1493">
        <f t="shared" ca="1" si="750"/>
        <v>629.12208639710036</v>
      </c>
      <c r="R1493">
        <f t="shared" ca="1" si="751"/>
        <v>2.2749015391606842E-2</v>
      </c>
      <c r="S1493">
        <f t="shared" ca="1" si="752"/>
        <v>1.9399628563502385</v>
      </c>
      <c r="T1493">
        <f t="shared" ca="1" si="753"/>
        <v>0.15987959565069659</v>
      </c>
      <c r="U1493">
        <f t="shared" ca="1" si="774"/>
        <v>-2.2749015391582361E-2</v>
      </c>
      <c r="V1493">
        <f t="shared" ca="1" si="775"/>
        <v>0</v>
      </c>
      <c r="W1493">
        <f t="shared" ca="1" si="754"/>
        <v>0.98523729526499126</v>
      </c>
      <c r="X1493">
        <f t="shared" ca="1" si="755"/>
        <v>14.778559428974869</v>
      </c>
      <c r="Y1493">
        <f t="shared" ca="1" si="756"/>
        <v>0.87083948949911716</v>
      </c>
      <c r="Z1493">
        <f t="shared" ca="1" si="757"/>
        <v>6.8951240132522448E-2</v>
      </c>
      <c r="AA1493">
        <f t="shared" ca="1" si="758"/>
        <v>629.96323729526489</v>
      </c>
      <c r="AB1493">
        <f t="shared" ca="1" si="759"/>
        <v>629.96347961297727</v>
      </c>
      <c r="AC1493">
        <f t="shared" ca="1" si="760"/>
        <v>1.2863205128635276E-6</v>
      </c>
      <c r="AD1493">
        <f t="shared" ca="1" si="761"/>
        <v>2.2178754634570339E-2</v>
      </c>
      <c r="AE1493">
        <f t="shared" ca="1" si="762"/>
        <v>7.2873561732826371</v>
      </c>
      <c r="AF1493">
        <f t="shared" ca="1" si="763"/>
        <v>4.2064129956997931E-12</v>
      </c>
      <c r="AG1493">
        <f t="shared" ca="1" si="764"/>
        <v>1</v>
      </c>
      <c r="AH1493">
        <f ca="1">IFERROR(IF(V34="Supercritical",MAX($D$16,IFERROR(L1493,MAX($D$16,POWER((ABS(K1493)^2)/($I$5*MAX(F1493,0.1)^2),1/3)))),IF(V34="Subcritical",MAX($D$16,IFERROR(W1493,MAX($D$16,POWER((ABS(K1493)^2)/($I$5*MAX(F1493,0.1)^2),1/3)))),IF(AND(IFERROR(V1493,0)=1,IFERROR(AG1493,0)=1),IF(IFERROR(T1493,-1E+99)&gt;=IFERROR(AE1493,-1E+99),MAX($D$16,IFERROR(L1493,MAX($D$16,POWER((ABS(K1493)^2)/($I$5*MAX(F1493,0.1)^2),1/3)))),MAX($D$16,IFERROR(W1493,MAX($D$16,POWER((ABS(K1493)^2)/($I$5*MAX(F1493,0.1)^2),1/3))))),IF(IFERROR(V1493,0)=1,MAX($D$16,IFERROR(L1493,MAX($D$16,POWER((ABS(K1493)^2)/($I$5*MAX(F1493,0.1)^2),1/3)))),IF(IFERROR(AG1493,0)=1,MAX($D$16,IFERROR(W1493,MAX($D$16,POWER((ABS(K1493)^2)/($I$5*MAX(F1493,0.1)^2),1/3)))),MAX($D$16,POWER((ABS(K1493)^2)/($I$5*MAX(F1493,0.1)^2),1/3))))))),MAX($D$16,POWER((ABS(K1493)^2)/($I$5*MAX(F1493,0.1)^2),1/3)))</f>
        <v>0.98523729526499126</v>
      </c>
      <c r="AI1493">
        <f t="shared" ca="1" si="765"/>
        <v>629.96323729526489</v>
      </c>
      <c r="AJ1493">
        <f t="shared" ca="1" si="766"/>
        <v>629.96347961297727</v>
      </c>
      <c r="AK1493">
        <v>635.5</v>
      </c>
      <c r="AM1493">
        <f t="shared" ca="1" si="777"/>
        <v>0</v>
      </c>
      <c r="AN1493">
        <v>0</v>
      </c>
      <c r="AO1493">
        <f t="shared" ca="1" si="767"/>
        <v>0</v>
      </c>
      <c r="AP1493">
        <f t="shared" ca="1" si="776"/>
        <v>0</v>
      </c>
      <c r="AQ1493">
        <f t="shared" ca="1" si="768"/>
        <v>2.2178754634570339E-2</v>
      </c>
      <c r="AR1493" t="str">
        <f t="shared" ca="1" si="769"/>
        <v>Subcritical</v>
      </c>
      <c r="AS1493">
        <f t="shared" ca="1" si="770"/>
        <v>1.2863205128635276E-6</v>
      </c>
    </row>
    <row r="1494" spans="1:45" x14ac:dyDescent="0.35">
      <c r="A1494">
        <v>17</v>
      </c>
      <c r="B1494">
        <v>16</v>
      </c>
      <c r="C1494">
        <v>616065.73</v>
      </c>
      <c r="D1494">
        <v>3096605.8679999998</v>
      </c>
      <c r="E1494">
        <v>628.97799999999995</v>
      </c>
      <c r="F1494">
        <v>15</v>
      </c>
      <c r="G1494">
        <v>0</v>
      </c>
      <c r="H1494" t="s">
        <v>154</v>
      </c>
      <c r="I1494">
        <v>0</v>
      </c>
      <c r="J1494">
        <f t="shared" si="771"/>
        <v>1</v>
      </c>
      <c r="K1494">
        <f t="shared" ca="1" si="772"/>
        <v>1.0190000000000001</v>
      </c>
      <c r="L1494">
        <f t="shared" ca="1" si="773"/>
        <v>0.05</v>
      </c>
      <c r="M1494">
        <f t="shared" ca="1" si="746"/>
        <v>0.75</v>
      </c>
      <c r="N1494">
        <f t="shared" ca="1" si="747"/>
        <v>4.9668874172185434E-2</v>
      </c>
      <c r="O1494">
        <f t="shared" ca="1" si="748"/>
        <v>1.3586666666666669</v>
      </c>
      <c r="P1494">
        <f t="shared" ca="1" si="749"/>
        <v>629.02799999999991</v>
      </c>
      <c r="Q1494">
        <f t="shared" ca="1" si="750"/>
        <v>629.12208639710036</v>
      </c>
      <c r="R1494">
        <f t="shared" ca="1" si="751"/>
        <v>2.2749015391606842E-2</v>
      </c>
      <c r="S1494">
        <f t="shared" ca="1" si="752"/>
        <v>1.9399628563502385</v>
      </c>
      <c r="T1494">
        <f t="shared" ca="1" si="753"/>
        <v>0.15987959565069659</v>
      </c>
      <c r="U1494">
        <f t="shared" ca="1" si="774"/>
        <v>-2.2749015391582361E-2</v>
      </c>
      <c r="V1494">
        <f t="shared" ca="1" si="775"/>
        <v>0</v>
      </c>
      <c r="W1494">
        <f t="shared" ca="1" si="754"/>
        <v>0.98523600824190372</v>
      </c>
      <c r="X1494">
        <f t="shared" ca="1" si="755"/>
        <v>14.778540123628556</v>
      </c>
      <c r="Y1494">
        <f t="shared" ca="1" si="756"/>
        <v>0.87083848400173092</v>
      </c>
      <c r="Z1494">
        <f t="shared" ca="1" si="757"/>
        <v>6.8951330204177597E-2</v>
      </c>
      <c r="AA1494">
        <f t="shared" ca="1" si="758"/>
        <v>629.96323600824189</v>
      </c>
      <c r="AB1494">
        <f t="shared" ca="1" si="759"/>
        <v>629.96347832658728</v>
      </c>
      <c r="AC1494">
        <f t="shared" ca="1" si="760"/>
        <v>1.2863258538377725E-6</v>
      </c>
      <c r="AD1494">
        <f t="shared" ca="1" si="761"/>
        <v>2.2178798093058991E-2</v>
      </c>
      <c r="AE1494">
        <f t="shared" ca="1" si="762"/>
        <v>7.2873371623039418</v>
      </c>
      <c r="AF1494">
        <f t="shared" ca="1" si="763"/>
        <v>5.2068571676500142E-11</v>
      </c>
      <c r="AG1494">
        <f t="shared" ca="1" si="764"/>
        <v>1</v>
      </c>
      <c r="AH1494">
        <f ca="1">IFERROR(IF(V34="Supercritical",MAX($D$16,IFERROR(L1494,MAX($D$16,POWER((ABS(K1494)^2)/($I$5*MAX(F1494,0.1)^2),1/3)))),IF(V34="Subcritical",MAX($D$16,IFERROR(W1494,MAX($D$16,POWER((ABS(K1494)^2)/($I$5*MAX(F1494,0.1)^2),1/3)))),IF(AND(IFERROR(V1494,0)=1,IFERROR(AG1494,0)=1),IF(IFERROR(T1494,-1E+99)&gt;=IFERROR(AE1494,-1E+99),MAX($D$16,IFERROR(L1494,MAX($D$16,POWER((ABS(K1494)^2)/($I$5*MAX(F1494,0.1)^2),1/3)))),MAX($D$16,IFERROR(W1494,MAX($D$16,POWER((ABS(K1494)^2)/($I$5*MAX(F1494,0.1)^2),1/3))))),IF(IFERROR(V1494,0)=1,MAX($D$16,IFERROR(L1494,MAX($D$16,POWER((ABS(K1494)^2)/($I$5*MAX(F1494,0.1)^2),1/3)))),IF(IFERROR(AG1494,0)=1,MAX($D$16,IFERROR(W1494,MAX($D$16,POWER((ABS(K1494)^2)/($I$5*MAX(F1494,0.1)^2),1/3)))),MAX($D$16,POWER((ABS(K1494)^2)/($I$5*MAX(F1494,0.1)^2),1/3))))))),MAX($D$16,POWER((ABS(K1494)^2)/($I$5*MAX(F1494,0.1)^2),1/3)))</f>
        <v>0.98523600824190372</v>
      </c>
      <c r="AI1494">
        <f t="shared" ca="1" si="765"/>
        <v>629.96323600824189</v>
      </c>
      <c r="AJ1494">
        <f t="shared" ca="1" si="766"/>
        <v>629.96347832658728</v>
      </c>
      <c r="AK1494">
        <v>635.5</v>
      </c>
      <c r="AM1494">
        <f t="shared" ca="1" si="777"/>
        <v>0</v>
      </c>
      <c r="AN1494">
        <v>0</v>
      </c>
      <c r="AO1494">
        <f t="shared" ca="1" si="767"/>
        <v>0</v>
      </c>
      <c r="AP1494">
        <f t="shared" ca="1" si="776"/>
        <v>0</v>
      </c>
      <c r="AQ1494">
        <f t="shared" ca="1" si="768"/>
        <v>2.2178798093058991E-2</v>
      </c>
      <c r="AR1494" t="str">
        <f t="shared" ca="1" si="769"/>
        <v>Subcritical</v>
      </c>
      <c r="AS1494">
        <f t="shared" ca="1" si="770"/>
        <v>1.2863258538377725E-6</v>
      </c>
    </row>
    <row r="1495" spans="1:45" x14ac:dyDescent="0.35">
      <c r="A1495">
        <v>18</v>
      </c>
      <c r="B1495">
        <v>17</v>
      </c>
      <c r="C1495">
        <v>616065.73</v>
      </c>
      <c r="D1495">
        <v>3096604.8679999998</v>
      </c>
      <c r="E1495">
        <v>628.97799999999995</v>
      </c>
      <c r="F1495">
        <v>15</v>
      </c>
      <c r="G1495">
        <v>0</v>
      </c>
      <c r="H1495" t="s">
        <v>154</v>
      </c>
      <c r="I1495">
        <v>0</v>
      </c>
      <c r="J1495">
        <f t="shared" si="771"/>
        <v>1</v>
      </c>
      <c r="K1495">
        <f t="shared" ca="1" si="772"/>
        <v>1.0190000000000001</v>
      </c>
      <c r="L1495">
        <f t="shared" ca="1" si="773"/>
        <v>0.05</v>
      </c>
      <c r="M1495">
        <f t="shared" ca="1" si="746"/>
        <v>0.75</v>
      </c>
      <c r="N1495">
        <f t="shared" ca="1" si="747"/>
        <v>4.9668874172185434E-2</v>
      </c>
      <c r="O1495">
        <f t="shared" ca="1" si="748"/>
        <v>1.3586666666666669</v>
      </c>
      <c r="P1495">
        <f t="shared" ca="1" si="749"/>
        <v>629.02799999999991</v>
      </c>
      <c r="Q1495">
        <f t="shared" ca="1" si="750"/>
        <v>629.12208639710036</v>
      </c>
      <c r="R1495">
        <f t="shared" ca="1" si="751"/>
        <v>2.2749015391606842E-2</v>
      </c>
      <c r="S1495">
        <f t="shared" ca="1" si="752"/>
        <v>1.9399628563502385</v>
      </c>
      <c r="T1495">
        <f t="shared" ca="1" si="753"/>
        <v>0.15987959565069659</v>
      </c>
      <c r="U1495">
        <f t="shared" ca="1" si="774"/>
        <v>-2.2749015391582361E-2</v>
      </c>
      <c r="V1495">
        <f t="shared" ca="1" si="775"/>
        <v>0</v>
      </c>
      <c r="W1495">
        <f t="shared" ca="1" si="754"/>
        <v>0.98523472117266586</v>
      </c>
      <c r="X1495">
        <f t="shared" ca="1" si="755"/>
        <v>14.778520817589987</v>
      </c>
      <c r="Y1495">
        <f t="shared" ca="1" si="756"/>
        <v>0.87083747846798421</v>
      </c>
      <c r="Z1495">
        <f t="shared" ca="1" si="757"/>
        <v>6.8951420279297876E-2</v>
      </c>
      <c r="AA1495">
        <f t="shared" ca="1" si="758"/>
        <v>629.96323472117263</v>
      </c>
      <c r="AB1495">
        <f t="shared" ca="1" si="759"/>
        <v>629.96347704015113</v>
      </c>
      <c r="AC1495">
        <f t="shared" ca="1" si="760"/>
        <v>1.2863311950329899E-6</v>
      </c>
      <c r="AD1495">
        <f t="shared" ca="1" si="761"/>
        <v>2.2178841553247921E-2</v>
      </c>
      <c r="AE1495">
        <f t="shared" ca="1" si="762"/>
        <v>7.2873181506684199</v>
      </c>
      <c r="AF1495">
        <f t="shared" ca="1" si="763"/>
        <v>6.4312644099118188E-10</v>
      </c>
      <c r="AG1495">
        <f t="shared" ca="1" si="764"/>
        <v>1</v>
      </c>
      <c r="AH1495">
        <f ca="1">IFERROR(IF(V34="Supercritical",MAX($D$16,IFERROR(L1495,MAX($D$16,POWER((ABS(K1495)^2)/($I$5*MAX(F1495,0.1)^2),1/3)))),IF(V34="Subcritical",MAX($D$16,IFERROR(W1495,MAX($D$16,POWER((ABS(K1495)^2)/($I$5*MAX(F1495,0.1)^2),1/3)))),IF(AND(IFERROR(V1495,0)=1,IFERROR(AG1495,0)=1),IF(IFERROR(T1495,-1E+99)&gt;=IFERROR(AE1495,-1E+99),MAX($D$16,IFERROR(L1495,MAX($D$16,POWER((ABS(K1495)^2)/($I$5*MAX(F1495,0.1)^2),1/3)))),MAX($D$16,IFERROR(W1495,MAX($D$16,POWER((ABS(K1495)^2)/($I$5*MAX(F1495,0.1)^2),1/3))))),IF(IFERROR(V1495,0)=1,MAX($D$16,IFERROR(L1495,MAX($D$16,POWER((ABS(K1495)^2)/($I$5*MAX(F1495,0.1)^2),1/3)))),IF(IFERROR(AG1495,0)=1,MAX($D$16,IFERROR(W1495,MAX($D$16,POWER((ABS(K1495)^2)/($I$5*MAX(F1495,0.1)^2),1/3)))),MAX($D$16,POWER((ABS(K1495)^2)/($I$5*MAX(F1495,0.1)^2),1/3))))))),MAX($D$16,POWER((ABS(K1495)^2)/($I$5*MAX(F1495,0.1)^2),1/3)))</f>
        <v>0.98523472117266586</v>
      </c>
      <c r="AI1495">
        <f t="shared" ca="1" si="765"/>
        <v>629.96323472117263</v>
      </c>
      <c r="AJ1495">
        <f t="shared" ca="1" si="766"/>
        <v>629.96347704015113</v>
      </c>
      <c r="AK1495">
        <v>635.5</v>
      </c>
      <c r="AM1495">
        <f t="shared" ca="1" si="777"/>
        <v>0</v>
      </c>
      <c r="AN1495">
        <v>0</v>
      </c>
      <c r="AO1495">
        <f t="shared" ca="1" si="767"/>
        <v>0</v>
      </c>
      <c r="AP1495">
        <f t="shared" ca="1" si="776"/>
        <v>0</v>
      </c>
      <c r="AQ1495">
        <f t="shared" ca="1" si="768"/>
        <v>2.2178841553247921E-2</v>
      </c>
      <c r="AR1495" t="str">
        <f t="shared" ca="1" si="769"/>
        <v>Subcritical</v>
      </c>
      <c r="AS1495">
        <f t="shared" ca="1" si="770"/>
        <v>1.2863311950329899E-6</v>
      </c>
    </row>
    <row r="1496" spans="1:45" x14ac:dyDescent="0.35">
      <c r="A1496">
        <v>19</v>
      </c>
      <c r="B1496">
        <v>18</v>
      </c>
      <c r="C1496">
        <v>616065.73</v>
      </c>
      <c r="D1496">
        <v>3096603.8679999998</v>
      </c>
      <c r="E1496">
        <v>628.97799999999995</v>
      </c>
      <c r="F1496">
        <v>15</v>
      </c>
      <c r="G1496">
        <v>0</v>
      </c>
      <c r="H1496" t="s">
        <v>154</v>
      </c>
      <c r="I1496">
        <v>0</v>
      </c>
      <c r="J1496">
        <f t="shared" si="771"/>
        <v>1</v>
      </c>
      <c r="K1496">
        <f t="shared" ca="1" si="772"/>
        <v>1.0190000000000001</v>
      </c>
      <c r="L1496">
        <f t="shared" ca="1" si="773"/>
        <v>0.05</v>
      </c>
      <c r="M1496">
        <f t="shared" ca="1" si="746"/>
        <v>0.75</v>
      </c>
      <c r="N1496">
        <f t="shared" ca="1" si="747"/>
        <v>4.9668874172185434E-2</v>
      </c>
      <c r="O1496">
        <f t="shared" ca="1" si="748"/>
        <v>1.3586666666666669</v>
      </c>
      <c r="P1496">
        <f t="shared" ca="1" si="749"/>
        <v>629.02799999999991</v>
      </c>
      <c r="Q1496">
        <f t="shared" ca="1" si="750"/>
        <v>629.12208639710036</v>
      </c>
      <c r="R1496">
        <f t="shared" ca="1" si="751"/>
        <v>2.2749015391606842E-2</v>
      </c>
      <c r="S1496">
        <f t="shared" ca="1" si="752"/>
        <v>1.9399628563502385</v>
      </c>
      <c r="T1496">
        <f t="shared" ca="1" si="753"/>
        <v>0.15987959565069659</v>
      </c>
      <c r="U1496">
        <f t="shared" ca="1" si="774"/>
        <v>-2.2749015391582361E-2</v>
      </c>
      <c r="V1496">
        <f t="shared" ca="1" si="775"/>
        <v>0</v>
      </c>
      <c r="W1496">
        <f t="shared" ca="1" si="754"/>
        <v>0.98523343359550841</v>
      </c>
      <c r="X1496">
        <f t="shared" ca="1" si="755"/>
        <v>14.778501503932626</v>
      </c>
      <c r="Y1496">
        <f t="shared" ca="1" si="756"/>
        <v>0.87083647253711594</v>
      </c>
      <c r="Z1496">
        <f t="shared" ca="1" si="757"/>
        <v>6.8951510390200227E-2</v>
      </c>
      <c r="AA1496">
        <f t="shared" ca="1" si="758"/>
        <v>629.96323343359541</v>
      </c>
      <c r="AB1496">
        <f t="shared" ca="1" si="759"/>
        <v>629.96347575320726</v>
      </c>
      <c r="AC1496">
        <f t="shared" ca="1" si="760"/>
        <v>1.2863365383654918E-6</v>
      </c>
      <c r="AD1496">
        <f t="shared" ca="1" si="761"/>
        <v>2.2178885030729685E-2</v>
      </c>
      <c r="AE1496">
        <f t="shared" ca="1" si="762"/>
        <v>7.2872991315551712</v>
      </c>
      <c r="AF1496">
        <f t="shared" ca="1" si="763"/>
        <v>7.9356823334819637E-9</v>
      </c>
      <c r="AG1496">
        <f t="shared" ca="1" si="764"/>
        <v>1</v>
      </c>
      <c r="AH1496">
        <f ca="1">IFERROR(IF(V34="Supercritical",MAX($D$16,IFERROR(L1496,MAX($D$16,POWER((ABS(K1496)^2)/($I$5*MAX(F1496,0.1)^2),1/3)))),IF(V34="Subcritical",MAX($D$16,IFERROR(W1496,MAX($D$16,POWER((ABS(K1496)^2)/($I$5*MAX(F1496,0.1)^2),1/3)))),IF(AND(IFERROR(V1496,0)=1,IFERROR(AG1496,0)=1),IF(IFERROR(T1496,-1E+99)&gt;=IFERROR(AE1496,-1E+99),MAX($D$16,IFERROR(L1496,MAX($D$16,POWER((ABS(K1496)^2)/($I$5*MAX(F1496,0.1)^2),1/3)))),MAX($D$16,IFERROR(W1496,MAX($D$16,POWER((ABS(K1496)^2)/($I$5*MAX(F1496,0.1)^2),1/3))))),IF(IFERROR(V1496,0)=1,MAX($D$16,IFERROR(L1496,MAX($D$16,POWER((ABS(K1496)^2)/($I$5*MAX(F1496,0.1)^2),1/3)))),IF(IFERROR(AG1496,0)=1,MAX($D$16,IFERROR(W1496,MAX($D$16,POWER((ABS(K1496)^2)/($I$5*MAX(F1496,0.1)^2),1/3)))),MAX($D$16,POWER((ABS(K1496)^2)/($I$5*MAX(F1496,0.1)^2),1/3))))))),MAX($D$16,POWER((ABS(K1496)^2)/($I$5*MAX(F1496,0.1)^2),1/3)))</f>
        <v>0.98523343359550841</v>
      </c>
      <c r="AI1496">
        <f t="shared" ca="1" si="765"/>
        <v>629.96323343359541</v>
      </c>
      <c r="AJ1496">
        <f t="shared" ca="1" si="766"/>
        <v>629.96347575320726</v>
      </c>
      <c r="AK1496">
        <v>635.5</v>
      </c>
      <c r="AM1496">
        <f t="shared" ca="1" si="777"/>
        <v>0</v>
      </c>
      <c r="AN1496">
        <v>0</v>
      </c>
      <c r="AO1496">
        <f t="shared" ca="1" si="767"/>
        <v>0</v>
      </c>
      <c r="AP1496">
        <f t="shared" ca="1" si="776"/>
        <v>0</v>
      </c>
      <c r="AQ1496">
        <f t="shared" ca="1" si="768"/>
        <v>2.2178885030729685E-2</v>
      </c>
      <c r="AR1496" t="str">
        <f t="shared" ca="1" si="769"/>
        <v>Subcritical</v>
      </c>
      <c r="AS1496">
        <f t="shared" ca="1" si="770"/>
        <v>1.2863365383654918E-6</v>
      </c>
    </row>
    <row r="1497" spans="1:45" x14ac:dyDescent="0.35">
      <c r="A1497">
        <v>20</v>
      </c>
      <c r="B1497">
        <v>19</v>
      </c>
      <c r="C1497">
        <v>616065.73</v>
      </c>
      <c r="D1497">
        <v>3096602.8679999998</v>
      </c>
      <c r="E1497">
        <v>628.97799999999995</v>
      </c>
      <c r="F1497">
        <v>15</v>
      </c>
      <c r="G1497">
        <v>0</v>
      </c>
      <c r="H1497" t="s">
        <v>154</v>
      </c>
      <c r="I1497">
        <v>0</v>
      </c>
      <c r="J1497">
        <f t="shared" si="771"/>
        <v>1</v>
      </c>
      <c r="K1497">
        <f t="shared" ca="1" si="772"/>
        <v>1.0190000000000001</v>
      </c>
      <c r="L1497">
        <f t="shared" ca="1" si="773"/>
        <v>0.05</v>
      </c>
      <c r="M1497">
        <f t="shared" ca="1" si="746"/>
        <v>0.75</v>
      </c>
      <c r="N1497">
        <f t="shared" ca="1" si="747"/>
        <v>4.9668874172185434E-2</v>
      </c>
      <c r="O1497">
        <f t="shared" ca="1" si="748"/>
        <v>1.3586666666666669</v>
      </c>
      <c r="P1497">
        <f t="shared" ca="1" si="749"/>
        <v>629.02799999999991</v>
      </c>
      <c r="Q1497">
        <f t="shared" ca="1" si="750"/>
        <v>629.12208639710036</v>
      </c>
      <c r="R1497">
        <f t="shared" ca="1" si="751"/>
        <v>2.2749015391606842E-2</v>
      </c>
      <c r="S1497">
        <f t="shared" ca="1" si="752"/>
        <v>1.9399628563502385</v>
      </c>
      <c r="T1497">
        <f t="shared" ca="1" si="753"/>
        <v>0.15987959565069659</v>
      </c>
      <c r="U1497">
        <f t="shared" ca="1" si="774"/>
        <v>-2.2749015391582361E-2</v>
      </c>
      <c r="V1497">
        <f t="shared" ca="1" si="775"/>
        <v>0</v>
      </c>
      <c r="W1497">
        <f t="shared" ca="1" si="754"/>
        <v>0.98523213981041879</v>
      </c>
      <c r="X1497">
        <f t="shared" ca="1" si="755"/>
        <v>14.778482097156282</v>
      </c>
      <c r="Y1497">
        <f t="shared" ca="1" si="756"/>
        <v>0.87083546175593907</v>
      </c>
      <c r="Z1497">
        <f t="shared" ca="1" si="757"/>
        <v>6.895160093580105E-2</v>
      </c>
      <c r="AA1497">
        <f t="shared" ca="1" si="758"/>
        <v>629.96323213981032</v>
      </c>
      <c r="AB1497">
        <f t="shared" ca="1" si="759"/>
        <v>629.96347446005859</v>
      </c>
      <c r="AC1497">
        <f t="shared" ca="1" si="760"/>
        <v>1.2863419074900614E-6</v>
      </c>
      <c r="AD1497">
        <f t="shared" ca="1" si="761"/>
        <v>2.2178928717977109E-2</v>
      </c>
      <c r="AE1497">
        <f t="shared" ca="1" si="762"/>
        <v>7.2872800207681303</v>
      </c>
      <c r="AF1497">
        <f t="shared" ca="1" si="763"/>
        <v>9.7929159892373718E-8</v>
      </c>
      <c r="AG1497">
        <f t="shared" ca="1" si="764"/>
        <v>1</v>
      </c>
      <c r="AH1497">
        <f ca="1">IFERROR(IF(V34="Supercritical",MAX($D$16,IFERROR(L1497,MAX($D$16,POWER((ABS(K1497)^2)/($I$5*MAX(F1497,0.1)^2),1/3)))),IF(V34="Subcritical",MAX($D$16,IFERROR(W1497,MAX($D$16,POWER((ABS(K1497)^2)/($I$5*MAX(F1497,0.1)^2),1/3)))),IF(AND(IFERROR(V1497,0)=1,IFERROR(AG1497,0)=1),IF(IFERROR(T1497,-1E+99)&gt;=IFERROR(AE1497,-1E+99),MAX($D$16,IFERROR(L1497,MAX($D$16,POWER((ABS(K1497)^2)/($I$5*MAX(F1497,0.1)^2),1/3)))),MAX($D$16,IFERROR(W1497,MAX($D$16,POWER((ABS(K1497)^2)/($I$5*MAX(F1497,0.1)^2),1/3))))),IF(IFERROR(V1497,0)=1,MAX($D$16,IFERROR(L1497,MAX($D$16,POWER((ABS(K1497)^2)/($I$5*MAX(F1497,0.1)^2),1/3)))),IF(IFERROR(AG1497,0)=1,MAX($D$16,IFERROR(W1497,MAX($D$16,POWER((ABS(K1497)^2)/($I$5*MAX(F1497,0.1)^2),1/3)))),MAX($D$16,POWER((ABS(K1497)^2)/($I$5*MAX(F1497,0.1)^2),1/3))))))),MAX($D$16,POWER((ABS(K1497)^2)/($I$5*MAX(F1497,0.1)^2),1/3)))</f>
        <v>0.98523213981041879</v>
      </c>
      <c r="AI1497">
        <f t="shared" ca="1" si="765"/>
        <v>629.96323213981032</v>
      </c>
      <c r="AJ1497">
        <f t="shared" ca="1" si="766"/>
        <v>629.96347446005859</v>
      </c>
      <c r="AK1497">
        <v>635.5</v>
      </c>
      <c r="AM1497">
        <f t="shared" ca="1" si="777"/>
        <v>0</v>
      </c>
      <c r="AN1497">
        <v>0</v>
      </c>
      <c r="AO1497">
        <f t="shared" ca="1" si="767"/>
        <v>0</v>
      </c>
      <c r="AP1497">
        <f t="shared" ca="1" si="776"/>
        <v>0</v>
      </c>
      <c r="AQ1497">
        <f t="shared" ca="1" si="768"/>
        <v>2.2178928717977109E-2</v>
      </c>
      <c r="AR1497" t="str">
        <f t="shared" ca="1" si="769"/>
        <v>Subcritical</v>
      </c>
      <c r="AS1497">
        <f t="shared" ca="1" si="770"/>
        <v>1.2863419074900614E-6</v>
      </c>
    </row>
    <row r="1498" spans="1:45" x14ac:dyDescent="0.35">
      <c r="A1498">
        <v>21</v>
      </c>
      <c r="B1498">
        <v>20</v>
      </c>
      <c r="C1498">
        <v>616065.73</v>
      </c>
      <c r="D1498">
        <v>3096601.8679999998</v>
      </c>
      <c r="E1498">
        <v>628.97799999999995</v>
      </c>
      <c r="F1498">
        <v>15</v>
      </c>
      <c r="G1498">
        <v>0</v>
      </c>
      <c r="H1498" t="s">
        <v>154</v>
      </c>
      <c r="I1498">
        <v>0</v>
      </c>
      <c r="J1498">
        <f t="shared" si="771"/>
        <v>1</v>
      </c>
      <c r="K1498">
        <f t="shared" ca="1" si="772"/>
        <v>1.0190000000000001</v>
      </c>
      <c r="L1498">
        <f t="shared" ca="1" si="773"/>
        <v>0.05</v>
      </c>
      <c r="M1498">
        <f t="shared" ca="1" si="746"/>
        <v>0.75</v>
      </c>
      <c r="N1498">
        <f t="shared" ca="1" si="747"/>
        <v>4.9668874172185434E-2</v>
      </c>
      <c r="O1498">
        <f t="shared" ca="1" si="748"/>
        <v>1.3586666666666669</v>
      </c>
      <c r="P1498">
        <f t="shared" ca="1" si="749"/>
        <v>629.02799999999991</v>
      </c>
      <c r="Q1498">
        <f t="shared" ca="1" si="750"/>
        <v>629.12208639710036</v>
      </c>
      <c r="R1498">
        <f t="shared" ca="1" si="751"/>
        <v>2.2749015391606842E-2</v>
      </c>
      <c r="S1498">
        <f t="shared" ca="1" si="752"/>
        <v>1.9399628563502385</v>
      </c>
      <c r="T1498">
        <f t="shared" ca="1" si="753"/>
        <v>0.15987959565069659</v>
      </c>
      <c r="U1498">
        <f t="shared" ca="1" si="774"/>
        <v>-2.2749015391582361E-2</v>
      </c>
      <c r="V1498">
        <f t="shared" ca="1" si="775"/>
        <v>0</v>
      </c>
      <c r="W1498">
        <f t="shared" ca="1" si="754"/>
        <v>0.98523076947668453</v>
      </c>
      <c r="X1498">
        <f t="shared" ca="1" si="755"/>
        <v>14.778461542150268</v>
      </c>
      <c r="Y1498">
        <f t="shared" ca="1" si="756"/>
        <v>0.87083439117011252</v>
      </c>
      <c r="Z1498">
        <f t="shared" ca="1" si="757"/>
        <v>6.8951696838921134E-2</v>
      </c>
      <c r="AA1498">
        <f t="shared" ca="1" si="758"/>
        <v>629.96323076947658</v>
      </c>
      <c r="AB1498">
        <f t="shared" ca="1" si="759"/>
        <v>629.96347309039891</v>
      </c>
      <c r="AC1498">
        <f t="shared" ca="1" si="760"/>
        <v>1.2863475943190213E-6</v>
      </c>
      <c r="AD1498">
        <f t="shared" ca="1" si="761"/>
        <v>2.2178974990199399E-2</v>
      </c>
      <c r="AE1498">
        <f t="shared" ca="1" si="762"/>
        <v>7.2872597792914577</v>
      </c>
      <c r="AF1498">
        <f t="shared" ca="1" si="763"/>
        <v>1.2085007483619847E-6</v>
      </c>
      <c r="AG1498">
        <f t="shared" ca="1" si="764"/>
        <v>1</v>
      </c>
      <c r="AH1498">
        <f ca="1">IFERROR(IF(V34="Supercritical",MAX($D$16,IFERROR(L1498,MAX($D$16,POWER((ABS(K1498)^2)/($I$5*MAX(F1498,0.1)^2),1/3)))),IF(V34="Subcritical",MAX($D$16,IFERROR(W1498,MAX($D$16,POWER((ABS(K1498)^2)/($I$5*MAX(F1498,0.1)^2),1/3)))),IF(AND(IFERROR(V1498,0)=1,IFERROR(AG1498,0)=1),IF(IFERROR(T1498,-1E+99)&gt;=IFERROR(AE1498,-1E+99),MAX($D$16,IFERROR(L1498,MAX($D$16,POWER((ABS(K1498)^2)/($I$5*MAX(F1498,0.1)^2),1/3)))),MAX($D$16,IFERROR(W1498,MAX($D$16,POWER((ABS(K1498)^2)/($I$5*MAX(F1498,0.1)^2),1/3))))),IF(IFERROR(V1498,0)=1,MAX($D$16,IFERROR(L1498,MAX($D$16,POWER((ABS(K1498)^2)/($I$5*MAX(F1498,0.1)^2),1/3)))),IF(IFERROR(AG1498,0)=1,MAX($D$16,IFERROR(W1498,MAX($D$16,POWER((ABS(K1498)^2)/($I$5*MAX(F1498,0.1)^2),1/3)))),MAX($D$16,POWER((ABS(K1498)^2)/($I$5*MAX(F1498,0.1)^2),1/3))))))),MAX($D$16,POWER((ABS(K1498)^2)/($I$5*MAX(F1498,0.1)^2),1/3)))</f>
        <v>0.98523076947668453</v>
      </c>
      <c r="AI1498">
        <f t="shared" ca="1" si="765"/>
        <v>629.96323076947658</v>
      </c>
      <c r="AJ1498">
        <f t="shared" ca="1" si="766"/>
        <v>629.96347309039891</v>
      </c>
      <c r="AK1498">
        <v>635.5</v>
      </c>
      <c r="AM1498">
        <f t="shared" ca="1" si="777"/>
        <v>0</v>
      </c>
      <c r="AN1498">
        <v>0</v>
      </c>
      <c r="AO1498">
        <f t="shared" ca="1" si="767"/>
        <v>0</v>
      </c>
      <c r="AP1498">
        <f t="shared" ca="1" si="776"/>
        <v>0</v>
      </c>
      <c r="AQ1498">
        <f t="shared" ca="1" si="768"/>
        <v>2.2178974990199399E-2</v>
      </c>
      <c r="AR1498" t="str">
        <f t="shared" ca="1" si="769"/>
        <v>Subcritical</v>
      </c>
      <c r="AS1498">
        <f t="shared" ca="1" si="770"/>
        <v>1.2863475943190213E-6</v>
      </c>
    </row>
    <row r="1499" spans="1:45" x14ac:dyDescent="0.35">
      <c r="A1499">
        <v>22</v>
      </c>
      <c r="B1499">
        <v>21</v>
      </c>
      <c r="C1499">
        <v>616065.73</v>
      </c>
      <c r="D1499">
        <v>3096600.8679999998</v>
      </c>
      <c r="E1499">
        <v>628.97799999999995</v>
      </c>
      <c r="F1499">
        <v>15</v>
      </c>
      <c r="G1499">
        <v>0</v>
      </c>
      <c r="H1499" t="s">
        <v>154</v>
      </c>
      <c r="I1499">
        <v>0</v>
      </c>
      <c r="J1499">
        <f t="shared" si="771"/>
        <v>1</v>
      </c>
      <c r="K1499">
        <f t="shared" ca="1" si="772"/>
        <v>1.0190000000000001</v>
      </c>
      <c r="L1499">
        <f t="shared" ca="1" si="773"/>
        <v>0.05</v>
      </c>
      <c r="M1499">
        <f t="shared" ca="1" si="746"/>
        <v>0.75</v>
      </c>
      <c r="N1499">
        <f t="shared" ca="1" si="747"/>
        <v>4.9668874172185434E-2</v>
      </c>
      <c r="O1499">
        <f t="shared" ca="1" si="748"/>
        <v>1.3586666666666669</v>
      </c>
      <c r="P1499">
        <f t="shared" ca="1" si="749"/>
        <v>629.02799999999991</v>
      </c>
      <c r="Q1499">
        <f t="shared" ca="1" si="750"/>
        <v>629.12208639710036</v>
      </c>
      <c r="R1499">
        <f t="shared" ca="1" si="751"/>
        <v>2.2749015391606842E-2</v>
      </c>
      <c r="S1499">
        <f t="shared" ca="1" si="752"/>
        <v>1.9399628563502385</v>
      </c>
      <c r="T1499">
        <f t="shared" ca="1" si="753"/>
        <v>0.15987959565069659</v>
      </c>
      <c r="U1499">
        <f t="shared" ca="1" si="774"/>
        <v>-2.2749015391582361E-2</v>
      </c>
      <c r="V1499">
        <f t="shared" ca="1" si="775"/>
        <v>0</v>
      </c>
      <c r="W1499">
        <f t="shared" ca="1" si="754"/>
        <v>0.98522845454833574</v>
      </c>
      <c r="X1499">
        <f t="shared" ca="1" si="755"/>
        <v>14.778426818225036</v>
      </c>
      <c r="Y1499">
        <f t="shared" ca="1" si="756"/>
        <v>0.87083258261027474</v>
      </c>
      <c r="Z1499">
        <f t="shared" ca="1" si="757"/>
        <v>6.8951858850317543E-2</v>
      </c>
      <c r="AA1499">
        <f t="shared" ca="1" si="758"/>
        <v>629.96322845454824</v>
      </c>
      <c r="AB1499">
        <f t="shared" ca="1" si="759"/>
        <v>629.96347077660937</v>
      </c>
      <c r="AC1499">
        <f t="shared" ca="1" si="760"/>
        <v>1.2863572012528552E-6</v>
      </c>
      <c r="AD1499">
        <f t="shared" ca="1" si="761"/>
        <v>2.2179053159025939E-2</v>
      </c>
      <c r="AE1499">
        <f t="shared" ca="1" si="762"/>
        <v>7.2872255850807797</v>
      </c>
      <c r="AF1499">
        <f t="shared" ca="1" si="763"/>
        <v>1.4913593872734054E-5</v>
      </c>
      <c r="AG1499">
        <f t="shared" ca="1" si="764"/>
        <v>1</v>
      </c>
      <c r="AH1499">
        <f ca="1">IFERROR(IF(V34="Supercritical",MAX($D$16,IFERROR(L1499,MAX($D$16,POWER((ABS(K1499)^2)/($I$5*MAX(F1499,0.1)^2),1/3)))),IF(V34="Subcritical",MAX($D$16,IFERROR(W1499,MAX($D$16,POWER((ABS(K1499)^2)/($I$5*MAX(F1499,0.1)^2),1/3)))),IF(AND(IFERROR(V1499,0)=1,IFERROR(AG1499,0)=1),IF(IFERROR(T1499,-1E+99)&gt;=IFERROR(AE1499,-1E+99),MAX($D$16,IFERROR(L1499,MAX($D$16,POWER((ABS(K1499)^2)/($I$5*MAX(F1499,0.1)^2),1/3)))),MAX($D$16,IFERROR(W1499,MAX($D$16,POWER((ABS(K1499)^2)/($I$5*MAX(F1499,0.1)^2),1/3))))),IF(IFERROR(V1499,0)=1,MAX($D$16,IFERROR(L1499,MAX($D$16,POWER((ABS(K1499)^2)/($I$5*MAX(F1499,0.1)^2),1/3)))),IF(IFERROR(AG1499,0)=1,MAX($D$16,IFERROR(W1499,MAX($D$16,POWER((ABS(K1499)^2)/($I$5*MAX(F1499,0.1)^2),1/3)))),MAX($D$16,POWER((ABS(K1499)^2)/($I$5*MAX(F1499,0.1)^2),1/3))))))),MAX($D$16,POWER((ABS(K1499)^2)/($I$5*MAX(F1499,0.1)^2),1/3)))</f>
        <v>0.98522845454833574</v>
      </c>
      <c r="AI1499">
        <f t="shared" ca="1" si="765"/>
        <v>629.96322845454824</v>
      </c>
      <c r="AJ1499">
        <f t="shared" ca="1" si="766"/>
        <v>629.96347077660937</v>
      </c>
      <c r="AK1499">
        <v>635.5</v>
      </c>
      <c r="AM1499">
        <f t="shared" ca="1" si="777"/>
        <v>0</v>
      </c>
      <c r="AN1499">
        <v>0</v>
      </c>
      <c r="AO1499">
        <f t="shared" ca="1" si="767"/>
        <v>0</v>
      </c>
      <c r="AP1499">
        <f t="shared" ca="1" si="776"/>
        <v>0</v>
      </c>
      <c r="AQ1499">
        <f t="shared" ca="1" si="768"/>
        <v>2.2179053159025939E-2</v>
      </c>
      <c r="AR1499" t="str">
        <f t="shared" ca="1" si="769"/>
        <v>Subcritical</v>
      </c>
      <c r="AS1499">
        <f t="shared" ca="1" si="770"/>
        <v>1.2863572012528552E-6</v>
      </c>
    </row>
    <row r="1500" spans="1:45" x14ac:dyDescent="0.35">
      <c r="A1500">
        <v>23</v>
      </c>
      <c r="B1500">
        <v>22</v>
      </c>
      <c r="C1500">
        <v>616065.73</v>
      </c>
      <c r="D1500">
        <v>3096599.8679999998</v>
      </c>
      <c r="E1500">
        <v>628.97799999999995</v>
      </c>
      <c r="F1500">
        <v>15</v>
      </c>
      <c r="G1500">
        <v>0</v>
      </c>
      <c r="H1500" t="s">
        <v>154</v>
      </c>
      <c r="I1500">
        <v>0</v>
      </c>
      <c r="J1500">
        <f t="shared" si="771"/>
        <v>1</v>
      </c>
      <c r="K1500">
        <f t="shared" ca="1" si="772"/>
        <v>1.0190000000000001</v>
      </c>
      <c r="L1500">
        <f t="shared" ca="1" si="773"/>
        <v>0.05</v>
      </c>
      <c r="M1500">
        <f t="shared" ca="1" si="746"/>
        <v>0.75</v>
      </c>
      <c r="N1500">
        <f t="shared" ca="1" si="747"/>
        <v>4.9668874172185434E-2</v>
      </c>
      <c r="O1500">
        <f t="shared" ca="1" si="748"/>
        <v>1.3586666666666669</v>
      </c>
      <c r="P1500">
        <f t="shared" ca="1" si="749"/>
        <v>629.02799999999991</v>
      </c>
      <c r="Q1500">
        <f t="shared" ca="1" si="750"/>
        <v>629.12208639710036</v>
      </c>
      <c r="R1500">
        <f t="shared" ca="1" si="751"/>
        <v>2.2749015391606842E-2</v>
      </c>
      <c r="S1500">
        <f t="shared" ca="1" si="752"/>
        <v>1.9399628563502385</v>
      </c>
      <c r="T1500">
        <f t="shared" ca="1" si="753"/>
        <v>0.15987959565069659</v>
      </c>
      <c r="U1500">
        <f t="shared" ca="1" si="774"/>
        <v>-2.2749015391582361E-2</v>
      </c>
      <c r="V1500">
        <f t="shared" ca="1" si="775"/>
        <v>0</v>
      </c>
      <c r="W1500">
        <f t="shared" ca="1" si="754"/>
        <v>0.98521448284128388</v>
      </c>
      <c r="X1500">
        <f t="shared" ca="1" si="755"/>
        <v>14.778217242619258</v>
      </c>
      <c r="Y1500">
        <f t="shared" ca="1" si="756"/>
        <v>0.87082166706001485</v>
      </c>
      <c r="Z1500">
        <f t="shared" ca="1" si="757"/>
        <v>6.8952836683255775E-2</v>
      </c>
      <c r="AA1500">
        <f t="shared" ca="1" si="758"/>
        <v>629.96321448284118</v>
      </c>
      <c r="AB1500">
        <f t="shared" ca="1" si="759"/>
        <v>629.96345681177525</v>
      </c>
      <c r="AC1500">
        <f t="shared" ca="1" si="760"/>
        <v>1.2864151857468023E-6</v>
      </c>
      <c r="AD1500">
        <f t="shared" ca="1" si="761"/>
        <v>2.2179524955275563E-2</v>
      </c>
      <c r="AE1500">
        <f t="shared" ca="1" si="762"/>
        <v>7.2870192082656793</v>
      </c>
      <c r="AF1500">
        <f t="shared" ca="1" si="763"/>
        <v>1.8402443879494967E-4</v>
      </c>
      <c r="AG1500">
        <f t="shared" ca="1" si="764"/>
        <v>1</v>
      </c>
      <c r="AH1500">
        <f ca="1">IFERROR(IF(V34="Supercritical",MAX($D$16,IFERROR(L1500,MAX($D$16,POWER((ABS(K1500)^2)/($I$5*MAX(F1500,0.1)^2),1/3)))),IF(V34="Subcritical",MAX($D$16,IFERROR(W1500,MAX($D$16,POWER((ABS(K1500)^2)/($I$5*MAX(F1500,0.1)^2),1/3)))),IF(AND(IFERROR(V1500,0)=1,IFERROR(AG1500,0)=1),IF(IFERROR(T1500,-1E+99)&gt;=IFERROR(AE1500,-1E+99),MAX($D$16,IFERROR(L1500,MAX($D$16,POWER((ABS(K1500)^2)/($I$5*MAX(F1500,0.1)^2),1/3)))),MAX($D$16,IFERROR(W1500,MAX($D$16,POWER((ABS(K1500)^2)/($I$5*MAX(F1500,0.1)^2),1/3))))),IF(IFERROR(V1500,0)=1,MAX($D$16,IFERROR(L1500,MAX($D$16,POWER((ABS(K1500)^2)/($I$5*MAX(F1500,0.1)^2),1/3)))),IF(IFERROR(AG1500,0)=1,MAX($D$16,IFERROR(W1500,MAX($D$16,POWER((ABS(K1500)^2)/($I$5*MAX(F1500,0.1)^2),1/3)))),MAX($D$16,POWER((ABS(K1500)^2)/($I$5*MAX(F1500,0.1)^2),1/3))))))),MAX($D$16,POWER((ABS(K1500)^2)/($I$5*MAX(F1500,0.1)^2),1/3)))</f>
        <v>0.98521448284128388</v>
      </c>
      <c r="AI1500">
        <f t="shared" ca="1" si="765"/>
        <v>629.96321448284118</v>
      </c>
      <c r="AJ1500">
        <f t="shared" ca="1" si="766"/>
        <v>629.96345681177525</v>
      </c>
      <c r="AK1500">
        <v>635.5</v>
      </c>
      <c r="AM1500">
        <f t="shared" ca="1" si="777"/>
        <v>0</v>
      </c>
      <c r="AN1500">
        <v>0</v>
      </c>
      <c r="AO1500">
        <f t="shared" ca="1" si="767"/>
        <v>0</v>
      </c>
      <c r="AP1500">
        <f t="shared" ca="1" si="776"/>
        <v>0</v>
      </c>
      <c r="AQ1500">
        <f t="shared" ca="1" si="768"/>
        <v>2.2179524955275563E-2</v>
      </c>
      <c r="AR1500" t="str">
        <f t="shared" ca="1" si="769"/>
        <v>Subcritical</v>
      </c>
      <c r="AS1500">
        <f t="shared" ca="1" si="770"/>
        <v>1.2864151857468023E-6</v>
      </c>
    </row>
    <row r="1501" spans="1:45" x14ac:dyDescent="0.35">
      <c r="A1501">
        <v>24</v>
      </c>
      <c r="B1501">
        <v>23</v>
      </c>
      <c r="C1501">
        <v>616065.73</v>
      </c>
      <c r="D1501">
        <v>3096598.8679999998</v>
      </c>
      <c r="E1501">
        <v>628.97799999999995</v>
      </c>
      <c r="F1501">
        <v>15</v>
      </c>
      <c r="G1501">
        <v>0</v>
      </c>
      <c r="H1501" t="s">
        <v>154</v>
      </c>
      <c r="I1501">
        <v>0</v>
      </c>
      <c r="J1501">
        <f t="shared" si="771"/>
        <v>1</v>
      </c>
      <c r="K1501">
        <f t="shared" ca="1" si="772"/>
        <v>1.0190000000000001</v>
      </c>
      <c r="L1501">
        <f t="shared" ca="1" si="773"/>
        <v>0.05</v>
      </c>
      <c r="M1501">
        <f t="shared" ca="1" si="746"/>
        <v>0.75</v>
      </c>
      <c r="N1501">
        <f t="shared" ca="1" si="747"/>
        <v>4.9668874172185434E-2</v>
      </c>
      <c r="O1501">
        <f t="shared" ca="1" si="748"/>
        <v>1.3586666666666669</v>
      </c>
      <c r="P1501">
        <f t="shared" ca="1" si="749"/>
        <v>629.02799999999991</v>
      </c>
      <c r="Q1501">
        <f t="shared" ca="1" si="750"/>
        <v>629.12208639710036</v>
      </c>
      <c r="R1501">
        <f t="shared" ca="1" si="751"/>
        <v>2.2749015391606842E-2</v>
      </c>
      <c r="S1501">
        <f t="shared" ca="1" si="752"/>
        <v>1.9399628563502385</v>
      </c>
      <c r="T1501">
        <f t="shared" ca="1" si="753"/>
        <v>0.15987959565069659</v>
      </c>
      <c r="U1501">
        <f t="shared" ca="1" si="774"/>
        <v>-2.2749015391582361E-2</v>
      </c>
      <c r="V1501">
        <f t="shared" ca="1" si="775"/>
        <v>0</v>
      </c>
      <c r="W1501">
        <f t="shared" ca="1" si="754"/>
        <v>0.98505667503235206</v>
      </c>
      <c r="X1501">
        <f t="shared" ca="1" si="755"/>
        <v>14.775850125485281</v>
      </c>
      <c r="Y1501">
        <f t="shared" ca="1" si="756"/>
        <v>0.87069837547248574</v>
      </c>
      <c r="Z1501">
        <f t="shared" ca="1" si="757"/>
        <v>6.8963883048761859E-2</v>
      </c>
      <c r="AA1501">
        <f t="shared" ca="1" si="758"/>
        <v>629.96305667503225</v>
      </c>
      <c r="AB1501">
        <f t="shared" ca="1" si="759"/>
        <v>629.96329908161556</v>
      </c>
      <c r="AC1501">
        <f t="shared" ca="1" si="760"/>
        <v>1.2870703508246359E-6</v>
      </c>
      <c r="AD1501">
        <f t="shared" ca="1" si="761"/>
        <v>2.2184854966992573E-2</v>
      </c>
      <c r="AE1501">
        <f t="shared" ca="1" si="762"/>
        <v>7.2846884243832211</v>
      </c>
      <c r="AF1501">
        <f t="shared" ca="1" si="763"/>
        <v>1.2870704040324199E-6</v>
      </c>
      <c r="AG1501">
        <f t="shared" ca="1" si="764"/>
        <v>1</v>
      </c>
      <c r="AH1501">
        <f ca="1">IFERROR(IF(V34="Supercritical",MAX($D$16,IFERROR(L1501,MAX($D$16,POWER((ABS(K1501)^2)/($I$5*MAX(F1501,0.1)^2),1/3)))),IF(V34="Subcritical",MAX($D$16,IFERROR(W1501,MAX($D$16,POWER((ABS(K1501)^2)/($I$5*MAX(F1501,0.1)^2),1/3)))),IF(AND(IFERROR(V1501,0)=1,IFERROR(AG1501,0)=1),IF(IFERROR(T1501,-1E+99)&gt;=IFERROR(AE1501,-1E+99),MAX($D$16,IFERROR(L1501,MAX($D$16,POWER((ABS(K1501)^2)/($I$5*MAX(F1501,0.1)^2),1/3)))),MAX($D$16,IFERROR(W1501,MAX($D$16,POWER((ABS(K1501)^2)/($I$5*MAX(F1501,0.1)^2),1/3))))),IF(IFERROR(V1501,0)=1,MAX($D$16,IFERROR(L1501,MAX($D$16,POWER((ABS(K1501)^2)/($I$5*MAX(F1501,0.1)^2),1/3)))),IF(IFERROR(AG1501,0)=1,MAX($D$16,IFERROR(W1501,MAX($D$16,POWER((ABS(K1501)^2)/($I$5*MAX(F1501,0.1)^2),1/3)))),MAX($D$16,POWER((ABS(K1501)^2)/($I$5*MAX(F1501,0.1)^2),1/3))))))),MAX($D$16,POWER((ABS(K1501)^2)/($I$5*MAX(F1501,0.1)^2),1/3)))</f>
        <v>0.98505667503235206</v>
      </c>
      <c r="AI1501">
        <f t="shared" ca="1" si="765"/>
        <v>629.96305667503225</v>
      </c>
      <c r="AJ1501">
        <f t="shared" ca="1" si="766"/>
        <v>629.96329908161556</v>
      </c>
      <c r="AK1501">
        <v>635.5</v>
      </c>
      <c r="AM1501">
        <f t="shared" ca="1" si="777"/>
        <v>0</v>
      </c>
      <c r="AN1501">
        <v>0</v>
      </c>
      <c r="AO1501">
        <f t="shared" ca="1" si="767"/>
        <v>0</v>
      </c>
      <c r="AP1501">
        <f t="shared" ca="1" si="776"/>
        <v>0</v>
      </c>
      <c r="AQ1501">
        <f t="shared" ca="1" si="768"/>
        <v>2.2184854966992573E-2</v>
      </c>
      <c r="AR1501" t="str">
        <f t="shared" ca="1" si="769"/>
        <v>Subcritical</v>
      </c>
      <c r="AS1501">
        <f t="shared" ca="1" si="770"/>
        <v>1.2870703508246359E-6</v>
      </c>
    </row>
    <row r="1502" spans="1:45" x14ac:dyDescent="0.35">
      <c r="A1502">
        <v>25</v>
      </c>
      <c r="B1502">
        <v>24</v>
      </c>
      <c r="C1502">
        <v>616065.73</v>
      </c>
      <c r="D1502">
        <v>3096597.8679999998</v>
      </c>
      <c r="E1502">
        <v>628.97799999999995</v>
      </c>
      <c r="F1502">
        <v>15</v>
      </c>
      <c r="G1502">
        <v>0</v>
      </c>
      <c r="H1502" t="s">
        <v>154</v>
      </c>
      <c r="I1502">
        <v>0</v>
      </c>
      <c r="J1502">
        <f t="shared" si="771"/>
        <v>1</v>
      </c>
      <c r="K1502">
        <f t="shared" ca="1" si="772"/>
        <v>1.0190000000000001</v>
      </c>
      <c r="L1502">
        <f t="shared" ca="1" si="773"/>
        <v>0.05</v>
      </c>
      <c r="M1502">
        <f t="shared" ca="1" si="746"/>
        <v>0.75</v>
      </c>
      <c r="N1502">
        <f t="shared" ca="1" si="747"/>
        <v>4.9668874172185434E-2</v>
      </c>
      <c r="O1502">
        <f t="shared" ca="1" si="748"/>
        <v>1.3586666666666669</v>
      </c>
      <c r="P1502">
        <f t="shared" ca="1" si="749"/>
        <v>629.02799999999991</v>
      </c>
      <c r="Q1502">
        <f t="shared" ca="1" si="750"/>
        <v>629.12208639710036</v>
      </c>
      <c r="R1502">
        <f t="shared" ca="1" si="751"/>
        <v>2.2749015391606842E-2</v>
      </c>
      <c r="S1502">
        <f t="shared" ca="1" si="752"/>
        <v>1.9399628563502385</v>
      </c>
      <c r="T1502">
        <f t="shared" ca="1" si="753"/>
        <v>0.15987959565069659</v>
      </c>
      <c r="U1502">
        <f t="shared" ca="1" si="774"/>
        <v>-2.2749015391582361E-2</v>
      </c>
      <c r="V1502">
        <f t="shared" ca="1" si="775"/>
        <v>0</v>
      </c>
      <c r="W1502">
        <f t="shared" ca="1" si="754"/>
        <v>0.98539728417465944</v>
      </c>
      <c r="X1502">
        <f t="shared" ca="1" si="755"/>
        <v>14.780959262619891</v>
      </c>
      <c r="Y1502">
        <f t="shared" ca="1" si="756"/>
        <v>0.87096447977671654</v>
      </c>
      <c r="Z1502">
        <f t="shared" ca="1" si="757"/>
        <v>6.894004522270665E-2</v>
      </c>
      <c r="AA1502">
        <f t="shared" ca="1" si="758"/>
        <v>629.96339728417456</v>
      </c>
      <c r="AB1502">
        <f t="shared" ca="1" si="759"/>
        <v>629.96363952320792</v>
      </c>
      <c r="AC1502">
        <f t="shared" ca="1" si="760"/>
        <v>1.2856568095524495E-6</v>
      </c>
      <c r="AD1502">
        <f t="shared" ca="1" si="761"/>
        <v>2.2173353446444506E-2</v>
      </c>
      <c r="AE1502">
        <f t="shared" ca="1" si="762"/>
        <v>7.289719608009964</v>
      </c>
      <c r="AF1502">
        <f t="shared" ca="1" si="763"/>
        <v>-2.2707276153823841E-3</v>
      </c>
      <c r="AG1502">
        <f t="shared" ca="1" si="764"/>
        <v>0</v>
      </c>
      <c r="AH1502">
        <f ca="1">IFERROR(IF(V34="Supercritical",MAX($D$16,IFERROR(L1502,MAX($D$16,POWER((ABS(K1502)^2)/($I$5*MAX(F1502,0.1)^2),1/3)))),IF(V34="Subcritical",MAX($D$16,IFERROR(W1502,MAX($D$16,POWER((ABS(K1502)^2)/($I$5*MAX(F1502,0.1)^2),1/3)))),IF(AND(IFERROR(V1502,0)=1,IFERROR(AG1502,0)=1),IF(IFERROR(T1502,-1E+99)&gt;=IFERROR(AE1502,-1E+99),MAX($D$16,IFERROR(L1502,MAX($D$16,POWER((ABS(K1502)^2)/($I$5*MAX(F1502,0.1)^2),1/3)))),MAX($D$16,IFERROR(W1502,MAX($D$16,POWER((ABS(K1502)^2)/($I$5*MAX(F1502,0.1)^2),1/3))))),IF(IFERROR(V1502,0)=1,MAX($D$16,IFERROR(L1502,MAX($D$16,POWER((ABS(K1502)^2)/($I$5*MAX(F1502,0.1)^2),1/3)))),IF(IFERROR(AG1502,0)=1,MAX($D$16,IFERROR(W1502,MAX($D$16,POWER((ABS(K1502)^2)/($I$5*MAX(F1502,0.1)^2),1/3)))),MAX($D$16,POWER((ABS(K1502)^2)/($I$5*MAX(F1502,0.1)^2),1/3))))))),MAX($D$16,POWER((ABS(K1502)^2)/($I$5*MAX(F1502,0.1)^2),1/3)))</f>
        <v>7.7773614095415666E-2</v>
      </c>
      <c r="AI1502">
        <f t="shared" ca="1" si="765"/>
        <v>629.05577361409541</v>
      </c>
      <c r="AJ1502">
        <f t="shared" ca="1" si="766"/>
        <v>629.09466042114309</v>
      </c>
      <c r="AK1502">
        <v>635.5</v>
      </c>
      <c r="AM1502">
        <f t="shared" ca="1" si="777"/>
        <v>0</v>
      </c>
      <c r="AN1502">
        <v>0</v>
      </c>
      <c r="AO1502">
        <f t="shared" ca="1" si="767"/>
        <v>0</v>
      </c>
      <c r="AP1502">
        <f t="shared" ca="1" si="776"/>
        <v>0</v>
      </c>
      <c r="AQ1502">
        <f t="shared" ca="1" si="768"/>
        <v>0.99999999999999989</v>
      </c>
      <c r="AR1502" t="str">
        <f t="shared" ca="1" si="769"/>
        <v>Supercritical</v>
      </c>
      <c r="AS1502">
        <f t="shared" ca="1" si="770"/>
        <v>5.2426144010362108E-3</v>
      </c>
    </row>
    <row r="1503" spans="1:45" x14ac:dyDescent="0.35">
      <c r="A1503">
        <v>26</v>
      </c>
      <c r="B1503">
        <v>25</v>
      </c>
      <c r="C1503">
        <v>616065.73</v>
      </c>
      <c r="D1503">
        <v>3096596.8679999998</v>
      </c>
      <c r="E1503">
        <v>628.97799999999995</v>
      </c>
      <c r="F1503">
        <v>15</v>
      </c>
      <c r="G1503">
        <v>0</v>
      </c>
      <c r="H1503" t="s">
        <v>154</v>
      </c>
      <c r="I1503">
        <v>0</v>
      </c>
      <c r="J1503">
        <f t="shared" si="771"/>
        <v>1</v>
      </c>
      <c r="K1503">
        <f t="shared" ca="1" si="772"/>
        <v>1.0190000000000001</v>
      </c>
      <c r="L1503">
        <f t="shared" ca="1" si="773"/>
        <v>0.05</v>
      </c>
      <c r="M1503">
        <f t="shared" ca="1" si="746"/>
        <v>0.75</v>
      </c>
      <c r="N1503">
        <f t="shared" ca="1" si="747"/>
        <v>4.9668874172185434E-2</v>
      </c>
      <c r="O1503">
        <f t="shared" ca="1" si="748"/>
        <v>1.3586666666666669</v>
      </c>
      <c r="P1503">
        <f t="shared" ca="1" si="749"/>
        <v>629.02799999999991</v>
      </c>
      <c r="Q1503">
        <f t="shared" ca="1" si="750"/>
        <v>629.12208639710036</v>
      </c>
      <c r="R1503">
        <f t="shared" ca="1" si="751"/>
        <v>2.2749015391606842E-2</v>
      </c>
      <c r="S1503">
        <f t="shared" ca="1" si="752"/>
        <v>1.9399628563502385</v>
      </c>
      <c r="T1503">
        <f t="shared" ca="1" si="753"/>
        <v>0.15987959565069659</v>
      </c>
      <c r="U1503">
        <f t="shared" ca="1" si="774"/>
        <v>-2.2749015391582361E-2</v>
      </c>
      <c r="V1503">
        <f t="shared" ca="1" si="775"/>
        <v>0</v>
      </c>
      <c r="W1503">
        <f t="shared" ca="1" si="754"/>
        <v>0.98732689970511101</v>
      </c>
      <c r="X1503">
        <f t="shared" ca="1" si="755"/>
        <v>14.809903495576664</v>
      </c>
      <c r="Y1503">
        <f t="shared" ca="1" si="756"/>
        <v>0.87247160799775647</v>
      </c>
      <c r="Z1503">
        <f t="shared" ca="1" si="757"/>
        <v>6.8805309926857336E-2</v>
      </c>
      <c r="AA1503">
        <f t="shared" ca="1" si="758"/>
        <v>629.96532689970502</v>
      </c>
      <c r="AB1503">
        <f t="shared" ca="1" si="759"/>
        <v>629.96556819280772</v>
      </c>
      <c r="AC1503">
        <f t="shared" ca="1" si="760"/>
        <v>1.2776876341835411E-6</v>
      </c>
      <c r="AD1503">
        <f t="shared" ca="1" si="761"/>
        <v>2.210838235842404E-2</v>
      </c>
      <c r="AE1503">
        <f t="shared" ca="1" si="762"/>
        <v>7.3182551067387953</v>
      </c>
      <c r="AF1503">
        <f t="shared" ca="1" si="763"/>
        <v>1.2776876019415795E-6</v>
      </c>
      <c r="AG1503">
        <f t="shared" ca="1" si="764"/>
        <v>1</v>
      </c>
      <c r="AH1503">
        <f ca="1">IFERROR(IF(V34="Supercritical",MAX($D$16,IFERROR(L1503,MAX($D$16,POWER((ABS(K1503)^2)/($I$5*MAX(F1503,0.1)^2),1/3)))),IF(V34="Subcritical",MAX($D$16,IFERROR(W1503,MAX($D$16,POWER((ABS(K1503)^2)/($I$5*MAX(F1503,0.1)^2),1/3)))),IF(AND(IFERROR(V1503,0)=1,IFERROR(AG1503,0)=1),IF(IFERROR(T1503,-1E+99)&gt;=IFERROR(AE1503,-1E+99),MAX($D$16,IFERROR(L1503,MAX($D$16,POWER((ABS(K1503)^2)/($I$5*MAX(F1503,0.1)^2),1/3)))),MAX($D$16,IFERROR(W1503,MAX($D$16,POWER((ABS(K1503)^2)/($I$5*MAX(F1503,0.1)^2),1/3))))),IF(IFERROR(V1503,0)=1,MAX($D$16,IFERROR(L1503,MAX($D$16,POWER((ABS(K1503)^2)/($I$5*MAX(F1503,0.1)^2),1/3)))),IF(IFERROR(AG1503,0)=1,MAX($D$16,IFERROR(W1503,MAX($D$16,POWER((ABS(K1503)^2)/($I$5*MAX(F1503,0.1)^2),1/3)))),MAX($D$16,POWER((ABS(K1503)^2)/($I$5*MAX(F1503,0.1)^2),1/3))))))),MAX($D$16,POWER((ABS(K1503)^2)/($I$5*MAX(F1503,0.1)^2),1/3)))</f>
        <v>0.98732689970511101</v>
      </c>
      <c r="AI1503">
        <f t="shared" ca="1" si="765"/>
        <v>629.96532689970502</v>
      </c>
      <c r="AJ1503">
        <f t="shared" ca="1" si="766"/>
        <v>629.96556819280772</v>
      </c>
      <c r="AK1503">
        <v>635.5</v>
      </c>
      <c r="AM1503">
        <f t="shared" ca="1" si="777"/>
        <v>0</v>
      </c>
      <c r="AN1503">
        <v>0</v>
      </c>
      <c r="AO1503">
        <f t="shared" ca="1" si="767"/>
        <v>0</v>
      </c>
      <c r="AP1503">
        <f t="shared" ca="1" si="776"/>
        <v>0</v>
      </c>
      <c r="AQ1503">
        <f t="shared" ca="1" si="768"/>
        <v>2.210838235842404E-2</v>
      </c>
      <c r="AR1503" t="str">
        <f t="shared" ca="1" si="769"/>
        <v>Subcritical</v>
      </c>
      <c r="AS1503">
        <f t="shared" ca="1" si="770"/>
        <v>1.2776876341835411E-6</v>
      </c>
    </row>
    <row r="1504" spans="1:45" x14ac:dyDescent="0.35">
      <c r="A1504">
        <v>27</v>
      </c>
      <c r="B1504">
        <v>26</v>
      </c>
      <c r="C1504">
        <v>616065.73</v>
      </c>
      <c r="D1504">
        <v>3096595.8679999998</v>
      </c>
      <c r="E1504">
        <v>628.97799999999995</v>
      </c>
      <c r="F1504">
        <v>15</v>
      </c>
      <c r="G1504">
        <v>0</v>
      </c>
      <c r="H1504" t="s">
        <v>154</v>
      </c>
      <c r="I1504">
        <v>0</v>
      </c>
      <c r="J1504">
        <f t="shared" si="771"/>
        <v>1</v>
      </c>
      <c r="K1504">
        <f t="shared" ca="1" si="772"/>
        <v>1.0190000000000001</v>
      </c>
      <c r="L1504">
        <f t="shared" ca="1" si="773"/>
        <v>0.05</v>
      </c>
      <c r="M1504">
        <f t="shared" ca="1" si="746"/>
        <v>0.75</v>
      </c>
      <c r="N1504">
        <f t="shared" ca="1" si="747"/>
        <v>4.9668874172185434E-2</v>
      </c>
      <c r="O1504">
        <f t="shared" ca="1" si="748"/>
        <v>1.3586666666666669</v>
      </c>
      <c r="P1504">
        <f t="shared" ca="1" si="749"/>
        <v>629.02799999999991</v>
      </c>
      <c r="Q1504">
        <f t="shared" ca="1" si="750"/>
        <v>629.12208639710036</v>
      </c>
      <c r="R1504">
        <f t="shared" ca="1" si="751"/>
        <v>2.2749015391606842E-2</v>
      </c>
      <c r="S1504">
        <f t="shared" ca="1" si="752"/>
        <v>1.9399628563502385</v>
      </c>
      <c r="T1504">
        <f t="shared" ca="1" si="753"/>
        <v>0.15987959565069659</v>
      </c>
      <c r="U1504">
        <f t="shared" ca="1" si="774"/>
        <v>-2.2749015391582361E-2</v>
      </c>
      <c r="V1504">
        <f t="shared" ca="1" si="775"/>
        <v>0</v>
      </c>
      <c r="W1504">
        <f t="shared" ca="1" si="754"/>
        <v>0.9831240324706112</v>
      </c>
      <c r="X1504">
        <f t="shared" ca="1" si="755"/>
        <v>14.746860487059168</v>
      </c>
      <c r="Y1504">
        <f t="shared" ca="1" si="756"/>
        <v>0.86918807450020963</v>
      </c>
      <c r="Z1504">
        <f t="shared" ca="1" si="757"/>
        <v>6.9099453466329633E-2</v>
      </c>
      <c r="AA1504">
        <f t="shared" ca="1" si="758"/>
        <v>629.96112403247059</v>
      </c>
      <c r="AB1504">
        <f t="shared" ca="1" si="759"/>
        <v>629.96136739304495</v>
      </c>
      <c r="AC1504">
        <f t="shared" ca="1" si="760"/>
        <v>1.2951301017835247E-6</v>
      </c>
      <c r="AD1504">
        <f t="shared" ca="1" si="761"/>
        <v>2.2250304174704496E-2</v>
      </c>
      <c r="AE1504">
        <f t="shared" ca="1" si="762"/>
        <v>7.2561740830364458</v>
      </c>
      <c r="AF1504">
        <f t="shared" ca="1" si="763"/>
        <v>-0.58328286304003996</v>
      </c>
      <c r="AG1504">
        <f t="shared" ca="1" si="764"/>
        <v>0</v>
      </c>
      <c r="AH1504">
        <f ca="1">IFERROR(IF(V34="Supercritical",MAX($D$16,IFERROR(L1504,MAX($D$16,POWER((ABS(K1504)^2)/($I$5*MAX(F1504,0.1)^2),1/3)))),IF(V34="Subcritical",MAX($D$16,IFERROR(W1504,MAX($D$16,POWER((ABS(K1504)^2)/($I$5*MAX(F1504,0.1)^2),1/3)))),IF(AND(IFERROR(V1504,0)=1,IFERROR(AG1504,0)=1),IF(IFERROR(T1504,-1E+99)&gt;=IFERROR(AE1504,-1E+99),MAX($D$16,IFERROR(L1504,MAX($D$16,POWER((ABS(K1504)^2)/($I$5*MAX(F1504,0.1)^2),1/3)))),MAX($D$16,IFERROR(W1504,MAX($D$16,POWER((ABS(K1504)^2)/($I$5*MAX(F1504,0.1)^2),1/3))))),IF(IFERROR(V1504,0)=1,MAX($D$16,IFERROR(L1504,MAX($D$16,POWER((ABS(K1504)^2)/($I$5*MAX(F1504,0.1)^2),1/3)))),IF(IFERROR(AG1504,0)=1,MAX($D$16,IFERROR(W1504,MAX($D$16,POWER((ABS(K1504)^2)/($I$5*MAX(F1504,0.1)^2),1/3)))),MAX($D$16,POWER((ABS(K1504)^2)/($I$5*MAX(F1504,0.1)^2),1/3))))))),MAX($D$16,POWER((ABS(K1504)^2)/($I$5*MAX(F1504,0.1)^2),1/3)))</f>
        <v>7.7773614095415666E-2</v>
      </c>
      <c r="AI1504">
        <f t="shared" ca="1" si="765"/>
        <v>629.05577361409541</v>
      </c>
      <c r="AJ1504">
        <f t="shared" ca="1" si="766"/>
        <v>629.09466042114309</v>
      </c>
      <c r="AK1504">
        <v>635.5</v>
      </c>
      <c r="AM1504">
        <f t="shared" ca="1" si="777"/>
        <v>0</v>
      </c>
      <c r="AN1504">
        <v>0</v>
      </c>
      <c r="AO1504">
        <f t="shared" ca="1" si="767"/>
        <v>0</v>
      </c>
      <c r="AP1504">
        <f t="shared" ca="1" si="776"/>
        <v>0</v>
      </c>
      <c r="AQ1504">
        <f t="shared" ca="1" si="768"/>
        <v>0.99999999999999989</v>
      </c>
      <c r="AR1504" t="str">
        <f t="shared" ca="1" si="769"/>
        <v>Supercritical</v>
      </c>
      <c r="AS1504">
        <f t="shared" ca="1" si="770"/>
        <v>5.2426144010362108E-3</v>
      </c>
    </row>
    <row r="1505" spans="1:45" x14ac:dyDescent="0.35">
      <c r="A1505">
        <v>28</v>
      </c>
      <c r="B1505">
        <v>27</v>
      </c>
      <c r="C1505">
        <v>616065.73</v>
      </c>
      <c r="D1505">
        <v>3096594.8679999998</v>
      </c>
      <c r="E1505">
        <v>628.39469999999994</v>
      </c>
      <c r="F1505">
        <v>14.576000000000001</v>
      </c>
      <c r="G1505">
        <v>0</v>
      </c>
      <c r="H1505" t="s">
        <v>154</v>
      </c>
      <c r="I1505">
        <v>0</v>
      </c>
      <c r="J1505">
        <f t="shared" si="771"/>
        <v>1</v>
      </c>
      <c r="K1505">
        <f t="shared" ca="1" si="772"/>
        <v>1.0190000000000001</v>
      </c>
      <c r="L1505">
        <f t="shared" ca="1" si="773"/>
        <v>0.05</v>
      </c>
      <c r="M1505">
        <f t="shared" ca="1" si="746"/>
        <v>0.72880000000000011</v>
      </c>
      <c r="N1505">
        <f t="shared" ca="1" si="747"/>
        <v>4.9659307713273378E-2</v>
      </c>
      <c r="O1505">
        <f t="shared" ca="1" si="748"/>
        <v>1.3981888035126235</v>
      </c>
      <c r="P1505">
        <f t="shared" ca="1" si="749"/>
        <v>628.4446999999999</v>
      </c>
      <c r="Q1505">
        <f t="shared" ca="1" si="750"/>
        <v>628.54433975179745</v>
      </c>
      <c r="R1505">
        <f t="shared" ca="1" si="751"/>
        <v>2.4097941385245934E-2</v>
      </c>
      <c r="S1505">
        <f t="shared" ca="1" si="752"/>
        <v>1.99639426764912</v>
      </c>
      <c r="T1505">
        <f t="shared" ca="1" si="753"/>
        <v>0.1634549022201186</v>
      </c>
      <c r="U1505">
        <f t="shared" ca="1" si="774"/>
        <v>0.55376783144481578</v>
      </c>
      <c r="V1505">
        <f t="shared" ca="1" si="775"/>
        <v>0</v>
      </c>
      <c r="W1505">
        <f t="shared" ca="1" si="754"/>
        <v>0.98732689970511101</v>
      </c>
      <c r="X1505">
        <f t="shared" ca="1" si="755"/>
        <v>14.391276890101699</v>
      </c>
      <c r="Y1505">
        <f t="shared" ca="1" si="756"/>
        <v>0.86952920800110789</v>
      </c>
      <c r="Z1505">
        <f t="shared" ca="1" si="757"/>
        <v>7.080678162066821E-2</v>
      </c>
      <c r="AA1505">
        <f t="shared" ca="1" si="758"/>
        <v>629.38202689970501</v>
      </c>
      <c r="AB1505">
        <f t="shared" ca="1" si="759"/>
        <v>629.3822824348897</v>
      </c>
      <c r="AC1505">
        <f t="shared" ca="1" si="760"/>
        <v>1.3592103141063905E-6</v>
      </c>
      <c r="AD1505">
        <f t="shared" ca="1" si="761"/>
        <v>2.2751491175655912E-2</v>
      </c>
      <c r="AE1505">
        <f t="shared" ca="1" si="762"/>
        <v>7.1118023525468281</v>
      </c>
      <c r="AF1505">
        <f t="shared" ca="1" si="763"/>
        <v>-0.58335559303577611</v>
      </c>
      <c r="AG1505">
        <f t="shared" ca="1" si="764"/>
        <v>0</v>
      </c>
      <c r="AH1505">
        <f ca="1">IFERROR(IF(V34="Supercritical",MAX($D$16,IFERROR(L1505,MAX($D$16,POWER((ABS(K1505)^2)/($I$5*MAX(F1505,0.1)^2),1/3)))),IF(V34="Subcritical",MAX($D$16,IFERROR(W1505,MAX($D$16,POWER((ABS(K1505)^2)/($I$5*MAX(F1505,0.1)^2),1/3)))),IF(AND(IFERROR(V1505,0)=1,IFERROR(AG1505,0)=1),IF(IFERROR(T1505,-1E+99)&gt;=IFERROR(AE1505,-1E+99),MAX($D$16,IFERROR(L1505,MAX($D$16,POWER((ABS(K1505)^2)/($I$5*MAX(F1505,0.1)^2),1/3)))),MAX($D$16,IFERROR(W1505,MAX($D$16,POWER((ABS(K1505)^2)/($I$5*MAX(F1505,0.1)^2),1/3))))),IF(IFERROR(V1505,0)=1,MAX($D$16,IFERROR(L1505,MAX($D$16,POWER((ABS(K1505)^2)/($I$5*MAX(F1505,0.1)^2),1/3)))),IF(IFERROR(AG1505,0)=1,MAX($D$16,IFERROR(W1505,MAX($D$16,POWER((ABS(K1505)^2)/($I$5*MAX(F1505,0.1)^2),1/3)))),MAX($D$16,POWER((ABS(K1505)^2)/($I$5*MAX(F1505,0.1)^2),1/3))))))),MAX($D$16,POWER((ABS(K1505)^2)/($I$5*MAX(F1505,0.1)^2),1/3)))</f>
        <v>7.9274628189016025E-2</v>
      </c>
      <c r="AI1505">
        <f t="shared" ca="1" si="765"/>
        <v>628.47397462818901</v>
      </c>
      <c r="AJ1505">
        <f t="shared" ca="1" si="766"/>
        <v>628.51361194228355</v>
      </c>
      <c r="AK1505">
        <v>635.5</v>
      </c>
      <c r="AM1505">
        <f t="shared" ca="1" si="777"/>
        <v>0</v>
      </c>
      <c r="AN1505">
        <v>0</v>
      </c>
      <c r="AO1505">
        <f t="shared" ca="1" si="767"/>
        <v>0</v>
      </c>
      <c r="AP1505">
        <f t="shared" ca="1" si="776"/>
        <v>0</v>
      </c>
      <c r="AQ1505">
        <f t="shared" ca="1" si="768"/>
        <v>1.0000000000000002</v>
      </c>
      <c r="AR1505" t="str">
        <f t="shared" ca="1" si="769"/>
        <v>Supercritical</v>
      </c>
      <c r="AS1505">
        <f t="shared" ca="1" si="770"/>
        <v>5.2128046248966125E-3</v>
      </c>
    </row>
    <row r="1506" spans="1:45" x14ac:dyDescent="0.35">
      <c r="A1506">
        <v>29</v>
      </c>
      <c r="B1506">
        <v>28</v>
      </c>
      <c r="C1506">
        <v>616065.73</v>
      </c>
      <c r="D1506">
        <v>3096593.8679999998</v>
      </c>
      <c r="E1506">
        <v>627.81129999999996</v>
      </c>
      <c r="F1506">
        <v>13.576000000000001</v>
      </c>
      <c r="G1506">
        <v>0</v>
      </c>
      <c r="H1506" t="s">
        <v>154</v>
      </c>
      <c r="I1506">
        <v>0</v>
      </c>
      <c r="J1506">
        <f t="shared" si="771"/>
        <v>1</v>
      </c>
      <c r="K1506">
        <f t="shared" ca="1" si="772"/>
        <v>1.0190000000000001</v>
      </c>
      <c r="L1506">
        <f t="shared" ca="1" si="773"/>
        <v>0.05</v>
      </c>
      <c r="M1506">
        <f t="shared" ca="1" si="746"/>
        <v>0.67880000000000007</v>
      </c>
      <c r="N1506">
        <f t="shared" ca="1" si="747"/>
        <v>4.9634396022228723E-2</v>
      </c>
      <c r="O1506">
        <f t="shared" ca="1" si="748"/>
        <v>1.5011785503830288</v>
      </c>
      <c r="P1506">
        <f t="shared" ca="1" si="749"/>
        <v>627.86129999999991</v>
      </c>
      <c r="Q1506">
        <f t="shared" ca="1" si="750"/>
        <v>627.97615917635721</v>
      </c>
      <c r="R1506">
        <f t="shared" ca="1" si="751"/>
        <v>2.7797360759460168E-2</v>
      </c>
      <c r="S1506">
        <f t="shared" ca="1" si="752"/>
        <v>2.1434474694500274</v>
      </c>
      <c r="T1506">
        <f t="shared" ca="1" si="753"/>
        <v>0.17290281782266123</v>
      </c>
      <c r="U1506">
        <f t="shared" ca="1" si="774"/>
        <v>0.54071098191195688</v>
      </c>
      <c r="V1506">
        <f t="shared" ca="1" si="775"/>
        <v>0</v>
      </c>
      <c r="W1506">
        <f t="shared" ca="1" si="754"/>
        <v>0.9831240324706112</v>
      </c>
      <c r="X1506">
        <f t="shared" ca="1" si="755"/>
        <v>13.346891864821018</v>
      </c>
      <c r="Y1506">
        <f t="shared" ca="1" si="756"/>
        <v>0.85874912104431733</v>
      </c>
      <c r="Z1506">
        <f t="shared" ca="1" si="757"/>
        <v>7.6347363140464392E-2</v>
      </c>
      <c r="AA1506">
        <f t="shared" ca="1" si="758"/>
        <v>628.7944240324706</v>
      </c>
      <c r="AB1506">
        <f t="shared" ca="1" si="759"/>
        <v>628.79472112318717</v>
      </c>
      <c r="AC1506">
        <f t="shared" ca="1" si="760"/>
        <v>1.6067520461434581E-6</v>
      </c>
      <c r="AD1506">
        <f t="shared" ca="1" si="761"/>
        <v>2.4584160475881515E-2</v>
      </c>
      <c r="AE1506">
        <f t="shared" ca="1" si="762"/>
        <v>6.5687555508814031</v>
      </c>
      <c r="AF1506">
        <f t="shared" ca="1" si="763"/>
        <v>-0.583244209534314</v>
      </c>
      <c r="AG1506">
        <f t="shared" ca="1" si="764"/>
        <v>0</v>
      </c>
      <c r="AH1506">
        <f ca="1">IFERROR(IF(V34="Supercritical",MAX($D$16,IFERROR(L1506,MAX($D$16,POWER((ABS(K1506)^2)/($I$5*MAX(F1506,0.1)^2),1/3)))),IF(V34="Subcritical",MAX($D$16,IFERROR(W1506,MAX($D$16,POWER((ABS(K1506)^2)/($I$5*MAX(F1506,0.1)^2),1/3)))),IF(AND(IFERROR(V1506,0)=1,IFERROR(AG1506,0)=1),IF(IFERROR(T1506,-1E+99)&gt;=IFERROR(AE1506,-1E+99),MAX($D$16,IFERROR(L1506,MAX($D$16,POWER((ABS(K1506)^2)/($I$5*MAX(F1506,0.1)^2),1/3)))),MAX($D$16,IFERROR(W1506,MAX($D$16,POWER((ABS(K1506)^2)/($I$5*MAX(F1506,0.1)^2),1/3))))),IF(IFERROR(V1506,0)=1,MAX($D$16,IFERROR(L1506,MAX($D$16,POWER((ABS(K1506)^2)/($I$5*MAX(F1506,0.1)^2),1/3)))),IF(IFERROR(AG1506,0)=1,MAX($D$16,IFERROR(W1506,MAX($D$16,POWER((ABS(K1506)^2)/($I$5*MAX(F1506,0.1)^2),1/3)))),MAX($D$16,POWER((ABS(K1506)^2)/($I$5*MAX(F1506,0.1)^2),1/3))))))),MAX($D$16,POWER((ABS(K1506)^2)/($I$5*MAX(F1506,0.1)^2),1/3)))</f>
        <v>8.3121218426596227E-2</v>
      </c>
      <c r="AI1506">
        <f t="shared" ca="1" si="765"/>
        <v>627.8944212184266</v>
      </c>
      <c r="AJ1506">
        <f t="shared" ca="1" si="766"/>
        <v>627.93598182763992</v>
      </c>
      <c r="AK1506">
        <v>635.5</v>
      </c>
      <c r="AM1506">
        <f t="shared" ca="1" si="777"/>
        <v>0</v>
      </c>
      <c r="AN1506">
        <v>0</v>
      </c>
      <c r="AO1506">
        <f t="shared" ca="1" si="767"/>
        <v>0</v>
      </c>
      <c r="AP1506">
        <f t="shared" ca="1" si="776"/>
        <v>0</v>
      </c>
      <c r="AQ1506">
        <f t="shared" ca="1" si="768"/>
        <v>0.99999999999999978</v>
      </c>
      <c r="AR1506" t="str">
        <f t="shared" ca="1" si="769"/>
        <v>Supercritical</v>
      </c>
      <c r="AS1506">
        <f t="shared" ca="1" si="770"/>
        <v>5.1403804218423804E-3</v>
      </c>
    </row>
    <row r="1507" spans="1:45" x14ac:dyDescent="0.35">
      <c r="A1507">
        <v>30</v>
      </c>
      <c r="B1507">
        <v>29</v>
      </c>
      <c r="C1507">
        <v>616065.73</v>
      </c>
      <c r="D1507">
        <v>3096592.8679999998</v>
      </c>
      <c r="E1507">
        <v>627.22799999999995</v>
      </c>
      <c r="F1507">
        <v>12.576000000000001</v>
      </c>
      <c r="G1507">
        <v>0</v>
      </c>
      <c r="H1507" t="s">
        <v>154</v>
      </c>
      <c r="I1507">
        <v>0</v>
      </c>
      <c r="J1507">
        <f t="shared" si="771"/>
        <v>1</v>
      </c>
      <c r="K1507">
        <f t="shared" ca="1" si="772"/>
        <v>1.0190000000000001</v>
      </c>
      <c r="L1507">
        <f t="shared" ca="1" si="773"/>
        <v>0.05</v>
      </c>
      <c r="M1507">
        <f t="shared" ca="1" si="746"/>
        <v>0.62880000000000003</v>
      </c>
      <c r="N1507">
        <f t="shared" ca="1" si="747"/>
        <v>4.9605553802461344E-2</v>
      </c>
      <c r="O1507">
        <f t="shared" ca="1" si="748"/>
        <v>1.6205470737913488</v>
      </c>
      <c r="P1507">
        <f t="shared" ca="1" si="749"/>
        <v>627.27799999999991</v>
      </c>
      <c r="Q1507">
        <f t="shared" ca="1" si="750"/>
        <v>627.41185182560514</v>
      </c>
      <c r="R1507">
        <f t="shared" ca="1" si="751"/>
        <v>3.2418935476236518E-2</v>
      </c>
      <c r="S1507">
        <f t="shared" ca="1" si="752"/>
        <v>2.3138869946925551</v>
      </c>
      <c r="T1507">
        <f t="shared" ca="1" si="753"/>
        <v>0.18405205588107898</v>
      </c>
      <c r="U1507">
        <f t="shared" ca="1" si="774"/>
        <v>0.53229993770946749</v>
      </c>
      <c r="V1507">
        <f t="shared" ca="1" si="775"/>
        <v>0</v>
      </c>
      <c r="W1507">
        <f t="shared" ca="1" si="754"/>
        <v>0.98732689970511101</v>
      </c>
      <c r="X1507">
        <f t="shared" ca="1" si="755"/>
        <v>12.416623090691477</v>
      </c>
      <c r="Y1507">
        <f t="shared" ca="1" si="756"/>
        <v>0.85333781298506028</v>
      </c>
      <c r="Z1507">
        <f t="shared" ca="1" si="757"/>
        <v>8.2067402107415699E-2</v>
      </c>
      <c r="AA1507">
        <f t="shared" ca="1" si="758"/>
        <v>628.21532689970502</v>
      </c>
      <c r="AB1507">
        <f t="shared" ca="1" si="759"/>
        <v>628.21567017485734</v>
      </c>
      <c r="AC1507">
        <f t="shared" ca="1" si="760"/>
        <v>1.8722445242685363E-6</v>
      </c>
      <c r="AD1507">
        <f t="shared" ca="1" si="761"/>
        <v>2.6369730866440885E-2</v>
      </c>
      <c r="AE1507">
        <f t="shared" ca="1" si="762"/>
        <v>6.1381576268353477</v>
      </c>
      <c r="AF1507">
        <f t="shared" ca="1" si="763"/>
        <v>-0.58322988499492112</v>
      </c>
      <c r="AG1507">
        <f t="shared" ca="1" si="764"/>
        <v>0</v>
      </c>
      <c r="AH1507">
        <f ca="1">IFERROR(IF(V34="Supercritical",MAX($D$16,IFERROR(L1507,MAX($D$16,POWER((ABS(K1507)^2)/($I$5*MAX(F1507,0.1)^2),1/3)))),IF(V34="Subcritical",MAX($D$16,IFERROR(W1507,MAX($D$16,POWER((ABS(K1507)^2)/($I$5*MAX(F1507,0.1)^2),1/3)))),IF(AND(IFERROR(V1507,0)=1,IFERROR(AG1507,0)=1),IF(IFERROR(T1507,-1E+99)&gt;=IFERROR(AE1507,-1E+99),MAX($D$16,IFERROR(L1507,MAX($D$16,POWER((ABS(K1507)^2)/($I$5*MAX(F1507,0.1)^2),1/3)))),MAX($D$16,IFERROR(W1507,MAX($D$16,POWER((ABS(K1507)^2)/($I$5*MAX(F1507,0.1)^2),1/3))))),IF(IFERROR(V1507,0)=1,MAX($D$16,IFERROR(L1507,MAX($D$16,POWER((ABS(K1507)^2)/($I$5*MAX(F1507,0.1)^2),1/3)))),IF(IFERROR(AG1507,0)=1,MAX($D$16,IFERROR(W1507,MAX($D$16,POWER((ABS(K1507)^2)/($I$5*MAX(F1507,0.1)^2),1/3)))),MAX($D$16,POWER((ABS(K1507)^2)/($I$5*MAX(F1507,0.1)^2),1/3))))))),MAX($D$16,POWER((ABS(K1507)^2)/($I$5*MAX(F1507,0.1)^2),1/3)))</f>
        <v>8.7471136189652673E-2</v>
      </c>
      <c r="AI1507">
        <f t="shared" ca="1" si="765"/>
        <v>627.31547113618956</v>
      </c>
      <c r="AJ1507">
        <f t="shared" ca="1" si="766"/>
        <v>627.35920670428436</v>
      </c>
      <c r="AK1507">
        <v>635.5</v>
      </c>
      <c r="AM1507">
        <f t="shared" ca="1" si="777"/>
        <v>0</v>
      </c>
      <c r="AN1507">
        <v>0</v>
      </c>
      <c r="AO1507">
        <f t="shared" ca="1" si="767"/>
        <v>0</v>
      </c>
      <c r="AP1507">
        <f t="shared" ca="1" si="776"/>
        <v>0</v>
      </c>
      <c r="AQ1507">
        <f t="shared" ca="1" si="768"/>
        <v>0.99999999999999944</v>
      </c>
      <c r="AR1507" t="str">
        <f t="shared" ca="1" si="769"/>
        <v>Subcritical</v>
      </c>
      <c r="AS1507">
        <f t="shared" ca="1" si="770"/>
        <v>5.0648074274052789E-3</v>
      </c>
    </row>
    <row r="1508" spans="1:45" x14ac:dyDescent="0.35">
      <c r="A1508">
        <v>31</v>
      </c>
      <c r="B1508">
        <v>30</v>
      </c>
      <c r="C1508">
        <v>616065.73</v>
      </c>
      <c r="D1508">
        <v>3096591.8679999998</v>
      </c>
      <c r="E1508">
        <v>626.64469999999994</v>
      </c>
      <c r="F1508">
        <v>11.576000000000001</v>
      </c>
      <c r="G1508">
        <v>0</v>
      </c>
      <c r="H1508" t="s">
        <v>154</v>
      </c>
      <c r="I1508">
        <v>0</v>
      </c>
      <c r="J1508">
        <f t="shared" si="771"/>
        <v>1</v>
      </c>
      <c r="K1508">
        <f t="shared" ca="1" si="772"/>
        <v>1.0190000000000001</v>
      </c>
      <c r="L1508">
        <f t="shared" ca="1" si="773"/>
        <v>0.05</v>
      </c>
      <c r="M1508">
        <f t="shared" ca="1" si="746"/>
        <v>0.57880000000000009</v>
      </c>
      <c r="N1508">
        <f t="shared" ca="1" si="747"/>
        <v>4.9571771154504972E-2</v>
      </c>
      <c r="O1508">
        <f t="shared" ca="1" si="748"/>
        <v>1.7605390463026951</v>
      </c>
      <c r="P1508">
        <f t="shared" ca="1" si="749"/>
        <v>626.6946999999999</v>
      </c>
      <c r="Q1508">
        <f t="shared" ca="1" si="750"/>
        <v>626.85267643901909</v>
      </c>
      <c r="R1508">
        <f t="shared" ca="1" si="751"/>
        <v>3.8296691798663782E-2</v>
      </c>
      <c r="S1508">
        <f t="shared" ca="1" si="752"/>
        <v>2.5137735699078756</v>
      </c>
      <c r="T1508">
        <f t="shared" ca="1" si="753"/>
        <v>0.19734352580860823</v>
      </c>
      <c r="U1508">
        <f t="shared" ca="1" si="774"/>
        <v>0.5214051116072369</v>
      </c>
      <c r="V1508">
        <f t="shared" ca="1" si="775"/>
        <v>0</v>
      </c>
      <c r="W1508">
        <f t="shared" ca="1" si="754"/>
        <v>0.9831240324706112</v>
      </c>
      <c r="X1508">
        <f t="shared" ca="1" si="755"/>
        <v>11.380643799879795</v>
      </c>
      <c r="Y1508">
        <f t="shared" ca="1" si="756"/>
        <v>0.84038069198736021</v>
      </c>
      <c r="Z1508">
        <f t="shared" ca="1" si="757"/>
        <v>8.9537992570399488E-2</v>
      </c>
      <c r="AA1508">
        <f t="shared" ca="1" si="758"/>
        <v>627.62782403247058</v>
      </c>
      <c r="AB1508">
        <f t="shared" ca="1" si="759"/>
        <v>627.62823264878625</v>
      </c>
      <c r="AC1508">
        <f t="shared" ca="1" si="760"/>
        <v>2.2745516530373978E-6</v>
      </c>
      <c r="AD1508">
        <f t="shared" ca="1" si="761"/>
        <v>2.8831596632737339E-2</v>
      </c>
      <c r="AE1508">
        <f t="shared" ca="1" si="762"/>
        <v>5.6035928458037674</v>
      </c>
      <c r="AF1508">
        <f t="shared" ca="1" si="763"/>
        <v>-0.58330845708997003</v>
      </c>
      <c r="AG1508">
        <f t="shared" ca="1" si="764"/>
        <v>0</v>
      </c>
      <c r="AH1508">
        <f ca="1">IFERROR(IF(V34="Supercritical",MAX($D$16,IFERROR(L1508,MAX($D$16,POWER((ABS(K1508)^2)/($I$5*MAX(F1508,0.1)^2),1/3)))),IF(V34="Subcritical",MAX($D$16,IFERROR(W1508,MAX($D$16,POWER((ABS(K1508)^2)/($I$5*MAX(F1508,0.1)^2),1/3)))),IF(AND(IFERROR(V1508,0)=1,IFERROR(AG1508,0)=1),IF(IFERROR(T1508,-1E+99)&gt;=IFERROR(AE1508,-1E+99),MAX($D$16,IFERROR(L1508,MAX($D$16,POWER((ABS(K1508)^2)/($I$5*MAX(F1508,0.1)^2),1/3)))),MAX($D$16,IFERROR(W1508,MAX($D$16,POWER((ABS(K1508)^2)/($I$5*MAX(F1508,0.1)^2),1/3))))),IF(IFERROR(V1508,0)=1,MAX($D$16,IFERROR(L1508,MAX($D$16,POWER((ABS(K1508)^2)/($I$5*MAX(F1508,0.1)^2),1/3)))),IF(IFERROR(AG1508,0)=1,MAX($D$16,IFERROR(W1508,MAX($D$16,POWER((ABS(K1508)^2)/($I$5*MAX(F1508,0.1)^2),1/3)))),MAX($D$16,POWER((ABS(K1508)^2)/($I$5*MAX(F1508,0.1)^2),1/3))))))),MAX($D$16,POWER((ABS(K1508)^2)/($I$5*MAX(F1508,0.1)^2),1/3)))</f>
        <v>9.2438759370265952E-2</v>
      </c>
      <c r="AI1508">
        <f t="shared" ca="1" si="765"/>
        <v>626.73713875937017</v>
      </c>
      <c r="AJ1508">
        <f t="shared" ca="1" si="766"/>
        <v>626.78335813905528</v>
      </c>
      <c r="AK1508">
        <v>635.5</v>
      </c>
      <c r="AM1508">
        <f t="shared" ca="1" si="777"/>
        <v>0</v>
      </c>
      <c r="AN1508">
        <v>0</v>
      </c>
      <c r="AO1508">
        <f t="shared" ca="1" si="767"/>
        <v>0</v>
      </c>
      <c r="AP1508">
        <f t="shared" ca="1" si="776"/>
        <v>0</v>
      </c>
      <c r="AQ1508">
        <f t="shared" ca="1" si="768"/>
        <v>0.99999999999999967</v>
      </c>
      <c r="AR1508" t="str">
        <f t="shared" ca="1" si="769"/>
        <v>Supercritical</v>
      </c>
      <c r="AS1508">
        <f t="shared" ca="1" si="770"/>
        <v>4.9858793849189139E-3</v>
      </c>
    </row>
    <row r="1509" spans="1:45" x14ac:dyDescent="0.35">
      <c r="A1509">
        <v>32</v>
      </c>
      <c r="B1509">
        <v>31</v>
      </c>
      <c r="C1509">
        <v>616065.73</v>
      </c>
      <c r="D1509">
        <v>3096590.8679999998</v>
      </c>
      <c r="E1509">
        <v>626.06129999999996</v>
      </c>
      <c r="F1509">
        <v>10.576000000000001</v>
      </c>
      <c r="G1509">
        <v>0</v>
      </c>
      <c r="H1509" t="s">
        <v>154</v>
      </c>
      <c r="I1509">
        <v>0</v>
      </c>
      <c r="J1509">
        <f t="shared" si="771"/>
        <v>1</v>
      </c>
      <c r="K1509">
        <f t="shared" ca="1" si="772"/>
        <v>1.0190000000000001</v>
      </c>
      <c r="L1509">
        <f t="shared" ca="1" si="773"/>
        <v>0.05</v>
      </c>
      <c r="M1509">
        <f t="shared" ca="1" si="746"/>
        <v>0.52880000000000005</v>
      </c>
      <c r="N1509">
        <f t="shared" ca="1" si="747"/>
        <v>4.9531659797677034E-2</v>
      </c>
      <c r="O1509">
        <f t="shared" ca="1" si="748"/>
        <v>1.9270045385779124</v>
      </c>
      <c r="P1509">
        <f t="shared" ca="1" si="749"/>
        <v>626.11129999999991</v>
      </c>
      <c r="Q1509">
        <f t="shared" ca="1" si="750"/>
        <v>626.30056332781339</v>
      </c>
      <c r="R1509">
        <f t="shared" ca="1" si="751"/>
        <v>4.5930814969445982E-2</v>
      </c>
      <c r="S1509">
        <f t="shared" ca="1" si="752"/>
        <v>2.7514601782577133</v>
      </c>
      <c r="T1509">
        <f t="shared" ca="1" si="753"/>
        <v>0.21338489549550388</v>
      </c>
      <c r="U1509">
        <f t="shared" ca="1" si="774"/>
        <v>0.50687066894226973</v>
      </c>
      <c r="V1509">
        <f t="shared" ca="1" si="775"/>
        <v>0</v>
      </c>
      <c r="W1509">
        <f t="shared" ca="1" si="754"/>
        <v>0.98732689970511101</v>
      </c>
      <c r="X1509">
        <f t="shared" ca="1" si="755"/>
        <v>10.441969291281254</v>
      </c>
      <c r="Y1509">
        <f t="shared" ca="1" si="756"/>
        <v>0.83198608281043818</v>
      </c>
      <c r="Z1509">
        <f t="shared" ca="1" si="757"/>
        <v>9.7586956212448936E-2</v>
      </c>
      <c r="AA1509">
        <f t="shared" ca="1" si="758"/>
        <v>627.04862689970503</v>
      </c>
      <c r="AB1509">
        <f t="shared" ca="1" si="759"/>
        <v>627.0491122826827</v>
      </c>
      <c r="AC1509">
        <f t="shared" ca="1" si="760"/>
        <v>2.7382807959607196E-6</v>
      </c>
      <c r="AD1509">
        <f t="shared" ca="1" si="761"/>
        <v>3.1356442452379028E-2</v>
      </c>
      <c r="AE1509">
        <f t="shared" ca="1" si="762"/>
        <v>5.1649552918840138</v>
      </c>
      <c r="AF1509">
        <f t="shared" ca="1" si="763"/>
        <v>-0.58325160197375681</v>
      </c>
      <c r="AG1509">
        <f t="shared" ca="1" si="764"/>
        <v>0</v>
      </c>
      <c r="AH1509">
        <f ca="1">IFERROR(IF(V34="Supercritical",MAX($D$16,IFERROR(L1509,MAX($D$16,POWER((ABS(K1509)^2)/($I$5*MAX(F1509,0.1)^2),1/3)))),IF(V34="Subcritical",MAX($D$16,IFERROR(W1509,MAX($D$16,POWER((ABS(K1509)^2)/($I$5*MAX(F1509,0.1)^2),1/3)))),IF(AND(IFERROR(V1509,0)=1,IFERROR(AG1509,0)=1),IF(IFERROR(T1509,-1E+99)&gt;=IFERROR(AE1509,-1E+99),MAX($D$16,IFERROR(L1509,MAX($D$16,POWER((ABS(K1509)^2)/($I$5*MAX(F1509,0.1)^2),1/3)))),MAX($D$16,IFERROR(W1509,MAX($D$16,POWER((ABS(K1509)^2)/($I$5*MAX(F1509,0.1)^2),1/3))))),IF(IFERROR(V1509,0)=1,MAX($D$16,IFERROR(L1509,MAX($D$16,POWER((ABS(K1509)^2)/($I$5*MAX(F1509,0.1)^2),1/3)))),IF(IFERROR(AG1509,0)=1,MAX($D$16,IFERROR(W1509,MAX($D$16,POWER((ABS(K1509)^2)/($I$5*MAX(F1509,0.1)^2),1/3)))),MAX($D$16,POWER((ABS(K1509)^2)/($I$5*MAX(F1509,0.1)^2),1/3))))))),MAX($D$16,POWER((ABS(K1509)^2)/($I$5*MAX(F1509,0.1)^2),1/3)))</f>
        <v>9.8177542904167733E-2</v>
      </c>
      <c r="AI1509">
        <f t="shared" ca="1" si="765"/>
        <v>626.15947754290414</v>
      </c>
      <c r="AJ1509">
        <f t="shared" ca="1" si="766"/>
        <v>626.20856631435618</v>
      </c>
      <c r="AK1509">
        <v>635.5</v>
      </c>
      <c r="AM1509">
        <f t="shared" ca="1" si="777"/>
        <v>0</v>
      </c>
      <c r="AN1509">
        <v>0</v>
      </c>
      <c r="AO1509">
        <f t="shared" ca="1" si="767"/>
        <v>0</v>
      </c>
      <c r="AP1509">
        <f t="shared" ca="1" si="776"/>
        <v>0</v>
      </c>
      <c r="AQ1509">
        <f t="shared" ca="1" si="768"/>
        <v>1.0000000000000002</v>
      </c>
      <c r="AR1509" t="str">
        <f t="shared" ca="1" si="769"/>
        <v>Supercritical</v>
      </c>
      <c r="AS1509">
        <f t="shared" ca="1" si="770"/>
        <v>4.9034275599016061E-3</v>
      </c>
    </row>
    <row r="1510" spans="1:45" x14ac:dyDescent="0.35">
      <c r="A1510">
        <v>33</v>
      </c>
      <c r="B1510">
        <v>32</v>
      </c>
      <c r="C1510">
        <v>616065.73</v>
      </c>
      <c r="D1510">
        <v>3096589.8679999998</v>
      </c>
      <c r="E1510">
        <v>625.47799999999995</v>
      </c>
      <c r="F1510">
        <v>10.151999999999999</v>
      </c>
      <c r="G1510">
        <v>0</v>
      </c>
      <c r="H1510" t="s">
        <v>154</v>
      </c>
      <c r="I1510">
        <v>0</v>
      </c>
      <c r="J1510">
        <f t="shared" si="771"/>
        <v>1</v>
      </c>
      <c r="K1510">
        <f t="shared" ca="1" si="772"/>
        <v>1.0190000000000001</v>
      </c>
      <c r="L1510">
        <f t="shared" ca="1" si="773"/>
        <v>0.05</v>
      </c>
      <c r="M1510">
        <f t="shared" ca="1" si="746"/>
        <v>0.50759999999999994</v>
      </c>
      <c r="N1510">
        <f t="shared" ca="1" si="747"/>
        <v>4.9512290284822472E-2</v>
      </c>
      <c r="O1510">
        <f t="shared" ca="1" si="748"/>
        <v>2.0074862096138695</v>
      </c>
      <c r="P1510">
        <f t="shared" ca="1" si="749"/>
        <v>625.52799999999991</v>
      </c>
      <c r="Q1510">
        <f t="shared" ca="1" si="750"/>
        <v>625.73340269530013</v>
      </c>
      <c r="R1510">
        <f t="shared" ca="1" si="751"/>
        <v>4.987355256382648E-2</v>
      </c>
      <c r="S1510">
        <f t="shared" ca="1" si="752"/>
        <v>2.8663753787680828</v>
      </c>
      <c r="T1510">
        <f t="shared" ca="1" si="753"/>
        <v>0.2212148162687598</v>
      </c>
      <c r="U1510">
        <f t="shared" ca="1" si="774"/>
        <v>0.51764451199801442</v>
      </c>
      <c r="V1510">
        <f t="shared" ca="1" si="775"/>
        <v>0</v>
      </c>
      <c r="W1510">
        <f t="shared" ca="1" si="754"/>
        <v>0.9831240324706112</v>
      </c>
      <c r="X1510">
        <f t="shared" ca="1" si="755"/>
        <v>9.9806751776416434</v>
      </c>
      <c r="Y1510">
        <f t="shared" ca="1" si="756"/>
        <v>0.82360710262371195</v>
      </c>
      <c r="Z1510">
        <f t="shared" ca="1" si="757"/>
        <v>0.10209730122093623</v>
      </c>
      <c r="AA1510">
        <f t="shared" ca="1" si="758"/>
        <v>626.46112403247059</v>
      </c>
      <c r="AB1510">
        <f t="shared" ca="1" si="759"/>
        <v>626.4616553198772</v>
      </c>
      <c r="AC1510">
        <f t="shared" ca="1" si="760"/>
        <v>3.0379754863408534E-6</v>
      </c>
      <c r="AD1510">
        <f t="shared" ca="1" si="761"/>
        <v>3.2875744938984194E-2</v>
      </c>
      <c r="AE1510">
        <f t="shared" ca="1" si="762"/>
        <v>4.9167260277727776</v>
      </c>
      <c r="AF1510">
        <f t="shared" ca="1" si="763"/>
        <v>-0.58315232622487656</v>
      </c>
      <c r="AG1510">
        <f t="shared" ca="1" si="764"/>
        <v>0</v>
      </c>
      <c r="AH1510">
        <f ca="1">IFERROR(IF(V34="Supercritical",MAX($D$16,IFERROR(L1510,MAX($D$16,POWER((ABS(K1510)^2)/($I$5*MAX(F1510,0.1)^2),1/3)))),IF(V34="Subcritical",MAX($D$16,IFERROR(W1510,MAX($D$16,POWER((ABS(K1510)^2)/($I$5*MAX(F1510,0.1)^2),1/3)))),IF(AND(IFERROR(V1510,0)=1,IFERROR(AG1510,0)=1),IF(IFERROR(T1510,-1E+99)&gt;=IFERROR(AE1510,-1E+99),MAX($D$16,IFERROR(L1510,MAX($D$16,POWER((ABS(K1510)^2)/($I$5*MAX(F1510,0.1)^2),1/3)))),MAX($D$16,IFERROR(W1510,MAX($D$16,POWER((ABS(K1510)^2)/($I$5*MAX(F1510,0.1)^2),1/3))))),IF(IFERROR(V1510,0)=1,MAX($D$16,IFERROR(L1510,MAX($D$16,POWER((ABS(K1510)^2)/($I$5*MAX(F1510,0.1)^2),1/3)))),IF(IFERROR(AG1510,0)=1,MAX($D$16,IFERROR(W1510,MAX($D$16,POWER((ABS(K1510)^2)/($I$5*MAX(F1510,0.1)^2),1/3)))),MAX($D$16,POWER((ABS(K1510)^2)/($I$5*MAX(F1510,0.1)^2),1/3))))))),MAX($D$16,POWER((ABS(K1510)^2)/($I$5*MAX(F1510,0.1)^2),1/3)))</f>
        <v>0.10089246066195305</v>
      </c>
      <c r="AI1510">
        <f t="shared" ca="1" si="765"/>
        <v>625.5788924606619</v>
      </c>
      <c r="AJ1510">
        <f t="shared" ca="1" si="766"/>
        <v>625.62933869099288</v>
      </c>
      <c r="AK1510">
        <v>635.5</v>
      </c>
      <c r="AM1510">
        <f t="shared" ca="1" si="777"/>
        <v>0</v>
      </c>
      <c r="AN1510">
        <v>0</v>
      </c>
      <c r="AO1510">
        <f t="shared" ca="1" si="767"/>
        <v>0</v>
      </c>
      <c r="AP1510">
        <f t="shared" ca="1" si="776"/>
        <v>0</v>
      </c>
      <c r="AQ1510">
        <f t="shared" ca="1" si="768"/>
        <v>1.0000000000000002</v>
      </c>
      <c r="AR1510" t="str">
        <f t="shared" ca="1" si="769"/>
        <v>Supercritical</v>
      </c>
      <c r="AS1510">
        <f t="shared" ca="1" si="770"/>
        <v>4.8673808324660641E-3</v>
      </c>
    </row>
    <row r="1511" spans="1:45" x14ac:dyDescent="0.35">
      <c r="A1511">
        <v>34</v>
      </c>
      <c r="B1511">
        <v>33</v>
      </c>
      <c r="C1511">
        <v>616065.73</v>
      </c>
      <c r="D1511">
        <v>3096588.8679999998</v>
      </c>
      <c r="E1511">
        <v>624.89469999999994</v>
      </c>
      <c r="F1511">
        <v>9.0920000000000005</v>
      </c>
      <c r="G1511">
        <v>0</v>
      </c>
      <c r="H1511" t="s">
        <v>154</v>
      </c>
      <c r="I1511">
        <v>0</v>
      </c>
      <c r="J1511">
        <f t="shared" si="771"/>
        <v>1</v>
      </c>
      <c r="K1511">
        <f t="shared" ca="1" si="772"/>
        <v>1.0190000000000001</v>
      </c>
      <c r="L1511">
        <f t="shared" ca="1" si="773"/>
        <v>0.05</v>
      </c>
      <c r="M1511">
        <f t="shared" ca="1" si="746"/>
        <v>0.45460000000000006</v>
      </c>
      <c r="N1511">
        <f t="shared" ca="1" si="747"/>
        <v>4.9456048738033075E-2</v>
      </c>
      <c r="O1511">
        <f t="shared" ca="1" si="748"/>
        <v>2.2415310162780466</v>
      </c>
      <c r="P1511">
        <f t="shared" ca="1" si="749"/>
        <v>624.9446999999999</v>
      </c>
      <c r="Q1511">
        <f t="shared" ca="1" si="750"/>
        <v>625.20078875111801</v>
      </c>
      <c r="R1511">
        <f t="shared" ca="1" si="751"/>
        <v>6.2274866098274012E-2</v>
      </c>
      <c r="S1511">
        <f t="shared" ca="1" si="752"/>
        <v>3.2005546464203225</v>
      </c>
      <c r="T1511">
        <f t="shared" ca="1" si="753"/>
        <v>0.24420089251654739</v>
      </c>
      <c r="U1511">
        <f t="shared" ca="1" si="774"/>
        <v>0.47147112926927548</v>
      </c>
      <c r="V1511">
        <f t="shared" ca="1" si="775"/>
        <v>0</v>
      </c>
      <c r="W1511">
        <f t="shared" ca="1" si="754"/>
        <v>0.98732689970511101</v>
      </c>
      <c r="X1511">
        <f t="shared" ca="1" si="755"/>
        <v>8.9767761721188695</v>
      </c>
      <c r="Y1511">
        <f t="shared" ca="1" si="756"/>
        <v>0.81115541651779788</v>
      </c>
      <c r="Z1511">
        <f t="shared" ca="1" si="757"/>
        <v>0.11351513956256708</v>
      </c>
      <c r="AA1511">
        <f t="shared" ca="1" si="758"/>
        <v>625.88202689970501</v>
      </c>
      <c r="AB1511">
        <f t="shared" ca="1" si="759"/>
        <v>625.88268366254442</v>
      </c>
      <c r="AC1511">
        <f t="shared" ca="1" si="760"/>
        <v>3.8325220563079123E-6</v>
      </c>
      <c r="AD1511">
        <f t="shared" ca="1" si="761"/>
        <v>3.6474453956924828E-2</v>
      </c>
      <c r="AE1511">
        <f t="shared" ca="1" si="762"/>
        <v>4.4432975196981426</v>
      </c>
      <c r="AF1511">
        <f t="shared" ca="1" si="763"/>
        <v>-0.58315070624928467</v>
      </c>
      <c r="AG1511">
        <f t="shared" ca="1" si="764"/>
        <v>0</v>
      </c>
      <c r="AH1511">
        <f ca="1">IFERROR(IF(V34="Supercritical",MAX($D$16,IFERROR(L1511,MAX($D$16,POWER((ABS(K1511)^2)/($I$5*MAX(F1511,0.1)^2),1/3)))),IF(V34="Subcritical",MAX($D$16,IFERROR(W1511,MAX($D$16,POWER((ABS(K1511)^2)/($I$5*MAX(F1511,0.1)^2),1/3)))),IF(AND(IFERROR(V1511,0)=1,IFERROR(AG1511,0)=1),IF(IFERROR(T1511,-1E+99)&gt;=IFERROR(AE1511,-1E+99),MAX($D$16,IFERROR(L1511,MAX($D$16,POWER((ABS(K1511)^2)/($I$5*MAX(F1511,0.1)^2),1/3)))),MAX($D$16,IFERROR(W1511,MAX($D$16,POWER((ABS(K1511)^2)/($I$5*MAX(F1511,0.1)^2),1/3))))),IF(IFERROR(V1511,0)=1,MAX($D$16,IFERROR(L1511,MAX($D$16,POWER((ABS(K1511)^2)/($I$5*MAX(F1511,0.1)^2),1/3)))),IF(IFERROR(AG1511,0)=1,MAX($D$16,IFERROR(W1511,MAX($D$16,POWER((ABS(K1511)^2)/($I$5*MAX(F1511,0.1)^2),1/3)))),MAX($D$16,POWER((ABS(K1511)^2)/($I$5*MAX(F1511,0.1)^2),1/3))))))),MAX($D$16,POWER((ABS(K1511)^2)/($I$5*MAX(F1511,0.1)^2),1/3)))</f>
        <v>0.10858925048484468</v>
      </c>
      <c r="AI1511">
        <f t="shared" ca="1" si="765"/>
        <v>625.00328925048484</v>
      </c>
      <c r="AJ1511">
        <f t="shared" ca="1" si="766"/>
        <v>625.05758387572723</v>
      </c>
      <c r="AM1511">
        <v>0</v>
      </c>
      <c r="AN1511">
        <v>0</v>
      </c>
      <c r="AO1511">
        <f t="shared" si="767"/>
        <v>0</v>
      </c>
      <c r="AP1511">
        <f t="shared" ca="1" si="776"/>
        <v>0</v>
      </c>
      <c r="AQ1511">
        <f t="shared" ca="1" si="768"/>
        <v>0.99999999999999978</v>
      </c>
      <c r="AR1511" t="str">
        <f t="shared" ca="1" si="769"/>
        <v>Supercritical</v>
      </c>
      <c r="AS1511">
        <f t="shared" ca="1" si="770"/>
        <v>4.7744698450298863E-3</v>
      </c>
    </row>
    <row r="1512" spans="1:45" x14ac:dyDescent="0.35">
      <c r="A1512">
        <v>35</v>
      </c>
      <c r="B1512">
        <v>34</v>
      </c>
      <c r="C1512">
        <v>616065.73</v>
      </c>
      <c r="D1512">
        <v>3096587.8679999998</v>
      </c>
      <c r="E1512">
        <v>624.31129999999996</v>
      </c>
      <c r="F1512">
        <v>7.8579999999999997</v>
      </c>
      <c r="G1512">
        <v>0</v>
      </c>
      <c r="H1512" t="s">
        <v>154</v>
      </c>
      <c r="I1512">
        <v>0</v>
      </c>
      <c r="J1512">
        <f t="shared" si="771"/>
        <v>1</v>
      </c>
      <c r="K1512">
        <f t="shared" ca="1" si="772"/>
        <v>1.0190000000000001</v>
      </c>
      <c r="L1512">
        <f t="shared" ca="1" si="773"/>
        <v>0.05</v>
      </c>
      <c r="M1512">
        <f t="shared" ca="1" si="746"/>
        <v>0.39290000000000003</v>
      </c>
      <c r="N1512">
        <f t="shared" ca="1" si="747"/>
        <v>4.9371701432520738E-2</v>
      </c>
      <c r="O1512">
        <f t="shared" ca="1" si="748"/>
        <v>2.5935352506999236</v>
      </c>
      <c r="P1512">
        <f t="shared" ca="1" si="749"/>
        <v>624.36129999999991</v>
      </c>
      <c r="Q1512">
        <f t="shared" ca="1" si="750"/>
        <v>624.70413512215191</v>
      </c>
      <c r="R1512">
        <f t="shared" ca="1" si="751"/>
        <v>8.355953923030246E-2</v>
      </c>
      <c r="S1512">
        <f t="shared" ca="1" si="752"/>
        <v>3.7031614717808057</v>
      </c>
      <c r="T1512">
        <f t="shared" ca="1" si="753"/>
        <v>0.27922233898707671</v>
      </c>
      <c r="U1512">
        <f t="shared" ca="1" si="774"/>
        <v>0.41506178919848935</v>
      </c>
      <c r="V1512">
        <f t="shared" ca="1" si="775"/>
        <v>0</v>
      </c>
      <c r="W1512">
        <f t="shared" ca="1" si="754"/>
        <v>0.9831240324706112</v>
      </c>
      <c r="X1512">
        <f t="shared" ca="1" si="755"/>
        <v>7.7253886471540625</v>
      </c>
      <c r="Y1512">
        <f t="shared" ca="1" si="756"/>
        <v>0.78635928124849142</v>
      </c>
      <c r="Z1512">
        <f t="shared" ca="1" si="757"/>
        <v>0.13190274904491531</v>
      </c>
      <c r="AA1512">
        <f t="shared" ca="1" si="758"/>
        <v>625.2944240324706</v>
      </c>
      <c r="AB1512">
        <f t="shared" ca="1" si="759"/>
        <v>625.29531079777155</v>
      </c>
      <c r="AC1512">
        <f t="shared" ca="1" si="760"/>
        <v>5.3933945171991868E-6</v>
      </c>
      <c r="AD1512">
        <f t="shared" ca="1" si="761"/>
        <v>4.2473219982255971E-2</v>
      </c>
      <c r="AE1512">
        <f t="shared" ca="1" si="762"/>
        <v>3.8112088327744509</v>
      </c>
      <c r="AF1512">
        <f t="shared" ca="1" si="763"/>
        <v>-0.58297443892490719</v>
      </c>
      <c r="AG1512">
        <f t="shared" ca="1" si="764"/>
        <v>0</v>
      </c>
      <c r="AH1512">
        <f ca="1">IFERROR(IF(V34="Supercritical",MAX($D$16,IFERROR(L1512,MAX($D$16,POWER((ABS(K1512)^2)/($I$5*MAX(F1512,0.1)^2),1/3)))),IF(V34="Subcritical",MAX($D$16,IFERROR(W1512,MAX($D$16,POWER((ABS(K1512)^2)/($I$5*MAX(F1512,0.1)^2),1/3)))),IF(AND(IFERROR(V1512,0)=1,IFERROR(AG1512,0)=1),IF(IFERROR(T1512,-1E+99)&gt;=IFERROR(AE1512,-1E+99),MAX($D$16,IFERROR(L1512,MAX($D$16,POWER((ABS(K1512)^2)/($I$5*MAX(F1512,0.1)^2),1/3)))),MAX($D$16,IFERROR(W1512,MAX($D$16,POWER((ABS(K1512)^2)/($I$5*MAX(F1512,0.1)^2),1/3))))),IF(IFERROR(V1512,0)=1,MAX($D$16,IFERROR(L1512,MAX($D$16,POWER((ABS(K1512)^2)/($I$5*MAX(F1512,0.1)^2),1/3)))),IF(IFERROR(AG1512,0)=1,MAX($D$16,IFERROR(W1512,MAX($D$16,POWER((ABS(K1512)^2)/($I$5*MAX(F1512,0.1)^2),1/3)))),MAX($D$16,POWER((ABS(K1512)^2)/($I$5*MAX(F1512,0.1)^2),1/3))))))),MAX($D$16,POWER((ABS(K1512)^2)/($I$5*MAX(F1512,0.1)^2),1/3)))</f>
        <v>0.1196791337951699</v>
      </c>
      <c r="AI1512">
        <f t="shared" ca="1" si="765"/>
        <v>624.43097913379518</v>
      </c>
      <c r="AJ1512">
        <f t="shared" ca="1" si="766"/>
        <v>624.49081870069278</v>
      </c>
      <c r="AM1512">
        <v>0</v>
      </c>
      <c r="AN1512">
        <v>0</v>
      </c>
      <c r="AO1512">
        <f t="shared" si="767"/>
        <v>0</v>
      </c>
      <c r="AP1512">
        <f t="shared" ca="1" si="776"/>
        <v>0</v>
      </c>
      <c r="AQ1512">
        <f t="shared" ca="1" si="768"/>
        <v>0.99999999999999933</v>
      </c>
      <c r="AR1512" t="str">
        <f t="shared" ca="1" si="769"/>
        <v>Subcritical</v>
      </c>
      <c r="AS1512">
        <f t="shared" ca="1" si="770"/>
        <v>4.6618019642915209E-3</v>
      </c>
    </row>
    <row r="1513" spans="1:45" x14ac:dyDescent="0.35">
      <c r="A1513">
        <v>36</v>
      </c>
      <c r="B1513">
        <v>35</v>
      </c>
      <c r="C1513">
        <v>616065.73</v>
      </c>
      <c r="D1513">
        <v>3096586.8679999998</v>
      </c>
      <c r="E1513">
        <v>623.72799999999995</v>
      </c>
      <c r="F1513">
        <v>6.8209999999999997</v>
      </c>
      <c r="G1513">
        <v>0</v>
      </c>
      <c r="H1513" t="s">
        <v>154</v>
      </c>
      <c r="I1513">
        <v>0</v>
      </c>
      <c r="J1513">
        <f t="shared" si="771"/>
        <v>1</v>
      </c>
      <c r="K1513">
        <f t="shared" ca="1" si="772"/>
        <v>1.0190000000000001</v>
      </c>
      <c r="L1513">
        <f t="shared" ca="1" si="773"/>
        <v>0.05</v>
      </c>
      <c r="M1513">
        <f t="shared" ca="1" si="746"/>
        <v>0.34105000000000002</v>
      </c>
      <c r="N1513">
        <f t="shared" ca="1" si="747"/>
        <v>4.9277561046091614E-2</v>
      </c>
      <c r="O1513">
        <f t="shared" ca="1" si="748"/>
        <v>2.9878316962322242</v>
      </c>
      <c r="P1513">
        <f t="shared" ca="1" si="749"/>
        <v>623.77799999999991</v>
      </c>
      <c r="Q1513">
        <f t="shared" ca="1" si="750"/>
        <v>624.23300194928686</v>
      </c>
      <c r="R1513">
        <f t="shared" ca="1" si="751"/>
        <v>0.11118064065018671</v>
      </c>
      <c r="S1513">
        <f t="shared" ca="1" si="752"/>
        <v>4.2661549399286871</v>
      </c>
      <c r="T1513">
        <f t="shared" ca="1" si="753"/>
        <v>0.31888307960862761</v>
      </c>
      <c r="U1513">
        <f t="shared" ca="1" si="774"/>
        <v>0.36254640021138584</v>
      </c>
      <c r="V1513">
        <f t="shared" ca="1" si="775"/>
        <v>0</v>
      </c>
      <c r="W1513">
        <f t="shared" ca="1" si="754"/>
        <v>0.98732689970511101</v>
      </c>
      <c r="X1513">
        <f t="shared" ca="1" si="755"/>
        <v>6.7345567828885615</v>
      </c>
      <c r="Y1513">
        <f t="shared" ca="1" si="756"/>
        <v>0.7656686968898363</v>
      </c>
      <c r="Z1513">
        <f t="shared" ca="1" si="757"/>
        <v>0.15130914072758539</v>
      </c>
      <c r="AA1513">
        <f t="shared" ca="1" si="758"/>
        <v>624.71532689970502</v>
      </c>
      <c r="AB1513">
        <f t="shared" ca="1" si="759"/>
        <v>624.71649379349037</v>
      </c>
      <c r="AC1513">
        <f t="shared" ca="1" si="760"/>
        <v>7.3540231381718868E-6</v>
      </c>
      <c r="AD1513">
        <f t="shared" ca="1" si="761"/>
        <v>4.8618345605682539E-2</v>
      </c>
      <c r="AE1513">
        <f t="shared" ca="1" si="762"/>
        <v>3.3403215595821925</v>
      </c>
      <c r="AF1513">
        <f t="shared" ca="1" si="763"/>
        <v>-0.58278879252020488</v>
      </c>
      <c r="AG1513">
        <f t="shared" ca="1" si="764"/>
        <v>0</v>
      </c>
      <c r="AH1513">
        <f ca="1">IFERROR(IF(V34="Supercritical",MAX($D$16,IFERROR(L1513,MAX($D$16,POWER((ABS(K1513)^2)/($I$5*MAX(F1513,0.1)^2),1/3)))),IF(V34="Subcritical",MAX($D$16,IFERROR(W1513,MAX($D$16,POWER((ABS(K1513)^2)/($I$5*MAX(F1513,0.1)^2),1/3)))),IF(AND(IFERROR(V1513,0)=1,IFERROR(AG1513,0)=1),IF(IFERROR(T1513,-1E+99)&gt;=IFERROR(AE1513,-1E+99),MAX($D$16,IFERROR(L1513,MAX($D$16,POWER((ABS(K1513)^2)/($I$5*MAX(F1513,0.1)^2),1/3)))),MAX($D$16,IFERROR(W1513,MAX($D$16,POWER((ABS(K1513)^2)/($I$5*MAX(F1513,0.1)^2),1/3))))),IF(IFERROR(V1513,0)=1,MAX($D$16,IFERROR(L1513,MAX($D$16,POWER((ABS(K1513)^2)/($I$5*MAX(F1513,0.1)^2),1/3)))),IF(IFERROR(AG1513,0)=1,MAX($D$16,IFERROR(W1513,MAX($D$16,POWER((ABS(K1513)^2)/($I$5*MAX(F1513,0.1)^2),1/3)))),MAX($D$16,POWER((ABS(K1513)^2)/($I$5*MAX(F1513,0.1)^2),1/3))))))),MAX($D$16,POWER((ABS(K1513)^2)/($I$5*MAX(F1513,0.1)^2),1/3)))</f>
        <v>0.13152079353188872</v>
      </c>
      <c r="AI1513">
        <f t="shared" ca="1" si="765"/>
        <v>623.85952079353183</v>
      </c>
      <c r="AJ1513">
        <f t="shared" ca="1" si="766"/>
        <v>623.92528119029782</v>
      </c>
      <c r="AM1513">
        <v>0</v>
      </c>
      <c r="AN1513">
        <v>0</v>
      </c>
      <c r="AO1513">
        <f t="shared" si="767"/>
        <v>0</v>
      </c>
      <c r="AP1513">
        <f t="shared" ca="1" si="776"/>
        <v>0</v>
      </c>
      <c r="AQ1513">
        <f t="shared" ca="1" si="768"/>
        <v>0.99999999999999922</v>
      </c>
      <c r="AR1513" t="str">
        <f t="shared" ca="1" si="769"/>
        <v>Subcritical</v>
      </c>
      <c r="AS1513">
        <f t="shared" ca="1" si="770"/>
        <v>4.5648949599155862E-3</v>
      </c>
    </row>
    <row r="1514" spans="1:45" x14ac:dyDescent="0.35">
      <c r="A1514">
        <v>37</v>
      </c>
      <c r="B1514">
        <v>36</v>
      </c>
      <c r="C1514">
        <v>616065.73</v>
      </c>
      <c r="D1514">
        <v>3096585.8679999998</v>
      </c>
      <c r="E1514">
        <v>623.14469999999994</v>
      </c>
      <c r="F1514">
        <v>5.7830000000000004</v>
      </c>
      <c r="G1514">
        <v>0</v>
      </c>
      <c r="H1514" t="s">
        <v>154</v>
      </c>
      <c r="I1514">
        <v>0</v>
      </c>
      <c r="J1514">
        <f t="shared" si="771"/>
        <v>1</v>
      </c>
      <c r="K1514">
        <f t="shared" ca="1" si="772"/>
        <v>1.0190000000000001</v>
      </c>
      <c r="L1514">
        <f t="shared" ca="1" si="773"/>
        <v>0.05</v>
      </c>
      <c r="M1514">
        <f t="shared" ca="1" si="746"/>
        <v>0.28915000000000002</v>
      </c>
      <c r="N1514">
        <f t="shared" ca="1" si="747"/>
        <v>4.9150093489716135E-2</v>
      </c>
      <c r="O1514">
        <f t="shared" ca="1" si="748"/>
        <v>3.5241224278056373</v>
      </c>
      <c r="P1514">
        <f t="shared" ca="1" si="749"/>
        <v>623.1946999999999</v>
      </c>
      <c r="Q1514">
        <f t="shared" ca="1" si="750"/>
        <v>623.82769892386136</v>
      </c>
      <c r="R1514">
        <f t="shared" ca="1" si="751"/>
        <v>0.15520964128058715</v>
      </c>
      <c r="S1514">
        <f t="shared" ca="1" si="752"/>
        <v>5.0318939728953094</v>
      </c>
      <c r="T1514">
        <f t="shared" ca="1" si="753"/>
        <v>0.37329202766910757</v>
      </c>
      <c r="U1514">
        <f t="shared" ca="1" si="774"/>
        <v>0.25430818700260716</v>
      </c>
      <c r="V1514">
        <f t="shared" ca="1" si="775"/>
        <v>0</v>
      </c>
      <c r="W1514">
        <f t="shared" ca="1" si="754"/>
        <v>0.9831240324706112</v>
      </c>
      <c r="X1514">
        <f t="shared" ca="1" si="755"/>
        <v>5.6854062797775446</v>
      </c>
      <c r="Y1514">
        <f t="shared" ca="1" si="756"/>
        <v>0.73367199399631911</v>
      </c>
      <c r="Z1514">
        <f t="shared" ca="1" si="757"/>
        <v>0.17923081480113168</v>
      </c>
      <c r="AA1514">
        <f t="shared" ca="1" si="758"/>
        <v>624.12782403247058</v>
      </c>
      <c r="AB1514">
        <f t="shared" ca="1" si="759"/>
        <v>624.1294613252827</v>
      </c>
      <c r="AC1514">
        <f t="shared" ca="1" si="760"/>
        <v>1.0922916690224715E-5</v>
      </c>
      <c r="AD1514">
        <f t="shared" ca="1" si="761"/>
        <v>5.7713049043847039E-2</v>
      </c>
      <c r="AE1514">
        <f t="shared" ca="1" si="762"/>
        <v>2.8133471236763214</v>
      </c>
      <c r="AF1514">
        <f t="shared" ca="1" si="763"/>
        <v>-0.58278342499727387</v>
      </c>
      <c r="AG1514">
        <f t="shared" ca="1" si="764"/>
        <v>0</v>
      </c>
      <c r="AH1514">
        <f ca="1">IFERROR(IF(V34="Supercritical",MAX($D$16,IFERROR(L1514,MAX($D$16,POWER((ABS(K1514)^2)/($I$5*MAX(F1514,0.1)^2),1/3)))),IF(V34="Subcritical",MAX($D$16,IFERROR(W1514,MAX($D$16,POWER((ABS(K1514)^2)/($I$5*MAX(F1514,0.1)^2),1/3)))),IF(AND(IFERROR(V1514,0)=1,IFERROR(AG1514,0)=1),IF(IFERROR(T1514,-1E+99)&gt;=IFERROR(AE1514,-1E+99),MAX($D$16,IFERROR(L1514,MAX($D$16,POWER((ABS(K1514)^2)/($I$5*MAX(F1514,0.1)^2),1/3)))),MAX($D$16,IFERROR(W1514,MAX($D$16,POWER((ABS(K1514)^2)/($I$5*MAX(F1514,0.1)^2),1/3))))),IF(IFERROR(V1514,0)=1,MAX($D$16,IFERROR(L1514,MAX($D$16,POWER((ABS(K1514)^2)/($I$5*MAX(F1514,0.1)^2),1/3)))),IF(IFERROR(AG1514,0)=1,MAX($D$16,IFERROR(W1514,MAX($D$16,POWER((ABS(K1514)^2)/($I$5*MAX(F1514,0.1)^2),1/3)))),MAX($D$16,POWER((ABS(K1514)^2)/($I$5*MAX(F1514,0.1)^2),1/3))))))),MAX($D$16,POWER((ABS(K1514)^2)/($I$5*MAX(F1514,0.1)^2),1/3)))</f>
        <v>0.14682195141962334</v>
      </c>
      <c r="AI1514">
        <f t="shared" ca="1" si="765"/>
        <v>623.29152195141955</v>
      </c>
      <c r="AJ1514">
        <f t="shared" ca="1" si="766"/>
        <v>623.36493292712942</v>
      </c>
      <c r="AM1514">
        <v>0</v>
      </c>
      <c r="AN1514">
        <v>0</v>
      </c>
      <c r="AO1514">
        <f t="shared" si="767"/>
        <v>0</v>
      </c>
      <c r="AP1514">
        <f t="shared" ca="1" si="776"/>
        <v>0</v>
      </c>
      <c r="AQ1514">
        <f t="shared" ca="1" si="768"/>
        <v>1.0000000000000002</v>
      </c>
      <c r="AR1514" t="str">
        <f t="shared" ca="1" si="769"/>
        <v>Supercritical</v>
      </c>
      <c r="AS1514">
        <f t="shared" ca="1" si="770"/>
        <v>4.4695999597732152E-3</v>
      </c>
    </row>
    <row r="1515" spans="1:45" x14ac:dyDescent="0.35">
      <c r="A1515">
        <v>38</v>
      </c>
      <c r="B1515">
        <v>37</v>
      </c>
      <c r="C1515">
        <v>616065.73</v>
      </c>
      <c r="D1515">
        <v>3096584.8679999998</v>
      </c>
      <c r="E1515">
        <v>622.56129999999996</v>
      </c>
      <c r="F1515">
        <v>5.0049999999999999</v>
      </c>
      <c r="G1515">
        <v>0</v>
      </c>
      <c r="H1515" t="s">
        <v>154</v>
      </c>
      <c r="I1515">
        <v>0</v>
      </c>
      <c r="J1515">
        <f t="shared" si="771"/>
        <v>1</v>
      </c>
      <c r="K1515">
        <f t="shared" ca="1" si="772"/>
        <v>1.0190000000000001</v>
      </c>
      <c r="L1515">
        <f t="shared" ca="1" si="773"/>
        <v>0.05</v>
      </c>
      <c r="M1515">
        <f t="shared" ca="1" si="746"/>
        <v>0.25025000000000003</v>
      </c>
      <c r="N1515">
        <f t="shared" ca="1" si="747"/>
        <v>4.9020568070519112E-2</v>
      </c>
      <c r="O1515">
        <f t="shared" ca="1" si="748"/>
        <v>4.0719280719280722</v>
      </c>
      <c r="P1515">
        <f t="shared" ca="1" si="749"/>
        <v>622.61129999999991</v>
      </c>
      <c r="Q1515">
        <f t="shared" ca="1" si="750"/>
        <v>623.4563865557061</v>
      </c>
      <c r="R1515">
        <f t="shared" ca="1" si="751"/>
        <v>0.20794329794037705</v>
      </c>
      <c r="S1515">
        <f t="shared" ca="1" si="752"/>
        <v>5.8140744945561584</v>
      </c>
      <c r="T1515">
        <f t="shared" ca="1" si="753"/>
        <v>0.42922207113095878</v>
      </c>
      <c r="U1515">
        <f t="shared" ca="1" si="774"/>
        <v>0.16852713536025021</v>
      </c>
      <c r="V1515">
        <f t="shared" ca="1" si="775"/>
        <v>0</v>
      </c>
      <c r="W1515">
        <f t="shared" ca="1" si="754"/>
        <v>0.98732689970511101</v>
      </c>
      <c r="X1515">
        <f t="shared" ca="1" si="755"/>
        <v>4.9415711330240804</v>
      </c>
      <c r="Y1515">
        <f t="shared" ca="1" si="756"/>
        <v>0.70799659625548206</v>
      </c>
      <c r="Z1515">
        <f t="shared" ca="1" si="757"/>
        <v>0.20620972006051147</v>
      </c>
      <c r="AA1515">
        <f t="shared" ca="1" si="758"/>
        <v>623.54862689970503</v>
      </c>
      <c r="AB1515">
        <f t="shared" ca="1" si="759"/>
        <v>623.55079420085929</v>
      </c>
      <c r="AC1515">
        <f t="shared" ca="1" si="760"/>
        <v>1.5162095359205388E-5</v>
      </c>
      <c r="AD1515">
        <f t="shared" ca="1" si="761"/>
        <v>6.625888818708503E-2</v>
      </c>
      <c r="AE1515">
        <f t="shared" ca="1" si="762"/>
        <v>2.4608927988618206</v>
      </c>
      <c r="AF1515">
        <f t="shared" ca="1" si="763"/>
        <v>-2.8019114896665087E-2</v>
      </c>
      <c r="AG1515">
        <f t="shared" ca="1" si="764"/>
        <v>0</v>
      </c>
      <c r="AH1515">
        <f ca="1">IFERROR(IF(V34="Supercritical",MAX($D$16,IFERROR(L1515,MAX($D$16,POWER((ABS(K1515)^2)/($I$5*MAX(F1515,0.1)^2),1/3)))),IF(V34="Subcritical",MAX($D$16,IFERROR(W1515,MAX($D$16,POWER((ABS(K1515)^2)/($I$5*MAX(F1515,0.1)^2),1/3)))),IF(AND(IFERROR(V1515,0)=1,IFERROR(AG1515,0)=1),IF(IFERROR(T1515,-1E+99)&gt;=IFERROR(AE1515,-1E+99),MAX($D$16,IFERROR(L1515,MAX($D$16,POWER((ABS(K1515)^2)/($I$5*MAX(F1515,0.1)^2),1/3)))),MAX($D$16,IFERROR(W1515,MAX($D$16,POWER((ABS(K1515)^2)/($I$5*MAX(F1515,0.1)^2),1/3))))),IF(IFERROR(V1515,0)=1,MAX($D$16,IFERROR(L1515,MAX($D$16,POWER((ABS(K1515)^2)/($I$5*MAX(F1515,0.1)^2),1/3)))),IF(IFERROR(AG1515,0)=1,MAX($D$16,IFERROR(W1515,MAX($D$16,POWER((ABS(K1515)^2)/($I$5*MAX(F1515,0.1)^2),1/3)))),MAX($D$16,POWER((ABS(K1515)^2)/($I$5*MAX(F1515,0.1)^2),1/3))))))),MAX($D$16,POWER((ABS(K1515)^2)/($I$5*MAX(F1515,0.1)^2),1/3)))</f>
        <v>0.16166787591133316</v>
      </c>
      <c r="AI1515">
        <f t="shared" ca="1" si="765"/>
        <v>622.72296787591131</v>
      </c>
      <c r="AJ1515">
        <f t="shared" ca="1" si="766"/>
        <v>622.80380181386693</v>
      </c>
      <c r="AM1515">
        <v>0</v>
      </c>
      <c r="AN1515">
        <v>0</v>
      </c>
      <c r="AO1515">
        <f t="shared" si="767"/>
        <v>0</v>
      </c>
      <c r="AP1515">
        <f t="shared" ca="1" si="776"/>
        <v>0</v>
      </c>
      <c r="AQ1515">
        <f t="shared" ca="1" si="768"/>
        <v>0.99999999999999967</v>
      </c>
      <c r="AR1515" t="str">
        <f t="shared" ca="1" si="769"/>
        <v>Supercritical</v>
      </c>
      <c r="AS1515">
        <f t="shared" ca="1" si="770"/>
        <v>4.4044695950296552E-3</v>
      </c>
    </row>
    <row r="1516" spans="1:45" x14ac:dyDescent="0.35">
      <c r="A1516">
        <v>39</v>
      </c>
      <c r="B1516">
        <v>38</v>
      </c>
      <c r="C1516">
        <v>616065.73</v>
      </c>
      <c r="D1516">
        <v>3096583.8679999998</v>
      </c>
      <c r="E1516">
        <v>621.97799999999995</v>
      </c>
      <c r="F1516">
        <v>5.0049999999999999</v>
      </c>
      <c r="G1516">
        <v>0</v>
      </c>
      <c r="H1516" t="s">
        <v>154</v>
      </c>
      <c r="I1516">
        <v>0</v>
      </c>
      <c r="J1516">
        <f t="shared" si="771"/>
        <v>1</v>
      </c>
      <c r="K1516">
        <f t="shared" ca="1" si="772"/>
        <v>1.0190000000000001</v>
      </c>
      <c r="L1516">
        <f t="shared" ca="1" si="773"/>
        <v>0.05</v>
      </c>
      <c r="M1516">
        <f t="shared" ca="1" si="746"/>
        <v>0.25025000000000003</v>
      </c>
      <c r="N1516">
        <f t="shared" ca="1" si="747"/>
        <v>4.9020568070519112E-2</v>
      </c>
      <c r="O1516">
        <f t="shared" ca="1" si="748"/>
        <v>4.0719280719280722</v>
      </c>
      <c r="P1516">
        <f t="shared" ca="1" si="749"/>
        <v>622.02799999999991</v>
      </c>
      <c r="Q1516">
        <f t="shared" ca="1" si="750"/>
        <v>622.8730865557061</v>
      </c>
      <c r="R1516">
        <f t="shared" ca="1" si="751"/>
        <v>0.20794329794037705</v>
      </c>
      <c r="S1516">
        <f t="shared" ca="1" si="752"/>
        <v>5.8140744945561584</v>
      </c>
      <c r="T1516">
        <f t="shared" ca="1" si="753"/>
        <v>0.42922207113095878</v>
      </c>
      <c r="U1516">
        <f t="shared" ca="1" si="774"/>
        <v>0.37535670205966198</v>
      </c>
      <c r="V1516">
        <f t="shared" ca="1" si="775"/>
        <v>0</v>
      </c>
      <c r="W1516">
        <f ca="1">MAX($D$16,(P7)-E1516)</f>
        <v>1.5953826383428122</v>
      </c>
      <c r="X1516">
        <f t="shared" ca="1" si="755"/>
        <v>7.9848901049057748</v>
      </c>
      <c r="Y1516">
        <f t="shared" ca="1" si="756"/>
        <v>0.97427022801888652</v>
      </c>
      <c r="Z1516">
        <f t="shared" ca="1" si="757"/>
        <v>0.12761603310907743</v>
      </c>
      <c r="AA1516">
        <f t="shared" ca="1" si="758"/>
        <v>623.57338263834276</v>
      </c>
      <c r="AB1516">
        <f t="shared" ca="1" si="759"/>
        <v>623.57421270215048</v>
      </c>
      <c r="AC1516">
        <f t="shared" ca="1" si="760"/>
        <v>3.7939105809277171E-6</v>
      </c>
      <c r="AD1516">
        <f t="shared" ca="1" si="761"/>
        <v>3.2258064516129822E-2</v>
      </c>
      <c r="AE1516">
        <f t="shared" ca="1" si="762"/>
        <v>6.3827334577896142</v>
      </c>
      <c r="AF1516">
        <v>0</v>
      </c>
      <c r="AG1516">
        <v>1</v>
      </c>
      <c r="AH1516">
        <f ca="1">IFERROR(IF(V34="Supercritical",MAX($D$16,IFERROR(L1516,MAX($D$16,POWER((ABS(K1516)^2)/($I$5*MAX(F1516,0.1)^2),1/3)))),IF(V34="Subcritical",MAX($D$16,IFERROR(W1516,MAX($D$16,POWER((ABS(K1516)^2)/($I$5*MAX(F1516,0.1)^2),1/3)))),IF(AND(IFERROR(V1516,0)=1,IFERROR(AG1516,0)=1),IF(IFERROR(T1516,-1E+99)&gt;=IFERROR(AE1516,-1E+99),MAX($D$16,IFERROR(L1516,MAX($D$16,POWER((ABS(K1516)^2)/($I$5*MAX(F1516,0.1)^2),1/3)))),MAX($D$16,IFERROR(W1516,MAX($D$16,POWER((ABS(K1516)^2)/($I$5*MAX(F1516,0.1)^2),1/3))))),IF(IFERROR(V1516,0)=1,MAX($D$16,IFERROR(L1516,MAX($D$16,POWER((ABS(K1516)^2)/($I$5*MAX(F1516,0.1)^2),1/3)))),IF(IFERROR(AG1516,0)=1,MAX($D$16,IFERROR(W1516,MAX($D$16,POWER((ABS(K1516)^2)/($I$5*MAX(F1516,0.1)^2),1/3)))),MAX($D$16,POWER((ABS(K1516)^2)/($I$5*MAX(F1516,0.1)^2),1/3))))))),MAX($D$16,POWER((ABS(K1516)^2)/($I$5*MAX(F1516,0.1)^2),1/3)))</f>
        <v>1.5953826383428122</v>
      </c>
      <c r="AI1516">
        <f t="shared" ca="1" si="765"/>
        <v>623.57338263834276</v>
      </c>
      <c r="AJ1516">
        <f t="shared" ca="1" si="766"/>
        <v>623.57421270215048</v>
      </c>
      <c r="AM1516">
        <v>0</v>
      </c>
      <c r="AN1516">
        <v>0</v>
      </c>
      <c r="AO1516">
        <f ca="1">AM1516+AN1516+MAX(0,K1516-(AM1516+AN1516)-0.05)</f>
        <v>0.96900000000000008</v>
      </c>
      <c r="AP1516">
        <f t="shared" ca="1" si="776"/>
        <v>0.96900000000000008</v>
      </c>
      <c r="AQ1516">
        <f t="shared" ca="1" si="768"/>
        <v>3.2258064516129822E-2</v>
      </c>
      <c r="AR1516" t="str">
        <f t="shared" ca="1" si="769"/>
        <v>Subcritical</v>
      </c>
      <c r="AS1516">
        <f t="shared" ca="1" si="770"/>
        <v>3.7939105809277171E-6</v>
      </c>
    </row>
    <row r="1519" spans="1:45" x14ac:dyDescent="0.35">
      <c r="A1519" t="s">
        <v>159</v>
      </c>
      <c r="E1519">
        <f>E35</f>
        <v>34.930999999999997</v>
      </c>
      <c r="F1519" t="s">
        <v>104</v>
      </c>
      <c r="H1519">
        <f ca="1">N35</f>
        <v>49.931000000000004</v>
      </c>
      <c r="I1519" t="s">
        <v>13</v>
      </c>
      <c r="K1519" t="str">
        <f>V35</f>
        <v>Mixed</v>
      </c>
      <c r="L1519" t="s">
        <v>105</v>
      </c>
    </row>
    <row r="1520" spans="1:45" x14ac:dyDescent="0.35">
      <c r="A1520" t="s">
        <v>106</v>
      </c>
      <c r="B1520" t="s">
        <v>107</v>
      </c>
      <c r="C1520" t="s">
        <v>108</v>
      </c>
      <c r="D1520" t="s">
        <v>109</v>
      </c>
      <c r="E1520" t="s">
        <v>110</v>
      </c>
      <c r="F1520" t="s">
        <v>111</v>
      </c>
      <c r="G1520" t="s">
        <v>112</v>
      </c>
      <c r="H1520" t="s">
        <v>9</v>
      </c>
      <c r="I1520" t="s">
        <v>113</v>
      </c>
      <c r="J1520" t="s">
        <v>114</v>
      </c>
      <c r="K1520" t="s">
        <v>115</v>
      </c>
      <c r="L1520" t="s">
        <v>116</v>
      </c>
      <c r="M1520" t="s">
        <v>117</v>
      </c>
      <c r="N1520" t="s">
        <v>118</v>
      </c>
      <c r="O1520" t="s">
        <v>119</v>
      </c>
      <c r="P1520" t="s">
        <v>120</v>
      </c>
      <c r="Q1520" t="s">
        <v>121</v>
      </c>
      <c r="R1520" t="s">
        <v>122</v>
      </c>
      <c r="S1520" t="s">
        <v>123</v>
      </c>
      <c r="T1520" t="s">
        <v>124</v>
      </c>
      <c r="U1520" t="s">
        <v>125</v>
      </c>
      <c r="V1520" t="s">
        <v>126</v>
      </c>
      <c r="W1520" t="s">
        <v>127</v>
      </c>
      <c r="X1520" t="s">
        <v>128</v>
      </c>
      <c r="Y1520" t="s">
        <v>129</v>
      </c>
      <c r="Z1520" t="s">
        <v>130</v>
      </c>
      <c r="AA1520" t="s">
        <v>131</v>
      </c>
      <c r="AB1520" t="s">
        <v>132</v>
      </c>
      <c r="AC1520" t="s">
        <v>133</v>
      </c>
      <c r="AD1520" t="s">
        <v>134</v>
      </c>
      <c r="AE1520" t="s">
        <v>135</v>
      </c>
      <c r="AF1520" t="s">
        <v>136</v>
      </c>
      <c r="AG1520" t="s">
        <v>137</v>
      </c>
      <c r="AH1520" t="s">
        <v>138</v>
      </c>
      <c r="AI1520" t="s">
        <v>139</v>
      </c>
      <c r="AJ1520" t="s">
        <v>140</v>
      </c>
      <c r="AK1520" t="s">
        <v>141</v>
      </c>
      <c r="AL1520" t="s">
        <v>142</v>
      </c>
      <c r="AM1520" t="s">
        <v>143</v>
      </c>
      <c r="AN1520" t="s">
        <v>144</v>
      </c>
      <c r="AO1520" t="s">
        <v>145</v>
      </c>
      <c r="AP1520" t="s">
        <v>146</v>
      </c>
      <c r="AQ1520" t="s">
        <v>147</v>
      </c>
      <c r="AR1520" t="s">
        <v>148</v>
      </c>
      <c r="AS1520" t="s">
        <v>149</v>
      </c>
    </row>
    <row r="1521" spans="1:45" x14ac:dyDescent="0.35">
      <c r="A1521" t="s">
        <v>22</v>
      </c>
      <c r="B1521" t="s">
        <v>54</v>
      </c>
      <c r="C1521" t="s">
        <v>54</v>
      </c>
      <c r="D1521" t="s">
        <v>54</v>
      </c>
      <c r="E1521" t="s">
        <v>54</v>
      </c>
      <c r="F1521" t="s">
        <v>54</v>
      </c>
      <c r="G1521" t="s">
        <v>22</v>
      </c>
      <c r="H1521" t="s">
        <v>22</v>
      </c>
      <c r="I1521" t="s">
        <v>150</v>
      </c>
      <c r="J1521" t="s">
        <v>54</v>
      </c>
      <c r="K1521" t="s">
        <v>13</v>
      </c>
      <c r="L1521" t="s">
        <v>54</v>
      </c>
      <c r="M1521" t="s">
        <v>151</v>
      </c>
      <c r="N1521" t="s">
        <v>54</v>
      </c>
      <c r="O1521" t="s">
        <v>152</v>
      </c>
      <c r="P1521" t="s">
        <v>54</v>
      </c>
      <c r="Q1521" t="s">
        <v>54</v>
      </c>
      <c r="R1521" t="s">
        <v>22</v>
      </c>
      <c r="S1521" t="s">
        <v>22</v>
      </c>
      <c r="T1521" t="s">
        <v>153</v>
      </c>
      <c r="U1521" t="s">
        <v>54</v>
      </c>
      <c r="V1521" t="s">
        <v>22</v>
      </c>
      <c r="W1521" t="s">
        <v>54</v>
      </c>
      <c r="X1521" t="s">
        <v>151</v>
      </c>
      <c r="Y1521" t="s">
        <v>54</v>
      </c>
      <c r="Z1521" t="s">
        <v>152</v>
      </c>
      <c r="AA1521" t="s">
        <v>54</v>
      </c>
      <c r="AB1521" t="s">
        <v>54</v>
      </c>
      <c r="AC1521" t="s">
        <v>22</v>
      </c>
      <c r="AD1521" t="s">
        <v>22</v>
      </c>
      <c r="AE1521" t="s">
        <v>153</v>
      </c>
      <c r="AF1521" t="s">
        <v>54</v>
      </c>
      <c r="AG1521" t="s">
        <v>22</v>
      </c>
      <c r="AH1521" t="s">
        <v>54</v>
      </c>
      <c r="AI1521" t="s">
        <v>54</v>
      </c>
      <c r="AJ1521" t="s">
        <v>54</v>
      </c>
      <c r="AK1521" t="s">
        <v>54</v>
      </c>
      <c r="AL1521" t="s">
        <v>54</v>
      </c>
      <c r="AM1521" t="s">
        <v>13</v>
      </c>
      <c r="AN1521" t="s">
        <v>13</v>
      </c>
      <c r="AO1521" t="s">
        <v>13</v>
      </c>
      <c r="AP1521" t="s">
        <v>13</v>
      </c>
      <c r="AQ1521" t="s">
        <v>22</v>
      </c>
      <c r="AR1521" t="s">
        <v>22</v>
      </c>
      <c r="AS1521" t="s">
        <v>22</v>
      </c>
    </row>
    <row r="1522" spans="1:45" x14ac:dyDescent="0.35">
      <c r="A1522">
        <v>1</v>
      </c>
      <c r="B1522">
        <v>0</v>
      </c>
      <c r="C1522">
        <v>616065.73</v>
      </c>
      <c r="D1522">
        <v>3096621.8679999998</v>
      </c>
      <c r="E1522">
        <v>631.5</v>
      </c>
      <c r="F1522">
        <v>10.206</v>
      </c>
      <c r="G1522">
        <v>0</v>
      </c>
      <c r="H1522" t="s">
        <v>155</v>
      </c>
      <c r="I1522">
        <v>0</v>
      </c>
      <c r="J1522">
        <v>0</v>
      </c>
      <c r="K1522">
        <f ca="1">N35</f>
        <v>49.931000000000004</v>
      </c>
      <c r="L1522">
        <f>MAX($D$16,($I$14)-E1522)</f>
        <v>0.05</v>
      </c>
      <c r="M1522">
        <f t="shared" ref="M1522:M1557" si="778">((F1522)+(G1522)*(L1522))*(L1522)</f>
        <v>0.51029999999999998</v>
      </c>
      <c r="N1522">
        <f t="shared" ref="N1522:N1557" si="779">(((F1522)+(G1522)*(L1522))*(L1522))/MAX((F1522)+2*(L1522)*SQRT(1+(G1522)^2),0.000001)</f>
        <v>4.9514845720939261E-2</v>
      </c>
      <c r="O1522">
        <f t="shared" ref="O1522:O1557" ca="1" si="780">ABS(K1522)/MAX(((F1522)+(G1522)*(L1522))*(L1522),0.000001)</f>
        <v>97.846364883401932</v>
      </c>
      <c r="P1522">
        <f t="shared" ref="P1522:P1557" si="781">E1522+L1522</f>
        <v>631.54999999999995</v>
      </c>
      <c r="Q1522">
        <f t="shared" ref="Q1522:Q1557" ca="1" si="782">P1522+((ABS(K1522)/MAX(((F1522)+(G1522)*(L1522))*(L1522),0.000001))^2)/(2*$I$5)</f>
        <v>1119.5169276705315</v>
      </c>
      <c r="R1522">
        <f t="shared" ref="R1522:R1557" ca="1" si="783">((ABS(K1522)*$D$6)/(MAX(((F1522)+(G1522)*(L1522))*(L1522),0.000001)*MAX(((((F1522)+(G1522)*(L1522))*(L1522))/MAX((F1522)+2*(L1522)*SQRT(1+(G1522)^2),0.000001))^(2/3),0.000001)))^2</f>
        <v>118.47444127373126</v>
      </c>
      <c r="S1522">
        <f t="shared" ref="S1522:S1557" ca="1" si="784">ABS(ABS(K1522)/MAX(((F1522)+(G1522)*(L1522))*(L1522),0.000001))/SQRT($I$5*MAX((((F1522)+(G1522)*(L1522))*(L1522))/MAX((F1522)+2*(G1522)*(L1522),0.000001),0.000001))</f>
        <v>139.70925920217766</v>
      </c>
      <c r="T1522">
        <f t="shared" ref="T1522:T1557" ca="1" si="785">((F1522)*(L1522)^2)/2+(G1522)*(L1522)^3/3+(ABS(K1522)^2)/($I$5*MAX(((F1522)+(G1522)*(L1522))*(L1522),0.000001))</f>
        <v>498.0318038805446</v>
      </c>
      <c r="U1522">
        <v>0</v>
      </c>
      <c r="V1522">
        <v>1</v>
      </c>
      <c r="W1522">
        <f t="shared" ref="W1522:W1556" ca="1" si="786">IF($D$20=0,IFERROR(W1523,MAX($D$16,POWER((ABS(K1522)^2)/($I$5*MAX(F1522,0.1)^2),1/3))),IF(IFERROR(AG1523,0)=0,IFERROR(W1523,MAX($D$16,POWER((ABS(K1522)^2)/($I$5*MAX(F1522,0.1)^2),1/3))),IF(OR(IFERROR(W1522,0)=0,IFERROR(AD1523,0)&gt;1),MAX($D$16,POWER((ABS(K1522)^2)/($I$5*MAX(F1522,0.1)^2),1/3)),IF(IFERROR(AF1522,0)&gt;0,MAX($D$16,IFERROR(W1522,0)+((IFERROR(AF1522,0))*$D$18*IF((IFERROR(AD1522,0))&lt;1,1,-1))),IF(IFERROR(AF1522,0)&lt;0,IF(ABS((MAX($D$16,POWER((ABS(K1522)^2)/($I$5*MAX(F1522,0.1)^2),1/3)))-IFERROR(W1522,0))&gt;$D$19,MAX($D$16,IF((MAX($D$16,POWER((ABS(K1522)^2)/($I$5*MAX(F1522,0.1)^2),1/3)))&gt;IFERROR(W1522,0),MIN((MAX($D$16,POWER((ABS(K1522)^2)/($I$5*MAX(F1522,0.1)^2),1/3))),IFERROR(W1522,0)+(MIN(ABS(IFERROR(AF1522,0))*$D$18,ABS((MAX($D$16,POWER((ABS(K1522)^2)/($I$5*MAX(F1522,0.1)^2),1/3)))-IFERROR(W1522,0))))),MAX((MAX($D$16,POWER((ABS(K1522)^2)/($I$5*MAX(F1522,0.1)^2),1/3))),IFERROR(W1522,0)-(MIN(ABS(IFERROR(AF1522,0))*$D$18,ABS((MAX($D$16,POWER((ABS(K1522)^2)/($I$5*MAX(F1522,0.1)^2),1/3)))-IFERROR(W1522,0))))))),MAX($D$16,POWER((ABS(K1522)^2)/($I$5*MAX(F1522,0.1)^2),1/3))),MAX($D$16,IFERROR(W1522,0)))))))</f>
        <v>1.8523890214986511</v>
      </c>
      <c r="X1522">
        <f t="shared" ref="X1522:X1557" ca="1" si="787">((F1522)+(G1522)*(W1522))*(W1522)</f>
        <v>18.905482353415234</v>
      </c>
      <c r="Y1522">
        <f t="shared" ref="Y1522:Y1557" ca="1" si="788">(((F1522)+(G1522)*(W1522))*(W1522))/MAX((F1522)+2*(W1522)*SQRT(1+(G1522)^2),0.000001)</f>
        <v>1.3590528362237992</v>
      </c>
      <c r="Z1522">
        <f t="shared" ref="Z1522:Z1557" ca="1" si="789">ABS(K1522)/MAX(((F1522)+(G1522)*(W1522))*(W1522),0.000001)</f>
        <v>2.6410857478587464</v>
      </c>
      <c r="AA1522">
        <f t="shared" ref="AA1522:AA1557" ca="1" si="790">E1522+W1522</f>
        <v>633.35238902149865</v>
      </c>
      <c r="AB1522">
        <f t="shared" ref="AB1522:AB1557" ca="1" si="791">AA1522+((ABS(K1522)/MAX(((F1522)+(G1522)*(W1522))*(W1522),0.000001))^2)/(2*$I$5)</f>
        <v>633.70791062840703</v>
      </c>
      <c r="AC1522">
        <f t="shared" ref="AC1522:AC1557" ca="1" si="792">((ABS(K1522)*$D$6)/(MAX(((F1522)+(G1522)*(W1522))*(W1522),0.000001)*MAX(((((F1522)+(G1522)*(W1522))*(W1522))/MAX((F1522)+2*(W1522)*SQRT(1+(G1522)^2),0.000001))^(2/3),0.000001)))^2</f>
        <v>1.0425552182976329E-3</v>
      </c>
      <c r="AD1522">
        <f t="shared" ref="AD1522:AD1557" ca="1" si="793">ABS(ABS(K1522)/MAX(((F1522)+(G1522)*(W1522))*(W1522),0.000001))/SQRT($I$5*MAX((((F1522)+(G1522)*(W1522))*(W1522))/MAX((F1522)+2*(G1522)*(W1522),0.000001),0.000001))</f>
        <v>0.61955789955123552</v>
      </c>
      <c r="AE1522">
        <f t="shared" ref="AE1522:AE1557" ca="1" si="794">((F1522)*(W1522)^2)/2+(G1522)*(W1522)^3/3+(ABS(K1522)^2)/($I$5*MAX(((F1522)+(G1522)*(W1522))*(W1522),0.000001))</f>
        <v>30.952768910130182</v>
      </c>
      <c r="AF1522">
        <f t="shared" ref="AF1522:AF1556" ca="1" si="795">IF($D$20=0,0,IFERROR(AB1523+(((AC1522+AC1523)/2)*J1523)+(IF(Z1522&gt;Z1523,$D$8*((Z1522^2-Z1523^2)/(2*$I$5)),$D$9*((Z1523^2-Z1522^2)/(2*$I$5)))+($D$10*(ABS(I1523)/90)*(MAX(Z1522^2,Z1523^2)/(2*$I$5))))-AB1522,0))</f>
        <v>-7.1657510509567146E-2</v>
      </c>
      <c r="AG1522">
        <f t="shared" ref="AG1522:AG1556" ca="1" si="796">IF($D$20=0,1,IFERROR(IF(ROUND(AD1522,3)=1,1,IF(AND(ABS(AF1522)&lt;$D$19,AD1522&lt;1),1,0)),0))</f>
        <v>0</v>
      </c>
      <c r="AH1522">
        <f ca="1">IFERROR(IF(V35="Supercritical",MAX($D$16,IFERROR(L1522,MAX($D$16,POWER((ABS(K1522)^2)/($I$5*MAX(F1522,0.1)^2),1/3)))),IF(V35="Subcritical",MAX($D$16,IFERROR(W1522,MAX($D$16,POWER((ABS(K1522)^2)/($I$5*MAX(F1522,0.1)^2),1/3)))),IF(AND(IFERROR(V1522,0)=1,IFERROR(AG1522,0)=1),IF(IFERROR(T1522,-1E+99)&gt;=IFERROR(AE1522,-1E+99),MAX($D$16,IFERROR(L1522,MAX($D$16,POWER((ABS(K1522)^2)/($I$5*MAX(F1522,0.1)^2),1/3)))),MAX($D$16,IFERROR(W1522,MAX($D$16,POWER((ABS(K1522)^2)/($I$5*MAX(F1522,0.1)^2),1/3))))),IF(IFERROR(V1522,0)=1,MAX($D$16,IFERROR(L1522,MAX($D$16,POWER((ABS(K1522)^2)/($I$5*MAX(F1522,0.1)^2),1/3)))),IF(IFERROR(AG1522,0)=1,MAX($D$16,IFERROR(W1522,MAX($D$16,POWER((ABS(K1522)^2)/($I$5*MAX(F1522,0.1)^2),1/3)))),MAX($D$16,POWER((ABS(K1522)^2)/($I$5*MAX(F1522,0.1)^2),1/3))))))),MAX($D$16,POWER((ABS(K1522)^2)/($I$5*MAX(F1522,0.1)^2),1/3)))</f>
        <v>0.05</v>
      </c>
      <c r="AI1522">
        <f t="shared" ref="AI1522:AI1557" ca="1" si="797">E1522+AH1522</f>
        <v>631.54999999999995</v>
      </c>
      <c r="AJ1522">
        <f t="shared" ref="AJ1522:AJ1557" ca="1" si="798">AI1522+((ABS(K1522)/MAX(((F1522)+(G1522)*(AH1522))*(AH1522),0.000001))^2)/(2*$I$5)</f>
        <v>1119.5169276705315</v>
      </c>
      <c r="AM1522">
        <v>0</v>
      </c>
      <c r="AN1522">
        <v>0</v>
      </c>
      <c r="AO1522">
        <f t="shared" ref="AO1522:AO1556" si="799">AM1522+AN1522</f>
        <v>0</v>
      </c>
      <c r="AP1522">
        <f>AO1522</f>
        <v>0</v>
      </c>
      <c r="AQ1522">
        <f t="shared" ref="AQ1522:AQ1557" ca="1" si="800">ABS(ABS(K1522)/MAX(((F1522)+(G1522)*(AH1522))*(AH1522),0.000001))/SQRT($I$5*MAX((((F1522)+(G1522)*(AH1522))*(AH1522))/MAX((F1522)+2*(G1522)*(AH1522),0.000001),0.000001))</f>
        <v>139.70925920217766</v>
      </c>
      <c r="AR1522" t="str">
        <f t="shared" ref="AR1522:AR1557" ca="1" si="801">IF(AQ1522&lt;1,"Subcritical","Supercritical")</f>
        <v>Supercritical</v>
      </c>
      <c r="AS1522">
        <f t="shared" ref="AS1522:AS1557" ca="1" si="802">((ABS(K1522)*$D$6)/(MAX(((F1522)+(G1522)*(AH1522))*(AH1522),0.000001)*MAX(((((F1522)+(G1522)*(AH1522))*(AH1522))/MAX((F1522)+2*(AH1522)*SQRT(1+(G1522)^2),0.000001))^(2/3),0.000001)))^2</f>
        <v>118.47444127373126</v>
      </c>
    </row>
    <row r="1523" spans="1:45" x14ac:dyDescent="0.35">
      <c r="A1523">
        <v>2</v>
      </c>
      <c r="B1523">
        <v>1</v>
      </c>
      <c r="C1523">
        <v>616066.68200000003</v>
      </c>
      <c r="D1523">
        <v>3096621.5619999999</v>
      </c>
      <c r="E1523">
        <v>631.5</v>
      </c>
      <c r="F1523">
        <v>12.125999999999999</v>
      </c>
      <c r="G1523">
        <v>0</v>
      </c>
      <c r="H1523" t="s">
        <v>155</v>
      </c>
      <c r="I1523">
        <v>7.1999999999999995E-2</v>
      </c>
      <c r="J1523">
        <f t="shared" ref="J1523:J1557" si="803">B1523-B1522</f>
        <v>1</v>
      </c>
      <c r="K1523">
        <f t="shared" ref="K1523:K1557" ca="1" si="804">MAX(0.05,K1522-AO1522)</f>
        <v>49.931000000000004</v>
      </c>
      <c r="L1523">
        <f t="shared" ref="L1523:L1557" ca="1" si="805">IF($D$20=0,IFERROR(L1522,MAX($D$16,POWER((ABS(K1523)^2)/($I$5*MAX(F1523,0.1)^2),1/3))),IF(IFERROR(V1522,0)=0,IFERROR(L1522,MAX($D$16,POWER((ABS(K1523)^2)/($I$5*MAX(F1523,0.1)^2),1/3))),IF(OR(IFERROR(L1523,0)=0,IFERROR(S1522,0)&lt;1,IFERROR(S1523,0)&lt;1),MAX($D$16,POWER((ABS(K1523)^2)/($I$5*MAX(F1523,0.1)^2),1/3)),IF(IFERROR(U1523,0)&gt;0,MAX($D$16,IFERROR(L1523,0)+((IFERROR(U1523,0))*$D$18*IF((IFERROR(S1523,0))&lt;1,1,-1))),IF(IFERROR(U1523,0)&lt;0,IF(ABS((MAX($D$16,POWER((ABS(K1523)^2)/($I$5*MAX(F1523,0.1)^2),1/3)))-IFERROR(L1523,0))&gt;$D$19,MAX($D$16,IF((MAX($D$16,POWER((ABS(K1523)^2)/($I$5*MAX(F1523,0.1)^2),1/3)))&gt;IFERROR(L1523,0),MIN((MAX($D$16,POWER((ABS(K1523)^2)/($I$5*MAX(F1523,0.1)^2),1/3))),IFERROR(L1523,0)+(MIN(ABS(IFERROR(U1523,0))*$D$18,ABS((MAX($D$16,POWER((ABS(K1523)^2)/($I$5*MAX(F1523,0.1)^2),1/3)))-IFERROR(L1523,0))))),MAX((MAX($D$16,POWER((ABS(K1523)^2)/($I$5*MAX(F1523,0.1)^2),1/3))),IFERROR(L1523,0)-(MIN(ABS(IFERROR(U1523,0))*$D$18,ABS((MAX($D$16,POWER((ABS(K1523)^2)/($I$5*MAX(F1523,0.1)^2),1/3)))-IFERROR(L1523,0))))))),MAX($D$16,POWER((ABS(K1523)^2)/($I$5*MAX(F1523,0.1)^2),1/3))),MAX($D$16,IFERROR(L1523,0)))))))</f>
        <v>0.28520098143965239</v>
      </c>
      <c r="M1523">
        <f t="shared" ca="1" si="778"/>
        <v>3.4583471009372246</v>
      </c>
      <c r="N1523">
        <f t="shared" ca="1" si="779"/>
        <v>0.27238796558650674</v>
      </c>
      <c r="O1523">
        <f t="shared" ca="1" si="780"/>
        <v>14.437822041190868</v>
      </c>
      <c r="P1523">
        <f t="shared" ca="1" si="781"/>
        <v>631.78520098143963</v>
      </c>
      <c r="Q1523">
        <f t="shared" ca="1" si="782"/>
        <v>642.40959982410516</v>
      </c>
      <c r="R1523">
        <f t="shared" ca="1" si="783"/>
        <v>0.26562482766721018</v>
      </c>
      <c r="S1523">
        <f t="shared" ca="1" si="784"/>
        <v>8.6316072855588946</v>
      </c>
      <c r="T1523">
        <f t="shared" ca="1" si="785"/>
        <v>73.978879867139113</v>
      </c>
      <c r="U1523">
        <f t="shared" ref="U1523:U1557" ca="1" si="806">IF($D$20=0,0,IFERROR(Q1522-(((R1522+R1523)/2)*J1523)-(IF(O1522&gt;O1523,$D$8*((O1522^2-O1523^2)/(2*$I$5)),$D$9*((O1523^2-O1522^2)/(2*$I$5)))+($D$10*(ABS(I1523)/90)*(MAX(O1522^2,O1523^2)/(2*$I$5))))-Q1523,0))</f>
        <v>274.4759801160468</v>
      </c>
      <c r="V1523">
        <f t="shared" ref="V1523:V1557" ca="1" si="807">IF($D$20=0,1,IFERROR(IF(ROUND(S1523,3)=1,1,IF(AND(ABS(U1523)&lt;$D$19,S1523&gt;1),1,0)),0))</f>
        <v>0</v>
      </c>
      <c r="W1523">
        <f t="shared" ca="1" si="786"/>
        <v>1.8523890214986511</v>
      </c>
      <c r="X1523">
        <f t="shared" ca="1" si="787"/>
        <v>22.462069274692642</v>
      </c>
      <c r="Y1523">
        <f t="shared" ca="1" si="788"/>
        <v>1.4188859962336893</v>
      </c>
      <c r="Z1523">
        <f t="shared" ca="1" si="789"/>
        <v>2.2229029476040219</v>
      </c>
      <c r="AA1523">
        <f t="shared" ca="1" si="790"/>
        <v>633.35238902149865</v>
      </c>
      <c r="AB1523">
        <f t="shared" ca="1" si="791"/>
        <v>633.60423904772017</v>
      </c>
      <c r="AC1523">
        <f t="shared" ca="1" si="792"/>
        <v>6.9731153859758812E-4</v>
      </c>
      <c r="AD1523">
        <f t="shared" ca="1" si="793"/>
        <v>0.52145867745504781</v>
      </c>
      <c r="AE1523">
        <f t="shared" ca="1" si="794"/>
        <v>32.118390733934262</v>
      </c>
      <c r="AF1523">
        <f t="shared" ca="1" si="795"/>
        <v>-3.6400762961875444E-2</v>
      </c>
      <c r="AG1523">
        <f t="shared" ca="1" si="796"/>
        <v>0</v>
      </c>
      <c r="AH1523">
        <f ca="1">IFERROR(IF(V35="Supercritical",MAX($D$16,IFERROR(L1523,MAX($D$16,POWER((ABS(K1523)^2)/($I$5*MAX(F1523,0.1)^2),1/3)))),IF(V35="Subcritical",MAX($D$16,IFERROR(W1523,MAX($D$16,POWER((ABS(K1523)^2)/($I$5*MAX(F1523,0.1)^2),1/3)))),IF(AND(IFERROR(V1523,0)=1,IFERROR(AG1523,0)=1),IF(IFERROR(T1523,-1E+99)&gt;=IFERROR(AE1523,-1E+99),MAX($D$16,IFERROR(L1523,MAX($D$16,POWER((ABS(K1523)^2)/($I$5*MAX(F1523,0.1)^2),1/3)))),MAX($D$16,IFERROR(W1523,MAX($D$16,POWER((ABS(K1523)^2)/($I$5*MAX(F1523,0.1)^2),1/3))))),IF(IFERROR(V1523,0)=1,MAX($D$16,IFERROR(L1523,MAX($D$16,POWER((ABS(K1523)^2)/($I$5*MAX(F1523,0.1)^2),1/3)))),IF(IFERROR(AG1523,0)=1,MAX($D$16,IFERROR(W1523,MAX($D$16,POWER((ABS(K1523)^2)/($I$5*MAX(F1523,0.1)^2),1/3)))),MAX($D$16,POWER((ABS(K1523)^2)/($I$5*MAX(F1523,0.1)^2),1/3))))))),MAX($D$16,POWER((ABS(K1523)^2)/($I$5*MAX(F1523,0.1)^2),1/3)))</f>
        <v>1.2000853412121766</v>
      </c>
      <c r="AI1523">
        <f t="shared" ca="1" si="797"/>
        <v>632.70008534121223</v>
      </c>
      <c r="AJ1523">
        <f t="shared" ca="1" si="798"/>
        <v>633.30012801181829</v>
      </c>
      <c r="AM1523">
        <v>0</v>
      </c>
      <c r="AN1523">
        <v>0</v>
      </c>
      <c r="AO1523">
        <f t="shared" si="799"/>
        <v>0</v>
      </c>
      <c r="AP1523">
        <f t="shared" ref="AP1523:AP1557" si="808">AP1522+AO1523</f>
        <v>0</v>
      </c>
      <c r="AQ1523">
        <f t="shared" ca="1" si="800"/>
        <v>1.0000000000000002</v>
      </c>
      <c r="AR1523" t="str">
        <f t="shared" ca="1" si="801"/>
        <v>Supercritical</v>
      </c>
      <c r="AS1523">
        <f t="shared" ca="1" si="802"/>
        <v>2.6425644430469438E-3</v>
      </c>
    </row>
    <row r="1524" spans="1:45" x14ac:dyDescent="0.35">
      <c r="A1524">
        <v>3</v>
      </c>
      <c r="B1524">
        <v>2.0009999999999999</v>
      </c>
      <c r="C1524">
        <v>616067.63500000001</v>
      </c>
      <c r="D1524">
        <v>3096621.2570000002</v>
      </c>
      <c r="E1524">
        <v>631.5</v>
      </c>
      <c r="F1524">
        <v>13.644</v>
      </c>
      <c r="G1524">
        <v>0</v>
      </c>
      <c r="H1524" t="s">
        <v>155</v>
      </c>
      <c r="I1524">
        <v>7.1999999999999995E-2</v>
      </c>
      <c r="J1524">
        <f t="shared" si="803"/>
        <v>1.0009999999999999</v>
      </c>
      <c r="K1524">
        <f t="shared" ca="1" si="804"/>
        <v>49.931000000000004</v>
      </c>
      <c r="L1524">
        <f t="shared" ca="1" si="805"/>
        <v>0.28520098143965239</v>
      </c>
      <c r="M1524">
        <f t="shared" ca="1" si="778"/>
        <v>3.8912821907626172</v>
      </c>
      <c r="N1524">
        <f t="shared" ca="1" si="779"/>
        <v>0.27375630722450661</v>
      </c>
      <c r="O1524">
        <f t="shared" ca="1" si="780"/>
        <v>12.831503230099711</v>
      </c>
      <c r="P1524">
        <f t="shared" ca="1" si="781"/>
        <v>631.78520098143963</v>
      </c>
      <c r="Q1524">
        <f t="shared" ca="1" si="782"/>
        <v>640.1770192864376</v>
      </c>
      <c r="R1524">
        <f t="shared" ca="1" si="783"/>
        <v>0.20841009334795901</v>
      </c>
      <c r="S1524">
        <f t="shared" ca="1" si="784"/>
        <v>7.6712745488630283</v>
      </c>
      <c r="T1524">
        <f t="shared" ca="1" si="785"/>
        <v>65.864764986640395</v>
      </c>
      <c r="U1524">
        <f t="shared" ca="1" si="806"/>
        <v>1.3242769705379942</v>
      </c>
      <c r="V1524">
        <f t="shared" ca="1" si="807"/>
        <v>0</v>
      </c>
      <c r="W1524">
        <f t="shared" ca="1" si="786"/>
        <v>1.8523890214986511</v>
      </c>
      <c r="X1524">
        <f t="shared" ca="1" si="787"/>
        <v>25.273995809327598</v>
      </c>
      <c r="Y1524">
        <f t="shared" ca="1" si="788"/>
        <v>1.4568170592008494</v>
      </c>
      <c r="Z1524">
        <f t="shared" ca="1" si="789"/>
        <v>1.9755878879101703</v>
      </c>
      <c r="AA1524">
        <f t="shared" ca="1" si="790"/>
        <v>633.35238902149865</v>
      </c>
      <c r="AB1524">
        <f t="shared" ca="1" si="791"/>
        <v>633.55131600941183</v>
      </c>
      <c r="AC1524">
        <f t="shared" ca="1" si="792"/>
        <v>5.3174310850573412E-4</v>
      </c>
      <c r="AD1524">
        <f t="shared" ca="1" si="793"/>
        <v>0.46344238660362858</v>
      </c>
      <c r="AE1524">
        <f t="shared" ca="1" si="794"/>
        <v>33.463995901062425</v>
      </c>
      <c r="AF1524">
        <f t="shared" ca="1" si="795"/>
        <v>-2.3539797866533263E-2</v>
      </c>
      <c r="AG1524">
        <f t="shared" ca="1" si="796"/>
        <v>0</v>
      </c>
      <c r="AH1524">
        <f ca="1">IFERROR(IF(V35="Supercritical",MAX($D$16,IFERROR(L1524,MAX($D$16,POWER((ABS(K1524)^2)/($I$5*MAX(F1524,0.1)^2),1/3)))),IF(V35="Subcritical",MAX($D$16,IFERROR(W1524,MAX($D$16,POWER((ABS(K1524)^2)/($I$5*MAX(F1524,0.1)^2),1/3)))),IF(AND(IFERROR(V1524,0)=1,IFERROR(AG1524,0)=1),IF(IFERROR(T1524,-1E+99)&gt;=IFERROR(AE1524,-1E+99),MAX($D$16,IFERROR(L1524,MAX($D$16,POWER((ABS(K1524)^2)/($I$5*MAX(F1524,0.1)^2),1/3)))),MAX($D$16,IFERROR(W1524,MAX($D$16,POWER((ABS(K1524)^2)/($I$5*MAX(F1524,0.1)^2),1/3))))),IF(IFERROR(V1524,0)=1,MAX($D$16,IFERROR(L1524,MAX($D$16,POWER((ABS(K1524)^2)/($I$5*MAX(F1524,0.1)^2),1/3)))),IF(IFERROR(AG1524,0)=1,MAX($D$16,IFERROR(W1524,MAX($D$16,POWER((ABS(K1524)^2)/($I$5*MAX(F1524,0.1)^2),1/3)))),MAX($D$16,POWER((ABS(K1524)^2)/($I$5*MAX(F1524,0.1)^2),1/3))))))),MAX($D$16,POWER((ABS(K1524)^2)/($I$5*MAX(F1524,0.1)^2),1/3)))</f>
        <v>1.1093349600386659</v>
      </c>
      <c r="AI1524">
        <f t="shared" ca="1" si="797"/>
        <v>632.60933496003872</v>
      </c>
      <c r="AJ1524">
        <f t="shared" ca="1" si="798"/>
        <v>633.16400244005808</v>
      </c>
      <c r="AM1524">
        <v>0</v>
      </c>
      <c r="AN1524">
        <v>0</v>
      </c>
      <c r="AO1524">
        <f t="shared" si="799"/>
        <v>0</v>
      </c>
      <c r="AP1524">
        <f t="shared" si="808"/>
        <v>0</v>
      </c>
      <c r="AQ1524">
        <f t="shared" ca="1" si="800"/>
        <v>0.99999999999999989</v>
      </c>
      <c r="AR1524" t="str">
        <f t="shared" ca="1" si="801"/>
        <v>Supercritical</v>
      </c>
      <c r="AS1524">
        <f t="shared" ca="1" si="802"/>
        <v>2.6066140247081094E-3</v>
      </c>
    </row>
    <row r="1525" spans="1:45" x14ac:dyDescent="0.35">
      <c r="A1525">
        <v>4</v>
      </c>
      <c r="B1525">
        <v>3.0009999999999999</v>
      </c>
      <c r="C1525">
        <v>616068.58700000006</v>
      </c>
      <c r="D1525">
        <v>3096620.9509999999</v>
      </c>
      <c r="E1525">
        <v>631.5</v>
      </c>
      <c r="F1525">
        <v>15</v>
      </c>
      <c r="G1525">
        <v>0</v>
      </c>
      <c r="H1525" t="s">
        <v>155</v>
      </c>
      <c r="I1525">
        <v>5.5E-2</v>
      </c>
      <c r="J1525">
        <f t="shared" si="803"/>
        <v>1</v>
      </c>
      <c r="K1525">
        <f t="shared" ca="1" si="804"/>
        <v>49.931000000000004</v>
      </c>
      <c r="L1525">
        <f t="shared" ca="1" si="805"/>
        <v>0.28520098143965239</v>
      </c>
      <c r="M1525">
        <f t="shared" ca="1" si="778"/>
        <v>4.2780147215947855</v>
      </c>
      <c r="N1525">
        <f t="shared" ca="1" si="779"/>
        <v>0.27475300456557306</v>
      </c>
      <c r="O1525">
        <f t="shared" ca="1" si="780"/>
        <v>11.671535338098698</v>
      </c>
      <c r="P1525">
        <f t="shared" ca="1" si="781"/>
        <v>631.78520098143963</v>
      </c>
      <c r="Q1525">
        <f t="shared" ca="1" si="782"/>
        <v>638.72835781877325</v>
      </c>
      <c r="R1525">
        <f t="shared" ca="1" si="783"/>
        <v>0.17159918843594449</v>
      </c>
      <c r="S1525">
        <f t="shared" ca="1" si="784"/>
        <v>6.9777913296458109</v>
      </c>
      <c r="T1525">
        <f t="shared" ca="1" si="785"/>
        <v>60.015901327515962</v>
      </c>
      <c r="U1525">
        <f t="shared" ca="1" si="806"/>
        <v>0.82328913646176716</v>
      </c>
      <c r="V1525">
        <f t="shared" ca="1" si="807"/>
        <v>0</v>
      </c>
      <c r="W1525">
        <f t="shared" ca="1" si="786"/>
        <v>1.8523890214986511</v>
      </c>
      <c r="X1525">
        <f t="shared" ca="1" si="787"/>
        <v>27.785835322479766</v>
      </c>
      <c r="Y1525">
        <f t="shared" ca="1" si="788"/>
        <v>1.4854939876114828</v>
      </c>
      <c r="Z1525">
        <f t="shared" ca="1" si="789"/>
        <v>1.796994742843091</v>
      </c>
      <c r="AA1525">
        <f t="shared" ca="1" si="790"/>
        <v>633.35238902149865</v>
      </c>
      <c r="AB1525">
        <f t="shared" ca="1" si="791"/>
        <v>633.51697567317069</v>
      </c>
      <c r="AC1525">
        <f t="shared" ca="1" si="792"/>
        <v>4.2866194818456113E-4</v>
      </c>
      <c r="AD1525">
        <f t="shared" ca="1" si="793"/>
        <v>0.42154719485466063</v>
      </c>
      <c r="AE1525">
        <f t="shared" ca="1" si="794"/>
        <v>34.881443351541563</v>
      </c>
      <c r="AF1525">
        <f t="shared" ca="1" si="795"/>
        <v>-1.3536997903088377E-2</v>
      </c>
      <c r="AG1525">
        <f t="shared" ca="1" si="796"/>
        <v>0</v>
      </c>
      <c r="AH1525">
        <f ca="1">IFERROR(IF(V35="Supercritical",MAX($D$16,IFERROR(L1525,MAX($D$16,POWER((ABS(K1525)^2)/($I$5*MAX(F1525,0.1)^2),1/3)))),IF(V35="Subcritical",MAX($D$16,IFERROR(W1525,MAX($D$16,POWER((ABS(K1525)^2)/($I$5*MAX(F1525,0.1)^2),1/3)))),IF(AND(IFERROR(V1525,0)=1,IFERROR(AG1525,0)=1),IF(IFERROR(T1525,-1E+99)&gt;=IFERROR(AE1525,-1E+99),MAX($D$16,IFERROR(L1525,MAX($D$16,POWER((ABS(K1525)^2)/($I$5*MAX(F1525,0.1)^2),1/3)))),MAX($D$16,IFERROR(W1525,MAX($D$16,POWER((ABS(K1525)^2)/($I$5*MAX(F1525,0.1)^2),1/3))))),IF(IFERROR(V1525,0)=1,MAX($D$16,IFERROR(L1525,MAX($D$16,POWER((ABS(K1525)^2)/($I$5*MAX(F1525,0.1)^2),1/3)))),IF(IFERROR(AG1525,0)=1,MAX($D$16,IFERROR(W1525,MAX($D$16,POWER((ABS(K1525)^2)/($I$5*MAX(F1525,0.1)^2),1/3)))),MAX($D$16,POWER((ABS(K1525)^2)/($I$5*MAX(F1525,0.1)^2),1/3))))))),MAX($D$16,POWER((ABS(K1525)^2)/($I$5*MAX(F1525,0.1)^2),1/3)))</f>
        <v>1.0414290012001877</v>
      </c>
      <c r="AI1525">
        <f t="shared" ca="1" si="797"/>
        <v>632.54142900120019</v>
      </c>
      <c r="AJ1525">
        <f t="shared" ca="1" si="798"/>
        <v>633.06214350180028</v>
      </c>
      <c r="AM1525">
        <v>0</v>
      </c>
      <c r="AN1525">
        <v>0</v>
      </c>
      <c r="AO1525">
        <f t="shared" si="799"/>
        <v>0</v>
      </c>
      <c r="AP1525">
        <f t="shared" si="808"/>
        <v>0</v>
      </c>
      <c r="AQ1525">
        <f t="shared" ca="1" si="800"/>
        <v>1.0000000000000002</v>
      </c>
      <c r="AR1525" t="str">
        <f t="shared" ca="1" si="801"/>
        <v>Supercritical</v>
      </c>
      <c r="AS1525">
        <f t="shared" ca="1" si="802"/>
        <v>2.589806592988339E-3</v>
      </c>
    </row>
    <row r="1526" spans="1:45" x14ac:dyDescent="0.35">
      <c r="A1526">
        <v>5</v>
      </c>
      <c r="B1526">
        <v>4</v>
      </c>
      <c r="C1526">
        <v>616069.53899999999</v>
      </c>
      <c r="D1526">
        <v>3096620.6460000002</v>
      </c>
      <c r="E1526">
        <v>631.5</v>
      </c>
      <c r="F1526">
        <v>16</v>
      </c>
      <c r="G1526">
        <v>0</v>
      </c>
      <c r="H1526" t="s">
        <v>155</v>
      </c>
      <c r="I1526">
        <v>5.5E-2</v>
      </c>
      <c r="J1526">
        <f t="shared" si="803"/>
        <v>0.99900000000000011</v>
      </c>
      <c r="K1526">
        <f t="shared" ca="1" si="804"/>
        <v>49.931000000000004</v>
      </c>
      <c r="L1526">
        <f t="shared" ca="1" si="805"/>
        <v>0.28520098143965239</v>
      </c>
      <c r="M1526">
        <f t="shared" ca="1" si="778"/>
        <v>4.5632157030344382</v>
      </c>
      <c r="N1526">
        <f t="shared" ca="1" si="779"/>
        <v>0.27538352498972962</v>
      </c>
      <c r="O1526">
        <f t="shared" ca="1" si="780"/>
        <v>10.94206437946753</v>
      </c>
      <c r="P1526">
        <f t="shared" ca="1" si="781"/>
        <v>631.78520098143963</v>
      </c>
      <c r="Q1526">
        <f t="shared" ca="1" si="782"/>
        <v>637.88758492050238</v>
      </c>
      <c r="R1526">
        <f t="shared" ca="1" si="783"/>
        <v>0.15035935124321165</v>
      </c>
      <c r="S1526">
        <f t="shared" ca="1" si="784"/>
        <v>6.5416793715429478</v>
      </c>
      <c r="T1526">
        <f t="shared" ca="1" si="785"/>
        <v>56.34370523186616</v>
      </c>
      <c r="U1526">
        <f t="shared" ca="1" si="806"/>
        <v>0.42708628217644673</v>
      </c>
      <c r="V1526">
        <f t="shared" ca="1" si="807"/>
        <v>0</v>
      </c>
      <c r="W1526">
        <f t="shared" ca="1" si="786"/>
        <v>1.8523890214986511</v>
      </c>
      <c r="X1526">
        <f t="shared" ca="1" si="787"/>
        <v>29.638224343978418</v>
      </c>
      <c r="Y1526">
        <f t="shared" ca="1" si="788"/>
        <v>1.5041135850048954</v>
      </c>
      <c r="Z1526">
        <f t="shared" ca="1" si="789"/>
        <v>1.6846825714153979</v>
      </c>
      <c r="AA1526">
        <f t="shared" ca="1" si="790"/>
        <v>633.35238902149865</v>
      </c>
      <c r="AB1526">
        <f t="shared" ca="1" si="791"/>
        <v>633.49704525831976</v>
      </c>
      <c r="AC1526">
        <f t="shared" ca="1" si="792"/>
        <v>3.7054802741740662E-4</v>
      </c>
      <c r="AD1526">
        <f t="shared" ca="1" si="793"/>
        <v>0.39520049517624434</v>
      </c>
      <c r="AE1526">
        <f t="shared" ca="1" si="794"/>
        <v>36.025468695071169</v>
      </c>
      <c r="AF1526">
        <f t="shared" ca="1" si="795"/>
        <v>-1.120225145632503E-2</v>
      </c>
      <c r="AG1526">
        <f t="shared" ca="1" si="796"/>
        <v>0</v>
      </c>
      <c r="AH1526">
        <f ca="1">IFERROR(IF(V35="Supercritical",MAX($D$16,IFERROR(L1526,MAX($D$16,POWER((ABS(K1526)^2)/($I$5*MAX(F1526,0.1)^2),1/3)))),IF(V35="Subcritical",MAX($D$16,IFERROR(W1526,MAX($D$16,POWER((ABS(K1526)^2)/($I$5*MAX(F1526,0.1)^2),1/3)))),IF(AND(IFERROR(V1526,0)=1,IFERROR(AG1526,0)=1),IF(IFERROR(T1526,-1E+99)&gt;=IFERROR(AE1526,-1E+99),MAX($D$16,IFERROR(L1526,MAX($D$16,POWER((ABS(K1526)^2)/($I$5*MAX(F1526,0.1)^2),1/3)))),MAX($D$16,IFERROR(W1526,MAX($D$16,POWER((ABS(K1526)^2)/($I$5*MAX(F1526,0.1)^2),1/3))))),IF(IFERROR(V1526,0)=1,MAX($D$16,IFERROR(L1526,MAX($D$16,POWER((ABS(K1526)^2)/($I$5*MAX(F1526,0.1)^2),1/3)))),IF(IFERROR(AG1526,0)=1,MAX($D$16,IFERROR(W1526,MAX($D$16,POWER((ABS(K1526)^2)/($I$5*MAX(F1526,0.1)^2),1/3)))),MAX($D$16,POWER((ABS(K1526)^2)/($I$5*MAX(F1526,0.1)^2),1/3))))))),MAX($D$16,POWER((ABS(K1526)^2)/($I$5*MAX(F1526,0.1)^2),1/3)))</f>
        <v>0.997571083484876</v>
      </c>
      <c r="AI1526">
        <f t="shared" ca="1" si="797"/>
        <v>632.4975710834849</v>
      </c>
      <c r="AJ1526">
        <f t="shared" ca="1" si="798"/>
        <v>632.99635662522735</v>
      </c>
      <c r="AM1526">
        <v>0</v>
      </c>
      <c r="AN1526">
        <v>0</v>
      </c>
      <c r="AO1526">
        <f t="shared" si="799"/>
        <v>0</v>
      </c>
      <c r="AP1526">
        <f t="shared" si="808"/>
        <v>0</v>
      </c>
      <c r="AQ1526">
        <f t="shared" ca="1" si="800"/>
        <v>1</v>
      </c>
      <c r="AR1526" t="str">
        <f t="shared" ca="1" si="801"/>
        <v>Supercritical</v>
      </c>
      <c r="AS1526">
        <f t="shared" ca="1" si="802"/>
        <v>2.5837508991050379E-3</v>
      </c>
    </row>
    <row r="1527" spans="1:45" x14ac:dyDescent="0.35">
      <c r="A1527">
        <v>6</v>
      </c>
      <c r="B1527">
        <v>5</v>
      </c>
      <c r="C1527">
        <v>616070.49100000004</v>
      </c>
      <c r="D1527">
        <v>3096620.34</v>
      </c>
      <c r="E1527">
        <v>631.5</v>
      </c>
      <c r="F1527">
        <v>17</v>
      </c>
      <c r="G1527">
        <v>0</v>
      </c>
      <c r="H1527" t="s">
        <v>155</v>
      </c>
      <c r="I1527">
        <v>5.5E-2</v>
      </c>
      <c r="J1527">
        <f t="shared" si="803"/>
        <v>1</v>
      </c>
      <c r="K1527">
        <f t="shared" ca="1" si="804"/>
        <v>49.931000000000004</v>
      </c>
      <c r="L1527">
        <f t="shared" ca="1" si="805"/>
        <v>0.28520098143965239</v>
      </c>
      <c r="M1527">
        <f t="shared" ca="1" si="778"/>
        <v>4.848416684474091</v>
      </c>
      <c r="N1527">
        <f t="shared" ca="1" si="779"/>
        <v>0.27594227466834625</v>
      </c>
      <c r="O1527">
        <f t="shared" ca="1" si="780"/>
        <v>10.298413533616497</v>
      </c>
      <c r="P1527">
        <f t="shared" ca="1" si="781"/>
        <v>631.78520098143963</v>
      </c>
      <c r="Q1527">
        <f t="shared" ca="1" si="782"/>
        <v>637.19077291361987</v>
      </c>
      <c r="R1527">
        <f t="shared" ca="1" si="783"/>
        <v>0.13283081951323897</v>
      </c>
      <c r="S1527">
        <f t="shared" ca="1" si="784"/>
        <v>6.1568747026286559</v>
      </c>
      <c r="T1527">
        <f t="shared" ca="1" si="785"/>
        <v>53.108316888634803</v>
      </c>
      <c r="U1527">
        <f t="shared" ca="1" si="806"/>
        <v>0.34561393424507969</v>
      </c>
      <c r="V1527">
        <f t="shared" ca="1" si="807"/>
        <v>0</v>
      </c>
      <c r="W1527">
        <f t="shared" ca="1" si="786"/>
        <v>1.8523890214986511</v>
      </c>
      <c r="X1527">
        <f t="shared" ca="1" si="787"/>
        <v>31.490613365477071</v>
      </c>
      <c r="Y1527">
        <f t="shared" ca="1" si="788"/>
        <v>1.5209346026352462</v>
      </c>
      <c r="Z1527">
        <f t="shared" ca="1" si="789"/>
        <v>1.5855835966262568</v>
      </c>
      <c r="AA1527">
        <f t="shared" ca="1" si="790"/>
        <v>633.35238902149865</v>
      </c>
      <c r="AB1527">
        <f t="shared" ca="1" si="791"/>
        <v>633.4805274181291</v>
      </c>
      <c r="AC1527">
        <f t="shared" ca="1" si="792"/>
        <v>3.2340501671678537E-4</v>
      </c>
      <c r="AD1527">
        <f t="shared" ca="1" si="793"/>
        <v>0.37195340722470055</v>
      </c>
      <c r="AE1527">
        <f t="shared" ca="1" si="794"/>
        <v>37.236746650360168</v>
      </c>
      <c r="AF1527">
        <f t="shared" ca="1" si="795"/>
        <v>-9.3775470614900769E-3</v>
      </c>
      <c r="AG1527">
        <f t="shared" ca="1" si="796"/>
        <v>0</v>
      </c>
      <c r="AH1527">
        <f ca="1">IFERROR(IF(V35="Supercritical",MAX($D$16,IFERROR(L1527,MAX($D$16,POWER((ABS(K1527)^2)/($I$5*MAX(F1527,0.1)^2),1/3)))),IF(V35="Subcritical",MAX($D$16,IFERROR(W1527,MAX($D$16,POWER((ABS(K1527)^2)/($I$5*MAX(F1527,0.1)^2),1/3)))),IF(AND(IFERROR(V1527,0)=1,IFERROR(AG1527,0)=1),IF(IFERROR(T1527,-1E+99)&gt;=IFERROR(AE1527,-1E+99),MAX($D$16,IFERROR(L1527,MAX($D$16,POWER((ABS(K1527)^2)/($I$5*MAX(F1527,0.1)^2),1/3)))),MAX($D$16,IFERROR(W1527,MAX($D$16,POWER((ABS(K1527)^2)/($I$5*MAX(F1527,0.1)^2),1/3))))),IF(IFERROR(V1527,0)=1,MAX($D$16,IFERROR(L1527,MAX($D$16,POWER((ABS(K1527)^2)/($I$5*MAX(F1527,0.1)^2),1/3)))),IF(IFERROR(AG1527,0)=1,MAX($D$16,IFERROR(W1527,MAX($D$16,POWER((ABS(K1527)^2)/($I$5*MAX(F1527,0.1)^2),1/3)))),MAX($D$16,POWER((ABS(K1527)^2)/($I$5*MAX(F1527,0.1)^2),1/3))))))),MAX($D$16,POWER((ABS(K1527)^2)/($I$5*MAX(F1527,0.1)^2),1/3)))</f>
        <v>0.95805672998382607</v>
      </c>
      <c r="AI1527">
        <f t="shared" ca="1" si="797"/>
        <v>632.45805672998381</v>
      </c>
      <c r="AJ1527">
        <f t="shared" ca="1" si="798"/>
        <v>632.93708509497571</v>
      </c>
      <c r="AM1527">
        <v>0</v>
      </c>
      <c r="AN1527">
        <v>0</v>
      </c>
      <c r="AO1527">
        <f t="shared" si="799"/>
        <v>0</v>
      </c>
      <c r="AP1527">
        <f t="shared" si="808"/>
        <v>0</v>
      </c>
      <c r="AQ1527">
        <f t="shared" ca="1" si="800"/>
        <v>0.99999999999999989</v>
      </c>
      <c r="AR1527" t="str">
        <f t="shared" ca="1" si="801"/>
        <v>Supercritical</v>
      </c>
      <c r="AS1527">
        <f t="shared" ca="1" si="802"/>
        <v>2.5816563707158394E-3</v>
      </c>
    </row>
    <row r="1528" spans="1:45" x14ac:dyDescent="0.35">
      <c r="A1528">
        <v>7</v>
      </c>
      <c r="B1528">
        <v>6</v>
      </c>
      <c r="C1528">
        <v>616071.44299999997</v>
      </c>
      <c r="D1528">
        <v>3096620.0350000001</v>
      </c>
      <c r="E1528">
        <v>631.5</v>
      </c>
      <c r="F1528">
        <v>18</v>
      </c>
      <c r="G1528">
        <v>0</v>
      </c>
      <c r="H1528" t="s">
        <v>155</v>
      </c>
      <c r="I1528">
        <v>3.6999999999999998E-2</v>
      </c>
      <c r="J1528">
        <f t="shared" si="803"/>
        <v>1</v>
      </c>
      <c r="K1528">
        <f t="shared" ca="1" si="804"/>
        <v>49.931000000000004</v>
      </c>
      <c r="L1528">
        <f t="shared" ca="1" si="805"/>
        <v>0.28520098143965239</v>
      </c>
      <c r="M1528">
        <f t="shared" ca="1" si="778"/>
        <v>5.1336176659137429</v>
      </c>
      <c r="N1528">
        <f t="shared" ca="1" si="779"/>
        <v>0.27644084797816543</v>
      </c>
      <c r="O1528">
        <f t="shared" ca="1" si="780"/>
        <v>9.7262794484155819</v>
      </c>
      <c r="P1528">
        <f t="shared" ca="1" si="781"/>
        <v>631.78520098143963</v>
      </c>
      <c r="Q1528">
        <f t="shared" ca="1" si="782"/>
        <v>636.60683767403248</v>
      </c>
      <c r="R1528">
        <f t="shared" ca="1" si="783"/>
        <v>0.11819698065295339</v>
      </c>
      <c r="S1528">
        <f t="shared" ca="1" si="784"/>
        <v>5.8148261080381758</v>
      </c>
      <c r="T1528">
        <f t="shared" ca="1" si="785"/>
        <v>50.236935005752187</v>
      </c>
      <c r="U1528">
        <f t="shared" ca="1" si="806"/>
        <v>0.28290742402555225</v>
      </c>
      <c r="V1528">
        <f t="shared" ca="1" si="807"/>
        <v>0</v>
      </c>
      <c r="W1528">
        <f t="shared" ca="1" si="786"/>
        <v>1.8523890214986511</v>
      </c>
      <c r="X1528">
        <f t="shared" ca="1" si="787"/>
        <v>33.343002386975719</v>
      </c>
      <c r="Y1528">
        <f t="shared" ca="1" si="788"/>
        <v>1.5362056373450594</v>
      </c>
      <c r="Z1528">
        <f t="shared" ca="1" si="789"/>
        <v>1.4974956190359092</v>
      </c>
      <c r="AA1528">
        <f t="shared" ca="1" si="790"/>
        <v>633.35238902149865</v>
      </c>
      <c r="AB1528">
        <f t="shared" ca="1" si="791"/>
        <v>633.46668530738202</v>
      </c>
      <c r="AC1528">
        <f t="shared" ca="1" si="792"/>
        <v>2.8465217059280002E-4</v>
      </c>
      <c r="AD1528">
        <f t="shared" ca="1" si="793"/>
        <v>0.35128932904555049</v>
      </c>
      <c r="AE1528">
        <f t="shared" ca="1" si="794"/>
        <v>38.504068448781979</v>
      </c>
      <c r="AF1528">
        <f t="shared" ca="1" si="795"/>
        <v>-7.9243506888815318E-3</v>
      </c>
      <c r="AG1528">
        <f t="shared" ca="1" si="796"/>
        <v>0</v>
      </c>
      <c r="AH1528">
        <f ca="1">IFERROR(IF(V35="Supercritical",MAX($D$16,IFERROR(L1528,MAX($D$16,POWER((ABS(K1528)^2)/($I$5*MAX(F1528,0.1)^2),1/3)))),IF(V35="Subcritical",MAX($D$16,IFERROR(W1528,MAX($D$16,POWER((ABS(K1528)^2)/($I$5*MAX(F1528,0.1)^2),1/3)))),IF(AND(IFERROR(V1528,0)=1,IFERROR(AG1528,0)=1),IF(IFERROR(T1528,-1E+99)&gt;=IFERROR(AE1528,-1E+99),MAX($D$16,IFERROR(L1528,MAX($D$16,POWER((ABS(K1528)^2)/($I$5*MAX(F1528,0.1)^2),1/3)))),MAX($D$16,IFERROR(W1528,MAX($D$16,POWER((ABS(K1528)^2)/($I$5*MAX(F1528,0.1)^2),1/3))))),IF(IFERROR(V1528,0)=1,MAX($D$16,IFERROR(L1528,MAX($D$16,POWER((ABS(K1528)^2)/($I$5*MAX(F1528,0.1)^2),1/3)))),IF(IFERROR(AG1528,0)=1,MAX($D$16,IFERROR(W1528,MAX($D$16,POWER((ABS(K1528)^2)/($I$5*MAX(F1528,0.1)^2),1/3)))),MAX($D$16,POWER((ABS(K1528)^2)/($I$5*MAX(F1528,0.1)^2),1/3))))))),MAX($D$16,POWER((ABS(K1528)^2)/($I$5*MAX(F1528,0.1)^2),1/3)))</f>
        <v>0.92223621026722269</v>
      </c>
      <c r="AI1528">
        <f t="shared" ca="1" si="797"/>
        <v>632.42223621026722</v>
      </c>
      <c r="AJ1528">
        <f t="shared" ca="1" si="798"/>
        <v>632.88335431540088</v>
      </c>
      <c r="AM1528">
        <v>0</v>
      </c>
      <c r="AN1528">
        <v>0</v>
      </c>
      <c r="AO1528">
        <f t="shared" si="799"/>
        <v>0</v>
      </c>
      <c r="AP1528">
        <f t="shared" si="808"/>
        <v>0</v>
      </c>
      <c r="AQ1528">
        <f t="shared" ca="1" si="800"/>
        <v>0.99999999999999989</v>
      </c>
      <c r="AR1528" t="str">
        <f t="shared" ca="1" si="801"/>
        <v>Supercritical</v>
      </c>
      <c r="AS1528">
        <f t="shared" ca="1" si="802"/>
        <v>2.5826181875166754E-3</v>
      </c>
    </row>
    <row r="1529" spans="1:45" x14ac:dyDescent="0.35">
      <c r="A1529">
        <v>8</v>
      </c>
      <c r="B1529">
        <v>7.0010000000000003</v>
      </c>
      <c r="C1529">
        <v>616072.39599999995</v>
      </c>
      <c r="D1529">
        <v>3096619.7289999998</v>
      </c>
      <c r="E1529">
        <v>631.5</v>
      </c>
      <c r="F1529">
        <v>19</v>
      </c>
      <c r="G1529">
        <v>0</v>
      </c>
      <c r="H1529" t="s">
        <v>155</v>
      </c>
      <c r="I1529">
        <v>3.6999999999999998E-2</v>
      </c>
      <c r="J1529">
        <f t="shared" si="803"/>
        <v>1.0010000000000003</v>
      </c>
      <c r="K1529">
        <f t="shared" ca="1" si="804"/>
        <v>49.931000000000004</v>
      </c>
      <c r="L1529">
        <f t="shared" ca="1" si="805"/>
        <v>0.28520098143965239</v>
      </c>
      <c r="M1529">
        <f t="shared" ca="1" si="778"/>
        <v>5.4188186473533957</v>
      </c>
      <c r="N1529">
        <f t="shared" ca="1" si="779"/>
        <v>0.27688846951798374</v>
      </c>
      <c r="O1529">
        <f t="shared" ca="1" si="780"/>
        <v>9.214370003762129</v>
      </c>
      <c r="P1529">
        <f t="shared" ca="1" si="781"/>
        <v>631.78520098143963</v>
      </c>
      <c r="Q1529">
        <f t="shared" ca="1" si="782"/>
        <v>636.11265330387755</v>
      </c>
      <c r="R1529">
        <f t="shared" ca="1" si="783"/>
        <v>0.10585401091944495</v>
      </c>
      <c r="S1529">
        <f t="shared" ca="1" si="784"/>
        <v>5.5087826286677446</v>
      </c>
      <c r="T1529">
        <f t="shared" ca="1" si="785"/>
        <v>47.672084878952674</v>
      </c>
      <c r="U1529">
        <f t="shared" ca="1" si="806"/>
        <v>0.23349420356373685</v>
      </c>
      <c r="V1529">
        <f t="shared" ca="1" si="807"/>
        <v>0</v>
      </c>
      <c r="W1529">
        <f t="shared" ca="1" si="786"/>
        <v>1.8523890214986511</v>
      </c>
      <c r="X1529">
        <f t="shared" ca="1" si="787"/>
        <v>35.195391408474372</v>
      </c>
      <c r="Y1529">
        <f t="shared" ca="1" si="788"/>
        <v>1.5501314895843907</v>
      </c>
      <c r="Z1529">
        <f t="shared" ca="1" si="789"/>
        <v>1.4186800601392824</v>
      </c>
      <c r="AA1529">
        <f t="shared" ca="1" si="790"/>
        <v>633.35238902149865</v>
      </c>
      <c r="AB1529">
        <f t="shared" ca="1" si="791"/>
        <v>633.4549707296045</v>
      </c>
      <c r="AC1529">
        <f t="shared" ca="1" si="792"/>
        <v>2.5242172438076898E-4</v>
      </c>
      <c r="AD1529">
        <f t="shared" ca="1" si="793"/>
        <v>0.33280041699052154</v>
      </c>
      <c r="AE1529">
        <f t="shared" ca="1" si="794"/>
        <v>39.818585062473531</v>
      </c>
      <c r="AF1529">
        <f t="shared" ca="1" si="795"/>
        <v>0.78976502867271847</v>
      </c>
      <c r="AG1529">
        <f t="shared" ca="1" si="796"/>
        <v>0</v>
      </c>
      <c r="AH1529">
        <f ca="1">IFERROR(IF(V35="Supercritical",MAX($D$16,IFERROR(L1529,MAX($D$16,POWER((ABS(K1529)^2)/($I$5*MAX(F1529,0.1)^2),1/3)))),IF(V35="Subcritical",MAX($D$16,IFERROR(W1529,MAX($D$16,POWER((ABS(K1529)^2)/($I$5*MAX(F1529,0.1)^2),1/3)))),IF(AND(IFERROR(V1529,0)=1,IFERROR(AG1529,0)=1),IF(IFERROR(T1529,-1E+99)&gt;=IFERROR(AE1529,-1E+99),MAX($D$16,IFERROR(L1529,MAX($D$16,POWER((ABS(K1529)^2)/($I$5*MAX(F1529,0.1)^2),1/3)))),MAX($D$16,IFERROR(W1529,MAX($D$16,POWER((ABS(K1529)^2)/($I$5*MAX(F1529,0.1)^2),1/3))))),IF(IFERROR(V1529,0)=1,MAX($D$16,IFERROR(L1529,MAX($D$16,POWER((ABS(K1529)^2)/($I$5*MAX(F1529,0.1)^2),1/3)))),IF(IFERROR(AG1529,0)=1,MAX($D$16,IFERROR(W1529,MAX($D$16,POWER((ABS(K1529)^2)/($I$5*MAX(F1529,0.1)^2),1/3)))),MAX($D$16,POWER((ABS(K1529)^2)/($I$5*MAX(F1529,0.1)^2),1/3))))))),MAX($D$16,POWER((ABS(K1529)^2)/($I$5*MAX(F1529,0.1)^2),1/3)))</f>
        <v>0.88958634155704097</v>
      </c>
      <c r="AI1529">
        <f t="shared" ca="1" si="797"/>
        <v>632.38958634155699</v>
      </c>
      <c r="AJ1529">
        <f t="shared" ca="1" si="798"/>
        <v>632.83437951233554</v>
      </c>
      <c r="AM1529">
        <v>0</v>
      </c>
      <c r="AN1529">
        <v>0</v>
      </c>
      <c r="AO1529">
        <f t="shared" si="799"/>
        <v>0</v>
      </c>
      <c r="AP1529">
        <f t="shared" si="808"/>
        <v>0</v>
      </c>
      <c r="AQ1529">
        <f t="shared" ca="1" si="800"/>
        <v>1</v>
      </c>
      <c r="AR1529" t="str">
        <f t="shared" ca="1" si="801"/>
        <v>Supercritical</v>
      </c>
      <c r="AS1529">
        <f t="shared" ca="1" si="802"/>
        <v>2.5859593386923889E-3</v>
      </c>
    </row>
    <row r="1530" spans="1:45" x14ac:dyDescent="0.35">
      <c r="A1530">
        <v>9</v>
      </c>
      <c r="B1530">
        <v>8</v>
      </c>
      <c r="C1530">
        <v>616073.348</v>
      </c>
      <c r="D1530">
        <v>3096619.4240000001</v>
      </c>
      <c r="E1530">
        <v>631.5</v>
      </c>
      <c r="F1530">
        <v>6.7240000000000002</v>
      </c>
      <c r="G1530">
        <v>0</v>
      </c>
      <c r="H1530" t="s">
        <v>154</v>
      </c>
      <c r="I1530">
        <v>5.5E-2</v>
      </c>
      <c r="J1530">
        <f t="shared" si="803"/>
        <v>0.99899999999999967</v>
      </c>
      <c r="K1530">
        <f t="shared" ca="1" si="804"/>
        <v>49.931000000000004</v>
      </c>
      <c r="L1530">
        <f t="shared" ca="1" si="805"/>
        <v>0.28520098143965239</v>
      </c>
      <c r="M1530">
        <f t="shared" ca="1" si="778"/>
        <v>1.9176913992002227</v>
      </c>
      <c r="N1530">
        <f t="shared" ca="1" si="779"/>
        <v>0.26289905724406448</v>
      </c>
      <c r="O1530">
        <f t="shared" ca="1" si="780"/>
        <v>26.037036001112501</v>
      </c>
      <c r="P1530">
        <f t="shared" ca="1" si="781"/>
        <v>631.78520098143963</v>
      </c>
      <c r="Q1530">
        <f t="shared" ca="1" si="782"/>
        <v>666.33806763399969</v>
      </c>
      <c r="R1530">
        <f t="shared" ca="1" si="783"/>
        <v>0.90569137856224924</v>
      </c>
      <c r="S1530">
        <f t="shared" ca="1" si="784"/>
        <v>15.566161502779172</v>
      </c>
      <c r="T1530">
        <f t="shared" ca="1" si="785"/>
        <v>132.79693412922839</v>
      </c>
      <c r="U1530">
        <f t="shared" ca="1" si="806"/>
        <v>-33.756390031290266</v>
      </c>
      <c r="V1530">
        <f t="shared" ca="1" si="807"/>
        <v>0</v>
      </c>
      <c r="W1530">
        <f t="shared" ca="1" si="786"/>
        <v>1.8523890214986511</v>
      </c>
      <c r="X1530">
        <f t="shared" ca="1" si="787"/>
        <v>12.455463780556931</v>
      </c>
      <c r="Y1530">
        <f t="shared" ca="1" si="788"/>
        <v>1.1943358780102242</v>
      </c>
      <c r="Z1530">
        <f t="shared" ca="1" si="789"/>
        <v>4.0087628112204587</v>
      </c>
      <c r="AA1530">
        <f t="shared" ca="1" si="790"/>
        <v>633.35238902149865</v>
      </c>
      <c r="AB1530">
        <f t="shared" ca="1" si="791"/>
        <v>634.17146034038876</v>
      </c>
      <c r="AC1530">
        <f t="shared" ca="1" si="792"/>
        <v>2.8534346770732653E-3</v>
      </c>
      <c r="AD1530">
        <f t="shared" ca="1" si="793"/>
        <v>0.94039380172812448</v>
      </c>
      <c r="AE1530">
        <f t="shared" ca="1" si="794"/>
        <v>31.940008474646646</v>
      </c>
      <c r="AF1530">
        <f t="shared" ca="1" si="795"/>
        <v>0.22197080897046817</v>
      </c>
      <c r="AG1530">
        <f t="shared" ca="1" si="796"/>
        <v>0</v>
      </c>
      <c r="AH1530">
        <f ca="1">IFERROR(IF(V35="Supercritical",MAX($D$16,IFERROR(L1530,MAX($D$16,POWER((ABS(K1530)^2)/($I$5*MAX(F1530,0.1)^2),1/3)))),IF(V35="Subcritical",MAX($D$16,IFERROR(W1530,MAX($D$16,POWER((ABS(K1530)^2)/($I$5*MAX(F1530,0.1)^2),1/3)))),IF(AND(IFERROR(V1530,0)=1,IFERROR(AG1530,0)=1),IF(IFERROR(T1530,-1E+99)&gt;=IFERROR(AE1530,-1E+99),MAX($D$16,IFERROR(L1530,MAX($D$16,POWER((ABS(K1530)^2)/($I$5*MAX(F1530,0.1)^2),1/3)))),MAX($D$16,IFERROR(W1530,MAX($D$16,POWER((ABS(K1530)^2)/($I$5*MAX(F1530,0.1)^2),1/3))))),IF(IFERROR(V1530,0)=1,MAX($D$16,IFERROR(L1530,MAX($D$16,POWER((ABS(K1530)^2)/($I$5*MAX(F1530,0.1)^2),1/3)))),IF(IFERROR(AG1530,0)=1,MAX($D$16,IFERROR(W1530,MAX($D$16,POWER((ABS(K1530)^2)/($I$5*MAX(F1530,0.1)^2),1/3)))),MAX($D$16,POWER((ABS(K1530)^2)/($I$5*MAX(F1530,0.1)^2),1/3))))))),MAX($D$16,POWER((ABS(K1530)^2)/($I$5*MAX(F1530,0.1)^2),1/3)))</f>
        <v>1.7780284415642935</v>
      </c>
      <c r="AI1530">
        <f t="shared" ca="1" si="797"/>
        <v>633.27802844156429</v>
      </c>
      <c r="AJ1530">
        <f t="shared" ca="1" si="798"/>
        <v>634.16704266234649</v>
      </c>
      <c r="AM1530">
        <v>0</v>
      </c>
      <c r="AN1530">
        <v>0</v>
      </c>
      <c r="AO1530">
        <f t="shared" si="799"/>
        <v>0</v>
      </c>
      <c r="AP1530">
        <f t="shared" si="808"/>
        <v>0</v>
      </c>
      <c r="AQ1530">
        <f t="shared" ca="1" si="800"/>
        <v>1</v>
      </c>
      <c r="AR1530" t="str">
        <f t="shared" ca="1" si="801"/>
        <v>Supercritical</v>
      </c>
      <c r="AS1530">
        <f t="shared" ca="1" si="802"/>
        <v>3.2089457491535711E-3</v>
      </c>
    </row>
    <row r="1531" spans="1:45" x14ac:dyDescent="0.35">
      <c r="A1531">
        <v>10</v>
      </c>
      <c r="B1531">
        <v>9</v>
      </c>
      <c r="C1531">
        <v>616074.30000000005</v>
      </c>
      <c r="D1531">
        <v>3096619.1179999998</v>
      </c>
      <c r="E1531">
        <v>631.5</v>
      </c>
      <c r="F1531">
        <v>6.032</v>
      </c>
      <c r="G1531">
        <v>0</v>
      </c>
      <c r="H1531" t="s">
        <v>154</v>
      </c>
      <c r="I1531">
        <v>5.5E-2</v>
      </c>
      <c r="J1531">
        <f t="shared" si="803"/>
        <v>1</v>
      </c>
      <c r="K1531">
        <f t="shared" ca="1" si="804"/>
        <v>49.931000000000004</v>
      </c>
      <c r="L1531">
        <f t="shared" ca="1" si="805"/>
        <v>0.28520098143965239</v>
      </c>
      <c r="M1531">
        <f t="shared" ca="1" si="778"/>
        <v>1.7203323200439833</v>
      </c>
      <c r="N1531">
        <f t="shared" ca="1" si="779"/>
        <v>0.26056158496804804</v>
      </c>
      <c r="O1531">
        <f t="shared" ca="1" si="780"/>
        <v>29.02404344686347</v>
      </c>
      <c r="P1531">
        <f t="shared" ca="1" si="781"/>
        <v>631.78520098143963</v>
      </c>
      <c r="Q1531">
        <f t="shared" ca="1" si="782"/>
        <v>674.72073095113478</v>
      </c>
      <c r="R1531">
        <f t="shared" ca="1" si="783"/>
        <v>1.1388971320265324</v>
      </c>
      <c r="S1531">
        <f t="shared" ca="1" si="784"/>
        <v>17.351934672527712</v>
      </c>
      <c r="T1531">
        <f t="shared" ca="1" si="785"/>
        <v>147.97208000320663</v>
      </c>
      <c r="U1531">
        <f t="shared" ca="1" si="806"/>
        <v>-10.247159661056799</v>
      </c>
      <c r="V1531">
        <f t="shared" ca="1" si="807"/>
        <v>0</v>
      </c>
      <c r="W1531">
        <f t="shared" ca="1" si="786"/>
        <v>1.8523890214986511</v>
      </c>
      <c r="X1531">
        <f t="shared" ca="1" si="787"/>
        <v>11.173610577679863</v>
      </c>
      <c r="Y1531">
        <f t="shared" ca="1" si="788"/>
        <v>1.1475675555443037</v>
      </c>
      <c r="Z1531">
        <f t="shared" ca="1" si="789"/>
        <v>4.4686540355846098</v>
      </c>
      <c r="AA1531">
        <f t="shared" ca="1" si="790"/>
        <v>633.35238902149865</v>
      </c>
      <c r="AB1531">
        <f t="shared" ca="1" si="791"/>
        <v>634.37017031047651</v>
      </c>
      <c r="AC1531">
        <f t="shared" ca="1" si="792"/>
        <v>3.7396558346362379E-3</v>
      </c>
      <c r="AD1531">
        <f t="shared" ca="1" si="793"/>
        <v>1.0482771755338047</v>
      </c>
      <c r="AE1531">
        <f t="shared" ca="1" si="794"/>
        <v>33.093520334874157</v>
      </c>
      <c r="AF1531">
        <f t="shared" ca="1" si="795"/>
        <v>-5.3661662579884251E-2</v>
      </c>
      <c r="AG1531">
        <f t="shared" ca="1" si="796"/>
        <v>0</v>
      </c>
      <c r="AH1531">
        <f ca="1">IFERROR(IF(V35="Supercritical",MAX($D$16,IFERROR(L1531,MAX($D$16,POWER((ABS(K1531)^2)/($I$5*MAX(F1531,0.1)^2),1/3)))),IF(V35="Subcritical",MAX($D$16,IFERROR(W1531,MAX($D$16,POWER((ABS(K1531)^2)/($I$5*MAX(F1531,0.1)^2),1/3)))),IF(AND(IFERROR(V1531,0)=1,IFERROR(AG1531,0)=1),IF(IFERROR(T1531,-1E+99)&gt;=IFERROR(AE1531,-1E+99),MAX($D$16,IFERROR(L1531,MAX($D$16,POWER((ABS(K1531)^2)/($I$5*MAX(F1531,0.1)^2),1/3)))),MAX($D$16,IFERROR(W1531,MAX($D$16,POWER((ABS(K1531)^2)/($I$5*MAX(F1531,0.1)^2),1/3))))),IF(IFERROR(V1531,0)=1,MAX($D$16,IFERROR(L1531,MAX($D$16,POWER((ABS(K1531)^2)/($I$5*MAX(F1531,0.1)^2),1/3)))),IF(IFERROR(AG1531,0)=1,MAX($D$16,IFERROR(W1531,MAX($D$16,POWER((ABS(K1531)^2)/($I$5*MAX(F1531,0.1)^2),1/3)))),MAX($D$16,POWER((ABS(K1531)^2)/($I$5*MAX(F1531,0.1)^2),1/3))))))),MAX($D$16,POWER((ABS(K1531)^2)/($I$5*MAX(F1531,0.1)^2),1/3)))</f>
        <v>1.9115380693357589</v>
      </c>
      <c r="AI1531">
        <f t="shared" ca="1" si="797"/>
        <v>633.41153806933573</v>
      </c>
      <c r="AJ1531">
        <f t="shared" ca="1" si="798"/>
        <v>634.36730710400366</v>
      </c>
      <c r="AL1531">
        <v>635.5</v>
      </c>
      <c r="AM1531">
        <v>0</v>
      </c>
      <c r="AN1531">
        <f t="shared" ref="AN1531:AN1557" ca="1" si="809">IF($D$20=0,IFERROR(AN1531,0),IF(($D$12*MAX(J1531,0.1)*POWER(MAX(0,AI1531-AL1531),1.5))&lt;=0,0,MAX(0,IFERROR(AN1531,0)+($D$25*(($D$12*MAX(J1531,0.1)*POWER(MAX(0,AI1531-AL1531),1.5))-IFERROR(AN1531,0))))))</f>
        <v>0</v>
      </c>
      <c r="AO1531">
        <f t="shared" ca="1" si="799"/>
        <v>0</v>
      </c>
      <c r="AP1531">
        <f t="shared" ca="1" si="808"/>
        <v>0</v>
      </c>
      <c r="AQ1531">
        <f t="shared" ca="1" si="800"/>
        <v>1</v>
      </c>
      <c r="AR1531" t="str">
        <f t="shared" ca="1" si="801"/>
        <v>Supercritical</v>
      </c>
      <c r="AS1531">
        <f t="shared" ca="1" si="802"/>
        <v>3.4223315133312554E-3</v>
      </c>
    </row>
    <row r="1532" spans="1:45" x14ac:dyDescent="0.35">
      <c r="A1532">
        <v>11</v>
      </c>
      <c r="B1532">
        <v>10</v>
      </c>
      <c r="C1532">
        <v>616075.25199999998</v>
      </c>
      <c r="D1532">
        <v>3096618.8130000001</v>
      </c>
      <c r="E1532">
        <v>631.5</v>
      </c>
      <c r="F1532">
        <v>6.391</v>
      </c>
      <c r="G1532">
        <v>0</v>
      </c>
      <c r="H1532" t="s">
        <v>154</v>
      </c>
      <c r="I1532">
        <v>12.169</v>
      </c>
      <c r="J1532">
        <f t="shared" si="803"/>
        <v>1</v>
      </c>
      <c r="K1532">
        <f t="shared" ca="1" si="804"/>
        <v>49.931000000000004</v>
      </c>
      <c r="L1532">
        <f t="shared" ca="1" si="805"/>
        <v>0.28520098143965239</v>
      </c>
      <c r="M1532">
        <f t="shared" ca="1" si="778"/>
        <v>1.8227194723808184</v>
      </c>
      <c r="N1532">
        <f t="shared" ca="1" si="779"/>
        <v>0.26183224041654446</v>
      </c>
      <c r="O1532">
        <f t="shared" ca="1" si="780"/>
        <v>27.393683315831712</v>
      </c>
      <c r="P1532">
        <f t="shared" ca="1" si="781"/>
        <v>631.78520098143963</v>
      </c>
      <c r="Q1532">
        <f t="shared" ca="1" si="782"/>
        <v>670.03259576268715</v>
      </c>
      <c r="R1532">
        <f t="shared" ca="1" si="783"/>
        <v>1.0079814749404448</v>
      </c>
      <c r="S1532">
        <f t="shared" ca="1" si="784"/>
        <v>16.377228907007851</v>
      </c>
      <c r="T1532">
        <f t="shared" ca="1" si="785"/>
        <v>139.68846316243884</v>
      </c>
      <c r="U1532">
        <f t="shared" ca="1" si="806"/>
        <v>1.3374512214278411</v>
      </c>
      <c r="V1532">
        <f t="shared" ca="1" si="807"/>
        <v>0</v>
      </c>
      <c r="W1532">
        <f t="shared" ca="1" si="786"/>
        <v>1.8523890214986511</v>
      </c>
      <c r="X1532">
        <f t="shared" ca="1" si="787"/>
        <v>11.838618236397879</v>
      </c>
      <c r="Y1532">
        <f t="shared" ca="1" si="788"/>
        <v>1.172630597263324</v>
      </c>
      <c r="Z1532">
        <f t="shared" ca="1" si="789"/>
        <v>4.2176374812464976</v>
      </c>
      <c r="AA1532">
        <f t="shared" ca="1" si="790"/>
        <v>633.35238902149865</v>
      </c>
      <c r="AB1532">
        <f t="shared" ca="1" si="791"/>
        <v>634.25903866080625</v>
      </c>
      <c r="AC1532">
        <f t="shared" ca="1" si="792"/>
        <v>3.236726858567943E-3</v>
      </c>
      <c r="AD1532">
        <f t="shared" ca="1" si="793"/>
        <v>0.98939257124392266</v>
      </c>
      <c r="AE1532">
        <f t="shared" ca="1" si="794"/>
        <v>32.431821133269828</v>
      </c>
      <c r="AF1532">
        <f t="shared" ca="1" si="795"/>
        <v>0.23649261432660751</v>
      </c>
      <c r="AG1532">
        <f t="shared" ca="1" si="796"/>
        <v>0</v>
      </c>
      <c r="AH1532">
        <f ca="1">IFERROR(IF(V35="Supercritical",MAX($D$16,IFERROR(L1532,MAX($D$16,POWER((ABS(K1532)^2)/($I$5*MAX(F1532,0.1)^2),1/3)))),IF(V35="Subcritical",MAX($D$16,IFERROR(W1532,MAX($D$16,POWER((ABS(K1532)^2)/($I$5*MAX(F1532,0.1)^2),1/3)))),IF(AND(IFERROR(V1532,0)=1,IFERROR(AG1532,0)=1),IF(IFERROR(T1532,-1E+99)&gt;=IFERROR(AE1532,-1E+99),MAX($D$16,IFERROR(L1532,MAX($D$16,POWER((ABS(K1532)^2)/($I$5*MAX(F1532,0.1)^2),1/3)))),MAX($D$16,IFERROR(W1532,MAX($D$16,POWER((ABS(K1532)^2)/($I$5*MAX(F1532,0.1)^2),1/3))))),IF(IFERROR(V1532,0)=1,MAX($D$16,IFERROR(L1532,MAX($D$16,POWER((ABS(K1532)^2)/($I$5*MAX(F1532,0.1)^2),1/3)))),IF(IFERROR(AG1532,0)=1,MAX($D$16,IFERROR(W1532,MAX($D$16,POWER((ABS(K1532)^2)/($I$5*MAX(F1532,0.1)^2),1/3)))),MAX($D$16,POWER((ABS(K1532)^2)/($I$5*MAX(F1532,0.1)^2),1/3))))))),MAX($D$16,POWER((ABS(K1532)^2)/($I$5*MAX(F1532,0.1)^2),1/3)))</f>
        <v>1.8392663634497528</v>
      </c>
      <c r="AI1532">
        <f t="shared" ca="1" si="797"/>
        <v>633.33926636344972</v>
      </c>
      <c r="AJ1532">
        <f t="shared" ca="1" si="798"/>
        <v>634.25889954517459</v>
      </c>
      <c r="AL1532">
        <v>635.5</v>
      </c>
      <c r="AM1532">
        <v>0</v>
      </c>
      <c r="AN1532">
        <f t="shared" ca="1" si="809"/>
        <v>0</v>
      </c>
      <c r="AO1532">
        <f t="shared" ca="1" si="799"/>
        <v>0</v>
      </c>
      <c r="AP1532">
        <f t="shared" ca="1" si="808"/>
        <v>0</v>
      </c>
      <c r="AQ1532">
        <f t="shared" ca="1" si="800"/>
        <v>1</v>
      </c>
      <c r="AR1532" t="str">
        <f t="shared" ca="1" si="801"/>
        <v>Supercritical</v>
      </c>
      <c r="AS1532">
        <f t="shared" ca="1" si="802"/>
        <v>3.3028636820012958E-3</v>
      </c>
    </row>
    <row r="1533" spans="1:45" x14ac:dyDescent="0.35">
      <c r="A1533">
        <v>12</v>
      </c>
      <c r="B1533">
        <v>10.944000000000001</v>
      </c>
      <c r="C1533">
        <v>616076.06999999995</v>
      </c>
      <c r="D1533">
        <v>3096618.3420000002</v>
      </c>
      <c r="E1533">
        <v>631.5</v>
      </c>
      <c r="F1533">
        <v>5.8860000000000001</v>
      </c>
      <c r="G1533">
        <v>0</v>
      </c>
      <c r="H1533" t="s">
        <v>154</v>
      </c>
      <c r="I1533">
        <v>30.655999999999999</v>
      </c>
      <c r="J1533">
        <f t="shared" si="803"/>
        <v>0.94400000000000084</v>
      </c>
      <c r="K1533">
        <f t="shared" ca="1" si="804"/>
        <v>49.931000000000004</v>
      </c>
      <c r="L1533">
        <f t="shared" ca="1" si="805"/>
        <v>0.28520098143965239</v>
      </c>
      <c r="M1533">
        <f t="shared" ca="1" si="778"/>
        <v>1.6786929767537939</v>
      </c>
      <c r="N1533">
        <f t="shared" ca="1" si="779"/>
        <v>0.26000440901996785</v>
      </c>
      <c r="O1533">
        <f t="shared" ca="1" si="780"/>
        <v>29.743973848365695</v>
      </c>
      <c r="P1533">
        <f t="shared" ca="1" si="781"/>
        <v>631.78520098143963</v>
      </c>
      <c r="Q1533">
        <f t="shared" ca="1" si="782"/>
        <v>676.87714696983221</v>
      </c>
      <c r="R1533">
        <f t="shared" ca="1" si="783"/>
        <v>1.1995164711360284</v>
      </c>
      <c r="S1533">
        <f t="shared" ca="1" si="784"/>
        <v>17.782342838037234</v>
      </c>
      <c r="T1533">
        <f t="shared" ca="1" si="785"/>
        <v>151.63044852000502</v>
      </c>
      <c r="U1533">
        <f t="shared" ca="1" si="806"/>
        <v>-10.87484318544125</v>
      </c>
      <c r="V1533">
        <f t="shared" ca="1" si="807"/>
        <v>0</v>
      </c>
      <c r="W1533">
        <f t="shared" ca="1" si="786"/>
        <v>1.8523890214986511</v>
      </c>
      <c r="X1533">
        <f t="shared" ca="1" si="787"/>
        <v>10.90316178054106</v>
      </c>
      <c r="Y1533">
        <f t="shared" ca="1" si="788"/>
        <v>1.1368380888036496</v>
      </c>
      <c r="Z1533">
        <f t="shared" ca="1" si="789"/>
        <v>4.5794973059202118</v>
      </c>
      <c r="AA1533">
        <f t="shared" ca="1" si="790"/>
        <v>633.35238902149865</v>
      </c>
      <c r="AB1533">
        <f t="shared" ca="1" si="791"/>
        <v>634.4212878785288</v>
      </c>
      <c r="AC1533">
        <f t="shared" ca="1" si="792"/>
        <v>3.9769791371428703E-3</v>
      </c>
      <c r="AD1533">
        <f t="shared" ca="1" si="793"/>
        <v>1.0742792937172798</v>
      </c>
      <c r="AE1533">
        <f t="shared" ca="1" si="794"/>
        <v>33.407202921418097</v>
      </c>
      <c r="AF1533">
        <f t="shared" ca="1" si="795"/>
        <v>0.23622237243318978</v>
      </c>
      <c r="AG1533">
        <f t="shared" ca="1" si="796"/>
        <v>0</v>
      </c>
      <c r="AH1533">
        <f ca="1">IFERROR(IF(V35="Supercritical",MAX($D$16,IFERROR(L1533,MAX($D$16,POWER((ABS(K1533)^2)/($I$5*MAX(F1533,0.1)^2),1/3)))),IF(V35="Subcritical",MAX($D$16,IFERROR(W1533,MAX($D$16,POWER((ABS(K1533)^2)/($I$5*MAX(F1533,0.1)^2),1/3)))),IF(AND(IFERROR(V1533,0)=1,IFERROR(AG1533,0)=1),IF(IFERROR(T1533,-1E+99)&gt;=IFERROR(AE1533,-1E+99),MAX($D$16,IFERROR(L1533,MAX($D$16,POWER((ABS(K1533)^2)/($I$5*MAX(F1533,0.1)^2),1/3)))),MAX($D$16,IFERROR(W1533,MAX($D$16,POWER((ABS(K1533)^2)/($I$5*MAX(F1533,0.1)^2),1/3))))),IF(IFERROR(V1533,0)=1,MAX($D$16,IFERROR(L1533,MAX($D$16,POWER((ABS(K1533)^2)/($I$5*MAX(F1533,0.1)^2),1/3)))),IF(IFERROR(AG1533,0)=1,MAX($D$16,IFERROR(W1533,MAX($D$16,POWER((ABS(K1533)^2)/($I$5*MAX(F1533,0.1)^2),1/3)))),MAX($D$16,POWER((ABS(K1533)^2)/($I$5*MAX(F1533,0.1)^2),1/3))))))),MAX($D$16,POWER((ABS(K1533)^2)/($I$5*MAX(F1533,0.1)^2),1/3)))</f>
        <v>1.9430187955826823</v>
      </c>
      <c r="AI1533">
        <f t="shared" ca="1" si="797"/>
        <v>633.4430187955827</v>
      </c>
      <c r="AJ1533">
        <f t="shared" ca="1" si="798"/>
        <v>634.41452819337405</v>
      </c>
      <c r="AL1533">
        <v>635.5</v>
      </c>
      <c r="AM1533">
        <v>0</v>
      </c>
      <c r="AN1533">
        <f t="shared" ca="1" si="809"/>
        <v>0</v>
      </c>
      <c r="AO1533">
        <f t="shared" ca="1" si="799"/>
        <v>0</v>
      </c>
      <c r="AP1533">
        <f t="shared" ca="1" si="808"/>
        <v>0</v>
      </c>
      <c r="AQ1533">
        <f t="shared" ca="1" si="800"/>
        <v>1</v>
      </c>
      <c r="AR1533" t="str">
        <f t="shared" ca="1" si="801"/>
        <v>Supercritical</v>
      </c>
      <c r="AS1533">
        <f t="shared" ca="1" si="802"/>
        <v>3.4773282316482254E-3</v>
      </c>
    </row>
    <row r="1534" spans="1:45" x14ac:dyDescent="0.35">
      <c r="A1534">
        <v>13</v>
      </c>
      <c r="B1534">
        <v>11.944000000000001</v>
      </c>
      <c r="C1534">
        <v>616076.56099999999</v>
      </c>
      <c r="D1534">
        <v>3096617.4709999999</v>
      </c>
      <c r="E1534">
        <v>631.5</v>
      </c>
      <c r="F1534">
        <v>5.38</v>
      </c>
      <c r="G1534">
        <v>0</v>
      </c>
      <c r="H1534" t="s">
        <v>154</v>
      </c>
      <c r="I1534">
        <v>7.8E-2</v>
      </c>
      <c r="J1534">
        <f t="shared" si="803"/>
        <v>1</v>
      </c>
      <c r="K1534">
        <f t="shared" ca="1" si="804"/>
        <v>49.931000000000004</v>
      </c>
      <c r="L1534">
        <f t="shared" ca="1" si="805"/>
        <v>0.28520098143965239</v>
      </c>
      <c r="M1534">
        <f t="shared" ca="1" si="778"/>
        <v>1.5343812801453298</v>
      </c>
      <c r="N1534">
        <f t="shared" ca="1" si="779"/>
        <v>0.25786178643347774</v>
      </c>
      <c r="O1534">
        <f t="shared" ca="1" si="780"/>
        <v>32.541455403620908</v>
      </c>
      <c r="P1534">
        <f t="shared" ca="1" si="781"/>
        <v>631.78520098143963</v>
      </c>
      <c r="Q1534">
        <f t="shared" ca="1" si="782"/>
        <v>685.75800015503023</v>
      </c>
      <c r="R1534">
        <f t="shared" ca="1" si="783"/>
        <v>1.4516897621796132</v>
      </c>
      <c r="S1534">
        <f t="shared" ca="1" si="784"/>
        <v>19.454808539904679</v>
      </c>
      <c r="T1534">
        <f t="shared" ca="1" si="785"/>
        <v>165.84850890150162</v>
      </c>
      <c r="U1534">
        <f t="shared" ca="1" si="806"/>
        <v>-11.101558084268163</v>
      </c>
      <c r="V1534">
        <f t="shared" ca="1" si="807"/>
        <v>0</v>
      </c>
      <c r="W1534">
        <f t="shared" ca="1" si="786"/>
        <v>1.8523890214986511</v>
      </c>
      <c r="X1534">
        <f t="shared" ca="1" si="787"/>
        <v>9.9658529356627437</v>
      </c>
      <c r="Y1534">
        <f t="shared" ca="1" si="788"/>
        <v>1.0969836454446555</v>
      </c>
      <c r="Z1534">
        <f t="shared" ca="1" si="789"/>
        <v>5.0102083908264614</v>
      </c>
      <c r="AA1534">
        <f t="shared" ca="1" si="790"/>
        <v>633.35238902149865</v>
      </c>
      <c r="AB1534">
        <f t="shared" ca="1" si="791"/>
        <v>634.6318073762136</v>
      </c>
      <c r="AC1534">
        <f t="shared" ca="1" si="792"/>
        <v>4.9922220503095657E-3</v>
      </c>
      <c r="AD1534">
        <f t="shared" ca="1" si="793"/>
        <v>1.1753174577732173</v>
      </c>
      <c r="AE1534">
        <f t="shared" ca="1" si="794"/>
        <v>34.731308616500016</v>
      </c>
      <c r="AF1534">
        <f t="shared" ca="1" si="795"/>
        <v>0.10439608342664997</v>
      </c>
      <c r="AG1534">
        <f t="shared" ca="1" si="796"/>
        <v>0</v>
      </c>
      <c r="AH1534">
        <f ca="1">IFERROR(IF(V35="Supercritical",MAX($D$16,IFERROR(L1534,MAX($D$16,POWER((ABS(K1534)^2)/($I$5*MAX(F1534,0.1)^2),1/3)))),IF(V35="Subcritical",MAX($D$16,IFERROR(W1534,MAX($D$16,POWER((ABS(K1534)^2)/($I$5*MAX(F1534,0.1)^2),1/3)))),IF(AND(IFERROR(V1534,0)=1,IFERROR(AG1534,0)=1),IF(IFERROR(T1534,-1E+99)&gt;=IFERROR(AE1534,-1E+99),MAX($D$16,IFERROR(L1534,MAX($D$16,POWER((ABS(K1534)^2)/($I$5*MAX(F1534,0.1)^2),1/3)))),MAX($D$16,IFERROR(W1534,MAX($D$16,POWER((ABS(K1534)^2)/($I$5*MAX(F1534,0.1)^2),1/3))))),IF(IFERROR(V1534,0)=1,MAX($D$16,IFERROR(L1534,MAX($D$16,POWER((ABS(K1534)^2)/($I$5*MAX(F1534,0.1)^2),1/3)))),IF(IFERROR(AG1534,0)=1,MAX($D$16,IFERROR(W1534,MAX($D$16,POWER((ABS(K1534)^2)/($I$5*MAX(F1534,0.1)^2),1/3)))),MAX($D$16,POWER((ABS(K1534)^2)/($I$5*MAX(F1534,0.1)^2),1/3))))))),MAX($D$16,POWER((ABS(K1534)^2)/($I$5*MAX(F1534,0.1)^2),1/3)))</f>
        <v>2.0630147027167287</v>
      </c>
      <c r="AI1534">
        <f t="shared" ca="1" si="797"/>
        <v>633.56301470271671</v>
      </c>
      <c r="AJ1534">
        <f t="shared" ca="1" si="798"/>
        <v>634.59452205407513</v>
      </c>
      <c r="AL1534">
        <v>635.5</v>
      </c>
      <c r="AM1534">
        <v>0</v>
      </c>
      <c r="AN1534">
        <f t="shared" ca="1" si="809"/>
        <v>0</v>
      </c>
      <c r="AO1534">
        <f t="shared" ca="1" si="799"/>
        <v>0</v>
      </c>
      <c r="AP1534">
        <f t="shared" ca="1" si="808"/>
        <v>0</v>
      </c>
      <c r="AQ1534">
        <f t="shared" ca="1" si="800"/>
        <v>1</v>
      </c>
      <c r="AR1534" t="str">
        <f t="shared" ca="1" si="801"/>
        <v>Supercritical</v>
      </c>
      <c r="AS1534">
        <f t="shared" ca="1" si="802"/>
        <v>3.7037351346952954E-3</v>
      </c>
    </row>
    <row r="1535" spans="1:45" x14ac:dyDescent="0.35">
      <c r="A1535">
        <v>14</v>
      </c>
      <c r="B1535">
        <v>12.943</v>
      </c>
      <c r="C1535">
        <v>616077.05299999996</v>
      </c>
      <c r="D1535">
        <v>3096616.6009999998</v>
      </c>
      <c r="E1535">
        <v>631.5</v>
      </c>
      <c r="F1535">
        <v>5.2</v>
      </c>
      <c r="G1535">
        <v>0</v>
      </c>
      <c r="H1535" t="s">
        <v>154</v>
      </c>
      <c r="I1535">
        <v>2.8000000000000001E-2</v>
      </c>
      <c r="J1535">
        <f t="shared" si="803"/>
        <v>0.99899999999999878</v>
      </c>
      <c r="K1535">
        <f t="shared" ca="1" si="804"/>
        <v>49.931000000000004</v>
      </c>
      <c r="L1535">
        <f t="shared" ca="1" si="805"/>
        <v>0.28520098143965239</v>
      </c>
      <c r="M1535">
        <f t="shared" ca="1" si="778"/>
        <v>1.4830451034861925</v>
      </c>
      <c r="N1535">
        <f t="shared" ca="1" si="779"/>
        <v>0.25700897667554951</v>
      </c>
      <c r="O1535">
        <f t="shared" ca="1" si="780"/>
        <v>33.667890398361628</v>
      </c>
      <c r="P1535">
        <f t="shared" ca="1" si="781"/>
        <v>631.78520098143963</v>
      </c>
      <c r="Q1535">
        <f t="shared" ca="1" si="782"/>
        <v>689.55925010866144</v>
      </c>
      <c r="R1535">
        <f t="shared" ca="1" si="783"/>
        <v>1.5608096362038171</v>
      </c>
      <c r="S1535">
        <f t="shared" ca="1" si="784"/>
        <v>20.128244220132146</v>
      </c>
      <c r="T1535">
        <f t="shared" ca="1" si="785"/>
        <v>171.5745242929107</v>
      </c>
      <c r="U1535">
        <f t="shared" ca="1" si="806"/>
        <v>-5.6888145207793741</v>
      </c>
      <c r="V1535">
        <f t="shared" ca="1" si="807"/>
        <v>0</v>
      </c>
      <c r="W1535">
        <f t="shared" ca="1" si="786"/>
        <v>1.8523890214986511</v>
      </c>
      <c r="X1535">
        <f t="shared" ca="1" si="787"/>
        <v>9.632422911792986</v>
      </c>
      <c r="Y1535">
        <f t="shared" ca="1" si="788"/>
        <v>1.081713981559361</v>
      </c>
      <c r="Z1535">
        <f t="shared" ca="1" si="789"/>
        <v>5.183638681278147</v>
      </c>
      <c r="AA1535">
        <f t="shared" ca="1" si="790"/>
        <v>633.35238902149865</v>
      </c>
      <c r="AB1535">
        <f t="shared" ca="1" si="791"/>
        <v>634.72191552394736</v>
      </c>
      <c r="AC1535">
        <f t="shared" ca="1" si="792"/>
        <v>5.4446341714880046E-3</v>
      </c>
      <c r="AD1535">
        <f t="shared" ca="1" si="793"/>
        <v>1.2160015236192132</v>
      </c>
      <c r="AE1535">
        <f t="shared" ca="1" si="794"/>
        <v>35.305214147107407</v>
      </c>
      <c r="AF1535">
        <f t="shared" ca="1" si="795"/>
        <v>5.0085406243624675E-2</v>
      </c>
      <c r="AG1535">
        <f t="shared" ca="1" si="796"/>
        <v>0</v>
      </c>
      <c r="AH1535">
        <f ca="1">IFERROR(IF(V35="Supercritical",MAX($D$16,IFERROR(L1535,MAX($D$16,POWER((ABS(K1535)^2)/($I$5*MAX(F1535,0.1)^2),1/3)))),IF(V35="Subcritical",MAX($D$16,IFERROR(W1535,MAX($D$16,POWER((ABS(K1535)^2)/($I$5*MAX(F1535,0.1)^2),1/3)))),IF(AND(IFERROR(V1535,0)=1,IFERROR(AG1535,0)=1),IF(IFERROR(T1535,-1E+99)&gt;=IFERROR(AE1535,-1E+99),MAX($D$16,IFERROR(L1535,MAX($D$16,POWER((ABS(K1535)^2)/($I$5*MAX(F1535,0.1)^2),1/3)))),MAX($D$16,IFERROR(W1535,MAX($D$16,POWER((ABS(K1535)^2)/($I$5*MAX(F1535,0.1)^2),1/3))))),IF(IFERROR(V1535,0)=1,MAX($D$16,IFERROR(L1535,MAX($D$16,POWER((ABS(K1535)^2)/($I$5*MAX(F1535,0.1)^2),1/3)))),IF(IFERROR(AG1535,0)=1,MAX($D$16,IFERROR(W1535,MAX($D$16,POWER((ABS(K1535)^2)/($I$5*MAX(F1535,0.1)^2),1/3)))),MAX($D$16,POWER((ABS(K1535)^2)/($I$5*MAX(F1535,0.1)^2),1/3))))))),MAX($D$16,POWER((ABS(K1535)^2)/($I$5*MAX(F1535,0.1)^2),1/3)))</f>
        <v>2.1103522147591871</v>
      </c>
      <c r="AI1535">
        <f t="shared" ca="1" si="797"/>
        <v>633.61035221475913</v>
      </c>
      <c r="AJ1535">
        <f t="shared" ca="1" si="798"/>
        <v>634.6655283221387</v>
      </c>
      <c r="AL1535">
        <v>635.5</v>
      </c>
      <c r="AM1535">
        <v>0</v>
      </c>
      <c r="AN1535">
        <f t="shared" ca="1" si="809"/>
        <v>0</v>
      </c>
      <c r="AO1535">
        <f t="shared" ca="1" si="799"/>
        <v>0</v>
      </c>
      <c r="AP1535">
        <f t="shared" ca="1" si="808"/>
        <v>0</v>
      </c>
      <c r="AQ1535">
        <f t="shared" ca="1" si="800"/>
        <v>1</v>
      </c>
      <c r="AR1535" t="str">
        <f t="shared" ca="1" si="801"/>
        <v>Supercritical</v>
      </c>
      <c r="AS1535">
        <f t="shared" ca="1" si="802"/>
        <v>3.8004928816421455E-3</v>
      </c>
    </row>
    <row r="1536" spans="1:45" x14ac:dyDescent="0.35">
      <c r="A1536">
        <v>15</v>
      </c>
      <c r="B1536">
        <v>13.944000000000001</v>
      </c>
      <c r="C1536">
        <v>616077.54500000004</v>
      </c>
      <c r="D1536">
        <v>3096615.73</v>
      </c>
      <c r="E1536">
        <v>631.5</v>
      </c>
      <c r="F1536">
        <v>5.125</v>
      </c>
      <c r="G1536">
        <v>0</v>
      </c>
      <c r="H1536" t="s">
        <v>154</v>
      </c>
      <c r="I1536">
        <v>0.05</v>
      </c>
      <c r="J1536">
        <f t="shared" si="803"/>
        <v>1.0010000000000012</v>
      </c>
      <c r="K1536">
        <f t="shared" ca="1" si="804"/>
        <v>49.931000000000004</v>
      </c>
      <c r="L1536">
        <f t="shared" ca="1" si="805"/>
        <v>0.28520098143965239</v>
      </c>
      <c r="M1536">
        <f t="shared" ca="1" si="778"/>
        <v>1.4616550298782185</v>
      </c>
      <c r="N1536">
        <f t="shared" ca="1" si="779"/>
        <v>0.25663772976952098</v>
      </c>
      <c r="O1536">
        <f t="shared" ca="1" si="780"/>
        <v>34.160591233459606</v>
      </c>
      <c r="P1536">
        <f t="shared" ca="1" si="781"/>
        <v>631.78520098143963</v>
      </c>
      <c r="Q1536">
        <f t="shared" ca="1" si="782"/>
        <v>691.26257067662402</v>
      </c>
      <c r="R1536">
        <f t="shared" ca="1" si="783"/>
        <v>1.6099260792153038</v>
      </c>
      <c r="S1536">
        <f t="shared" ca="1" si="784"/>
        <v>20.422803891646275</v>
      </c>
      <c r="T1536">
        <f t="shared" ca="1" si="785"/>
        <v>174.0792258823088</v>
      </c>
      <c r="U1536">
        <f t="shared" ca="1" si="806"/>
        <v>-3.4655622978007159</v>
      </c>
      <c r="V1536">
        <f t="shared" ca="1" si="807"/>
        <v>0</v>
      </c>
      <c r="W1536">
        <f t="shared" ca="1" si="786"/>
        <v>1.8523890214986511</v>
      </c>
      <c r="X1536">
        <f t="shared" ca="1" si="787"/>
        <v>9.4934937351805875</v>
      </c>
      <c r="Y1536">
        <f t="shared" ca="1" si="788"/>
        <v>1.075167879526673</v>
      </c>
      <c r="Z1536">
        <f t="shared" ca="1" si="789"/>
        <v>5.2594968083212414</v>
      </c>
      <c r="AA1536">
        <f t="shared" ca="1" si="790"/>
        <v>633.35238902149865</v>
      </c>
      <c r="AB1536">
        <f t="shared" ca="1" si="791"/>
        <v>634.76229252184226</v>
      </c>
      <c r="AC1536">
        <f t="shared" ca="1" si="792"/>
        <v>5.650703692512667E-3</v>
      </c>
      <c r="AD1536">
        <f t="shared" ca="1" si="793"/>
        <v>1.2337966678672991</v>
      </c>
      <c r="AE1536">
        <f t="shared" ca="1" si="794"/>
        <v>35.562641880799568</v>
      </c>
      <c r="AF1536">
        <f t="shared" ca="1" si="795"/>
        <v>5.1654742937671472E-2</v>
      </c>
      <c r="AG1536">
        <f t="shared" ca="1" si="796"/>
        <v>0</v>
      </c>
      <c r="AH1536">
        <f ca="1">IFERROR(IF(V35="Supercritical",MAX($D$16,IFERROR(L1536,MAX($D$16,POWER((ABS(K1536)^2)/($I$5*MAX(F1536,0.1)^2),1/3)))),IF(V35="Subcritical",MAX($D$16,IFERROR(W1536,MAX($D$16,POWER((ABS(K1536)^2)/($I$5*MAX(F1536,0.1)^2),1/3)))),IF(AND(IFERROR(V1536,0)=1,IFERROR(AG1536,0)=1),IF(IFERROR(T1536,-1E+99)&gt;=IFERROR(AE1536,-1E+99),MAX($D$16,IFERROR(L1536,MAX($D$16,POWER((ABS(K1536)^2)/($I$5*MAX(F1536,0.1)^2),1/3)))),MAX($D$16,IFERROR(W1536,MAX($D$16,POWER((ABS(K1536)^2)/($I$5*MAX(F1536,0.1)^2),1/3))))),IF(IFERROR(V1536,0)=1,MAX($D$16,IFERROR(L1536,MAX($D$16,POWER((ABS(K1536)^2)/($I$5*MAX(F1536,0.1)^2),1/3)))),IF(IFERROR(AG1536,0)=1,MAX($D$16,IFERROR(W1536,MAX($D$16,POWER((ABS(K1536)^2)/($I$5*MAX(F1536,0.1)^2),1/3)))),MAX($D$16,POWER((ABS(K1536)^2)/($I$5*MAX(F1536,0.1)^2),1/3))))))),MAX($D$16,POWER((ABS(K1536)^2)/($I$5*MAX(F1536,0.1)^2),1/3)))</f>
        <v>2.1308911241146595</v>
      </c>
      <c r="AI1536">
        <f t="shared" ca="1" si="797"/>
        <v>633.63089112411467</v>
      </c>
      <c r="AJ1536">
        <f t="shared" ca="1" si="798"/>
        <v>634.696336686172</v>
      </c>
      <c r="AL1536">
        <v>635.5</v>
      </c>
      <c r="AM1536">
        <v>0</v>
      </c>
      <c r="AN1536">
        <f t="shared" ca="1" si="809"/>
        <v>0</v>
      </c>
      <c r="AO1536">
        <f t="shared" ca="1" si="799"/>
        <v>0</v>
      </c>
      <c r="AP1536">
        <f t="shared" ca="1" si="808"/>
        <v>0</v>
      </c>
      <c r="AQ1536">
        <f t="shared" ca="1" si="800"/>
        <v>1</v>
      </c>
      <c r="AR1536" t="str">
        <f t="shared" ca="1" si="801"/>
        <v>Supercritical</v>
      </c>
      <c r="AS1536">
        <f t="shared" ca="1" si="802"/>
        <v>3.8438072670670146E-3</v>
      </c>
    </row>
    <row r="1537" spans="1:45" x14ac:dyDescent="0.35">
      <c r="A1537">
        <v>16</v>
      </c>
      <c r="B1537">
        <v>14.944000000000001</v>
      </c>
      <c r="C1537">
        <v>616078.03599999996</v>
      </c>
      <c r="D1537">
        <v>3096614.8590000002</v>
      </c>
      <c r="E1537">
        <v>631.5</v>
      </c>
      <c r="F1537">
        <v>5.0510000000000002</v>
      </c>
      <c r="G1537">
        <v>0</v>
      </c>
      <c r="H1537" t="s">
        <v>154</v>
      </c>
      <c r="I1537">
        <v>0.05</v>
      </c>
      <c r="J1537">
        <f t="shared" si="803"/>
        <v>1</v>
      </c>
      <c r="K1537">
        <f t="shared" ca="1" si="804"/>
        <v>49.931000000000004</v>
      </c>
      <c r="L1537">
        <f t="shared" ca="1" si="805"/>
        <v>0.28520098143965239</v>
      </c>
      <c r="M1537">
        <f t="shared" ca="1" si="778"/>
        <v>1.4405501572516843</v>
      </c>
      <c r="N1537">
        <f t="shared" ca="1" si="779"/>
        <v>0.25626172381272461</v>
      </c>
      <c r="O1537">
        <f t="shared" ca="1" si="780"/>
        <v>34.661063169962475</v>
      </c>
      <c r="P1537">
        <f t="shared" ca="1" si="781"/>
        <v>631.78520098143963</v>
      </c>
      <c r="Q1537">
        <f t="shared" ca="1" si="782"/>
        <v>693.0180908933728</v>
      </c>
      <c r="R1537">
        <f t="shared" ca="1" si="783"/>
        <v>1.6606876405393232</v>
      </c>
      <c r="S1537">
        <f t="shared" ca="1" si="784"/>
        <v>20.722009492117831</v>
      </c>
      <c r="T1537">
        <f t="shared" ca="1" si="785"/>
        <v>176.62352154255146</v>
      </c>
      <c r="U1537">
        <f t="shared" ca="1" si="806"/>
        <v>-3.5714818391270455</v>
      </c>
      <c r="V1537">
        <f t="shared" ca="1" si="807"/>
        <v>0</v>
      </c>
      <c r="W1537">
        <f t="shared" ca="1" si="786"/>
        <v>1.8523890214986511</v>
      </c>
      <c r="X1537">
        <f t="shared" ca="1" si="787"/>
        <v>9.3564169475896879</v>
      </c>
      <c r="Y1537">
        <f t="shared" ca="1" si="788"/>
        <v>1.0685991469453435</v>
      </c>
      <c r="Z1537">
        <f t="shared" ca="1" si="789"/>
        <v>5.336551404206368</v>
      </c>
      <c r="AA1537">
        <f t="shared" ca="1" si="790"/>
        <v>633.35238902149865</v>
      </c>
      <c r="AB1537">
        <f t="shared" ca="1" si="791"/>
        <v>634.80390690578702</v>
      </c>
      <c r="AC1537">
        <f t="shared" ca="1" si="792"/>
        <v>5.8652178569727634E-3</v>
      </c>
      <c r="AD1537">
        <f t="shared" ca="1" si="793"/>
        <v>1.2518724852147909</v>
      </c>
      <c r="AE1537">
        <f t="shared" ca="1" si="794"/>
        <v>35.827875081709166</v>
      </c>
      <c r="AF1537">
        <f t="shared" ca="1" si="795"/>
        <v>5.4598485783344586E-2</v>
      </c>
      <c r="AG1537">
        <f t="shared" ca="1" si="796"/>
        <v>0</v>
      </c>
      <c r="AH1537">
        <f ca="1">IFERROR(IF(V35="Supercritical",MAX($D$16,IFERROR(L1537,MAX($D$16,POWER((ABS(K1537)^2)/($I$5*MAX(F1537,0.1)^2),1/3)))),IF(V35="Subcritical",MAX($D$16,IFERROR(W1537,MAX($D$16,POWER((ABS(K1537)^2)/($I$5*MAX(F1537,0.1)^2),1/3)))),IF(AND(IFERROR(V1537,0)=1,IFERROR(AG1537,0)=1),IF(IFERROR(T1537,-1E+99)&gt;=IFERROR(AE1537,-1E+99),MAX($D$16,IFERROR(L1537,MAX($D$16,POWER((ABS(K1537)^2)/($I$5*MAX(F1537,0.1)^2),1/3)))),MAX($D$16,IFERROR(W1537,MAX($D$16,POWER((ABS(K1537)^2)/($I$5*MAX(F1537,0.1)^2),1/3))))),IF(IFERROR(V1537,0)=1,MAX($D$16,IFERROR(L1537,MAX($D$16,POWER((ABS(K1537)^2)/($I$5*MAX(F1537,0.1)^2),1/3)))),IF(IFERROR(AG1537,0)=1,MAX($D$16,IFERROR(W1537,MAX($D$16,POWER((ABS(K1537)^2)/($I$5*MAX(F1537,0.1)^2),1/3)))),MAX($D$16,POWER((ABS(K1537)^2)/($I$5*MAX(F1537,0.1)^2),1/3))))))),MAX($D$16,POWER((ABS(K1537)^2)/($I$5*MAX(F1537,0.1)^2),1/3)))</f>
        <v>2.1516531379342161</v>
      </c>
      <c r="AI1537">
        <f t="shared" ca="1" si="797"/>
        <v>633.6516531379342</v>
      </c>
      <c r="AJ1537">
        <f t="shared" ca="1" si="798"/>
        <v>634.72747970690136</v>
      </c>
      <c r="AL1537">
        <v>635.5</v>
      </c>
      <c r="AM1537">
        <v>0</v>
      </c>
      <c r="AN1537">
        <f t="shared" ca="1" si="809"/>
        <v>0</v>
      </c>
      <c r="AO1537">
        <f t="shared" ca="1" si="799"/>
        <v>0</v>
      </c>
      <c r="AP1537">
        <f t="shared" ca="1" si="808"/>
        <v>0</v>
      </c>
      <c r="AQ1537">
        <f t="shared" ca="1" si="800"/>
        <v>1</v>
      </c>
      <c r="AR1537" t="str">
        <f t="shared" ca="1" si="801"/>
        <v>Supercritical</v>
      </c>
      <c r="AS1537">
        <f t="shared" ca="1" si="802"/>
        <v>3.888419038507538E-3</v>
      </c>
    </row>
    <row r="1538" spans="1:45" x14ac:dyDescent="0.35">
      <c r="A1538">
        <v>17</v>
      </c>
      <c r="B1538">
        <v>15.944000000000001</v>
      </c>
      <c r="C1538">
        <v>616078.52800000005</v>
      </c>
      <c r="D1538">
        <v>3096613.9879999999</v>
      </c>
      <c r="E1538">
        <v>631.5</v>
      </c>
      <c r="F1538">
        <v>4.976</v>
      </c>
      <c r="G1538">
        <v>0</v>
      </c>
      <c r="H1538" t="s">
        <v>154</v>
      </c>
      <c r="I1538">
        <v>0.05</v>
      </c>
      <c r="J1538">
        <f t="shared" si="803"/>
        <v>1</v>
      </c>
      <c r="K1538">
        <f t="shared" ca="1" si="804"/>
        <v>49.931000000000004</v>
      </c>
      <c r="L1538">
        <f t="shared" ca="1" si="805"/>
        <v>0.28520098143965239</v>
      </c>
      <c r="M1538">
        <f t="shared" ca="1" si="778"/>
        <v>1.4191600836437104</v>
      </c>
      <c r="N1538">
        <f t="shared" ca="1" si="779"/>
        <v>0.25587039906984699</v>
      </c>
      <c r="O1538">
        <f t="shared" ca="1" si="780"/>
        <v>35.183486750699451</v>
      </c>
      <c r="P1538">
        <f t="shared" ca="1" si="781"/>
        <v>631.78520098143963</v>
      </c>
      <c r="Q1538">
        <f t="shared" ca="1" si="782"/>
        <v>694.87784827688529</v>
      </c>
      <c r="R1538">
        <f t="shared" ca="1" si="783"/>
        <v>1.7146160161596165</v>
      </c>
      <c r="S1538">
        <f t="shared" ca="1" si="784"/>
        <v>21.034338815250635</v>
      </c>
      <c r="T1538">
        <f t="shared" ca="1" si="785"/>
        <v>179.27950615055312</v>
      </c>
      <c r="U1538">
        <f t="shared" ca="1" si="806"/>
        <v>-3.7386426708211502</v>
      </c>
      <c r="V1538">
        <f t="shared" ca="1" si="807"/>
        <v>0</v>
      </c>
      <c r="W1538">
        <f t="shared" ca="1" si="786"/>
        <v>1.8523890214986511</v>
      </c>
      <c r="X1538">
        <f t="shared" ca="1" si="787"/>
        <v>9.2174877709772876</v>
      </c>
      <c r="Y1538">
        <f t="shared" ca="1" si="788"/>
        <v>1.0618273759934391</v>
      </c>
      <c r="Z1538">
        <f t="shared" ca="1" si="789"/>
        <v>5.4169857601781288</v>
      </c>
      <c r="AA1538">
        <f t="shared" ca="1" si="790"/>
        <v>633.35238902149865</v>
      </c>
      <c r="AB1538">
        <f t="shared" ca="1" si="791"/>
        <v>634.84799221854109</v>
      </c>
      <c r="AC1538">
        <f t="shared" ca="1" si="792"/>
        <v>6.0947984511943859E-3</v>
      </c>
      <c r="AD1538">
        <f t="shared" ca="1" si="793"/>
        <v>1.2707411420458019</v>
      </c>
      <c r="AE1538">
        <f t="shared" ca="1" si="794"/>
        <v>36.1085949343246</v>
      </c>
      <c r="AF1538">
        <f t="shared" ca="1" si="795"/>
        <v>5.7081782943214421E-2</v>
      </c>
      <c r="AG1538">
        <f t="shared" ca="1" si="796"/>
        <v>0</v>
      </c>
      <c r="AH1538">
        <f ca="1">IFERROR(IF(V35="Supercritical",MAX($D$16,IFERROR(L1538,MAX($D$16,POWER((ABS(K1538)^2)/($I$5*MAX(F1538,0.1)^2),1/3)))),IF(V35="Subcritical",MAX($D$16,IFERROR(W1538,MAX($D$16,POWER((ABS(K1538)^2)/($I$5*MAX(F1538,0.1)^2),1/3)))),IF(AND(IFERROR(V1538,0)=1,IFERROR(AG1538,0)=1),IF(IFERROR(T1538,-1E+99)&gt;=IFERROR(AE1538,-1E+99),MAX($D$16,IFERROR(L1538,MAX($D$16,POWER((ABS(K1538)^2)/($I$5*MAX(F1538,0.1)^2),1/3)))),MAX($D$16,IFERROR(W1538,MAX($D$16,POWER((ABS(K1538)^2)/($I$5*MAX(F1538,0.1)^2),1/3))))),IF(IFERROR(V1538,0)=1,MAX($D$16,IFERROR(L1538,MAX($D$16,POWER((ABS(K1538)^2)/($I$5*MAX(F1538,0.1)^2),1/3)))),IF(IFERROR(AG1538,0)=1,MAX($D$16,IFERROR(W1538,MAX($D$16,POWER((ABS(K1538)^2)/($I$5*MAX(F1538,0.1)^2),1/3)))),MAX($D$16,POWER((ABS(K1538)^2)/($I$5*MAX(F1538,0.1)^2),1/3))))))),MAX($D$16,POWER((ABS(K1538)^2)/($I$5*MAX(F1538,0.1)^2),1/3)))</f>
        <v>2.173219495984688</v>
      </c>
      <c r="AI1538">
        <f t="shared" ca="1" si="797"/>
        <v>633.67321949598465</v>
      </c>
      <c r="AJ1538">
        <f t="shared" ca="1" si="798"/>
        <v>634.75982924397704</v>
      </c>
      <c r="AL1538">
        <v>635.5</v>
      </c>
      <c r="AM1538">
        <v>0</v>
      </c>
      <c r="AN1538">
        <f t="shared" ca="1" si="809"/>
        <v>0</v>
      </c>
      <c r="AO1538">
        <f t="shared" ca="1" si="799"/>
        <v>0</v>
      </c>
      <c r="AP1538">
        <f t="shared" ca="1" si="808"/>
        <v>0</v>
      </c>
      <c r="AQ1538">
        <f t="shared" ca="1" si="800"/>
        <v>1.0000000000000002</v>
      </c>
      <c r="AR1538" t="str">
        <f t="shared" ca="1" si="801"/>
        <v>Supercritical</v>
      </c>
      <c r="AS1538">
        <f t="shared" ca="1" si="802"/>
        <v>3.9356448311832614E-3</v>
      </c>
    </row>
    <row r="1539" spans="1:45" x14ac:dyDescent="0.35">
      <c r="A1539">
        <v>18</v>
      </c>
      <c r="B1539">
        <v>16.943999999999999</v>
      </c>
      <c r="C1539">
        <v>616079.01899999997</v>
      </c>
      <c r="D1539">
        <v>3096613.1170000001</v>
      </c>
      <c r="E1539">
        <v>631.5</v>
      </c>
      <c r="F1539">
        <v>4.9009999999999998</v>
      </c>
      <c r="G1539">
        <v>0</v>
      </c>
      <c r="H1539" t="s">
        <v>154</v>
      </c>
      <c r="I1539">
        <v>0.05</v>
      </c>
      <c r="J1539">
        <f t="shared" si="803"/>
        <v>0.99999999999999822</v>
      </c>
      <c r="K1539">
        <f t="shared" ca="1" si="804"/>
        <v>49.931000000000004</v>
      </c>
      <c r="L1539">
        <f t="shared" ca="1" si="805"/>
        <v>0.28520098143965239</v>
      </c>
      <c r="M1539">
        <f t="shared" ca="1" si="778"/>
        <v>1.3977700100357362</v>
      </c>
      <c r="N1539">
        <f t="shared" ca="1" si="779"/>
        <v>0.25546834605077434</v>
      </c>
      <c r="O1539">
        <f t="shared" ca="1" si="780"/>
        <v>35.721899626908893</v>
      </c>
      <c r="P1539">
        <f t="shared" ca="1" si="781"/>
        <v>631.78520098143963</v>
      </c>
      <c r="Q1539">
        <f t="shared" ca="1" si="782"/>
        <v>696.82363691186538</v>
      </c>
      <c r="R1539">
        <f t="shared" ca="1" si="783"/>
        <v>1.7712049396112737</v>
      </c>
      <c r="S1539">
        <f t="shared" ca="1" si="784"/>
        <v>21.356227289264879</v>
      </c>
      <c r="T1539">
        <f t="shared" ca="1" si="785"/>
        <v>182.01687317570418</v>
      </c>
      <c r="U1539">
        <f t="shared" ca="1" si="806"/>
        <v>-3.8886978460243427</v>
      </c>
      <c r="V1539">
        <f t="shared" ca="1" si="807"/>
        <v>0</v>
      </c>
      <c r="W1539">
        <f t="shared" ca="1" si="786"/>
        <v>1.8523890214986511</v>
      </c>
      <c r="X1539">
        <f t="shared" ca="1" si="787"/>
        <v>9.078558594364889</v>
      </c>
      <c r="Y1539">
        <f t="shared" ca="1" si="788"/>
        <v>1.0549375720597742</v>
      </c>
      <c r="Z1539">
        <f t="shared" ca="1" si="789"/>
        <v>5.4998818899502888</v>
      </c>
      <c r="AA1539">
        <f t="shared" ca="1" si="790"/>
        <v>633.35238902149865</v>
      </c>
      <c r="AB1539">
        <f t="shared" ca="1" si="791"/>
        <v>634.89411689119299</v>
      </c>
      <c r="AC1539">
        <f t="shared" ca="1" si="792"/>
        <v>6.3375329562231006E-3</v>
      </c>
      <c r="AD1539">
        <f t="shared" ca="1" si="793"/>
        <v>1.2901872929646825</v>
      </c>
      <c r="AE1539">
        <f t="shared" ca="1" si="794"/>
        <v>36.401844738787915</v>
      </c>
      <c r="AF1539">
        <f t="shared" ca="1" si="795"/>
        <v>5.9719439502941896E-2</v>
      </c>
      <c r="AG1539">
        <f t="shared" ca="1" si="796"/>
        <v>0</v>
      </c>
      <c r="AH1539">
        <f ca="1">IFERROR(IF(V35="Supercritical",MAX($D$16,IFERROR(L1539,MAX($D$16,POWER((ABS(K1539)^2)/($I$5*MAX(F1539,0.1)^2),1/3)))),IF(V35="Subcritical",MAX($D$16,IFERROR(W1539,MAX($D$16,POWER((ABS(K1539)^2)/($I$5*MAX(F1539,0.1)^2),1/3)))),IF(AND(IFERROR(V1539,0)=1,IFERROR(AG1539,0)=1),IF(IFERROR(T1539,-1E+99)&gt;=IFERROR(AE1539,-1E+99),MAX($D$16,IFERROR(L1539,MAX($D$16,POWER((ABS(K1539)^2)/($I$5*MAX(F1539,0.1)^2),1/3)))),MAX($D$16,IFERROR(W1539,MAX($D$16,POWER((ABS(K1539)^2)/($I$5*MAX(F1539,0.1)^2),1/3))))),IF(IFERROR(V1539,0)=1,MAX($D$16,IFERROR(L1539,MAX($D$16,POWER((ABS(K1539)^2)/($I$5*MAX(F1539,0.1)^2),1/3)))),IF(IFERROR(AG1539,0)=1,MAX($D$16,IFERROR(W1539,MAX($D$16,POWER((ABS(K1539)^2)/($I$5*MAX(F1539,0.1)^2),1/3)))),MAX($D$16,POWER((ABS(K1539)^2)/($I$5*MAX(F1539,0.1)^2),1/3))))))),MAX($D$16,POWER((ABS(K1539)^2)/($I$5*MAX(F1539,0.1)^2),1/3)))</f>
        <v>2.1953345139928069</v>
      </c>
      <c r="AI1539">
        <f t="shared" ca="1" si="797"/>
        <v>633.69533451399286</v>
      </c>
      <c r="AJ1539">
        <f t="shared" ca="1" si="798"/>
        <v>634.79300177098924</v>
      </c>
      <c r="AL1539">
        <v>635.5</v>
      </c>
      <c r="AM1539">
        <v>0</v>
      </c>
      <c r="AN1539">
        <f t="shared" ca="1" si="809"/>
        <v>0</v>
      </c>
      <c r="AO1539">
        <f t="shared" ca="1" si="799"/>
        <v>0</v>
      </c>
      <c r="AP1539">
        <f t="shared" ca="1" si="808"/>
        <v>0</v>
      </c>
      <c r="AQ1539">
        <f t="shared" ca="1" si="800"/>
        <v>1</v>
      </c>
      <c r="AR1539" t="str">
        <f t="shared" ca="1" si="801"/>
        <v>Supercritical</v>
      </c>
      <c r="AS1539">
        <f t="shared" ca="1" si="802"/>
        <v>3.9850153261440221E-3</v>
      </c>
    </row>
    <row r="1540" spans="1:45" x14ac:dyDescent="0.35">
      <c r="A1540">
        <v>19</v>
      </c>
      <c r="B1540">
        <v>17.943999999999999</v>
      </c>
      <c r="C1540">
        <v>616079.51100000006</v>
      </c>
      <c r="D1540">
        <v>3096612.2459999998</v>
      </c>
      <c r="E1540">
        <v>631.5</v>
      </c>
      <c r="F1540">
        <v>4.8259999999999996</v>
      </c>
      <c r="G1540">
        <v>0</v>
      </c>
      <c r="H1540" t="s">
        <v>154</v>
      </c>
      <c r="I1540">
        <v>0.05</v>
      </c>
      <c r="J1540">
        <f t="shared" si="803"/>
        <v>1</v>
      </c>
      <c r="K1540">
        <f t="shared" ca="1" si="804"/>
        <v>49.931000000000004</v>
      </c>
      <c r="L1540">
        <f t="shared" ca="1" si="805"/>
        <v>0.28520098143965239</v>
      </c>
      <c r="M1540">
        <f t="shared" ca="1" si="778"/>
        <v>1.3763799364277622</v>
      </c>
      <c r="N1540">
        <f t="shared" ca="1" si="779"/>
        <v>0.25505511744595483</v>
      </c>
      <c r="O1540">
        <f t="shared" ca="1" si="780"/>
        <v>36.27704725890603</v>
      </c>
      <c r="P1540">
        <f t="shared" ca="1" si="781"/>
        <v>631.78520098143963</v>
      </c>
      <c r="Q1540">
        <f t="shared" ca="1" si="782"/>
        <v>698.86084613051719</v>
      </c>
      <c r="R1540">
        <f t="shared" ca="1" si="783"/>
        <v>1.830631751621892</v>
      </c>
      <c r="S1540">
        <f t="shared" ca="1" si="784"/>
        <v>21.688120585306088</v>
      </c>
      <c r="T1540">
        <f t="shared" ca="1" si="785"/>
        <v>184.83941686662845</v>
      </c>
      <c r="U1540">
        <f t="shared" ca="1" si="806"/>
        <v>-4.0474381232293126</v>
      </c>
      <c r="V1540">
        <f t="shared" ca="1" si="807"/>
        <v>0</v>
      </c>
      <c r="W1540">
        <f t="shared" ca="1" si="786"/>
        <v>1.8523890214986511</v>
      </c>
      <c r="X1540">
        <f t="shared" ca="1" si="787"/>
        <v>8.9396294177524904</v>
      </c>
      <c r="Y1540">
        <f t="shared" ca="1" si="788"/>
        <v>1.0479266220143666</v>
      </c>
      <c r="Z1540">
        <f t="shared" ca="1" si="789"/>
        <v>5.5853545674774896</v>
      </c>
      <c r="AA1540">
        <f t="shared" ca="1" si="790"/>
        <v>633.35238902149865</v>
      </c>
      <c r="AB1540">
        <f t="shared" ca="1" si="791"/>
        <v>634.94240867717861</v>
      </c>
      <c r="AC1540">
        <f t="shared" ca="1" si="792"/>
        <v>6.5944136054505382E-3</v>
      </c>
      <c r="AD1540">
        <f t="shared" ca="1" si="793"/>
        <v>1.3102378621674076</v>
      </c>
      <c r="AE1540">
        <f t="shared" ca="1" si="794"/>
        <v>36.708208672298824</v>
      </c>
      <c r="AF1540">
        <f t="shared" ca="1" si="795"/>
        <v>6.1838825547283705E-2</v>
      </c>
      <c r="AG1540">
        <f t="shared" ca="1" si="796"/>
        <v>0</v>
      </c>
      <c r="AH1540">
        <f ca="1">IFERROR(IF(V35="Supercritical",MAX($D$16,IFERROR(L1540,MAX($D$16,POWER((ABS(K1540)^2)/($I$5*MAX(F1540,0.1)^2),1/3)))),IF(V35="Subcritical",MAX($D$16,IFERROR(W1540,MAX($D$16,POWER((ABS(K1540)^2)/($I$5*MAX(F1540,0.1)^2),1/3)))),IF(AND(IFERROR(V1540,0)=1,IFERROR(AG1540,0)=1),IF(IFERROR(T1540,-1E+99)&gt;=IFERROR(AE1540,-1E+99),MAX($D$16,IFERROR(L1540,MAX($D$16,POWER((ABS(K1540)^2)/($I$5*MAX(F1540,0.1)^2),1/3)))),MAX($D$16,IFERROR(W1540,MAX($D$16,POWER((ABS(K1540)^2)/($I$5*MAX(F1540,0.1)^2),1/3))))),IF(IFERROR(V1540,0)=1,MAX($D$16,IFERROR(L1540,MAX($D$16,POWER((ABS(K1540)^2)/($I$5*MAX(F1540,0.1)^2),1/3)))),IF(IFERROR(AG1540,0)=1,MAX($D$16,IFERROR(W1540,MAX($D$16,POWER((ABS(K1540)^2)/($I$5*MAX(F1540,0.1)^2),1/3)))),MAX($D$16,POWER((ABS(K1540)^2)/($I$5*MAX(F1540,0.1)^2),1/3))))))),MAX($D$16,POWER((ABS(K1540)^2)/($I$5*MAX(F1540,0.1)^2),1/3)))</f>
        <v>2.2180208714301073</v>
      </c>
      <c r="AI1540">
        <f t="shared" ca="1" si="797"/>
        <v>633.7180208714301</v>
      </c>
      <c r="AJ1540">
        <f t="shared" ca="1" si="798"/>
        <v>634.82703130714515</v>
      </c>
      <c r="AL1540">
        <v>635.5</v>
      </c>
      <c r="AM1540">
        <v>0</v>
      </c>
      <c r="AN1540">
        <f t="shared" ca="1" si="809"/>
        <v>0</v>
      </c>
      <c r="AO1540">
        <f t="shared" ca="1" si="799"/>
        <v>0</v>
      </c>
      <c r="AP1540">
        <f t="shared" ca="1" si="808"/>
        <v>0</v>
      </c>
      <c r="AQ1540">
        <f t="shared" ca="1" si="800"/>
        <v>1</v>
      </c>
      <c r="AR1540" t="str">
        <f t="shared" ca="1" si="801"/>
        <v>Supercritical</v>
      </c>
      <c r="AS1540">
        <f t="shared" ca="1" si="802"/>
        <v>4.0366603099486024E-3</v>
      </c>
    </row>
    <row r="1541" spans="1:45" x14ac:dyDescent="0.35">
      <c r="A1541">
        <v>20</v>
      </c>
      <c r="B1541">
        <v>18.943999999999999</v>
      </c>
      <c r="C1541">
        <v>616080.00199999998</v>
      </c>
      <c r="D1541">
        <v>3096611.375</v>
      </c>
      <c r="E1541">
        <v>631.5</v>
      </c>
      <c r="F1541">
        <v>4.7519999999999998</v>
      </c>
      <c r="G1541">
        <v>0</v>
      </c>
      <c r="H1541" t="s">
        <v>154</v>
      </c>
      <c r="I1541">
        <v>7.8E-2</v>
      </c>
      <c r="J1541">
        <f t="shared" si="803"/>
        <v>1</v>
      </c>
      <c r="K1541">
        <f t="shared" ca="1" si="804"/>
        <v>49.931000000000004</v>
      </c>
      <c r="L1541">
        <f t="shared" ca="1" si="805"/>
        <v>0.28520098143965239</v>
      </c>
      <c r="M1541">
        <f t="shared" ca="1" si="778"/>
        <v>1.3552750638012281</v>
      </c>
      <c r="N1541">
        <f t="shared" ca="1" si="779"/>
        <v>0.25463598451479108</v>
      </c>
      <c r="O1541">
        <f t="shared" ca="1" si="780"/>
        <v>36.841967607634778</v>
      </c>
      <c r="P1541">
        <f t="shared" ca="1" si="781"/>
        <v>631.78520098143963</v>
      </c>
      <c r="Q1541">
        <f t="shared" ca="1" si="782"/>
        <v>700.96616821905479</v>
      </c>
      <c r="R1541">
        <f t="shared" ca="1" si="783"/>
        <v>1.8922351898697749</v>
      </c>
      <c r="S1541">
        <f t="shared" ca="1" si="784"/>
        <v>22.025856469841575</v>
      </c>
      <c r="T1541">
        <f t="shared" ca="1" si="785"/>
        <v>187.71174246273762</v>
      </c>
      <c r="U1541">
        <f t="shared" ca="1" si="806"/>
        <v>-4.1862812938780962</v>
      </c>
      <c r="V1541">
        <f t="shared" ca="1" si="807"/>
        <v>0</v>
      </c>
      <c r="W1541">
        <f t="shared" ca="1" si="786"/>
        <v>1.8523890214986511</v>
      </c>
      <c r="X1541">
        <f t="shared" ca="1" si="787"/>
        <v>8.8025526301615891</v>
      </c>
      <c r="Y1541">
        <f t="shared" ca="1" si="788"/>
        <v>1.0408872723638063</v>
      </c>
      <c r="Z1541">
        <f t="shared" ca="1" si="789"/>
        <v>5.6723318902875359</v>
      </c>
      <c r="AA1541">
        <f t="shared" ca="1" si="790"/>
        <v>633.35238902149865</v>
      </c>
      <c r="AB1541">
        <f t="shared" ca="1" si="791"/>
        <v>634.99231507010074</v>
      </c>
      <c r="AC1541">
        <f t="shared" ca="1" si="792"/>
        <v>6.8627922877513587E-3</v>
      </c>
      <c r="AD1541">
        <f t="shared" ca="1" si="793"/>
        <v>1.3306413978998128</v>
      </c>
      <c r="AE1541">
        <f t="shared" ca="1" si="794"/>
        <v>37.023946631423321</v>
      </c>
      <c r="AF1541">
        <f t="shared" ca="1" si="795"/>
        <v>-7.4204466873652564E-2</v>
      </c>
      <c r="AG1541">
        <f t="shared" ca="1" si="796"/>
        <v>0</v>
      </c>
      <c r="AH1541">
        <f ca="1">IFERROR(IF(V35="Supercritical",MAX($D$16,IFERROR(L1541,MAX($D$16,POWER((ABS(K1541)^2)/($I$5*MAX(F1541,0.1)^2),1/3)))),IF(V35="Subcritical",MAX($D$16,IFERROR(W1541,MAX($D$16,POWER((ABS(K1541)^2)/($I$5*MAX(F1541,0.1)^2),1/3)))),IF(AND(IFERROR(V1541,0)=1,IFERROR(AG1541,0)=1),IF(IFERROR(T1541,-1E+99)&gt;=IFERROR(AE1541,-1E+99),MAX($D$16,IFERROR(L1541,MAX($D$16,POWER((ABS(K1541)^2)/($I$5*MAX(F1541,0.1)^2),1/3)))),MAX($D$16,IFERROR(W1541,MAX($D$16,POWER((ABS(K1541)^2)/($I$5*MAX(F1541,0.1)^2),1/3))))),IF(IFERROR(V1541,0)=1,MAX($D$16,IFERROR(L1541,MAX($D$16,POWER((ABS(K1541)^2)/($I$5*MAX(F1541,0.1)^2),1/3)))),IF(IFERROR(AG1541,0)=1,MAX($D$16,IFERROR(W1541,MAX($D$16,POWER((ABS(K1541)^2)/($I$5*MAX(F1541,0.1)^2),1/3)))),MAX($D$16,POWER((ABS(K1541)^2)/($I$5*MAX(F1541,0.1)^2),1/3))))))),MAX($D$16,POWER((ABS(K1541)^2)/($I$5*MAX(F1541,0.1)^2),1/3)))</f>
        <v>2.2409881096949742</v>
      </c>
      <c r="AI1541">
        <f t="shared" ca="1" si="797"/>
        <v>633.74098810969497</v>
      </c>
      <c r="AJ1541">
        <f t="shared" ca="1" si="798"/>
        <v>634.86148216454251</v>
      </c>
      <c r="AL1541">
        <v>635.5</v>
      </c>
      <c r="AM1541">
        <v>0</v>
      </c>
      <c r="AN1541">
        <f t="shared" ca="1" si="809"/>
        <v>0</v>
      </c>
      <c r="AO1541">
        <f t="shared" ca="1" si="799"/>
        <v>0</v>
      </c>
      <c r="AP1541">
        <f t="shared" ca="1" si="808"/>
        <v>0</v>
      </c>
      <c r="AQ1541">
        <f t="shared" ca="1" si="800"/>
        <v>1.0000000000000002</v>
      </c>
      <c r="AR1541" t="str">
        <f t="shared" ca="1" si="801"/>
        <v>Supercritical</v>
      </c>
      <c r="AS1541">
        <f t="shared" ca="1" si="802"/>
        <v>4.0899823557671994E-3</v>
      </c>
    </row>
    <row r="1542" spans="1:45" x14ac:dyDescent="0.35">
      <c r="A1542">
        <v>21</v>
      </c>
      <c r="B1542">
        <v>19.943000000000001</v>
      </c>
      <c r="C1542">
        <v>616080.49399999995</v>
      </c>
      <c r="D1542">
        <v>3096610.5049999999</v>
      </c>
      <c r="E1542">
        <v>631.5</v>
      </c>
      <c r="F1542">
        <v>4.9290000000000003</v>
      </c>
      <c r="G1542">
        <v>0</v>
      </c>
      <c r="H1542" t="s">
        <v>154</v>
      </c>
      <c r="I1542">
        <v>7.8E-2</v>
      </c>
      <c r="J1542">
        <f t="shared" si="803"/>
        <v>0.99900000000000233</v>
      </c>
      <c r="K1542">
        <f t="shared" ca="1" si="804"/>
        <v>49.931000000000004</v>
      </c>
      <c r="L1542">
        <f t="shared" ca="1" si="805"/>
        <v>0.28520098143965239</v>
      </c>
      <c r="M1542">
        <f t="shared" ca="1" si="778"/>
        <v>1.4057556375160467</v>
      </c>
      <c r="N1542">
        <f t="shared" ca="1" si="779"/>
        <v>0.2556197286550117</v>
      </c>
      <c r="O1542">
        <f t="shared" ca="1" si="780"/>
        <v>35.518975465912042</v>
      </c>
      <c r="P1542">
        <f t="shared" ca="1" si="781"/>
        <v>631.78520098143963</v>
      </c>
      <c r="Q1542">
        <f t="shared" ca="1" si="782"/>
        <v>696.08681250784434</v>
      </c>
      <c r="R1542">
        <f t="shared" ca="1" si="783"/>
        <v>1.7497562461520242</v>
      </c>
      <c r="S1542">
        <f t="shared" ca="1" si="784"/>
        <v>21.234909706773617</v>
      </c>
      <c r="T1542">
        <f t="shared" ca="1" si="785"/>
        <v>180.98516725296255</v>
      </c>
      <c r="U1542">
        <f t="shared" ca="1" si="806"/>
        <v>1.5873807498135193</v>
      </c>
      <c r="V1542">
        <f t="shared" ca="1" si="807"/>
        <v>0</v>
      </c>
      <c r="W1542">
        <f t="shared" ca="1" si="786"/>
        <v>1.8523890214986511</v>
      </c>
      <c r="X1542">
        <f t="shared" ca="1" si="787"/>
        <v>9.1304254869668515</v>
      </c>
      <c r="Y1542">
        <f t="shared" ca="1" si="788"/>
        <v>1.0575237678680389</v>
      </c>
      <c r="Z1542">
        <f t="shared" ca="1" si="789"/>
        <v>5.4686389009223708</v>
      </c>
      <c r="AA1542">
        <f t="shared" ca="1" si="790"/>
        <v>633.35238902149865</v>
      </c>
      <c r="AB1542">
        <f t="shared" ca="1" si="791"/>
        <v>634.87665056220612</v>
      </c>
      <c r="AC1542">
        <f t="shared" ca="1" si="792"/>
        <v>6.2453123494774004E-3</v>
      </c>
      <c r="AD1542">
        <f t="shared" ca="1" si="793"/>
        <v>1.2828581705863074</v>
      </c>
      <c r="AE1542">
        <f t="shared" ca="1" si="794"/>
        <v>36.290862806992941</v>
      </c>
      <c r="AF1542">
        <f t="shared" ca="1" si="795"/>
        <v>-4.9380188388340684E-2</v>
      </c>
      <c r="AG1542">
        <f t="shared" ca="1" si="796"/>
        <v>0</v>
      </c>
      <c r="AH1542">
        <f ca="1">IFERROR(IF(V35="Supercritical",MAX($D$16,IFERROR(L1542,MAX($D$16,POWER((ABS(K1542)^2)/($I$5*MAX(F1542,0.1)^2),1/3)))),IF(V35="Subcritical",MAX($D$16,IFERROR(W1542,MAX($D$16,POWER((ABS(K1542)^2)/($I$5*MAX(F1542,0.1)^2),1/3)))),IF(AND(IFERROR(V1542,0)=1,IFERROR(AG1542,0)=1),IF(IFERROR(T1542,-1E+99)&gt;=IFERROR(AE1542,-1E+99),MAX($D$16,IFERROR(L1542,MAX($D$16,POWER((ABS(K1542)^2)/($I$5*MAX(F1542,0.1)^2),1/3)))),MAX($D$16,IFERROR(W1542,MAX($D$16,POWER((ABS(K1542)^2)/($I$5*MAX(F1542,0.1)^2),1/3))))),IF(IFERROR(V1542,0)=1,MAX($D$16,IFERROR(L1542,MAX($D$16,POWER((ABS(K1542)^2)/($I$5*MAX(F1542,0.1)^2),1/3)))),IF(IFERROR(AG1542,0)=1,MAX($D$16,IFERROR(W1542,MAX($D$16,POWER((ABS(K1542)^2)/($I$5*MAX(F1542,0.1)^2),1/3)))),MAX($D$16,POWER((ABS(K1542)^2)/($I$5*MAX(F1542,0.1)^2),1/3))))))),MAX($D$16,POWER((ABS(K1542)^2)/($I$5*MAX(F1542,0.1)^2),1/3)))</f>
        <v>2.1870126486201737</v>
      </c>
      <c r="AI1542">
        <f t="shared" ca="1" si="797"/>
        <v>633.68701264862023</v>
      </c>
      <c r="AJ1542">
        <f t="shared" ca="1" si="798"/>
        <v>634.78051897293028</v>
      </c>
      <c r="AL1542">
        <v>635.5</v>
      </c>
      <c r="AM1542">
        <v>0</v>
      </c>
      <c r="AN1542">
        <f t="shared" ca="1" si="809"/>
        <v>0</v>
      </c>
      <c r="AO1542">
        <f t="shared" ca="1" si="799"/>
        <v>0</v>
      </c>
      <c r="AP1542">
        <f t="shared" ca="1" si="808"/>
        <v>0</v>
      </c>
      <c r="AQ1542">
        <f t="shared" ca="1" si="800"/>
        <v>1.0000000000000002</v>
      </c>
      <c r="AR1542" t="str">
        <f t="shared" ca="1" si="801"/>
        <v>Supercritical</v>
      </c>
      <c r="AS1542">
        <f t="shared" ca="1" si="802"/>
        <v>3.9663247707169618E-3</v>
      </c>
    </row>
    <row r="1543" spans="1:45" x14ac:dyDescent="0.35">
      <c r="A1543">
        <v>22</v>
      </c>
      <c r="B1543">
        <v>20.943000000000001</v>
      </c>
      <c r="C1543">
        <v>616080.98499999999</v>
      </c>
      <c r="D1543">
        <v>3096609.6340000001</v>
      </c>
      <c r="E1543">
        <v>631.5</v>
      </c>
      <c r="F1543">
        <v>5.0880000000000001</v>
      </c>
      <c r="G1543">
        <v>0</v>
      </c>
      <c r="H1543" t="s">
        <v>154</v>
      </c>
      <c r="I1543">
        <v>4.04</v>
      </c>
      <c r="J1543">
        <f t="shared" si="803"/>
        <v>1</v>
      </c>
      <c r="K1543">
        <f t="shared" ca="1" si="804"/>
        <v>49.931000000000004</v>
      </c>
      <c r="L1543">
        <f t="shared" ca="1" si="805"/>
        <v>0.28520098143965239</v>
      </c>
      <c r="M1543">
        <f t="shared" ca="1" si="778"/>
        <v>1.4511025935649513</v>
      </c>
      <c r="N1543">
        <f t="shared" ca="1" si="779"/>
        <v>0.25645095613294866</v>
      </c>
      <c r="O1543">
        <f t="shared" ca="1" si="780"/>
        <v>34.409007482602291</v>
      </c>
      <c r="P1543">
        <f t="shared" ca="1" si="781"/>
        <v>631.78520098143963</v>
      </c>
      <c r="Q1543">
        <f t="shared" ca="1" si="782"/>
        <v>692.13075632995037</v>
      </c>
      <c r="R1543">
        <f t="shared" ca="1" si="783"/>
        <v>1.6350123824989071</v>
      </c>
      <c r="S1543">
        <f t="shared" ca="1" si="784"/>
        <v>20.57131877843694</v>
      </c>
      <c r="T1543">
        <f t="shared" ca="1" si="785"/>
        <v>175.34211169460966</v>
      </c>
      <c r="U1543">
        <f t="shared" ca="1" si="806"/>
        <v>0.64389082592253999</v>
      </c>
      <c r="V1543">
        <f t="shared" ca="1" si="807"/>
        <v>0</v>
      </c>
      <c r="W1543">
        <f t="shared" ca="1" si="786"/>
        <v>1.8523890214986511</v>
      </c>
      <c r="X1543">
        <f t="shared" ca="1" si="787"/>
        <v>9.4249553413851377</v>
      </c>
      <c r="Y1543">
        <f t="shared" ca="1" si="788"/>
        <v>1.0718973338456224</v>
      </c>
      <c r="Z1543">
        <f t="shared" ca="1" si="789"/>
        <v>5.2977439352685467</v>
      </c>
      <c r="AA1543">
        <f t="shared" ca="1" si="790"/>
        <v>633.35238902149865</v>
      </c>
      <c r="AB1543">
        <f t="shared" ca="1" si="791"/>
        <v>634.78287275257276</v>
      </c>
      <c r="AC1543">
        <f t="shared" ca="1" si="792"/>
        <v>5.7565222791297619E-3</v>
      </c>
      <c r="AD1543">
        <f t="shared" ca="1" si="793"/>
        <v>1.2427688527554852</v>
      </c>
      <c r="AE1543">
        <f t="shared" ca="1" si="794"/>
        <v>35.693832465151999</v>
      </c>
      <c r="AF1543">
        <f t="shared" ca="1" si="795"/>
        <v>-4.3484968876555286E-2</v>
      </c>
      <c r="AG1543">
        <f t="shared" ca="1" si="796"/>
        <v>0</v>
      </c>
      <c r="AH1543">
        <f ca="1">IFERROR(IF(V35="Supercritical",MAX($D$16,IFERROR(L1543,MAX($D$16,POWER((ABS(K1543)^2)/($I$5*MAX(F1543,0.1)^2),1/3)))),IF(V35="Subcritical",MAX($D$16,IFERROR(W1543,MAX($D$16,POWER((ABS(K1543)^2)/($I$5*MAX(F1543,0.1)^2),1/3)))),IF(AND(IFERROR(V1543,0)=1,IFERROR(AG1543,0)=1),IF(IFERROR(T1543,-1E+99)&gt;=IFERROR(AE1543,-1E+99),MAX($D$16,IFERROR(L1543,MAX($D$16,POWER((ABS(K1543)^2)/($I$5*MAX(F1543,0.1)^2),1/3)))),MAX($D$16,IFERROR(W1543,MAX($D$16,POWER((ABS(K1543)^2)/($I$5*MAX(F1543,0.1)^2),1/3))))),IF(IFERROR(V1543,0)=1,MAX($D$16,IFERROR(L1543,MAX($D$16,POWER((ABS(K1543)^2)/($I$5*MAX(F1543,0.1)^2),1/3)))),IF(IFERROR(AG1543,0)=1,MAX($D$16,IFERROR(W1543,MAX($D$16,POWER((ABS(K1543)^2)/($I$5*MAX(F1543,0.1)^2),1/3)))),MAX($D$16,POWER((ABS(K1543)^2)/($I$5*MAX(F1543,0.1)^2),1/3))))))),MAX($D$16,POWER((ABS(K1543)^2)/($I$5*MAX(F1543,0.1)^2),1/3)))</f>
        <v>2.1412092217673169</v>
      </c>
      <c r="AI1543">
        <f t="shared" ca="1" si="797"/>
        <v>633.64120922176733</v>
      </c>
      <c r="AJ1543">
        <f t="shared" ca="1" si="798"/>
        <v>634.71181383265093</v>
      </c>
      <c r="AL1543">
        <v>635.5</v>
      </c>
      <c r="AM1543">
        <v>0</v>
      </c>
      <c r="AN1543">
        <f t="shared" ca="1" si="809"/>
        <v>0</v>
      </c>
      <c r="AO1543">
        <f t="shared" ca="1" si="799"/>
        <v>0</v>
      </c>
      <c r="AP1543">
        <f t="shared" ca="1" si="808"/>
        <v>0</v>
      </c>
      <c r="AQ1543">
        <f t="shared" ca="1" si="800"/>
        <v>0.99999999999999978</v>
      </c>
      <c r="AR1543" t="str">
        <f t="shared" ca="1" si="801"/>
        <v>Supercritical</v>
      </c>
      <c r="AS1543">
        <f t="shared" ca="1" si="802"/>
        <v>3.865873751040179E-3</v>
      </c>
    </row>
    <row r="1544" spans="1:45" x14ac:dyDescent="0.35">
      <c r="A1544">
        <v>23</v>
      </c>
      <c r="B1544">
        <v>21.931000000000001</v>
      </c>
      <c r="C1544">
        <v>616081.40800000005</v>
      </c>
      <c r="D1544">
        <v>3096608.7420000001</v>
      </c>
      <c r="E1544">
        <v>631.5</v>
      </c>
      <c r="F1544">
        <v>5.36</v>
      </c>
      <c r="G1544">
        <v>0</v>
      </c>
      <c r="H1544" t="s">
        <v>154</v>
      </c>
      <c r="I1544">
        <v>21.068999999999999</v>
      </c>
      <c r="J1544">
        <f t="shared" si="803"/>
        <v>0.98799999999999955</v>
      </c>
      <c r="K1544">
        <f t="shared" ca="1" si="804"/>
        <v>49.931000000000004</v>
      </c>
      <c r="L1544">
        <f t="shared" ca="1" si="805"/>
        <v>0.28520098143965239</v>
      </c>
      <c r="M1544">
        <f t="shared" ca="1" si="778"/>
        <v>1.5286772605165369</v>
      </c>
      <c r="N1544">
        <f t="shared" ca="1" si="779"/>
        <v>0.25776958629197871</v>
      </c>
      <c r="O1544">
        <f t="shared" ca="1" si="780"/>
        <v>32.66287874467919</v>
      </c>
      <c r="P1544">
        <f t="shared" ca="1" si="781"/>
        <v>631.78520098143963</v>
      </c>
      <c r="Q1544">
        <f t="shared" ca="1" si="782"/>
        <v>686.16153369752601</v>
      </c>
      <c r="R1544">
        <f t="shared" ca="1" si="783"/>
        <v>1.4632410263871196</v>
      </c>
      <c r="S1544">
        <f t="shared" ca="1" si="784"/>
        <v>19.527401109083424</v>
      </c>
      <c r="T1544">
        <f t="shared" ca="1" si="785"/>
        <v>166.46571679422738</v>
      </c>
      <c r="U1544">
        <f t="shared" ca="1" si="806"/>
        <v>0.52888448264434373</v>
      </c>
      <c r="V1544">
        <f t="shared" ca="1" si="807"/>
        <v>0</v>
      </c>
      <c r="W1544">
        <f t="shared" ca="1" si="786"/>
        <v>1.8523890214986511</v>
      </c>
      <c r="X1544">
        <f t="shared" ca="1" si="787"/>
        <v>9.9288051552327712</v>
      </c>
      <c r="Y1544">
        <f t="shared" ca="1" si="788"/>
        <v>1.0953169628795207</v>
      </c>
      <c r="Z1544">
        <f t="shared" ca="1" si="789"/>
        <v>5.0289031982549188</v>
      </c>
      <c r="AA1544">
        <f t="shared" ca="1" si="790"/>
        <v>633.35238902149865</v>
      </c>
      <c r="AB1544">
        <f t="shared" ca="1" si="791"/>
        <v>634.64137308762599</v>
      </c>
      <c r="AC1544">
        <f t="shared" ca="1" si="792"/>
        <v>5.03975377246381E-3</v>
      </c>
      <c r="AD1544">
        <f t="shared" ca="1" si="793"/>
        <v>1.1797029706753561</v>
      </c>
      <c r="AE1544">
        <f t="shared" ca="1" si="794"/>
        <v>34.792148114632397</v>
      </c>
      <c r="AF1544">
        <f t="shared" ca="1" si="795"/>
        <v>0.13545619417391208</v>
      </c>
      <c r="AG1544">
        <f t="shared" ca="1" si="796"/>
        <v>0</v>
      </c>
      <c r="AH1544">
        <f ca="1">IFERROR(IF(V35="Supercritical",MAX($D$16,IFERROR(L1544,MAX($D$16,POWER((ABS(K1544)^2)/($I$5*MAX(F1544,0.1)^2),1/3)))),IF(V35="Subcritical",MAX($D$16,IFERROR(W1544,MAX($D$16,POWER((ABS(K1544)^2)/($I$5*MAX(F1544,0.1)^2),1/3)))),IF(AND(IFERROR(V1544,0)=1,IFERROR(AG1544,0)=1),IF(IFERROR(T1544,-1E+99)&gt;=IFERROR(AE1544,-1E+99),MAX($D$16,IFERROR(L1544,MAX($D$16,POWER((ABS(K1544)^2)/($I$5*MAX(F1544,0.1)^2),1/3)))),MAX($D$16,IFERROR(W1544,MAX($D$16,POWER((ABS(K1544)^2)/($I$5*MAX(F1544,0.1)^2),1/3))))),IF(IFERROR(V1544,0)=1,MAX($D$16,IFERROR(L1544,MAX($D$16,POWER((ABS(K1544)^2)/($I$5*MAX(F1544,0.1)^2),1/3)))),IF(IFERROR(AG1544,0)=1,MAX($D$16,IFERROR(W1544,MAX($D$16,POWER((ABS(K1544)^2)/($I$5*MAX(F1544,0.1)^2),1/3)))),MAX($D$16,POWER((ABS(K1544)^2)/($I$5*MAX(F1544,0.1)^2),1/3))))))),MAX($D$16,POWER((ABS(K1544)^2)/($I$5*MAX(F1544,0.1)^2),1/3)))</f>
        <v>2.0681433939017997</v>
      </c>
      <c r="AI1544">
        <f t="shared" ca="1" si="797"/>
        <v>633.56814339390178</v>
      </c>
      <c r="AJ1544">
        <f t="shared" ca="1" si="798"/>
        <v>634.60221509085272</v>
      </c>
      <c r="AL1544">
        <v>635.5</v>
      </c>
      <c r="AM1544">
        <v>0</v>
      </c>
      <c r="AN1544">
        <f t="shared" ca="1" si="809"/>
        <v>0</v>
      </c>
      <c r="AO1544">
        <f t="shared" ca="1" si="799"/>
        <v>0</v>
      </c>
      <c r="AP1544">
        <f t="shared" ca="1" si="808"/>
        <v>0</v>
      </c>
      <c r="AQ1544">
        <f t="shared" ca="1" si="800"/>
        <v>1.0000000000000004</v>
      </c>
      <c r="AR1544" t="str">
        <f t="shared" ca="1" si="801"/>
        <v>Supercritical</v>
      </c>
      <c r="AS1544">
        <f t="shared" ca="1" si="802"/>
        <v>3.7140124278725196E-3</v>
      </c>
    </row>
    <row r="1545" spans="1:45" x14ac:dyDescent="0.35">
      <c r="A1545">
        <v>24</v>
      </c>
      <c r="B1545">
        <v>22.93</v>
      </c>
      <c r="C1545">
        <v>616081.48300000001</v>
      </c>
      <c r="D1545">
        <v>3096607.7450000001</v>
      </c>
      <c r="E1545">
        <v>631.5</v>
      </c>
      <c r="F1545">
        <v>5.13</v>
      </c>
      <c r="G1545">
        <v>0</v>
      </c>
      <c r="H1545" t="s">
        <v>154</v>
      </c>
      <c r="I1545">
        <v>5.7000000000000002E-2</v>
      </c>
      <c r="J1545">
        <f t="shared" si="803"/>
        <v>0.99899999999999878</v>
      </c>
      <c r="K1545">
        <f t="shared" ca="1" si="804"/>
        <v>49.931000000000004</v>
      </c>
      <c r="L1545">
        <f t="shared" ca="1" si="805"/>
        <v>0.28520098143965239</v>
      </c>
      <c r="M1545">
        <f t="shared" ca="1" si="778"/>
        <v>1.4630810347854166</v>
      </c>
      <c r="N1545">
        <f t="shared" ca="1" si="779"/>
        <v>0.25666278348665894</v>
      </c>
      <c r="O1545">
        <f t="shared" ca="1" si="780"/>
        <v>34.127296310230115</v>
      </c>
      <c r="P1545">
        <f t="shared" ca="1" si="781"/>
        <v>631.78520098143963</v>
      </c>
      <c r="Q1545">
        <f t="shared" ca="1" si="782"/>
        <v>691.14668688593736</v>
      </c>
      <c r="R1545">
        <f t="shared" ca="1" si="783"/>
        <v>1.6065802290382007</v>
      </c>
      <c r="S1545">
        <f t="shared" ca="1" si="784"/>
        <v>20.402898624695354</v>
      </c>
      <c r="T1545">
        <f t="shared" ca="1" si="785"/>
        <v>173.90996452062828</v>
      </c>
      <c r="U1545">
        <f t="shared" ca="1" si="806"/>
        <v>-7.0226835654983688</v>
      </c>
      <c r="V1545">
        <f t="shared" ca="1" si="807"/>
        <v>0</v>
      </c>
      <c r="W1545">
        <f t="shared" ca="1" si="786"/>
        <v>1.8523890214986511</v>
      </c>
      <c r="X1545">
        <f t="shared" ca="1" si="787"/>
        <v>9.5027556802880806</v>
      </c>
      <c r="Y1545">
        <f t="shared" ca="1" si="788"/>
        <v>1.0756077440813849</v>
      </c>
      <c r="Z1545">
        <f t="shared" ca="1" si="789"/>
        <v>5.2543705931084528</v>
      </c>
      <c r="AA1545">
        <f t="shared" ca="1" si="790"/>
        <v>633.35238902149865</v>
      </c>
      <c r="AB1545">
        <f t="shared" ca="1" si="791"/>
        <v>634.75954551129087</v>
      </c>
      <c r="AC1545">
        <f t="shared" ca="1" si="792"/>
        <v>5.6366191525269518E-3</v>
      </c>
      <c r="AD1545">
        <f t="shared" ca="1" si="793"/>
        <v>1.2325941370019315</v>
      </c>
      <c r="AE1545">
        <f t="shared" ca="1" si="794"/>
        <v>35.545128800928843</v>
      </c>
      <c r="AF1545">
        <f t="shared" ca="1" si="795"/>
        <v>7.3860264248082785E-2</v>
      </c>
      <c r="AG1545">
        <f t="shared" ca="1" si="796"/>
        <v>0</v>
      </c>
      <c r="AH1545">
        <f ca="1">IFERROR(IF(V35="Supercritical",MAX($D$16,IFERROR(L1545,MAX($D$16,POWER((ABS(K1545)^2)/($I$5*MAX(F1545,0.1)^2),1/3)))),IF(V35="Subcritical",MAX($D$16,IFERROR(W1545,MAX($D$16,POWER((ABS(K1545)^2)/($I$5*MAX(F1545,0.1)^2),1/3)))),IF(AND(IFERROR(V1545,0)=1,IFERROR(AG1545,0)=1),IF(IFERROR(T1545,-1E+99)&gt;=IFERROR(AE1545,-1E+99),MAX($D$16,IFERROR(L1545,MAX($D$16,POWER((ABS(K1545)^2)/($I$5*MAX(F1545,0.1)^2),1/3)))),MAX($D$16,IFERROR(W1545,MAX($D$16,POWER((ABS(K1545)^2)/($I$5*MAX(F1545,0.1)^2),1/3))))),IF(IFERROR(V1545,0)=1,MAX($D$16,IFERROR(L1545,MAX($D$16,POWER((ABS(K1545)^2)/($I$5*MAX(F1545,0.1)^2),1/3)))),IF(IFERROR(AG1545,0)=1,MAX($D$16,IFERROR(W1545,MAX($D$16,POWER((ABS(K1545)^2)/($I$5*MAX(F1545,0.1)^2),1/3)))),MAX($D$16,POWER((ABS(K1545)^2)/($I$5*MAX(F1545,0.1)^2),1/3))))))),MAX($D$16,POWER((ABS(K1545)^2)/($I$5*MAX(F1545,0.1)^2),1/3)))</f>
        <v>2.129506304476712</v>
      </c>
      <c r="AI1545">
        <f t="shared" ca="1" si="797"/>
        <v>633.62950630447676</v>
      </c>
      <c r="AJ1545">
        <f t="shared" ca="1" si="798"/>
        <v>634.69425945671514</v>
      </c>
      <c r="AL1545">
        <v>635.5</v>
      </c>
      <c r="AM1545">
        <v>0</v>
      </c>
      <c r="AN1545">
        <f t="shared" ca="1" si="809"/>
        <v>0</v>
      </c>
      <c r="AO1545">
        <f t="shared" ca="1" si="799"/>
        <v>0</v>
      </c>
      <c r="AP1545">
        <f t="shared" ca="1" si="808"/>
        <v>0</v>
      </c>
      <c r="AQ1545">
        <f t="shared" ca="1" si="800"/>
        <v>1.0000000000000002</v>
      </c>
      <c r="AR1545" t="str">
        <f t="shared" ca="1" si="801"/>
        <v>Supercritical</v>
      </c>
      <c r="AS1545">
        <f t="shared" ca="1" si="802"/>
        <v>3.8408613059875705E-3</v>
      </c>
    </row>
    <row r="1546" spans="1:45" x14ac:dyDescent="0.35">
      <c r="A1546">
        <v>25</v>
      </c>
      <c r="B1546">
        <v>23.93</v>
      </c>
      <c r="C1546">
        <v>616081.55700000003</v>
      </c>
      <c r="D1546">
        <v>3096606.7480000001</v>
      </c>
      <c r="E1546">
        <v>631.5</v>
      </c>
      <c r="F1546">
        <v>5.0209999999999999</v>
      </c>
      <c r="G1546">
        <v>0</v>
      </c>
      <c r="H1546" t="s">
        <v>154</v>
      </c>
      <c r="I1546">
        <v>5.2999999999999999E-2</v>
      </c>
      <c r="J1546">
        <f t="shared" si="803"/>
        <v>1</v>
      </c>
      <c r="K1546">
        <f t="shared" ca="1" si="804"/>
        <v>49.931000000000004</v>
      </c>
      <c r="L1546">
        <f t="shared" ca="1" si="805"/>
        <v>0.28520098143965239</v>
      </c>
      <c r="M1546">
        <f t="shared" ca="1" si="778"/>
        <v>1.4319941278084947</v>
      </c>
      <c r="N1546">
        <f t="shared" ca="1" si="779"/>
        <v>0.25610645367929979</v>
      </c>
      <c r="O1546">
        <f t="shared" ca="1" si="780"/>
        <v>34.868159743373923</v>
      </c>
      <c r="P1546">
        <f t="shared" ca="1" si="781"/>
        <v>631.78520098143963</v>
      </c>
      <c r="Q1546">
        <f t="shared" ca="1" si="782"/>
        <v>693.75199832544786</v>
      </c>
      <c r="R1546">
        <f t="shared" ca="1" si="783"/>
        <v>1.6819504939526688</v>
      </c>
      <c r="S1546">
        <f t="shared" ca="1" si="784"/>
        <v>20.845821538475832</v>
      </c>
      <c r="T1546">
        <f t="shared" ca="1" si="785"/>
        <v>177.67638289677106</v>
      </c>
      <c r="U1546">
        <f t="shared" ca="1" si="806"/>
        <v>-4.5155816787223557</v>
      </c>
      <c r="V1546">
        <f t="shared" ca="1" si="807"/>
        <v>0</v>
      </c>
      <c r="W1546">
        <f t="shared" ca="1" si="786"/>
        <v>1.8523890214986511</v>
      </c>
      <c r="X1546">
        <f t="shared" ca="1" si="787"/>
        <v>9.3008452769447274</v>
      </c>
      <c r="Y1546">
        <f t="shared" ca="1" si="788"/>
        <v>1.0659044077346127</v>
      </c>
      <c r="Z1546">
        <f t="shared" ca="1" si="789"/>
        <v>5.3684367939944959</v>
      </c>
      <c r="AA1546">
        <f t="shared" ca="1" si="790"/>
        <v>633.35238902149865</v>
      </c>
      <c r="AB1546">
        <f t="shared" ca="1" si="791"/>
        <v>634.82130408832404</v>
      </c>
      <c r="AC1546">
        <f t="shared" ca="1" si="792"/>
        <v>5.9555315422147887E-3</v>
      </c>
      <c r="AD1546">
        <f t="shared" ca="1" si="793"/>
        <v>1.2593523048834712</v>
      </c>
      <c r="AE1546">
        <f t="shared" ca="1" si="794"/>
        <v>35.938695363866515</v>
      </c>
      <c r="AF1546">
        <f t="shared" ca="1" si="795"/>
        <v>7.8776948242762046E-2</v>
      </c>
      <c r="AG1546">
        <f t="shared" ca="1" si="796"/>
        <v>0</v>
      </c>
      <c r="AH1546">
        <f ca="1">IFERROR(IF(V35="Supercritical",MAX($D$16,IFERROR(L1546,MAX($D$16,POWER((ABS(K1546)^2)/($I$5*MAX(F1546,0.1)^2),1/3)))),IF(V35="Subcritical",MAX($D$16,IFERROR(W1546,MAX($D$16,POWER((ABS(K1546)^2)/($I$5*MAX(F1546,0.1)^2),1/3)))),IF(AND(IFERROR(V1546,0)=1,IFERROR(AG1546,0)=1),IF(IFERROR(T1546,-1E+99)&gt;=IFERROR(AE1546,-1E+99),MAX($D$16,IFERROR(L1546,MAX($D$16,POWER((ABS(K1546)^2)/($I$5*MAX(F1546,0.1)^2),1/3)))),MAX($D$16,IFERROR(W1546,MAX($D$16,POWER((ABS(K1546)^2)/($I$5*MAX(F1546,0.1)^2),1/3))))),IF(IFERROR(V1546,0)=1,MAX($D$16,IFERROR(L1546,MAX($D$16,POWER((ABS(K1546)^2)/($I$5*MAX(F1546,0.1)^2),1/3)))),IF(IFERROR(AG1546,0)=1,MAX($D$16,IFERROR(W1546,MAX($D$16,POWER((ABS(K1546)^2)/($I$5*MAX(F1546,0.1)^2),1/3)))),MAX($D$16,POWER((ABS(K1546)^2)/($I$5*MAX(F1546,0.1)^2),1/3))))))),MAX($D$16,POWER((ABS(K1546)^2)/($I$5*MAX(F1546,0.1)^2),1/3)))</f>
        <v>2.1602152417144875</v>
      </c>
      <c r="AI1546">
        <f t="shared" ca="1" si="797"/>
        <v>633.66021524171447</v>
      </c>
      <c r="AJ1546">
        <f t="shared" ca="1" si="798"/>
        <v>634.7403228625717</v>
      </c>
      <c r="AL1546">
        <v>635.5</v>
      </c>
      <c r="AM1546">
        <v>0</v>
      </c>
      <c r="AN1546">
        <f t="shared" ca="1" si="809"/>
        <v>0</v>
      </c>
      <c r="AO1546">
        <f t="shared" ca="1" si="799"/>
        <v>0</v>
      </c>
      <c r="AP1546">
        <f t="shared" ca="1" si="808"/>
        <v>0</v>
      </c>
      <c r="AQ1546">
        <f t="shared" ca="1" si="800"/>
        <v>1.0000000000000002</v>
      </c>
      <c r="AR1546" t="str">
        <f t="shared" ca="1" si="801"/>
        <v>Supercritical</v>
      </c>
      <c r="AS1546">
        <f t="shared" ca="1" si="802"/>
        <v>3.9070599039979339E-3</v>
      </c>
    </row>
    <row r="1547" spans="1:45" x14ac:dyDescent="0.35">
      <c r="A1547">
        <v>26</v>
      </c>
      <c r="B1547">
        <v>24.931000000000001</v>
      </c>
      <c r="C1547">
        <v>616081.63199999998</v>
      </c>
      <c r="D1547">
        <v>3096605.75</v>
      </c>
      <c r="E1547">
        <v>631.5</v>
      </c>
      <c r="F1547">
        <v>4.9119999999999999</v>
      </c>
      <c r="G1547">
        <v>0</v>
      </c>
      <c r="H1547" t="s">
        <v>154</v>
      </c>
      <c r="I1547">
        <v>5.2999999999999999E-2</v>
      </c>
      <c r="J1547">
        <f t="shared" si="803"/>
        <v>1.0010000000000012</v>
      </c>
      <c r="K1547">
        <f t="shared" ca="1" si="804"/>
        <v>49.931000000000004</v>
      </c>
      <c r="L1547">
        <f t="shared" ca="1" si="805"/>
        <v>0.28520098143965239</v>
      </c>
      <c r="M1547">
        <f t="shared" ca="1" si="778"/>
        <v>1.4009072208315725</v>
      </c>
      <c r="N1547">
        <f t="shared" ca="1" si="779"/>
        <v>0.25552800219993893</v>
      </c>
      <c r="O1547">
        <f t="shared" ca="1" si="780"/>
        <v>35.641903516180875</v>
      </c>
      <c r="P1547">
        <f t="shared" ca="1" si="781"/>
        <v>631.78520098143963</v>
      </c>
      <c r="Q1547">
        <f t="shared" ca="1" si="782"/>
        <v>696.53266715150824</v>
      </c>
      <c r="R1547">
        <f t="shared" ca="1" si="783"/>
        <v>1.7627320429375148</v>
      </c>
      <c r="S1547">
        <f t="shared" ca="1" si="784"/>
        <v>21.308401861703413</v>
      </c>
      <c r="T1547">
        <f t="shared" ca="1" si="785"/>
        <v>181.61015583353776</v>
      </c>
      <c r="U1547">
        <f t="shared" ca="1" si="806"/>
        <v>-4.7885186778916022</v>
      </c>
      <c r="V1547">
        <f t="shared" ca="1" si="807"/>
        <v>0</v>
      </c>
      <c r="W1547">
        <f t="shared" ca="1" si="786"/>
        <v>1.8523890214986511</v>
      </c>
      <c r="X1547">
        <f t="shared" ca="1" si="787"/>
        <v>9.0989348736013742</v>
      </c>
      <c r="Y1547">
        <f t="shared" ca="1" si="788"/>
        <v>1.05595558202824</v>
      </c>
      <c r="Z1547">
        <f t="shared" ca="1" si="789"/>
        <v>5.4875653792032502</v>
      </c>
      <c r="AA1547">
        <f t="shared" ca="1" si="790"/>
        <v>633.35238902149865</v>
      </c>
      <c r="AB1547">
        <f t="shared" ca="1" si="791"/>
        <v>634.88721948995078</v>
      </c>
      <c r="AC1547">
        <f t="shared" ca="1" si="792"/>
        <v>6.3010713787581196E-3</v>
      </c>
      <c r="AD1547">
        <f t="shared" ca="1" si="793"/>
        <v>1.2872980298900467</v>
      </c>
      <c r="AE1547">
        <f t="shared" ca="1" si="794"/>
        <v>36.358028482524617</v>
      </c>
      <c r="AF1547">
        <f t="shared" ca="1" si="795"/>
        <v>8.4725151206953342E-2</v>
      </c>
      <c r="AG1547">
        <f t="shared" ca="1" si="796"/>
        <v>0</v>
      </c>
      <c r="AH1547">
        <f ca="1">IFERROR(IF(V35="Supercritical",MAX($D$16,IFERROR(L1547,MAX($D$16,POWER((ABS(K1547)^2)/($I$5*MAX(F1547,0.1)^2),1/3)))),IF(V35="Subcritical",MAX($D$16,IFERROR(W1547,MAX($D$16,POWER((ABS(K1547)^2)/($I$5*MAX(F1547,0.1)^2),1/3)))),IF(AND(IFERROR(V1547,0)=1,IFERROR(AG1547,0)=1),IF(IFERROR(T1547,-1E+99)&gt;=IFERROR(AE1547,-1E+99),MAX($D$16,IFERROR(L1547,MAX($D$16,POWER((ABS(K1547)^2)/($I$5*MAX(F1547,0.1)^2),1/3)))),MAX($D$16,IFERROR(W1547,MAX($D$16,POWER((ABS(K1547)^2)/($I$5*MAX(F1547,0.1)^2),1/3))))),IF(IFERROR(V1547,0)=1,MAX($D$16,IFERROR(L1547,MAX($D$16,POWER((ABS(K1547)^2)/($I$5*MAX(F1547,0.1)^2),1/3)))),IF(IFERROR(AG1547,0)=1,MAX($D$16,IFERROR(W1547,MAX($D$16,POWER((ABS(K1547)^2)/($I$5*MAX(F1547,0.1)^2),1/3)))),MAX($D$16,POWER((ABS(K1547)^2)/($I$5*MAX(F1547,0.1)^2),1/3))))))),MAX($D$16,POWER((ABS(K1547)^2)/($I$5*MAX(F1547,0.1)^2),1/3)))</f>
        <v>2.1920557813945898</v>
      </c>
      <c r="AI1547">
        <f t="shared" ca="1" si="797"/>
        <v>633.69205578139463</v>
      </c>
      <c r="AJ1547">
        <f t="shared" ca="1" si="798"/>
        <v>634.78808367209194</v>
      </c>
      <c r="AL1547">
        <v>635.5</v>
      </c>
      <c r="AM1547">
        <v>0</v>
      </c>
      <c r="AN1547">
        <f t="shared" ca="1" si="809"/>
        <v>0</v>
      </c>
      <c r="AO1547">
        <f t="shared" ca="1" si="799"/>
        <v>0</v>
      </c>
      <c r="AP1547">
        <f t="shared" ca="1" si="808"/>
        <v>0</v>
      </c>
      <c r="AQ1547">
        <f t="shared" ca="1" si="800"/>
        <v>1</v>
      </c>
      <c r="AR1547" t="str">
        <f t="shared" ca="1" si="801"/>
        <v>Supercritical</v>
      </c>
      <c r="AS1547">
        <f t="shared" ca="1" si="802"/>
        <v>3.9776351997024995E-3</v>
      </c>
    </row>
    <row r="1548" spans="1:45" x14ac:dyDescent="0.35">
      <c r="A1548">
        <v>27</v>
      </c>
      <c r="B1548">
        <v>25.931000000000001</v>
      </c>
      <c r="C1548">
        <v>616081.70600000001</v>
      </c>
      <c r="D1548">
        <v>3096604.753</v>
      </c>
      <c r="E1548">
        <v>631.5</v>
      </c>
      <c r="F1548">
        <v>4.8019999999999996</v>
      </c>
      <c r="G1548">
        <v>0</v>
      </c>
      <c r="H1548" t="s">
        <v>154</v>
      </c>
      <c r="I1548">
        <v>0</v>
      </c>
      <c r="J1548">
        <f t="shared" si="803"/>
        <v>1</v>
      </c>
      <c r="K1548">
        <f t="shared" ca="1" si="804"/>
        <v>49.931000000000004</v>
      </c>
      <c r="L1548">
        <f t="shared" ca="1" si="805"/>
        <v>0.28520098143965239</v>
      </c>
      <c r="M1548">
        <f t="shared" ca="1" si="778"/>
        <v>1.3695351128732107</v>
      </c>
      <c r="N1548">
        <f t="shared" ca="1" si="779"/>
        <v>0.25492044756442928</v>
      </c>
      <c r="O1548">
        <f t="shared" ca="1" si="780"/>
        <v>36.458356949496142</v>
      </c>
      <c r="P1548">
        <f t="shared" ca="1" si="781"/>
        <v>631.78520098143963</v>
      </c>
      <c r="Q1548">
        <f t="shared" ca="1" si="782"/>
        <v>699.5329987111478</v>
      </c>
      <c r="R1548">
        <f t="shared" ca="1" si="783"/>
        <v>1.8502786614364322</v>
      </c>
      <c r="S1548">
        <f t="shared" ca="1" si="784"/>
        <v>21.796516023466715</v>
      </c>
      <c r="T1548">
        <f t="shared" ca="1" si="785"/>
        <v>185.7612720004883</v>
      </c>
      <c r="U1548">
        <f t="shared" ca="1" si="806"/>
        <v>-5.1068700677905099</v>
      </c>
      <c r="V1548">
        <f t="shared" ca="1" si="807"/>
        <v>0</v>
      </c>
      <c r="W1548">
        <f t="shared" ca="1" si="786"/>
        <v>1.8523890214986511</v>
      </c>
      <c r="X1548">
        <f t="shared" ca="1" si="787"/>
        <v>8.895172081236522</v>
      </c>
      <c r="Y1548">
        <f t="shared" ca="1" si="788"/>
        <v>1.045657008596685</v>
      </c>
      <c r="Z1548">
        <f t="shared" ca="1" si="789"/>
        <v>5.6132697090059072</v>
      </c>
      <c r="AA1548">
        <f t="shared" ca="1" si="790"/>
        <v>633.35238902149865</v>
      </c>
      <c r="AB1548">
        <f t="shared" ca="1" si="791"/>
        <v>634.95834196879957</v>
      </c>
      <c r="AC1548">
        <f t="shared" ca="1" si="792"/>
        <v>6.679777567807888E-3</v>
      </c>
      <c r="AD1548">
        <f t="shared" ca="1" si="793"/>
        <v>1.3167863229529173</v>
      </c>
      <c r="AE1548">
        <f t="shared" ca="1" si="794"/>
        <v>36.809115195032511</v>
      </c>
      <c r="AF1548">
        <f t="shared" ca="1" si="795"/>
        <v>9.0049768446306189E-2</v>
      </c>
      <c r="AG1548">
        <f t="shared" ca="1" si="796"/>
        <v>0</v>
      </c>
      <c r="AH1548">
        <f ca="1">IFERROR(IF(V35="Supercritical",MAX($D$16,IFERROR(L1548,MAX($D$16,POWER((ABS(K1548)^2)/($I$5*MAX(F1548,0.1)^2),1/3)))),IF(V35="Subcritical",MAX($D$16,IFERROR(W1548,MAX($D$16,POWER((ABS(K1548)^2)/($I$5*MAX(F1548,0.1)^2),1/3)))),IF(AND(IFERROR(V1548,0)=1,IFERROR(AG1548,0)=1),IF(IFERROR(T1548,-1E+99)&gt;=IFERROR(AE1548,-1E+99),MAX($D$16,IFERROR(L1548,MAX($D$16,POWER((ABS(K1548)^2)/($I$5*MAX(F1548,0.1)^2),1/3)))),MAX($D$16,IFERROR(W1548,MAX($D$16,POWER((ABS(K1548)^2)/($I$5*MAX(F1548,0.1)^2),1/3))))),IF(IFERROR(V1548,0)=1,MAX($D$16,IFERROR(L1548,MAX($D$16,POWER((ABS(K1548)^2)/($I$5*MAX(F1548,0.1)^2),1/3)))),IF(IFERROR(AG1548,0)=1,MAX($D$16,IFERROR(W1548,MAX($D$16,POWER((ABS(K1548)^2)/($I$5*MAX(F1548,0.1)^2),1/3)))),MAX($D$16,POWER((ABS(K1548)^2)/($I$5*MAX(F1548,0.1)^2),1/3))))))),MAX($D$16,POWER((ABS(K1548)^2)/($I$5*MAX(F1548,0.1)^2),1/3)))</f>
        <v>2.2254050526300375</v>
      </c>
      <c r="AI1548">
        <f t="shared" ca="1" si="797"/>
        <v>633.72540505263009</v>
      </c>
      <c r="AJ1548">
        <f t="shared" ca="1" si="798"/>
        <v>634.83810757894514</v>
      </c>
      <c r="AL1548">
        <v>635.5</v>
      </c>
      <c r="AM1548">
        <v>0</v>
      </c>
      <c r="AN1548">
        <f t="shared" ca="1" si="809"/>
        <v>0</v>
      </c>
      <c r="AO1548">
        <f t="shared" ca="1" si="799"/>
        <v>0</v>
      </c>
      <c r="AP1548">
        <f t="shared" ca="1" si="808"/>
        <v>0</v>
      </c>
      <c r="AQ1548">
        <f t="shared" ca="1" si="800"/>
        <v>1.0000000000000004</v>
      </c>
      <c r="AR1548" t="str">
        <f t="shared" ca="1" si="801"/>
        <v>Supercritical</v>
      </c>
      <c r="AS1548">
        <f t="shared" ca="1" si="802"/>
        <v>4.0536896270229016E-3</v>
      </c>
    </row>
    <row r="1549" spans="1:45" x14ac:dyDescent="0.35">
      <c r="A1549">
        <v>28</v>
      </c>
      <c r="B1549">
        <v>26.93</v>
      </c>
      <c r="C1549">
        <v>616081.78</v>
      </c>
      <c r="D1549">
        <v>3096603.7560000001</v>
      </c>
      <c r="E1549">
        <v>631.5</v>
      </c>
      <c r="F1549">
        <v>4.6929999999999996</v>
      </c>
      <c r="G1549">
        <v>0</v>
      </c>
      <c r="H1549" t="s">
        <v>154</v>
      </c>
      <c r="I1549">
        <v>5.7000000000000002E-2</v>
      </c>
      <c r="J1549">
        <f t="shared" si="803"/>
        <v>0.99899999999999878</v>
      </c>
      <c r="K1549">
        <f t="shared" ca="1" si="804"/>
        <v>49.931000000000004</v>
      </c>
      <c r="L1549">
        <f t="shared" ca="1" si="805"/>
        <v>0.28520098143965239</v>
      </c>
      <c r="M1549">
        <f t="shared" ca="1" si="778"/>
        <v>1.3384482058962885</v>
      </c>
      <c r="N1549">
        <f t="shared" ca="1" si="779"/>
        <v>0.25429336678745712</v>
      </c>
      <c r="O1549">
        <f t="shared" ca="1" si="780"/>
        <v>37.305141715636154</v>
      </c>
      <c r="P1549">
        <f t="shared" ca="1" si="781"/>
        <v>631.78520098143963</v>
      </c>
      <c r="Q1549">
        <f t="shared" ca="1" si="782"/>
        <v>702.71657704788697</v>
      </c>
      <c r="R1549">
        <f t="shared" ca="1" si="783"/>
        <v>1.9435983900386138</v>
      </c>
      <c r="S1549">
        <f t="shared" ca="1" si="784"/>
        <v>22.302763678816781</v>
      </c>
      <c r="T1549">
        <f t="shared" ca="1" si="785"/>
        <v>190.06680944674665</v>
      </c>
      <c r="U1549">
        <f t="shared" ca="1" si="806"/>
        <v>-5.4037162383511941</v>
      </c>
      <c r="V1549">
        <f t="shared" ca="1" si="807"/>
        <v>0</v>
      </c>
      <c r="W1549">
        <f t="shared" ca="1" si="786"/>
        <v>1.8523890214986511</v>
      </c>
      <c r="X1549">
        <f t="shared" ca="1" si="787"/>
        <v>8.6932616778931688</v>
      </c>
      <c r="Y1549">
        <f t="shared" ca="1" si="788"/>
        <v>1.0351859305381692</v>
      </c>
      <c r="Z1549">
        <f t="shared" ca="1" si="789"/>
        <v>5.7436439681752329</v>
      </c>
      <c r="AA1549">
        <f t="shared" ca="1" si="790"/>
        <v>633.35238902149865</v>
      </c>
      <c r="AB1549">
        <f t="shared" ca="1" si="791"/>
        <v>635.03380828924355</v>
      </c>
      <c r="AC1549">
        <f t="shared" ca="1" si="792"/>
        <v>7.0881526174050181E-3</v>
      </c>
      <c r="AD1549">
        <f t="shared" ca="1" si="793"/>
        <v>1.3473701092733668</v>
      </c>
      <c r="AE1549">
        <f t="shared" ca="1" si="794"/>
        <v>37.285686616088697</v>
      </c>
      <c r="AF1549">
        <f t="shared" ca="1" si="795"/>
        <v>9.6482992217374886E-2</v>
      </c>
      <c r="AG1549">
        <f t="shared" ca="1" si="796"/>
        <v>0</v>
      </c>
      <c r="AH1549">
        <f ca="1">IFERROR(IF(V35="Supercritical",MAX($D$16,IFERROR(L1549,MAX($D$16,POWER((ABS(K1549)^2)/($I$5*MAX(F1549,0.1)^2),1/3)))),IF(V35="Subcritical",MAX($D$16,IFERROR(W1549,MAX($D$16,POWER((ABS(K1549)^2)/($I$5*MAX(F1549,0.1)^2),1/3)))),IF(AND(IFERROR(V1549,0)=1,IFERROR(AG1549,0)=1),IF(IFERROR(T1549,-1E+99)&gt;=IFERROR(AE1549,-1E+99),MAX($D$16,IFERROR(L1549,MAX($D$16,POWER((ABS(K1549)^2)/($I$5*MAX(F1549,0.1)^2),1/3)))),MAX($D$16,IFERROR(W1549,MAX($D$16,POWER((ABS(K1549)^2)/($I$5*MAX(F1549,0.1)^2),1/3))))),IF(IFERROR(V1549,0)=1,MAX($D$16,IFERROR(L1549,MAX($D$16,POWER((ABS(K1549)^2)/($I$5*MAX(F1549,0.1)^2),1/3)))),IF(IFERROR(AG1549,0)=1,MAX($D$16,IFERROR(W1549,MAX($D$16,POWER((ABS(K1549)^2)/($I$5*MAX(F1549,0.1)^2),1/3)))),MAX($D$16,POWER((ABS(K1549)^2)/($I$5*MAX(F1549,0.1)^2),1/3))))))),MAX($D$16,POWER((ABS(K1549)^2)/($I$5*MAX(F1549,0.1)^2),1/3)))</f>
        <v>2.2597313152676697</v>
      </c>
      <c r="AI1549">
        <f t="shared" ca="1" si="797"/>
        <v>633.75973131526769</v>
      </c>
      <c r="AJ1549">
        <f t="shared" ca="1" si="798"/>
        <v>634.88959697290147</v>
      </c>
      <c r="AL1549">
        <v>635.5</v>
      </c>
      <c r="AM1549">
        <v>0</v>
      </c>
      <c r="AN1549">
        <f t="shared" ca="1" si="809"/>
        <v>0</v>
      </c>
      <c r="AO1549">
        <f t="shared" ca="1" si="799"/>
        <v>0</v>
      </c>
      <c r="AP1549">
        <f t="shared" ca="1" si="808"/>
        <v>0</v>
      </c>
      <c r="AQ1549">
        <f t="shared" ca="1" si="800"/>
        <v>1</v>
      </c>
      <c r="AR1549" t="str">
        <f t="shared" ca="1" si="801"/>
        <v>Supercritical</v>
      </c>
      <c r="AS1549">
        <f t="shared" ca="1" si="802"/>
        <v>4.1342763598130571E-3</v>
      </c>
    </row>
    <row r="1550" spans="1:45" x14ac:dyDescent="0.35">
      <c r="A1550">
        <v>29</v>
      </c>
      <c r="B1550">
        <v>27.93</v>
      </c>
      <c r="C1550">
        <v>616081.85499999998</v>
      </c>
      <c r="D1550">
        <v>3096602.7590000001</v>
      </c>
      <c r="E1550">
        <v>631.5</v>
      </c>
      <c r="F1550">
        <v>4.5839999999999996</v>
      </c>
      <c r="G1550">
        <v>0</v>
      </c>
      <c r="H1550" t="s">
        <v>154</v>
      </c>
      <c r="I1550">
        <v>5.7000000000000002E-2</v>
      </c>
      <c r="J1550">
        <f t="shared" si="803"/>
        <v>1</v>
      </c>
      <c r="K1550">
        <f t="shared" ca="1" si="804"/>
        <v>49.931000000000004</v>
      </c>
      <c r="L1550">
        <f t="shared" ca="1" si="805"/>
        <v>0.28520098143965239</v>
      </c>
      <c r="M1550">
        <f t="shared" ca="1" si="778"/>
        <v>1.3073612989193664</v>
      </c>
      <c r="N1550">
        <f t="shared" ca="1" si="779"/>
        <v>0.25363976428975676</v>
      </c>
      <c r="O1550">
        <f t="shared" ca="1" si="780"/>
        <v>38.192196786972183</v>
      </c>
      <c r="P1550">
        <f t="shared" ca="1" si="781"/>
        <v>631.78520098143963</v>
      </c>
      <c r="Q1550">
        <f t="shared" ca="1" si="782"/>
        <v>706.12994590574181</v>
      </c>
      <c r="R1550">
        <f t="shared" ca="1" si="783"/>
        <v>2.0441307700791205</v>
      </c>
      <c r="S1550">
        <f t="shared" ca="1" si="784"/>
        <v>22.833086811668231</v>
      </c>
      <c r="T1550">
        <f t="shared" ca="1" si="785"/>
        <v>194.5773149469033</v>
      </c>
      <c r="U1550">
        <f t="shared" ca="1" si="806"/>
        <v>-5.755633074466914</v>
      </c>
      <c r="V1550">
        <f t="shared" ca="1" si="807"/>
        <v>0</v>
      </c>
      <c r="W1550">
        <f t="shared" ca="1" si="786"/>
        <v>1.8523890214986511</v>
      </c>
      <c r="X1550">
        <f t="shared" ca="1" si="787"/>
        <v>8.4913512745498156</v>
      </c>
      <c r="Y1550">
        <f t="shared" ca="1" si="788"/>
        <v>1.0244394566366335</v>
      </c>
      <c r="Z1550">
        <f t="shared" ca="1" si="789"/>
        <v>5.8802183993556651</v>
      </c>
      <c r="AA1550">
        <f t="shared" ca="1" si="790"/>
        <v>633.35238902149865</v>
      </c>
      <c r="AB1550">
        <f t="shared" ca="1" si="791"/>
        <v>635.114721764828</v>
      </c>
      <c r="AC1550">
        <f t="shared" ca="1" si="792"/>
        <v>7.533342310400616E-3</v>
      </c>
      <c r="AD1550">
        <f t="shared" ca="1" si="793"/>
        <v>1.3794083601265075</v>
      </c>
      <c r="AE1550">
        <f t="shared" ca="1" si="794"/>
        <v>37.793815711832607</v>
      </c>
      <c r="AF1550">
        <f t="shared" ca="1" si="795"/>
        <v>0.10352743344708415</v>
      </c>
      <c r="AG1550">
        <f t="shared" ca="1" si="796"/>
        <v>0</v>
      </c>
      <c r="AH1550">
        <f ca="1">IFERROR(IF(V35="Supercritical",MAX($D$16,IFERROR(L1550,MAX($D$16,POWER((ABS(K1550)^2)/($I$5*MAX(F1550,0.1)^2),1/3)))),IF(V35="Subcritical",MAX($D$16,IFERROR(W1550,MAX($D$16,POWER((ABS(K1550)^2)/($I$5*MAX(F1550,0.1)^2),1/3)))),IF(AND(IFERROR(V1550,0)=1,IFERROR(AG1550,0)=1),IF(IFERROR(T1550,-1E+99)&gt;=IFERROR(AE1550,-1E+99),MAX($D$16,IFERROR(L1550,MAX($D$16,POWER((ABS(K1550)^2)/($I$5*MAX(F1550,0.1)^2),1/3)))),MAX($D$16,IFERROR(W1550,MAX($D$16,POWER((ABS(K1550)^2)/($I$5*MAX(F1550,0.1)^2),1/3))))),IF(IFERROR(V1550,0)=1,MAX($D$16,IFERROR(L1550,MAX($D$16,POWER((ABS(K1550)^2)/($I$5*MAX(F1550,0.1)^2),1/3)))),IF(IFERROR(AG1550,0)=1,MAX($D$16,IFERROR(W1550,MAX($D$16,POWER((ABS(K1550)^2)/($I$5*MAX(F1550,0.1)^2),1/3)))),MAX($D$16,POWER((ABS(K1550)^2)/($I$5*MAX(F1550,0.1)^2),1/3))))))),MAX($D$16,POWER((ABS(K1550)^2)/($I$5*MAX(F1550,0.1)^2),1/3)))</f>
        <v>2.2954126335391463</v>
      </c>
      <c r="AI1550">
        <f t="shared" ca="1" si="797"/>
        <v>633.79541263353917</v>
      </c>
      <c r="AJ1550">
        <f t="shared" ca="1" si="798"/>
        <v>634.94311895030876</v>
      </c>
      <c r="AL1550">
        <v>635.5</v>
      </c>
      <c r="AM1550">
        <v>0</v>
      </c>
      <c r="AN1550">
        <f t="shared" ca="1" si="809"/>
        <v>0</v>
      </c>
      <c r="AO1550">
        <f t="shared" ca="1" si="799"/>
        <v>0</v>
      </c>
      <c r="AP1550">
        <f t="shared" ca="1" si="808"/>
        <v>0</v>
      </c>
      <c r="AQ1550">
        <f t="shared" ca="1" si="800"/>
        <v>1</v>
      </c>
      <c r="AR1550" t="str">
        <f t="shared" ca="1" si="801"/>
        <v>Supercritical</v>
      </c>
      <c r="AS1550">
        <f t="shared" ca="1" si="802"/>
        <v>4.2205481597257241E-3</v>
      </c>
    </row>
    <row r="1551" spans="1:45" x14ac:dyDescent="0.35">
      <c r="A1551">
        <v>30</v>
      </c>
      <c r="B1551">
        <v>28.93</v>
      </c>
      <c r="C1551">
        <v>616081.929</v>
      </c>
      <c r="D1551">
        <v>3096601.7620000001</v>
      </c>
      <c r="E1551">
        <v>631.5</v>
      </c>
      <c r="F1551">
        <v>4.4749999999999996</v>
      </c>
      <c r="G1551">
        <v>0</v>
      </c>
      <c r="H1551" t="s">
        <v>154</v>
      </c>
      <c r="I1551">
        <v>5.2999999999999999E-2</v>
      </c>
      <c r="J1551">
        <f t="shared" si="803"/>
        <v>1</v>
      </c>
      <c r="K1551">
        <f t="shared" ca="1" si="804"/>
        <v>49.931000000000004</v>
      </c>
      <c r="L1551">
        <f t="shared" ca="1" si="805"/>
        <v>0.28520098143965239</v>
      </c>
      <c r="M1551">
        <f t="shared" ca="1" si="778"/>
        <v>1.2762743919424444</v>
      </c>
      <c r="N1551">
        <f t="shared" ca="1" si="779"/>
        <v>0.2529579211591898</v>
      </c>
      <c r="O1551">
        <f t="shared" ca="1" si="780"/>
        <v>39.122464820442566</v>
      </c>
      <c r="P1551">
        <f t="shared" ca="1" si="781"/>
        <v>631.78520098143963</v>
      </c>
      <c r="Q1551">
        <f t="shared" ca="1" si="782"/>
        <v>709.79576436710556</v>
      </c>
      <c r="R1551">
        <f t="shared" ca="1" si="783"/>
        <v>2.1526357942159264</v>
      </c>
      <c r="S1551">
        <f t="shared" ca="1" si="784"/>
        <v>23.389244680377022</v>
      </c>
      <c r="T1551">
        <f t="shared" ca="1" si="785"/>
        <v>199.30776605484076</v>
      </c>
      <c r="U1551">
        <f t="shared" ca="1" si="806"/>
        <v>-6.1376745227468064</v>
      </c>
      <c r="V1551">
        <f t="shared" ca="1" si="807"/>
        <v>0</v>
      </c>
      <c r="W1551">
        <f t="shared" ca="1" si="786"/>
        <v>1.8523890214986511</v>
      </c>
      <c r="X1551">
        <f t="shared" ca="1" si="787"/>
        <v>8.2894408712064624</v>
      </c>
      <c r="Y1551">
        <f t="shared" ca="1" si="788"/>
        <v>1.0134065774930217</v>
      </c>
      <c r="Z1551">
        <f t="shared" ca="1" si="789"/>
        <v>6.023446065395837</v>
      </c>
      <c r="AA1551">
        <f t="shared" ca="1" si="790"/>
        <v>633.35238902149865</v>
      </c>
      <c r="AB1551">
        <f t="shared" ca="1" si="791"/>
        <v>635.20161952622504</v>
      </c>
      <c r="AC1551">
        <f t="shared" ca="1" si="792"/>
        <v>8.0197521209237916E-3</v>
      </c>
      <c r="AD1551">
        <f t="shared" ca="1" si="793"/>
        <v>1.4130073570547286</v>
      </c>
      <c r="AE1551">
        <f t="shared" ca="1" si="794"/>
        <v>38.335808484414606</v>
      </c>
      <c r="AF1551">
        <f t="shared" ca="1" si="795"/>
        <v>0.11130175277969556</v>
      </c>
      <c r="AG1551">
        <f t="shared" ca="1" si="796"/>
        <v>0</v>
      </c>
      <c r="AH1551">
        <f ca="1">IFERROR(IF(V35="Supercritical",MAX($D$16,IFERROR(L1551,MAX($D$16,POWER((ABS(K1551)^2)/($I$5*MAX(F1551,0.1)^2),1/3)))),IF(V35="Subcritical",MAX($D$16,IFERROR(W1551,MAX($D$16,POWER((ABS(K1551)^2)/($I$5*MAX(F1551,0.1)^2),1/3)))),IF(AND(IFERROR(V1551,0)=1,IFERROR(AG1551,0)=1),IF(IFERROR(T1551,-1E+99)&gt;=IFERROR(AE1551,-1E+99),MAX($D$16,IFERROR(L1551,MAX($D$16,POWER((ABS(K1551)^2)/($I$5*MAX(F1551,0.1)^2),1/3)))),MAX($D$16,IFERROR(W1551,MAX($D$16,POWER((ABS(K1551)^2)/($I$5*MAX(F1551,0.1)^2),1/3))))),IF(IFERROR(V1551,0)=1,MAX($D$16,IFERROR(L1551,MAX($D$16,POWER((ABS(K1551)^2)/($I$5*MAX(F1551,0.1)^2),1/3)))),IF(IFERROR(AG1551,0)=1,MAX($D$16,IFERROR(W1551,MAX($D$16,POWER((ABS(K1551)^2)/($I$5*MAX(F1551,0.1)^2),1/3)))),MAX($D$16,POWER((ABS(K1551)^2)/($I$5*MAX(F1551,0.1)^2),1/3))))))),MAX($D$16,POWER((ABS(K1551)^2)/($I$5*MAX(F1551,0.1)^2),1/3)))</f>
        <v>2.3325366722058272</v>
      </c>
      <c r="AI1551">
        <f t="shared" ca="1" si="797"/>
        <v>633.83253667220583</v>
      </c>
      <c r="AJ1551">
        <f t="shared" ca="1" si="798"/>
        <v>634.99880500830875</v>
      </c>
      <c r="AL1551">
        <v>635.5</v>
      </c>
      <c r="AM1551">
        <v>0</v>
      </c>
      <c r="AN1551">
        <f t="shared" ca="1" si="809"/>
        <v>0</v>
      </c>
      <c r="AO1551">
        <f t="shared" ca="1" si="799"/>
        <v>0</v>
      </c>
      <c r="AP1551">
        <f t="shared" ca="1" si="808"/>
        <v>0</v>
      </c>
      <c r="AQ1551">
        <f t="shared" ca="1" si="800"/>
        <v>1.0000000000000002</v>
      </c>
      <c r="AR1551" t="str">
        <f t="shared" ca="1" si="801"/>
        <v>Supercritical</v>
      </c>
      <c r="AS1551">
        <f t="shared" ca="1" si="802"/>
        <v>4.3130472916573289E-3</v>
      </c>
    </row>
    <row r="1552" spans="1:45" x14ac:dyDescent="0.35">
      <c r="A1552">
        <v>31</v>
      </c>
      <c r="B1552">
        <v>29.931000000000001</v>
      </c>
      <c r="C1552">
        <v>616082.00399999996</v>
      </c>
      <c r="D1552">
        <v>3096600.764</v>
      </c>
      <c r="E1552">
        <v>631.5</v>
      </c>
      <c r="F1552">
        <v>4.3659999999999997</v>
      </c>
      <c r="G1552">
        <v>0</v>
      </c>
      <c r="H1552" t="s">
        <v>154</v>
      </c>
      <c r="I1552">
        <v>5.2999999999999999E-2</v>
      </c>
      <c r="J1552">
        <f t="shared" si="803"/>
        <v>1.0010000000000012</v>
      </c>
      <c r="K1552">
        <f t="shared" ca="1" si="804"/>
        <v>49.931000000000004</v>
      </c>
      <c r="L1552">
        <f t="shared" ca="1" si="805"/>
        <v>0.28520098143965239</v>
      </c>
      <c r="M1552">
        <f t="shared" ca="1" si="778"/>
        <v>1.2451874849655222</v>
      </c>
      <c r="N1552">
        <f t="shared" ca="1" si="779"/>
        <v>0.25224596666338517</v>
      </c>
      <c r="O1552">
        <f t="shared" ca="1" si="780"/>
        <v>40.099182334283206</v>
      </c>
      <c r="P1552">
        <f t="shared" ca="1" si="781"/>
        <v>631.78520098143963</v>
      </c>
      <c r="Q1552">
        <f t="shared" ca="1" si="782"/>
        <v>713.73955489979289</v>
      </c>
      <c r="R1552">
        <f t="shared" ca="1" si="783"/>
        <v>2.2699758898086038</v>
      </c>
      <c r="S1552">
        <f t="shared" ca="1" si="784"/>
        <v>23.973172227367652</v>
      </c>
      <c r="T1552">
        <f t="shared" ca="1" si="785"/>
        <v>204.27463602153136</v>
      </c>
      <c r="U1552">
        <f t="shared" ca="1" si="806"/>
        <v>-6.5589260350731138</v>
      </c>
      <c r="V1552">
        <f t="shared" ca="1" si="807"/>
        <v>0</v>
      </c>
      <c r="W1552">
        <f t="shared" ca="1" si="786"/>
        <v>1.8523890214986511</v>
      </c>
      <c r="X1552">
        <f t="shared" ca="1" si="787"/>
        <v>8.087530467863111</v>
      </c>
      <c r="Y1552">
        <f t="shared" ca="1" si="788"/>
        <v>1.0020756889579367</v>
      </c>
      <c r="Z1552">
        <f t="shared" ca="1" si="789"/>
        <v>6.1738252731668268</v>
      </c>
      <c r="AA1552">
        <f t="shared" ca="1" si="790"/>
        <v>633.35238902149865</v>
      </c>
      <c r="AB1552">
        <f t="shared" ca="1" si="791"/>
        <v>635.29510658029551</v>
      </c>
      <c r="AC1552">
        <f t="shared" ca="1" si="792"/>
        <v>8.5524488471031765E-3</v>
      </c>
      <c r="AD1552">
        <f t="shared" ca="1" si="793"/>
        <v>1.4482839951488569</v>
      </c>
      <c r="AE1552">
        <f t="shared" ca="1" si="794"/>
        <v>38.914201219296451</v>
      </c>
      <c r="AF1552">
        <f t="shared" ca="1" si="795"/>
        <v>0.1198747630245407</v>
      </c>
      <c r="AG1552">
        <f t="shared" ca="1" si="796"/>
        <v>0</v>
      </c>
      <c r="AH1552">
        <f ca="1">IFERROR(IF(V35="Supercritical",MAX($D$16,IFERROR(L1552,MAX($D$16,POWER((ABS(K1552)^2)/($I$5*MAX(F1552,0.1)^2),1/3)))),IF(V35="Subcritical",MAX($D$16,IFERROR(W1552,MAX($D$16,POWER((ABS(K1552)^2)/($I$5*MAX(F1552,0.1)^2),1/3)))),IF(AND(IFERROR(V1552,0)=1,IFERROR(AG1552,0)=1),IF(IFERROR(T1552,-1E+99)&gt;=IFERROR(AE1552,-1E+99),MAX($D$16,IFERROR(L1552,MAX($D$16,POWER((ABS(K1552)^2)/($I$5*MAX(F1552,0.1)^2),1/3)))),MAX($D$16,IFERROR(W1552,MAX($D$16,POWER((ABS(K1552)^2)/($I$5*MAX(F1552,0.1)^2),1/3))))),IF(IFERROR(V1552,0)=1,MAX($D$16,IFERROR(L1552,MAX($D$16,POWER((ABS(K1552)^2)/($I$5*MAX(F1552,0.1)^2),1/3)))),IF(IFERROR(AG1552,0)=1,MAX($D$16,IFERROR(W1552,MAX($D$16,POWER((ABS(K1552)^2)/($I$5*MAX(F1552,0.1)^2),1/3)))),MAX($D$16,POWER((ABS(K1552)^2)/($I$5*MAX(F1552,0.1)^2),1/3))))))),MAX($D$16,POWER((ABS(K1552)^2)/($I$5*MAX(F1552,0.1)^2),1/3)))</f>
        <v>2.3711990882822809</v>
      </c>
      <c r="AI1552">
        <f t="shared" ca="1" si="797"/>
        <v>633.87119908828231</v>
      </c>
      <c r="AJ1552">
        <f t="shared" ca="1" si="798"/>
        <v>635.05679863242347</v>
      </c>
      <c r="AL1552">
        <v>635.5</v>
      </c>
      <c r="AM1552">
        <v>0</v>
      </c>
      <c r="AN1552">
        <f t="shared" ca="1" si="809"/>
        <v>0</v>
      </c>
      <c r="AO1552">
        <f t="shared" ca="1" si="799"/>
        <v>0</v>
      </c>
      <c r="AP1552">
        <f t="shared" ca="1" si="808"/>
        <v>0</v>
      </c>
      <c r="AQ1552">
        <f t="shared" ca="1" si="800"/>
        <v>0.99999999999999978</v>
      </c>
      <c r="AR1552" t="str">
        <f t="shared" ca="1" si="801"/>
        <v>Supercritical</v>
      </c>
      <c r="AS1552">
        <f t="shared" ca="1" si="802"/>
        <v>4.4123831841457115E-3</v>
      </c>
    </row>
    <row r="1553" spans="1:45" x14ac:dyDescent="0.35">
      <c r="A1553">
        <v>32</v>
      </c>
      <c r="B1553">
        <v>30.931000000000001</v>
      </c>
      <c r="C1553">
        <v>616082.07799999998</v>
      </c>
      <c r="D1553">
        <v>3096599.767</v>
      </c>
      <c r="E1553">
        <v>631.5</v>
      </c>
      <c r="F1553">
        <v>4.2569999999999997</v>
      </c>
      <c r="G1553">
        <v>0</v>
      </c>
      <c r="H1553" t="s">
        <v>154</v>
      </c>
      <c r="I1553">
        <v>5.7000000000000002E-2</v>
      </c>
      <c r="J1553">
        <f t="shared" si="803"/>
        <v>1</v>
      </c>
      <c r="K1553">
        <f t="shared" ca="1" si="804"/>
        <v>49.931000000000004</v>
      </c>
      <c r="L1553">
        <f t="shared" ca="1" si="805"/>
        <v>0.28520098143965239</v>
      </c>
      <c r="M1553">
        <f t="shared" ca="1" si="778"/>
        <v>1.2141005779886</v>
      </c>
      <c r="N1553">
        <f t="shared" ca="1" si="779"/>
        <v>0.25150186110966605</v>
      </c>
      <c r="O1553">
        <f t="shared" ca="1" si="780"/>
        <v>41.125917329452783</v>
      </c>
      <c r="P1553">
        <f t="shared" ca="1" si="781"/>
        <v>631.78520098143963</v>
      </c>
      <c r="Q1553">
        <f t="shared" ca="1" si="782"/>
        <v>717.9901487994307</v>
      </c>
      <c r="R1553">
        <f t="shared" ca="1" si="783"/>
        <v>2.3971328872986537</v>
      </c>
      <c r="S1553">
        <f t="shared" ca="1" si="784"/>
        <v>24.587002570985948</v>
      </c>
      <c r="T1553">
        <f t="shared" ca="1" si="785"/>
        <v>209.49608528080449</v>
      </c>
      <c r="U1553">
        <f t="shared" ca="1" si="806"/>
        <v>-7.0173971481979152</v>
      </c>
      <c r="V1553">
        <f t="shared" ca="1" si="807"/>
        <v>0</v>
      </c>
      <c r="W1553">
        <f t="shared" ca="1" si="786"/>
        <v>1.8523890214986511</v>
      </c>
      <c r="X1553">
        <f t="shared" ca="1" si="787"/>
        <v>7.8856200645197569</v>
      </c>
      <c r="Y1553">
        <f t="shared" ca="1" si="788"/>
        <v>0.99043455141976366</v>
      </c>
      <c r="Z1553">
        <f t="shared" ca="1" si="789"/>
        <v>6.3319053659023652</v>
      </c>
      <c r="AA1553">
        <f t="shared" ca="1" si="790"/>
        <v>633.35238902149865</v>
      </c>
      <c r="AB1553">
        <f t="shared" ca="1" si="791"/>
        <v>635.39586636924298</v>
      </c>
      <c r="AC1553">
        <f t="shared" ca="1" si="792"/>
        <v>9.1372808213395999E-3</v>
      </c>
      <c r="AD1553">
        <f t="shared" ca="1" si="793"/>
        <v>1.4853671418416514</v>
      </c>
      <c r="AE1553">
        <f t="shared" ca="1" si="794"/>
        <v>39.53178996714108</v>
      </c>
      <c r="AF1553">
        <f t="shared" ca="1" si="795"/>
        <v>0.12934178085004078</v>
      </c>
      <c r="AG1553">
        <f t="shared" ca="1" si="796"/>
        <v>0</v>
      </c>
      <c r="AH1553">
        <f ca="1">IFERROR(IF(V35="Supercritical",MAX($D$16,IFERROR(L1553,MAX($D$16,POWER((ABS(K1553)^2)/($I$5*MAX(F1553,0.1)^2),1/3)))),IF(V35="Subcritical",MAX($D$16,IFERROR(W1553,MAX($D$16,POWER((ABS(K1553)^2)/($I$5*MAX(F1553,0.1)^2),1/3)))),IF(AND(IFERROR(V1553,0)=1,IFERROR(AG1553,0)=1),IF(IFERROR(T1553,-1E+99)&gt;=IFERROR(AE1553,-1E+99),MAX($D$16,IFERROR(L1553,MAX($D$16,POWER((ABS(K1553)^2)/($I$5*MAX(F1553,0.1)^2),1/3)))),MAX($D$16,IFERROR(W1553,MAX($D$16,POWER((ABS(K1553)^2)/($I$5*MAX(F1553,0.1)^2),1/3))))),IF(IFERROR(V1553,0)=1,MAX($D$16,IFERROR(L1553,MAX($D$16,POWER((ABS(K1553)^2)/($I$5*MAX(F1553,0.1)^2),1/3)))),IF(IFERROR(AG1553,0)=1,MAX($D$16,IFERROR(W1553,MAX($D$16,POWER((ABS(K1553)^2)/($I$5*MAX(F1553,0.1)^2),1/3)))),MAX($D$16,POWER((ABS(K1553)^2)/($I$5*MAX(F1553,0.1)^2),1/3))))))),MAX($D$16,POWER((ABS(K1553)^2)/($I$5*MAX(F1553,0.1)^2),1/3)))</f>
        <v>2.4115044820602329</v>
      </c>
      <c r="AI1553">
        <f t="shared" ca="1" si="797"/>
        <v>633.9115044820602</v>
      </c>
      <c r="AJ1553">
        <f t="shared" ca="1" si="798"/>
        <v>635.11725672309035</v>
      </c>
      <c r="AL1553">
        <v>635.5</v>
      </c>
      <c r="AM1553">
        <v>0</v>
      </c>
      <c r="AN1553">
        <f t="shared" ca="1" si="809"/>
        <v>0</v>
      </c>
      <c r="AO1553">
        <f t="shared" ca="1" si="799"/>
        <v>0</v>
      </c>
      <c r="AP1553">
        <f t="shared" ca="1" si="808"/>
        <v>0</v>
      </c>
      <c r="AQ1553">
        <f t="shared" ca="1" si="800"/>
        <v>0.99999999999999978</v>
      </c>
      <c r="AR1553" t="str">
        <f t="shared" ca="1" si="801"/>
        <v>Supercritical</v>
      </c>
      <c r="AS1553">
        <f t="shared" ca="1" si="802"/>
        <v>4.5192427551273692E-3</v>
      </c>
    </row>
    <row r="1554" spans="1:45" x14ac:dyDescent="0.35">
      <c r="A1554">
        <v>33</v>
      </c>
      <c r="B1554">
        <v>31.93</v>
      </c>
      <c r="C1554">
        <v>616082.15300000005</v>
      </c>
      <c r="D1554">
        <v>3096598.77</v>
      </c>
      <c r="E1554">
        <v>631.5</v>
      </c>
      <c r="F1554">
        <v>4.1479999999999997</v>
      </c>
      <c r="G1554">
        <v>0</v>
      </c>
      <c r="H1554" t="s">
        <v>154</v>
      </c>
      <c r="I1554">
        <v>5.7000000000000002E-2</v>
      </c>
      <c r="J1554">
        <f t="shared" si="803"/>
        <v>0.99899999999999878</v>
      </c>
      <c r="K1554">
        <f t="shared" ca="1" si="804"/>
        <v>49.931000000000004</v>
      </c>
      <c r="L1554">
        <f t="shared" ca="1" si="805"/>
        <v>0.28520098143965239</v>
      </c>
      <c r="M1554">
        <f t="shared" ca="1" si="778"/>
        <v>1.1830136710116781</v>
      </c>
      <c r="N1554">
        <f t="shared" ca="1" si="779"/>
        <v>0.2507233763292539</v>
      </c>
      <c r="O1554">
        <f t="shared" ca="1" si="780"/>
        <v>42.206612842690568</v>
      </c>
      <c r="P1554">
        <f t="shared" ca="1" si="781"/>
        <v>631.78520098143963</v>
      </c>
      <c r="Q1554">
        <f t="shared" ca="1" si="782"/>
        <v>722.58021462327304</v>
      </c>
      <c r="R1554">
        <f t="shared" ca="1" si="783"/>
        <v>2.5352283499958381</v>
      </c>
      <c r="S1554">
        <f t="shared" ca="1" si="784"/>
        <v>25.233093043560068</v>
      </c>
      <c r="T1554">
        <f t="shared" ca="1" si="785"/>
        <v>214.99218312597608</v>
      </c>
      <c r="U1554">
        <f t="shared" ca="1" si="806"/>
        <v>-7.5214123705510474</v>
      </c>
      <c r="V1554">
        <f t="shared" ca="1" si="807"/>
        <v>0</v>
      </c>
      <c r="W1554">
        <f t="shared" ca="1" si="786"/>
        <v>1.8523890214986511</v>
      </c>
      <c r="X1554">
        <f t="shared" ca="1" si="787"/>
        <v>7.6837096611764046</v>
      </c>
      <c r="Y1554">
        <f t="shared" ca="1" si="788"/>
        <v>0.97847024570219909</v>
      </c>
      <c r="Z1554">
        <f t="shared" ca="1" si="789"/>
        <v>6.4982934287961349</v>
      </c>
      <c r="AA1554">
        <f t="shared" ca="1" si="790"/>
        <v>633.35238902149865</v>
      </c>
      <c r="AB1554">
        <f t="shared" ca="1" si="791"/>
        <v>635.50467329707124</v>
      </c>
      <c r="AC1554">
        <f t="shared" ca="1" si="792"/>
        <v>9.7810239489426846E-3</v>
      </c>
      <c r="AD1554">
        <f t="shared" ca="1" si="793"/>
        <v>1.5243992099372974</v>
      </c>
      <c r="AE1554">
        <f t="shared" ca="1" si="794"/>
        <v>40.191664674004116</v>
      </c>
      <c r="AF1554">
        <f t="shared" ca="1" si="795"/>
        <v>0.14108504368039121</v>
      </c>
      <c r="AG1554">
        <f t="shared" ca="1" si="796"/>
        <v>0</v>
      </c>
      <c r="AH1554">
        <f ca="1">IFERROR(IF(V35="Supercritical",MAX($D$16,IFERROR(L1554,MAX($D$16,POWER((ABS(K1554)^2)/($I$5*MAX(F1554,0.1)^2),1/3)))),IF(V35="Subcritical",MAX($D$16,IFERROR(W1554,MAX($D$16,POWER((ABS(K1554)^2)/($I$5*MAX(F1554,0.1)^2),1/3)))),IF(AND(IFERROR(V1554,0)=1,IFERROR(AG1554,0)=1),IF(IFERROR(T1554,-1E+99)&gt;=IFERROR(AE1554,-1E+99),MAX($D$16,IFERROR(L1554,MAX($D$16,POWER((ABS(K1554)^2)/($I$5*MAX(F1554,0.1)^2),1/3)))),MAX($D$16,IFERROR(W1554,MAX($D$16,POWER((ABS(K1554)^2)/($I$5*MAX(F1554,0.1)^2),1/3))))),IF(IFERROR(V1554,0)=1,MAX($D$16,IFERROR(L1554,MAX($D$16,POWER((ABS(K1554)^2)/($I$5*MAX(F1554,0.1)^2),1/3)))),IF(IFERROR(AG1554,0)=1,MAX($D$16,IFERROR(W1554,MAX($D$16,POWER((ABS(K1554)^2)/($I$5*MAX(F1554,0.1)^2),1/3)))),MAX($D$16,POWER((ABS(K1554)^2)/($I$5*MAX(F1554,0.1)^2),1/3))))))),MAX($D$16,POWER((ABS(K1554)^2)/($I$5*MAX(F1554,0.1)^2),1/3)))</f>
        <v>2.4535674891459012</v>
      </c>
      <c r="AI1554">
        <f t="shared" ca="1" si="797"/>
        <v>633.95356748914594</v>
      </c>
      <c r="AJ1554">
        <f t="shared" ca="1" si="798"/>
        <v>635.18035123371885</v>
      </c>
      <c r="AL1554">
        <v>635.5</v>
      </c>
      <c r="AM1554">
        <v>0</v>
      </c>
      <c r="AN1554">
        <f t="shared" ca="1" si="809"/>
        <v>0</v>
      </c>
      <c r="AO1554">
        <f t="shared" ca="1" si="799"/>
        <v>0</v>
      </c>
      <c r="AP1554">
        <f t="shared" ca="1" si="808"/>
        <v>0</v>
      </c>
      <c r="AQ1554">
        <f t="shared" ca="1" si="800"/>
        <v>1.0000000000000002</v>
      </c>
      <c r="AR1554" t="str">
        <f t="shared" ca="1" si="801"/>
        <v>Supercritical</v>
      </c>
      <c r="AS1554">
        <f t="shared" ca="1" si="802"/>
        <v>4.6344026476848564E-3</v>
      </c>
    </row>
    <row r="1555" spans="1:45" x14ac:dyDescent="0.35">
      <c r="A1555">
        <v>34</v>
      </c>
      <c r="B1555">
        <v>32.93</v>
      </c>
      <c r="C1555">
        <v>616082.22699999996</v>
      </c>
      <c r="D1555">
        <v>3096597.773</v>
      </c>
      <c r="E1555">
        <v>631.5</v>
      </c>
      <c r="F1555">
        <v>4.0380000000000003</v>
      </c>
      <c r="G1555">
        <v>0</v>
      </c>
      <c r="H1555" t="s">
        <v>154</v>
      </c>
      <c r="I1555">
        <v>5.2999999999999999E-2</v>
      </c>
      <c r="J1555">
        <f t="shared" si="803"/>
        <v>1</v>
      </c>
      <c r="K1555">
        <f t="shared" ca="1" si="804"/>
        <v>49.931000000000004</v>
      </c>
      <c r="L1555">
        <f t="shared" ca="1" si="805"/>
        <v>0.28520098143965239</v>
      </c>
      <c r="M1555">
        <f t="shared" ca="1" si="778"/>
        <v>1.1516415630533163</v>
      </c>
      <c r="N1555">
        <f t="shared" ca="1" si="779"/>
        <v>0.24990041500932286</v>
      </c>
      <c r="O1555">
        <f t="shared" ca="1" si="780"/>
        <v>43.356371984021905</v>
      </c>
      <c r="P1555">
        <f t="shared" ca="1" si="781"/>
        <v>631.78520098143963</v>
      </c>
      <c r="Q1555">
        <f t="shared" ca="1" si="782"/>
        <v>727.59432389769245</v>
      </c>
      <c r="R1555">
        <f t="shared" ca="1" si="783"/>
        <v>2.6869881374921034</v>
      </c>
      <c r="S1555">
        <f t="shared" ca="1" si="784"/>
        <v>25.920472992740752</v>
      </c>
      <c r="T1555">
        <f t="shared" ca="1" si="785"/>
        <v>220.83976079210609</v>
      </c>
      <c r="U1555">
        <f t="shared" ca="1" si="806"/>
        <v>-8.1350915847962142</v>
      </c>
      <c r="V1555">
        <f t="shared" ca="1" si="807"/>
        <v>0</v>
      </c>
      <c r="W1555">
        <f t="shared" ca="1" si="786"/>
        <v>1.8523890214986511</v>
      </c>
      <c r="X1555">
        <f t="shared" ca="1" si="787"/>
        <v>7.4799468688115542</v>
      </c>
      <c r="Y1555">
        <f t="shared" ca="1" si="788"/>
        <v>0.96605466762366288</v>
      </c>
      <c r="Z1555">
        <f t="shared" ca="1" si="789"/>
        <v>6.675314795108064</v>
      </c>
      <c r="AA1555">
        <f t="shared" ca="1" si="790"/>
        <v>633.35238902149865</v>
      </c>
      <c r="AB1555">
        <f t="shared" ca="1" si="791"/>
        <v>635.62353212108007</v>
      </c>
      <c r="AC1555">
        <f t="shared" ca="1" si="792"/>
        <v>1.049841531129597E-2</v>
      </c>
      <c r="AD1555">
        <f t="shared" ca="1" si="793"/>
        <v>1.5659256866815028</v>
      </c>
      <c r="AE1555">
        <f t="shared" ca="1" si="794"/>
        <v>40.903945163264765</v>
      </c>
      <c r="AF1555">
        <f t="shared" ca="1" si="795"/>
        <v>0</v>
      </c>
      <c r="AG1555">
        <f t="shared" ca="1" si="796"/>
        <v>0</v>
      </c>
      <c r="AH1555">
        <f ca="1">IFERROR(IF(V35="Supercritical",MAX($D$16,IFERROR(L1555,MAX($D$16,POWER((ABS(K1555)^2)/($I$5*MAX(F1555,0.1)^2),1/3)))),IF(V35="Subcritical",MAX($D$16,IFERROR(W1555,MAX($D$16,POWER((ABS(K1555)^2)/($I$5*MAX(F1555,0.1)^2),1/3)))),IF(AND(IFERROR(V1555,0)=1,IFERROR(AG1555,0)=1),IF(IFERROR(T1555,-1E+99)&gt;=IFERROR(AE1555,-1E+99),MAX($D$16,IFERROR(L1555,MAX($D$16,POWER((ABS(K1555)^2)/($I$5*MAX(F1555,0.1)^2),1/3)))),MAX($D$16,IFERROR(W1555,MAX($D$16,POWER((ABS(K1555)^2)/($I$5*MAX(F1555,0.1)^2),1/3))))),IF(IFERROR(V1555,0)=1,MAX($D$16,IFERROR(L1555,MAX($D$16,POWER((ABS(K1555)^2)/($I$5*MAX(F1555,0.1)^2),1/3)))),IF(IFERROR(AG1555,0)=1,MAX($D$16,IFERROR(W1555,MAX($D$16,POWER((ABS(K1555)^2)/($I$5*MAX(F1555,0.1)^2),1/3)))),MAX($D$16,POWER((ABS(K1555)^2)/($I$5*MAX(F1555,0.1)^2),1/3))))))),MAX($D$16,POWER((ABS(K1555)^2)/($I$5*MAX(F1555,0.1)^2),1/3)))</f>
        <v>2.4979263569094847</v>
      </c>
      <c r="AI1555">
        <f t="shared" ca="1" si="797"/>
        <v>633.99792635690949</v>
      </c>
      <c r="AJ1555">
        <f t="shared" ca="1" si="798"/>
        <v>635.24688953536418</v>
      </c>
      <c r="AL1555">
        <v>635.5</v>
      </c>
      <c r="AM1555">
        <v>0</v>
      </c>
      <c r="AN1555">
        <f t="shared" ca="1" si="809"/>
        <v>0</v>
      </c>
      <c r="AO1555">
        <f t="shared" ca="1" si="799"/>
        <v>0</v>
      </c>
      <c r="AP1555">
        <f t="shared" ca="1" si="808"/>
        <v>0</v>
      </c>
      <c r="AQ1555">
        <f t="shared" ca="1" si="800"/>
        <v>1</v>
      </c>
      <c r="AR1555" t="str">
        <f t="shared" ca="1" si="801"/>
        <v>Supercritical</v>
      </c>
      <c r="AS1555">
        <f t="shared" ca="1" si="802"/>
        <v>4.759930044215514E-3</v>
      </c>
    </row>
    <row r="1556" spans="1:45" x14ac:dyDescent="0.35">
      <c r="A1556">
        <v>35</v>
      </c>
      <c r="B1556">
        <v>33.930999999999997</v>
      </c>
      <c r="C1556">
        <v>616082.30200000003</v>
      </c>
      <c r="D1556">
        <v>3096596.7749999999</v>
      </c>
      <c r="E1556">
        <v>631.5</v>
      </c>
      <c r="F1556">
        <v>3.9289999999999998</v>
      </c>
      <c r="G1556">
        <v>0</v>
      </c>
      <c r="H1556" t="s">
        <v>154</v>
      </c>
      <c r="I1556">
        <v>5.2999999999999999E-2</v>
      </c>
      <c r="J1556">
        <f t="shared" si="803"/>
        <v>1.0009999999999977</v>
      </c>
      <c r="K1556">
        <f t="shared" ca="1" si="804"/>
        <v>49.931000000000004</v>
      </c>
      <c r="L1556">
        <f t="shared" ca="1" si="805"/>
        <v>0.28520098143965239</v>
      </c>
      <c r="M1556">
        <f t="shared" ca="1" si="778"/>
        <v>1.1205546560763942</v>
      </c>
      <c r="N1556">
        <f t="shared" ca="1" si="779"/>
        <v>0.24904524319479049</v>
      </c>
      <c r="O1556">
        <f t="shared" ca="1" si="780"/>
        <v>44.559183016411424</v>
      </c>
      <c r="P1556">
        <f t="shared" ca="1" si="781"/>
        <v>631.78520098143963</v>
      </c>
      <c r="Q1556">
        <f t="shared" ca="1" si="782"/>
        <v>732.98401806044308</v>
      </c>
      <c r="R1556">
        <f t="shared" ca="1" si="783"/>
        <v>2.8511448978207268</v>
      </c>
      <c r="S1556">
        <f t="shared" ca="1" si="784"/>
        <v>26.639569851027531</v>
      </c>
      <c r="T1556">
        <f t="shared" ca="1" si="785"/>
        <v>226.95740297843622</v>
      </c>
      <c r="U1556">
        <f t="shared" ca="1" si="806"/>
        <v>-8.7094383920417613</v>
      </c>
      <c r="V1556">
        <f t="shared" ca="1" si="807"/>
        <v>0</v>
      </c>
      <c r="W1556">
        <f t="shared" ca="1" si="786"/>
        <v>2.5439143649223128</v>
      </c>
      <c r="X1556">
        <f t="shared" ca="1" si="787"/>
        <v>9.995039539779766</v>
      </c>
      <c r="Y1556">
        <f t="shared" ca="1" si="788"/>
        <v>1.1084872341755121</v>
      </c>
      <c r="Z1556">
        <f t="shared" ca="1" si="789"/>
        <v>4.9955780366127698</v>
      </c>
      <c r="AA1556">
        <f t="shared" ca="1" si="790"/>
        <v>634.04391436492233</v>
      </c>
      <c r="AB1556">
        <f t="shared" ca="1" si="791"/>
        <v>635.31587154738349</v>
      </c>
      <c r="AC1556">
        <f t="shared" ca="1" si="792"/>
        <v>4.8945535598323717E-3</v>
      </c>
      <c r="AD1556">
        <f t="shared" ca="1" si="793"/>
        <v>1.0000000000000002</v>
      </c>
      <c r="AE1556">
        <f t="shared" ca="1" si="794"/>
        <v>38.13978699481838</v>
      </c>
      <c r="AF1556">
        <f t="shared" ca="1" si="795"/>
        <v>2.0773384328922475</v>
      </c>
      <c r="AG1556">
        <f t="shared" ca="1" si="796"/>
        <v>1</v>
      </c>
      <c r="AH1556">
        <f ca="1">IFERROR(IF(V35="Supercritical",MAX($D$16,IFERROR(L1556,MAX($D$16,POWER((ABS(K1556)^2)/($I$5*MAX(F1556,0.1)^2),1/3)))),IF(V35="Subcritical",MAX($D$16,IFERROR(W1556,MAX($D$16,POWER((ABS(K1556)^2)/($I$5*MAX(F1556,0.1)^2),1/3)))),IF(AND(IFERROR(V1556,0)=1,IFERROR(AG1556,0)=1),IF(IFERROR(T1556,-1E+99)&gt;=IFERROR(AE1556,-1E+99),MAX($D$16,IFERROR(L1556,MAX($D$16,POWER((ABS(K1556)^2)/($I$5*MAX(F1556,0.1)^2),1/3)))),MAX($D$16,IFERROR(W1556,MAX($D$16,POWER((ABS(K1556)^2)/($I$5*MAX(F1556,0.1)^2),1/3))))),IF(IFERROR(V1556,0)=1,MAX($D$16,IFERROR(L1556,MAX($D$16,POWER((ABS(K1556)^2)/($I$5*MAX(F1556,0.1)^2),1/3)))),IF(IFERROR(AG1556,0)=1,MAX($D$16,IFERROR(W1556,MAX($D$16,POWER((ABS(K1556)^2)/($I$5*MAX(F1556,0.1)^2),1/3)))),MAX($D$16,POWER((ABS(K1556)^2)/($I$5*MAX(F1556,0.1)^2),1/3))))))),MAX($D$16,POWER((ABS(K1556)^2)/($I$5*MAX(F1556,0.1)^2),1/3)))</f>
        <v>2.5439143649223128</v>
      </c>
      <c r="AI1556">
        <f t="shared" ca="1" si="797"/>
        <v>634.04391436492233</v>
      </c>
      <c r="AJ1556">
        <f t="shared" ca="1" si="798"/>
        <v>635.31587154738349</v>
      </c>
      <c r="AL1556">
        <v>635.5</v>
      </c>
      <c r="AM1556">
        <v>0</v>
      </c>
      <c r="AN1556">
        <f t="shared" ca="1" si="809"/>
        <v>0</v>
      </c>
      <c r="AO1556">
        <f t="shared" ca="1" si="799"/>
        <v>0</v>
      </c>
      <c r="AP1556">
        <f t="shared" ca="1" si="808"/>
        <v>0</v>
      </c>
      <c r="AQ1556">
        <f t="shared" ca="1" si="800"/>
        <v>1.0000000000000002</v>
      </c>
      <c r="AR1556" t="str">
        <f t="shared" ca="1" si="801"/>
        <v>Supercritical</v>
      </c>
      <c r="AS1556">
        <f t="shared" ca="1" si="802"/>
        <v>4.8945535598323717E-3</v>
      </c>
    </row>
    <row r="1557" spans="1:45" x14ac:dyDescent="0.35">
      <c r="A1557">
        <v>36</v>
      </c>
      <c r="B1557">
        <v>34.930999999999997</v>
      </c>
      <c r="C1557">
        <v>616082.37600000005</v>
      </c>
      <c r="D1557">
        <v>3096595.7779999999</v>
      </c>
      <c r="E1557">
        <v>631.5</v>
      </c>
      <c r="F1557">
        <v>3.82</v>
      </c>
      <c r="G1557">
        <v>0</v>
      </c>
      <c r="H1557" t="s">
        <v>154</v>
      </c>
      <c r="I1557">
        <v>0</v>
      </c>
      <c r="J1557">
        <f t="shared" si="803"/>
        <v>1</v>
      </c>
      <c r="K1557">
        <f t="shared" ca="1" si="804"/>
        <v>49.931000000000004</v>
      </c>
      <c r="L1557">
        <f t="shared" ca="1" si="805"/>
        <v>0.28520098143965239</v>
      </c>
      <c r="M1557">
        <f t="shared" ca="1" si="778"/>
        <v>1.0894677490994722</v>
      </c>
      <c r="N1557">
        <f t="shared" ca="1" si="779"/>
        <v>0.24814760887747497</v>
      </c>
      <c r="O1557">
        <f t="shared" ca="1" si="780"/>
        <v>45.830636144366608</v>
      </c>
      <c r="P1557">
        <f t="shared" ca="1" si="781"/>
        <v>631.78520098143963</v>
      </c>
      <c r="Q1557">
        <f t="shared" ca="1" si="782"/>
        <v>738.84163367243468</v>
      </c>
      <c r="R1557">
        <f t="shared" ca="1" si="783"/>
        <v>3.0307317313335678</v>
      </c>
      <c r="S1557">
        <f t="shared" ca="1" si="784"/>
        <v>27.399704174001865</v>
      </c>
      <c r="T1557">
        <f t="shared" ca="1" si="785"/>
        <v>233.42442013660011</v>
      </c>
      <c r="U1557">
        <f t="shared" ca="1" si="806"/>
        <v>-9.3843154877679353</v>
      </c>
      <c r="V1557">
        <f t="shared" ca="1" si="807"/>
        <v>0</v>
      </c>
      <c r="W1557">
        <f ca="1">MAX($D$16,(P8)-E1557)</f>
        <v>1.3783302222442444</v>
      </c>
      <c r="X1557">
        <f t="shared" ca="1" si="787"/>
        <v>5.2652214489730138</v>
      </c>
      <c r="Y1557">
        <f t="shared" ca="1" si="788"/>
        <v>0.80059195596535393</v>
      </c>
      <c r="Z1557">
        <f t="shared" ca="1" si="789"/>
        <v>9.4831718824930125</v>
      </c>
      <c r="AA1557">
        <f t="shared" ca="1" si="790"/>
        <v>632.87833022224424</v>
      </c>
      <c r="AB1557">
        <f t="shared" ca="1" si="791"/>
        <v>637.46194637682663</v>
      </c>
      <c r="AC1557">
        <f t="shared" ca="1" si="792"/>
        <v>2.7219165087583371E-2</v>
      </c>
      <c r="AD1557">
        <f t="shared" ca="1" si="793"/>
        <v>2.5789473684210678</v>
      </c>
      <c r="AE1557">
        <f t="shared" ca="1" si="794"/>
        <v>51.896115106896652</v>
      </c>
      <c r="AF1557">
        <v>0</v>
      </c>
      <c r="AG1557">
        <v>1</v>
      </c>
      <c r="AH1557">
        <f ca="1">IFERROR(IF(V35="Supercritical",MAX($D$16,IFERROR(L1557,MAX($D$16,POWER((ABS(K1557)^2)/($I$5*MAX(F1557,0.1)^2),1/3)))),IF(V35="Subcritical",MAX($D$16,IFERROR(W1557,MAX($D$16,POWER((ABS(K1557)^2)/($I$5*MAX(F1557,0.1)^2),1/3)))),IF(AND(IFERROR(V1557,0)=1,IFERROR(AG1557,0)=1),IF(IFERROR(T1557,-1E+99)&gt;=IFERROR(AE1557,-1E+99),MAX($D$16,IFERROR(L1557,MAX($D$16,POWER((ABS(K1557)^2)/($I$5*MAX(F1557,0.1)^2),1/3)))),MAX($D$16,IFERROR(W1557,MAX($D$16,POWER((ABS(K1557)^2)/($I$5*MAX(F1557,0.1)^2),1/3))))),IF(IFERROR(V1557,0)=1,MAX($D$16,IFERROR(L1557,MAX($D$16,POWER((ABS(K1557)^2)/($I$5*MAX(F1557,0.1)^2),1/3)))),IF(IFERROR(AG1557,0)=1,MAX($D$16,IFERROR(W1557,MAX($D$16,POWER((ABS(K1557)^2)/($I$5*MAX(F1557,0.1)^2),1/3)))),MAX($D$16,POWER((ABS(K1557)^2)/($I$5*MAX(F1557,0.1)^2),1/3))))))),MAX($D$16,POWER((ABS(K1557)^2)/($I$5*MAX(F1557,0.1)^2),1/3)))</f>
        <v>1.3783302222442444</v>
      </c>
      <c r="AI1557">
        <f t="shared" ca="1" si="797"/>
        <v>632.87833022224424</v>
      </c>
      <c r="AJ1557">
        <f t="shared" ca="1" si="798"/>
        <v>637.46194637682663</v>
      </c>
      <c r="AL1557">
        <v>635.5</v>
      </c>
      <c r="AM1557">
        <v>0</v>
      </c>
      <c r="AN1557">
        <f t="shared" ca="1" si="809"/>
        <v>0</v>
      </c>
      <c r="AO1557">
        <f ca="1">AM1557+AN1557+MAX(0,K1557-(AM1557+AN1557)-0.05)</f>
        <v>49.881000000000007</v>
      </c>
      <c r="AP1557">
        <f t="shared" ca="1" si="808"/>
        <v>49.881000000000007</v>
      </c>
      <c r="AQ1557">
        <f t="shared" ca="1" si="800"/>
        <v>2.5789473684210678</v>
      </c>
      <c r="AR1557" t="str">
        <f t="shared" ca="1" si="801"/>
        <v>Supercritical</v>
      </c>
      <c r="AS1557">
        <f t="shared" ca="1" si="802"/>
        <v>2.7219165087583371E-2</v>
      </c>
    </row>
    <row r="1560" spans="1:45" x14ac:dyDescent="0.35">
      <c r="A1560" t="s">
        <v>160</v>
      </c>
      <c r="E1560">
        <f>E36</f>
        <v>45.363</v>
      </c>
      <c r="F1560" t="s">
        <v>104</v>
      </c>
      <c r="H1560">
        <f ca="1">N36</f>
        <v>0</v>
      </c>
      <c r="I1560" t="s">
        <v>13</v>
      </c>
      <c r="K1560" t="str">
        <f>V36</f>
        <v>Mixed</v>
      </c>
      <c r="L1560" t="s">
        <v>105</v>
      </c>
    </row>
    <row r="1561" spans="1:45" x14ac:dyDescent="0.35">
      <c r="A1561" t="s">
        <v>106</v>
      </c>
      <c r="B1561" t="s">
        <v>107</v>
      </c>
      <c r="C1561" t="s">
        <v>108</v>
      </c>
      <c r="D1561" t="s">
        <v>109</v>
      </c>
      <c r="E1561" t="s">
        <v>110</v>
      </c>
      <c r="F1561" t="s">
        <v>111</v>
      </c>
      <c r="G1561" t="s">
        <v>112</v>
      </c>
      <c r="H1561" t="s">
        <v>9</v>
      </c>
      <c r="I1561" t="s">
        <v>113</v>
      </c>
      <c r="J1561" t="s">
        <v>114</v>
      </c>
      <c r="K1561" t="s">
        <v>115</v>
      </c>
      <c r="L1561" t="s">
        <v>116</v>
      </c>
      <c r="M1561" t="s">
        <v>117</v>
      </c>
      <c r="N1561" t="s">
        <v>118</v>
      </c>
      <c r="O1561" t="s">
        <v>119</v>
      </c>
      <c r="P1561" t="s">
        <v>120</v>
      </c>
      <c r="Q1561" t="s">
        <v>121</v>
      </c>
      <c r="R1561" t="s">
        <v>122</v>
      </c>
      <c r="S1561" t="s">
        <v>123</v>
      </c>
      <c r="T1561" t="s">
        <v>124</v>
      </c>
      <c r="U1561" t="s">
        <v>125</v>
      </c>
      <c r="V1561" t="s">
        <v>126</v>
      </c>
      <c r="W1561" t="s">
        <v>127</v>
      </c>
      <c r="X1561" t="s">
        <v>128</v>
      </c>
      <c r="Y1561" t="s">
        <v>129</v>
      </c>
      <c r="Z1561" t="s">
        <v>130</v>
      </c>
      <c r="AA1561" t="s">
        <v>131</v>
      </c>
      <c r="AB1561" t="s">
        <v>132</v>
      </c>
      <c r="AC1561" t="s">
        <v>133</v>
      </c>
      <c r="AD1561" t="s">
        <v>134</v>
      </c>
      <c r="AE1561" t="s">
        <v>135</v>
      </c>
      <c r="AF1561" t="s">
        <v>136</v>
      </c>
      <c r="AG1561" t="s">
        <v>137</v>
      </c>
      <c r="AH1561" t="s">
        <v>138</v>
      </c>
      <c r="AI1561" t="s">
        <v>139</v>
      </c>
      <c r="AJ1561" t="s">
        <v>140</v>
      </c>
      <c r="AK1561" t="s">
        <v>141</v>
      </c>
      <c r="AL1561" t="s">
        <v>142</v>
      </c>
      <c r="AM1561" t="s">
        <v>143</v>
      </c>
      <c r="AN1561" t="s">
        <v>144</v>
      </c>
      <c r="AO1561" t="s">
        <v>145</v>
      </c>
      <c r="AP1561" t="s">
        <v>146</v>
      </c>
      <c r="AQ1561" t="s">
        <v>147</v>
      </c>
      <c r="AR1561" t="s">
        <v>148</v>
      </c>
      <c r="AS1561" t="s">
        <v>149</v>
      </c>
    </row>
    <row r="1562" spans="1:45" x14ac:dyDescent="0.35">
      <c r="A1562" t="s">
        <v>22</v>
      </c>
      <c r="B1562" t="s">
        <v>54</v>
      </c>
      <c r="C1562" t="s">
        <v>54</v>
      </c>
      <c r="D1562" t="s">
        <v>54</v>
      </c>
      <c r="E1562" t="s">
        <v>54</v>
      </c>
      <c r="F1562" t="s">
        <v>54</v>
      </c>
      <c r="G1562" t="s">
        <v>22</v>
      </c>
      <c r="H1562" t="s">
        <v>22</v>
      </c>
      <c r="I1562" t="s">
        <v>150</v>
      </c>
      <c r="J1562" t="s">
        <v>54</v>
      </c>
      <c r="K1562" t="s">
        <v>13</v>
      </c>
      <c r="L1562" t="s">
        <v>54</v>
      </c>
      <c r="M1562" t="s">
        <v>151</v>
      </c>
      <c r="N1562" t="s">
        <v>54</v>
      </c>
      <c r="O1562" t="s">
        <v>152</v>
      </c>
      <c r="P1562" t="s">
        <v>54</v>
      </c>
      <c r="Q1562" t="s">
        <v>54</v>
      </c>
      <c r="R1562" t="s">
        <v>22</v>
      </c>
      <c r="S1562" t="s">
        <v>22</v>
      </c>
      <c r="T1562" t="s">
        <v>153</v>
      </c>
      <c r="U1562" t="s">
        <v>54</v>
      </c>
      <c r="V1562" t="s">
        <v>22</v>
      </c>
      <c r="W1562" t="s">
        <v>54</v>
      </c>
      <c r="X1562" t="s">
        <v>151</v>
      </c>
      <c r="Y1562" t="s">
        <v>54</v>
      </c>
      <c r="Z1562" t="s">
        <v>152</v>
      </c>
      <c r="AA1562" t="s">
        <v>54</v>
      </c>
      <c r="AB1562" t="s">
        <v>54</v>
      </c>
      <c r="AC1562" t="s">
        <v>22</v>
      </c>
      <c r="AD1562" t="s">
        <v>22</v>
      </c>
      <c r="AE1562" t="s">
        <v>153</v>
      </c>
      <c r="AF1562" t="s">
        <v>54</v>
      </c>
      <c r="AG1562" t="s">
        <v>22</v>
      </c>
      <c r="AH1562" t="s">
        <v>54</v>
      </c>
      <c r="AI1562" t="s">
        <v>54</v>
      </c>
      <c r="AJ1562" t="s">
        <v>54</v>
      </c>
      <c r="AK1562" t="s">
        <v>54</v>
      </c>
      <c r="AL1562" t="s">
        <v>54</v>
      </c>
      <c r="AM1562" t="s">
        <v>13</v>
      </c>
      <c r="AN1562" t="s">
        <v>13</v>
      </c>
      <c r="AO1562" t="s">
        <v>13</v>
      </c>
      <c r="AP1562" t="s">
        <v>13</v>
      </c>
      <c r="AQ1562" t="s">
        <v>22</v>
      </c>
      <c r="AR1562" t="s">
        <v>22</v>
      </c>
      <c r="AS1562" t="s">
        <v>22</v>
      </c>
    </row>
    <row r="1563" spans="1:45" x14ac:dyDescent="0.35">
      <c r="A1563">
        <v>1</v>
      </c>
      <c r="B1563">
        <v>0</v>
      </c>
      <c r="C1563">
        <v>616073.13500000001</v>
      </c>
      <c r="D1563">
        <v>3096615.2420000001</v>
      </c>
      <c r="E1563">
        <v>631.5</v>
      </c>
      <c r="F1563">
        <v>2.0499999999999998</v>
      </c>
      <c r="G1563">
        <v>0</v>
      </c>
      <c r="H1563" t="s">
        <v>154</v>
      </c>
      <c r="I1563">
        <v>0</v>
      </c>
      <c r="J1563">
        <v>0</v>
      </c>
      <c r="K1563">
        <v>0</v>
      </c>
      <c r="L1563">
        <f>MAX($D$16,(P9)-E1563)</f>
        <v>0.05</v>
      </c>
      <c r="M1563">
        <f t="shared" ref="M1563:M1609" si="810">((F1563)+(G1563)*(L1563))*(L1563)</f>
        <v>0.10249999999999999</v>
      </c>
      <c r="N1563">
        <f t="shared" ref="N1563:N1609" si="811">(((F1563)+(G1563)*(L1563))*(L1563))/MAX((F1563)+2*(L1563)*SQRT(1+(G1563)^2),0.000001)</f>
        <v>4.7674418604651159E-2</v>
      </c>
      <c r="O1563">
        <f t="shared" ref="O1563:O1609" si="812">ABS(K1563)/MAX(((F1563)+(G1563)*(L1563))*(L1563),0.000001)</f>
        <v>0</v>
      </c>
      <c r="P1563">
        <f t="shared" ref="P1563:P1609" si="813">E1563+L1563</f>
        <v>631.54999999999995</v>
      </c>
      <c r="Q1563">
        <f t="shared" ref="Q1563:Q1609" si="814">P1563+((ABS(K1563)/MAX(((F1563)+(G1563)*(L1563))*(L1563),0.000001))^2)/(2*$I$5)</f>
        <v>631.54999999999995</v>
      </c>
      <c r="R1563">
        <f t="shared" ref="R1563:R1609" si="815">((ABS(K1563)*$D$6)/(MAX(((F1563)+(G1563)*(L1563))*(L1563),0.000001)*MAX(((((F1563)+(G1563)*(L1563))*(L1563))/MAX((F1563)+2*(L1563)*SQRT(1+(G1563)^2),0.000001))^(2/3),0.000001)))^2</f>
        <v>0</v>
      </c>
      <c r="S1563">
        <f t="shared" ref="S1563:S1609" si="816">ABS(ABS(K1563)/MAX(((F1563)+(G1563)*(L1563))*(L1563),0.000001))/SQRT($I$5*MAX((((F1563)+(G1563)*(L1563))*(L1563))/MAX((F1563)+2*(G1563)*(L1563),0.000001),0.000001))</f>
        <v>0</v>
      </c>
      <c r="T1563">
        <f t="shared" ref="T1563:T1609" si="817">((F1563)*(L1563)^2)/2+(G1563)*(L1563)^3/3+(ABS(K1563)^2)/($I$5*MAX(((F1563)+(G1563)*(L1563))*(L1563),0.000001))</f>
        <v>2.5625000000000001E-3</v>
      </c>
      <c r="U1563">
        <v>0</v>
      </c>
      <c r="V1563">
        <v>1</v>
      </c>
      <c r="W1563">
        <f t="shared" ref="W1563:W1608" ca="1" si="818">IF($D$20=0,IFERROR(W1564,MAX($D$16,POWER((ABS(K1563)^2)/($I$5*MAX(F1563,0.1)^2),1/3))),IF(IFERROR(AG1564,0)=0,IFERROR(W1564,MAX($D$16,POWER((ABS(K1563)^2)/($I$5*MAX(F1563,0.1)^2),1/3))),IF(OR(IFERROR(W1563,0)=0,IFERROR(AD1564,0)&gt;1),MAX($D$16,POWER((ABS(K1563)^2)/($I$5*MAX(F1563,0.1)^2),1/3)),IF(IFERROR(AF1563,0)&gt;0,MAX($D$16,IFERROR(W1563,0)+((IFERROR(AF1563,0))*$D$18*IF((IFERROR(AD1563,0))&lt;1,1,-1))),IF(IFERROR(AF1563,0)&lt;0,IF(ABS((MAX($D$16,POWER((ABS(K1563)^2)/($I$5*MAX(F1563,0.1)^2),1/3)))-IFERROR(W1563,0))&gt;$D$19,MAX($D$16,IF((MAX($D$16,POWER((ABS(K1563)^2)/($I$5*MAX(F1563,0.1)^2),1/3)))&gt;IFERROR(W1563,0),MIN((MAX($D$16,POWER((ABS(K1563)^2)/($I$5*MAX(F1563,0.1)^2),1/3))),IFERROR(W1563,0)+(MIN(ABS(IFERROR(AF1563,0))*$D$18,ABS((MAX($D$16,POWER((ABS(K1563)^2)/($I$5*MAX(F1563,0.1)^2),1/3)))-IFERROR(W1563,0))))),MAX((MAX($D$16,POWER((ABS(K1563)^2)/($I$5*MAX(F1563,0.1)^2),1/3))),IFERROR(W1563,0)-(MIN(ABS(IFERROR(AF1563,0))*$D$18,ABS((MAX($D$16,POWER((ABS(K1563)^2)/($I$5*MAX(F1563,0.1)^2),1/3)))-IFERROR(W1563,0))))))),MAX($D$16,POWER((ABS(K1563)^2)/($I$5*MAX(F1563,0.1)^2),1/3))),MAX($D$16,IFERROR(W1563,0)))))))</f>
        <v>1.4371745734225838</v>
      </c>
      <c r="X1563">
        <f t="shared" ref="X1563:X1609" ca="1" si="819">((F1563)+(G1563)*(W1563))*(W1563)</f>
        <v>2.9462078755162966</v>
      </c>
      <c r="Y1563">
        <f t="shared" ref="Y1563:Y1609" ca="1" si="820">(((F1563)+(G1563)*(W1563))*(W1563))/MAX((F1563)+2*(W1563)*SQRT(1+(G1563)^2),0.000001)</f>
        <v>0.59829386334310064</v>
      </c>
      <c r="Z1563">
        <f t="shared" ref="Z1563:Z1609" ca="1" si="821">ABS(K1563)/MAX(((F1563)+(G1563)*(W1563))*(W1563),0.000001)</f>
        <v>0</v>
      </c>
      <c r="AA1563">
        <f t="shared" ref="AA1563:AA1609" ca="1" si="822">E1563+W1563</f>
        <v>632.93717457342257</v>
      </c>
      <c r="AB1563">
        <f t="shared" ref="AB1563:AB1609" ca="1" si="823">AA1563+((ABS(K1563)/MAX(((F1563)+(G1563)*(W1563))*(W1563),0.000001))^2)/(2*$I$5)</f>
        <v>632.93717457342257</v>
      </c>
      <c r="AC1563">
        <f t="shared" ref="AC1563:AC1609" ca="1" si="824">((ABS(K1563)*$D$6)/(MAX(((F1563)+(G1563)*(W1563))*(W1563),0.000001)*MAX(((((F1563)+(G1563)*(W1563))*(W1563))/MAX((F1563)+2*(W1563)*SQRT(1+(G1563)^2),0.000001))^(2/3),0.000001)))^2</f>
        <v>0</v>
      </c>
      <c r="AD1563">
        <f t="shared" ref="AD1563:AD1609" ca="1" si="825">ABS(ABS(K1563)/MAX(((F1563)+(G1563)*(W1563))*(W1563),0.000001))/SQRT($I$5*MAX((((F1563)+(G1563)*(W1563))*(W1563))/MAX((F1563)+2*(G1563)*(W1563),0.000001),0.000001))</f>
        <v>0</v>
      </c>
      <c r="AE1563">
        <f t="shared" ref="AE1563:AE1609" ca="1" si="826">((F1563)*(W1563)^2)/2+(G1563)*(W1563)^3/3+(ABS(K1563)^2)/($I$5*MAX(((F1563)+(G1563)*(W1563))*(W1563),0.000001))</f>
        <v>2.1171075233546954</v>
      </c>
      <c r="AF1563">
        <f t="shared" ref="AF1563:AF1608" ca="1" si="827">IF($D$20=0,0,IFERROR(AB1564+(((AC1563+AC1564)/2)*J1564)+(IF(Z1563&gt;Z1564,$D$8*((Z1563^2-Z1564^2)/(2*$I$5)),$D$9*((Z1564^2-Z1563^2)/(2*$I$5)))+($D$10*(ABS(I1564)/90)*(MAX(Z1563^2,Z1564^2)/(2*$I$5))))-AB1563,0))</f>
        <v>-5.6637481827692682E-4</v>
      </c>
      <c r="AG1563">
        <f t="shared" ref="AG1563:AG1608" ca="1" si="828">IF($D$20=0,1,IFERROR(IF(ROUND(AD1563,3)=1,1,IF(AND(ABS(AF1563)&lt;$D$19,AD1563&lt;1),1,0)),0))</f>
        <v>1</v>
      </c>
      <c r="AH1563">
        <f ca="1">IFERROR(IF(V36="Supercritical",MAX($D$16,IFERROR(L1563,MAX($D$16,POWER((ABS(K1563)^2)/($I$5*MAX(F1563,0.1)^2),1/3)))),IF(V36="Subcritical",MAX($D$16,IFERROR(W1563,MAX($D$16,POWER((ABS(K1563)^2)/($I$5*MAX(F1563,0.1)^2),1/3)))),IF(AND(IFERROR(V1563,0)=1,IFERROR(AG1563,0)=1),IF(IFERROR(T1563,-1E+99)&gt;=IFERROR(AE1563,-1E+99),MAX($D$16,IFERROR(L1563,MAX($D$16,POWER((ABS(K1563)^2)/($I$5*MAX(F1563,0.1)^2),1/3)))),MAX($D$16,IFERROR(W1563,MAX($D$16,POWER((ABS(K1563)^2)/($I$5*MAX(F1563,0.1)^2),1/3))))),IF(IFERROR(V1563,0)=1,MAX($D$16,IFERROR(L1563,MAX($D$16,POWER((ABS(K1563)^2)/($I$5*MAX(F1563,0.1)^2),1/3)))),IF(IFERROR(AG1563,0)=1,MAX($D$16,IFERROR(W1563,MAX($D$16,POWER((ABS(K1563)^2)/($I$5*MAX(F1563,0.1)^2),1/3)))),MAX($D$16,POWER((ABS(K1563)^2)/($I$5*MAX(F1563,0.1)^2),1/3))))))),MAX($D$16,POWER((ABS(K1563)^2)/($I$5*MAX(F1563,0.1)^2),1/3)))</f>
        <v>1.4371745734225838</v>
      </c>
      <c r="AI1563">
        <f t="shared" ref="AI1563:AI1609" ca="1" si="829">E1563+AH1563</f>
        <v>632.93717457342257</v>
      </c>
      <c r="AJ1563">
        <f t="shared" ref="AJ1563:AJ1609" ca="1" si="830">AI1563+((ABS(K1563)/MAX(((F1563)+(G1563)*(AH1563))*(AH1563),0.000001))^2)/(2*$I$5)</f>
        <v>632.93717457342257</v>
      </c>
      <c r="AM1563">
        <v>0</v>
      </c>
      <c r="AN1563">
        <v>0</v>
      </c>
      <c r="AO1563">
        <f t="shared" ref="AO1563:AO1609" si="831">AM1563+AN1563</f>
        <v>0</v>
      </c>
      <c r="AP1563">
        <f>AO1563</f>
        <v>0</v>
      </c>
      <c r="AQ1563">
        <f t="shared" ref="AQ1563:AQ1609" ca="1" si="832">ABS(ABS(K1563)/MAX(((F1563)+(G1563)*(AH1563))*(AH1563),0.000001))/SQRT($I$5*MAX((((F1563)+(G1563)*(AH1563))*(AH1563))/MAX((F1563)+2*(G1563)*(AH1563),0.000001),0.000001))</f>
        <v>0</v>
      </c>
      <c r="AR1563" t="str">
        <f t="shared" ref="AR1563:AR1609" ca="1" si="833">IF(AQ1563&lt;1,"Subcritical","Supercritical")</f>
        <v>Subcritical</v>
      </c>
      <c r="AS1563">
        <f t="shared" ref="AS1563:AS1609" ca="1" si="834">((ABS(K1563)*$D$6)/(MAX(((F1563)+(G1563)*(AH1563))*(AH1563),0.000001)*MAX(((((F1563)+(G1563)*(AH1563))*(AH1563))/MAX((F1563)+2*(AH1563)*SQRT(1+(G1563)^2),0.000001))^(2/3),0.000001)))^2</f>
        <v>0</v>
      </c>
    </row>
    <row r="1564" spans="1:45" x14ac:dyDescent="0.35">
      <c r="A1564">
        <v>2</v>
      </c>
      <c r="B1564">
        <v>1</v>
      </c>
      <c r="C1564">
        <v>616073.55599999998</v>
      </c>
      <c r="D1564">
        <v>3096614.335</v>
      </c>
      <c r="E1564">
        <v>631.5</v>
      </c>
      <c r="F1564">
        <v>2.3319999999999999</v>
      </c>
      <c r="G1564">
        <v>0</v>
      </c>
      <c r="H1564" t="s">
        <v>154</v>
      </c>
      <c r="I1564">
        <v>0</v>
      </c>
      <c r="J1564">
        <f t="shared" ref="J1564:J1609" si="835">B1564-B1563</f>
        <v>1</v>
      </c>
      <c r="K1564">
        <v>0</v>
      </c>
      <c r="L1564">
        <f t="shared" ref="L1564:L1609" ca="1" si="836">IF($D$20=0,IFERROR(L1563,MAX($D$16,POWER((ABS(K1564)^2)/($I$5*MAX(F1564,0.1)^2),1/3))),IF(IFERROR(V1563,0)=0,IFERROR(L1563,MAX($D$16,POWER((ABS(K1564)^2)/($I$5*MAX(F1564,0.1)^2),1/3))),IF(OR(IFERROR(L1564,0)=0,IFERROR(S1563,0)&lt;1,IFERROR(S1564,0)&lt;1),MAX($D$16,POWER((ABS(K1564)^2)/($I$5*MAX(F1564,0.1)^2),1/3)),IF(IFERROR(U1564,0)&gt;0,MAX($D$16,IFERROR(L1564,0)+((IFERROR(U1564,0))*$D$18*IF((IFERROR(S1564,0))&lt;1,1,-1))),IF(IFERROR(U1564,0)&lt;0,IF(ABS((MAX($D$16,POWER((ABS(K1564)^2)/($I$5*MAX(F1564,0.1)^2),1/3)))-IFERROR(L1564,0))&gt;$D$19,MAX($D$16,IF((MAX($D$16,POWER((ABS(K1564)^2)/($I$5*MAX(F1564,0.1)^2),1/3)))&gt;IFERROR(L1564,0),MIN((MAX($D$16,POWER((ABS(K1564)^2)/($I$5*MAX(F1564,0.1)^2),1/3))),IFERROR(L1564,0)+(MIN(ABS(IFERROR(U1564,0))*$D$18,ABS((MAX($D$16,POWER((ABS(K1564)^2)/($I$5*MAX(F1564,0.1)^2),1/3)))-IFERROR(L1564,0))))),MAX((MAX($D$16,POWER((ABS(K1564)^2)/($I$5*MAX(F1564,0.1)^2),1/3))),IFERROR(L1564,0)-(MIN(ABS(IFERROR(U1564,0))*$D$18,ABS((MAX($D$16,POWER((ABS(K1564)^2)/($I$5*MAX(F1564,0.1)^2),1/3)))-IFERROR(L1564,0))))))),MAX($D$16,POWER((ABS(K1564)^2)/($I$5*MAX(F1564,0.1)^2),1/3))),MAX($D$16,IFERROR(L1564,0)))))))</f>
        <v>0.05</v>
      </c>
      <c r="M1564">
        <f t="shared" ca="1" si="810"/>
        <v>0.1166</v>
      </c>
      <c r="N1564">
        <f t="shared" ca="1" si="811"/>
        <v>4.7944078947368421E-2</v>
      </c>
      <c r="O1564">
        <f t="shared" ca="1" si="812"/>
        <v>0</v>
      </c>
      <c r="P1564">
        <f t="shared" ca="1" si="813"/>
        <v>631.54999999999995</v>
      </c>
      <c r="Q1564">
        <f t="shared" ca="1" si="814"/>
        <v>631.54999999999995</v>
      </c>
      <c r="R1564">
        <f t="shared" ca="1" si="815"/>
        <v>0</v>
      </c>
      <c r="S1564">
        <f t="shared" ca="1" si="816"/>
        <v>0</v>
      </c>
      <c r="T1564">
        <f t="shared" ca="1" si="817"/>
        <v>2.9150000000000005E-3</v>
      </c>
      <c r="U1564">
        <f t="shared" ref="U1564:U1609" ca="1" si="837">IF($D$20=0,0,IFERROR(Q1563-(((R1563+R1564)/2)*J1564)-(IF(O1563&gt;O1564,$D$8*((O1563^2-O1564^2)/(2*$I$5)),$D$9*((O1564^2-O1563^2)/(2*$I$5)))+($D$10*(ABS(I1564)/90)*(MAX(O1563^2,O1564^2)/(2*$I$5))))-Q1564,0))</f>
        <v>0</v>
      </c>
      <c r="V1564">
        <f t="shared" ref="V1564:V1609" ca="1" si="838">IF($D$20=0,1,IFERROR(IF(ROUND(S1564,3)=1,1,IF(AND(ABS(U1564)&lt;$D$19,S1564&gt;1),1,0)),0))</f>
        <v>0</v>
      </c>
      <c r="W1564">
        <f t="shared" ca="1" si="818"/>
        <v>1.4365333400412503</v>
      </c>
      <c r="X1564">
        <f t="shared" ca="1" si="819"/>
        <v>3.3499957489761956</v>
      </c>
      <c r="Y1564">
        <f t="shared" ca="1" si="820"/>
        <v>0.64360284985303928</v>
      </c>
      <c r="Z1564">
        <f t="shared" ca="1" si="821"/>
        <v>0</v>
      </c>
      <c r="AA1564">
        <f t="shared" ca="1" si="822"/>
        <v>632.93653334004125</v>
      </c>
      <c r="AB1564">
        <f t="shared" ca="1" si="823"/>
        <v>632.93653334004125</v>
      </c>
      <c r="AC1564">
        <f t="shared" ca="1" si="824"/>
        <v>0</v>
      </c>
      <c r="AD1564">
        <f t="shared" ca="1" si="825"/>
        <v>0</v>
      </c>
      <c r="AE1564">
        <f t="shared" ca="1" si="826"/>
        <v>2.4061902912003821</v>
      </c>
      <c r="AF1564">
        <f t="shared" ca="1" si="827"/>
        <v>-4.8755753073237429E-4</v>
      </c>
      <c r="AG1564">
        <f t="shared" ca="1" si="828"/>
        <v>1</v>
      </c>
      <c r="AH1564">
        <f ca="1">IFERROR(IF(V36="Supercritical",MAX($D$16,IFERROR(L1564,MAX($D$16,POWER((ABS(K1564)^2)/($I$5*MAX(F1564,0.1)^2),1/3)))),IF(V36="Subcritical",MAX($D$16,IFERROR(W1564,MAX($D$16,POWER((ABS(K1564)^2)/($I$5*MAX(F1564,0.1)^2),1/3)))),IF(AND(IFERROR(V1564,0)=1,IFERROR(AG1564,0)=1),IF(IFERROR(T1564,-1E+99)&gt;=IFERROR(AE1564,-1E+99),MAX($D$16,IFERROR(L1564,MAX($D$16,POWER((ABS(K1564)^2)/($I$5*MAX(F1564,0.1)^2),1/3)))),MAX($D$16,IFERROR(W1564,MAX($D$16,POWER((ABS(K1564)^2)/($I$5*MAX(F1564,0.1)^2),1/3))))),IF(IFERROR(V1564,0)=1,MAX($D$16,IFERROR(L1564,MAX($D$16,POWER((ABS(K1564)^2)/($I$5*MAX(F1564,0.1)^2),1/3)))),IF(IFERROR(AG1564,0)=1,MAX($D$16,IFERROR(W1564,MAX($D$16,POWER((ABS(K1564)^2)/($I$5*MAX(F1564,0.1)^2),1/3)))),MAX($D$16,POWER((ABS(K1564)^2)/($I$5*MAX(F1564,0.1)^2),1/3))))))),MAX($D$16,POWER((ABS(K1564)^2)/($I$5*MAX(F1564,0.1)^2),1/3)))</f>
        <v>1.4365333400412503</v>
      </c>
      <c r="AI1564">
        <f t="shared" ca="1" si="829"/>
        <v>632.93653334004125</v>
      </c>
      <c r="AJ1564">
        <f t="shared" ca="1" si="830"/>
        <v>632.93653334004125</v>
      </c>
      <c r="AM1564">
        <v>0</v>
      </c>
      <c r="AN1564">
        <v>0</v>
      </c>
      <c r="AO1564">
        <f t="shared" si="831"/>
        <v>0</v>
      </c>
      <c r="AP1564">
        <f t="shared" ref="AP1564:AP1609" si="839">AP1563+AO1564</f>
        <v>0</v>
      </c>
      <c r="AQ1564">
        <f t="shared" ca="1" si="832"/>
        <v>0</v>
      </c>
      <c r="AR1564" t="str">
        <f t="shared" ca="1" si="833"/>
        <v>Subcritical</v>
      </c>
      <c r="AS1564">
        <f t="shared" ca="1" si="834"/>
        <v>0</v>
      </c>
    </row>
    <row r="1565" spans="1:45" x14ac:dyDescent="0.35">
      <c r="A1565">
        <v>3</v>
      </c>
      <c r="B1565">
        <v>2</v>
      </c>
      <c r="C1565">
        <v>616073.97699999996</v>
      </c>
      <c r="D1565">
        <v>3096613.4279999998</v>
      </c>
      <c r="E1565">
        <v>631.5</v>
      </c>
      <c r="F1565">
        <v>2.6139999999999999</v>
      </c>
      <c r="G1565">
        <v>0</v>
      </c>
      <c r="H1565" t="s">
        <v>154</v>
      </c>
      <c r="I1565">
        <v>5.1999999999999998E-2</v>
      </c>
      <c r="J1565">
        <f t="shared" si="835"/>
        <v>1</v>
      </c>
      <c r="K1565">
        <f t="shared" ref="K1565:K1590" ca="1" si="840">K1564+(AO1485 + AO1531)</f>
        <v>0</v>
      </c>
      <c r="L1565">
        <f t="shared" ca="1" si="836"/>
        <v>0.05</v>
      </c>
      <c r="M1565">
        <f t="shared" ca="1" si="810"/>
        <v>0.13070000000000001</v>
      </c>
      <c r="N1565">
        <f t="shared" ca="1" si="811"/>
        <v>4.8157700810611645E-2</v>
      </c>
      <c r="O1565">
        <f t="shared" ca="1" si="812"/>
        <v>0</v>
      </c>
      <c r="P1565">
        <f t="shared" ca="1" si="813"/>
        <v>631.54999999999995</v>
      </c>
      <c r="Q1565">
        <f t="shared" ca="1" si="814"/>
        <v>631.54999999999995</v>
      </c>
      <c r="R1565">
        <f t="shared" ca="1" si="815"/>
        <v>0</v>
      </c>
      <c r="S1565">
        <f t="shared" ca="1" si="816"/>
        <v>0</v>
      </c>
      <c r="T1565">
        <f t="shared" ca="1" si="817"/>
        <v>3.2675000000000004E-3</v>
      </c>
      <c r="U1565">
        <f t="shared" ca="1" si="837"/>
        <v>0</v>
      </c>
      <c r="V1565">
        <f t="shared" ca="1" si="838"/>
        <v>0</v>
      </c>
      <c r="W1565">
        <f t="shared" ca="1" si="818"/>
        <v>1.4359842413837967</v>
      </c>
      <c r="X1565">
        <f t="shared" ca="1" si="819"/>
        <v>3.7536628069772444</v>
      </c>
      <c r="Y1565">
        <f t="shared" ca="1" si="820"/>
        <v>0.68422974334762765</v>
      </c>
      <c r="Z1565">
        <f t="shared" ca="1" si="821"/>
        <v>0</v>
      </c>
      <c r="AA1565">
        <f t="shared" ca="1" si="822"/>
        <v>632.93598424138384</v>
      </c>
      <c r="AB1565">
        <f t="shared" ca="1" si="823"/>
        <v>632.93598424138384</v>
      </c>
      <c r="AC1565">
        <f t="shared" ca="1" si="824"/>
        <v>0</v>
      </c>
      <c r="AD1565">
        <f t="shared" ca="1" si="825"/>
        <v>0</v>
      </c>
      <c r="AE1565">
        <f t="shared" ca="1" si="826"/>
        <v>2.6951003191438958</v>
      </c>
      <c r="AF1565">
        <f t="shared" ca="1" si="827"/>
        <v>-3.9819280902975152E-4</v>
      </c>
      <c r="AG1565">
        <f t="shared" ca="1" si="828"/>
        <v>1</v>
      </c>
      <c r="AH1565">
        <f ca="1">IFERROR(IF(V36="Supercritical",MAX($D$16,IFERROR(L1565,MAX($D$16,POWER((ABS(K1565)^2)/($I$5*MAX(F1565,0.1)^2),1/3)))),IF(V36="Subcritical",MAX($D$16,IFERROR(W1565,MAX($D$16,POWER((ABS(K1565)^2)/($I$5*MAX(F1565,0.1)^2),1/3)))),IF(AND(IFERROR(V1565,0)=1,IFERROR(AG1565,0)=1),IF(IFERROR(T1565,-1E+99)&gt;=IFERROR(AE1565,-1E+99),MAX($D$16,IFERROR(L1565,MAX($D$16,POWER((ABS(K1565)^2)/($I$5*MAX(F1565,0.1)^2),1/3)))),MAX($D$16,IFERROR(W1565,MAX($D$16,POWER((ABS(K1565)^2)/($I$5*MAX(F1565,0.1)^2),1/3))))),IF(IFERROR(V1565,0)=1,MAX($D$16,IFERROR(L1565,MAX($D$16,POWER((ABS(K1565)^2)/($I$5*MAX(F1565,0.1)^2),1/3)))),IF(IFERROR(AG1565,0)=1,MAX($D$16,IFERROR(W1565,MAX($D$16,POWER((ABS(K1565)^2)/($I$5*MAX(F1565,0.1)^2),1/3)))),MAX($D$16,POWER((ABS(K1565)^2)/($I$5*MAX(F1565,0.1)^2),1/3))))))),MAX($D$16,POWER((ABS(K1565)^2)/($I$5*MAX(F1565,0.1)^2),1/3)))</f>
        <v>1.4359842413837967</v>
      </c>
      <c r="AI1565">
        <f t="shared" ca="1" si="829"/>
        <v>632.93598424138384</v>
      </c>
      <c r="AJ1565">
        <f t="shared" ca="1" si="830"/>
        <v>632.93598424138384</v>
      </c>
      <c r="AM1565">
        <v>0</v>
      </c>
      <c r="AN1565">
        <v>0</v>
      </c>
      <c r="AO1565">
        <f t="shared" si="831"/>
        <v>0</v>
      </c>
      <c r="AP1565">
        <f t="shared" si="839"/>
        <v>0</v>
      </c>
      <c r="AQ1565">
        <f t="shared" ca="1" si="832"/>
        <v>0</v>
      </c>
      <c r="AR1565" t="str">
        <f t="shared" ca="1" si="833"/>
        <v>Subcritical</v>
      </c>
      <c r="AS1565">
        <f t="shared" ca="1" si="834"/>
        <v>0</v>
      </c>
    </row>
    <row r="1566" spans="1:45" x14ac:dyDescent="0.35">
      <c r="A1566">
        <v>4</v>
      </c>
      <c r="B1566">
        <v>3</v>
      </c>
      <c r="C1566">
        <v>616074.39899999998</v>
      </c>
      <c r="D1566">
        <v>3096612.5210000002</v>
      </c>
      <c r="E1566">
        <v>631.5</v>
      </c>
      <c r="F1566">
        <v>2.8969999999999998</v>
      </c>
      <c r="G1566">
        <v>0</v>
      </c>
      <c r="H1566" t="s">
        <v>154</v>
      </c>
      <c r="I1566">
        <v>5.1999999999999998E-2</v>
      </c>
      <c r="J1566">
        <f t="shared" si="835"/>
        <v>1</v>
      </c>
      <c r="K1566">
        <f t="shared" ca="1" si="840"/>
        <v>0</v>
      </c>
      <c r="L1566">
        <f t="shared" ca="1" si="836"/>
        <v>0.05</v>
      </c>
      <c r="M1566">
        <f t="shared" ca="1" si="810"/>
        <v>0.14485000000000001</v>
      </c>
      <c r="N1566">
        <f t="shared" ca="1" si="811"/>
        <v>4.8331664998331671E-2</v>
      </c>
      <c r="O1566">
        <f t="shared" ca="1" si="812"/>
        <v>0</v>
      </c>
      <c r="P1566">
        <f t="shared" ca="1" si="813"/>
        <v>631.54999999999995</v>
      </c>
      <c r="Q1566">
        <f t="shared" ca="1" si="814"/>
        <v>631.54999999999995</v>
      </c>
      <c r="R1566">
        <f t="shared" ca="1" si="815"/>
        <v>0</v>
      </c>
      <c r="S1566">
        <f t="shared" ca="1" si="816"/>
        <v>0</v>
      </c>
      <c r="T1566">
        <f t="shared" ca="1" si="817"/>
        <v>3.6212500000000003E-3</v>
      </c>
      <c r="U1566">
        <f t="shared" ca="1" si="837"/>
        <v>0</v>
      </c>
      <c r="V1566">
        <f t="shared" ca="1" si="838"/>
        <v>0</v>
      </c>
      <c r="W1566">
        <f t="shared" ca="1" si="818"/>
        <v>1.4355383443317193</v>
      </c>
      <c r="X1566">
        <f t="shared" ca="1" si="819"/>
        <v>4.1587545835289905</v>
      </c>
      <c r="Y1566">
        <f t="shared" ca="1" si="820"/>
        <v>0.72099502277814631</v>
      </c>
      <c r="Z1566">
        <f t="shared" ca="1" si="821"/>
        <v>0</v>
      </c>
      <c r="AA1566">
        <f t="shared" ca="1" si="822"/>
        <v>632.93553834433169</v>
      </c>
      <c r="AB1566">
        <f t="shared" ca="1" si="823"/>
        <v>632.93553834433169</v>
      </c>
      <c r="AC1566">
        <f t="shared" ca="1" si="824"/>
        <v>0</v>
      </c>
      <c r="AD1566">
        <f t="shared" ca="1" si="825"/>
        <v>0</v>
      </c>
      <c r="AE1566">
        <f t="shared" ca="1" si="826"/>
        <v>2.9850258346605782</v>
      </c>
      <c r="AF1566">
        <f t="shared" ca="1" si="827"/>
        <v>-3.0650228075046471E-4</v>
      </c>
      <c r="AG1566">
        <f t="shared" ca="1" si="828"/>
        <v>1</v>
      </c>
      <c r="AH1566">
        <f ca="1">IFERROR(IF(V36="Supercritical",MAX($D$16,IFERROR(L1566,MAX($D$16,POWER((ABS(K1566)^2)/($I$5*MAX(F1566,0.1)^2),1/3)))),IF(V36="Subcritical",MAX($D$16,IFERROR(W1566,MAX($D$16,POWER((ABS(K1566)^2)/($I$5*MAX(F1566,0.1)^2),1/3)))),IF(AND(IFERROR(V1566,0)=1,IFERROR(AG1566,0)=1),IF(IFERROR(T1566,-1E+99)&gt;=IFERROR(AE1566,-1E+99),MAX($D$16,IFERROR(L1566,MAX($D$16,POWER((ABS(K1566)^2)/($I$5*MAX(F1566,0.1)^2),1/3)))),MAX($D$16,IFERROR(W1566,MAX($D$16,POWER((ABS(K1566)^2)/($I$5*MAX(F1566,0.1)^2),1/3))))),IF(IFERROR(V1566,0)=1,MAX($D$16,IFERROR(L1566,MAX($D$16,POWER((ABS(K1566)^2)/($I$5*MAX(F1566,0.1)^2),1/3)))),IF(IFERROR(AG1566,0)=1,MAX($D$16,IFERROR(W1566,MAX($D$16,POWER((ABS(K1566)^2)/($I$5*MAX(F1566,0.1)^2),1/3)))),MAX($D$16,POWER((ABS(K1566)^2)/($I$5*MAX(F1566,0.1)^2),1/3))))))),MAX($D$16,POWER((ABS(K1566)^2)/($I$5*MAX(F1566,0.1)^2),1/3)))</f>
        <v>1.4355383443317193</v>
      </c>
      <c r="AI1566">
        <f t="shared" ca="1" si="829"/>
        <v>632.93553834433169</v>
      </c>
      <c r="AJ1566">
        <f t="shared" ca="1" si="830"/>
        <v>632.93553834433169</v>
      </c>
      <c r="AM1566">
        <v>0</v>
      </c>
      <c r="AN1566">
        <v>0</v>
      </c>
      <c r="AO1566">
        <f t="shared" si="831"/>
        <v>0</v>
      </c>
      <c r="AP1566">
        <f t="shared" si="839"/>
        <v>0</v>
      </c>
      <c r="AQ1566">
        <f t="shared" ca="1" si="832"/>
        <v>0</v>
      </c>
      <c r="AR1566" t="str">
        <f t="shared" ca="1" si="833"/>
        <v>Subcritical</v>
      </c>
      <c r="AS1566">
        <f t="shared" ca="1" si="834"/>
        <v>0</v>
      </c>
    </row>
    <row r="1567" spans="1:45" x14ac:dyDescent="0.35">
      <c r="A1567">
        <v>5</v>
      </c>
      <c r="B1567">
        <v>4</v>
      </c>
      <c r="C1567">
        <v>616074.81999999995</v>
      </c>
      <c r="D1567">
        <v>3096611.6140000001</v>
      </c>
      <c r="E1567">
        <v>631.5</v>
      </c>
      <c r="F1567">
        <v>3.1789999999999998</v>
      </c>
      <c r="G1567">
        <v>0</v>
      </c>
      <c r="H1567" t="s">
        <v>154</v>
      </c>
      <c r="I1567">
        <v>0</v>
      </c>
      <c r="J1567">
        <f t="shared" si="835"/>
        <v>1</v>
      </c>
      <c r="K1567">
        <f t="shared" ca="1" si="840"/>
        <v>0</v>
      </c>
      <c r="L1567">
        <f t="shared" ca="1" si="836"/>
        <v>0.05</v>
      </c>
      <c r="M1567">
        <f t="shared" ca="1" si="810"/>
        <v>0.15895000000000001</v>
      </c>
      <c r="N1567">
        <f t="shared" ca="1" si="811"/>
        <v>4.8475144861238183E-2</v>
      </c>
      <c r="O1567">
        <f t="shared" ca="1" si="812"/>
        <v>0</v>
      </c>
      <c r="P1567">
        <f t="shared" ca="1" si="813"/>
        <v>631.54999999999995</v>
      </c>
      <c r="Q1567">
        <f t="shared" ca="1" si="814"/>
        <v>631.54999999999995</v>
      </c>
      <c r="R1567">
        <f t="shared" ca="1" si="815"/>
        <v>0</v>
      </c>
      <c r="S1567">
        <f t="shared" ca="1" si="816"/>
        <v>0</v>
      </c>
      <c r="T1567">
        <f t="shared" ca="1" si="817"/>
        <v>3.9737500000000007E-3</v>
      </c>
      <c r="U1567">
        <f t="shared" ca="1" si="837"/>
        <v>0</v>
      </c>
      <c r="V1567">
        <f t="shared" ca="1" si="838"/>
        <v>0</v>
      </c>
      <c r="W1567">
        <f t="shared" ca="1" si="818"/>
        <v>1.4351972024682833</v>
      </c>
      <c r="X1567">
        <f t="shared" ca="1" si="819"/>
        <v>4.562491906646672</v>
      </c>
      <c r="Y1567">
        <f t="shared" ca="1" si="820"/>
        <v>0.75420638848137955</v>
      </c>
      <c r="Z1567">
        <f t="shared" ca="1" si="821"/>
        <v>0</v>
      </c>
      <c r="AA1567">
        <f t="shared" ca="1" si="822"/>
        <v>632.93519720246832</v>
      </c>
      <c r="AB1567">
        <f t="shared" ca="1" si="823"/>
        <v>632.93519720246832</v>
      </c>
      <c r="AC1567">
        <f t="shared" ca="1" si="824"/>
        <v>0</v>
      </c>
      <c r="AD1567">
        <f t="shared" ca="1" si="825"/>
        <v>0</v>
      </c>
      <c r="AE1567">
        <f t="shared" ca="1" si="826"/>
        <v>3.2740378103517442</v>
      </c>
      <c r="AF1567">
        <f t="shared" ca="1" si="827"/>
        <v>-2.2094154087426432E-4</v>
      </c>
      <c r="AG1567">
        <f t="shared" ca="1" si="828"/>
        <v>1</v>
      </c>
      <c r="AH1567">
        <f ca="1">IFERROR(IF(V36="Supercritical",MAX($D$16,IFERROR(L1567,MAX($D$16,POWER((ABS(K1567)^2)/($I$5*MAX(F1567,0.1)^2),1/3)))),IF(V36="Subcritical",MAX($D$16,IFERROR(W1567,MAX($D$16,POWER((ABS(K1567)^2)/($I$5*MAX(F1567,0.1)^2),1/3)))),IF(AND(IFERROR(V1567,0)=1,IFERROR(AG1567,0)=1),IF(IFERROR(T1567,-1E+99)&gt;=IFERROR(AE1567,-1E+99),MAX($D$16,IFERROR(L1567,MAX($D$16,POWER((ABS(K1567)^2)/($I$5*MAX(F1567,0.1)^2),1/3)))),MAX($D$16,IFERROR(W1567,MAX($D$16,POWER((ABS(K1567)^2)/($I$5*MAX(F1567,0.1)^2),1/3))))),IF(IFERROR(V1567,0)=1,MAX($D$16,IFERROR(L1567,MAX($D$16,POWER((ABS(K1567)^2)/($I$5*MAX(F1567,0.1)^2),1/3)))),IF(IFERROR(AG1567,0)=1,MAX($D$16,IFERROR(W1567,MAX($D$16,POWER((ABS(K1567)^2)/($I$5*MAX(F1567,0.1)^2),1/3)))),MAX($D$16,POWER((ABS(K1567)^2)/($I$5*MAX(F1567,0.1)^2),1/3))))))),MAX($D$16,POWER((ABS(K1567)^2)/($I$5*MAX(F1567,0.1)^2),1/3)))</f>
        <v>1.4351972024682833</v>
      </c>
      <c r="AI1567">
        <f t="shared" ca="1" si="829"/>
        <v>632.93519720246832</v>
      </c>
      <c r="AJ1567">
        <f t="shared" ca="1" si="830"/>
        <v>632.93519720246832</v>
      </c>
      <c r="AM1567">
        <v>0</v>
      </c>
      <c r="AN1567">
        <v>0</v>
      </c>
      <c r="AO1567">
        <f t="shared" si="831"/>
        <v>0</v>
      </c>
      <c r="AP1567">
        <f t="shared" si="839"/>
        <v>0</v>
      </c>
      <c r="AQ1567">
        <f t="shared" ca="1" si="832"/>
        <v>0</v>
      </c>
      <c r="AR1567" t="str">
        <f t="shared" ca="1" si="833"/>
        <v>Subcritical</v>
      </c>
      <c r="AS1567">
        <f t="shared" ca="1" si="834"/>
        <v>0</v>
      </c>
    </row>
    <row r="1568" spans="1:45" x14ac:dyDescent="0.35">
      <c r="A1568">
        <v>6</v>
      </c>
      <c r="B1568">
        <v>5</v>
      </c>
      <c r="C1568">
        <v>616075.24100000004</v>
      </c>
      <c r="D1568">
        <v>3096610.7069999999</v>
      </c>
      <c r="E1568">
        <v>631.5</v>
      </c>
      <c r="F1568">
        <v>3.4609999999999999</v>
      </c>
      <c r="G1568">
        <v>0</v>
      </c>
      <c r="H1568" t="s">
        <v>154</v>
      </c>
      <c r="I1568">
        <v>5.1999999999999998E-2</v>
      </c>
      <c r="J1568">
        <f t="shared" si="835"/>
        <v>1</v>
      </c>
      <c r="K1568">
        <f t="shared" ca="1" si="840"/>
        <v>0</v>
      </c>
      <c r="L1568">
        <f t="shared" ca="1" si="836"/>
        <v>0.05</v>
      </c>
      <c r="M1568">
        <f t="shared" ca="1" si="810"/>
        <v>0.17305000000000001</v>
      </c>
      <c r="N1568">
        <f t="shared" ca="1" si="811"/>
        <v>4.8595900028081999E-2</v>
      </c>
      <c r="O1568">
        <f t="shared" ca="1" si="812"/>
        <v>0</v>
      </c>
      <c r="P1568">
        <f t="shared" ca="1" si="813"/>
        <v>631.54999999999995</v>
      </c>
      <c r="Q1568">
        <f t="shared" ca="1" si="814"/>
        <v>631.54999999999995</v>
      </c>
      <c r="R1568">
        <f t="shared" ca="1" si="815"/>
        <v>0</v>
      </c>
      <c r="S1568">
        <f t="shared" ca="1" si="816"/>
        <v>0</v>
      </c>
      <c r="T1568">
        <f t="shared" ca="1" si="817"/>
        <v>4.3262500000000002E-3</v>
      </c>
      <c r="U1568">
        <f t="shared" ca="1" si="837"/>
        <v>0</v>
      </c>
      <c r="V1568">
        <f t="shared" ca="1" si="838"/>
        <v>0</v>
      </c>
      <c r="W1568">
        <f t="shared" ca="1" si="818"/>
        <v>1.4349528352890859</v>
      </c>
      <c r="X1568">
        <f t="shared" ca="1" si="819"/>
        <v>4.966371762935526</v>
      </c>
      <c r="Y1568">
        <f t="shared" ca="1" si="820"/>
        <v>0.78446465977465285</v>
      </c>
      <c r="Z1568">
        <f t="shared" ca="1" si="821"/>
        <v>0</v>
      </c>
      <c r="AA1568">
        <f t="shared" ca="1" si="822"/>
        <v>632.9349528352891</v>
      </c>
      <c r="AB1568">
        <f t="shared" ca="1" si="823"/>
        <v>632.9349528352891</v>
      </c>
      <c r="AC1568">
        <f t="shared" ca="1" si="824"/>
        <v>0</v>
      </c>
      <c r="AD1568">
        <f t="shared" ca="1" si="825"/>
        <v>0</v>
      </c>
      <c r="AE1568">
        <f t="shared" ca="1" si="826"/>
        <v>3.5632546211619949</v>
      </c>
      <c r="AF1568">
        <f t="shared" ca="1" si="827"/>
        <v>-1.4830287921085983E-4</v>
      </c>
      <c r="AG1568">
        <f t="shared" ca="1" si="828"/>
        <v>1</v>
      </c>
      <c r="AH1568">
        <f ca="1">IFERROR(IF(V36="Supercritical",MAX($D$16,IFERROR(L1568,MAX($D$16,POWER((ABS(K1568)^2)/($I$5*MAX(F1568,0.1)^2),1/3)))),IF(V36="Subcritical",MAX($D$16,IFERROR(W1568,MAX($D$16,POWER((ABS(K1568)^2)/($I$5*MAX(F1568,0.1)^2),1/3)))),IF(AND(IFERROR(V1568,0)=1,IFERROR(AG1568,0)=1),IF(IFERROR(T1568,-1E+99)&gt;=IFERROR(AE1568,-1E+99),MAX($D$16,IFERROR(L1568,MAX($D$16,POWER((ABS(K1568)^2)/($I$5*MAX(F1568,0.1)^2),1/3)))),MAX($D$16,IFERROR(W1568,MAX($D$16,POWER((ABS(K1568)^2)/($I$5*MAX(F1568,0.1)^2),1/3))))),IF(IFERROR(V1568,0)=1,MAX($D$16,IFERROR(L1568,MAX($D$16,POWER((ABS(K1568)^2)/($I$5*MAX(F1568,0.1)^2),1/3)))),IF(IFERROR(AG1568,0)=1,MAX($D$16,IFERROR(W1568,MAX($D$16,POWER((ABS(K1568)^2)/($I$5*MAX(F1568,0.1)^2),1/3)))),MAX($D$16,POWER((ABS(K1568)^2)/($I$5*MAX(F1568,0.1)^2),1/3))))))),MAX($D$16,POWER((ABS(K1568)^2)/($I$5*MAX(F1568,0.1)^2),1/3)))</f>
        <v>1.4349528352890859</v>
      </c>
      <c r="AI1568">
        <f t="shared" ca="1" si="829"/>
        <v>632.9349528352891</v>
      </c>
      <c r="AJ1568">
        <f t="shared" ca="1" si="830"/>
        <v>632.9349528352891</v>
      </c>
      <c r="AM1568">
        <v>0</v>
      </c>
      <c r="AN1568">
        <v>0</v>
      </c>
      <c r="AO1568">
        <f t="shared" si="831"/>
        <v>0</v>
      </c>
      <c r="AP1568">
        <f t="shared" si="839"/>
        <v>0</v>
      </c>
      <c r="AQ1568">
        <f t="shared" ca="1" si="832"/>
        <v>0</v>
      </c>
      <c r="AR1568" t="str">
        <f t="shared" ca="1" si="833"/>
        <v>Subcritical</v>
      </c>
      <c r="AS1568">
        <f t="shared" ca="1" si="834"/>
        <v>0</v>
      </c>
    </row>
    <row r="1569" spans="1:45" x14ac:dyDescent="0.35">
      <c r="A1569">
        <v>7</v>
      </c>
      <c r="B1569">
        <v>6.0010000000000003</v>
      </c>
      <c r="C1569">
        <v>616075.66299999994</v>
      </c>
      <c r="D1569">
        <v>3096609.8</v>
      </c>
      <c r="E1569">
        <v>631.5</v>
      </c>
      <c r="F1569">
        <v>3.8980000000000001</v>
      </c>
      <c r="G1569">
        <v>0</v>
      </c>
      <c r="H1569" t="s">
        <v>154</v>
      </c>
      <c r="I1569">
        <v>5.266</v>
      </c>
      <c r="J1569">
        <f t="shared" si="835"/>
        <v>1.0010000000000003</v>
      </c>
      <c r="K1569">
        <f t="shared" ca="1" si="840"/>
        <v>0</v>
      </c>
      <c r="L1569">
        <f t="shared" ca="1" si="836"/>
        <v>0.05</v>
      </c>
      <c r="M1569">
        <f t="shared" ca="1" si="810"/>
        <v>0.19490000000000002</v>
      </c>
      <c r="N1569">
        <f t="shared" ca="1" si="811"/>
        <v>4.8749374687343673E-2</v>
      </c>
      <c r="O1569">
        <f t="shared" ca="1" si="812"/>
        <v>0</v>
      </c>
      <c r="P1569">
        <f t="shared" ca="1" si="813"/>
        <v>631.54999999999995</v>
      </c>
      <c r="Q1569">
        <f t="shared" ca="1" si="814"/>
        <v>631.54999999999995</v>
      </c>
      <c r="R1569">
        <f t="shared" ca="1" si="815"/>
        <v>0</v>
      </c>
      <c r="S1569">
        <f t="shared" ca="1" si="816"/>
        <v>0</v>
      </c>
      <c r="T1569">
        <f t="shared" ca="1" si="817"/>
        <v>4.872500000000001E-3</v>
      </c>
      <c r="U1569">
        <f t="shared" ca="1" si="837"/>
        <v>0</v>
      </c>
      <c r="V1569">
        <f t="shared" ca="1" si="838"/>
        <v>0</v>
      </c>
      <c r="W1569">
        <f t="shared" ca="1" si="818"/>
        <v>1.4347898596113986</v>
      </c>
      <c r="X1569">
        <f t="shared" ca="1" si="819"/>
        <v>5.5928108727652317</v>
      </c>
      <c r="Y1569">
        <f t="shared" ca="1" si="820"/>
        <v>0.82641226329100725</v>
      </c>
      <c r="Z1569">
        <f t="shared" ca="1" si="821"/>
        <v>0</v>
      </c>
      <c r="AA1569">
        <f t="shared" ca="1" si="822"/>
        <v>632.93478985961144</v>
      </c>
      <c r="AB1569">
        <f t="shared" ca="1" si="823"/>
        <v>632.93478985961144</v>
      </c>
      <c r="AC1569">
        <f t="shared" ca="1" si="824"/>
        <v>0</v>
      </c>
      <c r="AD1569">
        <f t="shared" ca="1" si="825"/>
        <v>0</v>
      </c>
      <c r="AE1569">
        <f t="shared" ca="1" si="826"/>
        <v>4.0122541634839655</v>
      </c>
      <c r="AF1569">
        <f t="shared" ca="1" si="827"/>
        <v>-9.2192480110497854E-5</v>
      </c>
      <c r="AG1569">
        <f t="shared" ca="1" si="828"/>
        <v>1</v>
      </c>
      <c r="AH1569">
        <f ca="1">IFERROR(IF(V36="Supercritical",MAX($D$16,IFERROR(L1569,MAX($D$16,POWER((ABS(K1569)^2)/($I$5*MAX(F1569,0.1)^2),1/3)))),IF(V36="Subcritical",MAX($D$16,IFERROR(W1569,MAX($D$16,POWER((ABS(K1569)^2)/($I$5*MAX(F1569,0.1)^2),1/3)))),IF(AND(IFERROR(V1569,0)=1,IFERROR(AG1569,0)=1),IF(IFERROR(T1569,-1E+99)&gt;=IFERROR(AE1569,-1E+99),MAX($D$16,IFERROR(L1569,MAX($D$16,POWER((ABS(K1569)^2)/($I$5*MAX(F1569,0.1)^2),1/3)))),MAX($D$16,IFERROR(W1569,MAX($D$16,POWER((ABS(K1569)^2)/($I$5*MAX(F1569,0.1)^2),1/3))))),IF(IFERROR(V1569,0)=1,MAX($D$16,IFERROR(L1569,MAX($D$16,POWER((ABS(K1569)^2)/($I$5*MAX(F1569,0.1)^2),1/3)))),IF(IFERROR(AG1569,0)=1,MAX($D$16,IFERROR(W1569,MAX($D$16,POWER((ABS(K1569)^2)/($I$5*MAX(F1569,0.1)^2),1/3)))),MAX($D$16,POWER((ABS(K1569)^2)/($I$5*MAX(F1569,0.1)^2),1/3))))))),MAX($D$16,POWER((ABS(K1569)^2)/($I$5*MAX(F1569,0.1)^2),1/3)))</f>
        <v>1.4347898596113986</v>
      </c>
      <c r="AI1569">
        <f t="shared" ca="1" si="829"/>
        <v>632.93478985961144</v>
      </c>
      <c r="AJ1569">
        <f t="shared" ca="1" si="830"/>
        <v>632.93478985961144</v>
      </c>
      <c r="AM1569">
        <v>0</v>
      </c>
      <c r="AN1569">
        <v>0</v>
      </c>
      <c r="AO1569">
        <f t="shared" si="831"/>
        <v>0</v>
      </c>
      <c r="AP1569">
        <f t="shared" si="839"/>
        <v>0</v>
      </c>
      <c r="AQ1569">
        <f t="shared" ca="1" si="832"/>
        <v>0</v>
      </c>
      <c r="AR1569" t="str">
        <f t="shared" ca="1" si="833"/>
        <v>Subcritical</v>
      </c>
      <c r="AS1569">
        <f t="shared" ca="1" si="834"/>
        <v>0</v>
      </c>
    </row>
    <row r="1570" spans="1:45" x14ac:dyDescent="0.35">
      <c r="A1570">
        <v>8</v>
      </c>
      <c r="B1570">
        <v>6.9859999999999998</v>
      </c>
      <c r="C1570">
        <v>616075.995</v>
      </c>
      <c r="D1570">
        <v>3096608.872</v>
      </c>
      <c r="E1570">
        <v>631.5</v>
      </c>
      <c r="F1570">
        <v>4.2640000000000002</v>
      </c>
      <c r="G1570">
        <v>0</v>
      </c>
      <c r="H1570" t="s">
        <v>154</v>
      </c>
      <c r="I1570">
        <v>17.565999999999999</v>
      </c>
      <c r="J1570">
        <f t="shared" si="835"/>
        <v>0.98499999999999943</v>
      </c>
      <c r="K1570">
        <f t="shared" ca="1" si="840"/>
        <v>0</v>
      </c>
      <c r="L1570">
        <f t="shared" ca="1" si="836"/>
        <v>0.05</v>
      </c>
      <c r="M1570">
        <f t="shared" ca="1" si="810"/>
        <v>0.21320000000000003</v>
      </c>
      <c r="N1570">
        <f t="shared" ca="1" si="811"/>
        <v>4.8854262144821275E-2</v>
      </c>
      <c r="O1570">
        <f t="shared" ca="1" si="812"/>
        <v>0</v>
      </c>
      <c r="P1570">
        <f t="shared" ca="1" si="813"/>
        <v>631.54999999999995</v>
      </c>
      <c r="Q1570">
        <f t="shared" ca="1" si="814"/>
        <v>631.54999999999995</v>
      </c>
      <c r="R1570">
        <f t="shared" ca="1" si="815"/>
        <v>0</v>
      </c>
      <c r="S1570">
        <f t="shared" ca="1" si="816"/>
        <v>0</v>
      </c>
      <c r="T1570">
        <f t="shared" ca="1" si="817"/>
        <v>5.3300000000000014E-3</v>
      </c>
      <c r="U1570">
        <f t="shared" ca="1" si="837"/>
        <v>0</v>
      </c>
      <c r="V1570">
        <f t="shared" ca="1" si="838"/>
        <v>0</v>
      </c>
      <c r="W1570">
        <f t="shared" ca="1" si="818"/>
        <v>1.434689199470115</v>
      </c>
      <c r="X1570">
        <f t="shared" ca="1" si="819"/>
        <v>6.1175147465405706</v>
      </c>
      <c r="Y1570">
        <f t="shared" ca="1" si="820"/>
        <v>0.85759010729746488</v>
      </c>
      <c r="Z1570">
        <f t="shared" ca="1" si="821"/>
        <v>0</v>
      </c>
      <c r="AA1570">
        <f t="shared" ca="1" si="822"/>
        <v>632.93468919947009</v>
      </c>
      <c r="AB1570">
        <f t="shared" ca="1" si="823"/>
        <v>632.93468919947009</v>
      </c>
      <c r="AC1570">
        <f t="shared" ca="1" si="824"/>
        <v>0</v>
      </c>
      <c r="AD1570">
        <f t="shared" ca="1" si="825"/>
        <v>0</v>
      </c>
      <c r="AE1570">
        <f t="shared" ca="1" si="826"/>
        <v>4.3883661672304575</v>
      </c>
      <c r="AF1570">
        <f t="shared" ca="1" si="827"/>
        <v>-5.2804793654104287E-5</v>
      </c>
      <c r="AG1570">
        <f t="shared" ca="1" si="828"/>
        <v>1</v>
      </c>
      <c r="AH1570">
        <f ca="1">IFERROR(IF(V36="Supercritical",MAX($D$16,IFERROR(L1570,MAX($D$16,POWER((ABS(K1570)^2)/($I$5*MAX(F1570,0.1)^2),1/3)))),IF(V36="Subcritical",MAX($D$16,IFERROR(W1570,MAX($D$16,POWER((ABS(K1570)^2)/($I$5*MAX(F1570,0.1)^2),1/3)))),IF(AND(IFERROR(V1570,0)=1,IFERROR(AG1570,0)=1),IF(IFERROR(T1570,-1E+99)&gt;=IFERROR(AE1570,-1E+99),MAX($D$16,IFERROR(L1570,MAX($D$16,POWER((ABS(K1570)^2)/($I$5*MAX(F1570,0.1)^2),1/3)))),MAX($D$16,IFERROR(W1570,MAX($D$16,POWER((ABS(K1570)^2)/($I$5*MAX(F1570,0.1)^2),1/3))))),IF(IFERROR(V1570,0)=1,MAX($D$16,IFERROR(L1570,MAX($D$16,POWER((ABS(K1570)^2)/($I$5*MAX(F1570,0.1)^2),1/3)))),IF(IFERROR(AG1570,0)=1,MAX($D$16,IFERROR(W1570,MAX($D$16,POWER((ABS(K1570)^2)/($I$5*MAX(F1570,0.1)^2),1/3)))),MAX($D$16,POWER((ABS(K1570)^2)/($I$5*MAX(F1570,0.1)^2),1/3))))))),MAX($D$16,POWER((ABS(K1570)^2)/($I$5*MAX(F1570,0.1)^2),1/3)))</f>
        <v>1.434689199470115</v>
      </c>
      <c r="AI1570">
        <f t="shared" ca="1" si="829"/>
        <v>632.93468919947009</v>
      </c>
      <c r="AJ1570">
        <f t="shared" ca="1" si="830"/>
        <v>632.93468919947009</v>
      </c>
      <c r="AM1570">
        <v>0</v>
      </c>
      <c r="AN1570">
        <v>0</v>
      </c>
      <c r="AO1570">
        <f t="shared" si="831"/>
        <v>0</v>
      </c>
      <c r="AP1570">
        <f t="shared" si="839"/>
        <v>0</v>
      </c>
      <c r="AQ1570">
        <f t="shared" ca="1" si="832"/>
        <v>0</v>
      </c>
      <c r="AR1570" t="str">
        <f t="shared" ca="1" si="833"/>
        <v>Subcritical</v>
      </c>
      <c r="AS1570">
        <f t="shared" ca="1" si="834"/>
        <v>0</v>
      </c>
    </row>
    <row r="1571" spans="1:45" x14ac:dyDescent="0.35">
      <c r="A1571">
        <v>9</v>
      </c>
      <c r="B1571">
        <v>7.9870000000000001</v>
      </c>
      <c r="C1571">
        <v>616076.03200000001</v>
      </c>
      <c r="D1571">
        <v>3096607.872</v>
      </c>
      <c r="E1571">
        <v>631.5</v>
      </c>
      <c r="F1571">
        <v>4.6059999999999999</v>
      </c>
      <c r="G1571">
        <v>0</v>
      </c>
      <c r="H1571" t="s">
        <v>154</v>
      </c>
      <c r="I1571">
        <v>5.8999999999999997E-2</v>
      </c>
      <c r="J1571">
        <f t="shared" si="835"/>
        <v>1.0010000000000003</v>
      </c>
      <c r="K1571">
        <f t="shared" ca="1" si="840"/>
        <v>0</v>
      </c>
      <c r="L1571">
        <f t="shared" ca="1" si="836"/>
        <v>0.05</v>
      </c>
      <c r="M1571">
        <f t="shared" ca="1" si="810"/>
        <v>0.2303</v>
      </c>
      <c r="N1571">
        <f t="shared" ca="1" si="811"/>
        <v>4.8937526561835962E-2</v>
      </c>
      <c r="O1571">
        <f t="shared" ca="1" si="812"/>
        <v>0</v>
      </c>
      <c r="P1571">
        <f t="shared" ca="1" si="813"/>
        <v>631.54999999999995</v>
      </c>
      <c r="Q1571">
        <f t="shared" ca="1" si="814"/>
        <v>631.54999999999995</v>
      </c>
      <c r="R1571">
        <f t="shared" ca="1" si="815"/>
        <v>0</v>
      </c>
      <c r="S1571">
        <f t="shared" ca="1" si="816"/>
        <v>0</v>
      </c>
      <c r="T1571">
        <f t="shared" ca="1" si="817"/>
        <v>5.7575000000000013E-3</v>
      </c>
      <c r="U1571">
        <f t="shared" ca="1" si="837"/>
        <v>0</v>
      </c>
      <c r="V1571">
        <f t="shared" ca="1" si="838"/>
        <v>0</v>
      </c>
      <c r="W1571">
        <f t="shared" ca="1" si="818"/>
        <v>1.4346319156999632</v>
      </c>
      <c r="X1571">
        <f t="shared" ca="1" si="819"/>
        <v>6.6079146037140299</v>
      </c>
      <c r="Y1571">
        <f t="shared" ca="1" si="820"/>
        <v>0.88397075377559431</v>
      </c>
      <c r="Z1571">
        <f t="shared" ca="1" si="821"/>
        <v>0</v>
      </c>
      <c r="AA1571">
        <f t="shared" ca="1" si="822"/>
        <v>632.93463191569992</v>
      </c>
      <c r="AB1571">
        <f t="shared" ca="1" si="823"/>
        <v>632.93463191569992</v>
      </c>
      <c r="AC1571">
        <f t="shared" ca="1" si="824"/>
        <v>0</v>
      </c>
      <c r="AD1571">
        <f t="shared" ca="1" si="825"/>
        <v>0</v>
      </c>
      <c r="AE1571">
        <f t="shared" ca="1" si="826"/>
        <v>4.7399625933540115</v>
      </c>
      <c r="AF1571">
        <f t="shared" ca="1" si="827"/>
        <v>-2.7723041057470255E-5</v>
      </c>
      <c r="AG1571">
        <f t="shared" ca="1" si="828"/>
        <v>1</v>
      </c>
      <c r="AH1571">
        <f ca="1">IFERROR(IF(V36="Supercritical",MAX($D$16,IFERROR(L1571,MAX($D$16,POWER((ABS(K1571)^2)/($I$5*MAX(F1571,0.1)^2),1/3)))),IF(V36="Subcritical",MAX($D$16,IFERROR(W1571,MAX($D$16,POWER((ABS(K1571)^2)/($I$5*MAX(F1571,0.1)^2),1/3)))),IF(AND(IFERROR(V1571,0)=1,IFERROR(AG1571,0)=1),IF(IFERROR(T1571,-1E+99)&gt;=IFERROR(AE1571,-1E+99),MAX($D$16,IFERROR(L1571,MAX($D$16,POWER((ABS(K1571)^2)/($I$5*MAX(F1571,0.1)^2),1/3)))),MAX($D$16,IFERROR(W1571,MAX($D$16,POWER((ABS(K1571)^2)/($I$5*MAX(F1571,0.1)^2),1/3))))),IF(IFERROR(V1571,0)=1,MAX($D$16,IFERROR(L1571,MAX($D$16,POWER((ABS(K1571)^2)/($I$5*MAX(F1571,0.1)^2),1/3)))),IF(IFERROR(AG1571,0)=1,MAX($D$16,IFERROR(W1571,MAX($D$16,POWER((ABS(K1571)^2)/($I$5*MAX(F1571,0.1)^2),1/3)))),MAX($D$16,POWER((ABS(K1571)^2)/($I$5*MAX(F1571,0.1)^2),1/3))))))),MAX($D$16,POWER((ABS(K1571)^2)/($I$5*MAX(F1571,0.1)^2),1/3)))</f>
        <v>1.4346319156999632</v>
      </c>
      <c r="AI1571">
        <f t="shared" ca="1" si="829"/>
        <v>632.93463191569992</v>
      </c>
      <c r="AJ1571">
        <f t="shared" ca="1" si="830"/>
        <v>632.93463191569992</v>
      </c>
      <c r="AM1571">
        <v>0</v>
      </c>
      <c r="AN1571">
        <v>0</v>
      </c>
      <c r="AO1571">
        <f t="shared" si="831"/>
        <v>0</v>
      </c>
      <c r="AP1571">
        <f t="shared" si="839"/>
        <v>0</v>
      </c>
      <c r="AQ1571">
        <f t="shared" ca="1" si="832"/>
        <v>0</v>
      </c>
      <c r="AR1571" t="str">
        <f t="shared" ca="1" si="833"/>
        <v>Subcritical</v>
      </c>
      <c r="AS1571">
        <f t="shared" ca="1" si="834"/>
        <v>0</v>
      </c>
    </row>
    <row r="1572" spans="1:45" x14ac:dyDescent="0.35">
      <c r="A1572">
        <v>10</v>
      </c>
      <c r="B1572">
        <v>8.9870000000000001</v>
      </c>
      <c r="C1572">
        <v>616076.06999999995</v>
      </c>
      <c r="D1572">
        <v>3096606.8730000001</v>
      </c>
      <c r="E1572">
        <v>631.5</v>
      </c>
      <c r="F1572">
        <v>4.7160000000000002</v>
      </c>
      <c r="G1572">
        <v>0</v>
      </c>
      <c r="H1572" t="s">
        <v>154</v>
      </c>
      <c r="I1572">
        <v>0</v>
      </c>
      <c r="J1572">
        <f t="shared" si="835"/>
        <v>1</v>
      </c>
      <c r="K1572">
        <f t="shared" ca="1" si="840"/>
        <v>0</v>
      </c>
      <c r="L1572">
        <f t="shared" ca="1" si="836"/>
        <v>0.05</v>
      </c>
      <c r="M1572">
        <f t="shared" ca="1" si="810"/>
        <v>0.23580000000000001</v>
      </c>
      <c r="N1572">
        <f t="shared" ca="1" si="811"/>
        <v>4.8961794019933558E-2</v>
      </c>
      <c r="O1572">
        <f t="shared" ca="1" si="812"/>
        <v>0</v>
      </c>
      <c r="P1572">
        <f t="shared" ca="1" si="813"/>
        <v>631.54999999999995</v>
      </c>
      <c r="Q1572">
        <f t="shared" ca="1" si="814"/>
        <v>631.54999999999995</v>
      </c>
      <c r="R1572">
        <f t="shared" ca="1" si="815"/>
        <v>0</v>
      </c>
      <c r="S1572">
        <f t="shared" ca="1" si="816"/>
        <v>0</v>
      </c>
      <c r="T1572">
        <f t="shared" ca="1" si="817"/>
        <v>5.8950000000000018E-3</v>
      </c>
      <c r="U1572">
        <f t="shared" ca="1" si="837"/>
        <v>0</v>
      </c>
      <c r="V1572">
        <f t="shared" ca="1" si="838"/>
        <v>0</v>
      </c>
      <c r="W1572">
        <f t="shared" ca="1" si="818"/>
        <v>1.4346020329553981</v>
      </c>
      <c r="X1572">
        <f t="shared" ca="1" si="819"/>
        <v>6.7655831874176577</v>
      </c>
      <c r="Y1572">
        <f t="shared" ca="1" si="820"/>
        <v>0.89194478205581118</v>
      </c>
      <c r="Z1572">
        <f t="shared" ca="1" si="821"/>
        <v>0</v>
      </c>
      <c r="AA1572">
        <f t="shared" ca="1" si="822"/>
        <v>632.93460203295535</v>
      </c>
      <c r="AB1572">
        <f t="shared" ca="1" si="823"/>
        <v>632.93460203295535</v>
      </c>
      <c r="AC1572">
        <f t="shared" ca="1" si="824"/>
        <v>0</v>
      </c>
      <c r="AD1572">
        <f t="shared" ca="1" si="825"/>
        <v>0</v>
      </c>
      <c r="AE1572">
        <f t="shared" ca="1" si="826"/>
        <v>4.8529596973991174</v>
      </c>
      <c r="AF1572">
        <f t="shared" ca="1" si="827"/>
        <v>-1.326923393207835E-5</v>
      </c>
      <c r="AG1572">
        <f t="shared" ca="1" si="828"/>
        <v>1</v>
      </c>
      <c r="AH1572">
        <f ca="1">IFERROR(IF(V36="Supercritical",MAX($D$16,IFERROR(L1572,MAX($D$16,POWER((ABS(K1572)^2)/($I$5*MAX(F1572,0.1)^2),1/3)))),IF(V36="Subcritical",MAX($D$16,IFERROR(W1572,MAX($D$16,POWER((ABS(K1572)^2)/($I$5*MAX(F1572,0.1)^2),1/3)))),IF(AND(IFERROR(V1572,0)=1,IFERROR(AG1572,0)=1),IF(IFERROR(T1572,-1E+99)&gt;=IFERROR(AE1572,-1E+99),MAX($D$16,IFERROR(L1572,MAX($D$16,POWER((ABS(K1572)^2)/($I$5*MAX(F1572,0.1)^2),1/3)))),MAX($D$16,IFERROR(W1572,MAX($D$16,POWER((ABS(K1572)^2)/($I$5*MAX(F1572,0.1)^2),1/3))))),IF(IFERROR(V1572,0)=1,MAX($D$16,IFERROR(L1572,MAX($D$16,POWER((ABS(K1572)^2)/($I$5*MAX(F1572,0.1)^2),1/3)))),IF(IFERROR(AG1572,0)=1,MAX($D$16,IFERROR(W1572,MAX($D$16,POWER((ABS(K1572)^2)/($I$5*MAX(F1572,0.1)^2),1/3)))),MAX($D$16,POWER((ABS(K1572)^2)/($I$5*MAX(F1572,0.1)^2),1/3))))))),MAX($D$16,POWER((ABS(K1572)^2)/($I$5*MAX(F1572,0.1)^2),1/3)))</f>
        <v>1.4346020329553981</v>
      </c>
      <c r="AI1572">
        <f t="shared" ca="1" si="829"/>
        <v>632.93460203295535</v>
      </c>
      <c r="AJ1572">
        <f t="shared" ca="1" si="830"/>
        <v>632.93460203295535</v>
      </c>
      <c r="AM1572">
        <v>0</v>
      </c>
      <c r="AN1572">
        <v>0</v>
      </c>
      <c r="AO1572">
        <f t="shared" si="831"/>
        <v>0</v>
      </c>
      <c r="AP1572">
        <f t="shared" si="839"/>
        <v>0</v>
      </c>
      <c r="AQ1572">
        <f t="shared" ca="1" si="832"/>
        <v>0</v>
      </c>
      <c r="AR1572" t="str">
        <f t="shared" ca="1" si="833"/>
        <v>Subcritical</v>
      </c>
      <c r="AS1572">
        <f t="shared" ca="1" si="834"/>
        <v>0</v>
      </c>
    </row>
    <row r="1573" spans="1:45" x14ac:dyDescent="0.35">
      <c r="A1573">
        <v>11</v>
      </c>
      <c r="B1573">
        <v>9.9860000000000007</v>
      </c>
      <c r="C1573">
        <v>616076.10800000001</v>
      </c>
      <c r="D1573">
        <v>3096605.8739999998</v>
      </c>
      <c r="E1573">
        <v>631.5</v>
      </c>
      <c r="F1573">
        <v>4.8250000000000002</v>
      </c>
      <c r="G1573">
        <v>0</v>
      </c>
      <c r="H1573" t="s">
        <v>154</v>
      </c>
      <c r="I1573">
        <v>5.7000000000000002E-2</v>
      </c>
      <c r="J1573">
        <f t="shared" si="835"/>
        <v>0.99900000000000055</v>
      </c>
      <c r="K1573">
        <f t="shared" ca="1" si="840"/>
        <v>0</v>
      </c>
      <c r="L1573">
        <f t="shared" ca="1" si="836"/>
        <v>0.05</v>
      </c>
      <c r="M1573">
        <f t="shared" ca="1" si="810"/>
        <v>0.24125000000000002</v>
      </c>
      <c r="N1573">
        <f t="shared" ca="1" si="811"/>
        <v>4.8984771573604063E-2</v>
      </c>
      <c r="O1573">
        <f t="shared" ca="1" si="812"/>
        <v>0</v>
      </c>
      <c r="P1573">
        <f t="shared" ca="1" si="813"/>
        <v>631.54999999999995</v>
      </c>
      <c r="Q1573">
        <f t="shared" ca="1" si="814"/>
        <v>631.54999999999995</v>
      </c>
      <c r="R1573">
        <f t="shared" ca="1" si="815"/>
        <v>0</v>
      </c>
      <c r="S1573">
        <f t="shared" ca="1" si="816"/>
        <v>0</v>
      </c>
      <c r="T1573">
        <f t="shared" ca="1" si="817"/>
        <v>6.031250000000001E-3</v>
      </c>
      <c r="U1573">
        <f t="shared" ca="1" si="837"/>
        <v>0</v>
      </c>
      <c r="V1573">
        <f t="shared" ca="1" si="838"/>
        <v>0</v>
      </c>
      <c r="W1573">
        <f t="shared" ca="1" si="818"/>
        <v>1.434587820073971</v>
      </c>
      <c r="X1573">
        <f t="shared" ca="1" si="819"/>
        <v>6.9218862318569103</v>
      </c>
      <c r="Y1573">
        <f t="shared" ca="1" si="820"/>
        <v>0.89962675088137412</v>
      </c>
      <c r="Z1573">
        <f t="shared" ca="1" si="821"/>
        <v>0</v>
      </c>
      <c r="AA1573">
        <f t="shared" ca="1" si="822"/>
        <v>632.93458782007394</v>
      </c>
      <c r="AB1573">
        <f t="shared" ca="1" si="823"/>
        <v>632.93458782007394</v>
      </c>
      <c r="AC1573">
        <f t="shared" ca="1" si="824"/>
        <v>0</v>
      </c>
      <c r="AD1573">
        <f t="shared" ca="1" si="825"/>
        <v>0</v>
      </c>
      <c r="AE1573">
        <f t="shared" ca="1" si="826"/>
        <v>4.965026840079819</v>
      </c>
      <c r="AF1573">
        <f t="shared" ca="1" si="827"/>
        <v>-5.7556711681172601E-6</v>
      </c>
      <c r="AG1573">
        <f t="shared" ca="1" si="828"/>
        <v>1</v>
      </c>
      <c r="AH1573">
        <f ca="1">IFERROR(IF(V36="Supercritical",MAX($D$16,IFERROR(L1573,MAX($D$16,POWER((ABS(K1573)^2)/($I$5*MAX(F1573,0.1)^2),1/3)))),IF(V36="Subcritical",MAX($D$16,IFERROR(W1573,MAX($D$16,POWER((ABS(K1573)^2)/($I$5*MAX(F1573,0.1)^2),1/3)))),IF(AND(IFERROR(V1573,0)=1,IFERROR(AG1573,0)=1),IF(IFERROR(T1573,-1E+99)&gt;=IFERROR(AE1573,-1E+99),MAX($D$16,IFERROR(L1573,MAX($D$16,POWER((ABS(K1573)^2)/($I$5*MAX(F1573,0.1)^2),1/3)))),MAX($D$16,IFERROR(W1573,MAX($D$16,POWER((ABS(K1573)^2)/($I$5*MAX(F1573,0.1)^2),1/3))))),IF(IFERROR(V1573,0)=1,MAX($D$16,IFERROR(L1573,MAX($D$16,POWER((ABS(K1573)^2)/($I$5*MAX(F1573,0.1)^2),1/3)))),IF(IFERROR(AG1573,0)=1,MAX($D$16,IFERROR(W1573,MAX($D$16,POWER((ABS(K1573)^2)/($I$5*MAX(F1573,0.1)^2),1/3)))),MAX($D$16,POWER((ABS(K1573)^2)/($I$5*MAX(F1573,0.1)^2),1/3))))))),MAX($D$16,POWER((ABS(K1573)^2)/($I$5*MAX(F1573,0.1)^2),1/3)))</f>
        <v>1.434587820073971</v>
      </c>
      <c r="AI1573">
        <f t="shared" ca="1" si="829"/>
        <v>632.93458782007394</v>
      </c>
      <c r="AJ1573">
        <f t="shared" ca="1" si="830"/>
        <v>632.93458782007394</v>
      </c>
      <c r="AM1573">
        <v>0</v>
      </c>
      <c r="AN1573">
        <v>0</v>
      </c>
      <c r="AO1573">
        <f t="shared" si="831"/>
        <v>0</v>
      </c>
      <c r="AP1573">
        <f t="shared" si="839"/>
        <v>0</v>
      </c>
      <c r="AQ1573">
        <f t="shared" ca="1" si="832"/>
        <v>0</v>
      </c>
      <c r="AR1573" t="str">
        <f t="shared" ca="1" si="833"/>
        <v>Subcritical</v>
      </c>
      <c r="AS1573">
        <f t="shared" ca="1" si="834"/>
        <v>0</v>
      </c>
    </row>
    <row r="1574" spans="1:45" x14ac:dyDescent="0.35">
      <c r="A1574">
        <v>12</v>
      </c>
      <c r="B1574">
        <v>10.986000000000001</v>
      </c>
      <c r="C1574">
        <v>616076.14500000002</v>
      </c>
      <c r="D1574">
        <v>3096604.875</v>
      </c>
      <c r="E1574">
        <v>631.5</v>
      </c>
      <c r="F1574">
        <v>4.9340000000000002</v>
      </c>
      <c r="G1574">
        <v>0</v>
      </c>
      <c r="H1574" t="s">
        <v>154</v>
      </c>
      <c r="I1574">
        <v>5.5E-2</v>
      </c>
      <c r="J1574">
        <f t="shared" si="835"/>
        <v>1</v>
      </c>
      <c r="K1574">
        <f t="shared" ca="1" si="840"/>
        <v>0</v>
      </c>
      <c r="L1574">
        <f t="shared" ca="1" si="836"/>
        <v>0.05</v>
      </c>
      <c r="M1574">
        <f t="shared" ca="1" si="810"/>
        <v>0.24670000000000003</v>
      </c>
      <c r="N1574">
        <f t="shared" ca="1" si="811"/>
        <v>4.9006754072308312E-2</v>
      </c>
      <c r="O1574">
        <f t="shared" ca="1" si="812"/>
        <v>0</v>
      </c>
      <c r="P1574">
        <f t="shared" ca="1" si="813"/>
        <v>631.54999999999995</v>
      </c>
      <c r="Q1574">
        <f t="shared" ca="1" si="814"/>
        <v>631.54999999999995</v>
      </c>
      <c r="R1574">
        <f t="shared" ca="1" si="815"/>
        <v>0</v>
      </c>
      <c r="S1574">
        <f t="shared" ca="1" si="816"/>
        <v>0</v>
      </c>
      <c r="T1574">
        <f t="shared" ca="1" si="817"/>
        <v>6.1675000000000011E-3</v>
      </c>
      <c r="U1574">
        <f t="shared" ca="1" si="837"/>
        <v>0</v>
      </c>
      <c r="V1574">
        <f t="shared" ca="1" si="838"/>
        <v>0</v>
      </c>
      <c r="W1574">
        <f t="shared" ca="1" si="818"/>
        <v>1.4345816933238431</v>
      </c>
      <c r="X1574">
        <f t="shared" ca="1" si="819"/>
        <v>7.0782260748598418</v>
      </c>
      <c r="Y1574">
        <f t="shared" ca="1" si="820"/>
        <v>0.907096996965575</v>
      </c>
      <c r="Z1574">
        <f t="shared" ca="1" si="821"/>
        <v>0</v>
      </c>
      <c r="AA1574">
        <f t="shared" ca="1" si="822"/>
        <v>632.93458169332382</v>
      </c>
      <c r="AB1574">
        <f t="shared" ca="1" si="823"/>
        <v>632.93458169332382</v>
      </c>
      <c r="AC1574">
        <f t="shared" ca="1" si="824"/>
        <v>0</v>
      </c>
      <c r="AD1574">
        <f t="shared" ca="1" si="825"/>
        <v>0</v>
      </c>
      <c r="AE1574">
        <f t="shared" ca="1" si="826"/>
        <v>5.0771467741007061</v>
      </c>
      <c r="AF1574">
        <f t="shared" ca="1" si="827"/>
        <v>-2.2471692773251561E-6</v>
      </c>
      <c r="AG1574">
        <f t="shared" ca="1" si="828"/>
        <v>1</v>
      </c>
      <c r="AH1574">
        <f ca="1">IFERROR(IF(V36="Supercritical",MAX($D$16,IFERROR(L1574,MAX($D$16,POWER((ABS(K1574)^2)/($I$5*MAX(F1574,0.1)^2),1/3)))),IF(V36="Subcritical",MAX($D$16,IFERROR(W1574,MAX($D$16,POWER((ABS(K1574)^2)/($I$5*MAX(F1574,0.1)^2),1/3)))),IF(AND(IFERROR(V1574,0)=1,IFERROR(AG1574,0)=1),IF(IFERROR(T1574,-1E+99)&gt;=IFERROR(AE1574,-1E+99),MAX($D$16,IFERROR(L1574,MAX($D$16,POWER((ABS(K1574)^2)/($I$5*MAX(F1574,0.1)^2),1/3)))),MAX($D$16,IFERROR(W1574,MAX($D$16,POWER((ABS(K1574)^2)/($I$5*MAX(F1574,0.1)^2),1/3))))),IF(IFERROR(V1574,0)=1,MAX($D$16,IFERROR(L1574,MAX($D$16,POWER((ABS(K1574)^2)/($I$5*MAX(F1574,0.1)^2),1/3)))),IF(IFERROR(AG1574,0)=1,MAX($D$16,IFERROR(W1574,MAX($D$16,POWER((ABS(K1574)^2)/($I$5*MAX(F1574,0.1)^2),1/3)))),MAX($D$16,POWER((ABS(K1574)^2)/($I$5*MAX(F1574,0.1)^2),1/3))))))),MAX($D$16,POWER((ABS(K1574)^2)/($I$5*MAX(F1574,0.1)^2),1/3)))</f>
        <v>1.4345816933238431</v>
      </c>
      <c r="AI1574">
        <f t="shared" ca="1" si="829"/>
        <v>632.93458169332382</v>
      </c>
      <c r="AJ1574">
        <f t="shared" ca="1" si="830"/>
        <v>632.93458169332382</v>
      </c>
      <c r="AM1574">
        <v>0</v>
      </c>
      <c r="AN1574">
        <v>0</v>
      </c>
      <c r="AO1574">
        <f t="shared" si="831"/>
        <v>0</v>
      </c>
      <c r="AP1574">
        <f t="shared" si="839"/>
        <v>0</v>
      </c>
      <c r="AQ1574">
        <f t="shared" ca="1" si="832"/>
        <v>0</v>
      </c>
      <c r="AR1574" t="str">
        <f t="shared" ca="1" si="833"/>
        <v>Subcritical</v>
      </c>
      <c r="AS1574">
        <f t="shared" ca="1" si="834"/>
        <v>0</v>
      </c>
    </row>
    <row r="1575" spans="1:45" x14ac:dyDescent="0.35">
      <c r="A1575">
        <v>13</v>
      </c>
      <c r="B1575">
        <v>11.987</v>
      </c>
      <c r="C1575">
        <v>616076.18299999996</v>
      </c>
      <c r="D1575">
        <v>3096603.875</v>
      </c>
      <c r="E1575">
        <v>631.5</v>
      </c>
      <c r="F1575">
        <v>5.0430000000000001</v>
      </c>
      <c r="G1575">
        <v>0</v>
      </c>
      <c r="H1575" t="s">
        <v>154</v>
      </c>
      <c r="I1575">
        <v>2E-3</v>
      </c>
      <c r="J1575">
        <f t="shared" si="835"/>
        <v>1.0009999999999994</v>
      </c>
      <c r="K1575">
        <f t="shared" ca="1" si="840"/>
        <v>0</v>
      </c>
      <c r="L1575">
        <f t="shared" ca="1" si="836"/>
        <v>0.05</v>
      </c>
      <c r="M1575">
        <f t="shared" ca="1" si="810"/>
        <v>0.25215000000000004</v>
      </c>
      <c r="N1575">
        <f t="shared" ca="1" si="811"/>
        <v>4.9027804783200478E-2</v>
      </c>
      <c r="O1575">
        <f t="shared" ca="1" si="812"/>
        <v>0</v>
      </c>
      <c r="P1575">
        <f t="shared" ca="1" si="813"/>
        <v>631.54999999999995</v>
      </c>
      <c r="Q1575">
        <f t="shared" ca="1" si="814"/>
        <v>631.54999999999995</v>
      </c>
      <c r="R1575">
        <f t="shared" ca="1" si="815"/>
        <v>0</v>
      </c>
      <c r="S1575">
        <f t="shared" ca="1" si="816"/>
        <v>0</v>
      </c>
      <c r="T1575">
        <f t="shared" ca="1" si="817"/>
        <v>6.3037500000000012E-3</v>
      </c>
      <c r="U1575">
        <f t="shared" ca="1" si="837"/>
        <v>0</v>
      </c>
      <c r="V1575">
        <f t="shared" ca="1" si="838"/>
        <v>0</v>
      </c>
      <c r="W1575">
        <f t="shared" ca="1" si="818"/>
        <v>1.4345793158695008</v>
      </c>
      <c r="X1575">
        <f t="shared" ca="1" si="819"/>
        <v>7.2345834899298929</v>
      </c>
      <c r="Y1575">
        <f t="shared" ca="1" si="820"/>
        <v>0.91436279612859761</v>
      </c>
      <c r="Z1575">
        <f t="shared" ca="1" si="821"/>
        <v>0</v>
      </c>
      <c r="AA1575">
        <f t="shared" ca="1" si="822"/>
        <v>632.93457931586954</v>
      </c>
      <c r="AB1575">
        <f t="shared" ca="1" si="823"/>
        <v>632.93457931586954</v>
      </c>
      <c r="AC1575">
        <f t="shared" ca="1" si="824"/>
        <v>0</v>
      </c>
      <c r="AD1575">
        <f t="shared" ca="1" si="825"/>
        <v>0</v>
      </c>
      <c r="AE1575">
        <f t="shared" ca="1" si="826"/>
        <v>5.1892919167922056</v>
      </c>
      <c r="AF1575">
        <f t="shared" ca="1" si="827"/>
        <v>-7.8342645792872645E-7</v>
      </c>
      <c r="AG1575">
        <f t="shared" ca="1" si="828"/>
        <v>1</v>
      </c>
      <c r="AH1575">
        <f ca="1">IFERROR(IF(V36="Supercritical",MAX($D$16,IFERROR(L1575,MAX($D$16,POWER((ABS(K1575)^2)/($I$5*MAX(F1575,0.1)^2),1/3)))),IF(V36="Subcritical",MAX($D$16,IFERROR(W1575,MAX($D$16,POWER((ABS(K1575)^2)/($I$5*MAX(F1575,0.1)^2),1/3)))),IF(AND(IFERROR(V1575,0)=1,IFERROR(AG1575,0)=1),IF(IFERROR(T1575,-1E+99)&gt;=IFERROR(AE1575,-1E+99),MAX($D$16,IFERROR(L1575,MAX($D$16,POWER((ABS(K1575)^2)/($I$5*MAX(F1575,0.1)^2),1/3)))),MAX($D$16,IFERROR(W1575,MAX($D$16,POWER((ABS(K1575)^2)/($I$5*MAX(F1575,0.1)^2),1/3))))),IF(IFERROR(V1575,0)=1,MAX($D$16,IFERROR(L1575,MAX($D$16,POWER((ABS(K1575)^2)/($I$5*MAX(F1575,0.1)^2),1/3)))),IF(IFERROR(AG1575,0)=1,MAX($D$16,IFERROR(W1575,MAX($D$16,POWER((ABS(K1575)^2)/($I$5*MAX(F1575,0.1)^2),1/3)))),MAX($D$16,POWER((ABS(K1575)^2)/($I$5*MAX(F1575,0.1)^2),1/3))))))),MAX($D$16,POWER((ABS(K1575)^2)/($I$5*MAX(F1575,0.1)^2),1/3)))</f>
        <v>1.4345793158695008</v>
      </c>
      <c r="AI1575">
        <f t="shared" ca="1" si="829"/>
        <v>632.93457931586954</v>
      </c>
      <c r="AJ1575">
        <f t="shared" ca="1" si="830"/>
        <v>632.93457931586954</v>
      </c>
      <c r="AM1575">
        <v>0</v>
      </c>
      <c r="AN1575">
        <v>0</v>
      </c>
      <c r="AO1575">
        <f t="shared" si="831"/>
        <v>0</v>
      </c>
      <c r="AP1575">
        <f t="shared" si="839"/>
        <v>0</v>
      </c>
      <c r="AQ1575">
        <f t="shared" ca="1" si="832"/>
        <v>0</v>
      </c>
      <c r="AR1575" t="str">
        <f t="shared" ca="1" si="833"/>
        <v>Subcritical</v>
      </c>
      <c r="AS1575">
        <f t="shared" ca="1" si="834"/>
        <v>0</v>
      </c>
    </row>
    <row r="1576" spans="1:45" x14ac:dyDescent="0.35">
      <c r="A1576">
        <v>14</v>
      </c>
      <c r="B1576">
        <v>12.986000000000001</v>
      </c>
      <c r="C1576">
        <v>616076.22100000002</v>
      </c>
      <c r="D1576">
        <v>3096602.8760000002</v>
      </c>
      <c r="E1576">
        <v>631.5</v>
      </c>
      <c r="F1576">
        <v>5.1520000000000001</v>
      </c>
      <c r="G1576">
        <v>0</v>
      </c>
      <c r="H1576" t="s">
        <v>154</v>
      </c>
      <c r="I1576">
        <v>5.7000000000000002E-2</v>
      </c>
      <c r="J1576">
        <f t="shared" si="835"/>
        <v>0.99900000000000055</v>
      </c>
      <c r="K1576">
        <f t="shared" ca="1" si="840"/>
        <v>0</v>
      </c>
      <c r="L1576">
        <f t="shared" ca="1" si="836"/>
        <v>0.05</v>
      </c>
      <c r="M1576">
        <f t="shared" ca="1" si="810"/>
        <v>0.2576</v>
      </c>
      <c r="N1576">
        <f t="shared" ca="1" si="811"/>
        <v>4.9047981721249051E-2</v>
      </c>
      <c r="O1576">
        <f t="shared" ca="1" si="812"/>
        <v>0</v>
      </c>
      <c r="P1576">
        <f t="shared" ca="1" si="813"/>
        <v>631.54999999999995</v>
      </c>
      <c r="Q1576">
        <f t="shared" ca="1" si="814"/>
        <v>631.54999999999995</v>
      </c>
      <c r="R1576">
        <f t="shared" ca="1" si="815"/>
        <v>0</v>
      </c>
      <c r="S1576">
        <f t="shared" ca="1" si="816"/>
        <v>0</v>
      </c>
      <c r="T1576">
        <f t="shared" ca="1" si="817"/>
        <v>6.4400000000000013E-3</v>
      </c>
      <c r="U1576">
        <f t="shared" ca="1" si="837"/>
        <v>0</v>
      </c>
      <c r="V1576">
        <f t="shared" ca="1" si="838"/>
        <v>0</v>
      </c>
      <c r="W1576">
        <f t="shared" ca="1" si="818"/>
        <v>1.434578491992232</v>
      </c>
      <c r="X1576">
        <f t="shared" ca="1" si="819"/>
        <v>7.3909483907439792</v>
      </c>
      <c r="Y1576">
        <f t="shared" ca="1" si="820"/>
        <v>0.92143170935330165</v>
      </c>
      <c r="Z1576">
        <f t="shared" ca="1" si="821"/>
        <v>0</v>
      </c>
      <c r="AA1576">
        <f t="shared" ca="1" si="822"/>
        <v>632.93457849199228</v>
      </c>
      <c r="AB1576">
        <f t="shared" ca="1" si="823"/>
        <v>632.93457849199228</v>
      </c>
      <c r="AC1576">
        <f t="shared" ca="1" si="824"/>
        <v>0</v>
      </c>
      <c r="AD1576">
        <f t="shared" ca="1" si="825"/>
        <v>0</v>
      </c>
      <c r="AE1576">
        <f t="shared" ca="1" si="826"/>
        <v>5.3014477983929558</v>
      </c>
      <c r="AF1576">
        <f t="shared" ca="1" si="827"/>
        <v>-2.4155542632797733E-7</v>
      </c>
      <c r="AG1576">
        <f t="shared" ca="1" si="828"/>
        <v>1</v>
      </c>
      <c r="AH1576">
        <f ca="1">IFERROR(IF(V36="Supercritical",MAX($D$16,IFERROR(L1576,MAX($D$16,POWER((ABS(K1576)^2)/($I$5*MAX(F1576,0.1)^2),1/3)))),IF(V36="Subcritical",MAX($D$16,IFERROR(W1576,MAX($D$16,POWER((ABS(K1576)^2)/($I$5*MAX(F1576,0.1)^2),1/3)))),IF(AND(IFERROR(V1576,0)=1,IFERROR(AG1576,0)=1),IF(IFERROR(T1576,-1E+99)&gt;=IFERROR(AE1576,-1E+99),MAX($D$16,IFERROR(L1576,MAX($D$16,POWER((ABS(K1576)^2)/($I$5*MAX(F1576,0.1)^2),1/3)))),MAX($D$16,IFERROR(W1576,MAX($D$16,POWER((ABS(K1576)^2)/($I$5*MAX(F1576,0.1)^2),1/3))))),IF(IFERROR(V1576,0)=1,MAX($D$16,IFERROR(L1576,MAX($D$16,POWER((ABS(K1576)^2)/($I$5*MAX(F1576,0.1)^2),1/3)))),IF(IFERROR(AG1576,0)=1,MAX($D$16,IFERROR(W1576,MAX($D$16,POWER((ABS(K1576)^2)/($I$5*MAX(F1576,0.1)^2),1/3)))),MAX($D$16,POWER((ABS(K1576)^2)/($I$5*MAX(F1576,0.1)^2),1/3))))))),MAX($D$16,POWER((ABS(K1576)^2)/($I$5*MAX(F1576,0.1)^2),1/3)))</f>
        <v>1.434578491992232</v>
      </c>
      <c r="AI1576">
        <f t="shared" ca="1" si="829"/>
        <v>632.93457849199228</v>
      </c>
      <c r="AJ1576">
        <f t="shared" ca="1" si="830"/>
        <v>632.93457849199228</v>
      </c>
      <c r="AM1576">
        <v>0</v>
      </c>
      <c r="AN1576">
        <v>0</v>
      </c>
      <c r="AO1576">
        <f t="shared" si="831"/>
        <v>0</v>
      </c>
      <c r="AP1576">
        <f t="shared" si="839"/>
        <v>0</v>
      </c>
      <c r="AQ1576">
        <f t="shared" ca="1" si="832"/>
        <v>0</v>
      </c>
      <c r="AR1576" t="str">
        <f t="shared" ca="1" si="833"/>
        <v>Subcritical</v>
      </c>
      <c r="AS1576">
        <f t="shared" ca="1" si="834"/>
        <v>0</v>
      </c>
    </row>
    <row r="1577" spans="1:45" x14ac:dyDescent="0.35">
      <c r="A1577">
        <v>15</v>
      </c>
      <c r="B1577">
        <v>13.986000000000001</v>
      </c>
      <c r="C1577">
        <v>616076.25800000003</v>
      </c>
      <c r="D1577">
        <v>3096601.8769999999</v>
      </c>
      <c r="E1577">
        <v>631.5</v>
      </c>
      <c r="F1577">
        <v>5.2610000000000001</v>
      </c>
      <c r="G1577">
        <v>0</v>
      </c>
      <c r="H1577" t="s">
        <v>154</v>
      </c>
      <c r="I1577">
        <v>5.5E-2</v>
      </c>
      <c r="J1577">
        <f t="shared" si="835"/>
        <v>1</v>
      </c>
      <c r="K1577">
        <f t="shared" ca="1" si="840"/>
        <v>0</v>
      </c>
      <c r="L1577">
        <f t="shared" ca="1" si="836"/>
        <v>0.05</v>
      </c>
      <c r="M1577">
        <f t="shared" ca="1" si="810"/>
        <v>0.26305000000000001</v>
      </c>
      <c r="N1577">
        <f t="shared" ca="1" si="811"/>
        <v>4.9067338183174783E-2</v>
      </c>
      <c r="O1577">
        <f t="shared" ca="1" si="812"/>
        <v>0</v>
      </c>
      <c r="P1577">
        <f t="shared" ca="1" si="813"/>
        <v>631.54999999999995</v>
      </c>
      <c r="Q1577">
        <f t="shared" ca="1" si="814"/>
        <v>631.54999999999995</v>
      </c>
      <c r="R1577">
        <f t="shared" ca="1" si="815"/>
        <v>0</v>
      </c>
      <c r="S1577">
        <f t="shared" ca="1" si="816"/>
        <v>0</v>
      </c>
      <c r="T1577">
        <f t="shared" ca="1" si="817"/>
        <v>6.5762500000000014E-3</v>
      </c>
      <c r="U1577">
        <f t="shared" ca="1" si="837"/>
        <v>0</v>
      </c>
      <c r="V1577">
        <f t="shared" ca="1" si="838"/>
        <v>0</v>
      </c>
      <c r="W1577">
        <f t="shared" ca="1" si="818"/>
        <v>1.4345782394611202</v>
      </c>
      <c r="X1577">
        <f t="shared" ca="1" si="819"/>
        <v>7.5473161178049537</v>
      </c>
      <c r="Y1577">
        <f t="shared" ca="1" si="820"/>
        <v>0.92831129848136085</v>
      </c>
      <c r="Z1577">
        <f t="shared" ca="1" si="821"/>
        <v>0</v>
      </c>
      <c r="AA1577">
        <f t="shared" ca="1" si="822"/>
        <v>632.93457823946108</v>
      </c>
      <c r="AB1577">
        <f t="shared" ca="1" si="823"/>
        <v>632.93457823946108</v>
      </c>
      <c r="AC1577">
        <f t="shared" ca="1" si="824"/>
        <v>0</v>
      </c>
      <c r="AD1577">
        <f t="shared" ca="1" si="825"/>
        <v>0</v>
      </c>
      <c r="AE1577">
        <f t="shared" ca="1" si="826"/>
        <v>5.4136077344685827</v>
      </c>
      <c r="AF1577">
        <f t="shared" ca="1" si="827"/>
        <v>-6.5096855905721895E-8</v>
      </c>
      <c r="AG1577">
        <f t="shared" ca="1" si="828"/>
        <v>1</v>
      </c>
      <c r="AH1577">
        <f ca="1">IFERROR(IF(V36="Supercritical",MAX($D$16,IFERROR(L1577,MAX($D$16,POWER((ABS(K1577)^2)/($I$5*MAX(F1577,0.1)^2),1/3)))),IF(V36="Subcritical",MAX($D$16,IFERROR(W1577,MAX($D$16,POWER((ABS(K1577)^2)/($I$5*MAX(F1577,0.1)^2),1/3)))),IF(AND(IFERROR(V1577,0)=1,IFERROR(AG1577,0)=1),IF(IFERROR(T1577,-1E+99)&gt;=IFERROR(AE1577,-1E+99),MAX($D$16,IFERROR(L1577,MAX($D$16,POWER((ABS(K1577)^2)/($I$5*MAX(F1577,0.1)^2),1/3)))),MAX($D$16,IFERROR(W1577,MAX($D$16,POWER((ABS(K1577)^2)/($I$5*MAX(F1577,0.1)^2),1/3))))),IF(IFERROR(V1577,0)=1,MAX($D$16,IFERROR(L1577,MAX($D$16,POWER((ABS(K1577)^2)/($I$5*MAX(F1577,0.1)^2),1/3)))),IF(IFERROR(AG1577,0)=1,MAX($D$16,IFERROR(W1577,MAX($D$16,POWER((ABS(K1577)^2)/($I$5*MAX(F1577,0.1)^2),1/3)))),MAX($D$16,POWER((ABS(K1577)^2)/($I$5*MAX(F1577,0.1)^2),1/3))))))),MAX($D$16,POWER((ABS(K1577)^2)/($I$5*MAX(F1577,0.1)^2),1/3)))</f>
        <v>1.4345782394611202</v>
      </c>
      <c r="AI1577">
        <f t="shared" ca="1" si="829"/>
        <v>632.93457823946108</v>
      </c>
      <c r="AJ1577">
        <f t="shared" ca="1" si="830"/>
        <v>632.93457823946108</v>
      </c>
      <c r="AM1577">
        <v>0</v>
      </c>
      <c r="AN1577">
        <v>0</v>
      </c>
      <c r="AO1577">
        <f t="shared" si="831"/>
        <v>0</v>
      </c>
      <c r="AP1577">
        <f t="shared" si="839"/>
        <v>0</v>
      </c>
      <c r="AQ1577">
        <f t="shared" ca="1" si="832"/>
        <v>0</v>
      </c>
      <c r="AR1577" t="str">
        <f t="shared" ca="1" si="833"/>
        <v>Subcritical</v>
      </c>
      <c r="AS1577">
        <f t="shared" ca="1" si="834"/>
        <v>0</v>
      </c>
    </row>
    <row r="1578" spans="1:45" x14ac:dyDescent="0.35">
      <c r="A1578">
        <v>16</v>
      </c>
      <c r="B1578">
        <v>14.987</v>
      </c>
      <c r="C1578">
        <v>616076.29599999997</v>
      </c>
      <c r="D1578">
        <v>3096600.8769999999</v>
      </c>
      <c r="E1578">
        <v>631.5</v>
      </c>
      <c r="F1578">
        <v>5.37</v>
      </c>
      <c r="G1578">
        <v>0</v>
      </c>
      <c r="H1578" t="s">
        <v>154</v>
      </c>
      <c r="I1578">
        <v>2E-3</v>
      </c>
      <c r="J1578">
        <f t="shared" si="835"/>
        <v>1.0009999999999994</v>
      </c>
      <c r="K1578">
        <f t="shared" ca="1" si="840"/>
        <v>0</v>
      </c>
      <c r="L1578">
        <f t="shared" ca="1" si="836"/>
        <v>0.05</v>
      </c>
      <c r="M1578">
        <f t="shared" ca="1" si="810"/>
        <v>0.26850000000000002</v>
      </c>
      <c r="N1578">
        <f t="shared" ca="1" si="811"/>
        <v>4.908592321755028E-2</v>
      </c>
      <c r="O1578">
        <f t="shared" ca="1" si="812"/>
        <v>0</v>
      </c>
      <c r="P1578">
        <f t="shared" ca="1" si="813"/>
        <v>631.54999999999995</v>
      </c>
      <c r="Q1578">
        <f t="shared" ca="1" si="814"/>
        <v>631.54999999999995</v>
      </c>
      <c r="R1578">
        <f t="shared" ca="1" si="815"/>
        <v>0</v>
      </c>
      <c r="S1578">
        <f t="shared" ca="1" si="816"/>
        <v>0</v>
      </c>
      <c r="T1578">
        <f t="shared" ca="1" si="817"/>
        <v>6.7125000000000015E-3</v>
      </c>
      <c r="U1578">
        <f t="shared" ca="1" si="837"/>
        <v>0</v>
      </c>
      <c r="V1578">
        <f t="shared" ca="1" si="838"/>
        <v>0</v>
      </c>
      <c r="W1578">
        <f t="shared" ca="1" si="818"/>
        <v>1.4345781718001531</v>
      </c>
      <c r="X1578">
        <f t="shared" ca="1" si="819"/>
        <v>7.703684782566822</v>
      </c>
      <c r="Y1578">
        <f t="shared" ca="1" si="820"/>
        <v>0.93500893311128785</v>
      </c>
      <c r="Z1578">
        <f t="shared" ca="1" si="821"/>
        <v>0</v>
      </c>
      <c r="AA1578">
        <f t="shared" ca="1" si="822"/>
        <v>632.93457817180013</v>
      </c>
      <c r="AB1578">
        <f t="shared" ca="1" si="823"/>
        <v>632.93457817180013</v>
      </c>
      <c r="AC1578">
        <f t="shared" ca="1" si="824"/>
        <v>0</v>
      </c>
      <c r="AD1578">
        <f t="shared" ca="1" si="825"/>
        <v>0</v>
      </c>
      <c r="AE1578">
        <f t="shared" ca="1" si="826"/>
        <v>5.5257690157496864</v>
      </c>
      <c r="AF1578">
        <f t="shared" ca="1" si="827"/>
        <v>-1.5105683814908843E-8</v>
      </c>
      <c r="AG1578">
        <f t="shared" ca="1" si="828"/>
        <v>1</v>
      </c>
      <c r="AH1578">
        <f ca="1">IFERROR(IF(V36="Supercritical",MAX($D$16,IFERROR(L1578,MAX($D$16,POWER((ABS(K1578)^2)/($I$5*MAX(F1578,0.1)^2),1/3)))),IF(V36="Subcritical",MAX($D$16,IFERROR(W1578,MAX($D$16,POWER((ABS(K1578)^2)/($I$5*MAX(F1578,0.1)^2),1/3)))),IF(AND(IFERROR(V1578,0)=1,IFERROR(AG1578,0)=1),IF(IFERROR(T1578,-1E+99)&gt;=IFERROR(AE1578,-1E+99),MAX($D$16,IFERROR(L1578,MAX($D$16,POWER((ABS(K1578)^2)/($I$5*MAX(F1578,0.1)^2),1/3)))),MAX($D$16,IFERROR(W1578,MAX($D$16,POWER((ABS(K1578)^2)/($I$5*MAX(F1578,0.1)^2),1/3))))),IF(IFERROR(V1578,0)=1,MAX($D$16,IFERROR(L1578,MAX($D$16,POWER((ABS(K1578)^2)/($I$5*MAX(F1578,0.1)^2),1/3)))),IF(IFERROR(AG1578,0)=1,MAX($D$16,IFERROR(W1578,MAX($D$16,POWER((ABS(K1578)^2)/($I$5*MAX(F1578,0.1)^2),1/3)))),MAX($D$16,POWER((ABS(K1578)^2)/($I$5*MAX(F1578,0.1)^2),1/3))))))),MAX($D$16,POWER((ABS(K1578)^2)/($I$5*MAX(F1578,0.1)^2),1/3)))</f>
        <v>1.4345781718001531</v>
      </c>
      <c r="AI1578">
        <f t="shared" ca="1" si="829"/>
        <v>632.93457817180013</v>
      </c>
      <c r="AJ1578">
        <f t="shared" ca="1" si="830"/>
        <v>632.93457817180013</v>
      </c>
      <c r="AM1578">
        <v>0</v>
      </c>
      <c r="AN1578">
        <v>0</v>
      </c>
      <c r="AO1578">
        <f t="shared" si="831"/>
        <v>0</v>
      </c>
      <c r="AP1578">
        <f t="shared" si="839"/>
        <v>0</v>
      </c>
      <c r="AQ1578">
        <f t="shared" ca="1" si="832"/>
        <v>0</v>
      </c>
      <c r="AR1578" t="str">
        <f t="shared" ca="1" si="833"/>
        <v>Subcritical</v>
      </c>
      <c r="AS1578">
        <f t="shared" ca="1" si="834"/>
        <v>0</v>
      </c>
    </row>
    <row r="1579" spans="1:45" x14ac:dyDescent="0.35">
      <c r="A1579">
        <v>17</v>
      </c>
      <c r="B1579">
        <v>15.987</v>
      </c>
      <c r="C1579">
        <v>616076.33400000003</v>
      </c>
      <c r="D1579">
        <v>3096599.878</v>
      </c>
      <c r="E1579">
        <v>631.5</v>
      </c>
      <c r="F1579">
        <v>5.48</v>
      </c>
      <c r="G1579">
        <v>0</v>
      </c>
      <c r="H1579" t="s">
        <v>154</v>
      </c>
      <c r="I1579">
        <v>5.7000000000000002E-2</v>
      </c>
      <c r="J1579">
        <f t="shared" si="835"/>
        <v>1</v>
      </c>
      <c r="K1579">
        <f t="shared" ca="1" si="840"/>
        <v>0</v>
      </c>
      <c r="L1579">
        <f t="shared" ca="1" si="836"/>
        <v>0.05</v>
      </c>
      <c r="M1579">
        <f t="shared" ca="1" si="810"/>
        <v>0.27400000000000002</v>
      </c>
      <c r="N1579">
        <f t="shared" ca="1" si="811"/>
        <v>4.910394265232975E-2</v>
      </c>
      <c r="O1579">
        <f t="shared" ca="1" si="812"/>
        <v>0</v>
      </c>
      <c r="P1579">
        <f t="shared" ca="1" si="813"/>
        <v>631.54999999999995</v>
      </c>
      <c r="Q1579">
        <f t="shared" ca="1" si="814"/>
        <v>631.54999999999995</v>
      </c>
      <c r="R1579">
        <f t="shared" ca="1" si="815"/>
        <v>0</v>
      </c>
      <c r="S1579">
        <f t="shared" ca="1" si="816"/>
        <v>0</v>
      </c>
      <c r="T1579">
        <f t="shared" ca="1" si="817"/>
        <v>6.8500000000000019E-3</v>
      </c>
      <c r="U1579">
        <f t="shared" ca="1" si="837"/>
        <v>0</v>
      </c>
      <c r="V1579">
        <f t="shared" ca="1" si="838"/>
        <v>0</v>
      </c>
      <c r="W1579">
        <f t="shared" ca="1" si="818"/>
        <v>1.4345781561887234</v>
      </c>
      <c r="X1579">
        <f t="shared" ca="1" si="819"/>
        <v>7.8614882959142047</v>
      </c>
      <c r="Y1579">
        <f t="shared" ca="1" si="820"/>
        <v>0.94159074303827739</v>
      </c>
      <c r="Z1579">
        <f t="shared" ca="1" si="821"/>
        <v>0</v>
      </c>
      <c r="AA1579">
        <f t="shared" ca="1" si="822"/>
        <v>632.93457815618876</v>
      </c>
      <c r="AB1579">
        <f t="shared" ca="1" si="823"/>
        <v>632.93457815618876</v>
      </c>
      <c r="AC1579">
        <f t="shared" ca="1" si="824"/>
        <v>0</v>
      </c>
      <c r="AD1579">
        <f t="shared" ca="1" si="825"/>
        <v>0</v>
      </c>
      <c r="AE1579">
        <f t="shared" ca="1" si="826"/>
        <v>5.6389596922259146</v>
      </c>
      <c r="AF1579">
        <f t="shared" ca="1" si="827"/>
        <v>-2.959950506919995E-9</v>
      </c>
      <c r="AG1579">
        <f t="shared" ca="1" si="828"/>
        <v>1</v>
      </c>
      <c r="AH1579">
        <f ca="1">IFERROR(IF(V36="Supercritical",MAX($D$16,IFERROR(L1579,MAX($D$16,POWER((ABS(K1579)^2)/($I$5*MAX(F1579,0.1)^2),1/3)))),IF(V36="Subcritical",MAX($D$16,IFERROR(W1579,MAX($D$16,POWER((ABS(K1579)^2)/($I$5*MAX(F1579,0.1)^2),1/3)))),IF(AND(IFERROR(V1579,0)=1,IFERROR(AG1579,0)=1),IF(IFERROR(T1579,-1E+99)&gt;=IFERROR(AE1579,-1E+99),MAX($D$16,IFERROR(L1579,MAX($D$16,POWER((ABS(K1579)^2)/($I$5*MAX(F1579,0.1)^2),1/3)))),MAX($D$16,IFERROR(W1579,MAX($D$16,POWER((ABS(K1579)^2)/($I$5*MAX(F1579,0.1)^2),1/3))))),IF(IFERROR(V1579,0)=1,MAX($D$16,IFERROR(L1579,MAX($D$16,POWER((ABS(K1579)^2)/($I$5*MAX(F1579,0.1)^2),1/3)))),IF(IFERROR(AG1579,0)=1,MAX($D$16,IFERROR(W1579,MAX($D$16,POWER((ABS(K1579)^2)/($I$5*MAX(F1579,0.1)^2),1/3)))),MAX($D$16,POWER((ABS(K1579)^2)/($I$5*MAX(F1579,0.1)^2),1/3))))))),MAX($D$16,POWER((ABS(K1579)^2)/($I$5*MAX(F1579,0.1)^2),1/3)))</f>
        <v>1.4345781561887234</v>
      </c>
      <c r="AI1579">
        <f t="shared" ca="1" si="829"/>
        <v>632.93457815618876</v>
      </c>
      <c r="AJ1579">
        <f t="shared" ca="1" si="830"/>
        <v>632.93457815618876</v>
      </c>
      <c r="AM1579">
        <v>0</v>
      </c>
      <c r="AN1579">
        <v>0</v>
      </c>
      <c r="AO1579">
        <f t="shared" si="831"/>
        <v>0</v>
      </c>
      <c r="AP1579">
        <f t="shared" si="839"/>
        <v>0</v>
      </c>
      <c r="AQ1579">
        <f t="shared" ca="1" si="832"/>
        <v>0</v>
      </c>
      <c r="AR1579" t="str">
        <f t="shared" ca="1" si="833"/>
        <v>Subcritical</v>
      </c>
      <c r="AS1579">
        <f t="shared" ca="1" si="834"/>
        <v>0</v>
      </c>
    </row>
    <row r="1580" spans="1:45" x14ac:dyDescent="0.35">
      <c r="A1580">
        <v>18</v>
      </c>
      <c r="B1580">
        <v>16.986000000000001</v>
      </c>
      <c r="C1580">
        <v>616076.37100000004</v>
      </c>
      <c r="D1580">
        <v>3096598.8790000002</v>
      </c>
      <c r="E1580">
        <v>631.5</v>
      </c>
      <c r="F1580">
        <v>5.5890000000000004</v>
      </c>
      <c r="G1580">
        <v>0</v>
      </c>
      <c r="H1580" t="s">
        <v>154</v>
      </c>
      <c r="I1580">
        <v>5.7000000000000002E-2</v>
      </c>
      <c r="J1580">
        <f t="shared" si="835"/>
        <v>0.99900000000000055</v>
      </c>
      <c r="K1580">
        <f t="shared" ca="1" si="840"/>
        <v>0</v>
      </c>
      <c r="L1580">
        <f t="shared" ca="1" si="836"/>
        <v>0.05</v>
      </c>
      <c r="M1580">
        <f t="shared" ca="1" si="810"/>
        <v>0.27945000000000003</v>
      </c>
      <c r="N1580">
        <f t="shared" ca="1" si="811"/>
        <v>4.9121110915802429E-2</v>
      </c>
      <c r="O1580">
        <f t="shared" ca="1" si="812"/>
        <v>0</v>
      </c>
      <c r="P1580">
        <f t="shared" ca="1" si="813"/>
        <v>631.54999999999995</v>
      </c>
      <c r="Q1580">
        <f t="shared" ca="1" si="814"/>
        <v>631.54999999999995</v>
      </c>
      <c r="R1580">
        <f t="shared" ca="1" si="815"/>
        <v>0</v>
      </c>
      <c r="S1580">
        <f t="shared" ca="1" si="816"/>
        <v>0</v>
      </c>
      <c r="T1580">
        <f t="shared" ca="1" si="817"/>
        <v>6.986250000000002E-3</v>
      </c>
      <c r="U1580">
        <f t="shared" ca="1" si="837"/>
        <v>0</v>
      </c>
      <c r="V1580">
        <f t="shared" ca="1" si="838"/>
        <v>0</v>
      </c>
      <c r="W1580">
        <f t="shared" ca="1" si="818"/>
        <v>1.434578153146806</v>
      </c>
      <c r="X1580">
        <f t="shared" ca="1" si="819"/>
        <v>8.0178572979374998</v>
      </c>
      <c r="Y1580">
        <f t="shared" ca="1" si="820"/>
        <v>0.94794385532595415</v>
      </c>
      <c r="Z1580">
        <f t="shared" ca="1" si="821"/>
        <v>0</v>
      </c>
      <c r="AA1580">
        <f t="shared" ca="1" si="822"/>
        <v>632.93457815314684</v>
      </c>
      <c r="AB1580">
        <f t="shared" ca="1" si="823"/>
        <v>632.93457815314684</v>
      </c>
      <c r="AC1580">
        <f t="shared" ca="1" si="824"/>
        <v>0</v>
      </c>
      <c r="AD1580">
        <f t="shared" ca="1" si="825"/>
        <v>0</v>
      </c>
      <c r="AE1580">
        <f t="shared" ca="1" si="826"/>
        <v>5.751121457334909</v>
      </c>
      <c r="AF1580">
        <f t="shared" ca="1" si="827"/>
        <v>-4.7680259740445763E-10</v>
      </c>
      <c r="AG1580">
        <f t="shared" ca="1" si="828"/>
        <v>1</v>
      </c>
      <c r="AH1580">
        <f ca="1">IFERROR(IF(V36="Supercritical",MAX($D$16,IFERROR(L1580,MAX($D$16,POWER((ABS(K1580)^2)/($I$5*MAX(F1580,0.1)^2),1/3)))),IF(V36="Subcritical",MAX($D$16,IFERROR(W1580,MAX($D$16,POWER((ABS(K1580)^2)/($I$5*MAX(F1580,0.1)^2),1/3)))),IF(AND(IFERROR(V1580,0)=1,IFERROR(AG1580,0)=1),IF(IFERROR(T1580,-1E+99)&gt;=IFERROR(AE1580,-1E+99),MAX($D$16,IFERROR(L1580,MAX($D$16,POWER((ABS(K1580)^2)/($I$5*MAX(F1580,0.1)^2),1/3)))),MAX($D$16,IFERROR(W1580,MAX($D$16,POWER((ABS(K1580)^2)/($I$5*MAX(F1580,0.1)^2),1/3))))),IF(IFERROR(V1580,0)=1,MAX($D$16,IFERROR(L1580,MAX($D$16,POWER((ABS(K1580)^2)/($I$5*MAX(F1580,0.1)^2),1/3)))),IF(IFERROR(AG1580,0)=1,MAX($D$16,IFERROR(W1580,MAX($D$16,POWER((ABS(K1580)^2)/($I$5*MAX(F1580,0.1)^2),1/3)))),MAX($D$16,POWER((ABS(K1580)^2)/($I$5*MAX(F1580,0.1)^2),1/3))))))),MAX($D$16,POWER((ABS(K1580)^2)/($I$5*MAX(F1580,0.1)^2),1/3)))</f>
        <v>1.434578153146806</v>
      </c>
      <c r="AI1580">
        <f t="shared" ca="1" si="829"/>
        <v>632.93457815314684</v>
      </c>
      <c r="AJ1580">
        <f t="shared" ca="1" si="830"/>
        <v>632.93457815314684</v>
      </c>
      <c r="AM1580">
        <v>0</v>
      </c>
      <c r="AN1580">
        <v>0</v>
      </c>
      <c r="AO1580">
        <f t="shared" si="831"/>
        <v>0</v>
      </c>
      <c r="AP1580">
        <f t="shared" si="839"/>
        <v>0</v>
      </c>
      <c r="AQ1580">
        <f t="shared" ca="1" si="832"/>
        <v>0</v>
      </c>
      <c r="AR1580" t="str">
        <f t="shared" ca="1" si="833"/>
        <v>Subcritical</v>
      </c>
      <c r="AS1580">
        <f t="shared" ca="1" si="834"/>
        <v>0</v>
      </c>
    </row>
    <row r="1581" spans="1:45" x14ac:dyDescent="0.35">
      <c r="A1581">
        <v>19</v>
      </c>
      <c r="B1581">
        <v>17.986000000000001</v>
      </c>
      <c r="C1581">
        <v>616076.40899999999</v>
      </c>
      <c r="D1581">
        <v>3096597.88</v>
      </c>
      <c r="E1581">
        <v>631.5</v>
      </c>
      <c r="F1581">
        <v>5.6980000000000004</v>
      </c>
      <c r="G1581">
        <v>0</v>
      </c>
      <c r="H1581" t="s">
        <v>154</v>
      </c>
      <c r="I1581">
        <v>2E-3</v>
      </c>
      <c r="J1581">
        <f t="shared" si="835"/>
        <v>1</v>
      </c>
      <c r="K1581">
        <f t="shared" ca="1" si="840"/>
        <v>0</v>
      </c>
      <c r="L1581">
        <f t="shared" ca="1" si="836"/>
        <v>0.05</v>
      </c>
      <c r="M1581">
        <f t="shared" ca="1" si="810"/>
        <v>0.28490000000000004</v>
      </c>
      <c r="N1581">
        <f t="shared" ca="1" si="811"/>
        <v>4.9137633666781658E-2</v>
      </c>
      <c r="O1581">
        <f t="shared" ca="1" si="812"/>
        <v>0</v>
      </c>
      <c r="P1581">
        <f t="shared" ca="1" si="813"/>
        <v>631.54999999999995</v>
      </c>
      <c r="Q1581">
        <f t="shared" ca="1" si="814"/>
        <v>631.54999999999995</v>
      </c>
      <c r="R1581">
        <f t="shared" ca="1" si="815"/>
        <v>0</v>
      </c>
      <c r="S1581">
        <f t="shared" ca="1" si="816"/>
        <v>0</v>
      </c>
      <c r="T1581">
        <f t="shared" ca="1" si="817"/>
        <v>7.1225000000000021E-3</v>
      </c>
      <c r="U1581">
        <f t="shared" ca="1" si="837"/>
        <v>0</v>
      </c>
      <c r="V1581">
        <f t="shared" ca="1" si="838"/>
        <v>0</v>
      </c>
      <c r="W1581">
        <f t="shared" ca="1" si="818"/>
        <v>1.4345781526594792</v>
      </c>
      <c r="X1581">
        <f t="shared" ca="1" si="819"/>
        <v>8.1742263138537137</v>
      </c>
      <c r="Y1581">
        <f t="shared" ca="1" si="820"/>
        <v>0.95413530727561346</v>
      </c>
      <c r="Z1581">
        <f t="shared" ca="1" si="821"/>
        <v>0</v>
      </c>
      <c r="AA1581">
        <f t="shared" ca="1" si="822"/>
        <v>632.93457815265947</v>
      </c>
      <c r="AB1581">
        <f t="shared" ca="1" si="823"/>
        <v>632.93457815265947</v>
      </c>
      <c r="AC1581">
        <f t="shared" ca="1" si="824"/>
        <v>0</v>
      </c>
      <c r="AD1581">
        <f t="shared" ca="1" si="825"/>
        <v>0</v>
      </c>
      <c r="AE1581">
        <f t="shared" ca="1" si="826"/>
        <v>5.863283242374381</v>
      </c>
      <c r="AF1581">
        <f t="shared" ca="1" si="827"/>
        <v>-6.0822458181064576E-11</v>
      </c>
      <c r="AG1581">
        <f t="shared" ca="1" si="828"/>
        <v>1</v>
      </c>
      <c r="AH1581">
        <f ca="1">IFERROR(IF(V36="Supercritical",MAX($D$16,IFERROR(L1581,MAX($D$16,POWER((ABS(K1581)^2)/($I$5*MAX(F1581,0.1)^2),1/3)))),IF(V36="Subcritical",MAX($D$16,IFERROR(W1581,MAX($D$16,POWER((ABS(K1581)^2)/($I$5*MAX(F1581,0.1)^2),1/3)))),IF(AND(IFERROR(V1581,0)=1,IFERROR(AG1581,0)=1),IF(IFERROR(T1581,-1E+99)&gt;=IFERROR(AE1581,-1E+99),MAX($D$16,IFERROR(L1581,MAX($D$16,POWER((ABS(K1581)^2)/($I$5*MAX(F1581,0.1)^2),1/3)))),MAX($D$16,IFERROR(W1581,MAX($D$16,POWER((ABS(K1581)^2)/($I$5*MAX(F1581,0.1)^2),1/3))))),IF(IFERROR(V1581,0)=1,MAX($D$16,IFERROR(L1581,MAX($D$16,POWER((ABS(K1581)^2)/($I$5*MAX(F1581,0.1)^2),1/3)))),IF(IFERROR(AG1581,0)=1,MAX($D$16,IFERROR(W1581,MAX($D$16,POWER((ABS(K1581)^2)/($I$5*MAX(F1581,0.1)^2),1/3)))),MAX($D$16,POWER((ABS(K1581)^2)/($I$5*MAX(F1581,0.1)^2),1/3))))))),MAX($D$16,POWER((ABS(K1581)^2)/($I$5*MAX(F1581,0.1)^2),1/3)))</f>
        <v>1.4345781526594792</v>
      </c>
      <c r="AI1581">
        <f t="shared" ca="1" si="829"/>
        <v>632.93457815265947</v>
      </c>
      <c r="AJ1581">
        <f t="shared" ca="1" si="830"/>
        <v>632.93457815265947</v>
      </c>
      <c r="AM1581">
        <v>0</v>
      </c>
      <c r="AN1581">
        <v>0</v>
      </c>
      <c r="AO1581">
        <f t="shared" si="831"/>
        <v>0</v>
      </c>
      <c r="AP1581">
        <f t="shared" si="839"/>
        <v>0</v>
      </c>
      <c r="AQ1581">
        <f t="shared" ca="1" si="832"/>
        <v>0</v>
      </c>
      <c r="AR1581" t="str">
        <f t="shared" ca="1" si="833"/>
        <v>Subcritical</v>
      </c>
      <c r="AS1581">
        <f t="shared" ca="1" si="834"/>
        <v>0</v>
      </c>
    </row>
    <row r="1582" spans="1:45" x14ac:dyDescent="0.35">
      <c r="A1582">
        <v>20</v>
      </c>
      <c r="B1582">
        <v>18.986999999999998</v>
      </c>
      <c r="C1582">
        <v>616076.44700000004</v>
      </c>
      <c r="D1582">
        <v>3096596.88</v>
      </c>
      <c r="E1582">
        <v>631.5</v>
      </c>
      <c r="F1582">
        <v>5.8070000000000004</v>
      </c>
      <c r="G1582">
        <v>0</v>
      </c>
      <c r="H1582" t="s">
        <v>154</v>
      </c>
      <c r="I1582">
        <v>5.5E-2</v>
      </c>
      <c r="J1582">
        <f t="shared" si="835"/>
        <v>1.0009999999999977</v>
      </c>
      <c r="K1582">
        <f t="shared" ca="1" si="840"/>
        <v>0</v>
      </c>
      <c r="L1582">
        <f t="shared" ca="1" si="836"/>
        <v>0.05</v>
      </c>
      <c r="M1582">
        <f t="shared" ca="1" si="810"/>
        <v>0.29035000000000005</v>
      </c>
      <c r="N1582">
        <f t="shared" ca="1" si="811"/>
        <v>4.9153546639580166E-2</v>
      </c>
      <c r="O1582">
        <f t="shared" ca="1" si="812"/>
        <v>0</v>
      </c>
      <c r="P1582">
        <f t="shared" ca="1" si="813"/>
        <v>631.54999999999995</v>
      </c>
      <c r="Q1582">
        <f t="shared" ca="1" si="814"/>
        <v>631.54999999999995</v>
      </c>
      <c r="R1582">
        <f t="shared" ca="1" si="815"/>
        <v>0</v>
      </c>
      <c r="S1582">
        <f t="shared" ca="1" si="816"/>
        <v>0</v>
      </c>
      <c r="T1582">
        <f t="shared" ca="1" si="817"/>
        <v>7.2587500000000022E-3</v>
      </c>
      <c r="U1582">
        <f t="shared" ca="1" si="837"/>
        <v>0</v>
      </c>
      <c r="V1582">
        <f t="shared" ca="1" si="838"/>
        <v>0</v>
      </c>
      <c r="W1582">
        <f t="shared" ca="1" si="818"/>
        <v>1.4345781525976629</v>
      </c>
      <c r="X1582">
        <f t="shared" ca="1" si="819"/>
        <v>8.330595332134628</v>
      </c>
      <c r="Y1582">
        <f t="shared" ca="1" si="820"/>
        <v>0.9601711909162155</v>
      </c>
      <c r="Z1582">
        <f t="shared" ca="1" si="821"/>
        <v>0</v>
      </c>
      <c r="AA1582">
        <f t="shared" ca="1" si="822"/>
        <v>632.93457815259762</v>
      </c>
      <c r="AB1582">
        <f t="shared" ca="1" si="823"/>
        <v>632.93457815259762</v>
      </c>
      <c r="AC1582">
        <f t="shared" ca="1" si="824"/>
        <v>0</v>
      </c>
      <c r="AD1582">
        <f t="shared" ca="1" si="825"/>
        <v>0</v>
      </c>
      <c r="AE1582">
        <f t="shared" ca="1" si="826"/>
        <v>5.9754450308062053</v>
      </c>
      <c r="AF1582">
        <f t="shared" ca="1" si="827"/>
        <v>-5.6843418860808015E-12</v>
      </c>
      <c r="AG1582">
        <f t="shared" ca="1" si="828"/>
        <v>1</v>
      </c>
      <c r="AH1582">
        <f ca="1">IFERROR(IF(V36="Supercritical",MAX($D$16,IFERROR(L1582,MAX($D$16,POWER((ABS(K1582)^2)/($I$5*MAX(F1582,0.1)^2),1/3)))),IF(V36="Subcritical",MAX($D$16,IFERROR(W1582,MAX($D$16,POWER((ABS(K1582)^2)/($I$5*MAX(F1582,0.1)^2),1/3)))),IF(AND(IFERROR(V1582,0)=1,IFERROR(AG1582,0)=1),IF(IFERROR(T1582,-1E+99)&gt;=IFERROR(AE1582,-1E+99),MAX($D$16,IFERROR(L1582,MAX($D$16,POWER((ABS(K1582)^2)/($I$5*MAX(F1582,0.1)^2),1/3)))),MAX($D$16,IFERROR(W1582,MAX($D$16,POWER((ABS(K1582)^2)/($I$5*MAX(F1582,0.1)^2),1/3))))),IF(IFERROR(V1582,0)=1,MAX($D$16,IFERROR(L1582,MAX($D$16,POWER((ABS(K1582)^2)/($I$5*MAX(F1582,0.1)^2),1/3)))),IF(IFERROR(AG1582,0)=1,MAX($D$16,IFERROR(W1582,MAX($D$16,POWER((ABS(K1582)^2)/($I$5*MAX(F1582,0.1)^2),1/3)))),MAX($D$16,POWER((ABS(K1582)^2)/($I$5*MAX(F1582,0.1)^2),1/3))))))),MAX($D$16,POWER((ABS(K1582)^2)/($I$5*MAX(F1582,0.1)^2),1/3)))</f>
        <v>1.4345781525976629</v>
      </c>
      <c r="AI1582">
        <f t="shared" ca="1" si="829"/>
        <v>632.93457815259762</v>
      </c>
      <c r="AJ1582">
        <f t="shared" ca="1" si="830"/>
        <v>632.93457815259762</v>
      </c>
      <c r="AM1582">
        <v>0</v>
      </c>
      <c r="AN1582">
        <v>0</v>
      </c>
      <c r="AO1582">
        <f t="shared" si="831"/>
        <v>0</v>
      </c>
      <c r="AP1582">
        <f t="shared" si="839"/>
        <v>0</v>
      </c>
      <c r="AQ1582">
        <f t="shared" ca="1" si="832"/>
        <v>0</v>
      </c>
      <c r="AR1582" t="str">
        <f t="shared" ca="1" si="833"/>
        <v>Subcritical</v>
      </c>
      <c r="AS1582">
        <f t="shared" ca="1" si="834"/>
        <v>0</v>
      </c>
    </row>
    <row r="1583" spans="1:45" x14ac:dyDescent="0.35">
      <c r="A1583">
        <v>21</v>
      </c>
      <c r="B1583">
        <v>19.986000000000001</v>
      </c>
      <c r="C1583">
        <v>616076.48400000005</v>
      </c>
      <c r="D1583">
        <v>3096595.8810000001</v>
      </c>
      <c r="E1583">
        <v>631.5</v>
      </c>
      <c r="F1583">
        <v>5.9160000000000004</v>
      </c>
      <c r="G1583">
        <v>0</v>
      </c>
      <c r="H1583" t="s">
        <v>154</v>
      </c>
      <c r="I1583">
        <v>9.3789999999999996</v>
      </c>
      <c r="J1583">
        <f t="shared" si="835"/>
        <v>0.99900000000000233</v>
      </c>
      <c r="K1583">
        <f t="shared" ca="1" si="840"/>
        <v>0</v>
      </c>
      <c r="L1583">
        <f t="shared" ca="1" si="836"/>
        <v>0.05</v>
      </c>
      <c r="M1583">
        <f t="shared" ca="1" si="810"/>
        <v>0.29580000000000001</v>
      </c>
      <c r="N1583">
        <f t="shared" ca="1" si="811"/>
        <v>4.9168882978723405E-2</v>
      </c>
      <c r="O1583">
        <f t="shared" ca="1" si="812"/>
        <v>0</v>
      </c>
      <c r="P1583">
        <f t="shared" ca="1" si="813"/>
        <v>631.54999999999995</v>
      </c>
      <c r="Q1583">
        <f t="shared" ca="1" si="814"/>
        <v>631.54999999999995</v>
      </c>
      <c r="R1583">
        <f t="shared" ca="1" si="815"/>
        <v>0</v>
      </c>
      <c r="S1583">
        <f t="shared" ca="1" si="816"/>
        <v>0</v>
      </c>
      <c r="T1583">
        <f t="shared" ca="1" si="817"/>
        <v>7.3950000000000023E-3</v>
      </c>
      <c r="U1583">
        <f t="shared" ca="1" si="837"/>
        <v>0</v>
      </c>
      <c r="V1583">
        <f t="shared" ca="1" si="838"/>
        <v>0</v>
      </c>
      <c r="W1583">
        <f t="shared" ca="1" si="818"/>
        <v>1.4345781525918408</v>
      </c>
      <c r="X1583">
        <f t="shared" ca="1" si="819"/>
        <v>8.4869643507333308</v>
      </c>
      <c r="Y1583">
        <f t="shared" ca="1" si="820"/>
        <v>0.96605729663860362</v>
      </c>
      <c r="Z1583">
        <f t="shared" ca="1" si="821"/>
        <v>0</v>
      </c>
      <c r="AA1583">
        <f t="shared" ca="1" si="822"/>
        <v>632.93457815259183</v>
      </c>
      <c r="AB1583">
        <f t="shared" ca="1" si="823"/>
        <v>632.93457815259183</v>
      </c>
      <c r="AC1583">
        <f t="shared" ca="1" si="824"/>
        <v>0</v>
      </c>
      <c r="AD1583">
        <f t="shared" ca="1" si="825"/>
        <v>0</v>
      </c>
      <c r="AE1583">
        <f t="shared" ca="1" si="826"/>
        <v>6.0876068196939173</v>
      </c>
      <c r="AF1583">
        <f t="shared" ca="1" si="827"/>
        <v>-3.4106051316484809E-13</v>
      </c>
      <c r="AG1583">
        <f t="shared" ca="1" si="828"/>
        <v>1</v>
      </c>
      <c r="AH1583">
        <f ca="1">IFERROR(IF(V36="Supercritical",MAX($D$16,IFERROR(L1583,MAX($D$16,POWER((ABS(K1583)^2)/($I$5*MAX(F1583,0.1)^2),1/3)))),IF(V36="Subcritical",MAX($D$16,IFERROR(W1583,MAX($D$16,POWER((ABS(K1583)^2)/($I$5*MAX(F1583,0.1)^2),1/3)))),IF(AND(IFERROR(V1583,0)=1,IFERROR(AG1583,0)=1),IF(IFERROR(T1583,-1E+99)&gt;=IFERROR(AE1583,-1E+99),MAX($D$16,IFERROR(L1583,MAX($D$16,POWER((ABS(K1583)^2)/($I$5*MAX(F1583,0.1)^2),1/3)))),MAX($D$16,IFERROR(W1583,MAX($D$16,POWER((ABS(K1583)^2)/($I$5*MAX(F1583,0.1)^2),1/3))))),IF(IFERROR(V1583,0)=1,MAX($D$16,IFERROR(L1583,MAX($D$16,POWER((ABS(K1583)^2)/($I$5*MAX(F1583,0.1)^2),1/3)))),IF(IFERROR(AG1583,0)=1,MAX($D$16,IFERROR(W1583,MAX($D$16,POWER((ABS(K1583)^2)/($I$5*MAX(F1583,0.1)^2),1/3)))),MAX($D$16,POWER((ABS(K1583)^2)/($I$5*MAX(F1583,0.1)^2),1/3))))))),MAX($D$16,POWER((ABS(K1583)^2)/($I$5*MAX(F1583,0.1)^2),1/3)))</f>
        <v>1.4345781525918408</v>
      </c>
      <c r="AI1583">
        <f t="shared" ca="1" si="829"/>
        <v>632.93457815259183</v>
      </c>
      <c r="AJ1583">
        <f t="shared" ca="1" si="830"/>
        <v>632.93457815259183</v>
      </c>
      <c r="AM1583">
        <v>0</v>
      </c>
      <c r="AN1583">
        <v>0</v>
      </c>
      <c r="AO1583">
        <f t="shared" si="831"/>
        <v>0</v>
      </c>
      <c r="AP1583">
        <f t="shared" si="839"/>
        <v>0</v>
      </c>
      <c r="AQ1583">
        <f t="shared" ca="1" si="832"/>
        <v>0</v>
      </c>
      <c r="AR1583" t="str">
        <f t="shared" ca="1" si="833"/>
        <v>Subcritical</v>
      </c>
      <c r="AS1583">
        <f t="shared" ca="1" si="834"/>
        <v>0</v>
      </c>
    </row>
    <row r="1584" spans="1:45" x14ac:dyDescent="0.35">
      <c r="A1584">
        <v>22</v>
      </c>
      <c r="B1584">
        <v>20.952000000000002</v>
      </c>
      <c r="C1584">
        <v>616076.36199999996</v>
      </c>
      <c r="D1584">
        <v>3096594.923</v>
      </c>
      <c r="E1584">
        <v>631.5</v>
      </c>
      <c r="F1584">
        <v>5.9080000000000004</v>
      </c>
      <c r="G1584">
        <v>0</v>
      </c>
      <c r="H1584" t="s">
        <v>154</v>
      </c>
      <c r="I1584">
        <v>24.236999999999998</v>
      </c>
      <c r="J1584">
        <f t="shared" si="835"/>
        <v>0.96600000000000108</v>
      </c>
      <c r="K1584">
        <f t="shared" ca="1" si="840"/>
        <v>0</v>
      </c>
      <c r="L1584">
        <f t="shared" ca="1" si="836"/>
        <v>0.05</v>
      </c>
      <c r="M1584">
        <f t="shared" ca="1" si="810"/>
        <v>0.29540000000000005</v>
      </c>
      <c r="N1584">
        <f t="shared" ca="1" si="811"/>
        <v>4.9167776298268982E-2</v>
      </c>
      <c r="O1584">
        <f t="shared" ca="1" si="812"/>
        <v>0</v>
      </c>
      <c r="P1584">
        <f t="shared" ca="1" si="813"/>
        <v>631.54999999999995</v>
      </c>
      <c r="Q1584">
        <f t="shared" ca="1" si="814"/>
        <v>631.54999999999995</v>
      </c>
      <c r="R1584">
        <f t="shared" ca="1" si="815"/>
        <v>0</v>
      </c>
      <c r="S1584">
        <f t="shared" ca="1" si="816"/>
        <v>0</v>
      </c>
      <c r="T1584">
        <f t="shared" ca="1" si="817"/>
        <v>7.3850000000000018E-3</v>
      </c>
      <c r="U1584">
        <f t="shared" ca="1" si="837"/>
        <v>0</v>
      </c>
      <c r="V1584">
        <f t="shared" ca="1" si="838"/>
        <v>0</v>
      </c>
      <c r="W1584">
        <f t="shared" ca="1" si="818"/>
        <v>1.4345781525915327</v>
      </c>
      <c r="X1584">
        <f t="shared" ca="1" si="819"/>
        <v>8.4754877255107761</v>
      </c>
      <c r="Y1584">
        <f t="shared" ca="1" si="820"/>
        <v>0.9656302600542559</v>
      </c>
      <c r="Z1584">
        <f t="shared" ca="1" si="821"/>
        <v>0</v>
      </c>
      <c r="AA1584">
        <f t="shared" ca="1" si="822"/>
        <v>632.93457815259148</v>
      </c>
      <c r="AB1584">
        <f t="shared" ca="1" si="823"/>
        <v>632.93457815259148</v>
      </c>
      <c r="AC1584">
        <f t="shared" ca="1" si="824"/>
        <v>0</v>
      </c>
      <c r="AD1584">
        <f t="shared" ca="1" si="825"/>
        <v>0</v>
      </c>
      <c r="AE1584">
        <f t="shared" ca="1" si="826"/>
        <v>6.0793747617877303</v>
      </c>
      <c r="AF1584">
        <f t="shared" ca="1" si="827"/>
        <v>0</v>
      </c>
      <c r="AG1584">
        <f t="shared" ca="1" si="828"/>
        <v>1</v>
      </c>
      <c r="AH1584">
        <f ca="1">IFERROR(IF(V36="Supercritical",MAX($D$16,IFERROR(L1584,MAX($D$16,POWER((ABS(K1584)^2)/($I$5*MAX(F1584,0.1)^2),1/3)))),IF(V36="Subcritical",MAX($D$16,IFERROR(W1584,MAX($D$16,POWER((ABS(K1584)^2)/($I$5*MAX(F1584,0.1)^2),1/3)))),IF(AND(IFERROR(V1584,0)=1,IFERROR(AG1584,0)=1),IF(IFERROR(T1584,-1E+99)&gt;=IFERROR(AE1584,-1E+99),MAX($D$16,IFERROR(L1584,MAX($D$16,POWER((ABS(K1584)^2)/($I$5*MAX(F1584,0.1)^2),1/3)))),MAX($D$16,IFERROR(W1584,MAX($D$16,POWER((ABS(K1584)^2)/($I$5*MAX(F1584,0.1)^2),1/3))))),IF(IFERROR(V1584,0)=1,MAX($D$16,IFERROR(L1584,MAX($D$16,POWER((ABS(K1584)^2)/($I$5*MAX(F1584,0.1)^2),1/3)))),IF(IFERROR(AG1584,0)=1,MAX($D$16,IFERROR(W1584,MAX($D$16,POWER((ABS(K1584)^2)/($I$5*MAX(F1584,0.1)^2),1/3)))),MAX($D$16,POWER((ABS(K1584)^2)/($I$5*MAX(F1584,0.1)^2),1/3))))))),MAX($D$16,POWER((ABS(K1584)^2)/($I$5*MAX(F1584,0.1)^2),1/3)))</f>
        <v>1.4345781525915327</v>
      </c>
      <c r="AI1584">
        <f t="shared" ca="1" si="829"/>
        <v>632.93457815259148</v>
      </c>
      <c r="AJ1584">
        <f t="shared" ca="1" si="830"/>
        <v>632.93457815259148</v>
      </c>
      <c r="AM1584">
        <v>0</v>
      </c>
      <c r="AN1584">
        <v>0</v>
      </c>
      <c r="AO1584">
        <f t="shared" si="831"/>
        <v>0</v>
      </c>
      <c r="AP1584">
        <f t="shared" si="839"/>
        <v>0</v>
      </c>
      <c r="AQ1584">
        <f t="shared" ca="1" si="832"/>
        <v>0</v>
      </c>
      <c r="AR1584" t="str">
        <f t="shared" ca="1" si="833"/>
        <v>Subcritical</v>
      </c>
      <c r="AS1584">
        <f t="shared" ca="1" si="834"/>
        <v>0</v>
      </c>
    </row>
    <row r="1585" spans="1:45" x14ac:dyDescent="0.35">
      <c r="A1585">
        <v>23</v>
      </c>
      <c r="B1585">
        <v>21.951000000000001</v>
      </c>
      <c r="C1585">
        <v>616075.84</v>
      </c>
      <c r="D1585">
        <v>3096594.071</v>
      </c>
      <c r="E1585">
        <v>631.12</v>
      </c>
      <c r="F1585">
        <v>5.1589999999999998</v>
      </c>
      <c r="G1585">
        <v>0</v>
      </c>
      <c r="H1585" t="s">
        <v>154</v>
      </c>
      <c r="I1585">
        <v>1.9E-2</v>
      </c>
      <c r="J1585">
        <f t="shared" si="835"/>
        <v>0.99899999999999878</v>
      </c>
      <c r="K1585">
        <f t="shared" ca="1" si="840"/>
        <v>0</v>
      </c>
      <c r="L1585">
        <f t="shared" ca="1" si="836"/>
        <v>0.05</v>
      </c>
      <c r="M1585">
        <f t="shared" ca="1" si="810"/>
        <v>0.25795000000000001</v>
      </c>
      <c r="N1585">
        <f t="shared" ca="1" si="811"/>
        <v>4.9049248906636249E-2</v>
      </c>
      <c r="O1585">
        <f t="shared" ca="1" si="812"/>
        <v>0</v>
      </c>
      <c r="P1585">
        <f t="shared" ca="1" si="813"/>
        <v>631.16999999999996</v>
      </c>
      <c r="Q1585">
        <f t="shared" ca="1" si="814"/>
        <v>631.16999999999996</v>
      </c>
      <c r="R1585">
        <f t="shared" ca="1" si="815"/>
        <v>0</v>
      </c>
      <c r="S1585">
        <f t="shared" ca="1" si="816"/>
        <v>0</v>
      </c>
      <c r="T1585">
        <f t="shared" ca="1" si="817"/>
        <v>6.4487500000000014E-3</v>
      </c>
      <c r="U1585">
        <f t="shared" ca="1" si="837"/>
        <v>0.37999999999999545</v>
      </c>
      <c r="V1585">
        <f t="shared" ca="1" si="838"/>
        <v>0</v>
      </c>
      <c r="W1585">
        <f t="shared" ca="1" si="818"/>
        <v>1.8145781525915285</v>
      </c>
      <c r="X1585">
        <f t="shared" ca="1" si="819"/>
        <v>9.3614086892196955</v>
      </c>
      <c r="Y1585">
        <f t="shared" ca="1" si="820"/>
        <v>1.0652301079008515</v>
      </c>
      <c r="Z1585">
        <f t="shared" ca="1" si="821"/>
        <v>0</v>
      </c>
      <c r="AA1585">
        <f t="shared" ca="1" si="822"/>
        <v>632.93457815259148</v>
      </c>
      <c r="AB1585">
        <f t="shared" ca="1" si="823"/>
        <v>632.93457815259148</v>
      </c>
      <c r="AC1585">
        <f t="shared" ca="1" si="824"/>
        <v>0</v>
      </c>
      <c r="AD1585">
        <f t="shared" ca="1" si="825"/>
        <v>0</v>
      </c>
      <c r="AE1585">
        <f t="shared" ca="1" si="826"/>
        <v>8.4935038424692788</v>
      </c>
      <c r="AF1585">
        <f t="shared" ca="1" si="827"/>
        <v>0</v>
      </c>
      <c r="AG1585">
        <f t="shared" ca="1" si="828"/>
        <v>1</v>
      </c>
      <c r="AH1585">
        <f ca="1">IFERROR(IF(V36="Supercritical",MAX($D$16,IFERROR(L1585,MAX($D$16,POWER((ABS(K1585)^2)/($I$5*MAX(F1585,0.1)^2),1/3)))),IF(V36="Subcritical",MAX($D$16,IFERROR(W1585,MAX($D$16,POWER((ABS(K1585)^2)/($I$5*MAX(F1585,0.1)^2),1/3)))),IF(AND(IFERROR(V1585,0)=1,IFERROR(AG1585,0)=1),IF(IFERROR(T1585,-1E+99)&gt;=IFERROR(AE1585,-1E+99),MAX($D$16,IFERROR(L1585,MAX($D$16,POWER((ABS(K1585)^2)/($I$5*MAX(F1585,0.1)^2),1/3)))),MAX($D$16,IFERROR(W1585,MAX($D$16,POWER((ABS(K1585)^2)/($I$5*MAX(F1585,0.1)^2),1/3))))),IF(IFERROR(V1585,0)=1,MAX($D$16,IFERROR(L1585,MAX($D$16,POWER((ABS(K1585)^2)/($I$5*MAX(F1585,0.1)^2),1/3)))),IF(IFERROR(AG1585,0)=1,MAX($D$16,IFERROR(W1585,MAX($D$16,POWER((ABS(K1585)^2)/($I$5*MAX(F1585,0.1)^2),1/3)))),MAX($D$16,POWER((ABS(K1585)^2)/($I$5*MAX(F1585,0.1)^2),1/3))))))),MAX($D$16,POWER((ABS(K1585)^2)/($I$5*MAX(F1585,0.1)^2),1/3)))</f>
        <v>1.8145781525915285</v>
      </c>
      <c r="AI1585">
        <f t="shared" ca="1" si="829"/>
        <v>632.93457815259148</v>
      </c>
      <c r="AJ1585">
        <f t="shared" ca="1" si="830"/>
        <v>632.93457815259148</v>
      </c>
      <c r="AM1585">
        <v>0</v>
      </c>
      <c r="AN1585">
        <v>0</v>
      </c>
      <c r="AO1585">
        <f t="shared" si="831"/>
        <v>0</v>
      </c>
      <c r="AP1585">
        <f t="shared" si="839"/>
        <v>0</v>
      </c>
      <c r="AQ1585">
        <f t="shared" ca="1" si="832"/>
        <v>0</v>
      </c>
      <c r="AR1585" t="str">
        <f t="shared" ca="1" si="833"/>
        <v>Subcritical</v>
      </c>
      <c r="AS1585">
        <f t="shared" ca="1" si="834"/>
        <v>0</v>
      </c>
    </row>
    <row r="1586" spans="1:45" x14ac:dyDescent="0.35">
      <c r="A1586">
        <v>24</v>
      </c>
      <c r="B1586">
        <v>22.952000000000002</v>
      </c>
      <c r="C1586">
        <v>616075.31700000004</v>
      </c>
      <c r="D1586">
        <v>3096593.2179999999</v>
      </c>
      <c r="E1586">
        <v>630.74</v>
      </c>
      <c r="F1586">
        <v>4.8529999999999998</v>
      </c>
      <c r="G1586">
        <v>0</v>
      </c>
      <c r="H1586" t="s">
        <v>154</v>
      </c>
      <c r="I1586">
        <v>4.9000000000000002E-2</v>
      </c>
      <c r="J1586">
        <f t="shared" si="835"/>
        <v>1.0010000000000012</v>
      </c>
      <c r="K1586">
        <f t="shared" ca="1" si="840"/>
        <v>0</v>
      </c>
      <c r="L1586">
        <f t="shared" ca="1" si="836"/>
        <v>0.05</v>
      </c>
      <c r="M1586">
        <f t="shared" ca="1" si="810"/>
        <v>0.24265</v>
      </c>
      <c r="N1586">
        <f t="shared" ca="1" si="811"/>
        <v>4.899051080153443E-2</v>
      </c>
      <c r="O1586">
        <f t="shared" ca="1" si="812"/>
        <v>0</v>
      </c>
      <c r="P1586">
        <f t="shared" ca="1" si="813"/>
        <v>630.79</v>
      </c>
      <c r="Q1586">
        <f t="shared" ca="1" si="814"/>
        <v>630.79</v>
      </c>
      <c r="R1586">
        <f t="shared" ca="1" si="815"/>
        <v>0</v>
      </c>
      <c r="S1586">
        <f t="shared" ca="1" si="816"/>
        <v>0</v>
      </c>
      <c r="T1586">
        <f t="shared" ca="1" si="817"/>
        <v>6.0662500000000005E-3</v>
      </c>
      <c r="U1586">
        <f t="shared" ca="1" si="837"/>
        <v>0.37999999999999545</v>
      </c>
      <c r="V1586">
        <f t="shared" ca="1" si="838"/>
        <v>0</v>
      </c>
      <c r="W1586">
        <f t="shared" ca="1" si="818"/>
        <v>2.1945781525915278</v>
      </c>
      <c r="X1586">
        <f t="shared" ca="1" si="819"/>
        <v>10.650287774526683</v>
      </c>
      <c r="Y1586">
        <f t="shared" ca="1" si="820"/>
        <v>1.1523596250535104</v>
      </c>
      <c r="Z1586">
        <f t="shared" ca="1" si="821"/>
        <v>0</v>
      </c>
      <c r="AA1586">
        <f t="shared" ca="1" si="822"/>
        <v>632.93457815259148</v>
      </c>
      <c r="AB1586">
        <f t="shared" ca="1" si="823"/>
        <v>632.93457815259148</v>
      </c>
      <c r="AC1586">
        <f t="shared" ca="1" si="824"/>
        <v>0</v>
      </c>
      <c r="AD1586">
        <f t="shared" ca="1" si="825"/>
        <v>0</v>
      </c>
      <c r="AE1586">
        <f t="shared" ca="1" si="826"/>
        <v>11.686444434394451</v>
      </c>
      <c r="AF1586">
        <f t="shared" ca="1" si="827"/>
        <v>0</v>
      </c>
      <c r="AG1586">
        <f t="shared" ca="1" si="828"/>
        <v>1</v>
      </c>
      <c r="AH1586">
        <f ca="1">IFERROR(IF(V36="Supercritical",MAX($D$16,IFERROR(L1586,MAX($D$16,POWER((ABS(K1586)^2)/($I$5*MAX(F1586,0.1)^2),1/3)))),IF(V36="Subcritical",MAX($D$16,IFERROR(W1586,MAX($D$16,POWER((ABS(K1586)^2)/($I$5*MAX(F1586,0.1)^2),1/3)))),IF(AND(IFERROR(V1586,0)=1,IFERROR(AG1586,0)=1),IF(IFERROR(T1586,-1E+99)&gt;=IFERROR(AE1586,-1E+99),MAX($D$16,IFERROR(L1586,MAX($D$16,POWER((ABS(K1586)^2)/($I$5*MAX(F1586,0.1)^2),1/3)))),MAX($D$16,IFERROR(W1586,MAX($D$16,POWER((ABS(K1586)^2)/($I$5*MAX(F1586,0.1)^2),1/3))))),IF(IFERROR(V1586,0)=1,MAX($D$16,IFERROR(L1586,MAX($D$16,POWER((ABS(K1586)^2)/($I$5*MAX(F1586,0.1)^2),1/3)))),IF(IFERROR(AG1586,0)=1,MAX($D$16,IFERROR(W1586,MAX($D$16,POWER((ABS(K1586)^2)/($I$5*MAX(F1586,0.1)^2),1/3)))),MAX($D$16,POWER((ABS(K1586)^2)/($I$5*MAX(F1586,0.1)^2),1/3))))))),MAX($D$16,POWER((ABS(K1586)^2)/($I$5*MAX(F1586,0.1)^2),1/3)))</f>
        <v>2.1945781525915278</v>
      </c>
      <c r="AI1586">
        <f t="shared" ca="1" si="829"/>
        <v>632.93457815259148</v>
      </c>
      <c r="AJ1586">
        <f t="shared" ca="1" si="830"/>
        <v>632.93457815259148</v>
      </c>
      <c r="AM1586">
        <v>0</v>
      </c>
      <c r="AN1586">
        <v>0</v>
      </c>
      <c r="AO1586">
        <f t="shared" si="831"/>
        <v>0</v>
      </c>
      <c r="AP1586">
        <f t="shared" si="839"/>
        <v>0</v>
      </c>
      <c r="AQ1586">
        <f t="shared" ca="1" si="832"/>
        <v>0</v>
      </c>
      <c r="AR1586" t="str">
        <f t="shared" ca="1" si="833"/>
        <v>Subcritical</v>
      </c>
      <c r="AS1586">
        <f t="shared" ca="1" si="834"/>
        <v>0</v>
      </c>
    </row>
    <row r="1587" spans="1:45" x14ac:dyDescent="0.35">
      <c r="A1587">
        <v>25</v>
      </c>
      <c r="B1587">
        <v>23.952000000000002</v>
      </c>
      <c r="C1587">
        <v>616074.79500000004</v>
      </c>
      <c r="D1587">
        <v>3096592.3650000002</v>
      </c>
      <c r="E1587">
        <v>630.36</v>
      </c>
      <c r="F1587">
        <v>4.6130000000000004</v>
      </c>
      <c r="G1587">
        <v>0</v>
      </c>
      <c r="H1587" t="s">
        <v>154</v>
      </c>
      <c r="I1587">
        <v>0.03</v>
      </c>
      <c r="J1587">
        <f t="shared" si="835"/>
        <v>1</v>
      </c>
      <c r="K1587">
        <f t="shared" ca="1" si="840"/>
        <v>0</v>
      </c>
      <c r="L1587">
        <f t="shared" ca="1" si="836"/>
        <v>0.05</v>
      </c>
      <c r="M1587">
        <f t="shared" ca="1" si="810"/>
        <v>0.23065000000000002</v>
      </c>
      <c r="N1587">
        <f t="shared" ca="1" si="811"/>
        <v>4.8939104604286021E-2</v>
      </c>
      <c r="O1587">
        <f t="shared" ca="1" si="812"/>
        <v>0</v>
      </c>
      <c r="P1587">
        <f t="shared" ca="1" si="813"/>
        <v>630.41</v>
      </c>
      <c r="Q1587">
        <f t="shared" ca="1" si="814"/>
        <v>630.41</v>
      </c>
      <c r="R1587">
        <f t="shared" ca="1" si="815"/>
        <v>0</v>
      </c>
      <c r="S1587">
        <f t="shared" ca="1" si="816"/>
        <v>0</v>
      </c>
      <c r="T1587">
        <f t="shared" ca="1" si="817"/>
        <v>5.7662500000000014E-3</v>
      </c>
      <c r="U1587">
        <f t="shared" ca="1" si="837"/>
        <v>0.37999999999999545</v>
      </c>
      <c r="V1587">
        <f t="shared" ca="1" si="838"/>
        <v>0</v>
      </c>
      <c r="W1587">
        <f t="shared" ca="1" si="818"/>
        <v>2.5745781525915215</v>
      </c>
      <c r="X1587">
        <f t="shared" ca="1" si="819"/>
        <v>11.876529017904689</v>
      </c>
      <c r="Y1587">
        <f t="shared" ca="1" si="820"/>
        <v>1.2165886968639352</v>
      </c>
      <c r="Z1587">
        <f t="shared" ca="1" si="821"/>
        <v>0</v>
      </c>
      <c r="AA1587">
        <f t="shared" ca="1" si="822"/>
        <v>632.93457815259148</v>
      </c>
      <c r="AB1587">
        <f t="shared" ca="1" si="823"/>
        <v>632.93457815259148</v>
      </c>
      <c r="AC1587">
        <f t="shared" ca="1" si="824"/>
        <v>0</v>
      </c>
      <c r="AD1587">
        <f t="shared" ca="1" si="825"/>
        <v>0</v>
      </c>
      <c r="AE1587">
        <f t="shared" ca="1" si="826"/>
        <v>15.288526069058326</v>
      </c>
      <c r="AF1587">
        <f t="shared" ca="1" si="827"/>
        <v>0</v>
      </c>
      <c r="AG1587">
        <f t="shared" ca="1" si="828"/>
        <v>1</v>
      </c>
      <c r="AH1587">
        <f ca="1">IFERROR(IF(V36="Supercritical",MAX($D$16,IFERROR(L1587,MAX($D$16,POWER((ABS(K1587)^2)/($I$5*MAX(F1587,0.1)^2),1/3)))),IF(V36="Subcritical",MAX($D$16,IFERROR(W1587,MAX($D$16,POWER((ABS(K1587)^2)/($I$5*MAX(F1587,0.1)^2),1/3)))),IF(AND(IFERROR(V1587,0)=1,IFERROR(AG1587,0)=1),IF(IFERROR(T1587,-1E+99)&gt;=IFERROR(AE1587,-1E+99),MAX($D$16,IFERROR(L1587,MAX($D$16,POWER((ABS(K1587)^2)/($I$5*MAX(F1587,0.1)^2),1/3)))),MAX($D$16,IFERROR(W1587,MAX($D$16,POWER((ABS(K1587)^2)/($I$5*MAX(F1587,0.1)^2),1/3))))),IF(IFERROR(V1587,0)=1,MAX($D$16,IFERROR(L1587,MAX($D$16,POWER((ABS(K1587)^2)/($I$5*MAX(F1587,0.1)^2),1/3)))),IF(IFERROR(AG1587,0)=1,MAX($D$16,IFERROR(W1587,MAX($D$16,POWER((ABS(K1587)^2)/($I$5*MAX(F1587,0.1)^2),1/3)))),MAX($D$16,POWER((ABS(K1587)^2)/($I$5*MAX(F1587,0.1)^2),1/3))))))),MAX($D$16,POWER((ABS(K1587)^2)/($I$5*MAX(F1587,0.1)^2),1/3)))</f>
        <v>2.5745781525915215</v>
      </c>
      <c r="AI1587">
        <f t="shared" ca="1" si="829"/>
        <v>632.93457815259148</v>
      </c>
      <c r="AJ1587">
        <f t="shared" ca="1" si="830"/>
        <v>632.93457815259148</v>
      </c>
      <c r="AM1587">
        <v>0</v>
      </c>
      <c r="AN1587">
        <v>0</v>
      </c>
      <c r="AO1587">
        <f t="shared" si="831"/>
        <v>0</v>
      </c>
      <c r="AP1587">
        <f t="shared" si="839"/>
        <v>0</v>
      </c>
      <c r="AQ1587">
        <f t="shared" ca="1" si="832"/>
        <v>0</v>
      </c>
      <c r="AR1587" t="str">
        <f t="shared" ca="1" si="833"/>
        <v>Subcritical</v>
      </c>
      <c r="AS1587">
        <f t="shared" ca="1" si="834"/>
        <v>0</v>
      </c>
    </row>
    <row r="1588" spans="1:45" x14ac:dyDescent="0.35">
      <c r="A1588">
        <v>26</v>
      </c>
      <c r="B1588">
        <v>24.951000000000001</v>
      </c>
      <c r="C1588">
        <v>616074.27300000004</v>
      </c>
      <c r="D1588">
        <v>3096591.5129999998</v>
      </c>
      <c r="E1588">
        <v>629.98</v>
      </c>
      <c r="F1588">
        <v>4.3739999999999997</v>
      </c>
      <c r="G1588">
        <v>0</v>
      </c>
      <c r="H1588" t="s">
        <v>154</v>
      </c>
      <c r="I1588">
        <v>1.9E-2</v>
      </c>
      <c r="J1588">
        <f t="shared" si="835"/>
        <v>0.99899999999999878</v>
      </c>
      <c r="K1588">
        <f t="shared" ca="1" si="840"/>
        <v>0</v>
      </c>
      <c r="L1588">
        <f t="shared" ca="1" si="836"/>
        <v>0.05</v>
      </c>
      <c r="M1588">
        <f t="shared" ca="1" si="810"/>
        <v>0.21870000000000001</v>
      </c>
      <c r="N1588">
        <f t="shared" ca="1" si="811"/>
        <v>4.8882431828341538E-2</v>
      </c>
      <c r="O1588">
        <f t="shared" ca="1" si="812"/>
        <v>0</v>
      </c>
      <c r="P1588">
        <f t="shared" ca="1" si="813"/>
        <v>630.03</v>
      </c>
      <c r="Q1588">
        <f t="shared" ca="1" si="814"/>
        <v>630.03</v>
      </c>
      <c r="R1588">
        <f t="shared" ca="1" si="815"/>
        <v>0</v>
      </c>
      <c r="S1588">
        <f t="shared" ca="1" si="816"/>
        <v>0</v>
      </c>
      <c r="T1588">
        <f t="shared" ca="1" si="817"/>
        <v>5.467500000000001E-3</v>
      </c>
      <c r="U1588">
        <f t="shared" ca="1" si="837"/>
        <v>0.37999999999999545</v>
      </c>
      <c r="V1588">
        <f t="shared" ca="1" si="838"/>
        <v>0</v>
      </c>
      <c r="W1588">
        <f t="shared" ca="1" si="818"/>
        <v>2.9545781525915182</v>
      </c>
      <c r="X1588">
        <f t="shared" ca="1" si="819"/>
        <v>12.923324839435299</v>
      </c>
      <c r="Y1588">
        <f t="shared" ca="1" si="820"/>
        <v>1.2567469029836233</v>
      </c>
      <c r="Z1588">
        <f t="shared" ca="1" si="821"/>
        <v>0</v>
      </c>
      <c r="AA1588">
        <f t="shared" ca="1" si="822"/>
        <v>632.93457815259148</v>
      </c>
      <c r="AB1588">
        <f t="shared" ca="1" si="823"/>
        <v>632.93457815259148</v>
      </c>
      <c r="AC1588">
        <f t="shared" ca="1" si="824"/>
        <v>0</v>
      </c>
      <c r="AD1588">
        <f t="shared" ca="1" si="825"/>
        <v>0</v>
      </c>
      <c r="AE1588">
        <f t="shared" ca="1" si="826"/>
        <v>19.091486614719415</v>
      </c>
      <c r="AF1588">
        <f t="shared" ca="1" si="827"/>
        <v>0</v>
      </c>
      <c r="AG1588">
        <f t="shared" ca="1" si="828"/>
        <v>1</v>
      </c>
      <c r="AH1588">
        <f ca="1">IFERROR(IF(V36="Supercritical",MAX($D$16,IFERROR(L1588,MAX($D$16,POWER((ABS(K1588)^2)/($I$5*MAX(F1588,0.1)^2),1/3)))),IF(V36="Subcritical",MAX($D$16,IFERROR(W1588,MAX($D$16,POWER((ABS(K1588)^2)/($I$5*MAX(F1588,0.1)^2),1/3)))),IF(AND(IFERROR(V1588,0)=1,IFERROR(AG1588,0)=1),IF(IFERROR(T1588,-1E+99)&gt;=IFERROR(AE1588,-1E+99),MAX($D$16,IFERROR(L1588,MAX($D$16,POWER((ABS(K1588)^2)/($I$5*MAX(F1588,0.1)^2),1/3)))),MAX($D$16,IFERROR(W1588,MAX($D$16,POWER((ABS(K1588)^2)/($I$5*MAX(F1588,0.1)^2),1/3))))),IF(IFERROR(V1588,0)=1,MAX($D$16,IFERROR(L1588,MAX($D$16,POWER((ABS(K1588)^2)/($I$5*MAX(F1588,0.1)^2),1/3)))),IF(IFERROR(AG1588,0)=1,MAX($D$16,IFERROR(W1588,MAX($D$16,POWER((ABS(K1588)^2)/($I$5*MAX(F1588,0.1)^2),1/3)))),MAX($D$16,POWER((ABS(K1588)^2)/($I$5*MAX(F1588,0.1)^2),1/3))))))),MAX($D$16,POWER((ABS(K1588)^2)/($I$5*MAX(F1588,0.1)^2),1/3)))</f>
        <v>2.9545781525915182</v>
      </c>
      <c r="AI1588">
        <f t="shared" ca="1" si="829"/>
        <v>632.93457815259148</v>
      </c>
      <c r="AJ1588">
        <f t="shared" ca="1" si="830"/>
        <v>632.93457815259148</v>
      </c>
      <c r="AM1588">
        <v>0</v>
      </c>
      <c r="AN1588">
        <v>0</v>
      </c>
      <c r="AO1588">
        <f t="shared" si="831"/>
        <v>0</v>
      </c>
      <c r="AP1588">
        <f t="shared" si="839"/>
        <v>0</v>
      </c>
      <c r="AQ1588">
        <f t="shared" ca="1" si="832"/>
        <v>0</v>
      </c>
      <c r="AR1588" t="str">
        <f t="shared" ca="1" si="833"/>
        <v>Subcritical</v>
      </c>
      <c r="AS1588">
        <f t="shared" ca="1" si="834"/>
        <v>0</v>
      </c>
    </row>
    <row r="1589" spans="1:45" x14ac:dyDescent="0.35">
      <c r="A1589">
        <v>27</v>
      </c>
      <c r="B1589">
        <v>25.952000000000002</v>
      </c>
      <c r="C1589">
        <v>616073.75</v>
      </c>
      <c r="D1589">
        <v>3096590.66</v>
      </c>
      <c r="E1589">
        <v>629.6</v>
      </c>
      <c r="F1589">
        <v>4.1340000000000003</v>
      </c>
      <c r="G1589">
        <v>0</v>
      </c>
      <c r="H1589" t="s">
        <v>154</v>
      </c>
      <c r="I1589">
        <v>4.9000000000000002E-2</v>
      </c>
      <c r="J1589">
        <f t="shared" si="835"/>
        <v>1.0010000000000012</v>
      </c>
      <c r="K1589">
        <f t="shared" ca="1" si="840"/>
        <v>0</v>
      </c>
      <c r="L1589">
        <f t="shared" ca="1" si="836"/>
        <v>0.05</v>
      </c>
      <c r="M1589">
        <f t="shared" ca="1" si="810"/>
        <v>0.20670000000000002</v>
      </c>
      <c r="N1589">
        <f t="shared" ca="1" si="811"/>
        <v>4.8819083608880494E-2</v>
      </c>
      <c r="O1589">
        <f t="shared" ca="1" si="812"/>
        <v>0</v>
      </c>
      <c r="P1589">
        <f t="shared" ca="1" si="813"/>
        <v>629.65</v>
      </c>
      <c r="Q1589">
        <f t="shared" ca="1" si="814"/>
        <v>629.65</v>
      </c>
      <c r="R1589">
        <f t="shared" ca="1" si="815"/>
        <v>0</v>
      </c>
      <c r="S1589">
        <f t="shared" ca="1" si="816"/>
        <v>0</v>
      </c>
      <c r="T1589">
        <f t="shared" ca="1" si="817"/>
        <v>5.1675000000000011E-3</v>
      </c>
      <c r="U1589">
        <f t="shared" ca="1" si="837"/>
        <v>0.37999999999999545</v>
      </c>
      <c r="V1589">
        <f t="shared" ca="1" si="838"/>
        <v>0</v>
      </c>
      <c r="W1589">
        <f t="shared" ca="1" si="818"/>
        <v>3.3345781525915155</v>
      </c>
      <c r="X1589">
        <f t="shared" ca="1" si="819"/>
        <v>13.785146082813325</v>
      </c>
      <c r="Y1589">
        <f t="shared" ca="1" si="820"/>
        <v>1.2760294948430604</v>
      </c>
      <c r="Z1589">
        <f t="shared" ca="1" si="821"/>
        <v>0</v>
      </c>
      <c r="AA1589">
        <f t="shared" ca="1" si="822"/>
        <v>632.93457815259148</v>
      </c>
      <c r="AB1589">
        <f t="shared" ca="1" si="823"/>
        <v>632.93457815259148</v>
      </c>
      <c r="AC1589">
        <f t="shared" ca="1" si="824"/>
        <v>0</v>
      </c>
      <c r="AD1589">
        <f t="shared" ca="1" si="825"/>
        <v>0</v>
      </c>
      <c r="AE1589">
        <f t="shared" ca="1" si="826"/>
        <v>22.983823479015914</v>
      </c>
      <c r="AF1589">
        <f t="shared" ca="1" si="827"/>
        <v>0</v>
      </c>
      <c r="AG1589">
        <f t="shared" ca="1" si="828"/>
        <v>1</v>
      </c>
      <c r="AH1589">
        <f ca="1">IFERROR(IF(V36="Supercritical",MAX($D$16,IFERROR(L1589,MAX($D$16,POWER((ABS(K1589)^2)/($I$5*MAX(F1589,0.1)^2),1/3)))),IF(V36="Subcritical",MAX($D$16,IFERROR(W1589,MAX($D$16,POWER((ABS(K1589)^2)/($I$5*MAX(F1589,0.1)^2),1/3)))),IF(AND(IFERROR(V1589,0)=1,IFERROR(AG1589,0)=1),IF(IFERROR(T1589,-1E+99)&gt;=IFERROR(AE1589,-1E+99),MAX($D$16,IFERROR(L1589,MAX($D$16,POWER((ABS(K1589)^2)/($I$5*MAX(F1589,0.1)^2),1/3)))),MAX($D$16,IFERROR(W1589,MAX($D$16,POWER((ABS(K1589)^2)/($I$5*MAX(F1589,0.1)^2),1/3))))),IF(IFERROR(V1589,0)=1,MAX($D$16,IFERROR(L1589,MAX($D$16,POWER((ABS(K1589)^2)/($I$5*MAX(F1589,0.1)^2),1/3)))),IF(IFERROR(AG1589,0)=1,MAX($D$16,IFERROR(W1589,MAX($D$16,POWER((ABS(K1589)^2)/($I$5*MAX(F1589,0.1)^2),1/3)))),MAX($D$16,POWER((ABS(K1589)^2)/($I$5*MAX(F1589,0.1)^2),1/3))))))),MAX($D$16,POWER((ABS(K1589)^2)/($I$5*MAX(F1589,0.1)^2),1/3)))</f>
        <v>3.3345781525915155</v>
      </c>
      <c r="AI1589">
        <f t="shared" ca="1" si="829"/>
        <v>632.93457815259148</v>
      </c>
      <c r="AJ1589">
        <f t="shared" ca="1" si="830"/>
        <v>632.93457815259148</v>
      </c>
      <c r="AM1589">
        <v>0</v>
      </c>
      <c r="AN1589">
        <v>0</v>
      </c>
      <c r="AO1589">
        <f t="shared" si="831"/>
        <v>0</v>
      </c>
      <c r="AP1589">
        <f t="shared" si="839"/>
        <v>0</v>
      </c>
      <c r="AQ1589">
        <f t="shared" ca="1" si="832"/>
        <v>0</v>
      </c>
      <c r="AR1589" t="str">
        <f t="shared" ca="1" si="833"/>
        <v>Subcritical</v>
      </c>
      <c r="AS1589">
        <f t="shared" ca="1" si="834"/>
        <v>0</v>
      </c>
    </row>
    <row r="1590" spans="1:45" x14ac:dyDescent="0.35">
      <c r="A1590">
        <v>28</v>
      </c>
      <c r="B1590">
        <v>26.952000000000002</v>
      </c>
      <c r="C1590">
        <v>616073.228</v>
      </c>
      <c r="D1590">
        <v>3096589.807</v>
      </c>
      <c r="E1590">
        <v>629.22</v>
      </c>
      <c r="F1590">
        <v>3.8940000000000001</v>
      </c>
      <c r="G1590">
        <v>0</v>
      </c>
      <c r="H1590" t="s">
        <v>154</v>
      </c>
      <c r="I1590">
        <v>7.9000000000000001E-2</v>
      </c>
      <c r="J1590">
        <f t="shared" si="835"/>
        <v>1</v>
      </c>
      <c r="K1590">
        <f t="shared" ca="1" si="840"/>
        <v>0</v>
      </c>
      <c r="L1590">
        <f t="shared" ca="1" si="836"/>
        <v>0.05</v>
      </c>
      <c r="M1590">
        <f t="shared" ca="1" si="810"/>
        <v>0.19470000000000001</v>
      </c>
      <c r="N1590">
        <f t="shared" ca="1" si="811"/>
        <v>4.8748122183274914E-2</v>
      </c>
      <c r="O1590">
        <f t="shared" ca="1" si="812"/>
        <v>0</v>
      </c>
      <c r="P1590">
        <f t="shared" ca="1" si="813"/>
        <v>629.27</v>
      </c>
      <c r="Q1590">
        <f t="shared" ca="1" si="814"/>
        <v>629.27</v>
      </c>
      <c r="R1590">
        <f t="shared" ca="1" si="815"/>
        <v>0</v>
      </c>
      <c r="S1590">
        <f t="shared" ca="1" si="816"/>
        <v>0</v>
      </c>
      <c r="T1590">
        <f t="shared" ca="1" si="817"/>
        <v>4.8675000000000012E-3</v>
      </c>
      <c r="U1590">
        <f t="shared" ca="1" si="837"/>
        <v>0.37999999999999545</v>
      </c>
      <c r="V1590">
        <f t="shared" ca="1" si="838"/>
        <v>0</v>
      </c>
      <c r="W1590">
        <f t="shared" ca="1" si="818"/>
        <v>3.7145781525914092</v>
      </c>
      <c r="X1590">
        <f t="shared" ca="1" si="819"/>
        <v>14.464567326190949</v>
      </c>
      <c r="Y1590">
        <f t="shared" ca="1" si="820"/>
        <v>1.2774324522545226</v>
      </c>
      <c r="Z1590">
        <f t="shared" ca="1" si="821"/>
        <v>0</v>
      </c>
      <c r="AA1590">
        <f t="shared" ca="1" si="822"/>
        <v>632.93457815259148</v>
      </c>
      <c r="AB1590">
        <f t="shared" ca="1" si="823"/>
        <v>632.93457815259148</v>
      </c>
      <c r="AC1590">
        <f t="shared" ca="1" si="824"/>
        <v>0</v>
      </c>
      <c r="AD1590">
        <f t="shared" ca="1" si="825"/>
        <v>0</v>
      </c>
      <c r="AE1590">
        <f t="shared" ca="1" si="826"/>
        <v>26.864882888278217</v>
      </c>
      <c r="AF1590">
        <f t="shared" ca="1" si="827"/>
        <v>0</v>
      </c>
      <c r="AG1590">
        <f t="shared" ca="1" si="828"/>
        <v>1</v>
      </c>
      <c r="AH1590">
        <f ca="1">IFERROR(IF(V36="Supercritical",MAX($D$16,IFERROR(L1590,MAX($D$16,POWER((ABS(K1590)^2)/($I$5*MAX(F1590,0.1)^2),1/3)))),IF(V36="Subcritical",MAX($D$16,IFERROR(W1590,MAX($D$16,POWER((ABS(K1590)^2)/($I$5*MAX(F1590,0.1)^2),1/3)))),IF(AND(IFERROR(V1590,0)=1,IFERROR(AG1590,0)=1),IF(IFERROR(T1590,-1E+99)&gt;=IFERROR(AE1590,-1E+99),MAX($D$16,IFERROR(L1590,MAX($D$16,POWER((ABS(K1590)^2)/($I$5*MAX(F1590,0.1)^2),1/3)))),MAX($D$16,IFERROR(W1590,MAX($D$16,POWER((ABS(K1590)^2)/($I$5*MAX(F1590,0.1)^2),1/3))))),IF(IFERROR(V1590,0)=1,MAX($D$16,IFERROR(L1590,MAX($D$16,POWER((ABS(K1590)^2)/($I$5*MAX(F1590,0.1)^2),1/3)))),IF(IFERROR(AG1590,0)=1,MAX($D$16,IFERROR(W1590,MAX($D$16,POWER((ABS(K1590)^2)/($I$5*MAX(F1590,0.1)^2),1/3)))),MAX($D$16,POWER((ABS(K1590)^2)/($I$5*MAX(F1590,0.1)^2),1/3))))))),MAX($D$16,POWER((ABS(K1590)^2)/($I$5*MAX(F1590,0.1)^2),1/3)))</f>
        <v>3.7145781525914092</v>
      </c>
      <c r="AI1590">
        <f t="shared" ca="1" si="829"/>
        <v>632.93457815259148</v>
      </c>
      <c r="AJ1590">
        <f t="shared" ca="1" si="830"/>
        <v>632.93457815259148</v>
      </c>
      <c r="AM1590">
        <v>0</v>
      </c>
      <c r="AN1590">
        <v>0</v>
      </c>
      <c r="AO1590">
        <f t="shared" si="831"/>
        <v>0</v>
      </c>
      <c r="AP1590">
        <f t="shared" si="839"/>
        <v>0</v>
      </c>
      <c r="AQ1590">
        <f t="shared" ca="1" si="832"/>
        <v>0</v>
      </c>
      <c r="AR1590" t="str">
        <f t="shared" ca="1" si="833"/>
        <v>Subcritical</v>
      </c>
      <c r="AS1590">
        <f t="shared" ca="1" si="834"/>
        <v>0</v>
      </c>
    </row>
    <row r="1591" spans="1:45" x14ac:dyDescent="0.35">
      <c r="A1591">
        <v>29</v>
      </c>
      <c r="B1591">
        <v>27.951000000000001</v>
      </c>
      <c r="C1591">
        <v>616072.70499999996</v>
      </c>
      <c r="D1591">
        <v>3096588.9550000001</v>
      </c>
      <c r="E1591">
        <v>628.84</v>
      </c>
      <c r="F1591">
        <v>3.714</v>
      </c>
      <c r="G1591">
        <v>0</v>
      </c>
      <c r="H1591" t="s">
        <v>154</v>
      </c>
      <c r="I1591">
        <v>0.41299999999999998</v>
      </c>
      <c r="J1591">
        <f t="shared" si="835"/>
        <v>0.99899999999999878</v>
      </c>
      <c r="K1591">
        <f ca="1">K1590+(AO1557)</f>
        <v>49.881000000000007</v>
      </c>
      <c r="L1591">
        <f t="shared" ca="1" si="836"/>
        <v>0.05</v>
      </c>
      <c r="M1591">
        <f t="shared" ca="1" si="810"/>
        <v>0.1857</v>
      </c>
      <c r="N1591">
        <f t="shared" ca="1" si="811"/>
        <v>4.8689040377556371E-2</v>
      </c>
      <c r="O1591">
        <f t="shared" ca="1" si="812"/>
        <v>268.61066235864303</v>
      </c>
      <c r="P1591">
        <f t="shared" ca="1" si="813"/>
        <v>628.89</v>
      </c>
      <c r="Q1591">
        <f t="shared" ca="1" si="814"/>
        <v>4306.3460618118716</v>
      </c>
      <c r="R1591">
        <f t="shared" ca="1" si="815"/>
        <v>913.10501267689187</v>
      </c>
      <c r="S1591">
        <f t="shared" ca="1" si="816"/>
        <v>383.53388699367213</v>
      </c>
      <c r="T1591">
        <f t="shared" ca="1" si="817"/>
        <v>1365.8118238569291</v>
      </c>
      <c r="U1591">
        <f t="shared" ca="1" si="837"/>
        <v>-4503.4489374143795</v>
      </c>
      <c r="V1591">
        <f t="shared" ca="1" si="838"/>
        <v>0</v>
      </c>
      <c r="W1591">
        <f t="shared" ca="1" si="818"/>
        <v>2.6394037674933593</v>
      </c>
      <c r="X1591">
        <f t="shared" ca="1" si="819"/>
        <v>9.8027455924703357</v>
      </c>
      <c r="Y1591">
        <f t="shared" ca="1" si="820"/>
        <v>1.0900650941691497</v>
      </c>
      <c r="Z1591">
        <f t="shared" ca="1" si="821"/>
        <v>5.0884723600615009</v>
      </c>
      <c r="AA1591">
        <f t="shared" ca="1" si="822"/>
        <v>631.47940376749341</v>
      </c>
      <c r="AB1591">
        <f t="shared" ca="1" si="823"/>
        <v>632.7991056512401</v>
      </c>
      <c r="AC1591">
        <f t="shared" ca="1" si="824"/>
        <v>5.1930293895375949E-3</v>
      </c>
      <c r="AD1591">
        <f t="shared" ca="1" si="825"/>
        <v>1.0000000000000002</v>
      </c>
      <c r="AE1591">
        <f t="shared" ca="1" si="826"/>
        <v>38.810105472817696</v>
      </c>
      <c r="AF1591">
        <f t="shared" ca="1" si="827"/>
        <v>-0.42962899900840057</v>
      </c>
      <c r="AG1591">
        <f t="shared" ca="1" si="828"/>
        <v>1</v>
      </c>
      <c r="AH1591">
        <f ca="1">IFERROR(IF(V36="Supercritical",MAX($D$16,IFERROR(L1591,MAX($D$16,POWER((ABS(K1591)^2)/($I$5*MAX(F1591,0.1)^2),1/3)))),IF(V36="Subcritical",MAX($D$16,IFERROR(W1591,MAX($D$16,POWER((ABS(K1591)^2)/($I$5*MAX(F1591,0.1)^2),1/3)))),IF(AND(IFERROR(V1591,0)=1,IFERROR(AG1591,0)=1),IF(IFERROR(T1591,-1E+99)&gt;=IFERROR(AE1591,-1E+99),MAX($D$16,IFERROR(L1591,MAX($D$16,POWER((ABS(K1591)^2)/($I$5*MAX(F1591,0.1)^2),1/3)))),MAX($D$16,IFERROR(W1591,MAX($D$16,POWER((ABS(K1591)^2)/($I$5*MAX(F1591,0.1)^2),1/3))))),IF(IFERROR(V1591,0)=1,MAX($D$16,IFERROR(L1591,MAX($D$16,POWER((ABS(K1591)^2)/($I$5*MAX(F1591,0.1)^2),1/3)))),IF(IFERROR(AG1591,0)=1,MAX($D$16,IFERROR(W1591,MAX($D$16,POWER((ABS(K1591)^2)/($I$5*MAX(F1591,0.1)^2),1/3)))),MAX($D$16,POWER((ABS(K1591)^2)/($I$5*MAX(F1591,0.1)^2),1/3))))))),MAX($D$16,POWER((ABS(K1591)^2)/($I$5*MAX(F1591,0.1)^2),1/3)))</f>
        <v>2.6394037674933593</v>
      </c>
      <c r="AI1591">
        <f t="shared" ca="1" si="829"/>
        <v>631.47940376749341</v>
      </c>
      <c r="AJ1591">
        <f t="shared" ca="1" si="830"/>
        <v>632.7991056512401</v>
      </c>
      <c r="AM1591">
        <v>0</v>
      </c>
      <c r="AN1591">
        <v>0</v>
      </c>
      <c r="AO1591">
        <f t="shared" si="831"/>
        <v>0</v>
      </c>
      <c r="AP1591">
        <f t="shared" si="839"/>
        <v>0</v>
      </c>
      <c r="AQ1591">
        <f t="shared" ca="1" si="832"/>
        <v>1.0000000000000002</v>
      </c>
      <c r="AR1591" t="str">
        <f t="shared" ca="1" si="833"/>
        <v>Supercritical</v>
      </c>
      <c r="AS1591">
        <f t="shared" ca="1" si="834"/>
        <v>5.1930293895375949E-3</v>
      </c>
    </row>
    <row r="1592" spans="1:45" x14ac:dyDescent="0.35">
      <c r="A1592">
        <v>30</v>
      </c>
      <c r="B1592">
        <v>28.951000000000001</v>
      </c>
      <c r="C1592">
        <v>616072.18799999997</v>
      </c>
      <c r="D1592">
        <v>3096588.0989999999</v>
      </c>
      <c r="E1592">
        <v>628.46</v>
      </c>
      <c r="F1592">
        <v>3.823</v>
      </c>
      <c r="G1592">
        <v>0</v>
      </c>
      <c r="H1592" t="s">
        <v>154</v>
      </c>
      <c r="I1592">
        <v>6.0519999999999996</v>
      </c>
      <c r="J1592">
        <f t="shared" si="835"/>
        <v>1</v>
      </c>
      <c r="K1592">
        <f t="shared" ref="K1592:K1609" ca="1" si="841">K1591+0</f>
        <v>49.881000000000007</v>
      </c>
      <c r="L1592">
        <f t="shared" ca="1" si="836"/>
        <v>0.05</v>
      </c>
      <c r="M1592">
        <f t="shared" ca="1" si="810"/>
        <v>0.19115000000000001</v>
      </c>
      <c r="N1592">
        <f t="shared" ca="1" si="811"/>
        <v>4.8725465205200102E-2</v>
      </c>
      <c r="O1592">
        <f t="shared" ca="1" si="812"/>
        <v>260.95213183363853</v>
      </c>
      <c r="P1592">
        <f t="shared" ca="1" si="813"/>
        <v>628.51</v>
      </c>
      <c r="Q1592">
        <f t="shared" ca="1" si="814"/>
        <v>4099.2549086911649</v>
      </c>
      <c r="R1592">
        <f t="shared" ca="1" si="815"/>
        <v>860.9201858719108</v>
      </c>
      <c r="S1592">
        <f t="shared" ca="1" si="816"/>
        <v>372.59870685181744</v>
      </c>
      <c r="T1592">
        <f t="shared" ca="1" si="817"/>
        <v>1326.8705573426325</v>
      </c>
      <c r="U1592">
        <f t="shared" ca="1" si="837"/>
        <v>-779.02806556671612</v>
      </c>
      <c r="V1592">
        <f t="shared" ca="1" si="838"/>
        <v>0</v>
      </c>
      <c r="W1592">
        <f t="shared" ca="1" si="818"/>
        <v>2.588993141004766</v>
      </c>
      <c r="X1592">
        <f t="shared" ca="1" si="819"/>
        <v>9.8977207780612204</v>
      </c>
      <c r="Y1592">
        <f t="shared" ca="1" si="820"/>
        <v>1.0996262484972354</v>
      </c>
      <c r="Z1592">
        <f t="shared" ca="1" si="821"/>
        <v>5.0396450979465568</v>
      </c>
      <c r="AA1592">
        <f t="shared" ca="1" si="822"/>
        <v>631.04899314100476</v>
      </c>
      <c r="AB1592">
        <f t="shared" ca="1" si="823"/>
        <v>632.34348971150712</v>
      </c>
      <c r="AC1592">
        <f t="shared" ca="1" si="824"/>
        <v>5.0348781115696914E-3</v>
      </c>
      <c r="AD1592">
        <f t="shared" ca="1" si="825"/>
        <v>1.0000000000000002</v>
      </c>
      <c r="AE1592">
        <f t="shared" ca="1" si="826"/>
        <v>38.437696808971282</v>
      </c>
      <c r="AF1592">
        <f t="shared" ca="1" si="827"/>
        <v>-0.43690178150814063</v>
      </c>
      <c r="AG1592">
        <f t="shared" ca="1" si="828"/>
        <v>1</v>
      </c>
      <c r="AH1592">
        <f ca="1">IFERROR(IF(V36="Supercritical",MAX($D$16,IFERROR(L1592,MAX($D$16,POWER((ABS(K1592)^2)/($I$5*MAX(F1592,0.1)^2),1/3)))),IF(V36="Subcritical",MAX($D$16,IFERROR(W1592,MAX($D$16,POWER((ABS(K1592)^2)/($I$5*MAX(F1592,0.1)^2),1/3)))),IF(AND(IFERROR(V1592,0)=1,IFERROR(AG1592,0)=1),IF(IFERROR(T1592,-1E+99)&gt;=IFERROR(AE1592,-1E+99),MAX($D$16,IFERROR(L1592,MAX($D$16,POWER((ABS(K1592)^2)/($I$5*MAX(F1592,0.1)^2),1/3)))),MAX($D$16,IFERROR(W1592,MAX($D$16,POWER((ABS(K1592)^2)/($I$5*MAX(F1592,0.1)^2),1/3))))),IF(IFERROR(V1592,0)=1,MAX($D$16,IFERROR(L1592,MAX($D$16,POWER((ABS(K1592)^2)/($I$5*MAX(F1592,0.1)^2),1/3)))),IF(IFERROR(AG1592,0)=1,MAX($D$16,IFERROR(W1592,MAX($D$16,POWER((ABS(K1592)^2)/($I$5*MAX(F1592,0.1)^2),1/3)))),MAX($D$16,POWER((ABS(K1592)^2)/($I$5*MAX(F1592,0.1)^2),1/3))))))),MAX($D$16,POWER((ABS(K1592)^2)/($I$5*MAX(F1592,0.1)^2),1/3)))</f>
        <v>2.588993141004766</v>
      </c>
      <c r="AI1592">
        <f t="shared" ca="1" si="829"/>
        <v>631.04899314100476</v>
      </c>
      <c r="AJ1592">
        <f t="shared" ca="1" si="830"/>
        <v>632.34348971150712</v>
      </c>
      <c r="AM1592">
        <v>0</v>
      </c>
      <c r="AN1592">
        <v>0</v>
      </c>
      <c r="AO1592">
        <f t="shared" si="831"/>
        <v>0</v>
      </c>
      <c r="AP1592">
        <f t="shared" si="839"/>
        <v>0</v>
      </c>
      <c r="AQ1592">
        <f t="shared" ca="1" si="832"/>
        <v>1.0000000000000002</v>
      </c>
      <c r="AR1592" t="str">
        <f t="shared" ca="1" si="833"/>
        <v>Supercritical</v>
      </c>
      <c r="AS1592">
        <f t="shared" ca="1" si="834"/>
        <v>5.0348781115696914E-3</v>
      </c>
    </row>
    <row r="1593" spans="1:45" x14ac:dyDescent="0.35">
      <c r="A1593">
        <v>31</v>
      </c>
      <c r="B1593">
        <v>29.952000000000002</v>
      </c>
      <c r="C1593">
        <v>616071.76399999997</v>
      </c>
      <c r="D1593">
        <v>3096587.193</v>
      </c>
      <c r="E1593">
        <v>628.08000000000004</v>
      </c>
      <c r="F1593">
        <v>3.927</v>
      </c>
      <c r="G1593">
        <v>0</v>
      </c>
      <c r="H1593" t="s">
        <v>154</v>
      </c>
      <c r="I1593">
        <v>5.1999999999999998E-2</v>
      </c>
      <c r="J1593">
        <f t="shared" si="835"/>
        <v>1.0010000000000012</v>
      </c>
      <c r="K1593">
        <f t="shared" ca="1" si="841"/>
        <v>49.881000000000007</v>
      </c>
      <c r="L1593">
        <f t="shared" ca="1" si="836"/>
        <v>0.05</v>
      </c>
      <c r="M1593">
        <f t="shared" ca="1" si="810"/>
        <v>0.19635000000000002</v>
      </c>
      <c r="N1593">
        <f t="shared" ca="1" si="811"/>
        <v>4.8758380928731068E-2</v>
      </c>
      <c r="O1593">
        <f t="shared" ca="1" si="812"/>
        <v>254.04125286478228</v>
      </c>
      <c r="P1593">
        <f t="shared" ca="1" si="813"/>
        <v>628.13</v>
      </c>
      <c r="Q1593">
        <f t="shared" ca="1" si="814"/>
        <v>3917.4754718199924</v>
      </c>
      <c r="R1593">
        <f t="shared" ca="1" si="815"/>
        <v>815.18962159493765</v>
      </c>
      <c r="S1593">
        <f t="shared" ca="1" si="816"/>
        <v>362.73105584275476</v>
      </c>
      <c r="T1593">
        <f t="shared" ca="1" si="817"/>
        <v>1291.730875533711</v>
      </c>
      <c r="U1593">
        <f t="shared" ca="1" si="837"/>
        <v>-711.83415071942454</v>
      </c>
      <c r="V1593">
        <f t="shared" ca="1" si="838"/>
        <v>0</v>
      </c>
      <c r="W1593">
        <f t="shared" ca="1" si="818"/>
        <v>2.5430788794579904</v>
      </c>
      <c r="X1593">
        <f t="shared" ca="1" si="819"/>
        <v>9.9866707596315276</v>
      </c>
      <c r="Y1593">
        <f t="shared" ca="1" si="820"/>
        <v>1.1080102031668679</v>
      </c>
      <c r="Z1593">
        <f t="shared" ca="1" si="821"/>
        <v>4.9947576325065945</v>
      </c>
      <c r="AA1593">
        <f t="shared" ca="1" si="822"/>
        <v>630.62307887945803</v>
      </c>
      <c r="AB1593">
        <f t="shared" ca="1" si="823"/>
        <v>631.89461831918697</v>
      </c>
      <c r="AC1593">
        <f t="shared" ca="1" si="824"/>
        <v>4.8957550099373234E-3</v>
      </c>
      <c r="AD1593">
        <f t="shared" ca="1" si="825"/>
        <v>0.99999999999999978</v>
      </c>
      <c r="AE1593">
        <f t="shared" ca="1" si="826"/>
        <v>38.095337227379439</v>
      </c>
      <c r="AF1593">
        <f t="shared" ca="1" si="827"/>
        <v>-0.43447591673611896</v>
      </c>
      <c r="AG1593">
        <f t="shared" ca="1" si="828"/>
        <v>1</v>
      </c>
      <c r="AH1593">
        <f ca="1">IFERROR(IF(V36="Supercritical",MAX($D$16,IFERROR(L1593,MAX($D$16,POWER((ABS(K1593)^2)/($I$5*MAX(F1593,0.1)^2),1/3)))),IF(V36="Subcritical",MAX($D$16,IFERROR(W1593,MAX($D$16,POWER((ABS(K1593)^2)/($I$5*MAX(F1593,0.1)^2),1/3)))),IF(AND(IFERROR(V1593,0)=1,IFERROR(AG1593,0)=1),IF(IFERROR(T1593,-1E+99)&gt;=IFERROR(AE1593,-1E+99),MAX($D$16,IFERROR(L1593,MAX($D$16,POWER((ABS(K1593)^2)/($I$5*MAX(F1593,0.1)^2),1/3)))),MAX($D$16,IFERROR(W1593,MAX($D$16,POWER((ABS(K1593)^2)/($I$5*MAX(F1593,0.1)^2),1/3))))),IF(IFERROR(V1593,0)=1,MAX($D$16,IFERROR(L1593,MAX($D$16,POWER((ABS(K1593)^2)/($I$5*MAX(F1593,0.1)^2),1/3)))),IF(IFERROR(AG1593,0)=1,MAX($D$16,IFERROR(W1593,MAX($D$16,POWER((ABS(K1593)^2)/($I$5*MAX(F1593,0.1)^2),1/3)))),MAX($D$16,POWER((ABS(K1593)^2)/($I$5*MAX(F1593,0.1)^2),1/3))))))),MAX($D$16,POWER((ABS(K1593)^2)/($I$5*MAX(F1593,0.1)^2),1/3)))</f>
        <v>2.5430788794579904</v>
      </c>
      <c r="AI1593">
        <f t="shared" ca="1" si="829"/>
        <v>630.62307887945803</v>
      </c>
      <c r="AJ1593">
        <f t="shared" ca="1" si="830"/>
        <v>631.89461831918697</v>
      </c>
      <c r="AM1593">
        <v>0</v>
      </c>
      <c r="AN1593">
        <v>0</v>
      </c>
      <c r="AO1593">
        <f t="shared" si="831"/>
        <v>0</v>
      </c>
      <c r="AP1593">
        <f t="shared" si="839"/>
        <v>0</v>
      </c>
      <c r="AQ1593">
        <f t="shared" ca="1" si="832"/>
        <v>0.99999999999999978</v>
      </c>
      <c r="AR1593" t="str">
        <f t="shared" ca="1" si="833"/>
        <v>Supercritical</v>
      </c>
      <c r="AS1593">
        <f t="shared" ca="1" si="834"/>
        <v>4.8957550099373234E-3</v>
      </c>
    </row>
    <row r="1594" spans="1:45" x14ac:dyDescent="0.35">
      <c r="A1594">
        <v>32</v>
      </c>
      <c r="B1594">
        <v>30.952000000000002</v>
      </c>
      <c r="C1594">
        <v>616071.34100000001</v>
      </c>
      <c r="D1594">
        <v>3096586.287</v>
      </c>
      <c r="E1594">
        <v>627.70000000000005</v>
      </c>
      <c r="F1594">
        <v>4.0309999999999997</v>
      </c>
      <c r="G1594">
        <v>0</v>
      </c>
      <c r="H1594" t="s">
        <v>154</v>
      </c>
      <c r="I1594">
        <v>0</v>
      </c>
      <c r="J1594">
        <f t="shared" si="835"/>
        <v>1</v>
      </c>
      <c r="K1594">
        <f t="shared" ca="1" si="841"/>
        <v>49.881000000000007</v>
      </c>
      <c r="L1594">
        <f t="shared" ca="1" si="836"/>
        <v>0.05</v>
      </c>
      <c r="M1594">
        <f t="shared" ca="1" si="810"/>
        <v>0.20155000000000001</v>
      </c>
      <c r="N1594">
        <f t="shared" ca="1" si="811"/>
        <v>4.8789639312515141E-2</v>
      </c>
      <c r="O1594">
        <f t="shared" ca="1" si="812"/>
        <v>247.4869759364922</v>
      </c>
      <c r="P1594">
        <f t="shared" ca="1" si="813"/>
        <v>627.75</v>
      </c>
      <c r="Q1594">
        <f t="shared" ca="1" si="814"/>
        <v>3749.5544474102885</v>
      </c>
      <c r="R1594">
        <f t="shared" ca="1" si="815"/>
        <v>773.0075566696338</v>
      </c>
      <c r="S1594">
        <f t="shared" ca="1" si="816"/>
        <v>353.37257660493628</v>
      </c>
      <c r="T1594">
        <f t="shared" ca="1" si="817"/>
        <v>1258.4044115010877</v>
      </c>
      <c r="U1594">
        <f t="shared" ca="1" si="837"/>
        <v>-676.43987204549285</v>
      </c>
      <c r="V1594">
        <f t="shared" ca="1" si="838"/>
        <v>0</v>
      </c>
      <c r="W1594">
        <f t="shared" ca="1" si="818"/>
        <v>2.4991475620155734</v>
      </c>
      <c r="X1594">
        <f t="shared" ca="1" si="819"/>
        <v>10.074063822484776</v>
      </c>
      <c r="Y1594">
        <f t="shared" ca="1" si="820"/>
        <v>1.1157087772746528</v>
      </c>
      <c r="Z1594">
        <f t="shared" ca="1" si="821"/>
        <v>4.9514278327945727</v>
      </c>
      <c r="AA1594">
        <f t="shared" ca="1" si="822"/>
        <v>630.19914756201558</v>
      </c>
      <c r="AB1594">
        <f t="shared" ca="1" si="823"/>
        <v>631.44872134302341</v>
      </c>
      <c r="AC1594">
        <f t="shared" ca="1" si="824"/>
        <v>4.7669686122157546E-3</v>
      </c>
      <c r="AD1594">
        <f t="shared" ca="1" si="825"/>
        <v>0.99999999999999967</v>
      </c>
      <c r="AE1594">
        <f t="shared" ca="1" si="826"/>
        <v>37.764858062328166</v>
      </c>
      <c r="AF1594">
        <f t="shared" ca="1" si="827"/>
        <v>-0.40136023418983768</v>
      </c>
      <c r="AG1594">
        <f t="shared" ca="1" si="828"/>
        <v>1</v>
      </c>
      <c r="AH1594">
        <f ca="1">IFERROR(IF(V36="Supercritical",MAX($D$16,IFERROR(L1594,MAX($D$16,POWER((ABS(K1594)^2)/($I$5*MAX(F1594,0.1)^2),1/3)))),IF(V36="Subcritical",MAX($D$16,IFERROR(W1594,MAX($D$16,POWER((ABS(K1594)^2)/($I$5*MAX(F1594,0.1)^2),1/3)))),IF(AND(IFERROR(V1594,0)=1,IFERROR(AG1594,0)=1),IF(IFERROR(T1594,-1E+99)&gt;=IFERROR(AE1594,-1E+99),MAX($D$16,IFERROR(L1594,MAX($D$16,POWER((ABS(K1594)^2)/($I$5*MAX(F1594,0.1)^2),1/3)))),MAX($D$16,IFERROR(W1594,MAX($D$16,POWER((ABS(K1594)^2)/($I$5*MAX(F1594,0.1)^2),1/3))))),IF(IFERROR(V1594,0)=1,MAX($D$16,IFERROR(L1594,MAX($D$16,POWER((ABS(K1594)^2)/($I$5*MAX(F1594,0.1)^2),1/3)))),IF(IFERROR(AG1594,0)=1,MAX($D$16,IFERROR(W1594,MAX($D$16,POWER((ABS(K1594)^2)/($I$5*MAX(F1594,0.1)^2),1/3)))),MAX($D$16,POWER((ABS(K1594)^2)/($I$5*MAX(F1594,0.1)^2),1/3))))))),MAX($D$16,POWER((ABS(K1594)^2)/($I$5*MAX(F1594,0.1)^2),1/3)))</f>
        <v>2.4991475620155734</v>
      </c>
      <c r="AI1594">
        <f t="shared" ca="1" si="829"/>
        <v>630.19914756201558</v>
      </c>
      <c r="AJ1594">
        <f t="shared" ca="1" si="830"/>
        <v>631.44872134302341</v>
      </c>
      <c r="AM1594">
        <v>0</v>
      </c>
      <c r="AN1594">
        <v>0</v>
      </c>
      <c r="AO1594">
        <f t="shared" si="831"/>
        <v>0</v>
      </c>
      <c r="AP1594">
        <f t="shared" si="839"/>
        <v>0</v>
      </c>
      <c r="AQ1594">
        <f t="shared" ca="1" si="832"/>
        <v>0.99999999999999967</v>
      </c>
      <c r="AR1594" t="str">
        <f t="shared" ca="1" si="833"/>
        <v>Supercritical</v>
      </c>
      <c r="AS1594">
        <f t="shared" ca="1" si="834"/>
        <v>4.7669686122157546E-3</v>
      </c>
    </row>
    <row r="1595" spans="1:45" x14ac:dyDescent="0.35">
      <c r="A1595">
        <v>33</v>
      </c>
      <c r="B1595">
        <v>31.951000000000001</v>
      </c>
      <c r="C1595">
        <v>616070.91799999995</v>
      </c>
      <c r="D1595">
        <v>3096585.3810000001</v>
      </c>
      <c r="E1595">
        <v>627.32000000000005</v>
      </c>
      <c r="F1595">
        <v>4.1349999999999998</v>
      </c>
      <c r="G1595">
        <v>0</v>
      </c>
      <c r="H1595" t="s">
        <v>154</v>
      </c>
      <c r="I1595">
        <v>14.763999999999999</v>
      </c>
      <c r="J1595">
        <f t="shared" si="835"/>
        <v>0.99899999999999878</v>
      </c>
      <c r="K1595">
        <f t="shared" ca="1" si="841"/>
        <v>49.881000000000007</v>
      </c>
      <c r="L1595">
        <f t="shared" ca="1" si="836"/>
        <v>0.05</v>
      </c>
      <c r="M1595">
        <f t="shared" ca="1" si="810"/>
        <v>0.20674999999999999</v>
      </c>
      <c r="N1595">
        <f t="shared" ca="1" si="811"/>
        <v>4.8819362455726094E-2</v>
      </c>
      <c r="O1595">
        <f t="shared" ca="1" si="812"/>
        <v>241.26239419588879</v>
      </c>
      <c r="P1595">
        <f t="shared" ca="1" si="813"/>
        <v>627.37</v>
      </c>
      <c r="Q1595">
        <f t="shared" ca="1" si="814"/>
        <v>3594.1153034216322</v>
      </c>
      <c r="R1595">
        <f t="shared" ca="1" si="815"/>
        <v>734.01620260112099</v>
      </c>
      <c r="S1595">
        <f t="shared" ca="1" si="816"/>
        <v>344.48485037351833</v>
      </c>
      <c r="T1595">
        <f t="shared" ca="1" si="817"/>
        <v>1226.7543517148451</v>
      </c>
      <c r="U1595">
        <f t="shared" ca="1" si="837"/>
        <v>-720.65416839962381</v>
      </c>
      <c r="V1595">
        <f t="shared" ca="1" si="838"/>
        <v>0</v>
      </c>
      <c r="W1595">
        <f t="shared" ca="1" si="818"/>
        <v>2.4570656243217992</v>
      </c>
      <c r="X1595">
        <f t="shared" ca="1" si="819"/>
        <v>10.159966356570639</v>
      </c>
      <c r="Y1595">
        <f t="shared" ca="1" si="820"/>
        <v>1.1227559947363508</v>
      </c>
      <c r="Z1595">
        <f t="shared" ca="1" si="821"/>
        <v>4.909563501432368</v>
      </c>
      <c r="AA1595">
        <f t="shared" ca="1" si="822"/>
        <v>629.77706562432184</v>
      </c>
      <c r="AB1595">
        <f t="shared" ca="1" si="823"/>
        <v>631.00559843648273</v>
      </c>
      <c r="AC1595">
        <f t="shared" ca="1" si="824"/>
        <v>4.6475182589228335E-3</v>
      </c>
      <c r="AD1595">
        <f t="shared" ca="1" si="825"/>
        <v>1</v>
      </c>
      <c r="AE1595">
        <f t="shared" ca="1" si="826"/>
        <v>37.445556118493577</v>
      </c>
      <c r="AF1595">
        <f t="shared" ca="1" si="827"/>
        <v>-0.36103010158262805</v>
      </c>
      <c r="AG1595">
        <f t="shared" ca="1" si="828"/>
        <v>1</v>
      </c>
      <c r="AH1595">
        <f ca="1">IFERROR(IF(V36="Supercritical",MAX($D$16,IFERROR(L1595,MAX($D$16,POWER((ABS(K1595)^2)/($I$5*MAX(F1595,0.1)^2),1/3)))),IF(V36="Subcritical",MAX($D$16,IFERROR(W1595,MAX($D$16,POWER((ABS(K1595)^2)/($I$5*MAX(F1595,0.1)^2),1/3)))),IF(AND(IFERROR(V1595,0)=1,IFERROR(AG1595,0)=1),IF(IFERROR(T1595,-1E+99)&gt;=IFERROR(AE1595,-1E+99),MAX($D$16,IFERROR(L1595,MAX($D$16,POWER((ABS(K1595)^2)/($I$5*MAX(F1595,0.1)^2),1/3)))),MAX($D$16,IFERROR(W1595,MAX($D$16,POWER((ABS(K1595)^2)/($I$5*MAX(F1595,0.1)^2),1/3))))),IF(IFERROR(V1595,0)=1,MAX($D$16,IFERROR(L1595,MAX($D$16,POWER((ABS(K1595)^2)/($I$5*MAX(F1595,0.1)^2),1/3)))),IF(IFERROR(AG1595,0)=1,MAX($D$16,IFERROR(W1595,MAX($D$16,POWER((ABS(K1595)^2)/($I$5*MAX(F1595,0.1)^2),1/3)))),MAX($D$16,POWER((ABS(K1595)^2)/($I$5*MAX(F1595,0.1)^2),1/3))))))),MAX($D$16,POWER((ABS(K1595)^2)/($I$5*MAX(F1595,0.1)^2),1/3)))</f>
        <v>2.4570656243217992</v>
      </c>
      <c r="AI1595">
        <f t="shared" ca="1" si="829"/>
        <v>629.77706562432184</v>
      </c>
      <c r="AJ1595">
        <f t="shared" ca="1" si="830"/>
        <v>631.00559843648273</v>
      </c>
      <c r="AM1595">
        <v>0</v>
      </c>
      <c r="AN1595">
        <v>0</v>
      </c>
      <c r="AO1595">
        <f t="shared" si="831"/>
        <v>0</v>
      </c>
      <c r="AP1595">
        <f t="shared" si="839"/>
        <v>0</v>
      </c>
      <c r="AQ1595">
        <f t="shared" ca="1" si="832"/>
        <v>1</v>
      </c>
      <c r="AR1595" t="str">
        <f t="shared" ca="1" si="833"/>
        <v>Supercritical</v>
      </c>
      <c r="AS1595">
        <f t="shared" ca="1" si="834"/>
        <v>4.6475182589228335E-3</v>
      </c>
    </row>
    <row r="1596" spans="1:45" x14ac:dyDescent="0.35">
      <c r="A1596">
        <v>34</v>
      </c>
      <c r="B1596">
        <v>32.939</v>
      </c>
      <c r="C1596">
        <v>616070.74199999997</v>
      </c>
      <c r="D1596">
        <v>3096584.409</v>
      </c>
      <c r="E1596">
        <v>626.94000000000005</v>
      </c>
      <c r="F1596">
        <v>4.1289999999999996</v>
      </c>
      <c r="G1596">
        <v>0</v>
      </c>
      <c r="H1596" t="s">
        <v>154</v>
      </c>
      <c r="I1596">
        <v>5.2140000000000004</v>
      </c>
      <c r="J1596">
        <f t="shared" si="835"/>
        <v>0.98799999999999955</v>
      </c>
      <c r="K1596">
        <f t="shared" ca="1" si="841"/>
        <v>49.881000000000007</v>
      </c>
      <c r="L1596">
        <f t="shared" ca="1" si="836"/>
        <v>0.05</v>
      </c>
      <c r="M1596">
        <f t="shared" ca="1" si="810"/>
        <v>0.20644999999999999</v>
      </c>
      <c r="N1596">
        <f t="shared" ca="1" si="811"/>
        <v>4.8817687396547654E-2</v>
      </c>
      <c r="O1596">
        <f t="shared" ca="1" si="812"/>
        <v>241.61298135141686</v>
      </c>
      <c r="P1596">
        <f t="shared" ca="1" si="813"/>
        <v>626.99</v>
      </c>
      <c r="Q1596">
        <f t="shared" ca="1" si="814"/>
        <v>3602.3637389153982</v>
      </c>
      <c r="R1596">
        <f t="shared" ca="1" si="815"/>
        <v>736.18468295528942</v>
      </c>
      <c r="S1596">
        <f t="shared" ca="1" si="816"/>
        <v>344.98543383252564</v>
      </c>
      <c r="T1596">
        <f t="shared" ca="1" si="817"/>
        <v>1228.5369780481676</v>
      </c>
      <c r="U1596">
        <f t="shared" ca="1" si="837"/>
        <v>-761.24651429918367</v>
      </c>
      <c r="V1596">
        <f t="shared" ca="1" si="838"/>
        <v>0</v>
      </c>
      <c r="W1596">
        <f t="shared" ca="1" si="818"/>
        <v>2.4594453491298292</v>
      </c>
      <c r="X1596">
        <f t="shared" ca="1" si="819"/>
        <v>10.155049846557063</v>
      </c>
      <c r="Y1596">
        <f t="shared" ca="1" si="820"/>
        <v>1.1223665476540698</v>
      </c>
      <c r="Z1596">
        <f t="shared" ca="1" si="821"/>
        <v>4.9119404388656456</v>
      </c>
      <c r="AA1596">
        <f t="shared" ca="1" si="822"/>
        <v>629.39944534912991</v>
      </c>
      <c r="AB1596">
        <f t="shared" ca="1" si="823"/>
        <v>630.62916802369477</v>
      </c>
      <c r="AC1596">
        <f t="shared" ca="1" si="824"/>
        <v>4.6541718685313531E-3</v>
      </c>
      <c r="AD1596">
        <f t="shared" ca="1" si="825"/>
        <v>1</v>
      </c>
      <c r="AE1596">
        <f t="shared" ca="1" si="826"/>
        <v>37.463685172944537</v>
      </c>
      <c r="AF1596">
        <f t="shared" ca="1" si="827"/>
        <v>-0.13098127984028451</v>
      </c>
      <c r="AG1596">
        <f t="shared" ca="1" si="828"/>
        <v>1</v>
      </c>
      <c r="AH1596">
        <f ca="1">IFERROR(IF(V36="Supercritical",MAX($D$16,IFERROR(L1596,MAX($D$16,POWER((ABS(K1596)^2)/($I$5*MAX(F1596,0.1)^2),1/3)))),IF(V36="Subcritical",MAX($D$16,IFERROR(W1596,MAX($D$16,POWER((ABS(K1596)^2)/($I$5*MAX(F1596,0.1)^2),1/3)))),IF(AND(IFERROR(V1596,0)=1,IFERROR(AG1596,0)=1),IF(IFERROR(T1596,-1E+99)&gt;=IFERROR(AE1596,-1E+99),MAX($D$16,IFERROR(L1596,MAX($D$16,POWER((ABS(K1596)^2)/($I$5*MAX(F1596,0.1)^2),1/3)))),MAX($D$16,IFERROR(W1596,MAX($D$16,POWER((ABS(K1596)^2)/($I$5*MAX(F1596,0.1)^2),1/3))))),IF(IFERROR(V1596,0)=1,MAX($D$16,IFERROR(L1596,MAX($D$16,POWER((ABS(K1596)^2)/($I$5*MAX(F1596,0.1)^2),1/3)))),IF(IFERROR(AG1596,0)=1,MAX($D$16,IFERROR(W1596,MAX($D$16,POWER((ABS(K1596)^2)/($I$5*MAX(F1596,0.1)^2),1/3)))),MAX($D$16,POWER((ABS(K1596)^2)/($I$5*MAX(F1596,0.1)^2),1/3))))))),MAX($D$16,POWER((ABS(K1596)^2)/($I$5*MAX(F1596,0.1)^2),1/3)))</f>
        <v>2.4594453491298292</v>
      </c>
      <c r="AI1596">
        <f t="shared" ca="1" si="829"/>
        <v>629.39944534912991</v>
      </c>
      <c r="AJ1596">
        <f t="shared" ca="1" si="830"/>
        <v>630.62916802369477</v>
      </c>
      <c r="AM1596">
        <v>0</v>
      </c>
      <c r="AN1596">
        <v>0</v>
      </c>
      <c r="AO1596">
        <f t="shared" si="831"/>
        <v>0</v>
      </c>
      <c r="AP1596">
        <f t="shared" si="839"/>
        <v>0</v>
      </c>
      <c r="AQ1596">
        <f t="shared" ca="1" si="832"/>
        <v>1</v>
      </c>
      <c r="AR1596" t="str">
        <f t="shared" ca="1" si="833"/>
        <v>Supercritical</v>
      </c>
      <c r="AS1596">
        <f t="shared" ca="1" si="834"/>
        <v>4.6541718685313531E-3</v>
      </c>
    </row>
    <row r="1597" spans="1:45" x14ac:dyDescent="0.35">
      <c r="A1597">
        <v>35</v>
      </c>
      <c r="B1597">
        <v>33.939</v>
      </c>
      <c r="C1597">
        <v>616070.65399999998</v>
      </c>
      <c r="D1597">
        <v>3096583.4130000002</v>
      </c>
      <c r="E1597">
        <v>626.55999999999995</v>
      </c>
      <c r="F1597">
        <v>3.7759999999999998</v>
      </c>
      <c r="G1597">
        <v>0</v>
      </c>
      <c r="H1597" t="s">
        <v>154</v>
      </c>
      <c r="I1597">
        <v>4.6479999999999997</v>
      </c>
      <c r="J1597">
        <f t="shared" si="835"/>
        <v>1</v>
      </c>
      <c r="K1597">
        <f t="shared" ca="1" si="841"/>
        <v>49.881000000000007</v>
      </c>
      <c r="L1597">
        <f t="shared" ca="1" si="836"/>
        <v>0.05</v>
      </c>
      <c r="M1597">
        <f t="shared" ca="1" si="810"/>
        <v>0.1888</v>
      </c>
      <c r="N1597">
        <f t="shared" ca="1" si="811"/>
        <v>4.8710010319917438E-2</v>
      </c>
      <c r="O1597">
        <f t="shared" ca="1" si="812"/>
        <v>264.20021186440681</v>
      </c>
      <c r="P1597">
        <f t="shared" ca="1" si="813"/>
        <v>626.6099999999999</v>
      </c>
      <c r="Q1597">
        <f t="shared" ca="1" si="814"/>
        <v>4184.293585586006</v>
      </c>
      <c r="R1597">
        <f t="shared" ca="1" si="815"/>
        <v>882.858723087714</v>
      </c>
      <c r="S1597">
        <f t="shared" ca="1" si="816"/>
        <v>377.23645558646666</v>
      </c>
      <c r="T1597">
        <f t="shared" ca="1" si="817"/>
        <v>1343.3860419172761</v>
      </c>
      <c r="U1597">
        <f t="shared" ca="1" si="837"/>
        <v>-1477.2427232021764</v>
      </c>
      <c r="V1597">
        <f t="shared" ca="1" si="838"/>
        <v>0</v>
      </c>
      <c r="W1597">
        <f t="shared" ca="1" si="818"/>
        <v>2.6104323416797994</v>
      </c>
      <c r="X1597">
        <f t="shared" ca="1" si="819"/>
        <v>9.8569925221829227</v>
      </c>
      <c r="Y1597">
        <f t="shared" ca="1" si="820"/>
        <v>1.0956030649670876</v>
      </c>
      <c r="Z1597">
        <f t="shared" ca="1" si="821"/>
        <v>5.0604684834389424</v>
      </c>
      <c r="AA1597">
        <f t="shared" ca="1" si="822"/>
        <v>629.17043234167977</v>
      </c>
      <c r="AB1597">
        <f t="shared" ca="1" si="823"/>
        <v>630.47564851251968</v>
      </c>
      <c r="AC1597">
        <f t="shared" ca="1" si="824"/>
        <v>5.1014423390936762E-3</v>
      </c>
      <c r="AD1597">
        <f t="shared" ca="1" si="825"/>
        <v>0.99999999999999978</v>
      </c>
      <c r="AE1597">
        <f t="shared" ca="1" si="826"/>
        <v>38.596518107403355</v>
      </c>
      <c r="AF1597">
        <f t="shared" ca="1" si="827"/>
        <v>-0.12013517004334062</v>
      </c>
      <c r="AG1597">
        <f t="shared" ca="1" si="828"/>
        <v>1</v>
      </c>
      <c r="AH1597">
        <f ca="1">IFERROR(IF(V36="Supercritical",MAX($D$16,IFERROR(L1597,MAX($D$16,POWER((ABS(K1597)^2)/($I$5*MAX(F1597,0.1)^2),1/3)))),IF(V36="Subcritical",MAX($D$16,IFERROR(W1597,MAX($D$16,POWER((ABS(K1597)^2)/($I$5*MAX(F1597,0.1)^2),1/3)))),IF(AND(IFERROR(V1597,0)=1,IFERROR(AG1597,0)=1),IF(IFERROR(T1597,-1E+99)&gt;=IFERROR(AE1597,-1E+99),MAX($D$16,IFERROR(L1597,MAX($D$16,POWER((ABS(K1597)^2)/($I$5*MAX(F1597,0.1)^2),1/3)))),MAX($D$16,IFERROR(W1597,MAX($D$16,POWER((ABS(K1597)^2)/($I$5*MAX(F1597,0.1)^2),1/3))))),IF(IFERROR(V1597,0)=1,MAX($D$16,IFERROR(L1597,MAX($D$16,POWER((ABS(K1597)^2)/($I$5*MAX(F1597,0.1)^2),1/3)))),IF(IFERROR(AG1597,0)=1,MAX($D$16,IFERROR(W1597,MAX($D$16,POWER((ABS(K1597)^2)/($I$5*MAX(F1597,0.1)^2),1/3)))),MAX($D$16,POWER((ABS(K1597)^2)/($I$5*MAX(F1597,0.1)^2),1/3))))))),MAX($D$16,POWER((ABS(K1597)^2)/($I$5*MAX(F1597,0.1)^2),1/3)))</f>
        <v>2.6104323416797994</v>
      </c>
      <c r="AI1597">
        <f t="shared" ca="1" si="829"/>
        <v>629.17043234167977</v>
      </c>
      <c r="AJ1597">
        <f t="shared" ca="1" si="830"/>
        <v>630.47564851251968</v>
      </c>
      <c r="AM1597">
        <v>0</v>
      </c>
      <c r="AN1597">
        <v>0</v>
      </c>
      <c r="AO1597">
        <f t="shared" si="831"/>
        <v>0</v>
      </c>
      <c r="AP1597">
        <f t="shared" si="839"/>
        <v>0</v>
      </c>
      <c r="AQ1597">
        <f t="shared" ca="1" si="832"/>
        <v>0.99999999999999978</v>
      </c>
      <c r="AR1597" t="str">
        <f t="shared" ca="1" si="833"/>
        <v>Supercritical</v>
      </c>
      <c r="AS1597">
        <f t="shared" ca="1" si="834"/>
        <v>5.1014423390936762E-3</v>
      </c>
    </row>
    <row r="1598" spans="1:45" x14ac:dyDescent="0.35">
      <c r="A1598">
        <v>36</v>
      </c>
      <c r="B1598">
        <v>34.939</v>
      </c>
      <c r="C1598">
        <v>616070.647</v>
      </c>
      <c r="D1598">
        <v>3096582.4130000002</v>
      </c>
      <c r="E1598">
        <v>626.17999999999995</v>
      </c>
      <c r="F1598">
        <v>3.4460000000000002</v>
      </c>
      <c r="G1598">
        <v>0</v>
      </c>
      <c r="H1598" t="s">
        <v>154</v>
      </c>
      <c r="I1598">
        <v>5.7000000000000002E-2</v>
      </c>
      <c r="J1598">
        <f t="shared" si="835"/>
        <v>1</v>
      </c>
      <c r="K1598">
        <f t="shared" ca="1" si="841"/>
        <v>49.881000000000007</v>
      </c>
      <c r="L1598">
        <f t="shared" ca="1" si="836"/>
        <v>0.05</v>
      </c>
      <c r="M1598">
        <f t="shared" ca="1" si="810"/>
        <v>0.17230000000000001</v>
      </c>
      <c r="N1598">
        <f t="shared" ca="1" si="811"/>
        <v>4.8589960518894526E-2</v>
      </c>
      <c r="O1598">
        <f t="shared" ca="1" si="812"/>
        <v>289.50087057457927</v>
      </c>
      <c r="P1598">
        <f t="shared" ca="1" si="813"/>
        <v>626.2299999999999</v>
      </c>
      <c r="Q1598">
        <f t="shared" ca="1" si="814"/>
        <v>4897.9300032333986</v>
      </c>
      <c r="R1598">
        <f t="shared" ca="1" si="815"/>
        <v>1063.5392886307088</v>
      </c>
      <c r="S1598">
        <f t="shared" ca="1" si="816"/>
        <v>413.36182713131114</v>
      </c>
      <c r="T1598">
        <f t="shared" ca="1" si="817"/>
        <v>1472.0321286142296</v>
      </c>
      <c r="U1598">
        <f t="shared" ca="1" si="837"/>
        <v>-1758.6428767716507</v>
      </c>
      <c r="V1598">
        <f t="shared" ca="1" si="838"/>
        <v>0</v>
      </c>
      <c r="W1598">
        <f t="shared" ca="1" si="818"/>
        <v>2.7745352690323428</v>
      </c>
      <c r="X1598">
        <f t="shared" ca="1" si="819"/>
        <v>9.561048537085453</v>
      </c>
      <c r="Y1598">
        <f t="shared" ca="1" si="820"/>
        <v>1.0629209072486649</v>
      </c>
      <c r="Z1598">
        <f t="shared" ca="1" si="821"/>
        <v>5.2171056141511345</v>
      </c>
      <c r="AA1598">
        <f t="shared" ca="1" si="822"/>
        <v>628.95453526903225</v>
      </c>
      <c r="AB1598">
        <f t="shared" ca="1" si="823"/>
        <v>630.34180290354846</v>
      </c>
      <c r="AC1598">
        <f t="shared" ca="1" si="824"/>
        <v>5.6455619308540487E-3</v>
      </c>
      <c r="AD1598">
        <f t="shared" ca="1" si="825"/>
        <v>1.0000000000000002</v>
      </c>
      <c r="AE1598">
        <f t="shared" ca="1" si="826"/>
        <v>39.791199562610515</v>
      </c>
      <c r="AF1598">
        <f t="shared" ca="1" si="827"/>
        <v>-0.15642585888440408</v>
      </c>
      <c r="AG1598">
        <f t="shared" ca="1" si="828"/>
        <v>1</v>
      </c>
      <c r="AH1598">
        <f ca="1">IFERROR(IF(V36="Supercritical",MAX($D$16,IFERROR(L1598,MAX($D$16,POWER((ABS(K1598)^2)/($I$5*MAX(F1598,0.1)^2),1/3)))),IF(V36="Subcritical",MAX($D$16,IFERROR(W1598,MAX($D$16,POWER((ABS(K1598)^2)/($I$5*MAX(F1598,0.1)^2),1/3)))),IF(AND(IFERROR(V1598,0)=1,IFERROR(AG1598,0)=1),IF(IFERROR(T1598,-1E+99)&gt;=IFERROR(AE1598,-1E+99),MAX($D$16,IFERROR(L1598,MAX($D$16,POWER((ABS(K1598)^2)/($I$5*MAX(F1598,0.1)^2),1/3)))),MAX($D$16,IFERROR(W1598,MAX($D$16,POWER((ABS(K1598)^2)/($I$5*MAX(F1598,0.1)^2),1/3))))),IF(IFERROR(V1598,0)=1,MAX($D$16,IFERROR(L1598,MAX($D$16,POWER((ABS(K1598)^2)/($I$5*MAX(F1598,0.1)^2),1/3)))),IF(IFERROR(AG1598,0)=1,MAX($D$16,IFERROR(W1598,MAX($D$16,POWER((ABS(K1598)^2)/($I$5*MAX(F1598,0.1)^2),1/3)))),MAX($D$16,POWER((ABS(K1598)^2)/($I$5*MAX(F1598,0.1)^2),1/3))))))),MAX($D$16,POWER((ABS(K1598)^2)/($I$5*MAX(F1598,0.1)^2),1/3)))</f>
        <v>2.7745352690323428</v>
      </c>
      <c r="AI1598">
        <f t="shared" ca="1" si="829"/>
        <v>628.95453526903225</v>
      </c>
      <c r="AJ1598">
        <f t="shared" ca="1" si="830"/>
        <v>630.34180290354846</v>
      </c>
      <c r="AM1598">
        <v>0</v>
      </c>
      <c r="AN1598">
        <v>0</v>
      </c>
      <c r="AO1598">
        <f t="shared" si="831"/>
        <v>0</v>
      </c>
      <c r="AP1598">
        <f t="shared" si="839"/>
        <v>0</v>
      </c>
      <c r="AQ1598">
        <f t="shared" ca="1" si="832"/>
        <v>1.0000000000000002</v>
      </c>
      <c r="AR1598" t="str">
        <f t="shared" ca="1" si="833"/>
        <v>Supercritical</v>
      </c>
      <c r="AS1598">
        <f t="shared" ca="1" si="834"/>
        <v>5.6455619308540487E-3</v>
      </c>
    </row>
    <row r="1599" spans="1:45" x14ac:dyDescent="0.35">
      <c r="A1599">
        <v>37</v>
      </c>
      <c r="B1599">
        <v>35.939</v>
      </c>
      <c r="C1599">
        <v>616070.64099999995</v>
      </c>
      <c r="D1599">
        <v>3096581.4130000002</v>
      </c>
      <c r="E1599">
        <v>625.79999999999995</v>
      </c>
      <c r="F1599">
        <v>3.2</v>
      </c>
      <c r="G1599">
        <v>0</v>
      </c>
      <c r="H1599" t="s">
        <v>154</v>
      </c>
      <c r="I1599">
        <v>0</v>
      </c>
      <c r="J1599">
        <f t="shared" si="835"/>
        <v>1</v>
      </c>
      <c r="K1599">
        <f t="shared" ca="1" si="841"/>
        <v>49.881000000000007</v>
      </c>
      <c r="L1599">
        <f t="shared" ca="1" si="836"/>
        <v>0.05</v>
      </c>
      <c r="M1599">
        <f t="shared" ca="1" si="810"/>
        <v>0.16000000000000003</v>
      </c>
      <c r="N1599">
        <f t="shared" ca="1" si="811"/>
        <v>4.8484848484848492E-2</v>
      </c>
      <c r="O1599">
        <f t="shared" ca="1" si="812"/>
        <v>311.75624999999997</v>
      </c>
      <c r="P1599">
        <f t="shared" ca="1" si="813"/>
        <v>625.84999999999991</v>
      </c>
      <c r="Q1599">
        <f t="shared" ca="1" si="814"/>
        <v>5579.5686245699526</v>
      </c>
      <c r="R1599">
        <f t="shared" ca="1" si="815"/>
        <v>1236.9100895616434</v>
      </c>
      <c r="S1599">
        <f t="shared" ca="1" si="816"/>
        <v>445.13901759203054</v>
      </c>
      <c r="T1599">
        <f t="shared" ca="1" si="817"/>
        <v>1585.1939598623856</v>
      </c>
      <c r="U1599">
        <f t="shared" ca="1" si="837"/>
        <v>-1900.0651725663856</v>
      </c>
      <c r="V1599">
        <f t="shared" ca="1" si="838"/>
        <v>0</v>
      </c>
      <c r="W1599">
        <f t="shared" ca="1" si="818"/>
        <v>2.9149679204622827</v>
      </c>
      <c r="X1599">
        <f t="shared" ca="1" si="819"/>
        <v>9.3278973454793057</v>
      </c>
      <c r="Y1599">
        <f t="shared" ca="1" si="820"/>
        <v>1.032997078805848</v>
      </c>
      <c r="Z1599">
        <f t="shared" ca="1" si="821"/>
        <v>5.3475073912744602</v>
      </c>
      <c r="AA1599">
        <f t="shared" ca="1" si="822"/>
        <v>628.71496792046219</v>
      </c>
      <c r="AB1599">
        <f t="shared" ca="1" si="823"/>
        <v>630.1724518806933</v>
      </c>
      <c r="AC1599">
        <f t="shared" ca="1" si="824"/>
        <v>6.161500867616897E-3</v>
      </c>
      <c r="AD1599">
        <f t="shared" ca="1" si="825"/>
        <v>0.99999999999999989</v>
      </c>
      <c r="AE1599">
        <f t="shared" ca="1" si="826"/>
        <v>40.785782291156181</v>
      </c>
      <c r="AF1599">
        <f t="shared" ca="1" si="827"/>
        <v>-0.37383849913237555</v>
      </c>
      <c r="AG1599">
        <f t="shared" ca="1" si="828"/>
        <v>1</v>
      </c>
      <c r="AH1599">
        <f ca="1">IFERROR(IF(V36="Supercritical",MAX($D$16,IFERROR(L1599,MAX($D$16,POWER((ABS(K1599)^2)/($I$5*MAX(F1599,0.1)^2),1/3)))),IF(V36="Subcritical",MAX($D$16,IFERROR(W1599,MAX($D$16,POWER((ABS(K1599)^2)/($I$5*MAX(F1599,0.1)^2),1/3)))),IF(AND(IFERROR(V1599,0)=1,IFERROR(AG1599,0)=1),IF(IFERROR(T1599,-1E+99)&gt;=IFERROR(AE1599,-1E+99),MAX($D$16,IFERROR(L1599,MAX($D$16,POWER((ABS(K1599)^2)/($I$5*MAX(F1599,0.1)^2),1/3)))),MAX($D$16,IFERROR(W1599,MAX($D$16,POWER((ABS(K1599)^2)/($I$5*MAX(F1599,0.1)^2),1/3))))),IF(IFERROR(V1599,0)=1,MAX($D$16,IFERROR(L1599,MAX($D$16,POWER((ABS(K1599)^2)/($I$5*MAX(F1599,0.1)^2),1/3)))),IF(IFERROR(AG1599,0)=1,MAX($D$16,IFERROR(W1599,MAX($D$16,POWER((ABS(K1599)^2)/($I$5*MAX(F1599,0.1)^2),1/3)))),MAX($D$16,POWER((ABS(K1599)^2)/($I$5*MAX(F1599,0.1)^2),1/3))))))),MAX($D$16,POWER((ABS(K1599)^2)/($I$5*MAX(F1599,0.1)^2),1/3)))</f>
        <v>2.9149679204622827</v>
      </c>
      <c r="AI1599">
        <f t="shared" ca="1" si="829"/>
        <v>628.71496792046219</v>
      </c>
      <c r="AJ1599">
        <f t="shared" ca="1" si="830"/>
        <v>630.1724518806933</v>
      </c>
      <c r="AM1599">
        <v>0</v>
      </c>
      <c r="AN1599">
        <v>0</v>
      </c>
      <c r="AO1599">
        <f t="shared" si="831"/>
        <v>0</v>
      </c>
      <c r="AP1599">
        <f t="shared" si="839"/>
        <v>0</v>
      </c>
      <c r="AQ1599">
        <f t="shared" ca="1" si="832"/>
        <v>0.99999999999999989</v>
      </c>
      <c r="AR1599" t="str">
        <f t="shared" ca="1" si="833"/>
        <v>Supercritical</v>
      </c>
      <c r="AS1599">
        <f t="shared" ca="1" si="834"/>
        <v>6.161500867616897E-3</v>
      </c>
    </row>
    <row r="1600" spans="1:45" x14ac:dyDescent="0.35">
      <c r="A1600">
        <v>38</v>
      </c>
      <c r="B1600">
        <v>36.939</v>
      </c>
      <c r="C1600">
        <v>616070.63500000001</v>
      </c>
      <c r="D1600">
        <v>3096580.4130000002</v>
      </c>
      <c r="E1600">
        <v>625.41999999999996</v>
      </c>
      <c r="F1600">
        <v>3.2</v>
      </c>
      <c r="G1600">
        <v>0</v>
      </c>
      <c r="H1600" t="s">
        <v>154</v>
      </c>
      <c r="I1600">
        <v>0</v>
      </c>
      <c r="J1600">
        <f t="shared" si="835"/>
        <v>1</v>
      </c>
      <c r="K1600">
        <f t="shared" ca="1" si="841"/>
        <v>49.881000000000007</v>
      </c>
      <c r="L1600">
        <f t="shared" ca="1" si="836"/>
        <v>0.05</v>
      </c>
      <c r="M1600">
        <f t="shared" ca="1" si="810"/>
        <v>0.16000000000000003</v>
      </c>
      <c r="N1600">
        <f t="shared" ca="1" si="811"/>
        <v>4.8484848484848492E-2</v>
      </c>
      <c r="O1600">
        <f t="shared" ca="1" si="812"/>
        <v>311.75624999999997</v>
      </c>
      <c r="P1600">
        <f t="shared" ca="1" si="813"/>
        <v>625.46999999999991</v>
      </c>
      <c r="Q1600">
        <f t="shared" ca="1" si="814"/>
        <v>5579.1886245699534</v>
      </c>
      <c r="R1600">
        <f t="shared" ca="1" si="815"/>
        <v>1236.9100895616434</v>
      </c>
      <c r="S1600">
        <f t="shared" ca="1" si="816"/>
        <v>445.13901759203054</v>
      </c>
      <c r="T1600">
        <f t="shared" ca="1" si="817"/>
        <v>1585.1939598623856</v>
      </c>
      <c r="U1600">
        <f t="shared" ca="1" si="837"/>
        <v>-1236.5300895616438</v>
      </c>
      <c r="V1600">
        <f t="shared" ca="1" si="838"/>
        <v>0</v>
      </c>
      <c r="W1600">
        <f t="shared" ca="1" si="818"/>
        <v>2.9149679204622827</v>
      </c>
      <c r="X1600">
        <f t="shared" ca="1" si="819"/>
        <v>9.3278973454793057</v>
      </c>
      <c r="Y1600">
        <f t="shared" ca="1" si="820"/>
        <v>1.032997078805848</v>
      </c>
      <c r="Z1600">
        <f t="shared" ca="1" si="821"/>
        <v>5.3475073912744602</v>
      </c>
      <c r="AA1600">
        <f t="shared" ca="1" si="822"/>
        <v>628.33496792046219</v>
      </c>
      <c r="AB1600">
        <f t="shared" ca="1" si="823"/>
        <v>629.79245188069331</v>
      </c>
      <c r="AC1600">
        <f t="shared" ca="1" si="824"/>
        <v>6.161500867616897E-3</v>
      </c>
      <c r="AD1600">
        <f t="shared" ca="1" si="825"/>
        <v>0.99999999999999989</v>
      </c>
      <c r="AE1600">
        <f t="shared" ca="1" si="826"/>
        <v>40.785782291156181</v>
      </c>
      <c r="AF1600">
        <f t="shared" ca="1" si="827"/>
        <v>-0.37370003815613018</v>
      </c>
      <c r="AG1600">
        <f t="shared" ca="1" si="828"/>
        <v>1</v>
      </c>
      <c r="AH1600">
        <f ca="1">IFERROR(IF(V36="Supercritical",MAX($D$16,IFERROR(L1600,MAX($D$16,POWER((ABS(K1600)^2)/($I$5*MAX(F1600,0.1)^2),1/3)))),IF(V36="Subcritical",MAX($D$16,IFERROR(W1600,MAX($D$16,POWER((ABS(K1600)^2)/($I$5*MAX(F1600,0.1)^2),1/3)))),IF(AND(IFERROR(V1600,0)=1,IFERROR(AG1600,0)=1),IF(IFERROR(T1600,-1E+99)&gt;=IFERROR(AE1600,-1E+99),MAX($D$16,IFERROR(L1600,MAX($D$16,POWER((ABS(K1600)^2)/($I$5*MAX(F1600,0.1)^2),1/3)))),MAX($D$16,IFERROR(W1600,MAX($D$16,POWER((ABS(K1600)^2)/($I$5*MAX(F1600,0.1)^2),1/3))))),IF(IFERROR(V1600,0)=1,MAX($D$16,IFERROR(L1600,MAX($D$16,POWER((ABS(K1600)^2)/($I$5*MAX(F1600,0.1)^2),1/3)))),IF(IFERROR(AG1600,0)=1,MAX($D$16,IFERROR(W1600,MAX($D$16,POWER((ABS(K1600)^2)/($I$5*MAX(F1600,0.1)^2),1/3)))),MAX($D$16,POWER((ABS(K1600)^2)/($I$5*MAX(F1600,0.1)^2),1/3))))))),MAX($D$16,POWER((ABS(K1600)^2)/($I$5*MAX(F1600,0.1)^2),1/3)))</f>
        <v>2.9149679204622827</v>
      </c>
      <c r="AI1600">
        <f t="shared" ca="1" si="829"/>
        <v>628.33496792046219</v>
      </c>
      <c r="AJ1600">
        <f t="shared" ca="1" si="830"/>
        <v>629.79245188069331</v>
      </c>
      <c r="AM1600">
        <v>0</v>
      </c>
      <c r="AN1600">
        <v>0</v>
      </c>
      <c r="AO1600">
        <f t="shared" si="831"/>
        <v>0</v>
      </c>
      <c r="AP1600">
        <f t="shared" si="839"/>
        <v>0</v>
      </c>
      <c r="AQ1600">
        <f t="shared" ca="1" si="832"/>
        <v>0.99999999999999989</v>
      </c>
      <c r="AR1600" t="str">
        <f t="shared" ca="1" si="833"/>
        <v>Supercritical</v>
      </c>
      <c r="AS1600">
        <f t="shared" ca="1" si="834"/>
        <v>6.161500867616897E-3</v>
      </c>
    </row>
    <row r="1601" spans="1:45" x14ac:dyDescent="0.35">
      <c r="A1601">
        <v>39</v>
      </c>
      <c r="B1601">
        <v>37.939</v>
      </c>
      <c r="C1601">
        <v>616070.62899999996</v>
      </c>
      <c r="D1601">
        <v>3096579.4130000002</v>
      </c>
      <c r="E1601">
        <v>625.04</v>
      </c>
      <c r="F1601">
        <v>3.2</v>
      </c>
      <c r="G1601">
        <v>0</v>
      </c>
      <c r="H1601" t="s">
        <v>154</v>
      </c>
      <c r="I1601">
        <v>5.7000000000000002E-2</v>
      </c>
      <c r="J1601">
        <f t="shared" si="835"/>
        <v>1</v>
      </c>
      <c r="K1601">
        <f t="shared" ca="1" si="841"/>
        <v>49.881000000000007</v>
      </c>
      <c r="L1601">
        <f t="shared" ca="1" si="836"/>
        <v>0.05</v>
      </c>
      <c r="M1601">
        <f t="shared" ca="1" si="810"/>
        <v>0.16000000000000003</v>
      </c>
      <c r="N1601">
        <f t="shared" ca="1" si="811"/>
        <v>4.8484848484848492E-2</v>
      </c>
      <c r="O1601">
        <f t="shared" ca="1" si="812"/>
        <v>311.75624999999997</v>
      </c>
      <c r="P1601">
        <f t="shared" ca="1" si="813"/>
        <v>625.08999999999992</v>
      </c>
      <c r="Q1601">
        <f t="shared" ca="1" si="814"/>
        <v>5578.8086245699533</v>
      </c>
      <c r="R1601">
        <f t="shared" ca="1" si="815"/>
        <v>1236.9100895616434</v>
      </c>
      <c r="S1601">
        <f t="shared" ca="1" si="816"/>
        <v>445.13901759203054</v>
      </c>
      <c r="T1601">
        <f t="shared" ca="1" si="817"/>
        <v>1585.1939598623856</v>
      </c>
      <c r="U1601">
        <f t="shared" ca="1" si="837"/>
        <v>-1237.0006928309767</v>
      </c>
      <c r="V1601">
        <f t="shared" ca="1" si="838"/>
        <v>0</v>
      </c>
      <c r="W1601">
        <f t="shared" ca="1" si="818"/>
        <v>2.9149679204622827</v>
      </c>
      <c r="X1601">
        <f t="shared" ca="1" si="819"/>
        <v>9.3278973454793057</v>
      </c>
      <c r="Y1601">
        <f t="shared" ca="1" si="820"/>
        <v>1.032997078805848</v>
      </c>
      <c r="Z1601">
        <f t="shared" ca="1" si="821"/>
        <v>5.3475073912744602</v>
      </c>
      <c r="AA1601">
        <f t="shared" ca="1" si="822"/>
        <v>627.9549679204622</v>
      </c>
      <c r="AB1601">
        <f t="shared" ca="1" si="823"/>
        <v>629.41245188069331</v>
      </c>
      <c r="AC1601">
        <f t="shared" ca="1" si="824"/>
        <v>6.161500867616897E-3</v>
      </c>
      <c r="AD1601">
        <f t="shared" ca="1" si="825"/>
        <v>0.99999999999999989</v>
      </c>
      <c r="AE1601">
        <f t="shared" ca="1" si="826"/>
        <v>40.785782291156181</v>
      </c>
      <c r="AF1601">
        <f t="shared" ca="1" si="827"/>
        <v>-0.37370003815613018</v>
      </c>
      <c r="AG1601">
        <f t="shared" ca="1" si="828"/>
        <v>1</v>
      </c>
      <c r="AH1601">
        <f ca="1">IFERROR(IF(V36="Supercritical",MAX($D$16,IFERROR(L1601,MAX($D$16,POWER((ABS(K1601)^2)/($I$5*MAX(F1601,0.1)^2),1/3)))),IF(V36="Subcritical",MAX($D$16,IFERROR(W1601,MAX($D$16,POWER((ABS(K1601)^2)/($I$5*MAX(F1601,0.1)^2),1/3)))),IF(AND(IFERROR(V1601,0)=1,IFERROR(AG1601,0)=1),IF(IFERROR(T1601,-1E+99)&gt;=IFERROR(AE1601,-1E+99),MAX($D$16,IFERROR(L1601,MAX($D$16,POWER((ABS(K1601)^2)/($I$5*MAX(F1601,0.1)^2),1/3)))),MAX($D$16,IFERROR(W1601,MAX($D$16,POWER((ABS(K1601)^2)/($I$5*MAX(F1601,0.1)^2),1/3))))),IF(IFERROR(V1601,0)=1,MAX($D$16,IFERROR(L1601,MAX($D$16,POWER((ABS(K1601)^2)/($I$5*MAX(F1601,0.1)^2),1/3)))),IF(IFERROR(AG1601,0)=1,MAX($D$16,IFERROR(W1601,MAX($D$16,POWER((ABS(K1601)^2)/($I$5*MAX(F1601,0.1)^2),1/3)))),MAX($D$16,POWER((ABS(K1601)^2)/($I$5*MAX(F1601,0.1)^2),1/3))))))),MAX($D$16,POWER((ABS(K1601)^2)/($I$5*MAX(F1601,0.1)^2),1/3)))</f>
        <v>2.9149679204622827</v>
      </c>
      <c r="AI1601">
        <f t="shared" ca="1" si="829"/>
        <v>627.9549679204622</v>
      </c>
      <c r="AJ1601">
        <f t="shared" ca="1" si="830"/>
        <v>629.41245188069331</v>
      </c>
      <c r="AM1601">
        <v>0</v>
      </c>
      <c r="AN1601">
        <v>0</v>
      </c>
      <c r="AO1601">
        <f t="shared" si="831"/>
        <v>0</v>
      </c>
      <c r="AP1601">
        <f t="shared" si="839"/>
        <v>0</v>
      </c>
      <c r="AQ1601">
        <f t="shared" ca="1" si="832"/>
        <v>0.99999999999999989</v>
      </c>
      <c r="AR1601" t="str">
        <f t="shared" ca="1" si="833"/>
        <v>Supercritical</v>
      </c>
      <c r="AS1601">
        <f t="shared" ca="1" si="834"/>
        <v>6.161500867616897E-3</v>
      </c>
    </row>
    <row r="1602" spans="1:45" x14ac:dyDescent="0.35">
      <c r="A1602">
        <v>40</v>
      </c>
      <c r="B1602">
        <v>38.939</v>
      </c>
      <c r="C1602">
        <v>616070.62199999997</v>
      </c>
      <c r="D1602">
        <v>3096578.4130000002</v>
      </c>
      <c r="E1602">
        <v>624.66</v>
      </c>
      <c r="F1602">
        <v>3.2</v>
      </c>
      <c r="G1602">
        <v>0</v>
      </c>
      <c r="H1602" t="s">
        <v>154</v>
      </c>
      <c r="I1602">
        <v>5.7000000000000002E-2</v>
      </c>
      <c r="J1602">
        <f t="shared" si="835"/>
        <v>1</v>
      </c>
      <c r="K1602">
        <f t="shared" ca="1" si="841"/>
        <v>49.881000000000007</v>
      </c>
      <c r="L1602">
        <f t="shared" ca="1" si="836"/>
        <v>0.05</v>
      </c>
      <c r="M1602">
        <f t="shared" ca="1" si="810"/>
        <v>0.16000000000000003</v>
      </c>
      <c r="N1602">
        <f t="shared" ca="1" si="811"/>
        <v>4.8484848484848492E-2</v>
      </c>
      <c r="O1602">
        <f t="shared" ca="1" si="812"/>
        <v>311.75624999999997</v>
      </c>
      <c r="P1602">
        <f t="shared" ca="1" si="813"/>
        <v>624.70999999999992</v>
      </c>
      <c r="Q1602">
        <f t="shared" ca="1" si="814"/>
        <v>5578.4286245699532</v>
      </c>
      <c r="R1602">
        <f t="shared" ca="1" si="815"/>
        <v>1236.9100895616434</v>
      </c>
      <c r="S1602">
        <f t="shared" ca="1" si="816"/>
        <v>445.13901759203054</v>
      </c>
      <c r="T1602">
        <f t="shared" ca="1" si="817"/>
        <v>1585.1939598623856</v>
      </c>
      <c r="U1602">
        <f t="shared" ca="1" si="837"/>
        <v>-1237.0006928309776</v>
      </c>
      <c r="V1602">
        <f t="shared" ca="1" si="838"/>
        <v>0</v>
      </c>
      <c r="W1602">
        <f t="shared" ca="1" si="818"/>
        <v>2.9149679204622827</v>
      </c>
      <c r="X1602">
        <f t="shared" ca="1" si="819"/>
        <v>9.3278973454793057</v>
      </c>
      <c r="Y1602">
        <f t="shared" ca="1" si="820"/>
        <v>1.032997078805848</v>
      </c>
      <c r="Z1602">
        <f t="shared" ca="1" si="821"/>
        <v>5.3475073912744602</v>
      </c>
      <c r="AA1602">
        <f t="shared" ca="1" si="822"/>
        <v>627.5749679204622</v>
      </c>
      <c r="AB1602">
        <f t="shared" ca="1" si="823"/>
        <v>629.03245188069332</v>
      </c>
      <c r="AC1602">
        <f t="shared" ca="1" si="824"/>
        <v>6.161500867616897E-3</v>
      </c>
      <c r="AD1602">
        <f t="shared" ca="1" si="825"/>
        <v>0.99999999999999989</v>
      </c>
      <c r="AE1602">
        <f t="shared" ca="1" si="826"/>
        <v>40.785782291156181</v>
      </c>
      <c r="AF1602">
        <f t="shared" ca="1" si="827"/>
        <v>-0.37383849913237555</v>
      </c>
      <c r="AG1602">
        <f t="shared" ca="1" si="828"/>
        <v>1</v>
      </c>
      <c r="AH1602">
        <f ca="1">IFERROR(IF(V36="Supercritical",MAX($D$16,IFERROR(L1602,MAX($D$16,POWER((ABS(K1602)^2)/($I$5*MAX(F1602,0.1)^2),1/3)))),IF(V36="Subcritical",MAX($D$16,IFERROR(W1602,MAX($D$16,POWER((ABS(K1602)^2)/($I$5*MAX(F1602,0.1)^2),1/3)))),IF(AND(IFERROR(V1602,0)=1,IFERROR(AG1602,0)=1),IF(IFERROR(T1602,-1E+99)&gt;=IFERROR(AE1602,-1E+99),MAX($D$16,IFERROR(L1602,MAX($D$16,POWER((ABS(K1602)^2)/($I$5*MAX(F1602,0.1)^2),1/3)))),MAX($D$16,IFERROR(W1602,MAX($D$16,POWER((ABS(K1602)^2)/($I$5*MAX(F1602,0.1)^2),1/3))))),IF(IFERROR(V1602,0)=1,MAX($D$16,IFERROR(L1602,MAX($D$16,POWER((ABS(K1602)^2)/($I$5*MAX(F1602,0.1)^2),1/3)))),IF(IFERROR(AG1602,0)=1,MAX($D$16,IFERROR(W1602,MAX($D$16,POWER((ABS(K1602)^2)/($I$5*MAX(F1602,0.1)^2),1/3)))),MAX($D$16,POWER((ABS(K1602)^2)/($I$5*MAX(F1602,0.1)^2),1/3))))))),MAX($D$16,POWER((ABS(K1602)^2)/($I$5*MAX(F1602,0.1)^2),1/3)))</f>
        <v>2.9149679204622827</v>
      </c>
      <c r="AI1602">
        <f t="shared" ca="1" si="829"/>
        <v>627.5749679204622</v>
      </c>
      <c r="AJ1602">
        <f t="shared" ca="1" si="830"/>
        <v>629.03245188069332</v>
      </c>
      <c r="AM1602">
        <v>0</v>
      </c>
      <c r="AN1602">
        <v>0</v>
      </c>
      <c r="AO1602">
        <f t="shared" si="831"/>
        <v>0</v>
      </c>
      <c r="AP1602">
        <f t="shared" si="839"/>
        <v>0</v>
      </c>
      <c r="AQ1602">
        <f t="shared" ca="1" si="832"/>
        <v>0.99999999999999989</v>
      </c>
      <c r="AR1602" t="str">
        <f t="shared" ca="1" si="833"/>
        <v>Supercritical</v>
      </c>
      <c r="AS1602">
        <f t="shared" ca="1" si="834"/>
        <v>6.161500867616897E-3</v>
      </c>
    </row>
    <row r="1603" spans="1:45" x14ac:dyDescent="0.35">
      <c r="A1603">
        <v>41</v>
      </c>
      <c r="B1603">
        <v>39.939</v>
      </c>
      <c r="C1603">
        <v>616070.61600000004</v>
      </c>
      <c r="D1603">
        <v>3096577.4130000002</v>
      </c>
      <c r="E1603">
        <v>624.28</v>
      </c>
      <c r="F1603">
        <v>3.2</v>
      </c>
      <c r="G1603">
        <v>0</v>
      </c>
      <c r="H1603" t="s">
        <v>154</v>
      </c>
      <c r="I1603">
        <v>0</v>
      </c>
      <c r="J1603">
        <f t="shared" si="835"/>
        <v>1</v>
      </c>
      <c r="K1603">
        <f t="shared" ca="1" si="841"/>
        <v>49.881000000000007</v>
      </c>
      <c r="L1603">
        <f t="shared" ca="1" si="836"/>
        <v>0.05</v>
      </c>
      <c r="M1603">
        <f t="shared" ca="1" si="810"/>
        <v>0.16000000000000003</v>
      </c>
      <c r="N1603">
        <f t="shared" ca="1" si="811"/>
        <v>4.8484848484848492E-2</v>
      </c>
      <c r="O1603">
        <f t="shared" ca="1" si="812"/>
        <v>311.75624999999997</v>
      </c>
      <c r="P1603">
        <f t="shared" ca="1" si="813"/>
        <v>624.32999999999993</v>
      </c>
      <c r="Q1603">
        <f t="shared" ca="1" si="814"/>
        <v>5578.0486245699531</v>
      </c>
      <c r="R1603">
        <f t="shared" ca="1" si="815"/>
        <v>1236.9100895616434</v>
      </c>
      <c r="S1603">
        <f t="shared" ca="1" si="816"/>
        <v>445.13901759203054</v>
      </c>
      <c r="T1603">
        <f t="shared" ca="1" si="817"/>
        <v>1585.1939598623856</v>
      </c>
      <c r="U1603">
        <f t="shared" ca="1" si="837"/>
        <v>-1236.5300895616429</v>
      </c>
      <c r="V1603">
        <f t="shared" ca="1" si="838"/>
        <v>0</v>
      </c>
      <c r="W1603">
        <f t="shared" ca="1" si="818"/>
        <v>2.9149679204622827</v>
      </c>
      <c r="X1603">
        <f t="shared" ca="1" si="819"/>
        <v>9.3278973454793057</v>
      </c>
      <c r="Y1603">
        <f t="shared" ca="1" si="820"/>
        <v>1.032997078805848</v>
      </c>
      <c r="Z1603">
        <f t="shared" ca="1" si="821"/>
        <v>5.3475073912744602</v>
      </c>
      <c r="AA1603">
        <f t="shared" ca="1" si="822"/>
        <v>627.1949679204622</v>
      </c>
      <c r="AB1603">
        <f t="shared" ca="1" si="823"/>
        <v>628.65245188069332</v>
      </c>
      <c r="AC1603">
        <f t="shared" ca="1" si="824"/>
        <v>6.161500867616897E-3</v>
      </c>
      <c r="AD1603">
        <f t="shared" ca="1" si="825"/>
        <v>0.99999999999999989</v>
      </c>
      <c r="AE1603">
        <f t="shared" ca="1" si="826"/>
        <v>40.785782291156181</v>
      </c>
      <c r="AF1603">
        <f t="shared" ca="1" si="827"/>
        <v>-0.37383849913237555</v>
      </c>
      <c r="AG1603">
        <f t="shared" ca="1" si="828"/>
        <v>1</v>
      </c>
      <c r="AH1603">
        <f ca="1">IFERROR(IF(V36="Supercritical",MAX($D$16,IFERROR(L1603,MAX($D$16,POWER((ABS(K1603)^2)/($I$5*MAX(F1603,0.1)^2),1/3)))),IF(V36="Subcritical",MAX($D$16,IFERROR(W1603,MAX($D$16,POWER((ABS(K1603)^2)/($I$5*MAX(F1603,0.1)^2),1/3)))),IF(AND(IFERROR(V1603,0)=1,IFERROR(AG1603,0)=1),IF(IFERROR(T1603,-1E+99)&gt;=IFERROR(AE1603,-1E+99),MAX($D$16,IFERROR(L1603,MAX($D$16,POWER((ABS(K1603)^2)/($I$5*MAX(F1603,0.1)^2),1/3)))),MAX($D$16,IFERROR(W1603,MAX($D$16,POWER((ABS(K1603)^2)/($I$5*MAX(F1603,0.1)^2),1/3))))),IF(IFERROR(V1603,0)=1,MAX($D$16,IFERROR(L1603,MAX($D$16,POWER((ABS(K1603)^2)/($I$5*MAX(F1603,0.1)^2),1/3)))),IF(IFERROR(AG1603,0)=1,MAX($D$16,IFERROR(W1603,MAX($D$16,POWER((ABS(K1603)^2)/($I$5*MAX(F1603,0.1)^2),1/3)))),MAX($D$16,POWER((ABS(K1603)^2)/($I$5*MAX(F1603,0.1)^2),1/3))))))),MAX($D$16,POWER((ABS(K1603)^2)/($I$5*MAX(F1603,0.1)^2),1/3)))</f>
        <v>2.9149679204622827</v>
      </c>
      <c r="AI1603">
        <f t="shared" ca="1" si="829"/>
        <v>627.1949679204622</v>
      </c>
      <c r="AJ1603">
        <f t="shared" ca="1" si="830"/>
        <v>628.65245188069332</v>
      </c>
      <c r="AM1603">
        <v>0</v>
      </c>
      <c r="AN1603">
        <v>0</v>
      </c>
      <c r="AO1603">
        <f t="shared" si="831"/>
        <v>0</v>
      </c>
      <c r="AP1603">
        <f t="shared" si="839"/>
        <v>0</v>
      </c>
      <c r="AQ1603">
        <f t="shared" ca="1" si="832"/>
        <v>0.99999999999999989</v>
      </c>
      <c r="AR1603" t="str">
        <f t="shared" ca="1" si="833"/>
        <v>Supercritical</v>
      </c>
      <c r="AS1603">
        <f t="shared" ca="1" si="834"/>
        <v>6.161500867616897E-3</v>
      </c>
    </row>
    <row r="1604" spans="1:45" x14ac:dyDescent="0.35">
      <c r="A1604">
        <v>42</v>
      </c>
      <c r="B1604">
        <v>40.939</v>
      </c>
      <c r="C1604">
        <v>616070.61</v>
      </c>
      <c r="D1604">
        <v>3096576.4130000002</v>
      </c>
      <c r="E1604">
        <v>623.9</v>
      </c>
      <c r="F1604">
        <v>3.2</v>
      </c>
      <c r="G1604">
        <v>0</v>
      </c>
      <c r="H1604" t="s">
        <v>154</v>
      </c>
      <c r="I1604">
        <v>0</v>
      </c>
      <c r="J1604">
        <f t="shared" si="835"/>
        <v>1</v>
      </c>
      <c r="K1604">
        <f t="shared" ca="1" si="841"/>
        <v>49.881000000000007</v>
      </c>
      <c r="L1604">
        <f t="shared" ca="1" si="836"/>
        <v>0.05</v>
      </c>
      <c r="M1604">
        <f t="shared" ca="1" si="810"/>
        <v>0.16000000000000003</v>
      </c>
      <c r="N1604">
        <f t="shared" ca="1" si="811"/>
        <v>4.8484848484848492E-2</v>
      </c>
      <c r="O1604">
        <f t="shared" ca="1" si="812"/>
        <v>311.75624999999997</v>
      </c>
      <c r="P1604">
        <f t="shared" ca="1" si="813"/>
        <v>623.94999999999993</v>
      </c>
      <c r="Q1604">
        <f t="shared" ca="1" si="814"/>
        <v>5577.668624569953</v>
      </c>
      <c r="R1604">
        <f t="shared" ca="1" si="815"/>
        <v>1236.9100895616434</v>
      </c>
      <c r="S1604">
        <f t="shared" ca="1" si="816"/>
        <v>445.13901759203054</v>
      </c>
      <c r="T1604">
        <f t="shared" ca="1" si="817"/>
        <v>1585.1939598623856</v>
      </c>
      <c r="U1604">
        <f t="shared" ca="1" si="837"/>
        <v>-1236.5300895616438</v>
      </c>
      <c r="V1604">
        <f t="shared" ca="1" si="838"/>
        <v>0</v>
      </c>
      <c r="W1604">
        <f t="shared" ca="1" si="818"/>
        <v>2.9149679204622827</v>
      </c>
      <c r="X1604">
        <f t="shared" ca="1" si="819"/>
        <v>9.3278973454793057</v>
      </c>
      <c r="Y1604">
        <f t="shared" ca="1" si="820"/>
        <v>1.032997078805848</v>
      </c>
      <c r="Z1604">
        <f t="shared" ca="1" si="821"/>
        <v>5.3475073912744602</v>
      </c>
      <c r="AA1604">
        <f t="shared" ca="1" si="822"/>
        <v>626.81496792046221</v>
      </c>
      <c r="AB1604">
        <f t="shared" ca="1" si="823"/>
        <v>628.27245188069332</v>
      </c>
      <c r="AC1604">
        <f t="shared" ca="1" si="824"/>
        <v>6.161500867616897E-3</v>
      </c>
      <c r="AD1604">
        <f t="shared" ca="1" si="825"/>
        <v>0.99999999999999989</v>
      </c>
      <c r="AE1604">
        <f t="shared" ca="1" si="826"/>
        <v>40.785782291156181</v>
      </c>
      <c r="AF1604">
        <f t="shared" ca="1" si="827"/>
        <v>-0.37370003815613018</v>
      </c>
      <c r="AG1604">
        <f t="shared" ca="1" si="828"/>
        <v>1</v>
      </c>
      <c r="AH1604">
        <f ca="1">IFERROR(IF(V36="Supercritical",MAX($D$16,IFERROR(L1604,MAX($D$16,POWER((ABS(K1604)^2)/($I$5*MAX(F1604,0.1)^2),1/3)))),IF(V36="Subcritical",MAX($D$16,IFERROR(W1604,MAX($D$16,POWER((ABS(K1604)^2)/($I$5*MAX(F1604,0.1)^2),1/3)))),IF(AND(IFERROR(V1604,0)=1,IFERROR(AG1604,0)=1),IF(IFERROR(T1604,-1E+99)&gt;=IFERROR(AE1604,-1E+99),MAX($D$16,IFERROR(L1604,MAX($D$16,POWER((ABS(K1604)^2)/($I$5*MAX(F1604,0.1)^2),1/3)))),MAX($D$16,IFERROR(W1604,MAX($D$16,POWER((ABS(K1604)^2)/($I$5*MAX(F1604,0.1)^2),1/3))))),IF(IFERROR(V1604,0)=1,MAX($D$16,IFERROR(L1604,MAX($D$16,POWER((ABS(K1604)^2)/($I$5*MAX(F1604,0.1)^2),1/3)))),IF(IFERROR(AG1604,0)=1,MAX($D$16,IFERROR(W1604,MAX($D$16,POWER((ABS(K1604)^2)/($I$5*MAX(F1604,0.1)^2),1/3)))),MAX($D$16,POWER((ABS(K1604)^2)/($I$5*MAX(F1604,0.1)^2),1/3))))))),MAX($D$16,POWER((ABS(K1604)^2)/($I$5*MAX(F1604,0.1)^2),1/3)))</f>
        <v>2.9149679204622827</v>
      </c>
      <c r="AI1604">
        <f t="shared" ca="1" si="829"/>
        <v>626.81496792046221</v>
      </c>
      <c r="AJ1604">
        <f t="shared" ca="1" si="830"/>
        <v>628.27245188069332</v>
      </c>
      <c r="AM1604">
        <v>0</v>
      </c>
      <c r="AN1604">
        <v>0</v>
      </c>
      <c r="AO1604">
        <f t="shared" si="831"/>
        <v>0</v>
      </c>
      <c r="AP1604">
        <f t="shared" si="839"/>
        <v>0</v>
      </c>
      <c r="AQ1604">
        <f t="shared" ca="1" si="832"/>
        <v>0.99999999999999989</v>
      </c>
      <c r="AR1604" t="str">
        <f t="shared" ca="1" si="833"/>
        <v>Supercritical</v>
      </c>
      <c r="AS1604">
        <f t="shared" ca="1" si="834"/>
        <v>6.161500867616897E-3</v>
      </c>
    </row>
    <row r="1605" spans="1:45" x14ac:dyDescent="0.35">
      <c r="A1605">
        <v>43</v>
      </c>
      <c r="B1605">
        <v>41.939</v>
      </c>
      <c r="C1605">
        <v>616070.60400000005</v>
      </c>
      <c r="D1605">
        <v>3096575.4130000002</v>
      </c>
      <c r="E1605">
        <v>623.52</v>
      </c>
      <c r="F1605">
        <v>3.2</v>
      </c>
      <c r="G1605">
        <v>0</v>
      </c>
      <c r="H1605" t="s">
        <v>154</v>
      </c>
      <c r="I1605">
        <v>5.7000000000000002E-2</v>
      </c>
      <c r="J1605">
        <f t="shared" si="835"/>
        <v>1</v>
      </c>
      <c r="K1605">
        <f t="shared" ca="1" si="841"/>
        <v>49.881000000000007</v>
      </c>
      <c r="L1605">
        <f t="shared" ca="1" si="836"/>
        <v>0.05</v>
      </c>
      <c r="M1605">
        <f t="shared" ca="1" si="810"/>
        <v>0.16000000000000003</v>
      </c>
      <c r="N1605">
        <f t="shared" ca="1" si="811"/>
        <v>4.8484848484848492E-2</v>
      </c>
      <c r="O1605">
        <f t="shared" ca="1" si="812"/>
        <v>311.75624999999997</v>
      </c>
      <c r="P1605">
        <f t="shared" ca="1" si="813"/>
        <v>623.56999999999994</v>
      </c>
      <c r="Q1605">
        <f t="shared" ca="1" si="814"/>
        <v>5577.2886245699528</v>
      </c>
      <c r="R1605">
        <f t="shared" ca="1" si="815"/>
        <v>1236.9100895616434</v>
      </c>
      <c r="S1605">
        <f t="shared" ca="1" si="816"/>
        <v>445.13901759203054</v>
      </c>
      <c r="T1605">
        <f t="shared" ca="1" si="817"/>
        <v>1585.1939598623856</v>
      </c>
      <c r="U1605">
        <f t="shared" ca="1" si="837"/>
        <v>-1237.0006928309767</v>
      </c>
      <c r="V1605">
        <f t="shared" ca="1" si="838"/>
        <v>0</v>
      </c>
      <c r="W1605">
        <f t="shared" ca="1" si="818"/>
        <v>2.9149679204622827</v>
      </c>
      <c r="X1605">
        <f t="shared" ca="1" si="819"/>
        <v>9.3278973454793057</v>
      </c>
      <c r="Y1605">
        <f t="shared" ca="1" si="820"/>
        <v>1.032997078805848</v>
      </c>
      <c r="Z1605">
        <f t="shared" ca="1" si="821"/>
        <v>5.3475073912744602</v>
      </c>
      <c r="AA1605">
        <f t="shared" ca="1" si="822"/>
        <v>626.43496792046221</v>
      </c>
      <c r="AB1605">
        <f t="shared" ca="1" si="823"/>
        <v>627.89245188069333</v>
      </c>
      <c r="AC1605">
        <f t="shared" ca="1" si="824"/>
        <v>6.161500867616897E-3</v>
      </c>
      <c r="AD1605">
        <f t="shared" ca="1" si="825"/>
        <v>0.99999999999999989</v>
      </c>
      <c r="AE1605">
        <f t="shared" ca="1" si="826"/>
        <v>40.785782291156181</v>
      </c>
      <c r="AF1605">
        <f t="shared" ca="1" si="827"/>
        <v>-0.37370003815613018</v>
      </c>
      <c r="AG1605">
        <f t="shared" ca="1" si="828"/>
        <v>1</v>
      </c>
      <c r="AH1605">
        <f ca="1">IFERROR(IF(V36="Supercritical",MAX($D$16,IFERROR(L1605,MAX($D$16,POWER((ABS(K1605)^2)/($I$5*MAX(F1605,0.1)^2),1/3)))),IF(V36="Subcritical",MAX($D$16,IFERROR(W1605,MAX($D$16,POWER((ABS(K1605)^2)/($I$5*MAX(F1605,0.1)^2),1/3)))),IF(AND(IFERROR(V1605,0)=1,IFERROR(AG1605,0)=1),IF(IFERROR(T1605,-1E+99)&gt;=IFERROR(AE1605,-1E+99),MAX($D$16,IFERROR(L1605,MAX($D$16,POWER((ABS(K1605)^2)/($I$5*MAX(F1605,0.1)^2),1/3)))),MAX($D$16,IFERROR(W1605,MAX($D$16,POWER((ABS(K1605)^2)/($I$5*MAX(F1605,0.1)^2),1/3))))),IF(IFERROR(V1605,0)=1,MAX($D$16,IFERROR(L1605,MAX($D$16,POWER((ABS(K1605)^2)/($I$5*MAX(F1605,0.1)^2),1/3)))),IF(IFERROR(AG1605,0)=1,MAX($D$16,IFERROR(W1605,MAX($D$16,POWER((ABS(K1605)^2)/($I$5*MAX(F1605,0.1)^2),1/3)))),MAX($D$16,POWER((ABS(K1605)^2)/($I$5*MAX(F1605,0.1)^2),1/3))))))),MAX($D$16,POWER((ABS(K1605)^2)/($I$5*MAX(F1605,0.1)^2),1/3)))</f>
        <v>2.9149679204622827</v>
      </c>
      <c r="AI1605">
        <f t="shared" ca="1" si="829"/>
        <v>626.43496792046221</v>
      </c>
      <c r="AJ1605">
        <f t="shared" ca="1" si="830"/>
        <v>627.89245188069333</v>
      </c>
      <c r="AM1605">
        <v>0</v>
      </c>
      <c r="AN1605">
        <v>0</v>
      </c>
      <c r="AO1605">
        <f t="shared" si="831"/>
        <v>0</v>
      </c>
      <c r="AP1605">
        <f t="shared" si="839"/>
        <v>0</v>
      </c>
      <c r="AQ1605">
        <f t="shared" ca="1" si="832"/>
        <v>0.99999999999999989</v>
      </c>
      <c r="AR1605" t="str">
        <f t="shared" ca="1" si="833"/>
        <v>Supercritical</v>
      </c>
      <c r="AS1605">
        <f t="shared" ca="1" si="834"/>
        <v>6.161500867616897E-3</v>
      </c>
    </row>
    <row r="1606" spans="1:45" x14ac:dyDescent="0.35">
      <c r="A1606">
        <v>44</v>
      </c>
      <c r="B1606">
        <v>42.939</v>
      </c>
      <c r="C1606">
        <v>616070.59699999995</v>
      </c>
      <c r="D1606">
        <v>3096574.4130000002</v>
      </c>
      <c r="E1606">
        <v>623.14</v>
      </c>
      <c r="F1606">
        <v>3.2</v>
      </c>
      <c r="G1606">
        <v>0</v>
      </c>
      <c r="H1606" t="s">
        <v>154</v>
      </c>
      <c r="I1606">
        <v>5.7000000000000002E-2</v>
      </c>
      <c r="J1606">
        <f t="shared" si="835"/>
        <v>1</v>
      </c>
      <c r="K1606">
        <f t="shared" ca="1" si="841"/>
        <v>49.881000000000007</v>
      </c>
      <c r="L1606">
        <f t="shared" ca="1" si="836"/>
        <v>0.05</v>
      </c>
      <c r="M1606">
        <f t="shared" ca="1" si="810"/>
        <v>0.16000000000000003</v>
      </c>
      <c r="N1606">
        <f t="shared" ca="1" si="811"/>
        <v>4.8484848484848492E-2</v>
      </c>
      <c r="O1606">
        <f t="shared" ca="1" si="812"/>
        <v>311.75624999999997</v>
      </c>
      <c r="P1606">
        <f t="shared" ca="1" si="813"/>
        <v>623.18999999999994</v>
      </c>
      <c r="Q1606">
        <f t="shared" ca="1" si="814"/>
        <v>5576.9086245699527</v>
      </c>
      <c r="R1606">
        <f t="shared" ca="1" si="815"/>
        <v>1236.9100895616434</v>
      </c>
      <c r="S1606">
        <f t="shared" ca="1" si="816"/>
        <v>445.13901759203054</v>
      </c>
      <c r="T1606">
        <f t="shared" ca="1" si="817"/>
        <v>1585.1939598623856</v>
      </c>
      <c r="U1606">
        <f t="shared" ca="1" si="837"/>
        <v>-1237.0006928309776</v>
      </c>
      <c r="V1606">
        <f t="shared" ca="1" si="838"/>
        <v>0</v>
      </c>
      <c r="W1606">
        <f t="shared" ca="1" si="818"/>
        <v>2.9149679204622827</v>
      </c>
      <c r="X1606">
        <f t="shared" ca="1" si="819"/>
        <v>9.3278973454793057</v>
      </c>
      <c r="Y1606">
        <f t="shared" ca="1" si="820"/>
        <v>1.032997078805848</v>
      </c>
      <c r="Z1606">
        <f t="shared" ca="1" si="821"/>
        <v>5.3475073912744602</v>
      </c>
      <c r="AA1606">
        <f t="shared" ca="1" si="822"/>
        <v>626.05496792046222</v>
      </c>
      <c r="AB1606">
        <f t="shared" ca="1" si="823"/>
        <v>627.51245188069333</v>
      </c>
      <c r="AC1606">
        <f t="shared" ca="1" si="824"/>
        <v>6.161500867616897E-3</v>
      </c>
      <c r="AD1606">
        <f t="shared" ca="1" si="825"/>
        <v>0.99999999999999989</v>
      </c>
      <c r="AE1606">
        <f t="shared" ca="1" si="826"/>
        <v>40.785782291156181</v>
      </c>
      <c r="AF1606">
        <f t="shared" ca="1" si="827"/>
        <v>-0.37383849913237555</v>
      </c>
      <c r="AG1606">
        <f t="shared" ca="1" si="828"/>
        <v>1</v>
      </c>
      <c r="AH1606">
        <f ca="1">IFERROR(IF(V36="Supercritical",MAX($D$16,IFERROR(L1606,MAX($D$16,POWER((ABS(K1606)^2)/($I$5*MAX(F1606,0.1)^2),1/3)))),IF(V36="Subcritical",MAX($D$16,IFERROR(W1606,MAX($D$16,POWER((ABS(K1606)^2)/($I$5*MAX(F1606,0.1)^2),1/3)))),IF(AND(IFERROR(V1606,0)=1,IFERROR(AG1606,0)=1),IF(IFERROR(T1606,-1E+99)&gt;=IFERROR(AE1606,-1E+99),MAX($D$16,IFERROR(L1606,MAX($D$16,POWER((ABS(K1606)^2)/($I$5*MAX(F1606,0.1)^2),1/3)))),MAX($D$16,IFERROR(W1606,MAX($D$16,POWER((ABS(K1606)^2)/($I$5*MAX(F1606,0.1)^2),1/3))))),IF(IFERROR(V1606,0)=1,MAX($D$16,IFERROR(L1606,MAX($D$16,POWER((ABS(K1606)^2)/($I$5*MAX(F1606,0.1)^2),1/3)))),IF(IFERROR(AG1606,0)=1,MAX($D$16,IFERROR(W1606,MAX($D$16,POWER((ABS(K1606)^2)/($I$5*MAX(F1606,0.1)^2),1/3)))),MAX($D$16,POWER((ABS(K1606)^2)/($I$5*MAX(F1606,0.1)^2),1/3))))))),MAX($D$16,POWER((ABS(K1606)^2)/($I$5*MAX(F1606,0.1)^2),1/3)))</f>
        <v>2.9149679204622827</v>
      </c>
      <c r="AI1606">
        <f t="shared" ca="1" si="829"/>
        <v>626.05496792046222</v>
      </c>
      <c r="AJ1606">
        <f t="shared" ca="1" si="830"/>
        <v>627.51245188069333</v>
      </c>
      <c r="AM1606">
        <v>0</v>
      </c>
      <c r="AN1606">
        <v>0</v>
      </c>
      <c r="AO1606">
        <f t="shared" si="831"/>
        <v>0</v>
      </c>
      <c r="AP1606">
        <f t="shared" si="839"/>
        <v>0</v>
      </c>
      <c r="AQ1606">
        <f t="shared" ca="1" si="832"/>
        <v>0.99999999999999989</v>
      </c>
      <c r="AR1606" t="str">
        <f t="shared" ca="1" si="833"/>
        <v>Supercritical</v>
      </c>
      <c r="AS1606">
        <f t="shared" ca="1" si="834"/>
        <v>6.161500867616897E-3</v>
      </c>
    </row>
    <row r="1607" spans="1:45" x14ac:dyDescent="0.35">
      <c r="A1607">
        <v>45</v>
      </c>
      <c r="B1607">
        <v>43.939</v>
      </c>
      <c r="C1607">
        <v>616070.59100000001</v>
      </c>
      <c r="D1607">
        <v>3096573.4130000002</v>
      </c>
      <c r="E1607">
        <v>622.76</v>
      </c>
      <c r="F1607">
        <v>3.2</v>
      </c>
      <c r="G1607">
        <v>0</v>
      </c>
      <c r="H1607" t="s">
        <v>154</v>
      </c>
      <c r="I1607">
        <v>0</v>
      </c>
      <c r="J1607">
        <f t="shared" si="835"/>
        <v>1</v>
      </c>
      <c r="K1607">
        <f t="shared" ca="1" si="841"/>
        <v>49.881000000000007</v>
      </c>
      <c r="L1607">
        <f t="shared" ca="1" si="836"/>
        <v>0.05</v>
      </c>
      <c r="M1607">
        <f t="shared" ca="1" si="810"/>
        <v>0.16000000000000003</v>
      </c>
      <c r="N1607">
        <f t="shared" ca="1" si="811"/>
        <v>4.8484848484848492E-2</v>
      </c>
      <c r="O1607">
        <f t="shared" ca="1" si="812"/>
        <v>311.75624999999997</v>
      </c>
      <c r="P1607">
        <f t="shared" ca="1" si="813"/>
        <v>622.80999999999995</v>
      </c>
      <c r="Q1607">
        <f t="shared" ca="1" si="814"/>
        <v>5576.5286245699535</v>
      </c>
      <c r="R1607">
        <f t="shared" ca="1" si="815"/>
        <v>1236.9100895616434</v>
      </c>
      <c r="S1607">
        <f t="shared" ca="1" si="816"/>
        <v>445.13901759203054</v>
      </c>
      <c r="T1607">
        <f t="shared" ca="1" si="817"/>
        <v>1585.1939598623856</v>
      </c>
      <c r="U1607">
        <f t="shared" ca="1" si="837"/>
        <v>-1236.5300895616438</v>
      </c>
      <c r="V1607">
        <f t="shared" ca="1" si="838"/>
        <v>0</v>
      </c>
      <c r="W1607">
        <f t="shared" ca="1" si="818"/>
        <v>2.9149679204622827</v>
      </c>
      <c r="X1607">
        <f t="shared" ca="1" si="819"/>
        <v>9.3278973454793057</v>
      </c>
      <c r="Y1607">
        <f t="shared" ca="1" si="820"/>
        <v>1.032997078805848</v>
      </c>
      <c r="Z1607">
        <f t="shared" ca="1" si="821"/>
        <v>5.3475073912744602</v>
      </c>
      <c r="AA1607">
        <f t="shared" ca="1" si="822"/>
        <v>625.67496792046222</v>
      </c>
      <c r="AB1607">
        <f t="shared" ca="1" si="823"/>
        <v>627.13245188069334</v>
      </c>
      <c r="AC1607">
        <f t="shared" ca="1" si="824"/>
        <v>6.161500867616897E-3</v>
      </c>
      <c r="AD1607">
        <f t="shared" ca="1" si="825"/>
        <v>0.99999999999999989</v>
      </c>
      <c r="AE1607">
        <f t="shared" ca="1" si="826"/>
        <v>40.785782291156181</v>
      </c>
      <c r="AF1607">
        <f t="shared" ca="1" si="827"/>
        <v>-0.37368789245647349</v>
      </c>
      <c r="AG1607">
        <f t="shared" ca="1" si="828"/>
        <v>1</v>
      </c>
      <c r="AH1607">
        <f ca="1">IFERROR(IF(V36="Supercritical",MAX($D$16,IFERROR(L1607,MAX($D$16,POWER((ABS(K1607)^2)/($I$5*MAX(F1607,0.1)^2),1/3)))),IF(V36="Subcritical",MAX($D$16,IFERROR(W1607,MAX($D$16,POWER((ABS(K1607)^2)/($I$5*MAX(F1607,0.1)^2),1/3)))),IF(AND(IFERROR(V1607,0)=1,IFERROR(AG1607,0)=1),IF(IFERROR(T1607,-1E+99)&gt;=IFERROR(AE1607,-1E+99),MAX($D$16,IFERROR(L1607,MAX($D$16,POWER((ABS(K1607)^2)/($I$5*MAX(F1607,0.1)^2),1/3)))),MAX($D$16,IFERROR(W1607,MAX($D$16,POWER((ABS(K1607)^2)/($I$5*MAX(F1607,0.1)^2),1/3))))),IF(IFERROR(V1607,0)=1,MAX($D$16,IFERROR(L1607,MAX($D$16,POWER((ABS(K1607)^2)/($I$5*MAX(F1607,0.1)^2),1/3)))),IF(IFERROR(AG1607,0)=1,MAX($D$16,IFERROR(W1607,MAX($D$16,POWER((ABS(K1607)^2)/($I$5*MAX(F1607,0.1)^2),1/3)))),MAX($D$16,POWER((ABS(K1607)^2)/($I$5*MAX(F1607,0.1)^2),1/3))))))),MAX($D$16,POWER((ABS(K1607)^2)/($I$5*MAX(F1607,0.1)^2),1/3)))</f>
        <v>2.9149679204622827</v>
      </c>
      <c r="AI1607">
        <f t="shared" ca="1" si="829"/>
        <v>625.67496792046222</v>
      </c>
      <c r="AJ1607">
        <f t="shared" ca="1" si="830"/>
        <v>627.13245188069334</v>
      </c>
      <c r="AM1607">
        <v>0</v>
      </c>
      <c r="AN1607">
        <v>0</v>
      </c>
      <c r="AO1607">
        <f t="shared" si="831"/>
        <v>0</v>
      </c>
      <c r="AP1607">
        <f t="shared" si="839"/>
        <v>0</v>
      </c>
      <c r="AQ1607">
        <f t="shared" ca="1" si="832"/>
        <v>0.99999999999999989</v>
      </c>
      <c r="AR1607" t="str">
        <f t="shared" ca="1" si="833"/>
        <v>Supercritical</v>
      </c>
      <c r="AS1607">
        <f t="shared" ca="1" si="834"/>
        <v>6.161500867616897E-3</v>
      </c>
    </row>
    <row r="1608" spans="1:45" x14ac:dyDescent="0.35">
      <c r="A1608">
        <v>46</v>
      </c>
      <c r="B1608">
        <v>44.939</v>
      </c>
      <c r="C1608">
        <v>616070.58499999996</v>
      </c>
      <c r="D1608">
        <v>3096572.4130000002</v>
      </c>
      <c r="E1608">
        <v>622.38</v>
      </c>
      <c r="F1608">
        <v>3.2</v>
      </c>
      <c r="G1608">
        <v>0</v>
      </c>
      <c r="H1608" t="s">
        <v>154</v>
      </c>
      <c r="I1608">
        <v>6.2E-2</v>
      </c>
      <c r="J1608">
        <f t="shared" si="835"/>
        <v>1</v>
      </c>
      <c r="K1608">
        <f t="shared" ca="1" si="841"/>
        <v>49.881000000000007</v>
      </c>
      <c r="L1608">
        <f t="shared" ca="1" si="836"/>
        <v>0.05</v>
      </c>
      <c r="M1608">
        <f t="shared" ca="1" si="810"/>
        <v>0.16000000000000003</v>
      </c>
      <c r="N1608">
        <f t="shared" ca="1" si="811"/>
        <v>4.8484848484848492E-2</v>
      </c>
      <c r="O1608">
        <f t="shared" ca="1" si="812"/>
        <v>311.75624999999997</v>
      </c>
      <c r="P1608">
        <f t="shared" ca="1" si="813"/>
        <v>622.42999999999995</v>
      </c>
      <c r="Q1608">
        <f t="shared" ca="1" si="814"/>
        <v>5576.1486245699534</v>
      </c>
      <c r="R1608">
        <f t="shared" ca="1" si="815"/>
        <v>1236.9100895616434</v>
      </c>
      <c r="S1608">
        <f t="shared" ca="1" si="816"/>
        <v>445.13901759203054</v>
      </c>
      <c r="T1608">
        <f t="shared" ca="1" si="817"/>
        <v>1585.1939598623856</v>
      </c>
      <c r="U1608">
        <f t="shared" ca="1" si="837"/>
        <v>-1237.0419738195151</v>
      </c>
      <c r="V1608">
        <f t="shared" ca="1" si="838"/>
        <v>0</v>
      </c>
      <c r="W1608">
        <f t="shared" ca="1" si="818"/>
        <v>2.9149679204622827</v>
      </c>
      <c r="X1608">
        <f t="shared" ca="1" si="819"/>
        <v>9.3278973454793057</v>
      </c>
      <c r="Y1608">
        <f t="shared" ca="1" si="820"/>
        <v>1.032997078805848</v>
      </c>
      <c r="Z1608">
        <f t="shared" ca="1" si="821"/>
        <v>5.3475073912744602</v>
      </c>
      <c r="AA1608">
        <f t="shared" ca="1" si="822"/>
        <v>625.29496792046223</v>
      </c>
      <c r="AB1608">
        <f t="shared" ca="1" si="823"/>
        <v>626.75245188069334</v>
      </c>
      <c r="AC1608">
        <f t="shared" ca="1" si="824"/>
        <v>6.161500867616897E-3</v>
      </c>
      <c r="AD1608">
        <f t="shared" ca="1" si="825"/>
        <v>0.99999999999999989</v>
      </c>
      <c r="AE1608">
        <f t="shared" ca="1" si="826"/>
        <v>40.785782291156181</v>
      </c>
      <c r="AF1608">
        <f t="shared" ca="1" si="827"/>
        <v>-0.34946063765460167</v>
      </c>
      <c r="AG1608">
        <f t="shared" ca="1" si="828"/>
        <v>1</v>
      </c>
      <c r="AH1608">
        <f ca="1">IFERROR(IF(V36="Supercritical",MAX($D$16,IFERROR(L1608,MAX($D$16,POWER((ABS(K1608)^2)/($I$5*MAX(F1608,0.1)^2),1/3)))),IF(V36="Subcritical",MAX($D$16,IFERROR(W1608,MAX($D$16,POWER((ABS(K1608)^2)/($I$5*MAX(F1608,0.1)^2),1/3)))),IF(AND(IFERROR(V1608,0)=1,IFERROR(AG1608,0)=1),IF(IFERROR(T1608,-1E+99)&gt;=IFERROR(AE1608,-1E+99),MAX($D$16,IFERROR(L1608,MAX($D$16,POWER((ABS(K1608)^2)/($I$5*MAX(F1608,0.1)^2),1/3)))),MAX($D$16,IFERROR(W1608,MAX($D$16,POWER((ABS(K1608)^2)/($I$5*MAX(F1608,0.1)^2),1/3))))),IF(IFERROR(V1608,0)=1,MAX($D$16,IFERROR(L1608,MAX($D$16,POWER((ABS(K1608)^2)/($I$5*MAX(F1608,0.1)^2),1/3)))),IF(IFERROR(AG1608,0)=1,MAX($D$16,IFERROR(W1608,MAX($D$16,POWER((ABS(K1608)^2)/($I$5*MAX(F1608,0.1)^2),1/3)))),MAX($D$16,POWER((ABS(K1608)^2)/($I$5*MAX(F1608,0.1)^2),1/3))))))),MAX($D$16,POWER((ABS(K1608)^2)/($I$5*MAX(F1608,0.1)^2),1/3)))</f>
        <v>2.9149679204622827</v>
      </c>
      <c r="AI1608">
        <f t="shared" ca="1" si="829"/>
        <v>625.29496792046223</v>
      </c>
      <c r="AJ1608">
        <f t="shared" ca="1" si="830"/>
        <v>626.75245188069334</v>
      </c>
      <c r="AM1608">
        <v>0</v>
      </c>
      <c r="AN1608">
        <v>0</v>
      </c>
      <c r="AO1608">
        <f t="shared" si="831"/>
        <v>0</v>
      </c>
      <c r="AP1608">
        <f t="shared" si="839"/>
        <v>0</v>
      </c>
      <c r="AQ1608">
        <f t="shared" ca="1" si="832"/>
        <v>0.99999999999999989</v>
      </c>
      <c r="AR1608" t="str">
        <f t="shared" ca="1" si="833"/>
        <v>Supercritical</v>
      </c>
      <c r="AS1608">
        <f t="shared" ca="1" si="834"/>
        <v>6.161500867616897E-3</v>
      </c>
    </row>
    <row r="1609" spans="1:45" x14ac:dyDescent="0.35">
      <c r="A1609">
        <v>47</v>
      </c>
      <c r="B1609">
        <v>45.363</v>
      </c>
      <c r="C1609">
        <v>616070.58200000005</v>
      </c>
      <c r="D1609">
        <v>3096571.9890000001</v>
      </c>
      <c r="E1609">
        <v>622</v>
      </c>
      <c r="F1609">
        <v>3.2</v>
      </c>
      <c r="G1609">
        <v>0</v>
      </c>
      <c r="H1609" t="s">
        <v>154</v>
      </c>
      <c r="I1609">
        <v>0</v>
      </c>
      <c r="J1609">
        <f t="shared" si="835"/>
        <v>0.42399999999999949</v>
      </c>
      <c r="K1609">
        <f t="shared" ca="1" si="841"/>
        <v>49.881000000000007</v>
      </c>
      <c r="L1609">
        <f t="shared" ca="1" si="836"/>
        <v>0.05</v>
      </c>
      <c r="M1609">
        <f t="shared" ca="1" si="810"/>
        <v>0.16000000000000003</v>
      </c>
      <c r="N1609">
        <f t="shared" ca="1" si="811"/>
        <v>4.8484848484848492E-2</v>
      </c>
      <c r="O1609">
        <f t="shared" ca="1" si="812"/>
        <v>311.75624999999997</v>
      </c>
      <c r="P1609">
        <f t="shared" ca="1" si="813"/>
        <v>622.04999999999995</v>
      </c>
      <c r="Q1609">
        <f t="shared" ca="1" si="814"/>
        <v>5575.7686245699533</v>
      </c>
      <c r="R1609">
        <f t="shared" ca="1" si="815"/>
        <v>1236.9100895616434</v>
      </c>
      <c r="S1609">
        <f t="shared" ca="1" si="816"/>
        <v>445.13901759203054</v>
      </c>
      <c r="T1609">
        <f t="shared" ca="1" si="817"/>
        <v>1585.1939598623856</v>
      </c>
      <c r="U1609">
        <f t="shared" ca="1" si="837"/>
        <v>-524.06987797413603</v>
      </c>
      <c r="V1609">
        <f t="shared" ca="1" si="838"/>
        <v>0</v>
      </c>
      <c r="W1609">
        <f>MAX($D$16,(P10)-E1609)</f>
        <v>3</v>
      </c>
      <c r="X1609">
        <f t="shared" si="819"/>
        <v>9.6000000000000014</v>
      </c>
      <c r="Y1609">
        <f t="shared" si="820"/>
        <v>1.0434782608695654</v>
      </c>
      <c r="Z1609">
        <f t="shared" ca="1" si="821"/>
        <v>5.1959375000000003</v>
      </c>
      <c r="AA1609">
        <f t="shared" si="822"/>
        <v>625</v>
      </c>
      <c r="AB1609">
        <f t="shared" ca="1" si="823"/>
        <v>626.37603295126939</v>
      </c>
      <c r="AC1609">
        <f t="shared" ca="1" si="824"/>
        <v>5.7393910231139976E-3</v>
      </c>
      <c r="AD1609">
        <f t="shared" ca="1" si="825"/>
        <v>0.95778666771170284</v>
      </c>
      <c r="AE1609">
        <f t="shared" ca="1" si="826"/>
        <v>40.819832664373095</v>
      </c>
      <c r="AF1609">
        <v>0</v>
      </c>
      <c r="AG1609">
        <v>1</v>
      </c>
      <c r="AH1609">
        <f ca="1">IFERROR(IF(V36="Supercritical",MAX($D$16,IFERROR(L1609,MAX($D$16,POWER((ABS(K1609)^2)/($I$5*MAX(F1609,0.1)^2),1/3)))),IF(V36="Subcritical",MAX($D$16,IFERROR(W1609,MAX($D$16,POWER((ABS(K1609)^2)/($I$5*MAX(F1609,0.1)^2),1/3)))),IF(AND(IFERROR(V1609,0)=1,IFERROR(AG1609,0)=1),IF(IFERROR(T1609,-1E+99)&gt;=IFERROR(AE1609,-1E+99),MAX($D$16,IFERROR(L1609,MAX($D$16,POWER((ABS(K1609)^2)/($I$5*MAX(F1609,0.1)^2),1/3)))),MAX($D$16,IFERROR(W1609,MAX($D$16,POWER((ABS(K1609)^2)/($I$5*MAX(F1609,0.1)^2),1/3))))),IF(IFERROR(V1609,0)=1,MAX($D$16,IFERROR(L1609,MAX($D$16,POWER((ABS(K1609)^2)/($I$5*MAX(F1609,0.1)^2),1/3)))),IF(IFERROR(AG1609,0)=1,MAX($D$16,IFERROR(W1609,MAX($D$16,POWER((ABS(K1609)^2)/($I$5*MAX(F1609,0.1)^2),1/3)))),MAX($D$16,POWER((ABS(K1609)^2)/($I$5*MAX(F1609,0.1)^2),1/3))))))),MAX($D$16,POWER((ABS(K1609)^2)/($I$5*MAX(F1609,0.1)^2),1/3)))</f>
        <v>3</v>
      </c>
      <c r="AI1609">
        <f t="shared" ca="1" si="829"/>
        <v>625</v>
      </c>
      <c r="AJ1609">
        <f t="shared" ca="1" si="830"/>
        <v>626.37603295126939</v>
      </c>
      <c r="AM1609">
        <v>0</v>
      </c>
      <c r="AN1609">
        <v>0</v>
      </c>
      <c r="AO1609">
        <f t="shared" si="831"/>
        <v>0</v>
      </c>
      <c r="AP1609">
        <f t="shared" si="839"/>
        <v>0</v>
      </c>
      <c r="AQ1609">
        <f t="shared" ca="1" si="832"/>
        <v>0.95778666771170284</v>
      </c>
      <c r="AR1609" t="str">
        <f t="shared" ca="1" si="833"/>
        <v>Subcritical</v>
      </c>
      <c r="AS1609">
        <f t="shared" ca="1" si="834"/>
        <v>5.7393910231139976E-3</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Depth,None,Spill End,Spill Zero"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2026-04-22T01:39:03Z</dcterms:created>
  <dcterms:modified xsi:type="dcterms:W3CDTF">2026-04-22T04:27:35Z</dcterms:modified>
</cp:coreProperties>
</file>